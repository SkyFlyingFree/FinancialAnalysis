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B5419CB-04A2-4FC2-B692-8BB8233A0832}"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D8" i="13" l="1"/>
  <c r="D9" i="13" s="1"/>
  <c r="D11" i="13"/>
  <c r="M54" i="6"/>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C9" i="10" s="1"/>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A8" i="10" l="1"/>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<sst xmlns="http://schemas.openxmlformats.org/spreadsheetml/2006/main" count="1031" uniqueCount="753">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</sst>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0.44172773704487572</c:v>
                </c:pt>
                <c:pt idx="1">
                  <c:v>0.38164785880874641</c:v>
                </c:pt>
                <c:pt idx="2">
                  <c:v>0.3833275867540053</c:v>
                </c:pt>
                <c:pt idx="3">
                  <c:v>0.38193488863353059</c:v>
                </c:pt>
                <c:pt idx="4">
                  <c:v>0.45501374742788925</c:v>
                </c:pt>
                <c:pt idx="5">
                  <c:v>0.50508271749797129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0.33267720902987513</c:v>
                </c:pt>
                <c:pt idx="1">
                  <c:v>0.28906461820436774</c:v>
                </c:pt>
                <c:pt idx="2">
                  <c:v>0.29687480792911264</c:v>
                </c:pt>
                <c:pt idx="3">
                  <c:v>0.28889971402346598</c:v>
                </c:pt>
                <c:pt idx="4">
                  <c:v>0.33675251432975178</c:v>
                </c:pt>
                <c:pt idx="5">
                  <c:v>0.38008655735159452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0.44131503892764862</c:v>
                </c:pt>
                <c:pt idx="1">
                  <c:v>0.38167509802190497</c:v>
                </c:pt>
                <c:pt idx="2">
                  <c:v>0.38266939934907013</c:v>
                </c:pt>
                <c:pt idx="3">
                  <c:v>0.38180968195006049</c:v>
                </c:pt>
                <c:pt idx="4">
                  <c:v>0.45524193235977062</c:v>
                </c:pt>
                <c:pt idx="5">
                  <c:v>0.50552902916046094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0.33180620976218089</c:v>
                </c:pt>
                <c:pt idx="1">
                  <c:v>0.288753636387655</c:v>
                </c:pt>
                <c:pt idx="2">
                  <c:v>0.29600866967169881</c:v>
                </c:pt>
                <c:pt idx="3">
                  <c:v>0.288636801665825</c:v>
                </c:pt>
                <c:pt idx="4">
                  <c:v>0.33691543318735001</c:v>
                </c:pt>
                <c:pt idx="5">
                  <c:v>0.38042603023212884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13391688208.91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9337410656.9300003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8287493983.1499996</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8015916148.5600004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5642215140.545599</c:v>
                </c:pt>
                <c:pt idx="1">
                  <c:v>3230640644.7139997</c:v>
                </c:pt>
                <c:pt idx="2">
                  <c:v>2863723960.3659987</c:v>
                </c:pt>
                <c:pt idx="3">
                  <c:v>2838043279.5336008</c:v>
                </c:pt>
                <c:pt idx="4">
                  <c:v>5366531227.8428001</c:v>
                </c:pt>
                <c:pt idx="5">
                  <c:v>7826300285.1659966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54674325649.18</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48205859209.699997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44345160962.550003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40333080446.080002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7,667,044,890.61 </c:v>
                </c:pt>
                <c:pt idx="5">
                  <c:v>7,715,000,448.55 </c:v>
                </c:pt>
                <c:pt idx="6">
                  <c:v>7,797,508,134.44 </c:v>
                </c:pt>
                <c:pt idx="7">
                  <c:v>7,860,467,227.05 </c:v>
                </c:pt>
                <c:pt idx="8">
                  <c:v>7,946,402,094.79 </c:v>
                </c:pt>
                <c:pt idx="9">
                  <c:v>7,787,066,965.49 </c:v>
                </c:pt>
                <c:pt idx="10">
                  <c:v>7,863,601,179.82 </c:v>
                </c:pt>
                <c:pt idx="11">
                  <c:v>7,849,831,916.26 </c:v>
                </c:pt>
                <c:pt idx="12">
                  <c:v>7,905,968,097.92 </c:v>
                </c:pt>
                <c:pt idx="13">
                  <c:v>7,848,396,657.24 </c:v>
                </c:pt>
                <c:pt idx="14">
                  <c:v>7,654,091,040.08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7667044890.6100006</c:v>
                </c:pt>
              </c:numCache>
            </c:numRef>
          </c:cat>
          <c:val>
            <c:numRef>
              <c:f>投资和筹资活动现金流表!$E$12:$U$12</c:f>
              <c:numCache>
                <c:formatCode>#,##0.00_ </c:formatCode>
                <c:ptCount val="5"/>
                <c:pt idx="0">
                  <c:v>7667044890.6100006</c:v>
                </c:pt>
                <c:pt idx="1">
                  <c:v>7946402094.79</c:v>
                </c:pt>
                <c:pt idx="2">
                  <c:v>7905968097.9200001</c:v>
                </c:pt>
                <c:pt idx="3">
                  <c:v>7185660413.8000002</c:v>
                </c:pt>
                <c:pt idx="4">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-4.5112043930198201E-2</c:v>
                </c:pt>
                <c:pt idx="1">
                  <c:v>-3.4954246403175543E-2</c:v>
                </c:pt>
                <c:pt idx="2">
                  <c:v>-2.8622167927737283E-2</c:v>
                </c:pt>
                <c:pt idx="3">
                  <c:v>-4.0689391027787285E-2</c:v>
                </c:pt>
                <c:pt idx="4">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48.616656251940277</c:v>
                </c:pt>
                <c:pt idx="1">
                  <c:v>39.37337141139416</c:v>
                </c:pt>
                <c:pt idx="2">
                  <c:v>16.974898246252728</c:v>
                </c:pt>
                <c:pt idx="3">
                  <c:v>1.755796935079095</c:v>
                </c:pt>
                <c:pt idx="4">
                  <c:v>4.3194707290998364</c:v>
                </c:pt>
                <c:pt idx="5">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200881273.53</c:v>
                </c:pt>
                <c:pt idx="1">
                  <c:v>301984156.69</c:v>
                </c:pt>
                <c:pt idx="2">
                  <c:v>394174289.16000003</c:v>
                </c:pt>
                <c:pt idx="3">
                  <c:v>380528763.29999995</c:v>
                </c:pt>
                <c:pt idx="4">
                  <c:v>337752203.54000002</c:v>
                </c:pt>
                <c:pt idx="5">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-4911283.58</c:v>
                </c:pt>
                <c:pt idx="2">
                  <c:v>0</c:v>
                </c:pt>
                <c:pt idx="3">
                  <c:v>72009699.129999995</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-3639243140.5500002</c:v>
                </c:pt>
                <c:pt idx="1">
                  <c:v>-3193927561.71</c:v>
                </c:pt>
                <c:pt idx="2">
                  <c:v>-2354913014.8000002</c:v>
                </c:pt>
                <c:pt idx="3">
                  <c:v>-2989275619.5599999</c:v>
                </c:pt>
                <c:pt idx="4">
                  <c:v>-3219033426.9200001</c:v>
                </c:pt>
                <c:pt idx="5">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-3416370048</c:v>
                </c:pt>
                <c:pt idx="1">
                  <c:v>-3020821087.1500001</c:v>
                </c:pt>
                <c:pt idx="2">
                  <c:v>-2218580032</c:v>
                </c:pt>
                <c:pt idx="3">
                  <c:v>-2651176704</c:v>
                </c:pt>
                <c:pt idx="4">
                  <c:v>-2864305440.7600002</c:v>
                </c:pt>
                <c:pt idx="5">
                  <c:v>-1897983360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-99813538</c:v>
                </c:pt>
                <c:pt idx="2">
                  <c:v>0</c:v>
                </c:pt>
                <c:pt idx="3">
                  <c:v>734000000</c:v>
                </c:pt>
                <c:pt idx="4">
                  <c:v>-12138250.199999999</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0.18319679435552805</c:v>
                </c:pt>
                <c:pt idx="1">
                  <c:v>0.14701759283369292</c:v>
                </c:pt>
                <c:pt idx="2">
                  <c:v>0.14457804861243928</c:v>
                </c:pt>
                <c:pt idx="3">
                  <c:v>0.15036610130784464</c:v>
                </c:pt>
                <c:pt idx="4">
                  <c:v>0.22455569470043549</c:v>
                </c:pt>
                <c:pt idx="5">
                  <c:v>0.32437374982678674</c:v>
                </c:pt>
                <c:pt idx="6">
                  <c:v>0.27049661326754865</c:v>
                </c:pt>
                <c:pt idx="7">
                  <c:v>0.24367594777940355</c:v>
                </c:pt>
                <c:pt idx="8">
                  <c:v>0.23420130997264005</c:v>
                </c:pt>
                <c:pt idx="9">
                  <c:v>0.15971630362840036</c:v>
                </c:pt>
                <c:pt idx="10">
                  <c:v>0.15295714285698225</c:v>
                </c:pt>
                <c:pt idx="11">
                  <c:v>0.13909812192034063</c:v>
                </c:pt>
                <c:pt idx="12">
                  <c:v>0.10542595593084286</c:v>
                </c:pt>
                <c:pt idx="13">
                  <c:v>0.12343094831104005</c:v>
                </c:pt>
                <c:pt idx="14">
                  <c:v>0.11467772834321353</c:v>
                </c:pt>
                <c:pt idx="15">
                  <c:v>0.11356025217550665</c:v>
                </c:pt>
                <c:pt idx="16">
                  <c:v>7.0450917652958606E-2</c:v>
                </c:pt>
                <c:pt idx="17">
                  <c:v>0.1701519756067762</c:v>
                </c:pt>
                <c:pt idx="18">
                  <c:v>0.10347671825181884</c:v>
                </c:pt>
                <c:pt idx="19">
                  <c:v>0.23665031497560493</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0.16826797649117345</c:v>
                </c:pt>
                <c:pt idx="1">
                  <c:v>0.31737009244753528</c:v>
                </c:pt>
                <c:pt idx="2">
                  <c:v>0.18470132919776922</c:v>
                </c:pt>
                <c:pt idx="3">
                  <c:v>-0.13473057887635734</c:v>
                </c:pt>
                <c:pt idx="4">
                  <c:v>-7.6512781972338434E-2</c:v>
                </c:pt>
                <c:pt idx="5">
                  <c:v>0.29350975712892829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8.5838424406066385E-2</c:v>
                </c:pt>
                <c:pt idx="1">
                  <c:v>-0.11903020303667894</c:v>
                </c:pt>
                <c:pt idx="2">
                  <c:v>3.9343178872012337E-2</c:v>
                </c:pt>
                <c:pt idx="3">
                  <c:v>6.1975777520052029</c:v>
                </c:pt>
                <c:pt idx="4">
                  <c:v>1.8797808013171075E-3</c:v>
                </c:pt>
                <c:pt idx="5">
                  <c:v>-8.0414362684780485E-2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0.1064182619853677</c:v>
                </c:pt>
                <c:pt idx="1">
                  <c:v>-0.45277702787743929</c:v>
                </c:pt>
                <c:pt idx="2">
                  <c:v>-2.0713709363946751E-2</c:v>
                </c:pt>
                <c:pt idx="3">
                  <c:v>1.5990439171199575</c:v>
                </c:pt>
                <c:pt idx="4">
                  <c:v>-2.0205412027001657</c:v>
                </c:pt>
                <c:pt idx="5">
                  <c:v>-0.31218423601968481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0.14765878664206145</c:v>
                </c:pt>
                <c:pt idx="1">
                  <c:v>7.909768481806892E-2</c:v>
                </c:pt>
                <c:pt idx="2">
                  <c:v>0.12093988036196532</c:v>
                </c:pt>
                <c:pt idx="3">
                  <c:v>0.46916748679607684</c:v>
                </c:pt>
                <c:pt idx="4">
                  <c:v>0.12281280796657357</c:v>
                </c:pt>
                <c:pt idx="5">
                  <c:v>0.22828295842582624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0.16320620861944202</c:v>
                </c:pt>
                <c:pt idx="1">
                  <c:v>0.70317523545620997</c:v>
                </c:pt>
                <c:pt idx="2">
                  <c:v>0.35008349240109282</c:v>
                </c:pt>
                <c:pt idx="3">
                  <c:v>-0.1374228195916623</c:v>
                </c:pt>
                <c:pt idx="4">
                  <c:v>-0.4722456953207852</c:v>
                </c:pt>
                <c:pt idx="5">
                  <c:v>8.3150937895688296E-3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-1.3842230620428535E-2</c:v>
                </c:pt>
                <c:pt idx="1">
                  <c:v>-2.4409663190091687E-2</c:v>
                </c:pt>
                <c:pt idx="2">
                  <c:v>8.9342028158638845E-4</c:v>
                </c:pt>
                <c:pt idx="3">
                  <c:v>-3.8178838870201411E-3</c:v>
                </c:pt>
                <c:pt idx="4">
                  <c:v>-1.8951992613332944E-2</c:v>
                </c:pt>
                <c:pt idx="5">
                  <c:v>2.0244850516383608E-2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-1</c:v>
                </c:pt>
                <c:pt idx="3">
                  <c:v>-0.98520989409703519</c:v>
                </c:pt>
                <c:pt idx="4">
                  <c:v>0.16860311635049269</c:v>
                </c:pt>
                <c:pt idx="5">
                  <c:v>0.20079792817116948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0.75366525966156128</c:v>
                </c:pt>
                <c:pt idx="1">
                  <c:v>0.73167738457491771</c:v>
                </c:pt>
                <c:pt idx="2">
                  <c:v>0.60376151169618864</c:v>
                </c:pt>
                <c:pt idx="3">
                  <c:v>0.56031290365853437</c:v>
                </c:pt>
                <c:pt idx="4">
                  <c:v>0.70425660127813483</c:v>
                </c:pt>
                <c:pt idx="5">
                  <c:v>0.88656465164109843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1.5781703639593792E-2</c:v>
                </c:pt>
                <c:pt idx="1">
                  <c:v>1.6484367378729381E-2</c:v>
                </c:pt>
                <c:pt idx="2">
                  <c:v>2.0340651446541312E-2</c:v>
                </c:pt>
                <c:pt idx="3">
                  <c:v>2.1516912966447616E-2</c:v>
                </c:pt>
                <c:pt idx="4">
                  <c:v>3.2512117543596212E-3</c:v>
                </c:pt>
                <c:pt idx="5">
                  <c:v>3.7725935515375468E-3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0.12398637786932939</c:v>
                </c:pt>
                <c:pt idx="1">
                  <c:v>0.14259725954094823</c:v>
                </c:pt>
                <c:pt idx="2">
                  <c:v>0.15889026218194224</c:v>
                </c:pt>
                <c:pt idx="3">
                  <c:v>0.17453539887492781</c:v>
                </c:pt>
                <c:pt idx="4">
                  <c:v>0.19054450998764266</c:v>
                </c:pt>
                <c:pt idx="5">
                  <c:v>0.225796161145142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1</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8.0722425563446407</c:v>
                </c:pt>
                <c:pt idx="1">
                  <c:v>7.6978283022284915</c:v>
                </c:pt>
                <c:pt idx="2">
                  <c:v>3.7822139969053907</c:v>
                </c:pt>
                <c:pt idx="3">
                  <c:v>3.2998066750124804</c:v>
                </c:pt>
                <c:pt idx="4">
                  <c:v>7.9080200956147451</c:v>
                </c:pt>
                <c:pt idx="5">
                  <c:v>-6.6340191818923682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6778871599.6899986</c:v>
                </c:pt>
                <c:pt idx="1">
                  <c:v>6874023417.1199999</c:v>
                </c:pt>
                <c:pt idx="2">
                  <c:v>7046014251.8400002</c:v>
                </c:pt>
                <c:pt idx="3">
                  <c:v>7039724818.9099989</c:v>
                </c:pt>
                <c:pt idx="4">
                  <c:v>7066704676.829998</c:v>
                </c:pt>
                <c:pt idx="5">
                  <c:v>7203220050.0099993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41206139837.209991</c:v>
                </c:pt>
                <c:pt idx="1">
                  <c:v>35271136987.739998</c:v>
                </c:pt>
                <c:pt idx="2">
                  <c:v>26773901419.16</c:v>
                </c:pt>
                <c:pt idx="3">
                  <c:v>22599705731.140003</c:v>
                </c:pt>
                <c:pt idx="4">
                  <c:v>26118692258.639996</c:v>
                </c:pt>
                <c:pt idx="5">
                  <c:v>28282678686.579998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0.27992674796155037</c:v>
                </c:pt>
                <c:pt idx="1">
                  <c:v>0.29800823994591941</c:v>
                </c:pt>
                <c:pt idx="2">
                  <c:v>0.30804168017533218</c:v>
                </c:pt>
                <c:pt idx="3">
                  <c:v>0.27470821831482284</c:v>
                </c:pt>
                <c:pt idx="4">
                  <c:v>0.26742671090164882</c:v>
                </c:pt>
                <c:pt idx="5">
                  <c:v>0.29468441967964554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0.11576908939324547</c:v>
                </c:pt>
                <c:pt idx="1">
                  <c:v>7.9090243604728064E-2</c:v>
                </c:pt>
                <c:pt idx="2">
                  <c:v>8.2397709152883927E-2</c:v>
                </c:pt>
                <c:pt idx="3">
                  <c:v>7.2209837915615679E-2</c:v>
                </c:pt>
                <c:pt idx="4">
                  <c:v>7.4803220525879455E-2</c:v>
                </c:pt>
                <c:pt idx="5">
                  <c:v>7.3736287891208591E-2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0.12009885999509562</c:v>
                </c:pt>
                <c:pt idx="1">
                  <c:v>0.19127219418651778</c:v>
                </c:pt>
                <c:pt idx="2">
                  <c:v>0.1647358612017607</c:v>
                </c:pt>
                <c:pt idx="3">
                  <c:v>0.20507337330901274</c:v>
                </c:pt>
                <c:pt idx="4">
                  <c:v>0.13682726969647763</c:v>
                </c:pt>
                <c:pt idx="5">
                  <c:v>8.3047036548927894E-2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7.516617109497975E-2</c:v>
                </c:pt>
                <c:pt idx="1">
                  <c:v>8.7341979842510131E-2</c:v>
                </c:pt>
                <c:pt idx="2">
                  <c:v>9.8286044451529789E-2</c:v>
                </c:pt>
                <c:pt idx="3">
                  <c:v>9.7424237741480096E-2</c:v>
                </c:pt>
                <c:pt idx="4">
                  <c:v>9.1576341999661817E-2</c:v>
                </c:pt>
                <c:pt idx="5">
                  <c:v>7.3864227921390718E-2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1.8649283738438882E-4</c:v>
                </c:pt>
                <c:pt idx="1">
                  <c:v>4.970280868444541E-4</c:v>
                </c:pt>
                <c:pt idx="2">
                  <c:v>1.1911753993370999E-3</c:v>
                </c:pt>
                <c:pt idx="3">
                  <c:v>2.9324226266384872E-4</c:v>
                </c:pt>
                <c:pt idx="4">
                  <c:v>2.0257882791720587E-4</c:v>
                </c:pt>
                <c:pt idx="5">
                  <c:v>9.9145193343829689E-5</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-1.405153362667219E-4</c:v>
                </c:pt>
                <c:pt idx="1">
                  <c:v>-1.2425869221495808E-3</c:v>
                </c:pt>
                <c:pt idx="2">
                  <c:v>-3.4629527626885599E-5</c:v>
                </c:pt>
                <c:pt idx="3">
                  <c:v>-3.1482800536183333E-4</c:v>
                </c:pt>
                <c:pt idx="4">
                  <c:v>-2.374519876805684E-4</c:v>
                </c:pt>
                <c:pt idx="5">
                  <c:v>-4.4288093816504656E-4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5.6822965508459395E-4</c:v>
                </c:pt>
                <c:pt idx="1">
                  <c:v>4.0824823084857067E-3</c:v>
                </c:pt>
                <c:pt idx="2">
                  <c:v>1.904798981375518E-3</c:v>
                </c:pt>
                <c:pt idx="3">
                  <c:v>-7.8458147207899158E-4</c:v>
                </c:pt>
                <c:pt idx="4">
                  <c:v>-7.4985465940033951E-3</c:v>
                </c:pt>
                <c:pt idx="5">
                  <c:v>1.34299455415612E-3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0.31164832763952305</c:v>
                </c:pt>
                <c:pt idx="1">
                  <c:v>0.36104134110693653</c:v>
                </c:pt>
                <c:pt idx="2">
                  <c:v>0.34848095965926013</c:v>
                </c:pt>
                <c:pt idx="3">
                  <c:v>0.37390128175133158</c:v>
                </c:pt>
                <c:pt idx="4">
                  <c:v>0.29567341246825213</c:v>
                </c:pt>
                <c:pt idx="5">
                  <c:v>0.23164681117086211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0.33180620976218089</c:v>
                </c:pt>
                <c:pt idx="1">
                  <c:v>0.288753636387655</c:v>
                </c:pt>
                <c:pt idx="2">
                  <c:v>0.29600866967169881</c:v>
                </c:pt>
                <c:pt idx="3">
                  <c:v>0.288636801665825</c:v>
                </c:pt>
                <c:pt idx="4">
                  <c:v>0.33691543318735001</c:v>
                </c:pt>
                <c:pt idx="5">
                  <c:v>0.38042603023212884</c:v>
                </c:pt>
                <c:pt idx="6">
                  <c:v>0.31461587470451191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9.3428164594788754E-4</c:v>
                </c:pt>
                <c:pt idx="1">
                  <c:v>-7.1372634563138249E-5</c:v>
                </c:pt>
                <c:pt idx="2">
                  <c:v>1.7170363617935447E-3</c:v>
                </c:pt>
                <c:pt idx="3">
                  <c:v>3.2782206390746804E-4</c:v>
                </c:pt>
                <c:pt idx="4">
                  <c:v>-5.0149019270562256E-4</c:v>
                </c:pt>
                <c:pt idx="5">
                  <c:v>-8.8364073255275954E-4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8450087271.3599997</c:v>
                </c:pt>
                <c:pt idx="1">
                  <c:v>7314252452.3800001</c:v>
                </c:pt>
                <c:pt idx="2">
                  <c:v>6671963269.6700001</c:v>
                </c:pt>
                <c:pt idx="3">
                  <c:v>5772029404.0299997</c:v>
                </c:pt>
                <c:pt idx="4">
                  <c:v>6610410852.2399998</c:v>
                </c:pt>
                <c:pt idx="5">
                  <c:v>8015724440.8500004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21736693137.779999</c:v>
                </c:pt>
                <c:pt idx="1">
                  <c:v>17229540208.209999</c:v>
                </c:pt>
                <c:pt idx="2">
                  <c:v>14987324089.99</c:v>
                </c:pt>
                <c:pt idx="3">
                  <c:v>15239462132.110001</c:v>
                </c:pt>
                <c:pt idx="4">
                  <c:v>18108177765.75</c:v>
                </c:pt>
                <c:pt idx="5">
                  <c:v>19185321510.489998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7.9052667944605429E-2</c:v>
                </c:pt>
                <c:pt idx="1">
                  <c:v>4.2067631699856285E-2</c:v>
                </c:pt>
                <c:pt idx="2">
                  <c:v>3.7853886638974231E-2</c:v>
                </c:pt>
                <c:pt idx="3">
                  <c:v>1.6693314897713044E-2</c:v>
                </c:pt>
                <c:pt idx="4">
                  <c:v>4.6977537610886338E-3</c:v>
                </c:pt>
                <c:pt idx="5">
                  <c:v>-3.2967664186918828E-3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1.6472499376835894E-2</c:v>
                </c:pt>
                <c:pt idx="1">
                  <c:v>1.6409646031952854E-2</c:v>
                </c:pt>
                <c:pt idx="2">
                  <c:v>2.1566578970409311E-2</c:v>
                </c:pt>
                <c:pt idx="3">
                  <c:v>2.2086198275583321E-2</c:v>
                </c:pt>
                <c:pt idx="4">
                  <c:v>2.3181398370210712E-2</c:v>
                </c:pt>
                <c:pt idx="5">
                  <c:v>2.0815859341438574E-2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5.1809811327137787</c:v>
                </c:pt>
                <c:pt idx="1">
                  <c:v>4.6607544628705471</c:v>
                </c:pt>
                <c:pt idx="2">
                  <c:v>2.250728106883896</c:v>
                </c:pt>
                <c:pt idx="3">
                  <c:v>2.1381857384187044</c:v>
                </c:pt>
                <c:pt idx="4">
                  <c:v>6.5377127314566454</c:v>
                </c:pt>
                <c:pt idx="5">
                  <c:v>-7.342066459164486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4.4530686214089759</c:v>
                </c:pt>
                <c:pt idx="1">
                  <c:v>3.5705133909586069</c:v>
                </c:pt>
                <c:pt idx="2">
                  <c:v>3.0739772281902327</c:v>
                </c:pt>
                <c:pt idx="3">
                  <c:v>2.9847035326862863</c:v>
                </c:pt>
                <c:pt idx="4">
                  <c:v>3.4978946692135344</c:v>
                </c:pt>
                <c:pt idx="5">
                  <c:v>3.7762342067145709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0.7325796720682074</c:v>
                </c:pt>
                <c:pt idx="1">
                  <c:v>0.69586054651771634</c:v>
                </c:pt>
                <c:pt idx="2">
                  <c:v>0.80897016167244618</c:v>
                </c:pt>
                <c:pt idx="3">
                  <c:v>0.92972412057509191</c:v>
                </c:pt>
                <c:pt idx="4">
                  <c:v>0.94639457340415478</c:v>
                </c:pt>
                <c:pt idx="5">
                  <c:v>0.9617563545791995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34.984806544388903</c:v>
                </c:pt>
                <c:pt idx="1">
                  <c:v>30.886561370983024</c:v>
                </c:pt>
                <c:pt idx="2">
                  <c:v>24.012261800568687</c:v>
                </c:pt>
                <c:pt idx="3">
                  <c:v>24.210555780614484</c:v>
                </c:pt>
                <c:pt idx="4">
                  <c:v>205.00191193020558</c:v>
                </c:pt>
                <c:pt idx="5">
                  <c:v>226.01406056944924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3.9510954918113357</c:v>
                </c:pt>
                <c:pt idx="1">
                  <c:v>3.2012063331792051</c:v>
                </c:pt>
                <c:pt idx="2">
                  <c:v>2.7256722100509805</c:v>
                </c:pt>
                <c:pt idx="3">
                  <c:v>2.6576747181243956</c:v>
                </c:pt>
                <c:pt idx="4">
                  <c:v>3.439988420621459</c:v>
                </c:pt>
                <c:pt idx="5">
                  <c:v>5.0422893833513678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5.7036002973523425</c:v>
                </c:pt>
                <c:pt idx="1">
                  <c:v>4.5191318764746411</c:v>
                </c:pt>
                <c:pt idx="2">
                  <c:v>4.0503197865962894</c:v>
                </c:pt>
                <c:pt idx="3">
                  <c:v>3.7014986324908561</c:v>
                </c:pt>
                <c:pt idx="4">
                  <c:v>4.2023225370289694</c:v>
                </c:pt>
                <c:pt idx="5">
                  <c:v>4.9481309284202766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111.12226671403383</c:v>
                </c:pt>
                <c:pt idx="1">
                  <c:v>83.8010135408217</c:v>
                </c:pt>
                <c:pt idx="2">
                  <c:v>39.041831911237502</c:v>
                </c:pt>
                <c:pt idx="3">
                  <c:v>54.641486627084539</c:v>
                </c:pt>
                <c:pt idx="4">
                  <c:v>110.7988137772125</c:v>
                </c:pt>
                <c:pt idx="5">
                  <c:v>31.792326693204327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75.587429380573866</c:v>
                </c:pt>
                <c:pt idx="1">
                  <c:v>60.986626090253431</c:v>
                </c:pt>
                <c:pt idx="2">
                  <c:v>52.610586484843509</c:v>
                </c:pt>
                <c:pt idx="3">
                  <c:v>49.840625499128009</c:v>
                </c:pt>
                <c:pt idx="4">
                  <c:v>84.179290875047613</c:v>
                </c:pt>
                <c:pt idx="5">
                  <c:v>93.873529628083617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6.0132016846087284</c:v>
                </c:pt>
                <c:pt idx="1">
                  <c:v>4.8283762399099714</c:v>
                </c:pt>
                <c:pt idx="2">
                  <c:v>3.2296882659305139</c:v>
                </c:pt>
                <c:pt idx="3">
                  <c:v>4.4185918080181903</c:v>
                </c:pt>
                <c:pt idx="4">
                  <c:v>-53.972493255175415</c:v>
                </c:pt>
                <c:pt idx="5">
                  <c:v>-5.0255594843879168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0.85289068059904993</c:v>
                </c:pt>
                <c:pt idx="1">
                  <c:v>0.81458543516403747</c:v>
                </c:pt>
                <c:pt idx="2">
                  <c:v>0.79464366540949505</c:v>
                </c:pt>
                <c:pt idx="3">
                  <c:v>0.77078194620648188</c:v>
                </c:pt>
                <c:pt idx="4">
                  <c:v>0.97458366892284753</c:v>
                </c:pt>
                <c:pt idx="5">
                  <c:v>1.3122755677991511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2.9155130849656898</c:v>
                </c:pt>
                <c:pt idx="1">
                  <c:v>4.6303139544884537</c:v>
                </c:pt>
                <c:pt idx="2">
                  <c:v>9.7649374582234003</c:v>
                </c:pt>
                <c:pt idx="3">
                  <c:v>13.466372585222796</c:v>
                </c:pt>
                <c:pt idx="4">
                  <c:v>14.776394799977171</c:v>
                </c:pt>
                <c:pt idx="5">
                  <c:v>35.480995507964636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0.98080238922082763</c:v>
                </c:pt>
                <c:pt idx="1">
                  <c:v>0.70581216957588011</c:v>
                </c:pt>
                <c:pt idx="2">
                  <c:v>0.4512493355039619</c:v>
                </c:pt>
                <c:pt idx="3">
                  <c:v>0.43579069655377273</c:v>
                </c:pt>
                <c:pt idx="4">
                  <c:v>0.96139373734898914</c:v>
                </c:pt>
                <c:pt idx="5">
                  <c:v>3.7037940714951252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0.40956138370909567</c:v>
                </c:pt>
                <c:pt idx="1">
                  <c:v>0.34911538356411548</c:v>
                </c:pt>
                <c:pt idx="2">
                  <c:v>0.34728695812815874</c:v>
                </c:pt>
                <c:pt idx="3">
                  <c:v>0.34982133698968765</c:v>
                </c:pt>
                <c:pt idx="4">
                  <c:v>0.4219027834420922</c:v>
                </c:pt>
                <c:pt idx="5">
                  <c:v>0.47635475825780443</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12363339554.09</c:v>
                </c:pt>
                <c:pt idx="1">
                  <c:v>8568615588.8199997</c:v>
                </c:pt>
                <c:pt idx="2">
                  <c:v>7521988022.3599997</c:v>
                </c:pt>
                <c:pt idx="3">
                  <c:v>7350268061.3200006</c:v>
                </c:pt>
                <c:pt idx="4">
                  <c:v>10428841340.690001</c:v>
                </c:pt>
                <c:pt idx="5">
                  <c:v>12957347668.509996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68210911.069999993</c:v>
                </c:pt>
                <c:pt idx="1">
                  <c:v>33428752.969999999</c:v>
                </c:pt>
                <c:pt idx="2">
                  <c:v>34144563.939999998</c:v>
                </c:pt>
                <c:pt idx="3">
                  <c:v>14487542.039999999</c:v>
                </c:pt>
                <c:pt idx="4">
                  <c:v>566442.73</c:v>
                </c:pt>
                <c:pt idx="5">
                  <c:v>-396769.54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1.0123189271926094</c:v>
                </c:pt>
                <c:pt idx="1">
                  <c:v>1.1507363836129405</c:v>
                </c:pt>
                <c:pt idx="2">
                  <c:v>1.0293243558743503</c:v>
                </c:pt>
                <c:pt idx="3">
                  <c:v>0.82312814966506787</c:v>
                </c:pt>
                <c:pt idx="4">
                  <c:v>0.8611045048663345</c:v>
                </c:pt>
                <c:pt idx="5">
                  <c:v>1.037065293734434</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0.80068430931765944</c:v>
                </c:pt>
                <c:pt idx="1">
                  <c:v>0.70678579041220746</c:v>
                </c:pt>
                <c:pt idx="2">
                  <c:v>0.7226007992595872</c:v>
                </c:pt>
                <c:pt idx="3">
                  <c:v>0.71250136712475798</c:v>
                </c:pt>
                <c:pt idx="4">
                  <c:v>0.75714902623944891</c:v>
                </c:pt>
                <c:pt idx="5">
                  <c:v>0.82305154946328596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1.0506376488457347</c:v>
                </c:pt>
                <c:pt idx="1">
                  <c:v>1.8043521608393704</c:v>
                </c:pt>
                <c:pt idx="2">
                  <c:v>1.1499584234406726</c:v>
                </c:pt>
                <c:pt idx="3">
                  <c:v>0.14299532499061435</c:v>
                </c:pt>
                <c:pt idx="4">
                  <c:v>0.1890227246235521</c:v>
                </c:pt>
                <c:pt idx="5">
                  <c:v>0.89732814747978984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0.97504179844792382</c:v>
                </c:pt>
                <c:pt idx="1">
                  <c:v>1.6504275494547063</c:v>
                </c:pt>
                <c:pt idx="2">
                  <c:v>1.0436307777154241</c:v>
                </c:pt>
                <c:pt idx="3">
                  <c:v>0.13101505314376607</c:v>
                </c:pt>
                <c:pt idx="4">
                  <c:v>0.17517985050081053</c:v>
                </c:pt>
                <c:pt idx="5">
                  <c:v>0.84554300171550023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-0.17106886778211292</c:v>
                </c:pt>
                <c:pt idx="1">
                  <c:v>0.83819345951995194</c:v>
                </c:pt>
                <c:pt idx="2">
                  <c:v>51.357451527454572</c:v>
                </c:pt>
                <c:pt idx="3">
                  <c:v>-0.85105735405460614</c:v>
                </c:pt>
                <c:pt idx="4">
                  <c:v>-0.90358144862540846</c:v>
                </c:pt>
                <c:pt idx="5">
                  <c:v>-8.1880553883878743E-2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9295474832.2501526</c:v>
                </c:pt>
                <c:pt idx="1">
                  <c:v>6482526428.6372776</c:v>
                </c:pt>
                <c:pt idx="2">
                  <c:v>5818530751.5382519</c:v>
                </c:pt>
                <c:pt idx="3">
                  <c:v>5556584772.209527</c:v>
                </c:pt>
                <c:pt idx="4">
                  <c:v>7718176530.2848721</c:v>
                </c:pt>
                <c:pt idx="5">
                  <c:v>9750799759.3233471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1.6640625" style="189" hidden="1" customWidth="1"/>
    <col min="71"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81" width="12.77734375" style="189" bestFit="1" customWidth="1"/>
    <col min="82" max="82" width="9.5546875" style="189" hidden="1" customWidth="1"/>
    <col min="83" max="16384" width="8.88671875" style="189"/>
  </cols>
  <sheetData>
    <row r="1" spans="1:82"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107</v>
      </c>
    </row>
    <row r="4" spans="1:82" x14ac:dyDescent="0.25">
      <c r="A4" s="189" t="s">
        <v>108</v>
      </c>
      <c r="B4" s="189">
        <v>40647532884.059998</v>
      </c>
      <c r="C4" s="189">
        <v>42426330649.809998</v>
      </c>
      <c r="D4" s="189">
        <v>42841346186.510002</v>
      </c>
      <c r="E4" s="189">
        <v>40591803405.779999</v>
      </c>
      <c r="F4" s="189">
        <v>37009464495.18</v>
      </c>
      <c r="G4" s="189">
        <v>34460702655.580002</v>
      </c>
      <c r="H4" s="189">
        <v>36444229729.18</v>
      </c>
      <c r="I4" s="189">
        <v>34665917836.050003</v>
      </c>
      <c r="J4" s="189">
        <v>33661137100.450001</v>
      </c>
      <c r="K4" s="189">
        <v>30573225873.509998</v>
      </c>
      <c r="L4" s="189">
        <v>27021018337.57</v>
      </c>
      <c r="M4" s="189">
        <v>26374190180.509998</v>
      </c>
      <c r="N4" s="189">
        <v>25368524052.240002</v>
      </c>
      <c r="O4" s="189">
        <v>22852502534.740002</v>
      </c>
      <c r="P4" s="189">
        <v>24216910201.84</v>
      </c>
      <c r="Q4" s="189">
        <v>22382106584.48</v>
      </c>
      <c r="R4" s="189">
        <v>20816459339.529999</v>
      </c>
      <c r="S4" s="189">
        <v>20044935398.400002</v>
      </c>
      <c r="T4" s="189">
        <v>22776856360.029999</v>
      </c>
      <c r="U4" s="189">
        <v>25763495274.950001</v>
      </c>
      <c r="V4" s="189">
        <v>24575610378.689999</v>
      </c>
      <c r="W4" s="189">
        <v>25756055774.560001</v>
      </c>
      <c r="X4" s="189">
        <v>28805906991.02</v>
      </c>
      <c r="Y4" s="189">
        <v>27845507237.169998</v>
      </c>
      <c r="Z4" s="189">
        <v>25767578096.669998</v>
      </c>
      <c r="AA4" s="189">
        <v>23191044991.02</v>
      </c>
      <c r="AB4" s="189">
        <v>22883165830.130001</v>
      </c>
      <c r="AC4" s="189">
        <v>21550861665.98</v>
      </c>
      <c r="AD4" s="189">
        <v>19030416620.939999</v>
      </c>
      <c r="AE4" s="189">
        <v>18211566393.299999</v>
      </c>
      <c r="AF4" s="189">
        <v>16190659506.01</v>
      </c>
      <c r="AG4" s="189">
        <v>14134459002.65</v>
      </c>
      <c r="AH4" s="189">
        <v>11473084733.450001</v>
      </c>
      <c r="AI4" s="189">
        <v>9943205585.6599998</v>
      </c>
      <c r="AJ4" s="189">
        <v>9543660882.1599998</v>
      </c>
      <c r="AK4" s="189">
        <v>7543588700.0299997</v>
      </c>
      <c r="AL4" s="189">
        <v>6563567876.1999998</v>
      </c>
      <c r="AM4" s="189">
        <v>4846347515.1999998</v>
      </c>
      <c r="AN4" s="189">
        <v>7097277732.79</v>
      </c>
      <c r="AO4" s="189">
        <v>5925396594.6800003</v>
      </c>
      <c r="AP4" s="189">
        <v>5838715882.9300003</v>
      </c>
      <c r="AQ4" s="189">
        <v>5184237841.4099998</v>
      </c>
      <c r="AR4" s="189">
        <v>5228632196.6400003</v>
      </c>
      <c r="AS4" s="189">
        <v>4060766891.5799999</v>
      </c>
      <c r="AT4" s="189">
        <v>4688729262.0200005</v>
      </c>
      <c r="AU4" s="189">
        <v>4276319962.5900002</v>
      </c>
      <c r="AV4" s="189">
        <v>3803378130.4099998</v>
      </c>
      <c r="AW4" s="189">
        <v>2786258119.3600001</v>
      </c>
      <c r="AX4" s="189">
        <v>2656212411.0300002</v>
      </c>
      <c r="AY4" s="189">
        <v>2443574846.8699999</v>
      </c>
      <c r="AZ4" s="189">
        <v>2751216145.8600001</v>
      </c>
      <c r="BA4" s="189">
        <v>1971067990.4000001</v>
      </c>
      <c r="BB4" s="189">
        <v>1571661619.25</v>
      </c>
      <c r="BC4" s="189">
        <v>1479638954.0899999</v>
      </c>
      <c r="BD4" s="189">
        <v>1234840555.3499999</v>
      </c>
      <c r="BE4" s="189">
        <v>882624670.09000003</v>
      </c>
      <c r="BF4" s="189">
        <v>1470310894.1199999</v>
      </c>
      <c r="BG4" s="189">
        <v>1314054756.03</v>
      </c>
      <c r="BH4" s="189">
        <v>1899142830.73</v>
      </c>
      <c r="BI4" s="189">
        <v>1005084907.16</v>
      </c>
      <c r="BJ4" s="189">
        <v>1273345510.1099999</v>
      </c>
      <c r="BK4" s="189">
        <v>1561217592.3499999</v>
      </c>
      <c r="BL4" s="189">
        <v>1554658715.24</v>
      </c>
      <c r="BM4" s="189">
        <v>1335725854.02</v>
      </c>
      <c r="BN4" s="189">
        <v>1611944400.46</v>
      </c>
      <c r="BO4" s="189">
        <v>1812460414.3199999</v>
      </c>
      <c r="BP4" s="189">
        <v>1781245268.29</v>
      </c>
      <c r="BQ4" s="189">
        <v>1527575747.99</v>
      </c>
      <c r="BR4" s="189">
        <v>0</v>
      </c>
      <c r="BS4" s="189">
        <v>1560164527.05</v>
      </c>
      <c r="BT4" s="189">
        <v>2177885886.6399999</v>
      </c>
      <c r="BU4" s="189">
        <v>1708793574.8800001</v>
      </c>
      <c r="BV4" s="189">
        <v>599617487.89999998</v>
      </c>
      <c r="BW4" s="189">
        <v>931290888.92999995</v>
      </c>
      <c r="BX4" s="189">
        <v>1244311406.3499999</v>
      </c>
      <c r="BY4" s="189">
        <v>1052654663.3</v>
      </c>
      <c r="BZ4" s="189">
        <v>908361204.25999999</v>
      </c>
      <c r="CA4" s="189">
        <v>170626574.80000001</v>
      </c>
      <c r="CB4" s="189">
        <v>41123701.590000004</v>
      </c>
      <c r="CC4" s="189">
        <v>38805248.43</v>
      </c>
      <c r="CD4" s="189">
        <v>0</v>
      </c>
    </row>
    <row r="5" spans="1:82"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17820853.440000001</v>
      </c>
      <c r="Y5" s="189">
        <v>18995628.800000001</v>
      </c>
      <c r="Z5" s="189">
        <v>15283286.08</v>
      </c>
      <c r="AA5" s="189">
        <v>16286287.359999999</v>
      </c>
      <c r="AB5" s="189">
        <v>17696728</v>
      </c>
      <c r="AC5" s="189">
        <v>18266062.559999999</v>
      </c>
      <c r="AD5" s="189">
        <v>17745495.68</v>
      </c>
      <c r="AE5" s="189">
        <v>20578616.960000001</v>
      </c>
      <c r="AF5" s="189">
        <v>22475006.719999999</v>
      </c>
      <c r="AG5" s="189">
        <v>20756261.280000001</v>
      </c>
      <c r="AH5" s="189">
        <v>20693323.600000001</v>
      </c>
      <c r="AI5" s="189">
        <v>20743819.280000001</v>
      </c>
      <c r="AJ5" s="189">
        <v>25799079.039999999</v>
      </c>
      <c r="AK5" s="189">
        <v>23705071.800000001</v>
      </c>
      <c r="AL5" s="189">
        <v>10613694.93</v>
      </c>
      <c r="AM5" s="189">
        <v>8086247.1600000001</v>
      </c>
      <c r="AN5" s="189">
        <v>8086247.1600000001</v>
      </c>
      <c r="AO5" s="189">
        <v>8086247.1600000001</v>
      </c>
      <c r="AP5" s="189">
        <v>8086247.1600000001</v>
      </c>
      <c r="AQ5" s="189">
        <v>8086247.1600000001</v>
      </c>
      <c r="AR5" s="189">
        <v>8086247.1600000001</v>
      </c>
      <c r="AS5" s="189">
        <v>8086247.1600000001</v>
      </c>
      <c r="AT5" s="189">
        <v>16168058</v>
      </c>
      <c r="AU5" s="189">
        <v>16238843</v>
      </c>
      <c r="AV5" s="189">
        <v>17452698</v>
      </c>
      <c r="AW5" s="189">
        <v>8690137.1600000001</v>
      </c>
      <c r="AX5" s="189">
        <v>16359058.17</v>
      </c>
      <c r="AY5" s="189">
        <v>8218308.8099999996</v>
      </c>
      <c r="AZ5" s="189">
        <v>10441030.800000001</v>
      </c>
      <c r="BA5" s="189">
        <v>2794536.9</v>
      </c>
      <c r="BB5" s="189">
        <v>1841793.44</v>
      </c>
      <c r="BC5" s="189">
        <v>1841793.44</v>
      </c>
      <c r="BD5" s="189">
        <v>2342583.2400000002</v>
      </c>
      <c r="BE5" s="189">
        <v>2342583.2400000002</v>
      </c>
      <c r="BF5" s="189">
        <v>2813602.8</v>
      </c>
      <c r="BG5" s="189">
        <v>2806922.8</v>
      </c>
      <c r="BH5" s="189">
        <v>1431037.52</v>
      </c>
      <c r="BI5" s="189">
        <v>1431037.52</v>
      </c>
      <c r="BJ5" s="189">
        <v>2307717.8199999998</v>
      </c>
      <c r="BK5" s="189">
        <v>2313897.8199999998</v>
      </c>
      <c r="BL5" s="189">
        <v>2373641.41</v>
      </c>
      <c r="BM5" s="189">
        <v>5927785</v>
      </c>
      <c r="BN5" s="189">
        <v>10930414</v>
      </c>
      <c r="BO5" s="189">
        <v>11289741.119999999</v>
      </c>
      <c r="BP5" s="189">
        <v>8862440</v>
      </c>
      <c r="BQ5" s="189">
        <v>16223320.800000001</v>
      </c>
      <c r="BR5" s="189">
        <v>0</v>
      </c>
      <c r="BS5" s="189">
        <v>6864862.1399999997</v>
      </c>
      <c r="BT5" s="189">
        <v>237722120.94999999</v>
      </c>
      <c r="BU5" s="189">
        <v>8366263.1399999997</v>
      </c>
      <c r="BV5" s="189">
        <v>0</v>
      </c>
      <c r="BW5" s="189">
        <v>0</v>
      </c>
      <c r="BX5" s="189">
        <v>0</v>
      </c>
      <c r="BY5" s="189">
        <v>0</v>
      </c>
      <c r="BZ5" s="189">
        <v>0</v>
      </c>
      <c r="CA5" s="189">
        <v>0</v>
      </c>
      <c r="CB5" s="189">
        <v>0</v>
      </c>
      <c r="CC5" s="189">
        <v>0</v>
      </c>
      <c r="CD5" s="189">
        <v>0</v>
      </c>
    </row>
    <row r="6" spans="1:82"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row>
    <row r="7" spans="1:82" x14ac:dyDescent="0.25">
      <c r="A7" s="189" t="s">
        <v>111</v>
      </c>
      <c r="B7" s="189">
        <v>14319733592.74</v>
      </c>
      <c r="C7" s="189">
        <v>16977557220.09</v>
      </c>
      <c r="D7" s="189">
        <v>17196073686.740002</v>
      </c>
      <c r="E7" s="189">
        <v>11188200510.91</v>
      </c>
      <c r="F7" s="189">
        <v>10434216114.75</v>
      </c>
      <c r="G7" s="189">
        <v>11527797189.120001</v>
      </c>
      <c r="H7" s="189">
        <v>13159107548.99</v>
      </c>
      <c r="I7" s="189">
        <v>9579098215.2299995</v>
      </c>
      <c r="J7" s="189">
        <v>8483681711.9499998</v>
      </c>
      <c r="K7" s="189">
        <v>11151897352.93</v>
      </c>
      <c r="L7" s="189">
        <v>16167613235.6</v>
      </c>
      <c r="M7" s="189">
        <v>8665339281.5900002</v>
      </c>
      <c r="N7" s="189">
        <v>5830649754.7700005</v>
      </c>
      <c r="O7" s="189">
        <v>7425023965.3599997</v>
      </c>
      <c r="P7" s="189">
        <v>7622456071.8199997</v>
      </c>
      <c r="Q7" s="189">
        <v>7369422899.46</v>
      </c>
      <c r="R7" s="189">
        <v>7364396469.04</v>
      </c>
      <c r="S7" s="189">
        <v>8952154232.8199997</v>
      </c>
      <c r="T7" s="189">
        <v>9153573194.8099995</v>
      </c>
      <c r="U7" s="189">
        <v>3625484719.4099998</v>
      </c>
      <c r="V7" s="189">
        <v>4104036271.0900002</v>
      </c>
      <c r="W7" s="189">
        <v>4247102908.23</v>
      </c>
      <c r="X7" s="189">
        <v>2885552496.4400001</v>
      </c>
      <c r="Y7" s="189">
        <v>2594222586.9299998</v>
      </c>
      <c r="Z7" s="189">
        <v>1671281067.5799999</v>
      </c>
      <c r="AA7" s="189">
        <v>2399499494.96</v>
      </c>
      <c r="AB7" s="189">
        <v>2374016621.27</v>
      </c>
      <c r="AC7" s="189">
        <v>1938673301.02</v>
      </c>
      <c r="AD7" s="189">
        <v>1656244403.1900001</v>
      </c>
      <c r="AE7" s="189">
        <v>1619094085.5</v>
      </c>
      <c r="AF7" s="189">
        <v>2516511592.3299999</v>
      </c>
      <c r="AG7" s="189">
        <v>2180616262.52</v>
      </c>
      <c r="AH7" s="189">
        <v>1425521975.4400001</v>
      </c>
      <c r="AI7" s="189">
        <v>1276951868.4100001</v>
      </c>
      <c r="AJ7" s="189">
        <v>1410762154.1800001</v>
      </c>
      <c r="AK7" s="189">
        <v>1842131762.6199999</v>
      </c>
      <c r="AL7" s="189">
        <v>1011783426.12</v>
      </c>
      <c r="AM7" s="189">
        <v>566096206.28999996</v>
      </c>
      <c r="AN7" s="189">
        <v>298348819.12</v>
      </c>
      <c r="AO7" s="189">
        <v>601748849.88</v>
      </c>
      <c r="AP7" s="189">
        <v>510997030.19999999</v>
      </c>
      <c r="AQ7" s="189">
        <v>352053475.43000001</v>
      </c>
      <c r="AR7" s="189">
        <v>397695819.48000002</v>
      </c>
      <c r="AS7" s="189">
        <v>523942546.5</v>
      </c>
      <c r="AT7" s="189">
        <v>438071678.39999998</v>
      </c>
      <c r="AU7" s="189">
        <v>379986577.06</v>
      </c>
      <c r="AV7" s="189">
        <v>700835412.30999994</v>
      </c>
      <c r="AW7" s="189">
        <v>669717586.73000002</v>
      </c>
      <c r="AX7" s="189">
        <v>636883188.83000004</v>
      </c>
      <c r="AY7" s="189">
        <v>418106596.38</v>
      </c>
      <c r="AZ7" s="189">
        <v>551795849.77999997</v>
      </c>
      <c r="BA7" s="189">
        <v>567966196</v>
      </c>
      <c r="BB7" s="189">
        <v>914569335.20000005</v>
      </c>
      <c r="BC7" s="189">
        <v>975117540.52999997</v>
      </c>
      <c r="BD7" s="189">
        <v>611455924.19000006</v>
      </c>
      <c r="BE7" s="189">
        <v>683957089</v>
      </c>
      <c r="BF7" s="189">
        <v>486619894.12</v>
      </c>
      <c r="BG7" s="189">
        <v>550250862</v>
      </c>
      <c r="BH7" s="189">
        <v>391663000</v>
      </c>
      <c r="BI7" s="189">
        <v>550460821.35000002</v>
      </c>
      <c r="BJ7" s="189">
        <v>566707454.88</v>
      </c>
      <c r="BK7" s="189">
        <v>280062160</v>
      </c>
      <c r="BL7" s="189">
        <v>264602772</v>
      </c>
      <c r="BM7" s="189">
        <v>376468732</v>
      </c>
      <c r="BN7" s="189">
        <v>305916880</v>
      </c>
      <c r="BO7" s="189">
        <v>243659520</v>
      </c>
      <c r="BP7" s="189">
        <v>184015332</v>
      </c>
      <c r="BQ7" s="189">
        <v>98460640</v>
      </c>
      <c r="BR7" s="189">
        <v>0</v>
      </c>
      <c r="BS7" s="189">
        <v>148695117.40000001</v>
      </c>
      <c r="BT7" s="189">
        <v>93413130</v>
      </c>
      <c r="BU7" s="189">
        <v>93229460</v>
      </c>
      <c r="BV7" s="189">
        <v>146284500</v>
      </c>
      <c r="BW7" s="189">
        <v>95218000</v>
      </c>
      <c r="BX7" s="189">
        <v>64188400</v>
      </c>
      <c r="BY7" s="189">
        <v>26924000</v>
      </c>
      <c r="BZ7" s="189">
        <v>2600000</v>
      </c>
      <c r="CA7" s="189">
        <v>0</v>
      </c>
      <c r="CB7" s="189">
        <v>4000000</v>
      </c>
      <c r="CC7" s="189">
        <v>0</v>
      </c>
      <c r="CD7" s="189">
        <v>0</v>
      </c>
    </row>
    <row r="8" spans="1:82" x14ac:dyDescent="0.25">
      <c r="A8" s="189" t="s">
        <v>112</v>
      </c>
      <c r="B8" s="189">
        <v>159633443.63</v>
      </c>
      <c r="C8" s="189">
        <v>178700262.75999999</v>
      </c>
      <c r="D8" s="189">
        <v>153117071.25</v>
      </c>
      <c r="E8" s="189">
        <v>109569527.26000001</v>
      </c>
      <c r="F8" s="189">
        <v>117313272.51000001</v>
      </c>
      <c r="G8" s="189">
        <v>121745303.23999999</v>
      </c>
      <c r="H8" s="189">
        <v>153556780.75</v>
      </c>
      <c r="I8" s="189">
        <v>107702772.20999999</v>
      </c>
      <c r="J8" s="189">
        <v>127688546.06</v>
      </c>
      <c r="K8" s="189">
        <v>124322436.59999999</v>
      </c>
      <c r="L8" s="189">
        <v>146053117.66</v>
      </c>
      <c r="M8" s="189">
        <v>106953033.25</v>
      </c>
      <c r="N8" s="189">
        <v>120971070.58</v>
      </c>
      <c r="O8" s="189">
        <v>142355074.77000001</v>
      </c>
      <c r="P8" s="189">
        <v>214776783.08000001</v>
      </c>
      <c r="Q8" s="189">
        <v>122947745.88</v>
      </c>
      <c r="R8" s="189">
        <v>130143929.04000001</v>
      </c>
      <c r="S8" s="189">
        <v>132997074.34</v>
      </c>
      <c r="T8" s="189">
        <v>94682124.099999994</v>
      </c>
      <c r="U8" s="189">
        <v>75473277.189999998</v>
      </c>
      <c r="V8" s="189">
        <v>127791575.36</v>
      </c>
      <c r="W8" s="189">
        <v>122003853.23</v>
      </c>
      <c r="X8" s="189">
        <v>137135845.06999999</v>
      </c>
      <c r="Y8" s="189">
        <v>80997122.239999995</v>
      </c>
      <c r="Z8" s="189">
        <v>139523546.13999999</v>
      </c>
      <c r="AA8" s="189">
        <v>111469617.20999999</v>
      </c>
      <c r="AB8" s="189">
        <v>91302403.829999998</v>
      </c>
      <c r="AC8" s="189">
        <v>75620180.150000006</v>
      </c>
      <c r="AD8" s="189">
        <v>107612919.33</v>
      </c>
      <c r="AE8" s="189">
        <v>90179133.640000001</v>
      </c>
      <c r="AF8" s="189">
        <v>135662395.46000001</v>
      </c>
      <c r="AG8" s="189">
        <v>89308643.659999996</v>
      </c>
      <c r="AH8" s="189">
        <v>95257645.409999996</v>
      </c>
      <c r="AI8" s="189">
        <v>121431445.87</v>
      </c>
      <c r="AJ8" s="189">
        <v>106195171.78</v>
      </c>
      <c r="AK8" s="189">
        <v>102759224.95999999</v>
      </c>
      <c r="AL8" s="189">
        <v>218856184.69</v>
      </c>
      <c r="AM8" s="189">
        <v>81047717.200000003</v>
      </c>
      <c r="AN8" s="189">
        <v>41423790.420000002</v>
      </c>
      <c r="AO8" s="189">
        <v>5170935.7300000004</v>
      </c>
      <c r="AP8" s="189">
        <v>20361430.23</v>
      </c>
      <c r="AQ8" s="189">
        <v>16460544.41</v>
      </c>
      <c r="AR8" s="189">
        <v>62119013.289999999</v>
      </c>
      <c r="AS8" s="189">
        <v>6792521.3799999999</v>
      </c>
      <c r="AT8" s="189">
        <v>60092296.229999997</v>
      </c>
      <c r="AU8" s="189">
        <v>10677560.939999999</v>
      </c>
      <c r="AV8" s="189">
        <v>62527448.840000004</v>
      </c>
      <c r="AW8" s="189">
        <v>6260195.0199999996</v>
      </c>
      <c r="AX8" s="189">
        <v>58185536.700000003</v>
      </c>
      <c r="AY8" s="189">
        <v>5688086.54</v>
      </c>
      <c r="AZ8" s="189">
        <v>4505066.0599999996</v>
      </c>
      <c r="BA8" s="189">
        <v>3485923.59</v>
      </c>
      <c r="BB8" s="189">
        <v>44915049.399999999</v>
      </c>
      <c r="BC8" s="189">
        <v>5919635.0700000003</v>
      </c>
      <c r="BD8" s="189">
        <v>47660585.799999997</v>
      </c>
      <c r="BE8" s="189">
        <v>2151313.52</v>
      </c>
      <c r="BF8" s="189">
        <v>57118311.170000002</v>
      </c>
      <c r="BG8" s="189">
        <v>2989801.7</v>
      </c>
      <c r="BH8" s="189">
        <v>10392876.48</v>
      </c>
      <c r="BI8" s="189">
        <v>2709674.42</v>
      </c>
      <c r="BJ8" s="189">
        <v>3297701.91</v>
      </c>
      <c r="BK8" s="189">
        <v>6416936.2800000003</v>
      </c>
      <c r="BL8" s="189">
        <v>240365350.56</v>
      </c>
      <c r="BM8" s="189">
        <v>2926977.69</v>
      </c>
      <c r="BN8" s="189">
        <v>5068027.75</v>
      </c>
      <c r="BO8" s="189">
        <v>37640854.090000004</v>
      </c>
      <c r="BP8" s="189">
        <v>132748147.05</v>
      </c>
      <c r="BQ8" s="189">
        <v>7910472.4500000002</v>
      </c>
      <c r="BR8" s="189">
        <v>0</v>
      </c>
      <c r="BS8" s="189">
        <v>78436213.890000001</v>
      </c>
      <c r="BT8" s="189">
        <v>38304361.759999998</v>
      </c>
      <c r="BU8" s="189">
        <v>15162121.77</v>
      </c>
      <c r="BV8" s="189">
        <v>99818939.200000003</v>
      </c>
      <c r="BW8" s="189">
        <v>104285129.01000001</v>
      </c>
      <c r="BX8" s="189">
        <v>31475559.050000001</v>
      </c>
      <c r="BY8" s="189">
        <v>13522153.390000001</v>
      </c>
      <c r="BZ8" s="189">
        <v>3188798.42</v>
      </c>
      <c r="CA8" s="189">
        <v>1781269.24</v>
      </c>
      <c r="CB8" s="189">
        <v>2927659.32</v>
      </c>
      <c r="CC8" s="189">
        <v>2788901.88</v>
      </c>
      <c r="CD8" s="189">
        <v>0</v>
      </c>
    </row>
    <row r="9" spans="1:82" x14ac:dyDescent="0.25">
      <c r="A9" s="189" t="s">
        <v>113</v>
      </c>
      <c r="B9" s="189">
        <v>661505054.35000002</v>
      </c>
      <c r="C9" s="189">
        <v>457883202.29000002</v>
      </c>
      <c r="D9" s="189">
        <v>459361428.92000002</v>
      </c>
      <c r="E9" s="189">
        <v>198058435.49000001</v>
      </c>
      <c r="F9" s="189">
        <v>285151661.41000003</v>
      </c>
      <c r="G9" s="189">
        <v>237477969.99000001</v>
      </c>
      <c r="H9" s="189">
        <v>363047875.52999997</v>
      </c>
      <c r="I9" s="189">
        <v>271649757.80000001</v>
      </c>
      <c r="J9" s="189">
        <v>281844564.43000001</v>
      </c>
      <c r="K9" s="189">
        <v>314006426.75999999</v>
      </c>
      <c r="L9" s="189">
        <v>389494047.27999997</v>
      </c>
      <c r="M9" s="189">
        <v>332130005.31999999</v>
      </c>
      <c r="N9" s="189">
        <v>198250284.71000001</v>
      </c>
      <c r="O9" s="189">
        <v>199040884.59</v>
      </c>
      <c r="P9" s="189">
        <v>211099303.16999999</v>
      </c>
      <c r="Q9" s="189">
        <v>298155704.17000002</v>
      </c>
      <c r="R9" s="189">
        <v>567747380.69000006</v>
      </c>
      <c r="S9" s="189">
        <v>224045622.72999999</v>
      </c>
      <c r="T9" s="189">
        <v>145246155.97</v>
      </c>
      <c r="U9" s="189">
        <v>213651778.22</v>
      </c>
      <c r="V9" s="189">
        <v>375593573.01999998</v>
      </c>
      <c r="W9" s="189">
        <v>226754621.13</v>
      </c>
      <c r="X9" s="189">
        <v>109493039.03</v>
      </c>
      <c r="Y9" s="189">
        <v>258719181.59999999</v>
      </c>
      <c r="Z9" s="189">
        <v>278664739.87</v>
      </c>
      <c r="AA9" s="189">
        <v>251995509.90000001</v>
      </c>
      <c r="AB9" s="189">
        <v>263222943.09</v>
      </c>
      <c r="AC9" s="189">
        <v>254497498.00999999</v>
      </c>
      <c r="AD9" s="189">
        <v>241814896.36000001</v>
      </c>
      <c r="AE9" s="189">
        <v>218455551.13999999</v>
      </c>
      <c r="AF9" s="189">
        <v>275157634.20999998</v>
      </c>
      <c r="AG9" s="189">
        <v>328380998.27999997</v>
      </c>
      <c r="AH9" s="189">
        <v>191907282.83000001</v>
      </c>
      <c r="AI9" s="189">
        <v>323106093.92000002</v>
      </c>
      <c r="AJ9" s="189">
        <v>348428191.00999999</v>
      </c>
      <c r="AK9" s="189">
        <v>195685085.40000001</v>
      </c>
      <c r="AL9" s="189">
        <v>184675932.61000001</v>
      </c>
      <c r="AM9" s="189">
        <v>139038405.69</v>
      </c>
      <c r="AN9" s="189">
        <v>41232496.460000001</v>
      </c>
      <c r="AO9" s="189">
        <v>45462986.789999999</v>
      </c>
      <c r="AP9" s="189">
        <v>11928878.33</v>
      </c>
      <c r="AQ9" s="189">
        <v>10500016.779999999</v>
      </c>
      <c r="AR9" s="189">
        <v>5023436.71</v>
      </c>
      <c r="AS9" s="189">
        <v>7624049.3799999999</v>
      </c>
      <c r="AT9" s="189">
        <v>2496309.2999999998</v>
      </c>
      <c r="AU9" s="189">
        <v>5602998.9400000004</v>
      </c>
      <c r="AV9" s="189">
        <v>1716533.62</v>
      </c>
      <c r="AW9" s="189">
        <v>2846244.14</v>
      </c>
      <c r="AX9" s="189">
        <v>4130276.51</v>
      </c>
      <c r="AY9" s="189">
        <v>7161550.7300000004</v>
      </c>
      <c r="AZ9" s="189">
        <v>67045199.5</v>
      </c>
      <c r="BA9" s="189">
        <v>81478767.469999999</v>
      </c>
      <c r="BB9" s="189">
        <v>8635003.25</v>
      </c>
      <c r="BC9" s="189">
        <v>5840481.6299999999</v>
      </c>
      <c r="BD9" s="189">
        <v>2818645.49</v>
      </c>
      <c r="BE9" s="189">
        <v>6959145.8700000001</v>
      </c>
      <c r="BF9" s="189">
        <v>820864.99</v>
      </c>
      <c r="BG9" s="189">
        <v>2720360.71</v>
      </c>
      <c r="BH9" s="189">
        <v>1401151.11</v>
      </c>
      <c r="BI9" s="189">
        <v>201151.11</v>
      </c>
      <c r="BJ9" s="189">
        <v>279151.11</v>
      </c>
      <c r="BK9" s="189">
        <v>1294471.81</v>
      </c>
      <c r="BL9" s="189">
        <v>1551502.91</v>
      </c>
      <c r="BM9" s="189">
        <v>46973092.109999999</v>
      </c>
      <c r="BN9" s="189">
        <v>7921870.3200000003</v>
      </c>
      <c r="BO9" s="189">
        <v>15255469.43</v>
      </c>
      <c r="BP9" s="189">
        <v>21453880.149999999</v>
      </c>
      <c r="BQ9" s="189">
        <v>4955055.3600000003</v>
      </c>
      <c r="BR9" s="189">
        <v>0</v>
      </c>
      <c r="BS9" s="189">
        <v>53713400.82</v>
      </c>
      <c r="BT9" s="189">
        <v>401627395.88</v>
      </c>
      <c r="BU9" s="189">
        <v>114124914.41</v>
      </c>
      <c r="BV9" s="189">
        <v>347571735.83999997</v>
      </c>
      <c r="BW9" s="189">
        <v>547588023.92999995</v>
      </c>
      <c r="BX9" s="189">
        <v>50037907.729999997</v>
      </c>
      <c r="BY9" s="189">
        <v>52103421.990000002</v>
      </c>
      <c r="BZ9" s="189">
        <v>136861423.19999999</v>
      </c>
      <c r="CA9" s="189">
        <v>43872563.140000001</v>
      </c>
      <c r="CB9" s="189">
        <v>812211</v>
      </c>
      <c r="CC9" s="189">
        <v>17203730.27</v>
      </c>
      <c r="CD9" s="189">
        <v>0</v>
      </c>
    </row>
    <row r="10" spans="1:82" x14ac:dyDescent="0.25">
      <c r="A10" s="189" t="s">
        <v>114</v>
      </c>
      <c r="B10" s="189">
        <v>0</v>
      </c>
      <c r="C10" s="189">
        <v>896209492.20000005</v>
      </c>
      <c r="D10" s="189">
        <v>698586641.74000001</v>
      </c>
      <c r="E10" s="189">
        <v>613136431.42999995</v>
      </c>
      <c r="F10" s="189">
        <v>749721710.38</v>
      </c>
      <c r="G10" s="189">
        <v>829863225</v>
      </c>
      <c r="H10" s="189">
        <v>696005435.27999997</v>
      </c>
      <c r="I10" s="189">
        <v>604019151.69000006</v>
      </c>
      <c r="J10" s="189">
        <v>553030925.94000006</v>
      </c>
      <c r="K10" s="189">
        <v>579948348.63999999</v>
      </c>
      <c r="L10" s="189">
        <v>434804190.69999999</v>
      </c>
      <c r="M10" s="189">
        <v>398511238.64999998</v>
      </c>
      <c r="N10" s="189">
        <v>393919064.10000002</v>
      </c>
      <c r="O10" s="189">
        <v>371591340.93000001</v>
      </c>
      <c r="P10" s="189">
        <v>256097826.94</v>
      </c>
      <c r="Q10" s="189">
        <v>216399146.66</v>
      </c>
      <c r="R10" s="189">
        <v>308673824.19999999</v>
      </c>
      <c r="S10" s="189">
        <v>342299854.17000002</v>
      </c>
      <c r="T10" s="189">
        <v>296183029.95999998</v>
      </c>
      <c r="U10" s="189">
        <v>355196983.69</v>
      </c>
      <c r="V10" s="189">
        <v>455867454.29000002</v>
      </c>
      <c r="W10" s="189">
        <v>468116161.61000001</v>
      </c>
      <c r="X10" s="189">
        <v>446820156.70999998</v>
      </c>
      <c r="Y10" s="189">
        <v>418175820.61000001</v>
      </c>
      <c r="Z10" s="189">
        <v>429918420.89999998</v>
      </c>
      <c r="AA10" s="189">
        <v>377424524.44999999</v>
      </c>
      <c r="AB10" s="189">
        <v>294469156.37</v>
      </c>
      <c r="AC10" s="189">
        <v>295940185.10000002</v>
      </c>
      <c r="AD10" s="189">
        <v>136641507.16999999</v>
      </c>
      <c r="AE10" s="189">
        <v>147828634.97</v>
      </c>
      <c r="AF10" s="189">
        <v>39873135.909999996</v>
      </c>
      <c r="AG10" s="189">
        <v>63714535.909999996</v>
      </c>
      <c r="AH10" s="189">
        <v>17555203.170000002</v>
      </c>
      <c r="AI10" s="189">
        <v>48182973.82</v>
      </c>
      <c r="AJ10" s="189">
        <v>12057261.5</v>
      </c>
      <c r="AK10" s="189">
        <v>29337771.640000001</v>
      </c>
      <c r="AL10" s="189">
        <v>2021425</v>
      </c>
      <c r="AM10" s="189">
        <v>13592850</v>
      </c>
      <c r="AN10" s="189">
        <v>13090025</v>
      </c>
      <c r="AO10" s="189">
        <v>52818875</v>
      </c>
      <c r="AP10" s="189">
        <v>2013750</v>
      </c>
      <c r="AQ10" s="189">
        <v>49343103.829999998</v>
      </c>
      <c r="AR10" s="189">
        <v>6723978.7599999998</v>
      </c>
      <c r="AS10" s="189">
        <v>43219626.439999998</v>
      </c>
      <c r="AT10" s="189">
        <v>22055917.120000001</v>
      </c>
      <c r="AU10" s="189">
        <v>34057542.119999997</v>
      </c>
      <c r="AV10" s="189">
        <v>11063062.5</v>
      </c>
      <c r="AW10" s="189">
        <v>23900187.5</v>
      </c>
      <c r="AX10" s="189">
        <v>14764375</v>
      </c>
      <c r="AY10" s="189">
        <v>22445562.5</v>
      </c>
      <c r="AZ10" s="189">
        <v>6350562.5</v>
      </c>
      <c r="BA10" s="189">
        <v>10667991.02</v>
      </c>
      <c r="BB10" s="189">
        <v>6884375</v>
      </c>
      <c r="BC10" s="189">
        <v>13199379.74</v>
      </c>
      <c r="BD10" s="189">
        <v>8005797.5599999996</v>
      </c>
      <c r="BE10" s="189">
        <v>4424750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row>
    <row r="11" spans="1:82"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116</v>
      </c>
      <c r="B12" s="189">
        <v>879193067.00999999</v>
      </c>
      <c r="C12" s="189">
        <v>54701761.460000001</v>
      </c>
      <c r="D12" s="189">
        <v>45736774.259999998</v>
      </c>
      <c r="E12" s="189">
        <v>21131300.66</v>
      </c>
      <c r="F12" s="189">
        <v>40418418.960000001</v>
      </c>
      <c r="G12" s="189">
        <v>25246550.280000001</v>
      </c>
      <c r="H12" s="189">
        <v>31034384.079999998</v>
      </c>
      <c r="I12" s="189">
        <v>18782965.600000001</v>
      </c>
      <c r="J12" s="189">
        <v>76936616.310000002</v>
      </c>
      <c r="K12" s="189">
        <v>63325655.530000001</v>
      </c>
      <c r="L12" s="189">
        <v>32211234.280000001</v>
      </c>
      <c r="M12" s="189">
        <v>19436307.34</v>
      </c>
      <c r="N12" s="189">
        <v>34183309.530000001</v>
      </c>
      <c r="O12" s="189">
        <v>26192058.609999999</v>
      </c>
      <c r="P12" s="189">
        <v>37919746.390000001</v>
      </c>
      <c r="Q12" s="189">
        <v>19560121.190000001</v>
      </c>
      <c r="R12" s="189">
        <v>87106826.590000004</v>
      </c>
      <c r="S12" s="189">
        <v>29584864.93</v>
      </c>
      <c r="T12" s="189">
        <v>30281211.370000001</v>
      </c>
      <c r="U12" s="189">
        <v>23332076.120000001</v>
      </c>
      <c r="V12" s="189">
        <v>49944731.740000002</v>
      </c>
      <c r="W12" s="189">
        <v>36286298.670000002</v>
      </c>
      <c r="X12" s="189">
        <v>35140468.409999996</v>
      </c>
      <c r="Y12" s="189">
        <v>25692147.43</v>
      </c>
      <c r="Z12" s="189">
        <v>123598983.22</v>
      </c>
      <c r="AA12" s="189">
        <v>57451613.520000003</v>
      </c>
      <c r="AB12" s="189">
        <v>51875346.560000002</v>
      </c>
      <c r="AC12" s="189">
        <v>42779907.200000003</v>
      </c>
      <c r="AD12" s="189">
        <v>48946166.030000001</v>
      </c>
      <c r="AE12" s="189">
        <v>52250874.969999999</v>
      </c>
      <c r="AF12" s="189">
        <v>61979651.539999999</v>
      </c>
      <c r="AG12" s="189">
        <v>37700601.640000001</v>
      </c>
      <c r="AH12" s="189">
        <v>58541301.049999997</v>
      </c>
      <c r="AI12" s="189">
        <v>71438969.379999995</v>
      </c>
      <c r="AJ12" s="189">
        <v>97633444.069999993</v>
      </c>
      <c r="AK12" s="189">
        <v>68864328.269999996</v>
      </c>
      <c r="AL12" s="189">
        <v>50242987.810000002</v>
      </c>
      <c r="AM12" s="189">
        <v>29081736.34</v>
      </c>
      <c r="AN12" s="189">
        <v>37755192.710000001</v>
      </c>
      <c r="AO12" s="189">
        <v>25936687.260000002</v>
      </c>
      <c r="AP12" s="189">
        <v>29715469.859999999</v>
      </c>
      <c r="AQ12" s="189">
        <v>29105179.32</v>
      </c>
      <c r="AR12" s="189">
        <v>29268188.57</v>
      </c>
      <c r="AS12" s="189">
        <v>27592841.539999999</v>
      </c>
      <c r="AT12" s="189">
        <v>31841306.379999999</v>
      </c>
      <c r="AU12" s="189">
        <v>28274604.239999998</v>
      </c>
      <c r="AV12" s="189">
        <v>26532807.890000001</v>
      </c>
      <c r="AW12" s="189">
        <v>25060355.109999999</v>
      </c>
      <c r="AX12" s="189">
        <v>27389747.18</v>
      </c>
      <c r="AY12" s="189">
        <v>26737112.18</v>
      </c>
      <c r="AZ12" s="189">
        <v>27573851</v>
      </c>
      <c r="BA12" s="189">
        <v>25847449.93</v>
      </c>
      <c r="BB12" s="189">
        <v>27557665.949999999</v>
      </c>
      <c r="BC12" s="189">
        <v>27662132.690000001</v>
      </c>
      <c r="BD12" s="189">
        <v>7150137.2199999997</v>
      </c>
      <c r="BE12" s="189">
        <v>11566490.199999999</v>
      </c>
      <c r="BF12" s="189">
        <v>13473895.74</v>
      </c>
      <c r="BG12" s="189">
        <v>13602466.67</v>
      </c>
      <c r="BH12" s="189">
        <v>25097801.030000001</v>
      </c>
      <c r="BI12" s="189">
        <v>22812470.93</v>
      </c>
      <c r="BJ12" s="189">
        <v>22763656.050000001</v>
      </c>
      <c r="BK12" s="189">
        <v>24248360.920000002</v>
      </c>
      <c r="BL12" s="189">
        <v>49351830.579999998</v>
      </c>
      <c r="BM12" s="189">
        <v>14226681.33</v>
      </c>
      <c r="BN12" s="189">
        <v>81260234.730000004</v>
      </c>
      <c r="BO12" s="189">
        <v>97718320.129999995</v>
      </c>
      <c r="BP12" s="189">
        <v>108023655.18000001</v>
      </c>
      <c r="BQ12" s="189">
        <v>165468658.28</v>
      </c>
      <c r="BR12" s="189">
        <v>0</v>
      </c>
      <c r="BS12" s="189">
        <v>26270936.149999999</v>
      </c>
      <c r="BT12" s="189">
        <v>19840418.710000001</v>
      </c>
      <c r="BU12" s="189">
        <v>26316868.579999998</v>
      </c>
      <c r="BV12" s="189">
        <v>587428972.38</v>
      </c>
      <c r="BW12" s="189">
        <v>90645670.879999995</v>
      </c>
      <c r="BX12" s="189">
        <v>132720247.31</v>
      </c>
      <c r="BY12" s="189">
        <v>8383799.7400000002</v>
      </c>
      <c r="BZ12" s="189">
        <v>136036363.34</v>
      </c>
      <c r="CA12" s="189">
        <v>36862013.93</v>
      </c>
      <c r="CB12" s="189">
        <v>16618451.49</v>
      </c>
      <c r="CC12" s="189">
        <v>12844507.380000001</v>
      </c>
      <c r="CD12" s="189">
        <v>0</v>
      </c>
    </row>
    <row r="13" spans="1:82"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row>
    <row r="14" spans="1:82" x14ac:dyDescent="0.25">
      <c r="A14" s="189" t="s">
        <v>118</v>
      </c>
      <c r="B14" s="189">
        <v>11437518043.67</v>
      </c>
      <c r="C14" s="189">
        <v>11334058116.57</v>
      </c>
      <c r="D14" s="189">
        <v>10505467773.08</v>
      </c>
      <c r="E14" s="189">
        <v>10557801464.120001</v>
      </c>
      <c r="F14" s="189">
        <v>9913263627.9400005</v>
      </c>
      <c r="G14" s="189">
        <v>9627605128.6299992</v>
      </c>
      <c r="H14" s="189">
        <v>9364037239.7700005</v>
      </c>
      <c r="I14" s="189">
        <v>9257369374.4799995</v>
      </c>
      <c r="J14" s="189">
        <v>9442953679.8199997</v>
      </c>
      <c r="K14" s="189">
        <v>9355869460.9099998</v>
      </c>
      <c r="L14" s="189">
        <v>8929792868.5599995</v>
      </c>
      <c r="M14" s="189">
        <v>8700851179.5300007</v>
      </c>
      <c r="N14" s="189">
        <v>8530807984.9499998</v>
      </c>
      <c r="O14" s="189">
        <v>8507213622.3999996</v>
      </c>
      <c r="P14" s="189">
        <v>8253645529.4799995</v>
      </c>
      <c r="Q14" s="189">
        <v>8091488733.5600004</v>
      </c>
      <c r="R14" s="189">
        <v>7531491241.9899998</v>
      </c>
      <c r="S14" s="189">
        <v>7316591405.9399996</v>
      </c>
      <c r="T14" s="189">
        <v>7077955284.5699997</v>
      </c>
      <c r="U14" s="189">
        <v>6885585995.3900003</v>
      </c>
      <c r="V14" s="189">
        <v>6988166978.5200005</v>
      </c>
      <c r="W14" s="189">
        <v>6890600435.0699997</v>
      </c>
      <c r="X14" s="189">
        <v>6752485923.0600004</v>
      </c>
      <c r="Y14" s="189">
        <v>6680023737.3199997</v>
      </c>
      <c r="Z14" s="189">
        <v>6346798188.0900002</v>
      </c>
      <c r="AA14" s="189">
        <v>6080842217.1899996</v>
      </c>
      <c r="AB14" s="189">
        <v>5707586438.5799999</v>
      </c>
      <c r="AC14" s="189">
        <v>5536502482.54</v>
      </c>
      <c r="AD14" s="189">
        <v>4860415255.9099998</v>
      </c>
      <c r="AE14" s="189">
        <v>4835039413.5500002</v>
      </c>
      <c r="AF14" s="189">
        <v>4551014859.0900002</v>
      </c>
      <c r="AG14" s="189">
        <v>4514778551.6300001</v>
      </c>
      <c r="AH14" s="189">
        <v>4012206493.4699998</v>
      </c>
      <c r="AI14" s="189">
        <v>4009234951.54</v>
      </c>
      <c r="AJ14" s="189">
        <v>3756438574.9499998</v>
      </c>
      <c r="AK14" s="189">
        <v>3476844741.04</v>
      </c>
      <c r="AL14" s="189">
        <v>3264420284.7800002</v>
      </c>
      <c r="AM14" s="189">
        <v>3219922001.1799998</v>
      </c>
      <c r="AN14" s="189">
        <v>2084787694.03</v>
      </c>
      <c r="AO14" s="189">
        <v>2076930883.6099999</v>
      </c>
      <c r="AP14" s="189">
        <v>1915649161.1700001</v>
      </c>
      <c r="AQ14" s="189">
        <v>1891491824.8299999</v>
      </c>
      <c r="AR14" s="189">
        <v>1740967246.4100001</v>
      </c>
      <c r="AS14" s="189">
        <v>1805867257.73</v>
      </c>
      <c r="AT14" s="189">
        <v>1630465329.8499999</v>
      </c>
      <c r="AU14" s="189">
        <v>1660895359.1300001</v>
      </c>
      <c r="AV14" s="189">
        <v>1485234639.98</v>
      </c>
      <c r="AW14" s="189">
        <v>1508022529.5899999</v>
      </c>
      <c r="AX14" s="189">
        <v>1424746013.72</v>
      </c>
      <c r="AY14" s="189">
        <v>1509173104.5999999</v>
      </c>
      <c r="AZ14" s="189">
        <v>1543267261.29</v>
      </c>
      <c r="BA14" s="189">
        <v>1449461394.5699999</v>
      </c>
      <c r="BB14" s="189">
        <v>1373053158.5599999</v>
      </c>
      <c r="BC14" s="189">
        <v>1313056259.1199999</v>
      </c>
      <c r="BD14" s="189">
        <v>1447514700.6900001</v>
      </c>
      <c r="BE14" s="189">
        <v>1375514738.79</v>
      </c>
      <c r="BF14" s="189">
        <v>1334464661.9300001</v>
      </c>
      <c r="BG14" s="189">
        <v>1257081230</v>
      </c>
      <c r="BH14" s="189">
        <v>1114274704.9100001</v>
      </c>
      <c r="BI14" s="189">
        <v>1092522751.3199999</v>
      </c>
      <c r="BJ14" s="189">
        <v>980722281.51999998</v>
      </c>
      <c r="BK14" s="189">
        <v>895371219.82000005</v>
      </c>
      <c r="BL14" s="189">
        <v>931357053.15999997</v>
      </c>
      <c r="BM14" s="189">
        <v>958709328.83000004</v>
      </c>
      <c r="BN14" s="189">
        <v>1485944703.75</v>
      </c>
      <c r="BO14" s="189">
        <v>936722057.44000006</v>
      </c>
      <c r="BP14" s="189">
        <v>958050682.25</v>
      </c>
      <c r="BQ14" s="189">
        <v>1308727394.73</v>
      </c>
      <c r="BR14" s="189">
        <v>0</v>
      </c>
      <c r="BS14" s="189">
        <v>894969989.32000005</v>
      </c>
      <c r="BT14" s="189">
        <v>578141921.86000001</v>
      </c>
      <c r="BU14" s="189">
        <v>972147455.64999998</v>
      </c>
      <c r="BV14" s="189">
        <v>576645619.39999998</v>
      </c>
      <c r="BW14" s="189">
        <v>630729514.10000002</v>
      </c>
      <c r="BX14" s="189">
        <v>436495272.38</v>
      </c>
      <c r="BY14" s="189">
        <v>552805762.85000002</v>
      </c>
      <c r="BZ14" s="189">
        <v>553526408.04999995</v>
      </c>
      <c r="CA14" s="189">
        <v>609545054.58000004</v>
      </c>
      <c r="CB14" s="189">
        <v>536879605.17999995</v>
      </c>
      <c r="CC14" s="189">
        <v>467186347.06</v>
      </c>
      <c r="CD14" s="189">
        <v>0</v>
      </c>
    </row>
    <row r="15" spans="1:82"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row>
    <row r="17" spans="1:82"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0</v>
      </c>
      <c r="AY17" s="189">
        <v>0</v>
      </c>
      <c r="AZ17" s="189">
        <v>0</v>
      </c>
      <c r="BA17" s="189">
        <v>0</v>
      </c>
      <c r="BB17" s="189">
        <v>0</v>
      </c>
      <c r="BC17" s="189">
        <v>0</v>
      </c>
      <c r="BD17" s="189">
        <v>0</v>
      </c>
      <c r="BE17" s="189">
        <v>0</v>
      </c>
      <c r="BF17" s="189">
        <v>0</v>
      </c>
      <c r="BG17" s="189">
        <v>0</v>
      </c>
      <c r="BH17" s="189">
        <v>0</v>
      </c>
      <c r="BI17" s="189">
        <v>0</v>
      </c>
      <c r="BJ17" s="189">
        <v>0</v>
      </c>
      <c r="BK17" s="189">
        <v>0</v>
      </c>
      <c r="BL17" s="189">
        <v>0</v>
      </c>
      <c r="BM17" s="189">
        <v>0</v>
      </c>
      <c r="BN17" s="189">
        <v>33063.199999999997</v>
      </c>
      <c r="BO17" s="189">
        <v>52901.120000000003</v>
      </c>
      <c r="BP17" s="189">
        <v>72739.039999999994</v>
      </c>
      <c r="BQ17" s="189">
        <v>13225.28</v>
      </c>
      <c r="BR17" s="189">
        <v>0</v>
      </c>
      <c r="BS17" s="189">
        <v>52901.120000000003</v>
      </c>
      <c r="BT17" s="189">
        <v>72739.039999999994</v>
      </c>
      <c r="BU17" s="189">
        <v>0</v>
      </c>
      <c r="BV17" s="189">
        <v>95138.16</v>
      </c>
      <c r="BW17" s="189">
        <v>0</v>
      </c>
      <c r="BX17" s="189">
        <v>332199.55</v>
      </c>
      <c r="BY17" s="189">
        <v>664399.15</v>
      </c>
      <c r="BZ17" s="189">
        <v>19518958.670000002</v>
      </c>
      <c r="CA17" s="189">
        <v>3487944.55</v>
      </c>
      <c r="CB17" s="189">
        <v>1621937.48</v>
      </c>
      <c r="CC17" s="189">
        <v>12336323.48</v>
      </c>
      <c r="CD17" s="189">
        <v>0</v>
      </c>
    </row>
    <row r="18" spans="1:82"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row>
    <row r="19" spans="1:82" x14ac:dyDescent="0.25">
      <c r="A19" s="189" t="s">
        <v>123</v>
      </c>
      <c r="B19" s="189">
        <v>0</v>
      </c>
      <c r="C19" s="189">
        <v>0</v>
      </c>
      <c r="D19" s="189">
        <v>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146460.91</v>
      </c>
      <c r="BU19" s="189">
        <v>0</v>
      </c>
      <c r="BV19" s="189">
        <v>0</v>
      </c>
      <c r="BW19" s="189">
        <v>0</v>
      </c>
      <c r="BX19" s="189">
        <v>0</v>
      </c>
      <c r="BY19" s="189">
        <v>0</v>
      </c>
      <c r="BZ19" s="189">
        <v>0</v>
      </c>
      <c r="CA19" s="189">
        <v>0</v>
      </c>
      <c r="CB19" s="189">
        <v>0</v>
      </c>
      <c r="CC19" s="189">
        <v>0</v>
      </c>
      <c r="CD19" s="189">
        <v>0</v>
      </c>
    </row>
    <row r="20" spans="1:82" x14ac:dyDescent="0.25">
      <c r="A20" s="189" t="s">
        <v>124</v>
      </c>
      <c r="B20" s="189">
        <v>68105116085.459999</v>
      </c>
      <c r="C20" s="189">
        <v>72325440705.179993</v>
      </c>
      <c r="D20" s="189">
        <v>71899689562.5</v>
      </c>
      <c r="E20" s="189">
        <v>63279701075.650002</v>
      </c>
      <c r="F20" s="189">
        <v>58549549301.129997</v>
      </c>
      <c r="G20" s="189">
        <v>56830438021.839996</v>
      </c>
      <c r="H20" s="189">
        <v>60211018993.580002</v>
      </c>
      <c r="I20" s="189">
        <v>54504540073.059998</v>
      </c>
      <c r="J20" s="189">
        <v>52627273144.959999</v>
      </c>
      <c r="K20" s="189">
        <v>52162595554.879997</v>
      </c>
      <c r="L20" s="189">
        <v>53120987031.650002</v>
      </c>
      <c r="M20" s="189">
        <v>44597411226.190002</v>
      </c>
      <c r="N20" s="189">
        <v>40477305520.879997</v>
      </c>
      <c r="O20" s="189">
        <v>39523919481.400002</v>
      </c>
      <c r="P20" s="189">
        <v>40812905462.720001</v>
      </c>
      <c r="Q20" s="189">
        <v>38500080935.400002</v>
      </c>
      <c r="R20" s="189">
        <v>36806019011.080002</v>
      </c>
      <c r="S20" s="189">
        <v>37042608453.330002</v>
      </c>
      <c r="T20" s="189">
        <v>39574777360.809998</v>
      </c>
      <c r="U20" s="189">
        <v>36942220104.970001</v>
      </c>
      <c r="V20" s="189">
        <v>36677010962.709999</v>
      </c>
      <c r="W20" s="189">
        <v>37746920052.5</v>
      </c>
      <c r="X20" s="189">
        <v>39190355773.18</v>
      </c>
      <c r="Y20" s="189">
        <v>37922333462.099998</v>
      </c>
      <c r="Z20" s="189">
        <v>34772646328.550003</v>
      </c>
      <c r="AA20" s="189">
        <v>32486014255.610001</v>
      </c>
      <c r="AB20" s="189">
        <v>31683335467.830002</v>
      </c>
      <c r="AC20" s="189">
        <v>29713141282.560001</v>
      </c>
      <c r="AD20" s="189">
        <v>26099837264.610001</v>
      </c>
      <c r="AE20" s="189">
        <v>25194992704.029999</v>
      </c>
      <c r="AF20" s="189">
        <v>23793333781.27</v>
      </c>
      <c r="AG20" s="189">
        <v>21369714857.57</v>
      </c>
      <c r="AH20" s="189">
        <v>17294767958.419998</v>
      </c>
      <c r="AI20" s="189">
        <v>15814295707.879999</v>
      </c>
      <c r="AJ20" s="189">
        <v>15300974758.690001</v>
      </c>
      <c r="AK20" s="189">
        <v>13282916685.76</v>
      </c>
      <c r="AL20" s="189">
        <v>11306181812.139999</v>
      </c>
      <c r="AM20" s="189">
        <v>8903212679.0599995</v>
      </c>
      <c r="AN20" s="189">
        <v>9622001997.6900005</v>
      </c>
      <c r="AO20" s="189">
        <v>8741552060.1100006</v>
      </c>
      <c r="AP20" s="189">
        <v>8337467849.8800001</v>
      </c>
      <c r="AQ20" s="189">
        <v>7541278233.1700001</v>
      </c>
      <c r="AR20" s="189">
        <v>7478516127.0200005</v>
      </c>
      <c r="AS20" s="189">
        <v>6483891981.71</v>
      </c>
      <c r="AT20" s="189">
        <v>6889920157.3000002</v>
      </c>
      <c r="AU20" s="189">
        <v>6412053448.0200005</v>
      </c>
      <c r="AV20" s="189">
        <v>6108740733.5500002</v>
      </c>
      <c r="AW20" s="189">
        <v>5030755354.6099997</v>
      </c>
      <c r="AX20" s="189">
        <v>4838670607.1400003</v>
      </c>
      <c r="AY20" s="189">
        <v>4441105168.6099997</v>
      </c>
      <c r="AZ20" s="189">
        <v>4962194966.79</v>
      </c>
      <c r="BA20" s="189">
        <v>4112770249.8800001</v>
      </c>
      <c r="BB20" s="189">
        <v>3949118000.0500002</v>
      </c>
      <c r="BC20" s="189">
        <v>3822276176.3099999</v>
      </c>
      <c r="BD20" s="189">
        <v>3361788929.54</v>
      </c>
      <c r="BE20" s="189">
        <v>2969540780.71</v>
      </c>
      <c r="BF20" s="189">
        <v>3365622124.8699999</v>
      </c>
      <c r="BG20" s="189">
        <v>3143506399.9099998</v>
      </c>
      <c r="BH20" s="189">
        <v>3443403401.7800002</v>
      </c>
      <c r="BI20" s="189">
        <v>2675222813.8099999</v>
      </c>
      <c r="BJ20" s="189">
        <v>2849423473.4000001</v>
      </c>
      <c r="BK20" s="189">
        <v>2770924639</v>
      </c>
      <c r="BL20" s="189">
        <v>3044260865.8600001</v>
      </c>
      <c r="BM20" s="189">
        <v>2740958450.98</v>
      </c>
      <c r="BN20" s="189">
        <v>3509019594.21</v>
      </c>
      <c r="BO20" s="189">
        <v>3154799277.6500001</v>
      </c>
      <c r="BP20" s="189">
        <v>3194472143.96</v>
      </c>
      <c r="BQ20" s="189">
        <v>3129334514.8899999</v>
      </c>
      <c r="BR20" s="189">
        <v>3482030000</v>
      </c>
      <c r="BS20" s="189">
        <v>2769167947.8899999</v>
      </c>
      <c r="BT20" s="189">
        <v>3544336193.5</v>
      </c>
      <c r="BU20" s="189">
        <v>2935101823.1399999</v>
      </c>
      <c r="BV20" s="189">
        <v>2353158193.4400001</v>
      </c>
      <c r="BW20" s="189">
        <v>2564056794.6900001</v>
      </c>
      <c r="BX20" s="189">
        <v>1959596697.1600001</v>
      </c>
      <c r="BY20" s="189">
        <v>1853942602.4300001</v>
      </c>
      <c r="BZ20" s="189">
        <v>1760093155.9400001</v>
      </c>
      <c r="CA20" s="189">
        <v>866175420.24000001</v>
      </c>
      <c r="CB20" s="189">
        <v>603983566.05999994</v>
      </c>
      <c r="CC20" s="189">
        <v>551165058.5</v>
      </c>
      <c r="CD20" s="189">
        <v>0</v>
      </c>
    </row>
    <row r="21" spans="1:82" x14ac:dyDescent="0.25">
      <c r="A21" s="189" t="s">
        <v>125</v>
      </c>
    </row>
    <row r="22" spans="1:82"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row>
    <row r="23" spans="1:82" x14ac:dyDescent="0.25">
      <c r="A23" s="189" t="s">
        <v>127</v>
      </c>
      <c r="B23" s="189">
        <v>1200000</v>
      </c>
      <c r="C23" s="189">
        <v>1200000</v>
      </c>
      <c r="D23" s="189">
        <v>1200000</v>
      </c>
      <c r="E23" s="189">
        <v>1200000</v>
      </c>
      <c r="F23" s="189">
        <v>1200000</v>
      </c>
      <c r="G23" s="189">
        <v>1200000</v>
      </c>
      <c r="H23" s="189">
        <v>1200000</v>
      </c>
      <c r="I23" s="189">
        <v>1200000</v>
      </c>
      <c r="J23" s="189">
        <v>1200000</v>
      </c>
      <c r="K23" s="189">
        <v>1200000</v>
      </c>
      <c r="L23" s="189">
        <v>1200000</v>
      </c>
      <c r="M23" s="189">
        <v>1200000</v>
      </c>
      <c r="N23" s="189">
        <v>1200000</v>
      </c>
      <c r="O23" s="189">
        <v>1200000</v>
      </c>
      <c r="P23" s="189">
        <v>1200000</v>
      </c>
      <c r="Q23" s="189">
        <v>1200000</v>
      </c>
      <c r="R23" s="189">
        <v>1200000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row>
    <row r="24" spans="1:82"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c r="BQ24" s="189">
        <v>0</v>
      </c>
      <c r="BR24" s="189">
        <v>0</v>
      </c>
      <c r="BS24" s="189">
        <v>0</v>
      </c>
      <c r="BT24" s="189">
        <v>0</v>
      </c>
      <c r="BU24" s="189">
        <v>0</v>
      </c>
      <c r="BV24" s="189">
        <v>0</v>
      </c>
      <c r="BW24" s="189">
        <v>0</v>
      </c>
      <c r="BX24" s="189">
        <v>0</v>
      </c>
      <c r="BY24" s="189">
        <v>0</v>
      </c>
      <c r="BZ24" s="189">
        <v>0</v>
      </c>
      <c r="CA24" s="189">
        <v>0</v>
      </c>
      <c r="CB24" s="189">
        <v>0</v>
      </c>
      <c r="CC24" s="189">
        <v>0</v>
      </c>
      <c r="CD24" s="189">
        <v>0</v>
      </c>
    </row>
    <row r="25" spans="1:82"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row>
    <row r="26" spans="1:82" x14ac:dyDescent="0.25">
      <c r="A26" s="189" t="s">
        <v>130</v>
      </c>
      <c r="B26" s="189">
        <v>876952840.72000003</v>
      </c>
      <c r="C26" s="189">
        <v>912952840.72000003</v>
      </c>
      <c r="D26" s="189">
        <v>862854004.09000003</v>
      </c>
      <c r="E26" s="189">
        <v>862854004.09000003</v>
      </c>
      <c r="F26" s="189">
        <v>817039621.86000001</v>
      </c>
      <c r="G26" s="189">
        <v>817039621.86000001</v>
      </c>
      <c r="H26" s="189">
        <v>794643093.01999998</v>
      </c>
      <c r="I26" s="189">
        <v>794643093.01999998</v>
      </c>
      <c r="J26" s="189">
        <v>776343407.57000005</v>
      </c>
      <c r="K26" s="189">
        <v>777443407.57000005</v>
      </c>
      <c r="L26" s="189">
        <v>866009462.48000002</v>
      </c>
      <c r="M26" s="189">
        <v>902009462.48000002</v>
      </c>
      <c r="N26" s="189">
        <v>879809253.45000005</v>
      </c>
      <c r="O26" s="189">
        <v>879809253.45000005</v>
      </c>
      <c r="P26" s="189">
        <v>867864898.53999996</v>
      </c>
      <c r="Q26" s="189">
        <v>867864898.53999996</v>
      </c>
      <c r="R26" s="189">
        <v>847613095.01999998</v>
      </c>
      <c r="S26" s="189">
        <v>834813095.01999998</v>
      </c>
      <c r="T26" s="189">
        <v>840577356.5</v>
      </c>
      <c r="U26" s="189">
        <v>120577356.5</v>
      </c>
      <c r="V26" s="189">
        <v>113813089.69</v>
      </c>
      <c r="W26" s="189">
        <v>113939689.69</v>
      </c>
      <c r="X26" s="189">
        <v>120137513.77</v>
      </c>
      <c r="Y26" s="189">
        <v>120351122.77</v>
      </c>
      <c r="Z26" s="189">
        <v>116553819.92</v>
      </c>
      <c r="AA26" s="189">
        <v>116553819.92</v>
      </c>
      <c r="AB26" s="189">
        <v>120875383.31</v>
      </c>
      <c r="AC26" s="189">
        <v>130875383.31</v>
      </c>
      <c r="AD26" s="189">
        <v>126434622.69</v>
      </c>
      <c r="AE26" s="189">
        <v>28434622.690000001</v>
      </c>
      <c r="AF26" s="189">
        <v>32524090.850000001</v>
      </c>
      <c r="AG26" s="189">
        <v>32524090.850000001</v>
      </c>
      <c r="AH26" s="189">
        <v>67796988.840000004</v>
      </c>
      <c r="AI26" s="189">
        <v>25796988.84</v>
      </c>
      <c r="AJ26" s="189">
        <v>29979154.25</v>
      </c>
      <c r="AK26" s="189">
        <v>29979054.25</v>
      </c>
      <c r="AL26" s="189">
        <v>25057697.460000001</v>
      </c>
      <c r="AM26" s="189">
        <v>25057697.460000001</v>
      </c>
      <c r="AN26" s="189">
        <v>27470267.23</v>
      </c>
      <c r="AO26" s="189">
        <v>27470267.23</v>
      </c>
      <c r="AP26" s="189">
        <v>24961576.43</v>
      </c>
      <c r="AQ26" s="189">
        <v>24961576.43</v>
      </c>
      <c r="AR26" s="189">
        <v>26391145.920000002</v>
      </c>
      <c r="AS26" s="189">
        <v>26391145.920000002</v>
      </c>
      <c r="AT26" s="189">
        <v>23748167.739999998</v>
      </c>
      <c r="AU26" s="189">
        <v>23748167.739999998</v>
      </c>
      <c r="AV26" s="189">
        <v>26391145.920000002</v>
      </c>
      <c r="AW26" s="189">
        <v>26391145.920000002</v>
      </c>
      <c r="AX26" s="189">
        <v>26684924.460000001</v>
      </c>
      <c r="AY26" s="189">
        <v>26747904.73</v>
      </c>
      <c r="AZ26" s="189">
        <v>27119534.640000001</v>
      </c>
      <c r="BA26" s="189">
        <v>27119534.640000001</v>
      </c>
      <c r="BB26" s="189">
        <v>30576600</v>
      </c>
      <c r="BC26" s="189">
        <v>30576600</v>
      </c>
      <c r="BD26" s="189">
        <v>13426600</v>
      </c>
      <c r="BE26" s="189">
        <v>3426600</v>
      </c>
      <c r="BF26" s="189">
        <v>7976600</v>
      </c>
      <c r="BG26" s="189">
        <v>3426600</v>
      </c>
      <c r="BH26" s="189">
        <v>3426600</v>
      </c>
      <c r="BI26" s="189">
        <v>3426600</v>
      </c>
      <c r="BJ26" s="189">
        <v>3656600</v>
      </c>
      <c r="BK26" s="189">
        <v>3656600</v>
      </c>
      <c r="BL26" s="189">
        <v>3656600</v>
      </c>
      <c r="BM26" s="189">
        <v>3656600</v>
      </c>
      <c r="BN26" s="189">
        <v>3656600</v>
      </c>
      <c r="BO26" s="189">
        <v>3656600</v>
      </c>
      <c r="BP26" s="189">
        <v>3656600</v>
      </c>
      <c r="BQ26" s="189">
        <v>3656600</v>
      </c>
      <c r="BR26" s="189">
        <v>0</v>
      </c>
      <c r="BS26" s="189">
        <v>5656600</v>
      </c>
      <c r="BT26" s="189">
        <v>5806600</v>
      </c>
      <c r="BU26" s="189">
        <v>5806600</v>
      </c>
      <c r="BV26" s="189">
        <v>5406600</v>
      </c>
      <c r="BW26" s="189">
        <v>3506600</v>
      </c>
      <c r="BX26" s="189">
        <v>0</v>
      </c>
      <c r="BY26" s="189">
        <v>0</v>
      </c>
      <c r="BZ26" s="189">
        <v>0</v>
      </c>
      <c r="CA26" s="189">
        <v>0</v>
      </c>
      <c r="CB26" s="189">
        <v>0</v>
      </c>
      <c r="CC26" s="189">
        <v>0</v>
      </c>
      <c r="CD26" s="189">
        <v>0</v>
      </c>
    </row>
    <row r="27" spans="1:82"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132</v>
      </c>
      <c r="B28" s="189">
        <v>5282593649.3400002</v>
      </c>
      <c r="C28" s="189">
        <v>5342671729.5299997</v>
      </c>
      <c r="D28" s="189">
        <v>5210283730.3500004</v>
      </c>
      <c r="E28" s="189">
        <v>5292583427.1999998</v>
      </c>
      <c r="F28" s="189">
        <v>5277803007.6599998</v>
      </c>
      <c r="G28" s="189">
        <v>5310208763.0200005</v>
      </c>
      <c r="H28" s="189">
        <v>5357774717.21</v>
      </c>
      <c r="I28" s="189">
        <v>5431085733.1599998</v>
      </c>
      <c r="J28" s="189">
        <v>5075825005.04</v>
      </c>
      <c r="K28" s="189">
        <v>5178721783.9899998</v>
      </c>
      <c r="L28" s="189">
        <v>5243340408.9499998</v>
      </c>
      <c r="M28" s="189">
        <v>5347549946.8800001</v>
      </c>
      <c r="N28" s="189">
        <v>5447067768.5299997</v>
      </c>
      <c r="O28" s="189">
        <v>5569494294.8800001</v>
      </c>
      <c r="P28" s="189">
        <v>5561162652.8900003</v>
      </c>
      <c r="Q28" s="189">
        <v>5676482317.6499996</v>
      </c>
      <c r="R28" s="189">
        <v>5714480502.4799995</v>
      </c>
      <c r="S28" s="189">
        <v>5618349275.9399996</v>
      </c>
      <c r="T28" s="189">
        <v>5746016698.6599998</v>
      </c>
      <c r="U28" s="189">
        <v>5882125515.1599998</v>
      </c>
      <c r="V28" s="189">
        <v>5496333315.8199997</v>
      </c>
      <c r="W28" s="189">
        <v>5636878064.6800003</v>
      </c>
      <c r="X28" s="189">
        <v>5760836594.4499998</v>
      </c>
      <c r="Y28" s="189">
        <v>5497236500.9799995</v>
      </c>
      <c r="Z28" s="189">
        <v>5477857707.71</v>
      </c>
      <c r="AA28" s="189">
        <v>5608943204.5600004</v>
      </c>
      <c r="AB28" s="189">
        <v>5775442018.75</v>
      </c>
      <c r="AC28" s="189">
        <v>5905055195.5</v>
      </c>
      <c r="AD28" s="189">
        <v>6066038876.1300001</v>
      </c>
      <c r="AE28" s="189">
        <v>6178043190.9700003</v>
      </c>
      <c r="AF28" s="189">
        <v>6212189646.3800001</v>
      </c>
      <c r="AG28" s="189">
        <v>6373457302.8599997</v>
      </c>
      <c r="AH28" s="189">
        <v>6538960841.9200001</v>
      </c>
      <c r="AI28" s="189">
        <v>6686192245.9099998</v>
      </c>
      <c r="AJ28" s="189">
        <v>6807745494.1300001</v>
      </c>
      <c r="AK28" s="189">
        <v>6935927656.6199999</v>
      </c>
      <c r="AL28" s="189">
        <v>6725076984.0900002</v>
      </c>
      <c r="AM28" s="189">
        <v>6866972825.3900003</v>
      </c>
      <c r="AN28" s="189">
        <v>4245800806.3699999</v>
      </c>
      <c r="AO28" s="189">
        <v>4334380905.8800001</v>
      </c>
      <c r="AP28" s="189">
        <v>4608271296.8800001</v>
      </c>
      <c r="AQ28" s="189">
        <v>4711785850.8299999</v>
      </c>
      <c r="AR28" s="189">
        <v>4608423992.0200005</v>
      </c>
      <c r="AS28" s="189">
        <v>4670657791.3599997</v>
      </c>
      <c r="AT28" s="189">
        <v>4934237086.5299997</v>
      </c>
      <c r="AU28" s="189">
        <v>5019279783.0500002</v>
      </c>
      <c r="AV28" s="189">
        <v>5082147090.9300003</v>
      </c>
      <c r="AW28" s="189">
        <v>5193905238.7700005</v>
      </c>
      <c r="AX28" s="189">
        <v>5289844741.3100004</v>
      </c>
      <c r="AY28" s="189">
        <v>5356101803.7600002</v>
      </c>
      <c r="AZ28" s="189">
        <v>5272215535.1000004</v>
      </c>
      <c r="BA28" s="189">
        <v>5378990872.5299997</v>
      </c>
      <c r="BB28" s="189">
        <v>5451346214.2799997</v>
      </c>
      <c r="BC28" s="189">
        <v>5569703297.2299995</v>
      </c>
      <c r="BD28" s="189">
        <v>5601605514.1899996</v>
      </c>
      <c r="BE28" s="189">
        <v>5647276968.4899998</v>
      </c>
      <c r="BF28" s="189">
        <v>4692216694</v>
      </c>
      <c r="BG28" s="189">
        <v>4779198241.9799995</v>
      </c>
      <c r="BH28" s="189">
        <v>4855612116.8599997</v>
      </c>
      <c r="BI28" s="189">
        <v>4896279236.6899996</v>
      </c>
      <c r="BJ28" s="189">
        <v>3680362197.46</v>
      </c>
      <c r="BK28" s="189">
        <v>3766242267.48</v>
      </c>
      <c r="BL28" s="189">
        <v>3559955468.8299999</v>
      </c>
      <c r="BM28" s="189">
        <v>3602003201.1100001</v>
      </c>
      <c r="BN28" s="189">
        <v>3417705127.8600001</v>
      </c>
      <c r="BO28" s="189">
        <v>3445620147.3200002</v>
      </c>
      <c r="BP28" s="189">
        <v>3047036752.3400002</v>
      </c>
      <c r="BQ28" s="189">
        <v>3074187958.48</v>
      </c>
      <c r="BR28" s="189">
        <v>0</v>
      </c>
      <c r="BS28" s="189">
        <v>2996112005.8499999</v>
      </c>
      <c r="BT28" s="189">
        <v>1326479175.75</v>
      </c>
      <c r="BU28" s="189">
        <v>1220622570.2</v>
      </c>
      <c r="BV28" s="189">
        <v>1245325894.1400001</v>
      </c>
      <c r="BW28" s="189">
        <v>1205088242.78</v>
      </c>
      <c r="BX28" s="189">
        <v>773054420.82000005</v>
      </c>
      <c r="BY28" s="189">
        <v>800607155.58000004</v>
      </c>
      <c r="BZ28" s="189">
        <v>455849033.79000002</v>
      </c>
      <c r="CA28" s="189">
        <v>225513764.90000001</v>
      </c>
      <c r="CB28" s="189">
        <v>222897373.97999999</v>
      </c>
      <c r="CC28" s="189">
        <v>158461384.13999999</v>
      </c>
      <c r="CD28" s="189">
        <v>0</v>
      </c>
    </row>
    <row r="29" spans="1:82" x14ac:dyDescent="0.25">
      <c r="A29" s="189" t="s">
        <v>133</v>
      </c>
      <c r="B29" s="189">
        <v>308092704</v>
      </c>
      <c r="C29" s="189">
        <v>289649202.87</v>
      </c>
      <c r="D29" s="189">
        <v>461106398.14999998</v>
      </c>
      <c r="E29" s="189">
        <v>271653749.52999997</v>
      </c>
      <c r="F29" s="189">
        <v>293854009.37</v>
      </c>
      <c r="G29" s="189">
        <v>324538161.11000001</v>
      </c>
      <c r="H29" s="189">
        <v>348440047.02999997</v>
      </c>
      <c r="I29" s="189">
        <v>292881811.61000001</v>
      </c>
      <c r="J29" s="189">
        <v>679794179</v>
      </c>
      <c r="K29" s="189">
        <v>651606385.32000005</v>
      </c>
      <c r="L29" s="189">
        <v>621285037.23000002</v>
      </c>
      <c r="M29" s="189">
        <v>554771287.60000002</v>
      </c>
      <c r="N29" s="189">
        <v>515231211.56</v>
      </c>
      <c r="O29" s="189">
        <v>442337179.86000001</v>
      </c>
      <c r="P29" s="189">
        <v>461155792.07999998</v>
      </c>
      <c r="Q29" s="189">
        <v>384533672.73000002</v>
      </c>
      <c r="R29" s="189">
        <v>389754043.56</v>
      </c>
      <c r="S29" s="189">
        <v>375618975.69</v>
      </c>
      <c r="T29" s="189">
        <v>293040488.70999998</v>
      </c>
      <c r="U29" s="189">
        <v>223094343.47999999</v>
      </c>
      <c r="V29" s="189">
        <v>683382375.25999999</v>
      </c>
      <c r="W29" s="189">
        <v>599153056.07000005</v>
      </c>
      <c r="X29" s="189">
        <v>577888903.21000004</v>
      </c>
      <c r="Y29" s="189">
        <v>855585255.33000004</v>
      </c>
      <c r="Z29" s="189">
        <v>986738283.25</v>
      </c>
      <c r="AA29" s="189">
        <v>966002053.88</v>
      </c>
      <c r="AB29" s="189">
        <v>910719299.58000004</v>
      </c>
      <c r="AC29" s="189">
        <v>787493319.77999997</v>
      </c>
      <c r="AD29" s="189">
        <v>652572593.78999996</v>
      </c>
      <c r="AE29" s="189">
        <v>633703948.47000003</v>
      </c>
      <c r="AF29" s="189">
        <v>603595798.02999997</v>
      </c>
      <c r="AG29" s="189">
        <v>514643508.64999998</v>
      </c>
      <c r="AH29" s="189">
        <v>413532910.43000001</v>
      </c>
      <c r="AI29" s="189">
        <v>353532910.43000001</v>
      </c>
      <c r="AJ29" s="189">
        <v>271382910.43000001</v>
      </c>
      <c r="AK29" s="189">
        <v>218457910.43000001</v>
      </c>
      <c r="AL29" s="189">
        <v>456047491.41000003</v>
      </c>
      <c r="AM29" s="189">
        <v>422932472.19999999</v>
      </c>
      <c r="AN29" s="189">
        <v>411554268.08999997</v>
      </c>
      <c r="AO29" s="189">
        <v>327723836.08999997</v>
      </c>
      <c r="AP29" s="189">
        <v>129382571.26000001</v>
      </c>
      <c r="AQ29" s="189">
        <v>129382571.26000001</v>
      </c>
      <c r="AR29" s="189">
        <v>279097163.50999999</v>
      </c>
      <c r="AS29" s="189">
        <v>322898322.74000001</v>
      </c>
      <c r="AT29" s="189">
        <v>91207611.170000002</v>
      </c>
      <c r="AU29" s="189">
        <v>52207611.170000002</v>
      </c>
      <c r="AV29" s="189">
        <v>50577836.869999997</v>
      </c>
      <c r="AW29" s="189">
        <v>18177836.870000001</v>
      </c>
      <c r="AX29" s="189">
        <v>30237841.699999999</v>
      </c>
      <c r="AY29" s="189">
        <v>29552394.699999999</v>
      </c>
      <c r="AZ29" s="189">
        <v>29552394.699999999</v>
      </c>
      <c r="BA29" s="189">
        <v>29552394.699999999</v>
      </c>
      <c r="BB29" s="189">
        <v>29567210.289999999</v>
      </c>
      <c r="BC29" s="189">
        <v>29567210.289999999</v>
      </c>
      <c r="BD29" s="189">
        <v>97643076.810000002</v>
      </c>
      <c r="BE29" s="189">
        <v>123043076.81</v>
      </c>
      <c r="BF29" s="189">
        <v>665769611.87</v>
      </c>
      <c r="BG29" s="189">
        <v>668969611.87</v>
      </c>
      <c r="BH29" s="189">
        <v>660331699.49000001</v>
      </c>
      <c r="BI29" s="189">
        <v>619018667.15999997</v>
      </c>
      <c r="BJ29" s="189">
        <v>1419518505.3099999</v>
      </c>
      <c r="BK29" s="189">
        <v>700560718.25999999</v>
      </c>
      <c r="BL29" s="189">
        <v>844818644.94000006</v>
      </c>
      <c r="BM29" s="189">
        <v>844818644.94000006</v>
      </c>
      <c r="BN29" s="189">
        <v>126894081.58</v>
      </c>
      <c r="BO29" s="189">
        <v>162667645.38999999</v>
      </c>
      <c r="BP29" s="189">
        <v>399832678.99000001</v>
      </c>
      <c r="BQ29" s="189">
        <v>407129955.11000001</v>
      </c>
      <c r="BR29" s="189">
        <v>0</v>
      </c>
      <c r="BS29" s="189">
        <v>460000000</v>
      </c>
      <c r="BT29" s="189">
        <v>375089152.60000002</v>
      </c>
      <c r="BU29" s="189">
        <v>375088852.60000002</v>
      </c>
      <c r="BV29" s="189">
        <v>375087726.19999999</v>
      </c>
      <c r="BW29" s="189">
        <v>88107716.200000003</v>
      </c>
      <c r="BX29" s="189">
        <v>24500000</v>
      </c>
      <c r="BY29" s="189">
        <v>21500000</v>
      </c>
      <c r="BZ29" s="189">
        <v>273299036</v>
      </c>
      <c r="CA29" s="189">
        <v>0</v>
      </c>
      <c r="CB29" s="189">
        <v>0</v>
      </c>
      <c r="CC29" s="189">
        <v>0</v>
      </c>
      <c r="CD29" s="189">
        <v>0</v>
      </c>
    </row>
    <row r="30" spans="1:82" x14ac:dyDescent="0.25">
      <c r="A30" s="189" t="s">
        <v>134</v>
      </c>
      <c r="B30" s="189">
        <v>0</v>
      </c>
      <c r="C30" s="189">
        <v>1761090.07</v>
      </c>
      <c r="D30" s="189">
        <v>1761090.07</v>
      </c>
      <c r="E30" s="189">
        <v>1761078.76</v>
      </c>
      <c r="F30" s="189">
        <v>1761078.76</v>
      </c>
      <c r="G30" s="189">
        <v>1761078.76</v>
      </c>
      <c r="H30" s="189">
        <v>1761078.76</v>
      </c>
      <c r="I30" s="189">
        <v>1667017.72</v>
      </c>
      <c r="J30" s="189">
        <v>1667017.72</v>
      </c>
      <c r="K30" s="189">
        <v>1667017.72</v>
      </c>
      <c r="L30" s="189">
        <v>1667017.72</v>
      </c>
      <c r="M30" s="189">
        <v>1667017.72</v>
      </c>
      <c r="N30" s="189">
        <v>2345837.34</v>
      </c>
      <c r="O30" s="189">
        <v>2345837.34</v>
      </c>
      <c r="P30" s="189">
        <v>0</v>
      </c>
      <c r="Q30" s="189">
        <v>0</v>
      </c>
      <c r="R30" s="189">
        <v>0</v>
      </c>
      <c r="S30" s="189">
        <v>886472.77</v>
      </c>
      <c r="T30" s="189">
        <v>886472.77</v>
      </c>
      <c r="U30" s="189">
        <v>1755346.28</v>
      </c>
      <c r="V30" s="189">
        <v>1755346.28</v>
      </c>
      <c r="W30" s="189">
        <v>1360425.6</v>
      </c>
      <c r="X30" s="189">
        <v>868873.51</v>
      </c>
      <c r="Y30" s="189">
        <v>868873.51</v>
      </c>
      <c r="Z30" s="189">
        <v>868873.51</v>
      </c>
      <c r="AA30" s="189">
        <v>868873.51</v>
      </c>
      <c r="AB30" s="189">
        <v>4618186.3099999996</v>
      </c>
      <c r="AC30" s="189">
        <v>4618186.3099999996</v>
      </c>
      <c r="AD30" s="189">
        <v>3959809.39</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89194</v>
      </c>
      <c r="BT30" s="189">
        <v>0</v>
      </c>
      <c r="BU30" s="189">
        <v>0</v>
      </c>
      <c r="BV30" s="189">
        <v>0</v>
      </c>
      <c r="BW30" s="189">
        <v>0</v>
      </c>
      <c r="BX30" s="189">
        <v>0</v>
      </c>
      <c r="BY30" s="189">
        <v>0</v>
      </c>
      <c r="BZ30" s="189">
        <v>0</v>
      </c>
      <c r="CA30" s="189">
        <v>0</v>
      </c>
      <c r="CB30" s="189">
        <v>0</v>
      </c>
      <c r="CC30" s="189">
        <v>0</v>
      </c>
      <c r="CD30" s="189">
        <v>0</v>
      </c>
    </row>
    <row r="31" spans="1:82" x14ac:dyDescent="0.25">
      <c r="A31" s="189" t="s">
        <v>135</v>
      </c>
      <c r="B31" s="189">
        <v>0</v>
      </c>
      <c r="C31" s="189">
        <v>893413.43</v>
      </c>
      <c r="D31" s="189">
        <v>909214.56</v>
      </c>
      <c r="E31" s="189">
        <v>288961.94</v>
      </c>
      <c r="F31" s="189">
        <v>415003.29</v>
      </c>
      <c r="G31" s="189">
        <v>462889.13</v>
      </c>
      <c r="H31" s="189">
        <v>428414.15</v>
      </c>
      <c r="I31" s="189">
        <v>376757.14</v>
      </c>
      <c r="J31" s="189">
        <v>3915320.77</v>
      </c>
      <c r="K31" s="189">
        <v>547544.29</v>
      </c>
      <c r="L31" s="189">
        <v>29416.67</v>
      </c>
      <c r="M31" s="189">
        <v>77252.92</v>
      </c>
      <c r="N31" s="189">
        <v>116193.38</v>
      </c>
      <c r="O31" s="189">
        <v>104795.98</v>
      </c>
      <c r="P31" s="189">
        <v>588148.86</v>
      </c>
      <c r="Q31" s="189">
        <v>0</v>
      </c>
      <c r="R31" s="189">
        <v>16879528.420000002</v>
      </c>
      <c r="S31" s="189">
        <v>17486607.289999999</v>
      </c>
      <c r="T31" s="189">
        <v>3089634.06</v>
      </c>
      <c r="U31" s="189">
        <v>23060688.899999999</v>
      </c>
      <c r="V31" s="189">
        <v>1450865.12</v>
      </c>
      <c r="W31" s="189">
        <v>3030629.26</v>
      </c>
      <c r="X31" s="189">
        <v>16439.16</v>
      </c>
      <c r="Y31" s="189">
        <v>0</v>
      </c>
      <c r="Z31" s="189">
        <v>505169.2</v>
      </c>
      <c r="AA31" s="189">
        <v>254378.39</v>
      </c>
      <c r="AB31" s="189">
        <v>793603.03</v>
      </c>
      <c r="AC31" s="189">
        <v>0</v>
      </c>
      <c r="AD31" s="189">
        <v>3917205.74</v>
      </c>
      <c r="AE31" s="189">
        <v>20126.830000000002</v>
      </c>
      <c r="AF31" s="189">
        <v>-321275.59999999998</v>
      </c>
      <c r="AG31" s="189">
        <v>0</v>
      </c>
      <c r="AH31" s="189">
        <v>-77395.37</v>
      </c>
      <c r="AI31" s="189">
        <v>152293.06</v>
      </c>
      <c r="AJ31" s="189">
        <v>-3189.36</v>
      </c>
      <c r="AK31" s="189">
        <v>0</v>
      </c>
      <c r="AL31" s="189">
        <v>251869.68</v>
      </c>
      <c r="AM31" s="189">
        <v>284937.68</v>
      </c>
      <c r="AN31" s="189">
        <v>293896.46000000002</v>
      </c>
      <c r="AO31" s="189">
        <v>0</v>
      </c>
      <c r="AP31" s="189">
        <v>2010620.24</v>
      </c>
      <c r="AQ31" s="189">
        <v>1947340.32</v>
      </c>
      <c r="AR31" s="189">
        <v>2195635.52</v>
      </c>
      <c r="AS31" s="189">
        <v>0</v>
      </c>
      <c r="AT31" s="189">
        <v>321143.26</v>
      </c>
      <c r="AU31" s="189">
        <v>400255.66</v>
      </c>
      <c r="AV31" s="189">
        <v>152167.29</v>
      </c>
      <c r="AW31" s="189">
        <v>0</v>
      </c>
      <c r="AX31" s="189">
        <v>1347170.96</v>
      </c>
      <c r="AY31" s="189">
        <v>0</v>
      </c>
      <c r="AZ31" s="189">
        <v>431491.66</v>
      </c>
      <c r="BA31" s="189">
        <v>0</v>
      </c>
      <c r="BB31" s="189">
        <v>320852.43</v>
      </c>
      <c r="BC31" s="189">
        <v>-16338.42</v>
      </c>
      <c r="BD31" s="189">
        <v>78396.740000000005</v>
      </c>
      <c r="BE31" s="189">
        <v>0</v>
      </c>
      <c r="BF31" s="189">
        <v>711059.3</v>
      </c>
      <c r="BG31" s="189">
        <v>18337.099999999999</v>
      </c>
      <c r="BH31" s="189">
        <v>4818.46</v>
      </c>
      <c r="BI31" s="189">
        <v>0</v>
      </c>
      <c r="BJ31" s="189">
        <v>2469421.9900000002</v>
      </c>
      <c r="BK31" s="189">
        <v>3450286.61</v>
      </c>
      <c r="BL31" s="189">
        <v>308063.73</v>
      </c>
      <c r="BM31" s="189">
        <v>0</v>
      </c>
      <c r="BN31" s="189">
        <v>21704.28</v>
      </c>
      <c r="BO31" s="189">
        <v>14580.65</v>
      </c>
      <c r="BP31" s="189">
        <v>13860.65</v>
      </c>
      <c r="BQ31" s="189">
        <v>0</v>
      </c>
      <c r="BR31" s="189">
        <v>0</v>
      </c>
      <c r="BS31" s="189">
        <v>5459040.46</v>
      </c>
      <c r="BT31" s="189">
        <v>5534040.46</v>
      </c>
      <c r="BU31" s="189">
        <v>5531581.5599999996</v>
      </c>
      <c r="BV31" s="189">
        <v>0</v>
      </c>
      <c r="BW31" s="189">
        <v>0</v>
      </c>
      <c r="BX31" s="189">
        <v>153.43</v>
      </c>
      <c r="BY31" s="189">
        <v>0</v>
      </c>
      <c r="BZ31" s="189">
        <v>-32684.51</v>
      </c>
      <c r="CA31" s="189">
        <v>0</v>
      </c>
      <c r="CB31" s="189">
        <v>0</v>
      </c>
      <c r="CC31" s="189">
        <v>0</v>
      </c>
      <c r="CD31" s="189">
        <v>0</v>
      </c>
    </row>
    <row r="32" spans="1:82"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row>
    <row r="33" spans="1:82"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row>
    <row r="34" spans="1:82"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row>
    <row r="35" spans="1:82" x14ac:dyDescent="0.25">
      <c r="A35" s="189" t="s">
        <v>139</v>
      </c>
      <c r="B35" s="189">
        <v>409538513.31</v>
      </c>
      <c r="C35" s="189">
        <v>405011373.60000002</v>
      </c>
      <c r="D35" s="189">
        <v>405233901.17000002</v>
      </c>
      <c r="E35" s="189">
        <v>399362442.36000001</v>
      </c>
      <c r="F35" s="189">
        <v>401014121.88</v>
      </c>
      <c r="G35" s="189">
        <v>402106287.05000001</v>
      </c>
      <c r="H35" s="189">
        <v>403375212.81999999</v>
      </c>
      <c r="I35" s="189">
        <v>402445490.66000003</v>
      </c>
      <c r="J35" s="189">
        <v>405058608.17000002</v>
      </c>
      <c r="K35" s="189">
        <v>408260788.24000001</v>
      </c>
      <c r="L35" s="189">
        <v>410580251.26999998</v>
      </c>
      <c r="M35" s="189">
        <v>411690665.44999999</v>
      </c>
      <c r="N35" s="189">
        <v>413781641.51999998</v>
      </c>
      <c r="O35" s="189">
        <v>416329498.33999997</v>
      </c>
      <c r="P35" s="189">
        <v>418798824.29000002</v>
      </c>
      <c r="Q35" s="189">
        <v>421573592.33999997</v>
      </c>
      <c r="R35" s="189">
        <v>407530654.27999997</v>
      </c>
      <c r="S35" s="189">
        <v>289485867.45999998</v>
      </c>
      <c r="T35" s="189">
        <v>291516506.41000003</v>
      </c>
      <c r="U35" s="189">
        <v>293642157.83999997</v>
      </c>
      <c r="V35" s="189">
        <v>286159461.87</v>
      </c>
      <c r="W35" s="189">
        <v>286508406.24000001</v>
      </c>
      <c r="X35" s="189">
        <v>287842307.35000002</v>
      </c>
      <c r="Y35" s="189">
        <v>289762684.52999997</v>
      </c>
      <c r="Z35" s="189">
        <v>291861174.47000003</v>
      </c>
      <c r="AA35" s="189">
        <v>294151982.13</v>
      </c>
      <c r="AB35" s="189">
        <v>296216674.35000002</v>
      </c>
      <c r="AC35" s="189">
        <v>297477470.22000003</v>
      </c>
      <c r="AD35" s="189">
        <v>294440574.5</v>
      </c>
      <c r="AE35" s="189">
        <v>296094213.19</v>
      </c>
      <c r="AF35" s="189">
        <v>297864163.10000002</v>
      </c>
      <c r="AG35" s="189">
        <v>299598624.00999999</v>
      </c>
      <c r="AH35" s="189">
        <v>301379560.60000002</v>
      </c>
      <c r="AI35" s="189">
        <v>303567227.47000003</v>
      </c>
      <c r="AJ35" s="189">
        <v>305889251.11000001</v>
      </c>
      <c r="AK35" s="189">
        <v>308093817.98000002</v>
      </c>
      <c r="AL35" s="189">
        <v>310308703.5</v>
      </c>
      <c r="AM35" s="189">
        <v>312590026.97000003</v>
      </c>
      <c r="AN35" s="189">
        <v>60505086.25</v>
      </c>
      <c r="AO35" s="189">
        <v>60901622.469999999</v>
      </c>
      <c r="AP35" s="189">
        <v>61445140.880000003</v>
      </c>
      <c r="AQ35" s="189">
        <v>61813677.100000001</v>
      </c>
      <c r="AR35" s="189">
        <v>62091231.130000003</v>
      </c>
      <c r="AS35" s="189">
        <v>62487767.350000001</v>
      </c>
      <c r="AT35" s="189">
        <v>62884303.57</v>
      </c>
      <c r="AU35" s="189">
        <v>63280839.789999999</v>
      </c>
      <c r="AV35" s="189">
        <v>63677376.009999998</v>
      </c>
      <c r="AW35" s="189">
        <v>64073912.229999997</v>
      </c>
      <c r="AX35" s="189">
        <v>64470448.450000003</v>
      </c>
      <c r="AY35" s="189">
        <v>64866984.670000002</v>
      </c>
      <c r="AZ35" s="189">
        <v>65263520.890000001</v>
      </c>
      <c r="BA35" s="189">
        <v>65660057.109999999</v>
      </c>
      <c r="BB35" s="189">
        <v>66056593.329999998</v>
      </c>
      <c r="BC35" s="189">
        <v>66453129.549999997</v>
      </c>
      <c r="BD35" s="189">
        <v>66849665.770000003</v>
      </c>
      <c r="BE35" s="189">
        <v>67246201.989999995</v>
      </c>
      <c r="BF35" s="189">
        <v>67642738.209999993</v>
      </c>
      <c r="BG35" s="189">
        <v>68039274.430000007</v>
      </c>
      <c r="BH35" s="189">
        <v>68435812.170000002</v>
      </c>
      <c r="BI35" s="189">
        <v>68832346.870000005</v>
      </c>
      <c r="BJ35" s="189">
        <v>69228883.090000004</v>
      </c>
      <c r="BK35" s="189">
        <v>69625419.310000002</v>
      </c>
      <c r="BL35" s="189">
        <v>69900957.549999997</v>
      </c>
      <c r="BM35" s="189">
        <v>70298083.719999999</v>
      </c>
      <c r="BN35" s="189">
        <v>72597881.879999995</v>
      </c>
      <c r="BO35" s="189">
        <v>73034046.689999998</v>
      </c>
      <c r="BP35" s="189">
        <v>73098044.840000004</v>
      </c>
      <c r="BQ35" s="189">
        <v>73559143.010000005</v>
      </c>
      <c r="BR35" s="189">
        <v>0</v>
      </c>
      <c r="BS35" s="189">
        <v>73598684.810000002</v>
      </c>
      <c r="BT35" s="189">
        <v>74026010.75</v>
      </c>
      <c r="BU35" s="189">
        <v>58765770.75</v>
      </c>
      <c r="BV35" s="189">
        <v>59482506.689999998</v>
      </c>
      <c r="BW35" s="189">
        <v>58139409.280000001</v>
      </c>
      <c r="BX35" s="189">
        <v>65587064.039999999</v>
      </c>
      <c r="BY35" s="189">
        <v>66981120.990000002</v>
      </c>
      <c r="BZ35" s="189">
        <v>65983463.460000001</v>
      </c>
      <c r="CA35" s="189">
        <v>63478146.789999999</v>
      </c>
      <c r="CB35" s="189">
        <v>48623979.789999999</v>
      </c>
      <c r="CC35" s="189">
        <v>48623979.789999999</v>
      </c>
      <c r="CD35" s="189">
        <v>0</v>
      </c>
    </row>
    <row r="36" spans="1:82"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118000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row>
    <row r="37" spans="1:82" x14ac:dyDescent="0.25">
      <c r="A37" s="189" t="s">
        <v>141</v>
      </c>
      <c r="B37" s="189">
        <v>1621619.53</v>
      </c>
      <c r="C37" s="189">
        <v>1621619.53</v>
      </c>
      <c r="D37" s="189">
        <v>1621619.53</v>
      </c>
      <c r="E37" s="189">
        <v>1621619.53</v>
      </c>
      <c r="F37" s="189">
        <v>1621619.53</v>
      </c>
      <c r="G37" s="189">
        <v>1621619.53</v>
      </c>
      <c r="H37" s="189">
        <v>1621619.53</v>
      </c>
      <c r="I37" s="189">
        <v>1621619.53</v>
      </c>
      <c r="J37" s="189">
        <v>1621619.53</v>
      </c>
      <c r="K37" s="189">
        <v>1621619.53</v>
      </c>
      <c r="L37" s="189">
        <v>1621619.53</v>
      </c>
      <c r="M37" s="189">
        <v>1621619.53</v>
      </c>
      <c r="N37" s="189">
        <v>1621619.53</v>
      </c>
      <c r="O37" s="189">
        <v>1621619.53</v>
      </c>
      <c r="P37" s="189">
        <v>1621619.53</v>
      </c>
      <c r="Q37" s="189">
        <v>1621619.53</v>
      </c>
      <c r="R37" s="189">
        <v>1621619.53</v>
      </c>
      <c r="S37" s="189">
        <v>1621619.53</v>
      </c>
      <c r="T37" s="189">
        <v>1621619.53</v>
      </c>
      <c r="U37" s="189">
        <v>1621619.53</v>
      </c>
      <c r="V37" s="189">
        <v>1621619.53</v>
      </c>
      <c r="W37" s="189">
        <v>1621619.53</v>
      </c>
      <c r="X37" s="189">
        <v>1621619.53</v>
      </c>
      <c r="Y37" s="189">
        <v>1621619.53</v>
      </c>
      <c r="Z37" s="189">
        <v>1621619.53</v>
      </c>
      <c r="AA37" s="189">
        <v>1621619.53</v>
      </c>
      <c r="AB37" s="189">
        <v>1621619.53</v>
      </c>
      <c r="AC37" s="189">
        <v>1621619.53</v>
      </c>
      <c r="AD37" s="189">
        <v>1621619.53</v>
      </c>
      <c r="AE37" s="189">
        <v>1621619.53</v>
      </c>
      <c r="AF37" s="189">
        <v>1621619.53</v>
      </c>
      <c r="AG37" s="189">
        <v>1621619.53</v>
      </c>
      <c r="AH37" s="189">
        <v>1621619.53</v>
      </c>
      <c r="AI37" s="189">
        <v>1621619.53</v>
      </c>
      <c r="AJ37" s="189">
        <v>1621619.53</v>
      </c>
      <c r="AK37" s="189">
        <v>1621619.53</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row>
    <row r="38" spans="1:82" x14ac:dyDescent="0.25">
      <c r="A38" s="189" t="s">
        <v>142</v>
      </c>
      <c r="B38" s="189">
        <v>98248295.469999999</v>
      </c>
      <c r="C38" s="189">
        <v>112515295.45999999</v>
      </c>
      <c r="D38" s="189">
        <v>120670925.28</v>
      </c>
      <c r="E38" s="189">
        <v>131727256.62</v>
      </c>
      <c r="F38" s="189">
        <v>118149951.62</v>
      </c>
      <c r="G38" s="189">
        <v>125281603.20999999</v>
      </c>
      <c r="H38" s="189">
        <v>123455998.7</v>
      </c>
      <c r="I38" s="189">
        <v>125948144.17</v>
      </c>
      <c r="J38" s="189">
        <v>96525402.329999998</v>
      </c>
      <c r="K38" s="189">
        <v>96261860.170000002</v>
      </c>
      <c r="L38" s="189">
        <v>102748671.52</v>
      </c>
      <c r="M38" s="189">
        <v>88655857.090000004</v>
      </c>
      <c r="N38" s="189">
        <v>96448663.359999999</v>
      </c>
      <c r="O38" s="189">
        <v>81558733.780000001</v>
      </c>
      <c r="P38" s="189">
        <v>55458375.509999998</v>
      </c>
      <c r="Q38" s="189">
        <v>52451701.799999997</v>
      </c>
      <c r="R38" s="189">
        <v>47321964.009999998</v>
      </c>
      <c r="S38" s="189">
        <v>52857869.810000002</v>
      </c>
      <c r="T38" s="189">
        <v>57004033.350000001</v>
      </c>
      <c r="U38" s="189">
        <v>62472496.579999998</v>
      </c>
      <c r="V38" s="189">
        <v>62706969.280000001</v>
      </c>
      <c r="W38" s="189">
        <v>68217230.219999999</v>
      </c>
      <c r="X38" s="189">
        <v>76264499.430000007</v>
      </c>
      <c r="Y38" s="189">
        <v>74221410.430000007</v>
      </c>
      <c r="Z38" s="189">
        <v>51744500.789999999</v>
      </c>
      <c r="AA38" s="189">
        <v>50263338.350000001</v>
      </c>
      <c r="AB38" s="189">
        <v>51999371.619999997</v>
      </c>
      <c r="AC38" s="189">
        <v>48772420.079999998</v>
      </c>
      <c r="AD38" s="189">
        <v>55485489.719999999</v>
      </c>
      <c r="AE38" s="189">
        <v>54750990.350000001</v>
      </c>
      <c r="AF38" s="189">
        <v>63203725.390000001</v>
      </c>
      <c r="AG38" s="189">
        <v>70535041.769999996</v>
      </c>
      <c r="AH38" s="189">
        <v>63128855.079999998</v>
      </c>
      <c r="AI38" s="189">
        <v>54574209.359999999</v>
      </c>
      <c r="AJ38" s="189">
        <v>91036439.319999993</v>
      </c>
      <c r="AK38" s="189">
        <v>66356766.630000003</v>
      </c>
      <c r="AL38" s="189">
        <v>85968483.560000002</v>
      </c>
      <c r="AM38" s="189">
        <v>74647447.140000001</v>
      </c>
      <c r="AN38" s="189">
        <v>0</v>
      </c>
      <c r="AO38" s="189">
        <v>0</v>
      </c>
      <c r="AP38" s="189">
        <v>11031429.68</v>
      </c>
      <c r="AQ38" s="189">
        <v>11031429.68</v>
      </c>
      <c r="AR38" s="189">
        <v>0</v>
      </c>
      <c r="AS38" s="189">
        <v>0</v>
      </c>
      <c r="AT38" s="189">
        <v>1571037.88</v>
      </c>
      <c r="AU38" s="189">
        <v>1571037.88</v>
      </c>
      <c r="AV38" s="189">
        <v>955962.74</v>
      </c>
      <c r="AW38" s="189">
        <v>820470.57</v>
      </c>
      <c r="AX38" s="189">
        <v>306513.43</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-22018374.600000001</v>
      </c>
      <c r="CA38" s="189">
        <v>0</v>
      </c>
      <c r="CB38" s="189">
        <v>0</v>
      </c>
      <c r="CC38" s="189">
        <v>0</v>
      </c>
      <c r="CD38" s="189">
        <v>0</v>
      </c>
    </row>
    <row r="39" spans="1:82" x14ac:dyDescent="0.25">
      <c r="A39" s="189" t="s">
        <v>143</v>
      </c>
      <c r="B39" s="189">
        <v>1040482867.13</v>
      </c>
      <c r="C39" s="189">
        <v>1036875258.38</v>
      </c>
      <c r="D39" s="189">
        <v>682568492.45000005</v>
      </c>
      <c r="E39" s="189">
        <v>679873063.75</v>
      </c>
      <c r="F39" s="189">
        <v>620993168.41999996</v>
      </c>
      <c r="G39" s="189">
        <v>618709496.92999995</v>
      </c>
      <c r="H39" s="189">
        <v>622896896.25999999</v>
      </c>
      <c r="I39" s="189">
        <v>617996843.13</v>
      </c>
      <c r="J39" s="189">
        <v>675871507.95000005</v>
      </c>
      <c r="K39" s="189">
        <v>682999347.13999999</v>
      </c>
      <c r="L39" s="189">
        <v>614806961.21000004</v>
      </c>
      <c r="M39" s="189">
        <v>639980604.64999998</v>
      </c>
      <c r="N39" s="189">
        <v>432266396.35000002</v>
      </c>
      <c r="O39" s="189">
        <v>471621586.19</v>
      </c>
      <c r="P39" s="189">
        <v>484803224.08999997</v>
      </c>
      <c r="Q39" s="189">
        <v>503061914.86000001</v>
      </c>
      <c r="R39" s="189">
        <v>424816869.47000003</v>
      </c>
      <c r="S39" s="189">
        <v>464592876.10000002</v>
      </c>
      <c r="T39" s="189">
        <v>508801393.82999998</v>
      </c>
      <c r="U39" s="189">
        <v>578932509.05999994</v>
      </c>
      <c r="V39" s="189">
        <v>560767802.94000006</v>
      </c>
      <c r="W39" s="189">
        <v>596433478.84000003</v>
      </c>
      <c r="X39" s="189">
        <v>485655212.66000003</v>
      </c>
      <c r="Y39" s="189">
        <v>485655212.66000003</v>
      </c>
      <c r="Z39" s="189">
        <v>170777709.03999999</v>
      </c>
      <c r="AA39" s="189">
        <v>141785901.94999999</v>
      </c>
      <c r="AB39" s="189">
        <v>16785901.949999999</v>
      </c>
      <c r="AC39" s="189">
        <v>16785901.949999999</v>
      </c>
      <c r="AD39" s="189">
        <v>11530479.92</v>
      </c>
      <c r="AE39" s="189">
        <v>11530479.92</v>
      </c>
      <c r="AF39" s="189">
        <v>11405479.92</v>
      </c>
      <c r="AG39" s="189">
        <v>11405479.92</v>
      </c>
      <c r="AH39" s="189">
        <v>5737024.5300000003</v>
      </c>
      <c r="AI39" s="189">
        <v>5737024.5300000003</v>
      </c>
      <c r="AJ39" s="189">
        <v>9795813.5700000003</v>
      </c>
      <c r="AK39" s="189">
        <v>5737024.5300000003</v>
      </c>
      <c r="AL39" s="189">
        <v>4392036.46</v>
      </c>
      <c r="AM39" s="189">
        <v>4392036.46</v>
      </c>
      <c r="AN39" s="189">
        <v>4392036.46</v>
      </c>
      <c r="AO39" s="189">
        <v>4392036.46</v>
      </c>
      <c r="AP39" s="189">
        <v>4576563.1399999997</v>
      </c>
      <c r="AQ39" s="189">
        <v>4576563.1399999997</v>
      </c>
      <c r="AR39" s="189">
        <v>5273199.54</v>
      </c>
      <c r="AS39" s="189">
        <v>5324118.0199999996</v>
      </c>
      <c r="AT39" s="189">
        <v>5856404.9299999997</v>
      </c>
      <c r="AU39" s="189">
        <v>5836543.5300000003</v>
      </c>
      <c r="AV39" s="189">
        <v>5840564.8300000001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row>
    <row r="40" spans="1:82" x14ac:dyDescent="0.25">
      <c r="A40" s="189" t="s">
        <v>144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c r="BX40" s="189">
        <v>0</v>
      </c>
      <c r="BY40" s="189">
        <v>0</v>
      </c>
      <c r="BZ40" s="189">
        <v>0</v>
      </c>
      <c r="CA40" s="189">
        <v>0</v>
      </c>
      <c r="CB40" s="189">
        <v>0</v>
      </c>
      <c r="CC40" s="189">
        <v>0</v>
      </c>
      <c r="CD40" s="189">
        <v>0</v>
      </c>
    </row>
    <row r="41" spans="1:82" x14ac:dyDescent="0.25">
      <c r="A41" s="189" t="s">
        <v>145</v>
      </c>
      <c r="B41" s="189">
        <v>8018730489.5</v>
      </c>
      <c r="C41" s="189">
        <v>8105151823.5900002</v>
      </c>
      <c r="D41" s="189">
        <v>7748209375.6499996</v>
      </c>
      <c r="E41" s="189">
        <v>7642925603.7799997</v>
      </c>
      <c r="F41" s="189">
        <v>7533851582.3900003</v>
      </c>
      <c r="G41" s="189">
        <v>7602929520.6000004</v>
      </c>
      <c r="H41" s="189">
        <v>7655597077.4799995</v>
      </c>
      <c r="I41" s="189">
        <v>7669866510.1400003</v>
      </c>
      <c r="J41" s="189">
        <v>7717822068.0799999</v>
      </c>
      <c r="K41" s="189">
        <v>7800329753.9700003</v>
      </c>
      <c r="L41" s="189">
        <v>7863288846.5799999</v>
      </c>
      <c r="M41" s="189">
        <v>7949223714.3199997</v>
      </c>
      <c r="N41" s="189">
        <v>7789888585.0200005</v>
      </c>
      <c r="O41" s="189">
        <v>7866422799.3500004</v>
      </c>
      <c r="P41" s="189">
        <v>7852653535.79</v>
      </c>
      <c r="Q41" s="189">
        <v>7908789717.4499998</v>
      </c>
      <c r="R41" s="189">
        <v>7851218276.7700005</v>
      </c>
      <c r="S41" s="189">
        <v>7655712659.6099997</v>
      </c>
      <c r="T41" s="189">
        <v>7742554203.8199997</v>
      </c>
      <c r="U41" s="189">
        <v>7187282033.3299999</v>
      </c>
      <c r="V41" s="189">
        <v>7207990845.79</v>
      </c>
      <c r="W41" s="189">
        <v>7307142600.1300001</v>
      </c>
      <c r="X41" s="189">
        <v>7311131963.0699997</v>
      </c>
      <c r="Y41" s="189">
        <v>7325302679.7399998</v>
      </c>
      <c r="Z41" s="189">
        <v>7098528857.4200001</v>
      </c>
      <c r="AA41" s="189">
        <v>7180445172.2200003</v>
      </c>
      <c r="AB41" s="189">
        <v>7179072058.4300003</v>
      </c>
      <c r="AC41" s="189">
        <v>7192699496.6800003</v>
      </c>
      <c r="AD41" s="189">
        <v>7216001271.4099998</v>
      </c>
      <c r="AE41" s="189">
        <v>7204199191.9499998</v>
      </c>
      <c r="AF41" s="189">
        <v>7222083247.6000004</v>
      </c>
      <c r="AG41" s="189">
        <v>7303785667.5900002</v>
      </c>
      <c r="AH41" s="189">
        <v>7392080405.5600004</v>
      </c>
      <c r="AI41" s="189">
        <v>7431174519.1300001</v>
      </c>
      <c r="AJ41" s="189">
        <v>7517447492.9799995</v>
      </c>
      <c r="AK41" s="189">
        <v>7566173849.9700003</v>
      </c>
      <c r="AL41" s="189">
        <v>7607103266.1599998</v>
      </c>
      <c r="AM41" s="189">
        <v>7706877443.3000002</v>
      </c>
      <c r="AN41" s="189">
        <v>4750016360.8599997</v>
      </c>
      <c r="AO41" s="189">
        <v>4754868668.1300001</v>
      </c>
      <c r="AP41" s="189">
        <v>4841679198.5100002</v>
      </c>
      <c r="AQ41" s="189">
        <v>4945499008.7600002</v>
      </c>
      <c r="AR41" s="189">
        <v>4983590367.6400003</v>
      </c>
      <c r="AS41" s="189">
        <v>5087759145.3900003</v>
      </c>
      <c r="AT41" s="189">
        <v>5119825755.0799999</v>
      </c>
      <c r="AU41" s="189">
        <v>5166324238.8199997</v>
      </c>
      <c r="AV41" s="189">
        <v>5229742144.5900002</v>
      </c>
      <c r="AW41" s="189">
        <v>5303368604.3599997</v>
      </c>
      <c r="AX41" s="189">
        <v>5412891640.3100004</v>
      </c>
      <c r="AY41" s="189">
        <v>5477269087.8599997</v>
      </c>
      <c r="AZ41" s="189">
        <v>5394582476.9899998</v>
      </c>
      <c r="BA41" s="189">
        <v>5501322858.9799995</v>
      </c>
      <c r="BB41" s="189">
        <v>5577867470.3299999</v>
      </c>
      <c r="BC41" s="189">
        <v>5696283898.6499996</v>
      </c>
      <c r="BD41" s="189">
        <v>5779603253.5100002</v>
      </c>
      <c r="BE41" s="189">
        <v>5840992847.29</v>
      </c>
      <c r="BF41" s="189">
        <v>5434316703.3800001</v>
      </c>
      <c r="BG41" s="189">
        <v>5519652065.3800001</v>
      </c>
      <c r="BH41" s="189">
        <v>5587811046.9799995</v>
      </c>
      <c r="BI41" s="189">
        <v>5587556850.7200003</v>
      </c>
      <c r="BJ41" s="189">
        <v>5175235607.8500004</v>
      </c>
      <c r="BK41" s="189">
        <v>4543535291.6599998</v>
      </c>
      <c r="BL41" s="189">
        <v>4478639735.0500002</v>
      </c>
      <c r="BM41" s="189">
        <v>4520776529.7700005</v>
      </c>
      <c r="BN41" s="189">
        <v>3620875395.5999999</v>
      </c>
      <c r="BO41" s="189">
        <v>3684993020.0500002</v>
      </c>
      <c r="BP41" s="189">
        <v>3523637936.8200002</v>
      </c>
      <c r="BQ41" s="189">
        <v>3558533656.5999999</v>
      </c>
      <c r="BR41" s="189">
        <v>0</v>
      </c>
      <c r="BS41" s="189">
        <v>3540915525.1199999</v>
      </c>
      <c r="BT41" s="189">
        <v>1786934979.5599999</v>
      </c>
      <c r="BU41" s="189">
        <v>1665815375.1099999</v>
      </c>
      <c r="BV41" s="189">
        <v>1686369507.6900001</v>
      </c>
      <c r="BW41" s="189">
        <v>1354841968.26</v>
      </c>
      <c r="BX41" s="189">
        <v>863141638.28999996</v>
      </c>
      <c r="BY41" s="189">
        <v>889088276.57000005</v>
      </c>
      <c r="BZ41" s="189">
        <v>773080474.13999999</v>
      </c>
      <c r="CA41" s="189">
        <v>288991911.69</v>
      </c>
      <c r="CB41" s="189">
        <v>271521353.76999998</v>
      </c>
      <c r="CC41" s="189">
        <v>207085363.93000001</v>
      </c>
      <c r="CD41" s="189">
        <v>0</v>
      </c>
    </row>
    <row r="42" spans="1:82" x14ac:dyDescent="0.25">
      <c r="A42" s="189" t="s">
        <v>146</v>
      </c>
      <c r="B42" s="189">
        <v>76123846574.960007</v>
      </c>
      <c r="C42" s="189">
        <v>80430592528.770004</v>
      </c>
      <c r="D42" s="189">
        <v>79647898938.149994</v>
      </c>
      <c r="E42" s="189">
        <v>70922626679.429993</v>
      </c>
      <c r="F42" s="189">
        <v>66083400883.519997</v>
      </c>
      <c r="G42" s="189">
        <v>64433367542.440002</v>
      </c>
      <c r="H42" s="189">
        <v>67866616071.059998</v>
      </c>
      <c r="I42" s="189">
        <v>62174406583.199997</v>
      </c>
      <c r="J42" s="189">
        <v>60345095213.040001</v>
      </c>
      <c r="K42" s="189">
        <v>59962925308.849998</v>
      </c>
      <c r="L42" s="189">
        <v>60984275878.230003</v>
      </c>
      <c r="M42" s="189">
        <v>52546634940.510002</v>
      </c>
      <c r="N42" s="189">
        <v>48267194105.900002</v>
      </c>
      <c r="O42" s="189">
        <v>47390342280.75</v>
      </c>
      <c r="P42" s="189">
        <v>48665558998.510002</v>
      </c>
      <c r="Q42" s="189">
        <v>46408870652.849998</v>
      </c>
      <c r="R42" s="189">
        <v>44657237287.849998</v>
      </c>
      <c r="S42" s="189">
        <v>44698321112.940002</v>
      </c>
      <c r="T42" s="189">
        <v>47317331564.629997</v>
      </c>
      <c r="U42" s="189">
        <v>44129502138.300003</v>
      </c>
      <c r="V42" s="189">
        <v>43885001808.5</v>
      </c>
      <c r="W42" s="189">
        <v>45054062652.629997</v>
      </c>
      <c r="X42" s="189">
        <v>46501487736.25</v>
      </c>
      <c r="Y42" s="189">
        <v>45247636141.839996</v>
      </c>
      <c r="Z42" s="189">
        <v>41871175185.970001</v>
      </c>
      <c r="AA42" s="189">
        <v>39666459427.830002</v>
      </c>
      <c r="AB42" s="189">
        <v>38862407526.260002</v>
      </c>
      <c r="AC42" s="189">
        <v>36905840779.239998</v>
      </c>
      <c r="AD42" s="189">
        <v>33315838536.02</v>
      </c>
      <c r="AE42" s="189">
        <v>32399191895.98</v>
      </c>
      <c r="AF42" s="189">
        <v>31015417028.869999</v>
      </c>
      <c r="AG42" s="189">
        <v>28673500525.16</v>
      </c>
      <c r="AH42" s="189">
        <v>24686848363.98</v>
      </c>
      <c r="AI42" s="189">
        <v>23245470227.009998</v>
      </c>
      <c r="AJ42" s="189">
        <v>22818422251.669998</v>
      </c>
      <c r="AK42" s="189">
        <v>20849090535.73</v>
      </c>
      <c r="AL42" s="189">
        <v>18913285078.299999</v>
      </c>
      <c r="AM42" s="189">
        <v>16610090122.360001</v>
      </c>
      <c r="AN42" s="189">
        <v>14372018358.549999</v>
      </c>
      <c r="AO42" s="189">
        <v>13496420728.24</v>
      </c>
      <c r="AP42" s="189">
        <v>13179147048.389999</v>
      </c>
      <c r="AQ42" s="189">
        <v>12486777241.93</v>
      </c>
      <c r="AR42" s="189">
        <v>12462106494.66</v>
      </c>
      <c r="AS42" s="189">
        <v>11571651127.1</v>
      </c>
      <c r="AT42" s="189">
        <v>12009745912.379999</v>
      </c>
      <c r="AU42" s="189">
        <v>11578377686.84</v>
      </c>
      <c r="AV42" s="189">
        <v>11338482878.139999</v>
      </c>
      <c r="AW42" s="189">
        <v>10334123958.969999</v>
      </c>
      <c r="AX42" s="189">
        <v>10251562247.450001</v>
      </c>
      <c r="AY42" s="189">
        <v>9918374256.4699993</v>
      </c>
      <c r="AZ42" s="189">
        <v>10356777443.780001</v>
      </c>
      <c r="BA42" s="189">
        <v>9614093108.8600006</v>
      </c>
      <c r="BB42" s="189">
        <v>9526985470.3799992</v>
      </c>
      <c r="BC42" s="189">
        <v>9518560074.9599991</v>
      </c>
      <c r="BD42" s="189">
        <v>9141392183.0499992</v>
      </c>
      <c r="BE42" s="189">
        <v>8810533628</v>
      </c>
      <c r="BF42" s="189">
        <v>8799938828.25</v>
      </c>
      <c r="BG42" s="189">
        <v>8663158465.2900009</v>
      </c>
      <c r="BH42" s="189">
        <v>9031214448.7600002</v>
      </c>
      <c r="BI42" s="189">
        <v>8262779664.5299997</v>
      </c>
      <c r="BJ42" s="189">
        <v>8024659081.25</v>
      </c>
      <c r="BK42" s="189">
        <v>7314459930.6599998</v>
      </c>
      <c r="BL42" s="189">
        <v>7522900600.9099998</v>
      </c>
      <c r="BM42" s="189">
        <v>7261734980.75</v>
      </c>
      <c r="BN42" s="189">
        <v>7129894989.8100004</v>
      </c>
      <c r="BO42" s="189">
        <v>6839792297.6999998</v>
      </c>
      <c r="BP42" s="189">
        <v>6718110080.7799997</v>
      </c>
      <c r="BQ42" s="189">
        <v>6687868171.4899998</v>
      </c>
      <c r="BR42" s="189">
        <v>7011350000</v>
      </c>
      <c r="BS42" s="189">
        <v>6310083473.0100002</v>
      </c>
      <c r="BT42" s="189">
        <v>5331271173.0600004</v>
      </c>
      <c r="BU42" s="189">
        <v>4600917198.25</v>
      </c>
      <c r="BV42" s="189">
        <v>4039527701.1300001</v>
      </c>
      <c r="BW42" s="189">
        <v>3918898762.9499998</v>
      </c>
      <c r="BX42" s="189">
        <v>2822738335.4499998</v>
      </c>
      <c r="BY42" s="189">
        <v>2743030879</v>
      </c>
      <c r="BZ42" s="189">
        <v>2533173630.0799999</v>
      </c>
      <c r="CA42" s="189">
        <v>1155167331.9300001</v>
      </c>
      <c r="CB42" s="189">
        <v>875504919.83000004</v>
      </c>
      <c r="CC42" s="189">
        <v>758250422.42999995</v>
      </c>
      <c r="CD42" s="189">
        <v>0</v>
      </c>
    </row>
    <row r="43" spans="1:82" x14ac:dyDescent="0.25">
      <c r="A43" s="189" t="s">
        <v>147</v>
      </c>
    </row>
    <row r="44" spans="1:82" x14ac:dyDescent="0.25">
      <c r="A44" s="189" t="s">
        <v>148</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40000000</v>
      </c>
      <c r="CB44" s="189">
        <v>107500000</v>
      </c>
      <c r="CC44" s="189">
        <v>177400000</v>
      </c>
      <c r="CD44" s="189">
        <v>0</v>
      </c>
    </row>
    <row r="45" spans="1:82"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row>
    <row r="46" spans="1:82" x14ac:dyDescent="0.25">
      <c r="A46" s="189" t="s">
        <v>150</v>
      </c>
      <c r="B46" s="189">
        <v>0</v>
      </c>
      <c r="C46" s="189">
        <v>493870872.73000002</v>
      </c>
      <c r="D46" s="189">
        <v>565844194.5</v>
      </c>
      <c r="E46" s="189">
        <v>629668486.53999996</v>
      </c>
      <c r="F46" s="189">
        <v>444281179.75999999</v>
      </c>
      <c r="G46" s="189">
        <v>401616467.52999997</v>
      </c>
      <c r="H46" s="189">
        <v>393457461.22000003</v>
      </c>
      <c r="I46" s="189">
        <v>327474650.48000002</v>
      </c>
      <c r="J46" s="189">
        <v>281697340.70999998</v>
      </c>
      <c r="K46" s="189">
        <v>217131959.84999999</v>
      </c>
      <c r="L46" s="189">
        <v>168562188.22</v>
      </c>
      <c r="M46" s="189">
        <v>206060495.80000001</v>
      </c>
      <c r="N46" s="189">
        <v>246844082.41999999</v>
      </c>
      <c r="O46" s="189">
        <v>209802069.41999999</v>
      </c>
      <c r="P46" s="189">
        <v>116354744.69</v>
      </c>
      <c r="Q46" s="189">
        <v>85449379.480000004</v>
      </c>
      <c r="R46" s="189">
        <v>210739647.93000001</v>
      </c>
      <c r="S46" s="189">
        <v>102106793.65000001</v>
      </c>
      <c r="T46" s="189">
        <v>56484738.25</v>
      </c>
      <c r="U46" s="189">
        <v>52577851.100000001</v>
      </c>
      <c r="V46" s="189">
        <v>54814400</v>
      </c>
      <c r="W46" s="189">
        <v>49160000</v>
      </c>
      <c r="X46" s="189">
        <v>30000000</v>
      </c>
      <c r="Y46" s="189">
        <v>0</v>
      </c>
      <c r="Z46" s="189">
        <v>0</v>
      </c>
      <c r="AA46" s="189">
        <v>0</v>
      </c>
      <c r="AB46" s="189">
        <v>0</v>
      </c>
      <c r="AC46" s="189">
        <v>0</v>
      </c>
      <c r="AD46" s="189">
        <v>0</v>
      </c>
      <c r="AE46" s="189">
        <v>0</v>
      </c>
      <c r="AF46" s="189">
        <v>0</v>
      </c>
      <c r="AG46" s="189">
        <v>56456400</v>
      </c>
      <c r="AH46" s="189">
        <v>22822800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c r="BW46" s="189">
        <v>0</v>
      </c>
      <c r="BX46" s="189">
        <v>0</v>
      </c>
      <c r="BY46" s="189">
        <v>0</v>
      </c>
      <c r="BZ46" s="189">
        <v>0</v>
      </c>
      <c r="CA46" s="189">
        <v>0</v>
      </c>
      <c r="CB46" s="189">
        <v>0</v>
      </c>
      <c r="CC46" s="189">
        <v>0</v>
      </c>
      <c r="CD46" s="189">
        <v>0</v>
      </c>
    </row>
    <row r="47" spans="1:82" x14ac:dyDescent="0.25">
      <c r="A47" s="189" t="s">
        <v>151</v>
      </c>
      <c r="B47" s="189">
        <v>0</v>
      </c>
      <c r="C47" s="189">
        <v>3970836974.7600002</v>
      </c>
      <c r="D47" s="189">
        <v>3838984045.9699998</v>
      </c>
      <c r="E47" s="189">
        <v>3137915625.6100001</v>
      </c>
      <c r="F47" s="189">
        <v>3556064072.6199999</v>
      </c>
      <c r="G47" s="189">
        <v>3526387932.96</v>
      </c>
      <c r="H47" s="189">
        <v>3040708704.7800002</v>
      </c>
      <c r="I47" s="189">
        <v>2171287638.1399999</v>
      </c>
      <c r="J47" s="189">
        <v>1534554612.8900001</v>
      </c>
      <c r="K47" s="189">
        <v>1608905206.8399999</v>
      </c>
      <c r="L47" s="189">
        <v>1571631407.6099999</v>
      </c>
      <c r="M47" s="189">
        <v>1058247050.29</v>
      </c>
      <c r="N47" s="189">
        <v>884085345.91999996</v>
      </c>
      <c r="O47" s="189">
        <v>974909229.63</v>
      </c>
      <c r="P47" s="189">
        <v>1149524453.5999999</v>
      </c>
      <c r="Q47" s="189">
        <v>647043070</v>
      </c>
      <c r="R47" s="189">
        <v>741184097.14999998</v>
      </c>
      <c r="S47" s="189">
        <v>986430295.13</v>
      </c>
      <c r="T47" s="189">
        <v>923957982.58000004</v>
      </c>
      <c r="U47" s="189">
        <v>583987991.92999995</v>
      </c>
      <c r="V47" s="189">
        <v>962793175.55999994</v>
      </c>
      <c r="W47" s="189">
        <v>580932251.35000002</v>
      </c>
      <c r="X47" s="189">
        <v>712717208.05999994</v>
      </c>
      <c r="Y47" s="189">
        <v>730530919.89999998</v>
      </c>
      <c r="Z47" s="189">
        <v>339830835.56999999</v>
      </c>
      <c r="AA47" s="189">
        <v>355483573.51999998</v>
      </c>
      <c r="AB47" s="189">
        <v>263252391.58000001</v>
      </c>
      <c r="AC47" s="189">
        <v>234517751.80000001</v>
      </c>
      <c r="AD47" s="189">
        <v>254313834.71000001</v>
      </c>
      <c r="AE47" s="189">
        <v>218946880.88</v>
      </c>
      <c r="AF47" s="189">
        <v>326267826.50999999</v>
      </c>
      <c r="AG47" s="189">
        <v>155435476.75999999</v>
      </c>
      <c r="AH47" s="189">
        <v>261887557.63</v>
      </c>
      <c r="AI47" s="189">
        <v>447782773.98000002</v>
      </c>
      <c r="AJ47" s="189">
        <v>405567824.89999998</v>
      </c>
      <c r="AK47" s="189">
        <v>239072532.94</v>
      </c>
      <c r="AL47" s="189">
        <v>455109648.48000002</v>
      </c>
      <c r="AM47" s="189">
        <v>523434740.57999998</v>
      </c>
      <c r="AN47" s="189">
        <v>242586539.78</v>
      </c>
      <c r="AO47" s="189">
        <v>38079985.509999998</v>
      </c>
      <c r="AP47" s="189">
        <v>264017878.25</v>
      </c>
      <c r="AQ47" s="189">
        <v>46494790.409999996</v>
      </c>
      <c r="AR47" s="189">
        <v>36925617.490000002</v>
      </c>
      <c r="AS47" s="189">
        <v>30308923.309999999</v>
      </c>
      <c r="AT47" s="189">
        <v>26164564.460000001</v>
      </c>
      <c r="AU47" s="189">
        <v>29179995.600000001</v>
      </c>
      <c r="AV47" s="189">
        <v>174303975.41</v>
      </c>
      <c r="AW47" s="189">
        <v>36304903.149999999</v>
      </c>
      <c r="AX47" s="189">
        <v>102823628.08</v>
      </c>
      <c r="AY47" s="189">
        <v>85475050.379999995</v>
      </c>
      <c r="AZ47" s="189">
        <v>40755924.520000003</v>
      </c>
      <c r="BA47" s="189">
        <v>65058276.600000001</v>
      </c>
      <c r="BB47" s="189">
        <v>21775974.030000001</v>
      </c>
      <c r="BC47" s="189">
        <v>200335690.00999999</v>
      </c>
      <c r="BD47" s="189">
        <v>37252464.07</v>
      </c>
      <c r="BE47" s="189">
        <v>35958562.25</v>
      </c>
      <c r="BF47" s="189">
        <v>378517172.31</v>
      </c>
      <c r="BG47" s="189">
        <v>450865370.57999998</v>
      </c>
      <c r="BH47" s="189">
        <v>585396527.25</v>
      </c>
      <c r="BI47" s="189">
        <v>49607110.049999997</v>
      </c>
      <c r="BJ47" s="189">
        <v>209521018.34999999</v>
      </c>
      <c r="BK47" s="189">
        <v>160787260.09</v>
      </c>
      <c r="BL47" s="189">
        <v>301939028.25</v>
      </c>
      <c r="BM47" s="189">
        <v>274372579.00999999</v>
      </c>
      <c r="BN47" s="189">
        <v>232238050.12</v>
      </c>
      <c r="BO47" s="189">
        <v>236894201.50999999</v>
      </c>
      <c r="BP47" s="189">
        <v>256286446.86000001</v>
      </c>
      <c r="BQ47" s="189">
        <v>242014437.78999999</v>
      </c>
      <c r="BR47" s="189">
        <v>0</v>
      </c>
      <c r="BS47" s="189">
        <v>112228383.06</v>
      </c>
      <c r="BT47" s="189">
        <v>8611001.7100000009</v>
      </c>
      <c r="BU47" s="189">
        <v>14299649.949999999</v>
      </c>
      <c r="BV47" s="189">
        <v>15794690.85</v>
      </c>
      <c r="BW47" s="189">
        <v>40926765.5</v>
      </c>
      <c r="BX47" s="189">
        <v>2009498.44</v>
      </c>
      <c r="BY47" s="189">
        <v>4567124.41</v>
      </c>
      <c r="BZ47" s="189">
        <v>127350.54</v>
      </c>
      <c r="CA47" s="189">
        <v>96482.04</v>
      </c>
      <c r="CB47" s="189">
        <v>6728609.3700000001</v>
      </c>
      <c r="CC47" s="189">
        <v>12653045.130000001</v>
      </c>
      <c r="CD47" s="189">
        <v>0</v>
      </c>
    </row>
    <row r="48" spans="1:82" x14ac:dyDescent="0.25">
      <c r="A48" s="189" t="s">
        <v>152</v>
      </c>
      <c r="B48" s="189">
        <v>2439900796.75</v>
      </c>
      <c r="C48" s="189">
        <v>4418983399.2299995</v>
      </c>
      <c r="D48" s="189">
        <v>5771644744.0299997</v>
      </c>
      <c r="E48" s="189">
        <v>4645721765.9899998</v>
      </c>
      <c r="F48" s="189">
        <v>4925694275.4399996</v>
      </c>
      <c r="G48" s="189">
        <v>5511067556</v>
      </c>
      <c r="H48" s="189">
        <v>6237059999.7299995</v>
      </c>
      <c r="I48" s="189">
        <v>6298680313.8800001</v>
      </c>
      <c r="J48" s="189">
        <v>6723035776.4899998</v>
      </c>
      <c r="K48" s="189">
        <v>4416995952.9399996</v>
      </c>
      <c r="L48" s="189">
        <v>6826442994.04</v>
      </c>
      <c r="M48" s="189">
        <v>1993934055.9100001</v>
      </c>
      <c r="N48" s="189">
        <v>656301527.12</v>
      </c>
      <c r="O48" s="189">
        <v>621830322.53999996</v>
      </c>
      <c r="P48" s="189">
        <v>778364798.66999996</v>
      </c>
      <c r="Q48" s="189">
        <v>858110981.88999999</v>
      </c>
      <c r="R48" s="189">
        <v>1430141617.3499999</v>
      </c>
      <c r="S48" s="189">
        <v>1189254075.97</v>
      </c>
      <c r="T48" s="189">
        <v>1566551581.8199999</v>
      </c>
      <c r="U48" s="189">
        <v>824725426.75</v>
      </c>
      <c r="V48" s="189">
        <v>1309599466.4400001</v>
      </c>
      <c r="W48" s="189">
        <v>3386451882.9099998</v>
      </c>
      <c r="X48" s="189">
        <v>3863416187.6999998</v>
      </c>
      <c r="Y48" s="189">
        <v>6467422141.71</v>
      </c>
      <c r="Z48" s="189">
        <v>6510647051.3999996</v>
      </c>
      <c r="AA48" s="189">
        <v>7479837557.5900002</v>
      </c>
      <c r="AB48" s="189">
        <v>7790285617.7200003</v>
      </c>
      <c r="AC48" s="189">
        <v>9047172727.9300003</v>
      </c>
      <c r="AD48" s="189">
        <v>7899140218.46</v>
      </c>
      <c r="AE48" s="189">
        <v>8241570251.0799999</v>
      </c>
      <c r="AF48" s="189">
        <v>7659580030.1700001</v>
      </c>
      <c r="AG48" s="189">
        <v>7107610071.8599997</v>
      </c>
      <c r="AH48" s="189">
        <v>5268820414.8100004</v>
      </c>
      <c r="AI48" s="189">
        <v>5270872584.79</v>
      </c>
      <c r="AJ48" s="189">
        <v>4965561554.71</v>
      </c>
      <c r="AK48" s="189">
        <v>4376268193.6700001</v>
      </c>
      <c r="AL48" s="189">
        <v>3032086738.1700001</v>
      </c>
      <c r="AM48" s="189">
        <v>276311548.98000002</v>
      </c>
      <c r="AN48" s="189">
        <v>187233216.74000001</v>
      </c>
      <c r="AO48" s="189">
        <v>1052920496.85</v>
      </c>
      <c r="AP48" s="189">
        <v>505629720.07999998</v>
      </c>
      <c r="AQ48" s="189">
        <v>346203139.69999999</v>
      </c>
      <c r="AR48" s="189">
        <v>442082196.89999998</v>
      </c>
      <c r="AS48" s="189">
        <v>711587261.14999998</v>
      </c>
      <c r="AT48" s="189">
        <v>580516526.89999998</v>
      </c>
      <c r="AU48" s="189">
        <v>342011688.20999998</v>
      </c>
      <c r="AV48" s="189">
        <v>215327186.46000001</v>
      </c>
      <c r="AW48" s="189">
        <v>345968840.57999998</v>
      </c>
      <c r="AX48" s="189">
        <v>229829359.40000001</v>
      </c>
      <c r="AY48" s="189">
        <v>167171049.72</v>
      </c>
      <c r="AZ48" s="189">
        <v>168400577.74000001</v>
      </c>
      <c r="BA48" s="189">
        <v>296621379.50999999</v>
      </c>
      <c r="BB48" s="189">
        <v>200475191.44</v>
      </c>
      <c r="BC48" s="189">
        <v>158445830.63999999</v>
      </c>
      <c r="BD48" s="189">
        <v>148593472.91999999</v>
      </c>
      <c r="BE48" s="189">
        <v>564444875.91999996</v>
      </c>
      <c r="BF48" s="189">
        <v>267627268.38</v>
      </c>
      <c r="BG48" s="189">
        <v>158357937.21000001</v>
      </c>
      <c r="BH48" s="189">
        <v>261267708.34999999</v>
      </c>
      <c r="BI48" s="189">
        <v>800467461.40999997</v>
      </c>
      <c r="BJ48" s="189">
        <v>629715938.67999995</v>
      </c>
      <c r="BK48" s="189">
        <v>142691086.62</v>
      </c>
      <c r="BL48" s="189">
        <v>216295919.33000001</v>
      </c>
      <c r="BM48" s="189">
        <v>584725447.89999998</v>
      </c>
      <c r="BN48" s="189">
        <v>358327853.04000002</v>
      </c>
      <c r="BO48" s="189">
        <v>204888539.56</v>
      </c>
      <c r="BP48" s="189">
        <v>208329971.93000001</v>
      </c>
      <c r="BQ48" s="189">
        <v>894549790.89999998</v>
      </c>
      <c r="BR48" s="189">
        <v>0</v>
      </c>
      <c r="BS48" s="189">
        <v>313458926.70999998</v>
      </c>
      <c r="BT48" s="189">
        <v>153185224.31</v>
      </c>
      <c r="BU48" s="189">
        <v>901537767.23000002</v>
      </c>
      <c r="BV48" s="189">
        <v>167561288.84</v>
      </c>
      <c r="BW48" s="189">
        <v>666367419.39999998</v>
      </c>
      <c r="BX48" s="189">
        <v>51055443.700000003</v>
      </c>
      <c r="BY48" s="189">
        <v>134594069.78999999</v>
      </c>
      <c r="BZ48" s="189">
        <v>354309750</v>
      </c>
      <c r="CA48" s="189">
        <v>267886661.69999999</v>
      </c>
      <c r="CB48" s="189">
        <v>223119861.33000001</v>
      </c>
      <c r="CC48" s="189">
        <v>165676312.36000001</v>
      </c>
      <c r="CD48" s="189">
        <v>0</v>
      </c>
    </row>
    <row r="49" spans="1:82"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row>
    <row r="50" spans="1:82" x14ac:dyDescent="0.25">
      <c r="A50" s="189" t="s">
        <v>154</v>
      </c>
      <c r="B50" s="189">
        <v>2579613439.3499999</v>
      </c>
      <c r="C50" s="189">
        <v>2568412966.9200001</v>
      </c>
      <c r="D50" s="189">
        <v>2583211456.79</v>
      </c>
      <c r="E50" s="189">
        <v>2566575608.48</v>
      </c>
      <c r="F50" s="189">
        <v>2308344141.98</v>
      </c>
      <c r="G50" s="189">
        <v>2277944100.8800001</v>
      </c>
      <c r="H50" s="189">
        <v>2277365113.0100002</v>
      </c>
      <c r="I50" s="189">
        <v>2273948506.8899999</v>
      </c>
      <c r="J50" s="189">
        <v>2401117225.5700002</v>
      </c>
      <c r="K50" s="189">
        <v>2416873000.23</v>
      </c>
      <c r="L50" s="189">
        <v>2210304258.0599999</v>
      </c>
      <c r="M50" s="189">
        <v>2387050259.0700002</v>
      </c>
      <c r="N50" s="189">
        <v>2095979570.0799999</v>
      </c>
      <c r="O50" s="189">
        <v>2250908932.27</v>
      </c>
      <c r="P50" s="189">
        <v>2195342417.4400001</v>
      </c>
      <c r="Q50" s="189">
        <v>2272260762.6300001</v>
      </c>
      <c r="R50" s="189">
        <v>1715232165.96</v>
      </c>
      <c r="S50" s="189">
        <v>1858748167.6500001</v>
      </c>
      <c r="T50" s="189">
        <v>2049570229.1900001</v>
      </c>
      <c r="U50" s="189">
        <v>2329068193.8299999</v>
      </c>
      <c r="V50" s="189">
        <v>2324951566.9400001</v>
      </c>
      <c r="W50" s="189">
        <v>2384027440.2399998</v>
      </c>
      <c r="X50" s="189">
        <v>1956435084.75</v>
      </c>
      <c r="Y50" s="189">
        <v>1971327322.3900001</v>
      </c>
      <c r="Z50" s="189">
        <v>1566700889.3</v>
      </c>
      <c r="AA50" s="189">
        <v>1520251335.3399999</v>
      </c>
      <c r="AB50" s="189">
        <v>1150338408.47</v>
      </c>
      <c r="AC50" s="189">
        <v>1063798296.8099999</v>
      </c>
      <c r="AD50" s="189">
        <v>614523162.72000003</v>
      </c>
      <c r="AE50" s="189">
        <v>349281985.49000001</v>
      </c>
      <c r="AF50" s="189">
        <v>344757117.88</v>
      </c>
      <c r="AG50" s="189">
        <v>348244603.83999997</v>
      </c>
      <c r="AH50" s="189">
        <v>348072998.49000001</v>
      </c>
      <c r="AI50" s="189">
        <v>37741922.579999998</v>
      </c>
      <c r="AJ50" s="189">
        <v>38875988.979999997</v>
      </c>
      <c r="AK50" s="189">
        <v>41710820.659999996</v>
      </c>
      <c r="AL50" s="189">
        <v>38420673.689999998</v>
      </c>
      <c r="AM50" s="189">
        <v>38785799.340000004</v>
      </c>
      <c r="AN50" s="189">
        <v>37384585.82</v>
      </c>
      <c r="AO50" s="189">
        <v>37475412.420000002</v>
      </c>
      <c r="AP50" s="189">
        <v>184237207.84</v>
      </c>
      <c r="AQ50" s="189">
        <v>189324045.03</v>
      </c>
      <c r="AR50" s="189">
        <v>185692378.16999999</v>
      </c>
      <c r="AS50" s="189">
        <v>193361894.02000001</v>
      </c>
      <c r="AT50" s="189">
        <v>364189862.92000002</v>
      </c>
      <c r="AU50" s="189">
        <v>226254094.66999999</v>
      </c>
      <c r="AV50" s="189">
        <v>224727463.31999999</v>
      </c>
      <c r="AW50" s="189">
        <v>200471053.72999999</v>
      </c>
      <c r="AX50" s="189">
        <v>199942676.69999999</v>
      </c>
      <c r="AY50" s="189">
        <v>199338215.37</v>
      </c>
      <c r="AZ50" s="189">
        <v>197590202.28</v>
      </c>
      <c r="BA50" s="189">
        <v>221827198.33000001</v>
      </c>
      <c r="BB50" s="189">
        <v>239324798.97</v>
      </c>
      <c r="BC50" s="189">
        <v>234337135.13</v>
      </c>
      <c r="BD50" s="189">
        <v>232269652.11000001</v>
      </c>
      <c r="BE50" s="189">
        <v>238504922.24000001</v>
      </c>
      <c r="BF50" s="189">
        <v>240142159.19</v>
      </c>
      <c r="BG50" s="189">
        <v>233532491.97999999</v>
      </c>
      <c r="BH50" s="189">
        <v>226448753.03</v>
      </c>
      <c r="BI50" s="189">
        <v>216156839.5</v>
      </c>
      <c r="BJ50" s="189">
        <v>204076027.99000001</v>
      </c>
      <c r="BK50" s="189">
        <v>197906581.22999999</v>
      </c>
      <c r="BL50" s="189">
        <v>193306881.84999999</v>
      </c>
      <c r="BM50" s="189">
        <v>187845500.33000001</v>
      </c>
      <c r="BN50" s="189">
        <v>184263383.56</v>
      </c>
      <c r="BO50" s="189">
        <v>180750840.25999999</v>
      </c>
      <c r="BP50" s="189">
        <v>174948161.38</v>
      </c>
      <c r="BQ50" s="189">
        <v>167906251.19999999</v>
      </c>
      <c r="BR50" s="189">
        <v>0</v>
      </c>
      <c r="BS50" s="189">
        <v>152054401.22999999</v>
      </c>
      <c r="BT50" s="189">
        <v>148930769.24000001</v>
      </c>
      <c r="BU50" s="189">
        <v>144738256.78</v>
      </c>
      <c r="BV50" s="189">
        <v>139606706.46000001</v>
      </c>
      <c r="BW50" s="189">
        <v>132629471.67</v>
      </c>
      <c r="BX50" s="189">
        <v>104150836.27</v>
      </c>
      <c r="BY50" s="189">
        <v>100718037.31</v>
      </c>
      <c r="BZ50" s="189">
        <v>70154801.060000002</v>
      </c>
      <c r="CA50" s="189">
        <v>18458106.190000001</v>
      </c>
      <c r="CB50" s="189">
        <v>16306257.609999999</v>
      </c>
      <c r="CC50" s="189">
        <v>25925821.690000001</v>
      </c>
      <c r="CD50" s="189">
        <v>0</v>
      </c>
    </row>
    <row r="51" spans="1:82" x14ac:dyDescent="0.25">
      <c r="A51" s="189" t="s">
        <v>155</v>
      </c>
      <c r="B51" s="189">
        <v>2445091023.25</v>
      </c>
      <c r="C51" s="189">
        <v>2431664835.9099998</v>
      </c>
      <c r="D51" s="189">
        <v>4101546395.6500001</v>
      </c>
      <c r="E51" s="189">
        <v>2644725962.5900002</v>
      </c>
      <c r="F51" s="189">
        <v>924311008.65999997</v>
      </c>
      <c r="G51" s="189">
        <v>581008449.63999999</v>
      </c>
      <c r="H51" s="189">
        <v>1623532023.6700001</v>
      </c>
      <c r="I51" s="189">
        <v>1091867750.03</v>
      </c>
      <c r="J51" s="189">
        <v>1077097693.23</v>
      </c>
      <c r="K51" s="189">
        <v>1024186092.38</v>
      </c>
      <c r="L51" s="189">
        <v>1130744682.3099999</v>
      </c>
      <c r="M51" s="189">
        <v>1042400938.1799999</v>
      </c>
      <c r="N51" s="189">
        <v>630566838.41999996</v>
      </c>
      <c r="O51" s="189">
        <v>908856741.54999995</v>
      </c>
      <c r="P51" s="189">
        <v>881400105</v>
      </c>
      <c r="Q51" s="189">
        <v>1097979258.6500001</v>
      </c>
      <c r="R51" s="189">
        <v>826697781.57000005</v>
      </c>
      <c r="S51" s="189">
        <v>1775265967.23</v>
      </c>
      <c r="T51" s="189">
        <v>1832690627.3499999</v>
      </c>
      <c r="U51" s="189">
        <v>2194188016.6599998</v>
      </c>
      <c r="V51" s="189">
        <v>2252817698.6199999</v>
      </c>
      <c r="W51" s="189">
        <v>3022230844.2399998</v>
      </c>
      <c r="X51" s="189">
        <v>2800160682.02</v>
      </c>
      <c r="Y51" s="189">
        <v>2780243294.1399999</v>
      </c>
      <c r="Z51" s="189">
        <v>2714697307.3899999</v>
      </c>
      <c r="AA51" s="189">
        <v>2341835538.6900001</v>
      </c>
      <c r="AB51" s="189">
        <v>2191605783.7199998</v>
      </c>
      <c r="AC51" s="189">
        <v>2087153334.95</v>
      </c>
      <c r="AD51" s="189">
        <v>1457830918.25</v>
      </c>
      <c r="AE51" s="189">
        <v>1555148691.54</v>
      </c>
      <c r="AF51" s="189">
        <v>1377392496.6199999</v>
      </c>
      <c r="AG51" s="189">
        <v>1582292614.5999999</v>
      </c>
      <c r="AH51" s="189">
        <v>875784865.62</v>
      </c>
      <c r="AI51" s="189">
        <v>606566873.84000003</v>
      </c>
      <c r="AJ51" s="189">
        <v>887626587.16999996</v>
      </c>
      <c r="AK51" s="189">
        <v>1046110746.79</v>
      </c>
      <c r="AL51" s="189">
        <v>825077628.10000002</v>
      </c>
      <c r="AM51" s="189">
        <v>831067887.66999996</v>
      </c>
      <c r="AN51" s="189">
        <v>1107063971.8499999</v>
      </c>
      <c r="AO51" s="189">
        <v>827803261.89999998</v>
      </c>
      <c r="AP51" s="189">
        <v>925269448.76999998</v>
      </c>
      <c r="AQ51" s="189">
        <v>902244377.95000005</v>
      </c>
      <c r="AR51" s="189">
        <v>1091124081.77</v>
      </c>
      <c r="AS51" s="189">
        <v>941728762.87</v>
      </c>
      <c r="AT51" s="189">
        <v>1368910307.23</v>
      </c>
      <c r="AU51" s="189">
        <v>1502244746.7</v>
      </c>
      <c r="AV51" s="189">
        <v>1597837675.27</v>
      </c>
      <c r="AW51" s="189">
        <v>1211103490.9000001</v>
      </c>
      <c r="AX51" s="189">
        <v>1323829312.27</v>
      </c>
      <c r="AY51" s="189">
        <v>1252128227.3699999</v>
      </c>
      <c r="AZ51" s="189">
        <v>1789022238.51</v>
      </c>
      <c r="BA51" s="189">
        <v>1434633243.3800001</v>
      </c>
      <c r="BB51" s="189">
        <v>1507555626.5699999</v>
      </c>
      <c r="BC51" s="189">
        <v>1568096163.8499999</v>
      </c>
      <c r="BD51" s="189">
        <v>1549608873.25</v>
      </c>
      <c r="BE51" s="189">
        <v>1229519160.02</v>
      </c>
      <c r="BF51" s="189">
        <v>1285696916.4100001</v>
      </c>
      <c r="BG51" s="189">
        <v>1343563012.78</v>
      </c>
      <c r="BH51" s="189">
        <v>1404173188.1300001</v>
      </c>
      <c r="BI51" s="189">
        <v>1049534838.29</v>
      </c>
      <c r="BJ51" s="189">
        <v>984770253.08000004</v>
      </c>
      <c r="BK51" s="189">
        <v>941464754.41999996</v>
      </c>
      <c r="BL51" s="189">
        <v>1004877827.5</v>
      </c>
      <c r="BM51" s="189">
        <v>729957675.29999995</v>
      </c>
      <c r="BN51" s="189">
        <v>786265003.01999998</v>
      </c>
      <c r="BO51" s="189">
        <v>787770022.34000003</v>
      </c>
      <c r="BP51" s="189">
        <v>733783820.07000005</v>
      </c>
      <c r="BQ51" s="189">
        <v>393489075.31</v>
      </c>
      <c r="BR51" s="189">
        <v>0</v>
      </c>
      <c r="BS51" s="189">
        <v>481468408.29000002</v>
      </c>
      <c r="BT51" s="189">
        <v>573691390.54999995</v>
      </c>
      <c r="BU51" s="189">
        <v>259216465.53</v>
      </c>
      <c r="BV51" s="189">
        <v>639621921.52999997</v>
      </c>
      <c r="BW51" s="189">
        <v>485183469.38</v>
      </c>
      <c r="BX51" s="189">
        <v>284101021.47000003</v>
      </c>
      <c r="BY51" s="189">
        <v>275509234.19999999</v>
      </c>
      <c r="BZ51" s="189">
        <v>221359624</v>
      </c>
      <c r="CA51" s="189">
        <v>130531218.91</v>
      </c>
      <c r="CB51" s="189">
        <v>69481090.340000004</v>
      </c>
      <c r="CC51" s="189">
        <v>14148829.369999999</v>
      </c>
      <c r="CD51" s="189">
        <v>0</v>
      </c>
    </row>
    <row r="52" spans="1:82"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row>
    <row r="53" spans="1:82" x14ac:dyDescent="0.25">
      <c r="A53" s="189" t="s">
        <v>157</v>
      </c>
      <c r="B53" s="189">
        <v>0</v>
      </c>
      <c r="C53" s="189">
        <v>5046990406.5</v>
      </c>
      <c r="D53" s="189">
        <v>0</v>
      </c>
      <c r="E53" s="189">
        <v>0</v>
      </c>
      <c r="F53" s="189">
        <v>0</v>
      </c>
      <c r="G53" s="189">
        <v>201132742.55000001</v>
      </c>
      <c r="H53" s="189">
        <v>0</v>
      </c>
      <c r="I53" s="189">
        <v>0</v>
      </c>
      <c r="J53" s="189">
        <v>70146471.420000002</v>
      </c>
      <c r="K53" s="189">
        <v>3036773376</v>
      </c>
      <c r="L53" s="189">
        <v>0</v>
      </c>
      <c r="M53" s="189">
        <v>0</v>
      </c>
      <c r="N53" s="189">
        <v>0</v>
      </c>
      <c r="O53" s="189">
        <v>0</v>
      </c>
      <c r="P53" s="189">
        <v>0</v>
      </c>
      <c r="Q53" s="189">
        <v>0</v>
      </c>
      <c r="R53" s="189">
        <v>0</v>
      </c>
      <c r="S53" s="189">
        <v>356571.6</v>
      </c>
      <c r="T53" s="189">
        <v>0</v>
      </c>
      <c r="U53" s="189">
        <v>0</v>
      </c>
      <c r="V53" s="189">
        <v>0</v>
      </c>
      <c r="W53" s="189">
        <v>0</v>
      </c>
      <c r="X53" s="189">
        <v>322500000</v>
      </c>
      <c r="Y53" s="189">
        <v>322500000</v>
      </c>
      <c r="Z53" s="189">
        <v>0</v>
      </c>
      <c r="AA53" s="189">
        <v>0</v>
      </c>
      <c r="AB53" s="189">
        <v>0</v>
      </c>
      <c r="AC53" s="189">
        <v>175000000</v>
      </c>
      <c r="AD53" s="189">
        <v>60625990.25</v>
      </c>
      <c r="AE53" s="189">
        <v>443625990.25</v>
      </c>
      <c r="AF53" s="189">
        <v>143625990.25</v>
      </c>
      <c r="AG53" s="189">
        <v>349275990.25</v>
      </c>
      <c r="AH53" s="189">
        <v>83000000</v>
      </c>
      <c r="AI53" s="189">
        <v>83000000</v>
      </c>
      <c r="AJ53" s="189">
        <v>14372430.720000001</v>
      </c>
      <c r="AK53" s="189">
        <v>220625990.25</v>
      </c>
      <c r="AL53" s="189">
        <v>0</v>
      </c>
      <c r="AM53" s="189">
        <v>0</v>
      </c>
      <c r="AN53" s="189">
        <v>0</v>
      </c>
      <c r="AO53" s="189">
        <v>0</v>
      </c>
      <c r="AP53" s="189">
        <v>0</v>
      </c>
      <c r="AQ53" s="189">
        <v>0</v>
      </c>
      <c r="AR53" s="189">
        <v>0</v>
      </c>
      <c r="AS53" s="189">
        <v>0</v>
      </c>
      <c r="AT53" s="189">
        <v>100000000</v>
      </c>
      <c r="AU53" s="189">
        <v>100000000</v>
      </c>
      <c r="AV53" s="189">
        <v>0</v>
      </c>
      <c r="AW53" s="189">
        <v>0</v>
      </c>
      <c r="AX53" s="189">
        <v>0</v>
      </c>
      <c r="AY53" s="189">
        <v>41778688</v>
      </c>
      <c r="AZ53" s="189">
        <v>0</v>
      </c>
      <c r="BA53" s="189">
        <v>0</v>
      </c>
      <c r="BB53" s="189">
        <v>0</v>
      </c>
      <c r="BC53" s="189">
        <v>0</v>
      </c>
      <c r="BD53" s="189">
        <v>0</v>
      </c>
      <c r="BE53" s="189">
        <v>0</v>
      </c>
      <c r="BF53" s="189">
        <v>0</v>
      </c>
      <c r="BG53" s="189">
        <v>0</v>
      </c>
      <c r="BH53" s="189">
        <v>0</v>
      </c>
      <c r="BI53" s="189">
        <v>0</v>
      </c>
      <c r="BJ53" s="189">
        <v>15606000</v>
      </c>
      <c r="BK53" s="189">
        <v>15606000</v>
      </c>
      <c r="BL53" s="189">
        <v>15606000</v>
      </c>
      <c r="BM53" s="189">
        <v>15606000</v>
      </c>
      <c r="BN53" s="189">
        <v>15606000</v>
      </c>
      <c r="BO53" s="189">
        <v>15606000</v>
      </c>
      <c r="BP53" s="189">
        <v>21726000</v>
      </c>
      <c r="BQ53" s="189">
        <v>21726000</v>
      </c>
      <c r="BR53" s="189">
        <v>0</v>
      </c>
      <c r="BS53" s="189">
        <v>51120000</v>
      </c>
      <c r="BT53" s="189">
        <v>0</v>
      </c>
      <c r="BU53" s="189">
        <v>0</v>
      </c>
      <c r="BV53" s="189">
        <v>0</v>
      </c>
      <c r="BW53" s="189">
        <v>0</v>
      </c>
      <c r="BX53" s="189">
        <v>0</v>
      </c>
      <c r="BY53" s="189">
        <v>400000000</v>
      </c>
      <c r="BZ53" s="189">
        <v>0</v>
      </c>
      <c r="CA53" s="189">
        <v>0</v>
      </c>
      <c r="CB53" s="189">
        <v>0</v>
      </c>
      <c r="CC53" s="189">
        <v>0</v>
      </c>
      <c r="CD53" s="189">
        <v>0</v>
      </c>
    </row>
    <row r="54" spans="1:82" x14ac:dyDescent="0.25">
      <c r="A54" s="189" t="s">
        <v>158</v>
      </c>
      <c r="B54" s="189">
        <v>2833164018.8499999</v>
      </c>
      <c r="C54" s="189">
        <v>2680768736.9299998</v>
      </c>
      <c r="D54" s="189">
        <v>2620675030.77</v>
      </c>
      <c r="E54" s="189">
        <v>2343421664.52</v>
      </c>
      <c r="F54" s="189">
        <v>1786094619.5699999</v>
      </c>
      <c r="G54" s="189">
        <v>1870305164.1099999</v>
      </c>
      <c r="H54" s="189">
        <v>2068230974.0899999</v>
      </c>
      <c r="I54" s="189">
        <v>1524627778.99</v>
      </c>
      <c r="J54" s="189">
        <v>1521840057.29</v>
      </c>
      <c r="K54" s="189">
        <v>1674159681.1800001</v>
      </c>
      <c r="L54" s="189">
        <v>1489404677.6700001</v>
      </c>
      <c r="M54" s="189">
        <v>1279924101.98</v>
      </c>
      <c r="N54" s="189">
        <v>849959453.26999998</v>
      </c>
      <c r="O54" s="189">
        <v>895112768.73000002</v>
      </c>
      <c r="P54" s="189">
        <v>763978112.34000003</v>
      </c>
      <c r="Q54" s="189">
        <v>964097340.10000002</v>
      </c>
      <c r="R54" s="189">
        <v>629662172.80999994</v>
      </c>
      <c r="S54" s="189">
        <v>534507606.94999999</v>
      </c>
      <c r="T54" s="189">
        <v>1067589249.7</v>
      </c>
      <c r="U54" s="189">
        <v>1058057337.88</v>
      </c>
      <c r="V54" s="189">
        <v>985846342.65999997</v>
      </c>
      <c r="W54" s="189">
        <v>1080971102.96</v>
      </c>
      <c r="X54" s="189">
        <v>1481140976.6099999</v>
      </c>
      <c r="Y54" s="189">
        <v>1394952635.3800001</v>
      </c>
      <c r="Z54" s="189">
        <v>1058913890.29</v>
      </c>
      <c r="AA54" s="189">
        <v>1168176009.1500001</v>
      </c>
      <c r="AB54" s="189">
        <v>839069143.04999995</v>
      </c>
      <c r="AC54" s="189">
        <v>801788668.84000003</v>
      </c>
      <c r="AD54" s="189">
        <v>757530281.40999997</v>
      </c>
      <c r="AE54" s="189">
        <v>845567369.25999999</v>
      </c>
      <c r="AF54" s="189">
        <v>575152633.72000003</v>
      </c>
      <c r="AG54" s="189">
        <v>689020663.08000004</v>
      </c>
      <c r="AH54" s="189">
        <v>304261188.48000002</v>
      </c>
      <c r="AI54" s="189">
        <v>456936057.51999998</v>
      </c>
      <c r="AJ54" s="189">
        <v>314291643.43000001</v>
      </c>
      <c r="AK54" s="189">
        <v>339959685.67000002</v>
      </c>
      <c r="AL54" s="189">
        <v>338920878.33999997</v>
      </c>
      <c r="AM54" s="189">
        <v>1488170160.77</v>
      </c>
      <c r="AN54" s="189">
        <v>72532938.930000007</v>
      </c>
      <c r="AO54" s="189">
        <v>84204694.840000004</v>
      </c>
      <c r="AP54" s="189">
        <v>69669456.340000004</v>
      </c>
      <c r="AQ54" s="189">
        <v>68127138.370000005</v>
      </c>
      <c r="AR54" s="189">
        <v>64087542.850000001</v>
      </c>
      <c r="AS54" s="189">
        <v>65927301.579999998</v>
      </c>
      <c r="AT54" s="189">
        <v>79209500.799999997</v>
      </c>
      <c r="AU54" s="189">
        <v>69486753.209999993</v>
      </c>
      <c r="AV54" s="189">
        <v>69325369.180000007</v>
      </c>
      <c r="AW54" s="189">
        <v>86262157.519999996</v>
      </c>
      <c r="AX54" s="189">
        <v>92534346.069999993</v>
      </c>
      <c r="AY54" s="189">
        <v>77012707.480000004</v>
      </c>
      <c r="AZ54" s="189">
        <v>73022433.510000005</v>
      </c>
      <c r="BA54" s="189">
        <v>71106488.989999995</v>
      </c>
      <c r="BB54" s="189">
        <v>66748166.009999998</v>
      </c>
      <c r="BC54" s="189">
        <v>55066850.789999999</v>
      </c>
      <c r="BD54" s="189">
        <v>52630683.039999999</v>
      </c>
      <c r="BE54" s="189">
        <v>50905875.689999998</v>
      </c>
      <c r="BF54" s="189">
        <v>94748745.290000007</v>
      </c>
      <c r="BG54" s="189">
        <v>91169462.680000007</v>
      </c>
      <c r="BH54" s="189">
        <v>53351389.810000002</v>
      </c>
      <c r="BI54" s="189">
        <v>42176687.57</v>
      </c>
      <c r="BJ54" s="189">
        <v>37867581.289999999</v>
      </c>
      <c r="BK54" s="189">
        <v>75939893.799999997</v>
      </c>
      <c r="BL54" s="189">
        <v>64162946.270000003</v>
      </c>
      <c r="BM54" s="189">
        <v>67870157.969999999</v>
      </c>
      <c r="BN54" s="189">
        <v>144028779.55000001</v>
      </c>
      <c r="BO54" s="189">
        <v>145439199.37</v>
      </c>
      <c r="BP54" s="189">
        <v>250811320.91999999</v>
      </c>
      <c r="BQ54" s="189">
        <v>205173603.58000001</v>
      </c>
      <c r="BR54" s="189">
        <v>0</v>
      </c>
      <c r="BS54" s="189">
        <v>626054931.66999996</v>
      </c>
      <c r="BT54" s="189">
        <v>40244829.950000003</v>
      </c>
      <c r="BU54" s="189">
        <v>50642667.810000002</v>
      </c>
      <c r="BV54" s="189">
        <v>28956327.039999999</v>
      </c>
      <c r="BW54" s="189">
        <v>159473726.08000001</v>
      </c>
      <c r="BX54" s="189">
        <v>165513370.62</v>
      </c>
      <c r="BY54" s="189">
        <v>51325961.829999998</v>
      </c>
      <c r="BZ54" s="189">
        <v>11420007.890000001</v>
      </c>
      <c r="CA54" s="189">
        <v>267189021.71000001</v>
      </c>
      <c r="CB54" s="189">
        <v>122816479.70999999</v>
      </c>
      <c r="CC54" s="189">
        <v>9945678.8499999996</v>
      </c>
      <c r="CD54" s="189">
        <v>0</v>
      </c>
    </row>
    <row r="55" spans="1:82"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380559.76</v>
      </c>
      <c r="AZ55" s="189">
        <v>0</v>
      </c>
      <c r="BA55" s="189">
        <v>0</v>
      </c>
      <c r="BB55" s="189">
        <v>0</v>
      </c>
      <c r="BC55" s="189">
        <v>0</v>
      </c>
      <c r="BD55" s="189">
        <v>0</v>
      </c>
      <c r="BE55" s="189">
        <v>3420.39</v>
      </c>
      <c r="BF55" s="189">
        <v>0</v>
      </c>
      <c r="BG55" s="189">
        <v>0</v>
      </c>
      <c r="BH55" s="189">
        <v>0</v>
      </c>
      <c r="BI55" s="189">
        <v>254000</v>
      </c>
      <c r="BJ55" s="189">
        <v>0</v>
      </c>
      <c r="BK55" s="189">
        <v>0</v>
      </c>
      <c r="BL55" s="189">
        <v>48386812.130000003</v>
      </c>
      <c r="BM55" s="189">
        <v>0</v>
      </c>
      <c r="BN55" s="189">
        <v>91709549.969999999</v>
      </c>
      <c r="BO55" s="189">
        <v>62059699.979999997</v>
      </c>
      <c r="BP55" s="189">
        <v>46029849.990000002</v>
      </c>
      <c r="BQ55" s="189">
        <v>0</v>
      </c>
      <c r="BR55" s="189">
        <v>0</v>
      </c>
      <c r="BS55" s="189">
        <v>132000000</v>
      </c>
      <c r="BT55" s="189">
        <v>111335488</v>
      </c>
      <c r="BU55" s="189">
        <v>0</v>
      </c>
      <c r="BV55" s="189">
        <v>172485428.63</v>
      </c>
      <c r="BW55" s="189">
        <v>0</v>
      </c>
      <c r="BX55" s="189">
        <v>118500000</v>
      </c>
      <c r="BY55" s="189">
        <v>0</v>
      </c>
      <c r="BZ55" s="189">
        <v>0</v>
      </c>
      <c r="CA55" s="189">
        <v>0</v>
      </c>
      <c r="CB55" s="189">
        <v>0</v>
      </c>
      <c r="CC55" s="189">
        <v>0</v>
      </c>
      <c r="CD55" s="189">
        <v>0</v>
      </c>
    </row>
    <row r="56" spans="1:82"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row>
    <row r="57" spans="1:82"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row>
    <row r="58" spans="1:82"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0</v>
      </c>
      <c r="BY58" s="189">
        <v>0</v>
      </c>
      <c r="BZ58" s="189">
        <v>0</v>
      </c>
      <c r="CA58" s="189">
        <v>0</v>
      </c>
      <c r="CB58" s="189">
        <v>30000000</v>
      </c>
      <c r="CC58" s="189">
        <v>0</v>
      </c>
      <c r="CD58" s="189">
        <v>0</v>
      </c>
    </row>
    <row r="59" spans="1:82" x14ac:dyDescent="0.25">
      <c r="A59" s="189" t="s">
        <v>163</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564822857.91999996</v>
      </c>
      <c r="AM59" s="189">
        <v>566280800.39999998</v>
      </c>
      <c r="AN59" s="189">
        <v>0</v>
      </c>
      <c r="AO59" s="189">
        <v>0</v>
      </c>
      <c r="AP59" s="189">
        <v>0</v>
      </c>
      <c r="AQ59" s="189">
        <v>0</v>
      </c>
      <c r="AR59" s="189">
        <v>250000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29379522.879999999</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row>
    <row r="60" spans="1:82" x14ac:dyDescent="0.25">
      <c r="A60" s="189" t="s">
        <v>164</v>
      </c>
      <c r="B60" s="189">
        <v>14810708215.52</v>
      </c>
      <c r="C60" s="189">
        <v>21611528192.98</v>
      </c>
      <c r="D60" s="189">
        <v>19481905867.709999</v>
      </c>
      <c r="E60" s="189">
        <v>15968029113.73</v>
      </c>
      <c r="F60" s="189">
        <v>13944789298.030001</v>
      </c>
      <c r="G60" s="189">
        <v>14369462413.67</v>
      </c>
      <c r="H60" s="189">
        <v>15640354276.5</v>
      </c>
      <c r="I60" s="189">
        <v>13687886638.41</v>
      </c>
      <c r="J60" s="189">
        <v>13609489177.6</v>
      </c>
      <c r="K60" s="189">
        <v>14395025269.42</v>
      </c>
      <c r="L60" s="189">
        <v>13397090207.91</v>
      </c>
      <c r="M60" s="189">
        <v>7967616901.2299995</v>
      </c>
      <c r="N60" s="189">
        <v>5363736817.2299995</v>
      </c>
      <c r="O60" s="189">
        <v>5861420064.1400003</v>
      </c>
      <c r="P60" s="189">
        <v>5884964631.7399998</v>
      </c>
      <c r="Q60" s="189">
        <v>5924940792.75</v>
      </c>
      <c r="R60" s="189">
        <v>5553657482.7700005</v>
      </c>
      <c r="S60" s="189">
        <v>6446669478.1800003</v>
      </c>
      <c r="T60" s="189">
        <v>7496844408.8900003</v>
      </c>
      <c r="U60" s="189">
        <v>7042604818.1499996</v>
      </c>
      <c r="V60" s="189">
        <v>7890822650.2200003</v>
      </c>
      <c r="W60" s="189">
        <v>10503773521.700001</v>
      </c>
      <c r="X60" s="189">
        <v>11166370139.139999</v>
      </c>
      <c r="Y60" s="189">
        <v>13666976313.52</v>
      </c>
      <c r="Z60" s="189">
        <v>12190789973.950001</v>
      </c>
      <c r="AA60" s="189">
        <v>12865584014.290001</v>
      </c>
      <c r="AB60" s="189">
        <v>12234551344.540001</v>
      </c>
      <c r="AC60" s="189">
        <v>13409430780.33</v>
      </c>
      <c r="AD60" s="189">
        <v>11043964405.799999</v>
      </c>
      <c r="AE60" s="189">
        <v>11654141168.5</v>
      </c>
      <c r="AF60" s="189">
        <v>10426776095.15</v>
      </c>
      <c r="AG60" s="189">
        <v>10288335820.389999</v>
      </c>
      <c r="AH60" s="189">
        <v>7164649825.0299997</v>
      </c>
      <c r="AI60" s="189">
        <v>6902900212.71</v>
      </c>
      <c r="AJ60" s="189">
        <v>6626296029.9099998</v>
      </c>
      <c r="AK60" s="189">
        <v>6263747969.9799995</v>
      </c>
      <c r="AL60" s="189">
        <v>5254438424.6999998</v>
      </c>
      <c r="AM60" s="189">
        <v>3724050937.7399998</v>
      </c>
      <c r="AN60" s="189">
        <v>1646801253.1199999</v>
      </c>
      <c r="AO60" s="189">
        <v>2040483851.52</v>
      </c>
      <c r="AP60" s="189">
        <v>1948823711.28</v>
      </c>
      <c r="AQ60" s="189">
        <v>1552393491.46</v>
      </c>
      <c r="AR60" s="189">
        <v>1820161817.1800001</v>
      </c>
      <c r="AS60" s="189">
        <v>1942914142.9300001</v>
      </c>
      <c r="AT60" s="189">
        <v>2518990762.3099999</v>
      </c>
      <c r="AU60" s="189">
        <v>2269177278.3899999</v>
      </c>
      <c r="AV60" s="189">
        <v>2281521669.6399999</v>
      </c>
      <c r="AW60" s="189">
        <v>2036455444.3299999</v>
      </c>
      <c r="AX60" s="189">
        <v>2109377064.49</v>
      </c>
      <c r="AY60" s="189">
        <v>1977123892.3199999</v>
      </c>
      <c r="AZ60" s="189">
        <v>2419492935.2800002</v>
      </c>
      <c r="BA60" s="189">
        <v>2225624130.3200002</v>
      </c>
      <c r="BB60" s="189">
        <v>2163769318.79</v>
      </c>
      <c r="BC60" s="189">
        <v>2336634109.3099999</v>
      </c>
      <c r="BD60" s="189">
        <v>2135426593.6800001</v>
      </c>
      <c r="BE60" s="189">
        <v>2221071726.23</v>
      </c>
      <c r="BF60" s="189">
        <v>2363522547.0700002</v>
      </c>
      <c r="BG60" s="189">
        <v>2367943598.6300001</v>
      </c>
      <c r="BH60" s="189">
        <v>2619427638.9000001</v>
      </c>
      <c r="BI60" s="189">
        <v>2234386977.8699999</v>
      </c>
      <c r="BJ60" s="189">
        <v>2151753930.4099998</v>
      </c>
      <c r="BK60" s="189">
        <v>1600205296.51</v>
      </c>
      <c r="BL60" s="189">
        <v>1908788859.8399999</v>
      </c>
      <c r="BM60" s="189">
        <v>1917135025.04</v>
      </c>
      <c r="BN60" s="189">
        <v>1893101857.29</v>
      </c>
      <c r="BO60" s="189">
        <v>1689930196.6099999</v>
      </c>
      <c r="BP60" s="189">
        <v>1740629411.22</v>
      </c>
      <c r="BQ60" s="189">
        <v>1963125038.6900001</v>
      </c>
      <c r="BR60" s="189">
        <v>2427070000</v>
      </c>
      <c r="BS60" s="189">
        <v>1901927651.3699999</v>
      </c>
      <c r="BT60" s="189">
        <v>1069147981.5599999</v>
      </c>
      <c r="BU60" s="189">
        <v>1386200999.3</v>
      </c>
      <c r="BV60" s="189">
        <v>1184894016.04</v>
      </c>
      <c r="BW60" s="189">
        <v>1491262990.98</v>
      </c>
      <c r="BX60" s="189">
        <v>733039882.75</v>
      </c>
      <c r="BY60" s="189">
        <v>978040661.33000004</v>
      </c>
      <c r="BZ60" s="189">
        <v>668555100.62</v>
      </c>
      <c r="CA60" s="189">
        <v>732782553.5</v>
      </c>
      <c r="CB60" s="189">
        <v>580546540.62</v>
      </c>
      <c r="CC60" s="189">
        <v>406932942.48000002</v>
      </c>
      <c r="CD60" s="189">
        <v>0</v>
      </c>
    </row>
    <row r="61" spans="1:82" x14ac:dyDescent="0.25">
      <c r="A61" s="189" t="s">
        <v>165</v>
      </c>
    </row>
    <row r="62" spans="1:82"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23500000</v>
      </c>
      <c r="BV62" s="189">
        <v>0</v>
      </c>
      <c r="BW62" s="189">
        <v>2813030.67</v>
      </c>
      <c r="BX62" s="189">
        <v>0</v>
      </c>
      <c r="BY62" s="189">
        <v>0</v>
      </c>
      <c r="BZ62" s="189">
        <v>0</v>
      </c>
      <c r="CA62" s="189">
        <v>30000000</v>
      </c>
      <c r="CB62" s="189">
        <v>30000000</v>
      </c>
      <c r="CC62" s="189">
        <v>125350000</v>
      </c>
      <c r="CD62" s="189">
        <v>0</v>
      </c>
    </row>
    <row r="63" spans="1:82"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row>
    <row r="64" spans="1:82" x14ac:dyDescent="0.25">
      <c r="A64" s="189" t="s">
        <v>168</v>
      </c>
      <c r="B64" s="189">
        <v>0</v>
      </c>
      <c r="C64" s="189">
        <v>0</v>
      </c>
      <c r="D64" s="189">
        <v>0</v>
      </c>
      <c r="E64" s="189">
        <v>0</v>
      </c>
      <c r="F64" s="189">
        <v>0</v>
      </c>
      <c r="G64" s="189">
        <v>0</v>
      </c>
      <c r="H64" s="189">
        <v>0</v>
      </c>
      <c r="I64" s="189">
        <v>0</v>
      </c>
      <c r="J64" s="189">
        <v>0</v>
      </c>
      <c r="K64" s="189">
        <v>0</v>
      </c>
      <c r="L64" s="189">
        <v>0</v>
      </c>
      <c r="M64" s="189">
        <v>0</v>
      </c>
      <c r="N64" s="189">
        <v>1000000</v>
      </c>
      <c r="O64" s="189">
        <v>1000000</v>
      </c>
      <c r="P64" s="189">
        <v>1000000</v>
      </c>
      <c r="Q64" s="189">
        <v>1000000</v>
      </c>
      <c r="R64" s="189">
        <v>1000000</v>
      </c>
      <c r="S64" s="189">
        <v>1000000</v>
      </c>
      <c r="T64" s="189">
        <v>1000000</v>
      </c>
      <c r="U64" s="189">
        <v>1000000</v>
      </c>
      <c r="V64" s="189">
        <v>1000000</v>
      </c>
      <c r="W64" s="189">
        <v>1000000</v>
      </c>
      <c r="X64" s="189">
        <v>1000000</v>
      </c>
      <c r="Y64" s="189">
        <v>1000000</v>
      </c>
      <c r="Z64" s="189">
        <v>1000000</v>
      </c>
      <c r="AA64" s="189">
        <v>1000000</v>
      </c>
      <c r="AB64" s="189">
        <v>1000000</v>
      </c>
      <c r="AC64" s="189">
        <v>1000000</v>
      </c>
      <c r="AD64" s="189">
        <v>1000000</v>
      </c>
      <c r="AE64" s="189">
        <v>1000000</v>
      </c>
      <c r="AF64" s="189">
        <v>1000000</v>
      </c>
      <c r="AG64" s="189">
        <v>1000000</v>
      </c>
      <c r="AH64" s="189">
        <v>1000000</v>
      </c>
      <c r="AI64" s="189">
        <v>1000000</v>
      </c>
      <c r="AJ64" s="189">
        <v>1000000</v>
      </c>
      <c r="AK64" s="189">
        <v>1000000</v>
      </c>
      <c r="AL64" s="189">
        <v>0</v>
      </c>
      <c r="AM64" s="189">
        <v>0</v>
      </c>
      <c r="AN64" s="189">
        <v>0</v>
      </c>
      <c r="AO64" s="189">
        <v>0</v>
      </c>
      <c r="AP64" s="189">
        <v>0</v>
      </c>
      <c r="AQ64" s="189">
        <v>0</v>
      </c>
      <c r="AR64" s="189">
        <v>0</v>
      </c>
      <c r="AS64" s="189">
        <v>2500000</v>
      </c>
      <c r="AT64" s="189">
        <v>2500000</v>
      </c>
      <c r="AU64" s="189">
        <v>2500000</v>
      </c>
      <c r="AV64" s="189">
        <v>2500000</v>
      </c>
      <c r="AW64" s="189">
        <v>2500000</v>
      </c>
      <c r="AX64" s="189">
        <v>2500000</v>
      </c>
      <c r="AY64" s="189">
        <v>2500000</v>
      </c>
      <c r="AZ64" s="189">
        <v>2500000</v>
      </c>
      <c r="BA64" s="189">
        <v>2500000</v>
      </c>
      <c r="BB64" s="189">
        <v>2500000</v>
      </c>
      <c r="BC64" s="189">
        <v>2500000</v>
      </c>
      <c r="BD64" s="189">
        <v>2500000</v>
      </c>
      <c r="BE64" s="189">
        <v>2500000</v>
      </c>
      <c r="BF64" s="189">
        <v>2500000</v>
      </c>
      <c r="BG64" s="189">
        <v>2500000</v>
      </c>
      <c r="BH64" s="189">
        <v>2500000</v>
      </c>
      <c r="BI64" s="189">
        <v>0</v>
      </c>
      <c r="BJ64" s="189">
        <v>2500000</v>
      </c>
      <c r="BK64" s="189">
        <v>2500000</v>
      </c>
      <c r="BL64" s="189">
        <v>2500000</v>
      </c>
      <c r="BM64" s="189">
        <v>22500000</v>
      </c>
      <c r="BN64" s="189">
        <v>22500000</v>
      </c>
      <c r="BO64" s="189">
        <v>74500000</v>
      </c>
      <c r="BP64" s="189">
        <v>22500000</v>
      </c>
      <c r="BQ64" s="189">
        <v>22500000</v>
      </c>
      <c r="BR64" s="189">
        <v>0</v>
      </c>
      <c r="BS64" s="189">
        <v>22500000</v>
      </c>
      <c r="BT64" s="189">
        <v>23500000</v>
      </c>
      <c r="BU64" s="189">
        <v>23500000</v>
      </c>
      <c r="BV64" s="189">
        <v>1000000</v>
      </c>
      <c r="BW64" s="189">
        <v>1000000</v>
      </c>
      <c r="BX64" s="189">
        <v>0</v>
      </c>
      <c r="BY64" s="189">
        <v>0</v>
      </c>
      <c r="BZ64" s="189">
        <v>0</v>
      </c>
      <c r="CA64" s="189">
        <v>0</v>
      </c>
      <c r="CB64" s="189">
        <v>0</v>
      </c>
      <c r="CC64" s="189">
        <v>0</v>
      </c>
      <c r="CD64" s="189">
        <v>0</v>
      </c>
    </row>
    <row r="65" spans="1:82" x14ac:dyDescent="0.25">
      <c r="A65" s="189" t="s">
        <v>169</v>
      </c>
      <c r="B65" s="189">
        <v>0</v>
      </c>
      <c r="C65" s="189">
        <v>0</v>
      </c>
      <c r="D65" s="189">
        <v>0</v>
      </c>
      <c r="E65" s="189">
        <v>0</v>
      </c>
      <c r="F65" s="189">
        <v>0</v>
      </c>
      <c r="G65" s="189">
        <v>0</v>
      </c>
      <c r="H65" s="189">
        <v>0</v>
      </c>
      <c r="I65" s="189">
        <v>0</v>
      </c>
      <c r="J65" s="189">
        <v>6677340</v>
      </c>
      <c r="K65" s="189">
        <v>6677340</v>
      </c>
      <c r="L65" s="189">
        <v>6677340</v>
      </c>
      <c r="M65" s="189">
        <v>6677340</v>
      </c>
      <c r="N65" s="189">
        <v>4591646</v>
      </c>
      <c r="O65" s="189">
        <v>4591646</v>
      </c>
      <c r="P65" s="189">
        <v>4591646</v>
      </c>
      <c r="Q65" s="189">
        <v>4591646</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row>
    <row r="66" spans="1:82"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row>
    <row r="67" spans="1:82"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row>
    <row r="68" spans="1:82"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1437813.12</v>
      </c>
      <c r="Y68" s="189">
        <v>1731506.96</v>
      </c>
      <c r="Z68" s="189">
        <v>803421.28</v>
      </c>
      <c r="AA68" s="189">
        <v>1054171.6000000001</v>
      </c>
      <c r="AB68" s="189">
        <v>1406781.76</v>
      </c>
      <c r="AC68" s="189">
        <v>1538490.4</v>
      </c>
      <c r="AD68" s="189">
        <v>1418973.68</v>
      </c>
      <c r="AE68" s="189">
        <v>2127254</v>
      </c>
      <c r="AF68" s="189">
        <v>2593201.44</v>
      </c>
      <c r="AG68" s="189">
        <v>2152565.08</v>
      </c>
      <c r="AH68" s="189">
        <v>2154568.16</v>
      </c>
      <c r="AI68" s="189">
        <v>2159192.08</v>
      </c>
      <c r="AJ68" s="189">
        <v>3428369.52</v>
      </c>
      <c r="AK68" s="189">
        <v>3880421.16</v>
      </c>
      <c r="AL68" s="189">
        <v>0</v>
      </c>
      <c r="AM68" s="189">
        <v>0</v>
      </c>
      <c r="AN68" s="189">
        <v>0</v>
      </c>
      <c r="AO68" s="189">
        <v>0</v>
      </c>
      <c r="AP68" s="189">
        <v>0</v>
      </c>
      <c r="AQ68" s="189">
        <v>0</v>
      </c>
      <c r="AR68" s="189">
        <v>0</v>
      </c>
      <c r="AS68" s="189">
        <v>0</v>
      </c>
      <c r="AT68" s="189">
        <v>2666997.58</v>
      </c>
      <c r="AU68" s="189">
        <v>2685258.13</v>
      </c>
      <c r="AV68" s="189">
        <v>2811819.73</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row>
    <row r="69" spans="1:82" x14ac:dyDescent="0.25">
      <c r="A69" s="189" t="s">
        <v>173</v>
      </c>
      <c r="B69" s="189">
        <v>268884201.55000001</v>
      </c>
      <c r="C69" s="189">
        <v>271827784.88</v>
      </c>
      <c r="D69" s="189">
        <v>277698333.19</v>
      </c>
      <c r="E69" s="189">
        <v>280271916.51999998</v>
      </c>
      <c r="F69" s="189">
        <v>285279999.85000002</v>
      </c>
      <c r="G69" s="189">
        <v>285738749.86000001</v>
      </c>
      <c r="H69" s="189">
        <v>281197499.87</v>
      </c>
      <c r="I69" s="189">
        <v>280660735.08999997</v>
      </c>
      <c r="J69" s="189">
        <v>283219485.10000002</v>
      </c>
      <c r="K69" s="189">
        <v>226158235.11000001</v>
      </c>
      <c r="L69" s="189">
        <v>227016985.12</v>
      </c>
      <c r="M69" s="189">
        <v>227179736.72999999</v>
      </c>
      <c r="N69" s="189">
        <v>186078486.74000001</v>
      </c>
      <c r="O69" s="189">
        <v>187450268</v>
      </c>
      <c r="P69" s="189">
        <v>147999018.00999999</v>
      </c>
      <c r="Q69" s="189">
        <v>145257768.02000001</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row>
    <row r="70" spans="1:82"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64516518.030000001</v>
      </c>
      <c r="S70" s="189">
        <v>64195268.039999999</v>
      </c>
      <c r="T70" s="189">
        <v>64654018.049999997</v>
      </c>
      <c r="U70" s="189">
        <v>66612768.060000002</v>
      </c>
      <c r="V70" s="189">
        <v>56924018.060000002</v>
      </c>
      <c r="W70" s="189">
        <v>57235268.060000002</v>
      </c>
      <c r="X70" s="189">
        <v>57546518.060000002</v>
      </c>
      <c r="Y70" s="189">
        <v>56857768.060000002</v>
      </c>
      <c r="Z70" s="189">
        <v>57139018.060000002</v>
      </c>
      <c r="AA70" s="189">
        <v>49620268.060000002</v>
      </c>
      <c r="AB70" s="189">
        <v>47501518.060000002</v>
      </c>
      <c r="AC70" s="189">
        <v>47182768.060000002</v>
      </c>
      <c r="AD70" s="189">
        <v>40877143.07</v>
      </c>
      <c r="AE70" s="189">
        <v>23814643.07</v>
      </c>
      <c r="AF70" s="189">
        <v>19910598.219999999</v>
      </c>
      <c r="AG70" s="189">
        <v>15910598.220000001</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2500000</v>
      </c>
      <c r="BJ70" s="189">
        <v>0</v>
      </c>
      <c r="BK70" s="189">
        <v>0</v>
      </c>
      <c r="BL70" s="189">
        <v>0</v>
      </c>
      <c r="BM70" s="189">
        <v>0</v>
      </c>
      <c r="BN70" s="189">
        <v>0</v>
      </c>
      <c r="BO70" s="189">
        <v>0</v>
      </c>
      <c r="BP70" s="189">
        <v>0</v>
      </c>
      <c r="BQ70" s="189">
        <v>0</v>
      </c>
      <c r="BR70" s="189">
        <v>0</v>
      </c>
      <c r="BS70" s="189">
        <v>0</v>
      </c>
      <c r="BT70" s="189">
        <v>0</v>
      </c>
      <c r="BU70" s="189">
        <v>0</v>
      </c>
      <c r="BV70" s="189">
        <v>3321518.19</v>
      </c>
      <c r="BW70" s="189">
        <v>3323374.85</v>
      </c>
      <c r="BX70" s="189">
        <v>0</v>
      </c>
      <c r="BY70" s="189">
        <v>0</v>
      </c>
      <c r="BZ70" s="189">
        <v>0</v>
      </c>
      <c r="CA70" s="189">
        <v>0</v>
      </c>
      <c r="CB70" s="189">
        <v>0</v>
      </c>
      <c r="CC70" s="189">
        <v>0</v>
      </c>
      <c r="CD70" s="189">
        <v>0</v>
      </c>
    </row>
    <row r="71" spans="1:82" x14ac:dyDescent="0.25">
      <c r="A71" s="189" t="s">
        <v>175</v>
      </c>
      <c r="B71" s="189">
        <v>268884201.55000001</v>
      </c>
      <c r="C71" s="189">
        <v>271827784.88</v>
      </c>
      <c r="D71" s="189">
        <v>277698333.19</v>
      </c>
      <c r="E71" s="189">
        <v>280271916.51999998</v>
      </c>
      <c r="F71" s="189">
        <v>285279999.85000002</v>
      </c>
      <c r="G71" s="189">
        <v>285738749.86000001</v>
      </c>
      <c r="H71" s="189">
        <v>281197499.87</v>
      </c>
      <c r="I71" s="189">
        <v>280660735.08999997</v>
      </c>
      <c r="J71" s="189">
        <v>289896825.10000002</v>
      </c>
      <c r="K71" s="189">
        <v>232835575.11000001</v>
      </c>
      <c r="L71" s="189">
        <v>233694325.12</v>
      </c>
      <c r="M71" s="189">
        <v>233857076.72999999</v>
      </c>
      <c r="N71" s="189">
        <v>191670132.74000001</v>
      </c>
      <c r="O71" s="189">
        <v>193041914</v>
      </c>
      <c r="P71" s="189">
        <v>153590664.00999999</v>
      </c>
      <c r="Q71" s="189">
        <v>150849414.02000001</v>
      </c>
      <c r="R71" s="189">
        <v>65516518.030000001</v>
      </c>
      <c r="S71" s="189">
        <v>65195268.039999999</v>
      </c>
      <c r="T71" s="189">
        <v>65654018.049999997</v>
      </c>
      <c r="U71" s="189">
        <v>67612768.060000002</v>
      </c>
      <c r="V71" s="189">
        <v>57924018.060000002</v>
      </c>
      <c r="W71" s="189">
        <v>58235268.060000002</v>
      </c>
      <c r="X71" s="189">
        <v>59984331.18</v>
      </c>
      <c r="Y71" s="189">
        <v>59589275.020000003</v>
      </c>
      <c r="Z71" s="189">
        <v>58942439.340000004</v>
      </c>
      <c r="AA71" s="189">
        <v>51674439.659999996</v>
      </c>
      <c r="AB71" s="189">
        <v>49908299.82</v>
      </c>
      <c r="AC71" s="189">
        <v>49721258.460000001</v>
      </c>
      <c r="AD71" s="189">
        <v>43296116.75</v>
      </c>
      <c r="AE71" s="189">
        <v>26941897.07</v>
      </c>
      <c r="AF71" s="189">
        <v>23503799.66</v>
      </c>
      <c r="AG71" s="189">
        <v>19063163.300000001</v>
      </c>
      <c r="AH71" s="189">
        <v>3154568.16</v>
      </c>
      <c r="AI71" s="189">
        <v>3159192.08</v>
      </c>
      <c r="AJ71" s="189">
        <v>4428369.5199999996</v>
      </c>
      <c r="AK71" s="189">
        <v>4880421.16</v>
      </c>
      <c r="AL71" s="189">
        <v>0</v>
      </c>
      <c r="AM71" s="189">
        <v>0</v>
      </c>
      <c r="AN71" s="189">
        <v>0</v>
      </c>
      <c r="AO71" s="189">
        <v>0</v>
      </c>
      <c r="AP71" s="189">
        <v>0</v>
      </c>
      <c r="AQ71" s="189">
        <v>0</v>
      </c>
      <c r="AR71" s="189">
        <v>0</v>
      </c>
      <c r="AS71" s="189">
        <v>2500000</v>
      </c>
      <c r="AT71" s="189">
        <v>5166997.58</v>
      </c>
      <c r="AU71" s="189">
        <v>5185258.13</v>
      </c>
      <c r="AV71" s="189">
        <v>5311819.7300000004</v>
      </c>
      <c r="AW71" s="189">
        <v>2500000</v>
      </c>
      <c r="AX71" s="189">
        <v>2500000</v>
      </c>
      <c r="AY71" s="189">
        <v>2500000</v>
      </c>
      <c r="AZ71" s="189">
        <v>2500000</v>
      </c>
      <c r="BA71" s="189">
        <v>2500000</v>
      </c>
      <c r="BB71" s="189">
        <v>2500000</v>
      </c>
      <c r="BC71" s="189">
        <v>2500000</v>
      </c>
      <c r="BD71" s="189">
        <v>2500000</v>
      </c>
      <c r="BE71" s="189">
        <v>2500000</v>
      </c>
      <c r="BF71" s="189">
        <v>2500000</v>
      </c>
      <c r="BG71" s="189">
        <v>2500000</v>
      </c>
      <c r="BH71" s="189">
        <v>2500000</v>
      </c>
      <c r="BI71" s="189">
        <v>2500000</v>
      </c>
      <c r="BJ71" s="189">
        <v>2500000</v>
      </c>
      <c r="BK71" s="189">
        <v>2500000</v>
      </c>
      <c r="BL71" s="189">
        <v>2500000</v>
      </c>
      <c r="BM71" s="189">
        <v>22500000</v>
      </c>
      <c r="BN71" s="189">
        <v>22500000</v>
      </c>
      <c r="BO71" s="189">
        <v>74500000</v>
      </c>
      <c r="BP71" s="189">
        <v>22500000</v>
      </c>
      <c r="BQ71" s="189">
        <v>22500000</v>
      </c>
      <c r="BR71" s="189">
        <v>22500000</v>
      </c>
      <c r="BS71" s="189">
        <v>22500000</v>
      </c>
      <c r="BT71" s="189">
        <v>23500000</v>
      </c>
      <c r="BU71" s="189">
        <v>23500000</v>
      </c>
      <c r="BV71" s="189">
        <v>4321518.1900000004</v>
      </c>
      <c r="BW71" s="189">
        <v>7136405.5199999996</v>
      </c>
      <c r="BX71" s="189">
        <v>0</v>
      </c>
      <c r="BY71" s="189">
        <v>0</v>
      </c>
      <c r="BZ71" s="189">
        <v>0</v>
      </c>
      <c r="CA71" s="189">
        <v>30000000</v>
      </c>
      <c r="CB71" s="189">
        <v>30000000</v>
      </c>
      <c r="CC71" s="189">
        <v>125350000</v>
      </c>
      <c r="CD71" s="189">
        <v>0</v>
      </c>
    </row>
    <row r="72" spans="1:82" x14ac:dyDescent="0.25">
      <c r="A72" s="189" t="s">
        <v>176</v>
      </c>
      <c r="B72" s="189">
        <v>15079592417.07</v>
      </c>
      <c r="C72" s="189">
        <v>21883355977.860001</v>
      </c>
      <c r="D72" s="189">
        <v>19759604200.900002</v>
      </c>
      <c r="E72" s="189">
        <v>16248301030.25</v>
      </c>
      <c r="F72" s="189">
        <v>14230069297.879999</v>
      </c>
      <c r="G72" s="189">
        <v>14655201163.530001</v>
      </c>
      <c r="H72" s="189">
        <v>15921551776.370001</v>
      </c>
      <c r="I72" s="189">
        <v>13968547373.5</v>
      </c>
      <c r="J72" s="189">
        <v>13899386002.700001</v>
      </c>
      <c r="K72" s="189">
        <v>14627860844.530001</v>
      </c>
      <c r="L72" s="189">
        <v>13630784533.030001</v>
      </c>
      <c r="M72" s="189">
        <v>8201473977.96</v>
      </c>
      <c r="N72" s="189">
        <v>5555406949.9700003</v>
      </c>
      <c r="O72" s="189">
        <v>6054461978.1400003</v>
      </c>
      <c r="P72" s="189">
        <v>6038555295.75</v>
      </c>
      <c r="Q72" s="189">
        <v>6075790206.7700005</v>
      </c>
      <c r="R72" s="189">
        <v>5619174000.8000002</v>
      </c>
      <c r="S72" s="189">
        <v>6511864746.2200003</v>
      </c>
      <c r="T72" s="189">
        <v>7562498426.9399996</v>
      </c>
      <c r="U72" s="189">
        <v>7110217586.21</v>
      </c>
      <c r="V72" s="189">
        <v>7948746668.2799997</v>
      </c>
      <c r="W72" s="189">
        <v>10562008789.76</v>
      </c>
      <c r="X72" s="189">
        <v>11226354470.32</v>
      </c>
      <c r="Y72" s="189">
        <v>13726565588.540001</v>
      </c>
      <c r="Z72" s="189">
        <v>12249732413.290001</v>
      </c>
      <c r="AA72" s="189">
        <v>12917258453.950001</v>
      </c>
      <c r="AB72" s="189">
        <v>12284459644.360001</v>
      </c>
      <c r="AC72" s="189">
        <v>13459152038.790001</v>
      </c>
      <c r="AD72" s="189">
        <v>11087260522.549999</v>
      </c>
      <c r="AE72" s="189">
        <v>11681083065.57</v>
      </c>
      <c r="AF72" s="189">
        <v>10450279894.809999</v>
      </c>
      <c r="AG72" s="189">
        <v>10307398983.690001</v>
      </c>
      <c r="AH72" s="189">
        <v>7167804393.1899996</v>
      </c>
      <c r="AI72" s="189">
        <v>6906059404.79</v>
      </c>
      <c r="AJ72" s="189">
        <v>6630724399.4300003</v>
      </c>
      <c r="AK72" s="189">
        <v>6268628391.1400003</v>
      </c>
      <c r="AL72" s="189">
        <v>5254438424.6999998</v>
      </c>
      <c r="AM72" s="189">
        <v>3724050937.7399998</v>
      </c>
      <c r="AN72" s="189">
        <v>1646801253.1199999</v>
      </c>
      <c r="AO72" s="189">
        <v>2040483851.52</v>
      </c>
      <c r="AP72" s="189">
        <v>1948823711.28</v>
      </c>
      <c r="AQ72" s="189">
        <v>1552393491.46</v>
      </c>
      <c r="AR72" s="189">
        <v>1820161817.1800001</v>
      </c>
      <c r="AS72" s="189">
        <v>1945414142.9300001</v>
      </c>
      <c r="AT72" s="189">
        <v>2524157759.8899999</v>
      </c>
      <c r="AU72" s="189">
        <v>2274362536.52</v>
      </c>
      <c r="AV72" s="189">
        <v>2286833489.3699999</v>
      </c>
      <c r="AW72" s="189">
        <v>2038955444.3299999</v>
      </c>
      <c r="AX72" s="189">
        <v>2111877064.49</v>
      </c>
      <c r="AY72" s="189">
        <v>1979623892.3199999</v>
      </c>
      <c r="AZ72" s="189">
        <v>2421992935.2800002</v>
      </c>
      <c r="BA72" s="189">
        <v>2228124130.3200002</v>
      </c>
      <c r="BB72" s="189">
        <v>2166269318.79</v>
      </c>
      <c r="BC72" s="189">
        <v>2339134109.3099999</v>
      </c>
      <c r="BD72" s="189">
        <v>2137926593.6800001</v>
      </c>
      <c r="BE72" s="189">
        <v>2223571726.23</v>
      </c>
      <c r="BF72" s="189">
        <v>2366022547.0700002</v>
      </c>
      <c r="BG72" s="189">
        <v>2370443598.6300001</v>
      </c>
      <c r="BH72" s="189">
        <v>2621927638.9000001</v>
      </c>
      <c r="BI72" s="189">
        <v>2236886977.8699999</v>
      </c>
      <c r="BJ72" s="189">
        <v>2154253930.4099998</v>
      </c>
      <c r="BK72" s="189">
        <v>1602705296.51</v>
      </c>
      <c r="BL72" s="189">
        <v>1911288859.8399999</v>
      </c>
      <c r="BM72" s="189">
        <v>1939635025.04</v>
      </c>
      <c r="BN72" s="189">
        <v>1915601857.29</v>
      </c>
      <c r="BO72" s="189">
        <v>1764430196.6099999</v>
      </c>
      <c r="BP72" s="189">
        <v>1763129411.22</v>
      </c>
      <c r="BQ72" s="189">
        <v>1985625038.6900001</v>
      </c>
      <c r="BR72" s="189">
        <v>0</v>
      </c>
      <c r="BS72" s="189">
        <v>1924427651.3699999</v>
      </c>
      <c r="BT72" s="189">
        <v>1092647981.5599999</v>
      </c>
      <c r="BU72" s="189">
        <v>1409700999.3</v>
      </c>
      <c r="BV72" s="189">
        <v>1189215534.23</v>
      </c>
      <c r="BW72" s="189">
        <v>1498399396.5</v>
      </c>
      <c r="BX72" s="189">
        <v>733039882.75</v>
      </c>
      <c r="BY72" s="189">
        <v>978040661.33000004</v>
      </c>
      <c r="BZ72" s="189">
        <v>668555100.62</v>
      </c>
      <c r="CA72" s="189">
        <v>762782553.5</v>
      </c>
      <c r="CB72" s="189">
        <v>610546540.62</v>
      </c>
      <c r="CC72" s="189">
        <v>532282942.48000002</v>
      </c>
      <c r="CD72" s="189">
        <v>0</v>
      </c>
    </row>
    <row r="73" spans="1:82" x14ac:dyDescent="0.25">
      <c r="A73" s="189" t="s">
        <v>177</v>
      </c>
    </row>
    <row r="74" spans="1:82" x14ac:dyDescent="0.25">
      <c r="A74" s="189" t="s">
        <v>178</v>
      </c>
      <c r="B74" s="189">
        <v>3881608005</v>
      </c>
      <c r="C74" s="189">
        <v>3881608005</v>
      </c>
      <c r="D74" s="189">
        <v>3795966720</v>
      </c>
      <c r="E74" s="189">
        <v>3795966720</v>
      </c>
      <c r="F74" s="189">
        <v>3795966720</v>
      </c>
      <c r="G74" s="189">
        <v>3795966720</v>
      </c>
      <c r="H74" s="189">
        <v>3795966720</v>
      </c>
      <c r="I74" s="189">
        <v>3795966720</v>
      </c>
      <c r="J74" s="189">
        <v>3795966720</v>
      </c>
      <c r="K74" s="189">
        <v>3795966720</v>
      </c>
      <c r="L74" s="189">
        <v>3795966720</v>
      </c>
      <c r="M74" s="189">
        <v>3795966720</v>
      </c>
      <c r="N74" s="189">
        <v>3795966720</v>
      </c>
      <c r="O74" s="189">
        <v>3795966720</v>
      </c>
      <c r="P74" s="189">
        <v>3795966720</v>
      </c>
      <c r="Q74" s="189">
        <v>3795966720</v>
      </c>
      <c r="R74" s="189">
        <v>3795966720</v>
      </c>
      <c r="S74" s="189">
        <v>3795966720</v>
      </c>
      <c r="T74" s="189">
        <v>3795966720</v>
      </c>
      <c r="U74" s="189">
        <v>3795966720</v>
      </c>
      <c r="V74" s="189">
        <v>3795966720</v>
      </c>
      <c r="W74" s="189">
        <v>3795966720</v>
      </c>
      <c r="X74" s="189">
        <v>3795966720</v>
      </c>
      <c r="Y74" s="189">
        <v>3795966720</v>
      </c>
      <c r="Z74" s="189">
        <v>3795966720</v>
      </c>
      <c r="AA74" s="189">
        <v>3795966720</v>
      </c>
      <c r="AB74" s="189">
        <v>3795966720</v>
      </c>
      <c r="AC74" s="189">
        <v>3795966720</v>
      </c>
      <c r="AD74" s="189">
        <v>3795966720</v>
      </c>
      <c r="AE74" s="189">
        <v>3795966720</v>
      </c>
      <c r="AF74" s="189">
        <v>3795966720</v>
      </c>
      <c r="AG74" s="189">
        <v>3795966720</v>
      </c>
      <c r="AH74" s="189">
        <v>3795966720</v>
      </c>
      <c r="AI74" s="189">
        <v>3795966720</v>
      </c>
      <c r="AJ74" s="189">
        <v>3795966720</v>
      </c>
      <c r="AK74" s="189">
        <v>3795966720</v>
      </c>
      <c r="AL74" s="189">
        <v>3795966720</v>
      </c>
      <c r="AM74" s="189">
        <v>3795966720</v>
      </c>
      <c r="AN74" s="189">
        <v>3795966720</v>
      </c>
      <c r="AO74" s="189">
        <v>3795966720</v>
      </c>
      <c r="AP74" s="189">
        <v>3795966720</v>
      </c>
      <c r="AQ74" s="189">
        <v>3795966720</v>
      </c>
      <c r="AR74" s="189">
        <v>3795966720</v>
      </c>
      <c r="AS74" s="189">
        <v>3795966720</v>
      </c>
      <c r="AT74" s="189">
        <v>3795966720</v>
      </c>
      <c r="AU74" s="189">
        <v>3795966720</v>
      </c>
      <c r="AV74" s="189">
        <v>2711404800</v>
      </c>
      <c r="AW74" s="189">
        <v>2711404800</v>
      </c>
      <c r="AX74" s="189">
        <v>2711404800</v>
      </c>
      <c r="AY74" s="189">
        <v>2711404800</v>
      </c>
      <c r="AZ74" s="189">
        <v>2711404800</v>
      </c>
      <c r="BA74" s="189">
        <v>2711404800</v>
      </c>
      <c r="BB74" s="189">
        <v>2711404800</v>
      </c>
      <c r="BC74" s="189">
        <v>2711404800</v>
      </c>
      <c r="BD74" s="189">
        <v>2711404800</v>
      </c>
      <c r="BE74" s="189">
        <v>2711404800</v>
      </c>
      <c r="BF74" s="189">
        <v>2711404800</v>
      </c>
      <c r="BG74" s="189">
        <v>2711404800</v>
      </c>
      <c r="BH74" s="189">
        <v>1355702400</v>
      </c>
      <c r="BI74" s="189">
        <v>1355702400</v>
      </c>
      <c r="BJ74" s="189">
        <v>1355702400</v>
      </c>
      <c r="BK74" s="189">
        <v>1355702400</v>
      </c>
      <c r="BL74" s="189">
        <v>1129752000</v>
      </c>
      <c r="BM74" s="189">
        <v>1129752000</v>
      </c>
      <c r="BN74" s="189">
        <v>1129752000</v>
      </c>
      <c r="BO74" s="189">
        <v>1129752000</v>
      </c>
      <c r="BP74" s="189">
        <v>869040000</v>
      </c>
      <c r="BQ74" s="189">
        <v>869040000</v>
      </c>
      <c r="BR74" s="189">
        <v>869040000</v>
      </c>
      <c r="BS74" s="189">
        <v>511200000</v>
      </c>
      <c r="BT74" s="189">
        <v>511200000</v>
      </c>
      <c r="BU74" s="189">
        <v>480000000</v>
      </c>
      <c r="BV74" s="189">
        <v>480000000</v>
      </c>
      <c r="BW74" s="189">
        <v>480000000</v>
      </c>
      <c r="BX74" s="189">
        <v>320000000</v>
      </c>
      <c r="BY74" s="189">
        <v>320000000</v>
      </c>
      <c r="BZ74" s="189">
        <v>320000000</v>
      </c>
      <c r="CA74" s="189">
        <v>240000000</v>
      </c>
      <c r="CB74" s="189">
        <v>0</v>
      </c>
      <c r="CC74" s="189">
        <v>0</v>
      </c>
      <c r="CD74" s="189">
        <v>0</v>
      </c>
    </row>
    <row r="75" spans="1:82" x14ac:dyDescent="0.25">
      <c r="A75" s="189" t="s">
        <v>179</v>
      </c>
      <c r="B75" s="189">
        <v>2682647086.1500001</v>
      </c>
      <c r="C75" s="189">
        <v>2682647086.1500001</v>
      </c>
      <c r="D75" s="189">
        <v>953255757.16999996</v>
      </c>
      <c r="E75" s="189">
        <v>953255757.16999996</v>
      </c>
      <c r="F75" s="189">
        <v>953255757.16999996</v>
      </c>
      <c r="G75" s="189">
        <v>953255757.16999996</v>
      </c>
      <c r="H75" s="189">
        <v>953255757.16999996</v>
      </c>
      <c r="I75" s="189">
        <v>953255757.16999996</v>
      </c>
      <c r="J75" s="189">
        <v>953255757.16999996</v>
      </c>
      <c r="K75" s="189">
        <v>953255757.16999996</v>
      </c>
      <c r="L75" s="189">
        <v>953255757.16999996</v>
      </c>
      <c r="M75" s="189">
        <v>953203468.32000005</v>
      </c>
      <c r="N75" s="189">
        <v>953203468.32000005</v>
      </c>
      <c r="O75" s="189">
        <v>953203468.32000005</v>
      </c>
      <c r="P75" s="189">
        <v>953203468.32000005</v>
      </c>
      <c r="Q75" s="189">
        <v>953203468.32000005</v>
      </c>
      <c r="R75" s="189">
        <v>953203468.32000005</v>
      </c>
      <c r="S75" s="189">
        <v>953203468.32000005</v>
      </c>
      <c r="T75" s="189">
        <v>953203468.32000005</v>
      </c>
      <c r="U75" s="189">
        <v>953203468.32000005</v>
      </c>
      <c r="V75" s="189">
        <v>953203468.32000005</v>
      </c>
      <c r="W75" s="189">
        <v>953203468.32000005</v>
      </c>
      <c r="X75" s="189">
        <v>953203468.32000005</v>
      </c>
      <c r="Y75" s="189">
        <v>953203468.32000005</v>
      </c>
      <c r="Z75" s="189">
        <v>953203468.32000005</v>
      </c>
      <c r="AA75" s="189">
        <v>953203468.32000005</v>
      </c>
      <c r="AB75" s="189">
        <v>953203468.32000005</v>
      </c>
      <c r="AC75" s="189">
        <v>953203468.32000005</v>
      </c>
      <c r="AD75" s="189">
        <v>953203468.32000005</v>
      </c>
      <c r="AE75" s="189">
        <v>953203468.32000005</v>
      </c>
      <c r="AF75" s="189">
        <v>953203468.32000005</v>
      </c>
      <c r="AG75" s="189">
        <v>953203468.32000005</v>
      </c>
      <c r="AH75" s="189">
        <v>953203468.32000005</v>
      </c>
      <c r="AI75" s="189">
        <v>953203468.32000005</v>
      </c>
      <c r="AJ75" s="189">
        <v>953203468.32000005</v>
      </c>
      <c r="AK75" s="189">
        <v>953203468.32000005</v>
      </c>
      <c r="AL75" s="189">
        <v>953203468.32000005</v>
      </c>
      <c r="AM75" s="189">
        <v>953203468.32000005</v>
      </c>
      <c r="AN75" s="189">
        <v>953203468.32000005</v>
      </c>
      <c r="AO75" s="189">
        <v>953203468.32000005</v>
      </c>
      <c r="AP75" s="189">
        <v>953203468.32000005</v>
      </c>
      <c r="AQ75" s="189">
        <v>953203468.32000005</v>
      </c>
      <c r="AR75" s="189">
        <v>953203468.32000005</v>
      </c>
      <c r="AS75" s="189">
        <v>953203468.32000005</v>
      </c>
      <c r="AT75" s="189">
        <v>968203468.32000005</v>
      </c>
      <c r="AU75" s="189">
        <v>968203468.32000005</v>
      </c>
      <c r="AV75" s="189">
        <v>953203468.32000005</v>
      </c>
      <c r="AW75" s="189">
        <v>953203468.32000005</v>
      </c>
      <c r="AX75" s="189">
        <v>953702337.03999996</v>
      </c>
      <c r="AY75" s="189">
        <v>953203468.32000005</v>
      </c>
      <c r="AZ75" s="189">
        <v>953203468.32000005</v>
      </c>
      <c r="BA75" s="189">
        <v>953203468.32000005</v>
      </c>
      <c r="BB75" s="189">
        <v>953203468.32000005</v>
      </c>
      <c r="BC75" s="189">
        <v>953203468.32000005</v>
      </c>
      <c r="BD75" s="189">
        <v>953203468.32000005</v>
      </c>
      <c r="BE75" s="189">
        <v>953203468.32000005</v>
      </c>
      <c r="BF75" s="189">
        <v>953203468.32000005</v>
      </c>
      <c r="BG75" s="189">
        <v>953203468.32000005</v>
      </c>
      <c r="BH75" s="189">
        <v>1224343948.3199999</v>
      </c>
      <c r="BI75" s="189">
        <v>1224343948.3199999</v>
      </c>
      <c r="BJ75" s="189">
        <v>1224343948.3199999</v>
      </c>
      <c r="BK75" s="189">
        <v>1224343948.3199999</v>
      </c>
      <c r="BL75" s="189">
        <v>1450294348.3199999</v>
      </c>
      <c r="BM75" s="189">
        <v>1450294348.3199999</v>
      </c>
      <c r="BN75" s="189">
        <v>1450279635.1600001</v>
      </c>
      <c r="BO75" s="189">
        <v>1450223254</v>
      </c>
      <c r="BP75" s="189">
        <v>1624031254</v>
      </c>
      <c r="BQ75" s="189">
        <v>1624031254</v>
      </c>
      <c r="BR75" s="189">
        <v>0</v>
      </c>
      <c r="BS75" s="189">
        <v>1777391254</v>
      </c>
      <c r="BT75" s="189">
        <v>1776391254</v>
      </c>
      <c r="BU75" s="189">
        <v>1042014836.88</v>
      </c>
      <c r="BV75" s="189">
        <v>1042014836.88</v>
      </c>
      <c r="BW75" s="189">
        <v>1042014836.88</v>
      </c>
      <c r="BX75" s="189">
        <v>1202014836.8800001</v>
      </c>
      <c r="BY75" s="189">
        <v>1202014836.8800001</v>
      </c>
      <c r="BZ75" s="189">
        <v>1202014836.8800001</v>
      </c>
      <c r="CA75" s="189">
        <v>62700492.729999997</v>
      </c>
      <c r="CB75" s="189">
        <v>0</v>
      </c>
      <c r="CC75" s="189">
        <v>0</v>
      </c>
      <c r="CD75" s="189">
        <v>0</v>
      </c>
    </row>
    <row r="76" spans="1:82"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row>
    <row r="77" spans="1:82" x14ac:dyDescent="0.25">
      <c r="A77" s="189" t="s">
        <v>181</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row>
    <row r="78" spans="1:82"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row>
    <row r="79" spans="1:82" x14ac:dyDescent="0.25">
      <c r="A79" s="189" t="s">
        <v>183</v>
      </c>
      <c r="B79" s="189">
        <v>10909576690.57</v>
      </c>
      <c r="C79" s="189">
        <v>10909576690.57</v>
      </c>
      <c r="D79" s="189">
        <v>10909576690.57</v>
      </c>
      <c r="E79" s="189">
        <v>10909576690.57</v>
      </c>
      <c r="F79" s="189">
        <v>9352029056.75</v>
      </c>
      <c r="G79" s="189">
        <v>9352029056.75</v>
      </c>
      <c r="H79" s="189">
        <v>9352029056.75</v>
      </c>
      <c r="I79" s="189">
        <v>9352029056.75</v>
      </c>
      <c r="J79" s="189">
        <v>8172440644.0100002</v>
      </c>
      <c r="K79" s="189">
        <v>8172440644.0100002</v>
      </c>
      <c r="L79" s="189">
        <v>8172440644.0100002</v>
      </c>
      <c r="M79" s="189">
        <v>8172440644.0100002</v>
      </c>
      <c r="N79" s="189">
        <v>7070005102.9300003</v>
      </c>
      <c r="O79" s="189">
        <v>7070005102.9300003</v>
      </c>
      <c r="P79" s="189">
        <v>7070005102.9300003</v>
      </c>
      <c r="Q79" s="189">
        <v>7070005102.9300003</v>
      </c>
      <c r="R79" s="189">
        <v>5678791405.4799995</v>
      </c>
      <c r="S79" s="189">
        <v>5678791405.4799995</v>
      </c>
      <c r="T79" s="189">
        <v>5678791405.4799995</v>
      </c>
      <c r="U79" s="189">
        <v>5678791405.4799995</v>
      </c>
      <c r="V79" s="189">
        <v>4361745664.4300003</v>
      </c>
      <c r="W79" s="189">
        <v>4359541398.0200005</v>
      </c>
      <c r="X79" s="189">
        <v>4358041112.96</v>
      </c>
      <c r="Y79" s="189">
        <v>4356977349.0200005</v>
      </c>
      <c r="Z79" s="189">
        <v>4082214414.9499998</v>
      </c>
      <c r="AA79" s="189">
        <v>3826734576.6399999</v>
      </c>
      <c r="AB79" s="189">
        <v>3649723469.3200002</v>
      </c>
      <c r="AC79" s="189">
        <v>3368959934.7800002</v>
      </c>
      <c r="AD79" s="189">
        <v>3186313117.5300002</v>
      </c>
      <c r="AE79" s="189">
        <v>3058448487.4699998</v>
      </c>
      <c r="AF79" s="189">
        <v>2952281810.9699998</v>
      </c>
      <c r="AG79" s="189">
        <v>2759520038.0900002</v>
      </c>
      <c r="AH79" s="189">
        <v>2607545619.9699998</v>
      </c>
      <c r="AI79" s="189">
        <v>2506722817.98</v>
      </c>
      <c r="AJ79" s="189">
        <v>2447380345.21</v>
      </c>
      <c r="AK79" s="189">
        <v>2318892624.6700001</v>
      </c>
      <c r="AL79" s="189">
        <v>2212123551.0100002</v>
      </c>
      <c r="AM79" s="189">
        <v>2136403032.1300001</v>
      </c>
      <c r="AN79" s="189">
        <v>2100990527.9000001</v>
      </c>
      <c r="AO79" s="189">
        <v>1985197516.3199999</v>
      </c>
      <c r="AP79" s="189">
        <v>1960895723.9000001</v>
      </c>
      <c r="AQ79" s="189">
        <v>1931960377.45</v>
      </c>
      <c r="AR79" s="189">
        <v>1904071967.1600001</v>
      </c>
      <c r="AS79" s="189">
        <v>1803743654.97</v>
      </c>
      <c r="AT79" s="189">
        <v>1784842154.0899999</v>
      </c>
      <c r="AU79" s="189">
        <v>1769499231.54</v>
      </c>
      <c r="AV79" s="189">
        <v>1728597077.04</v>
      </c>
      <c r="AW79" s="189">
        <v>1656111478.8599999</v>
      </c>
      <c r="AX79" s="189">
        <v>1605045274.6500001</v>
      </c>
      <c r="AY79" s="189">
        <v>1586050475.99</v>
      </c>
      <c r="AZ79" s="189">
        <v>1503840551.3499999</v>
      </c>
      <c r="BA79" s="189">
        <v>1421686339.5</v>
      </c>
      <c r="BB79" s="189">
        <v>1389360858.45</v>
      </c>
      <c r="BC79" s="189">
        <v>1382274938.1900001</v>
      </c>
      <c r="BD79" s="189">
        <v>1254574026.6800001</v>
      </c>
      <c r="BE79" s="189">
        <v>1187372649.6400001</v>
      </c>
      <c r="BF79" s="189">
        <v>1118260147.0599999</v>
      </c>
      <c r="BG79" s="189">
        <v>1098510367.5599999</v>
      </c>
      <c r="BH79" s="189">
        <v>994296939.84000003</v>
      </c>
      <c r="BI79" s="189">
        <v>939688251.88</v>
      </c>
      <c r="BJ79" s="189">
        <v>870801644.83000004</v>
      </c>
      <c r="BK79" s="189">
        <v>854086763.44000006</v>
      </c>
      <c r="BL79" s="189">
        <v>772450547.37</v>
      </c>
      <c r="BM79" s="189">
        <v>719760715.63</v>
      </c>
      <c r="BN79" s="189">
        <v>664546335.02999997</v>
      </c>
      <c r="BO79" s="189">
        <v>643227764.61000001</v>
      </c>
      <c r="BP79" s="189">
        <v>576048176.03999996</v>
      </c>
      <c r="BQ79" s="189">
        <v>532864074.19999999</v>
      </c>
      <c r="BR79" s="189">
        <v>0</v>
      </c>
      <c r="BS79" s="189">
        <v>381752149.10000002</v>
      </c>
      <c r="BT79" s="189">
        <v>352223969.88999999</v>
      </c>
      <c r="BU79" s="189">
        <v>309989497.47000003</v>
      </c>
      <c r="BV79" s="189">
        <v>259244599.52000001</v>
      </c>
      <c r="BW79" s="189">
        <v>194772679.46000001</v>
      </c>
      <c r="BX79" s="189">
        <v>144007744.87</v>
      </c>
      <c r="BY79" s="189">
        <v>96446307.129999995</v>
      </c>
      <c r="BZ79" s="189">
        <v>51390553.909999996</v>
      </c>
      <c r="CA79" s="189">
        <v>13452642.869999999</v>
      </c>
      <c r="CB79" s="189">
        <v>0</v>
      </c>
      <c r="CC79" s="189">
        <v>0</v>
      </c>
      <c r="CD79" s="189">
        <v>0</v>
      </c>
    </row>
    <row r="80" spans="1:82"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row>
    <row r="81" spans="1:82" x14ac:dyDescent="0.25">
      <c r="A81" s="189" t="s">
        <v>185</v>
      </c>
      <c r="B81" s="189">
        <v>42123608105.059998</v>
      </c>
      <c r="C81" s="189">
        <v>39739447209.230003</v>
      </c>
      <c r="D81" s="189">
        <v>42646295139.769997</v>
      </c>
      <c r="E81" s="189">
        <v>37675282021.739998</v>
      </c>
      <c r="F81" s="189">
        <v>36523871400.389999</v>
      </c>
      <c r="G81" s="189">
        <v>34530613711.540001</v>
      </c>
      <c r="H81" s="189">
        <v>36568590646.199997</v>
      </c>
      <c r="I81" s="189">
        <v>32975478205.41</v>
      </c>
      <c r="J81" s="189">
        <v>32471846535.459999</v>
      </c>
      <c r="K81" s="189">
        <v>31257346493.07</v>
      </c>
      <c r="L81" s="189">
        <v>33310418920.939999</v>
      </c>
      <c r="M81" s="189">
        <v>30407306733.790001</v>
      </c>
      <c r="N81" s="189">
        <v>29936642832.48</v>
      </c>
      <c r="O81" s="189">
        <v>28631150864.279999</v>
      </c>
      <c r="P81" s="189">
        <v>29812002585.860001</v>
      </c>
      <c r="Q81" s="189">
        <v>27611203050.689999</v>
      </c>
      <c r="R81" s="189">
        <v>27714789860.799999</v>
      </c>
      <c r="S81" s="189">
        <v>27009314620.470001</v>
      </c>
      <c r="T81" s="189">
        <v>28283818587.369999</v>
      </c>
      <c r="U81" s="189">
        <v>25664678173.200001</v>
      </c>
      <c r="V81" s="189">
        <v>26112755918.48</v>
      </c>
      <c r="W81" s="189">
        <v>24802147680.77</v>
      </c>
      <c r="X81" s="189">
        <v>25676253176.32</v>
      </c>
      <c r="Y81" s="189">
        <v>22050450622.419998</v>
      </c>
      <c r="Z81" s="189">
        <v>20151342436.959999</v>
      </c>
      <c r="AA81" s="189">
        <v>17651207124.470001</v>
      </c>
      <c r="AB81" s="189">
        <v>17735448117.040001</v>
      </c>
      <c r="AC81" s="189">
        <v>15001578576.23</v>
      </c>
      <c r="AD81" s="189">
        <v>13844972803.459999</v>
      </c>
      <c r="AE81" s="189">
        <v>12517213274.74</v>
      </c>
      <c r="AF81" s="189">
        <v>12518523823.18</v>
      </c>
      <c r="AG81" s="189">
        <v>10592343301.51</v>
      </c>
      <c r="AH81" s="189">
        <v>9719977749.6299992</v>
      </c>
      <c r="AI81" s="189">
        <v>8696328565.7000008</v>
      </c>
      <c r="AJ81" s="189">
        <v>8630757884.3799992</v>
      </c>
      <c r="AK81" s="189">
        <v>7206958728.1800003</v>
      </c>
      <c r="AL81" s="189">
        <v>6528272319.1300001</v>
      </c>
      <c r="AM81" s="189">
        <v>5909220286.3299999</v>
      </c>
      <c r="AN81" s="189">
        <v>5790565954.8900003</v>
      </c>
      <c r="AO81" s="189">
        <v>4645699661.0799999</v>
      </c>
      <c r="AP81" s="189">
        <v>4448660799.4700003</v>
      </c>
      <c r="AQ81" s="189">
        <v>4184001582.1900001</v>
      </c>
      <c r="AR81" s="189">
        <v>3939446493.21</v>
      </c>
      <c r="AS81" s="189">
        <v>3016465972.27</v>
      </c>
      <c r="AT81" s="189">
        <v>2895687323</v>
      </c>
      <c r="AU81" s="189">
        <v>2731195492.8200002</v>
      </c>
      <c r="AV81" s="189">
        <v>3619192723.04</v>
      </c>
      <c r="AW81" s="189">
        <v>2936492710.1799998</v>
      </c>
      <c r="AX81" s="189">
        <v>2836202850</v>
      </c>
      <c r="AY81" s="189">
        <v>2655440755.9699998</v>
      </c>
      <c r="AZ81" s="189">
        <v>2735881568.3699999</v>
      </c>
      <c r="BA81" s="189">
        <v>2271940792.2399998</v>
      </c>
      <c r="BB81" s="189">
        <v>2281862701.6399999</v>
      </c>
      <c r="BC81" s="189">
        <v>2108410721.51</v>
      </c>
      <c r="BD81" s="189">
        <v>2060554311.6199999</v>
      </c>
      <c r="BE81" s="189">
        <v>1714905685.0599999</v>
      </c>
      <c r="BF81" s="189">
        <v>1634285513.4000001</v>
      </c>
      <c r="BG81" s="189">
        <v>1512716042.76</v>
      </c>
      <c r="BH81" s="189">
        <v>2819154405.8699999</v>
      </c>
      <c r="BI81" s="189">
        <v>2490295331.4000001</v>
      </c>
      <c r="BJ81" s="189">
        <v>2403776470.8899999</v>
      </c>
      <c r="BK81" s="189">
        <v>2262549503.6999998</v>
      </c>
      <c r="BL81" s="189">
        <v>2243103077.8499999</v>
      </c>
      <c r="BM81" s="189">
        <v>2007248389.73</v>
      </c>
      <c r="BN81" s="189">
        <v>1951462497.3</v>
      </c>
      <c r="BO81" s="189">
        <v>1830539949.02</v>
      </c>
      <c r="BP81" s="189">
        <v>1872926600.26</v>
      </c>
      <c r="BQ81" s="189">
        <v>1667814393.3199999</v>
      </c>
      <c r="BR81" s="189">
        <v>0</v>
      </c>
      <c r="BS81" s="189">
        <v>1712342274.8299999</v>
      </c>
      <c r="BT81" s="189">
        <v>1595935829.22</v>
      </c>
      <c r="BU81" s="189">
        <v>1356607152.1700001</v>
      </c>
      <c r="BV81" s="189">
        <v>1069052730.5</v>
      </c>
      <c r="BW81" s="189">
        <v>703711850.11000001</v>
      </c>
      <c r="BX81" s="189">
        <v>423675870.94999999</v>
      </c>
      <c r="BY81" s="189">
        <v>146529073.66</v>
      </c>
      <c r="BZ81" s="189">
        <v>291213138.67000002</v>
      </c>
      <c r="CA81" s="189">
        <v>76231642.829999998</v>
      </c>
      <c r="CB81" s="189">
        <v>0</v>
      </c>
      <c r="CC81" s="189">
        <v>0</v>
      </c>
      <c r="CD81" s="189">
        <v>0</v>
      </c>
    </row>
    <row r="82" spans="1:82" x14ac:dyDescent="0.25">
      <c r="A82" s="189" t="s">
        <v>186</v>
      </c>
      <c r="B82" s="189">
        <v>59597439886.779999</v>
      </c>
      <c r="C82" s="189">
        <v>57213278990.949997</v>
      </c>
      <c r="D82" s="189">
        <v>58305094307.510002</v>
      </c>
      <c r="E82" s="189">
        <v>53334081189.480003</v>
      </c>
      <c r="F82" s="189">
        <v>50625122934.309998</v>
      </c>
      <c r="G82" s="189">
        <v>48631865245.459999</v>
      </c>
      <c r="H82" s="189">
        <v>50669842180.120003</v>
      </c>
      <c r="I82" s="189">
        <v>47076729739.330002</v>
      </c>
      <c r="J82" s="189">
        <v>45393509656.639999</v>
      </c>
      <c r="K82" s="189">
        <v>44179009614.25</v>
      </c>
      <c r="L82" s="189">
        <v>46232082042.120003</v>
      </c>
      <c r="M82" s="189">
        <v>43328917566.120003</v>
      </c>
      <c r="N82" s="189">
        <v>41755818123.730003</v>
      </c>
      <c r="O82" s="189">
        <v>40450326155.529999</v>
      </c>
      <c r="P82" s="189">
        <v>41631177877.110001</v>
      </c>
      <c r="Q82" s="189">
        <v>39430378341.940002</v>
      </c>
      <c r="R82" s="189">
        <v>38142751454.599998</v>
      </c>
      <c r="S82" s="189">
        <v>37437276214.269997</v>
      </c>
      <c r="T82" s="189">
        <v>38711780181.169998</v>
      </c>
      <c r="U82" s="189">
        <v>36092639767</v>
      </c>
      <c r="V82" s="189">
        <v>35223671771.230003</v>
      </c>
      <c r="W82" s="189">
        <v>33910859267.110001</v>
      </c>
      <c r="X82" s="189">
        <v>34783464477.599998</v>
      </c>
      <c r="Y82" s="189">
        <v>31156598159.759998</v>
      </c>
      <c r="Z82" s="189">
        <v>28982727040.23</v>
      </c>
      <c r="AA82" s="189">
        <v>26227111889.43</v>
      </c>
      <c r="AB82" s="189">
        <v>26134341774.68</v>
      </c>
      <c r="AC82" s="189">
        <v>23119708699.330002</v>
      </c>
      <c r="AD82" s="189">
        <v>21780456109.310001</v>
      </c>
      <c r="AE82" s="189">
        <v>20324831950.529999</v>
      </c>
      <c r="AF82" s="189">
        <v>20219975822.470001</v>
      </c>
      <c r="AG82" s="189">
        <v>18101033527.919998</v>
      </c>
      <c r="AH82" s="189">
        <v>17076693557.92</v>
      </c>
      <c r="AI82" s="189">
        <v>15952221572</v>
      </c>
      <c r="AJ82" s="189">
        <v>15827308417.91</v>
      </c>
      <c r="AK82" s="189">
        <v>14275021541.17</v>
      </c>
      <c r="AL82" s="189">
        <v>13489566058.459999</v>
      </c>
      <c r="AM82" s="189">
        <v>12794793506.780001</v>
      </c>
      <c r="AN82" s="189">
        <v>12640726671.110001</v>
      </c>
      <c r="AO82" s="189">
        <v>11380067365.719999</v>
      </c>
      <c r="AP82" s="189">
        <v>11158726711.690001</v>
      </c>
      <c r="AQ82" s="189">
        <v>10865132147.959999</v>
      </c>
      <c r="AR82" s="189">
        <v>10592688648.690001</v>
      </c>
      <c r="AS82" s="189">
        <v>9569379815.5599995</v>
      </c>
      <c r="AT82" s="189">
        <v>9444699665.4099998</v>
      </c>
      <c r="AU82" s="189">
        <v>9264864912.6800003</v>
      </c>
      <c r="AV82" s="189">
        <v>9012398068.3999996</v>
      </c>
      <c r="AW82" s="189">
        <v>8257212457.3599997</v>
      </c>
      <c r="AX82" s="189">
        <v>8106355261.6899996</v>
      </c>
      <c r="AY82" s="189">
        <v>7906099500.2799997</v>
      </c>
      <c r="AZ82" s="189">
        <v>7904330388.04</v>
      </c>
      <c r="BA82" s="189">
        <v>7358235400.0600004</v>
      </c>
      <c r="BB82" s="189">
        <v>7335831828.4099998</v>
      </c>
      <c r="BC82" s="189">
        <v>7155293928.0200005</v>
      </c>
      <c r="BD82" s="189">
        <v>6979736606.6199999</v>
      </c>
      <c r="BE82" s="189">
        <v>6566886603.0200005</v>
      </c>
      <c r="BF82" s="189">
        <v>6417153928.7799997</v>
      </c>
      <c r="BG82" s="189">
        <v>6275834678.6400003</v>
      </c>
      <c r="BH82" s="189">
        <v>6393497694.0299997</v>
      </c>
      <c r="BI82" s="189">
        <v>6010029931.6000004</v>
      </c>
      <c r="BJ82" s="189">
        <v>5854624464.04</v>
      </c>
      <c r="BK82" s="189">
        <v>5696682615.46</v>
      </c>
      <c r="BL82" s="189">
        <v>5595599973.54</v>
      </c>
      <c r="BM82" s="189">
        <v>5307055453.6800003</v>
      </c>
      <c r="BN82" s="189">
        <v>5196040467.4899998</v>
      </c>
      <c r="BO82" s="189">
        <v>5053742967.6300001</v>
      </c>
      <c r="BP82" s="189">
        <v>4942046030.3000002</v>
      </c>
      <c r="BQ82" s="189">
        <v>4693749721.5200005</v>
      </c>
      <c r="BR82" s="189">
        <v>4554380000</v>
      </c>
      <c r="BS82" s="189">
        <v>4382685677.9300003</v>
      </c>
      <c r="BT82" s="189">
        <v>4235751053.1100001</v>
      </c>
      <c r="BU82" s="189">
        <v>3188611486.52</v>
      </c>
      <c r="BV82" s="189">
        <v>2850312166.9000001</v>
      </c>
      <c r="BW82" s="189">
        <v>2420499366.4499998</v>
      </c>
      <c r="BX82" s="189">
        <v>2089698452.7</v>
      </c>
      <c r="BY82" s="189">
        <v>1764990217.6700001</v>
      </c>
      <c r="BZ82" s="189">
        <v>1864618529.46</v>
      </c>
      <c r="CA82" s="189">
        <v>392384778.43000001</v>
      </c>
      <c r="CB82" s="189">
        <v>264958379.21000001</v>
      </c>
      <c r="CC82" s="189">
        <v>225967479.94999999</v>
      </c>
      <c r="CD82" s="189">
        <v>0</v>
      </c>
    </row>
    <row r="83" spans="1:82" x14ac:dyDescent="0.25">
      <c r="A83" s="189" t="s">
        <v>187</v>
      </c>
      <c r="B83" s="189">
        <v>1446814271.1099999</v>
      </c>
      <c r="C83" s="189">
        <v>1333957559.96</v>
      </c>
      <c r="D83" s="189">
        <v>1583200429.74</v>
      </c>
      <c r="E83" s="189">
        <v>1340244459.7</v>
      </c>
      <c r="F83" s="189">
        <v>1228208651.3299999</v>
      </c>
      <c r="G83" s="189">
        <v>1146301133.45</v>
      </c>
      <c r="H83" s="189">
        <v>1275222114.5699999</v>
      </c>
      <c r="I83" s="189">
        <v>1129129470.3699999</v>
      </c>
      <c r="J83" s="189">
        <v>1052199553.7</v>
      </c>
      <c r="K83" s="189">
        <v>1156054850.0699999</v>
      </c>
      <c r="L83" s="189">
        <v>1121409303.0799999</v>
      </c>
      <c r="M83" s="189">
        <v>1016243396.4299999</v>
      </c>
      <c r="N83" s="189">
        <v>955969032.20000005</v>
      </c>
      <c r="O83" s="189">
        <v>885554147.08000004</v>
      </c>
      <c r="P83" s="189">
        <v>995825825.64999998</v>
      </c>
      <c r="Q83" s="189">
        <v>902702104.13999999</v>
      </c>
      <c r="R83" s="189">
        <v>895311832.45000005</v>
      </c>
      <c r="S83" s="189">
        <v>749180152.45000005</v>
      </c>
      <c r="T83" s="189">
        <v>1043052956.52</v>
      </c>
      <c r="U83" s="189">
        <v>926644785.09000003</v>
      </c>
      <c r="V83" s="189">
        <v>712583368.99000001</v>
      </c>
      <c r="W83" s="189">
        <v>581194595.75999999</v>
      </c>
      <c r="X83" s="189">
        <v>491668788.32999998</v>
      </c>
      <c r="Y83" s="189">
        <v>364472393.54000002</v>
      </c>
      <c r="Z83" s="189">
        <v>638715732.45000005</v>
      </c>
      <c r="AA83" s="189">
        <v>522089084.44999999</v>
      </c>
      <c r="AB83" s="189">
        <v>443606107.22000003</v>
      </c>
      <c r="AC83" s="189">
        <v>326980041.12</v>
      </c>
      <c r="AD83" s="189">
        <v>448121904.16000003</v>
      </c>
      <c r="AE83" s="189">
        <v>393276879.88</v>
      </c>
      <c r="AF83" s="189">
        <v>345161311.58999997</v>
      </c>
      <c r="AG83" s="189">
        <v>265068013.55000001</v>
      </c>
      <c r="AH83" s="189">
        <v>442350412.87</v>
      </c>
      <c r="AI83" s="189">
        <v>387189250.22000003</v>
      </c>
      <c r="AJ83" s="189">
        <v>360389434.32999998</v>
      </c>
      <c r="AK83" s="189">
        <v>305440603.42000002</v>
      </c>
      <c r="AL83" s="189">
        <v>169280595.13999999</v>
      </c>
      <c r="AM83" s="189">
        <v>91245677.840000004</v>
      </c>
      <c r="AN83" s="189">
        <v>84490434.319999993</v>
      </c>
      <c r="AO83" s="189">
        <v>75869511</v>
      </c>
      <c r="AP83" s="189">
        <v>71596625.420000002</v>
      </c>
      <c r="AQ83" s="189">
        <v>69251602.510000005</v>
      </c>
      <c r="AR83" s="189">
        <v>49256028.789999999</v>
      </c>
      <c r="AS83" s="189">
        <v>56857168.609999999</v>
      </c>
      <c r="AT83" s="189">
        <v>40888487.079999998</v>
      </c>
      <c r="AU83" s="189">
        <v>39150237.640000001</v>
      </c>
      <c r="AV83" s="189">
        <v>39251320.369999997</v>
      </c>
      <c r="AW83" s="189">
        <v>37956057.280000001</v>
      </c>
      <c r="AX83" s="189">
        <v>33329921.27</v>
      </c>
      <c r="AY83" s="189">
        <v>32650863.870000001</v>
      </c>
      <c r="AZ83" s="189">
        <v>30454120.460000001</v>
      </c>
      <c r="BA83" s="189">
        <v>27733578.48</v>
      </c>
      <c r="BB83" s="189">
        <v>24884323.18</v>
      </c>
      <c r="BC83" s="189">
        <v>24132037.629999999</v>
      </c>
      <c r="BD83" s="189">
        <v>23728982.75</v>
      </c>
      <c r="BE83" s="189">
        <v>20075298.75</v>
      </c>
      <c r="BF83" s="189">
        <v>16762352.4</v>
      </c>
      <c r="BG83" s="189">
        <v>16880188.02</v>
      </c>
      <c r="BH83" s="189">
        <v>15789115.83</v>
      </c>
      <c r="BI83" s="189">
        <v>15862755.060000001</v>
      </c>
      <c r="BJ83" s="189">
        <v>15780686.800000001</v>
      </c>
      <c r="BK83" s="189">
        <v>15072018.689999999</v>
      </c>
      <c r="BL83" s="189">
        <v>16011767.529999999</v>
      </c>
      <c r="BM83" s="189">
        <v>15044502.029999999</v>
      </c>
      <c r="BN83" s="189">
        <v>18252665.030000001</v>
      </c>
      <c r="BO83" s="189">
        <v>21619133.460000001</v>
      </c>
      <c r="BP83" s="189">
        <v>12934639.26</v>
      </c>
      <c r="BQ83" s="189">
        <v>8493411.2799999993</v>
      </c>
      <c r="BR83" s="189">
        <v>7400000</v>
      </c>
      <c r="BS83" s="189">
        <v>2970143.71</v>
      </c>
      <c r="BT83" s="189">
        <v>2872138.39</v>
      </c>
      <c r="BU83" s="189">
        <v>2604712.4300000002</v>
      </c>
      <c r="BV83" s="189">
        <v>0</v>
      </c>
      <c r="BW83" s="189">
        <v>0</v>
      </c>
      <c r="BX83" s="189">
        <v>0</v>
      </c>
      <c r="BY83" s="189">
        <v>0</v>
      </c>
      <c r="BZ83" s="189">
        <v>0</v>
      </c>
      <c r="CA83" s="189">
        <v>0</v>
      </c>
      <c r="CB83" s="189">
        <v>0</v>
      </c>
      <c r="CC83" s="189">
        <v>0</v>
      </c>
      <c r="CD83" s="189">
        <v>0</v>
      </c>
    </row>
    <row r="84" spans="1:82" x14ac:dyDescent="0.25">
      <c r="A84" s="189" t="s">
        <v>188</v>
      </c>
      <c r="B84" s="189">
        <v>61044254157.889999</v>
      </c>
      <c r="C84" s="189">
        <v>58547236550.910004</v>
      </c>
      <c r="D84" s="189">
        <v>59888294737.25</v>
      </c>
      <c r="E84" s="189">
        <v>54674325649.18</v>
      </c>
      <c r="F84" s="189">
        <v>51853331585.639999</v>
      </c>
      <c r="G84" s="189">
        <v>49778166378.910004</v>
      </c>
      <c r="H84" s="189">
        <v>51945064294.690002</v>
      </c>
      <c r="I84" s="189">
        <v>48205859209.699997</v>
      </c>
      <c r="J84" s="189">
        <v>46445709210.339996</v>
      </c>
      <c r="K84" s="189">
        <v>45335064464.32</v>
      </c>
      <c r="L84" s="189">
        <v>47353491345.199997</v>
      </c>
      <c r="M84" s="189">
        <v>44345160962.550003</v>
      </c>
      <c r="N84" s="189">
        <v>42711787155.93</v>
      </c>
      <c r="O84" s="189">
        <v>41335880302.610001</v>
      </c>
      <c r="P84" s="189">
        <v>42627003702.760002</v>
      </c>
      <c r="Q84" s="189">
        <v>40333080446.080002</v>
      </c>
      <c r="R84" s="189">
        <v>39038063287.050003</v>
      </c>
      <c r="S84" s="189">
        <v>38186456366.720001</v>
      </c>
      <c r="T84" s="189">
        <v>39754833137.690002</v>
      </c>
      <c r="U84" s="189">
        <v>37019284552.089996</v>
      </c>
      <c r="V84" s="189">
        <v>35936255140.220001</v>
      </c>
      <c r="W84" s="189">
        <v>34492053862.870003</v>
      </c>
      <c r="X84" s="189">
        <v>35275133265.93</v>
      </c>
      <c r="Y84" s="189">
        <v>31521070553.299999</v>
      </c>
      <c r="Z84" s="189">
        <v>29621442772.68</v>
      </c>
      <c r="AA84" s="189">
        <v>26749200973.880001</v>
      </c>
      <c r="AB84" s="189">
        <v>26577947881.900002</v>
      </c>
      <c r="AC84" s="189">
        <v>23446688740.450001</v>
      </c>
      <c r="AD84" s="189">
        <v>22228578013.470001</v>
      </c>
      <c r="AE84" s="189">
        <v>20718108830.41</v>
      </c>
      <c r="AF84" s="189">
        <v>20565137134.060001</v>
      </c>
      <c r="AG84" s="189">
        <v>18366101541.470001</v>
      </c>
      <c r="AH84" s="189">
        <v>17519043970.790001</v>
      </c>
      <c r="AI84" s="189">
        <v>16339410822.219999</v>
      </c>
      <c r="AJ84" s="189">
        <v>16187697852.24</v>
      </c>
      <c r="AK84" s="189">
        <v>14580462144.59</v>
      </c>
      <c r="AL84" s="189">
        <v>13658846653.6</v>
      </c>
      <c r="AM84" s="189">
        <v>12886039184.620001</v>
      </c>
      <c r="AN84" s="189">
        <v>12725217105.43</v>
      </c>
      <c r="AO84" s="189">
        <v>11455936876.719999</v>
      </c>
      <c r="AP84" s="189">
        <v>11230323337.110001</v>
      </c>
      <c r="AQ84" s="189">
        <v>10934383750.469999</v>
      </c>
      <c r="AR84" s="189">
        <v>10641944677.48</v>
      </c>
      <c r="AS84" s="189">
        <v>9626236984.1700001</v>
      </c>
      <c r="AT84" s="189">
        <v>9485588152.4899998</v>
      </c>
      <c r="AU84" s="189">
        <v>9304015150.3199997</v>
      </c>
      <c r="AV84" s="189">
        <v>9051649388.7700005</v>
      </c>
      <c r="AW84" s="189">
        <v>8295168514.6400003</v>
      </c>
      <c r="AX84" s="189">
        <v>8139685182.96</v>
      </c>
      <c r="AY84" s="189">
        <v>7938750364.1499996</v>
      </c>
      <c r="AZ84" s="189">
        <v>7934784508.5</v>
      </c>
      <c r="BA84" s="189">
        <v>7385968978.54</v>
      </c>
      <c r="BB84" s="189">
        <v>7360716151.5900002</v>
      </c>
      <c r="BC84" s="189">
        <v>7179425965.6499996</v>
      </c>
      <c r="BD84" s="189">
        <v>7003465589.3699999</v>
      </c>
      <c r="BE84" s="189">
        <v>6586961901.7700005</v>
      </c>
      <c r="BF84" s="189">
        <v>6433916281.1800003</v>
      </c>
      <c r="BG84" s="189">
        <v>6292714866.6599998</v>
      </c>
      <c r="BH84" s="189">
        <v>6409286809.8599997</v>
      </c>
      <c r="BI84" s="189">
        <v>6025892686.6599998</v>
      </c>
      <c r="BJ84" s="189">
        <v>5870405150.8400002</v>
      </c>
      <c r="BK84" s="189">
        <v>5711754634.1499996</v>
      </c>
      <c r="BL84" s="189">
        <v>5611611741.0699997</v>
      </c>
      <c r="BM84" s="189">
        <v>5322099955.71</v>
      </c>
      <c r="BN84" s="189">
        <v>5214293132.5200005</v>
      </c>
      <c r="BO84" s="189">
        <v>5075362101.0900002</v>
      </c>
      <c r="BP84" s="189">
        <v>4954980669.5600004</v>
      </c>
      <c r="BQ84" s="189">
        <v>4702243132.8000002</v>
      </c>
      <c r="BR84" s="189">
        <v>0</v>
      </c>
      <c r="BS84" s="189">
        <v>4385655821.6400003</v>
      </c>
      <c r="BT84" s="189">
        <v>4238623191.5</v>
      </c>
      <c r="BU84" s="189">
        <v>3191216198.9499998</v>
      </c>
      <c r="BV84" s="189">
        <v>2850312166.9000001</v>
      </c>
      <c r="BW84" s="189">
        <v>2420499366.4499998</v>
      </c>
      <c r="BX84" s="189">
        <v>2089698452.7</v>
      </c>
      <c r="BY84" s="189">
        <v>1764990217.6700001</v>
      </c>
      <c r="BZ84" s="189">
        <v>1864618529.46</v>
      </c>
      <c r="CA84" s="189">
        <v>392384778.43000001</v>
      </c>
      <c r="CB84" s="189">
        <v>264958379.21000001</v>
      </c>
      <c r="CC84" s="189">
        <v>225967479.94999999</v>
      </c>
      <c r="CD84" s="189">
        <v>0</v>
      </c>
    </row>
    <row r="85" spans="1:82" x14ac:dyDescent="0.25">
      <c r="A85" s="189" t="s">
        <v>189</v>
      </c>
      <c r="B85" s="189">
        <v>76123846574.960007</v>
      </c>
      <c r="C85" s="189">
        <v>80430592528.770004</v>
      </c>
      <c r="D85" s="189">
        <v>79647898938.149994</v>
      </c>
      <c r="E85" s="189">
        <v>70922626679.429993</v>
      </c>
      <c r="F85" s="189">
        <v>66083400883.519997</v>
      </c>
      <c r="G85" s="189">
        <v>64433367542.440002</v>
      </c>
      <c r="H85" s="189">
        <v>67866616071.059998</v>
      </c>
      <c r="I85" s="189">
        <v>62174406583.199997</v>
      </c>
      <c r="J85" s="189">
        <v>60345095213.040001</v>
      </c>
      <c r="K85" s="189">
        <v>59962925308.849998</v>
      </c>
      <c r="L85" s="189">
        <v>60984275878.230003</v>
      </c>
      <c r="M85" s="189">
        <v>52546634940.510002</v>
      </c>
      <c r="N85" s="189">
        <v>48267194105.900002</v>
      </c>
      <c r="O85" s="189">
        <v>47390342280.75</v>
      </c>
      <c r="P85" s="189">
        <v>48665558998.510002</v>
      </c>
      <c r="Q85" s="189">
        <v>46408870652.849998</v>
      </c>
      <c r="R85" s="189">
        <v>44657237287.849998</v>
      </c>
      <c r="S85" s="189">
        <v>44698321112.940002</v>
      </c>
      <c r="T85" s="189">
        <v>47317331564.629997</v>
      </c>
      <c r="U85" s="189">
        <v>44129502138.300003</v>
      </c>
      <c r="V85" s="189">
        <v>43885001808.5</v>
      </c>
      <c r="W85" s="189">
        <v>45054062652.629997</v>
      </c>
      <c r="X85" s="189">
        <v>46501487736.25</v>
      </c>
      <c r="Y85" s="189">
        <v>45247636141.839996</v>
      </c>
      <c r="Z85" s="189">
        <v>41871175185.970001</v>
      </c>
      <c r="AA85" s="189">
        <v>39666459427.830002</v>
      </c>
      <c r="AB85" s="189">
        <v>38862407526.260002</v>
      </c>
      <c r="AC85" s="189">
        <v>36905840779.239998</v>
      </c>
      <c r="AD85" s="189">
        <v>33315838536.02</v>
      </c>
      <c r="AE85" s="189">
        <v>32399191895.98</v>
      </c>
      <c r="AF85" s="189">
        <v>31015417028.869999</v>
      </c>
      <c r="AG85" s="189">
        <v>28673500525.16</v>
      </c>
      <c r="AH85" s="189">
        <v>24686848363.98</v>
      </c>
      <c r="AI85" s="189">
        <v>23245470227.009998</v>
      </c>
      <c r="AJ85" s="189">
        <v>22818422251.669998</v>
      </c>
      <c r="AK85" s="189">
        <v>20849090535.73</v>
      </c>
      <c r="AL85" s="189">
        <v>18913285078.299999</v>
      </c>
      <c r="AM85" s="189">
        <v>16610090122.360001</v>
      </c>
      <c r="AN85" s="189">
        <v>14372018358.549999</v>
      </c>
      <c r="AO85" s="189">
        <v>13496420728.24</v>
      </c>
      <c r="AP85" s="189">
        <v>13179147048.389999</v>
      </c>
      <c r="AQ85" s="189">
        <v>12486777241.93</v>
      </c>
      <c r="AR85" s="189">
        <v>12462106494.66</v>
      </c>
      <c r="AS85" s="189">
        <v>11571651127.1</v>
      </c>
      <c r="AT85" s="189">
        <v>12009745912.379999</v>
      </c>
      <c r="AU85" s="189">
        <v>11578377686.84</v>
      </c>
      <c r="AV85" s="189">
        <v>11338482878.139999</v>
      </c>
      <c r="AW85" s="189">
        <v>10334123958.969999</v>
      </c>
      <c r="AX85" s="189">
        <v>10251562247.450001</v>
      </c>
      <c r="AY85" s="189">
        <v>9918374256.4699993</v>
      </c>
      <c r="AZ85" s="189">
        <v>10356777443.780001</v>
      </c>
      <c r="BA85" s="189">
        <v>9614093108.8600006</v>
      </c>
      <c r="BB85" s="189">
        <v>9526985470.3799992</v>
      </c>
      <c r="BC85" s="189">
        <v>9518560074.9599991</v>
      </c>
      <c r="BD85" s="189">
        <v>9141392183.0499992</v>
      </c>
      <c r="BE85" s="189">
        <v>8810533628</v>
      </c>
      <c r="BF85" s="189">
        <v>8799938828.25</v>
      </c>
      <c r="BG85" s="189">
        <v>8663158465.2900009</v>
      </c>
      <c r="BH85" s="189">
        <v>9031214448.7600002</v>
      </c>
      <c r="BI85" s="189">
        <v>8262779664.5299997</v>
      </c>
      <c r="BJ85" s="189">
        <v>8024659081.25</v>
      </c>
      <c r="BK85" s="189">
        <v>7314459930.6599998</v>
      </c>
      <c r="BL85" s="189">
        <v>7522900600.9099998</v>
      </c>
      <c r="BM85" s="189">
        <v>7261734980.75</v>
      </c>
      <c r="BN85" s="189">
        <v>7129894989.8100004</v>
      </c>
      <c r="BO85" s="189">
        <v>6839792297.6999998</v>
      </c>
      <c r="BP85" s="189">
        <v>6718110080.7799997</v>
      </c>
      <c r="BQ85" s="189">
        <v>6687868171.4899998</v>
      </c>
      <c r="BR85" s="189">
        <v>7011350000</v>
      </c>
      <c r="BS85" s="189">
        <v>6310083473.0100002</v>
      </c>
      <c r="BT85" s="189">
        <v>5331271173.0600004</v>
      </c>
      <c r="BU85" s="189">
        <v>4600917198.25</v>
      </c>
      <c r="BV85" s="189">
        <v>4039527701.1300001</v>
      </c>
      <c r="BW85" s="189">
        <v>3918898762.9499998</v>
      </c>
      <c r="BX85" s="189">
        <v>2822738335.4499998</v>
      </c>
      <c r="BY85" s="189">
        <v>2743030879</v>
      </c>
      <c r="BZ85" s="189">
        <v>2533173630.0799999</v>
      </c>
      <c r="CA85" s="189">
        <v>1155167331.9300001</v>
      </c>
      <c r="CB85" s="189">
        <v>875504919.83000004</v>
      </c>
      <c r="CC85" s="189">
        <v>758250422.42999995</v>
      </c>
      <c r="CD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7" width="13.88671875" style="189" hidden="1" customWidth="1"/>
    <col min="48" max="48" width="12.77734375" style="189" hidden="1" customWidth="1"/>
    <col min="49" max="49" width="13.88671875" style="189" bestFit="1" customWidth="1"/>
    <col min="50" max="50" width="13.88671875" style="189" hidden="1" customWidth="1"/>
    <col min="51" max="52" width="12.77734375" style="189" hidden="1" customWidth="1"/>
    <col min="53" max="53" width="13.88671875" style="189" bestFit="1" customWidth="1"/>
    <col min="54" max="56" width="12.77734375" style="189" hidden="1" customWidth="1"/>
    <col min="57" max="57" width="13.88671875" style="189" bestFit="1" customWidth="1"/>
    <col min="58" max="59" width="13.88671875" style="189" hidden="1" customWidth="1"/>
    <col min="60" max="60" width="12.77734375" style="189" hidden="1" customWidth="1"/>
    <col min="61" max="61" width="13.88671875" style="189" bestFit="1" customWidth="1"/>
    <col min="62" max="63" width="13.88671875" style="189" hidden="1" customWidth="1"/>
    <col min="64" max="64" width="12.77734375" style="189" hidden="1" customWidth="1"/>
    <col min="65" max="65" width="13.88671875" style="189" bestFit="1" customWidth="1"/>
    <col min="66" max="68" width="12.77734375" style="189" hidden="1" customWidth="1"/>
    <col min="69" max="69" width="13.88671875" style="189" bestFit="1" customWidth="1"/>
    <col min="70" max="70" width="11.6640625" style="189" hidden="1" customWidth="1"/>
    <col min="71" max="71" width="13.88671875" style="189" hidden="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2.77734375" style="189" hidden="1" customWidth="1"/>
    <col min="77" max="77" width="13.88671875" style="189" bestFit="1" customWidth="1"/>
    <col min="78" max="78" width="12.77734375" style="189" hidden="1" customWidth="1"/>
    <col min="79" max="81" width="12.77734375" style="189" bestFit="1" customWidth="1"/>
    <col min="82" max="82" width="9.5546875" style="189" hidden="1" customWidth="1"/>
    <col min="83" max="16384" width="8.88671875" style="189"/>
  </cols>
  <sheetData>
    <row r="1" spans="1:82"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190</v>
      </c>
      <c r="B3" s="189">
        <v>29250287403.09</v>
      </c>
      <c r="C3" s="189">
        <v>21421181221.360001</v>
      </c>
      <c r="D3" s="189">
        <v>13897660045.379999</v>
      </c>
      <c r="E3" s="189">
        <v>30186780409.139999</v>
      </c>
      <c r="F3" s="189">
        <v>21977596629.700001</v>
      </c>
      <c r="G3" s="189">
        <v>15621127660.559999</v>
      </c>
      <c r="H3" s="189">
        <v>10158807519.1</v>
      </c>
      <c r="I3" s="189">
        <v>24543792660.59</v>
      </c>
      <c r="J3" s="189">
        <v>17699643832.209999</v>
      </c>
      <c r="K3" s="189">
        <v>13255638646.02</v>
      </c>
      <c r="L3" s="189">
        <v>8825564213.4699993</v>
      </c>
      <c r="M3" s="189">
        <v>21659287359.66</v>
      </c>
      <c r="N3" s="189">
        <v>15131341357.209999</v>
      </c>
      <c r="O3" s="189">
        <v>11215414006.940001</v>
      </c>
      <c r="P3" s="189">
        <v>6735435074.1599998</v>
      </c>
      <c r="Q3" s="189">
        <v>21011491536.139999</v>
      </c>
      <c r="R3" s="189">
        <v>15068314515.67</v>
      </c>
      <c r="S3" s="189">
        <v>11662532799.27</v>
      </c>
      <c r="T3" s="189">
        <v>6719851620.2700005</v>
      </c>
      <c r="U3" s="189">
        <v>24718588617.990002</v>
      </c>
      <c r="V3" s="189">
        <v>19165837235.439999</v>
      </c>
      <c r="W3" s="189">
        <v>15519877625.32</v>
      </c>
      <c r="X3" s="189">
        <v>8675799862.7600002</v>
      </c>
      <c r="Y3" s="189">
        <v>27201045951.34</v>
      </c>
      <c r="Z3" s="189">
        <v>21126603442.650002</v>
      </c>
      <c r="AA3" s="189">
        <v>15049709413.35</v>
      </c>
      <c r="AB3" s="189">
        <v>8230651472.6199999</v>
      </c>
      <c r="AC3" s="189">
        <v>20350594468.709999</v>
      </c>
      <c r="AD3" s="189">
        <v>15648774490.190001</v>
      </c>
      <c r="AE3" s="189">
        <v>10594830203.200001</v>
      </c>
      <c r="AF3" s="189">
        <v>6244557079.6499996</v>
      </c>
      <c r="AG3" s="189">
        <v>15541300510.85</v>
      </c>
      <c r="AH3" s="189">
        <v>11471710170.860001</v>
      </c>
      <c r="AI3" s="189">
        <v>7576545903.4899998</v>
      </c>
      <c r="AJ3" s="189">
        <v>4493625787.5500002</v>
      </c>
      <c r="AK3" s="189">
        <v>11129220549.610001</v>
      </c>
      <c r="AL3" s="189">
        <v>8029680076.3699999</v>
      </c>
      <c r="AM3" s="189">
        <v>5340889931.8100004</v>
      </c>
      <c r="AN3" s="189">
        <v>3338850726.5900002</v>
      </c>
      <c r="AO3" s="189">
        <v>7933068723.21</v>
      </c>
      <c r="AP3" s="189">
        <v>6578679657.1199999</v>
      </c>
      <c r="AQ3" s="189">
        <v>4597277683.0200005</v>
      </c>
      <c r="AR3" s="189">
        <v>3086147513.71</v>
      </c>
      <c r="AS3" s="189">
        <v>7328555841.6199999</v>
      </c>
      <c r="AT3" s="189">
        <v>6043063119.9700003</v>
      </c>
      <c r="AU3" s="189">
        <v>4342880480.1599998</v>
      </c>
      <c r="AV3" s="189">
        <v>3009852591.5900002</v>
      </c>
      <c r="AW3" s="189">
        <v>7389544035.25</v>
      </c>
      <c r="AX3" s="189">
        <v>5959089191.0799999</v>
      </c>
      <c r="AY3" s="189">
        <v>4399514391.5699997</v>
      </c>
      <c r="AZ3" s="189">
        <v>2731789322.2600002</v>
      </c>
      <c r="BA3" s="189">
        <v>6424444417.2700005</v>
      </c>
      <c r="BB3" s="189">
        <v>4971947983.2700005</v>
      </c>
      <c r="BC3" s="189">
        <v>3809736337.1799998</v>
      </c>
      <c r="BD3" s="189">
        <v>2470919490.54</v>
      </c>
      <c r="BE3" s="189">
        <v>6301441944.1300001</v>
      </c>
      <c r="BF3" s="189">
        <v>4581174951.9700003</v>
      </c>
      <c r="BG3" s="189">
        <v>3459364902.3200002</v>
      </c>
      <c r="BH3" s="189">
        <v>2450963328.6799998</v>
      </c>
      <c r="BI3" s="189">
        <v>6336794521.8900003</v>
      </c>
      <c r="BJ3" s="189">
        <v>4644099011</v>
      </c>
      <c r="BK3" s="189">
        <v>3428218922.98</v>
      </c>
      <c r="BL3" s="189">
        <v>2276267758.0799999</v>
      </c>
      <c r="BM3" s="189">
        <v>5710350351.6199999</v>
      </c>
      <c r="BN3" s="189">
        <v>4485526549.75</v>
      </c>
      <c r="BO3" s="189">
        <v>3463699393.3899999</v>
      </c>
      <c r="BP3" s="189">
        <v>2264094795.2800002</v>
      </c>
      <c r="BQ3" s="189">
        <v>4744281992.5200005</v>
      </c>
      <c r="BR3" s="189">
        <v>3702660000</v>
      </c>
      <c r="BS3" s="189">
        <v>2817921669.3600001</v>
      </c>
      <c r="BT3" s="189">
        <v>2000858441.52</v>
      </c>
      <c r="BU3" s="189">
        <v>3956643154.79</v>
      </c>
      <c r="BV3" s="189">
        <v>2669543118.9499998</v>
      </c>
      <c r="BW3" s="189">
        <v>3311434887.0900002</v>
      </c>
      <c r="BX3" s="189">
        <v>1900893259.47</v>
      </c>
      <c r="BY3" s="189">
        <v>2814381927.4499998</v>
      </c>
      <c r="BZ3" s="189">
        <v>1210444191.27</v>
      </c>
      <c r="CA3" s="189">
        <v>2204611202.5799999</v>
      </c>
      <c r="CB3" s="189">
        <v>1310021438.3399999</v>
      </c>
      <c r="CC3" s="189">
        <v>915011267.75999999</v>
      </c>
      <c r="CD3" s="189">
        <v>0</v>
      </c>
    </row>
    <row r="4" spans="1:82" x14ac:dyDescent="0.25">
      <c r="A4" s="189" t="s">
        <v>191</v>
      </c>
      <c r="B4" s="189">
        <v>29250287403.09</v>
      </c>
      <c r="C4" s="189">
        <v>21421181221.360001</v>
      </c>
      <c r="D4" s="189">
        <v>13897660045.379999</v>
      </c>
      <c r="E4" s="189">
        <v>30186780409.139999</v>
      </c>
      <c r="F4" s="189">
        <v>21977596629.700001</v>
      </c>
      <c r="G4" s="189">
        <v>15621127660.559999</v>
      </c>
      <c r="H4" s="189">
        <v>10158807519.1</v>
      </c>
      <c r="I4" s="189">
        <v>24543792660.59</v>
      </c>
      <c r="J4" s="189">
        <v>17699643832.209999</v>
      </c>
      <c r="K4" s="189">
        <v>13255638646.02</v>
      </c>
      <c r="L4" s="189">
        <v>8825564213.4699993</v>
      </c>
      <c r="M4" s="189">
        <v>21659287359.66</v>
      </c>
      <c r="N4" s="189">
        <v>15131341357.209999</v>
      </c>
      <c r="O4" s="189">
        <v>11215414006.940001</v>
      </c>
      <c r="P4" s="189">
        <v>6735435074.1599998</v>
      </c>
      <c r="Q4" s="189">
        <v>21011491536.139999</v>
      </c>
      <c r="R4" s="189">
        <v>15068314515.67</v>
      </c>
      <c r="S4" s="189">
        <v>11662532799.27</v>
      </c>
      <c r="T4" s="189">
        <v>6719851620.2700005</v>
      </c>
      <c r="U4" s="189">
        <v>24718588617.990002</v>
      </c>
      <c r="V4" s="189">
        <v>19165837235.439999</v>
      </c>
      <c r="W4" s="189">
        <v>15519877625.32</v>
      </c>
      <c r="X4" s="189">
        <v>8675799862.7600002</v>
      </c>
      <c r="Y4" s="189">
        <v>27201045951.34</v>
      </c>
      <c r="Z4" s="189">
        <v>21126603442.650002</v>
      </c>
      <c r="AA4" s="189">
        <v>15049709413.35</v>
      </c>
      <c r="AB4" s="189">
        <v>8230651472.6199999</v>
      </c>
      <c r="AC4" s="189">
        <v>20350594468.709999</v>
      </c>
      <c r="AD4" s="189">
        <v>15648774490.190001</v>
      </c>
      <c r="AE4" s="189">
        <v>10594830203.200001</v>
      </c>
      <c r="AF4" s="189">
        <v>6244557079.6499996</v>
      </c>
      <c r="AG4" s="189">
        <v>15541300510.85</v>
      </c>
      <c r="AH4" s="189">
        <v>11471710170.860001</v>
      </c>
      <c r="AI4" s="189">
        <v>7576545903.4899998</v>
      </c>
      <c r="AJ4" s="189">
        <v>4493625787.5500002</v>
      </c>
      <c r="AK4" s="189">
        <v>11129220549.610001</v>
      </c>
      <c r="AL4" s="189">
        <v>8029680076.3699999</v>
      </c>
      <c r="AM4" s="189">
        <v>5340889931.8100004</v>
      </c>
      <c r="AN4" s="189">
        <v>3338850726.5900002</v>
      </c>
      <c r="AO4" s="189">
        <v>7933068723.21</v>
      </c>
      <c r="AP4" s="189">
        <v>6578679657.1199999</v>
      </c>
      <c r="AQ4" s="189">
        <v>4597277683.0200005</v>
      </c>
      <c r="AR4" s="189">
        <v>3086147513.71</v>
      </c>
      <c r="AS4" s="189">
        <v>7328555841.6199999</v>
      </c>
      <c r="AT4" s="189">
        <v>6043063119.9700003</v>
      </c>
      <c r="AU4" s="189">
        <v>4342880480.1599998</v>
      </c>
      <c r="AV4" s="189">
        <v>3009852591.5900002</v>
      </c>
      <c r="AW4" s="189">
        <v>7386141421.5100002</v>
      </c>
      <c r="AX4" s="189">
        <v>5955523309.9399996</v>
      </c>
      <c r="AY4" s="189">
        <v>4397011844.6999998</v>
      </c>
      <c r="AZ4" s="189">
        <v>2730446461.8499999</v>
      </c>
      <c r="BA4" s="189">
        <v>6418751478.3199997</v>
      </c>
      <c r="BB4" s="189">
        <v>4967771279.1899996</v>
      </c>
      <c r="BC4" s="189">
        <v>3807013164.1999998</v>
      </c>
      <c r="BD4" s="189">
        <v>2469452513.6900001</v>
      </c>
      <c r="BE4" s="189">
        <v>6297583438.9799995</v>
      </c>
      <c r="BF4" s="189">
        <v>4578081987.8100004</v>
      </c>
      <c r="BG4" s="189">
        <v>3457300399.23</v>
      </c>
      <c r="BH4" s="189">
        <v>2449943325.7399998</v>
      </c>
      <c r="BI4" s="189">
        <v>6333090598.79</v>
      </c>
      <c r="BJ4" s="189">
        <v>4640989046.4700003</v>
      </c>
      <c r="BK4" s="189">
        <v>3426815041.8899999</v>
      </c>
      <c r="BL4" s="189">
        <v>2274657872.1900001</v>
      </c>
      <c r="BM4" s="189">
        <v>5706517438.4499998</v>
      </c>
      <c r="BN4" s="189">
        <v>4483326842.3900003</v>
      </c>
      <c r="BO4" s="189">
        <v>3462399215.1500001</v>
      </c>
      <c r="BP4" s="189">
        <v>2263204765.0599999</v>
      </c>
      <c r="BQ4" s="189">
        <v>4742095340.6499996</v>
      </c>
      <c r="BR4" s="189">
        <v>3700110000</v>
      </c>
      <c r="BS4" s="189">
        <v>2817494022.5799999</v>
      </c>
      <c r="BT4" s="189">
        <v>1999899650.1600001</v>
      </c>
      <c r="BU4" s="189">
        <v>3953640138.96</v>
      </c>
      <c r="BV4" s="189">
        <v>2667684533.9200001</v>
      </c>
      <c r="BW4" s="189">
        <v>3308791041.8000002</v>
      </c>
      <c r="BX4" s="189">
        <v>1900893259.47</v>
      </c>
      <c r="BY4" s="189">
        <v>2814346533.1199999</v>
      </c>
      <c r="BZ4" s="189">
        <v>1210433401.23</v>
      </c>
      <c r="CA4" s="189">
        <v>2204454415.5599999</v>
      </c>
      <c r="CB4" s="189">
        <v>1309696890.55</v>
      </c>
      <c r="CC4" s="189">
        <v>914703675.36000001</v>
      </c>
      <c r="CD4" s="189">
        <v>0</v>
      </c>
    </row>
    <row r="5" spans="1:82" x14ac:dyDescent="0.25">
      <c r="A5" s="189" t="s">
        <v>192</v>
      </c>
      <c r="B5" s="189">
        <v>16182239620.91</v>
      </c>
      <c r="C5" s="189">
        <v>11658838008.91</v>
      </c>
      <c r="D5" s="189">
        <v>7013986778.5</v>
      </c>
      <c r="E5" s="189">
        <v>16954329682.610001</v>
      </c>
      <c r="F5" s="189">
        <v>12351635651.33</v>
      </c>
      <c r="G5" s="189">
        <v>8681153496.3600006</v>
      </c>
      <c r="H5" s="189">
        <v>5219248648.6700001</v>
      </c>
      <c r="I5" s="189">
        <v>15340010355.950001</v>
      </c>
      <c r="J5" s="189">
        <v>10754163494.469999</v>
      </c>
      <c r="K5" s="189">
        <v>7973349652.2200003</v>
      </c>
      <c r="L5" s="189">
        <v>4862712652.1099997</v>
      </c>
      <c r="M5" s="189">
        <v>13447194528.950001</v>
      </c>
      <c r="N5" s="189">
        <v>8928676405.3999996</v>
      </c>
      <c r="O5" s="189">
        <v>6763015920.7299995</v>
      </c>
      <c r="P5" s="189">
        <v>3735455425.8600001</v>
      </c>
      <c r="Q5" s="189">
        <v>12993577702.66</v>
      </c>
      <c r="R5" s="189">
        <v>8629017906.1299992</v>
      </c>
      <c r="S5" s="189">
        <v>6118896263.8299999</v>
      </c>
      <c r="T5" s="189">
        <v>3057524313.9899998</v>
      </c>
      <c r="U5" s="189">
        <v>13283383589.25</v>
      </c>
      <c r="V5" s="189">
        <v>9112582031.7800007</v>
      </c>
      <c r="W5" s="189">
        <v>7283057053.2399998</v>
      </c>
      <c r="X5" s="189">
        <v>3463706177.0599999</v>
      </c>
      <c r="Y5" s="189">
        <v>13502689947.559999</v>
      </c>
      <c r="Z5" s="189">
        <v>10427199376.98</v>
      </c>
      <c r="AA5" s="189">
        <v>8115683206.9300003</v>
      </c>
      <c r="AB5" s="189">
        <v>4041835235.48</v>
      </c>
      <c r="AC5" s="189">
        <v>11853596549.1</v>
      </c>
      <c r="AD5" s="189">
        <v>9035308334.2399998</v>
      </c>
      <c r="AE5" s="189">
        <v>5987149722.5900002</v>
      </c>
      <c r="AF5" s="189">
        <v>3401082297.3600001</v>
      </c>
      <c r="AG5" s="189">
        <v>9443020432.2700005</v>
      </c>
      <c r="AH5" s="189">
        <v>6800389666.3999996</v>
      </c>
      <c r="AI5" s="189">
        <v>4476650413.7200003</v>
      </c>
      <c r="AJ5" s="189">
        <v>2412452012.8499999</v>
      </c>
      <c r="AK5" s="189">
        <v>6561185342.7299995</v>
      </c>
      <c r="AL5" s="189">
        <v>4876502095.7799997</v>
      </c>
      <c r="AM5" s="189">
        <v>3195715838.3200002</v>
      </c>
      <c r="AN5" s="189">
        <v>1679559300.54</v>
      </c>
      <c r="AO5" s="189">
        <v>5503519534.6400003</v>
      </c>
      <c r="AP5" s="189">
        <v>4445425749.8500004</v>
      </c>
      <c r="AQ5" s="189">
        <v>2855706734.9400001</v>
      </c>
      <c r="AR5" s="189">
        <v>1734790010.22</v>
      </c>
      <c r="AS5" s="189">
        <v>5148150422.46</v>
      </c>
      <c r="AT5" s="189">
        <v>4072615059.2399998</v>
      </c>
      <c r="AU5" s="189">
        <v>2648859865.4499998</v>
      </c>
      <c r="AV5" s="189">
        <v>1887268688.8499999</v>
      </c>
      <c r="AW5" s="189">
        <v>5599562879.4099998</v>
      </c>
      <c r="AX5" s="189">
        <v>4405972659.5600004</v>
      </c>
      <c r="AY5" s="189">
        <v>3151240884.3400002</v>
      </c>
      <c r="AZ5" s="189">
        <v>1902376489.76</v>
      </c>
      <c r="BA5" s="189">
        <v>5224075523.1400003</v>
      </c>
      <c r="BB5" s="189">
        <v>3813072956.1199999</v>
      </c>
      <c r="BC5" s="189">
        <v>2879653588.1100001</v>
      </c>
      <c r="BD5" s="189">
        <v>1814507123.26</v>
      </c>
      <c r="BE5" s="189">
        <v>5018582978.9200001</v>
      </c>
      <c r="BF5" s="189">
        <v>3540898715.8600001</v>
      </c>
      <c r="BG5" s="189">
        <v>2641544286.46</v>
      </c>
      <c r="BH5" s="189">
        <v>1875446462.24</v>
      </c>
      <c r="BI5" s="189">
        <v>5241789465.7600002</v>
      </c>
      <c r="BJ5" s="189">
        <v>3783531894.0100002</v>
      </c>
      <c r="BK5" s="189">
        <v>2788351559.6799998</v>
      </c>
      <c r="BL5" s="189">
        <v>1780945721.26</v>
      </c>
      <c r="BM5" s="189">
        <v>4837207923.5600004</v>
      </c>
      <c r="BN5" s="189">
        <v>3780842736.1900001</v>
      </c>
      <c r="BO5" s="189">
        <v>2964750177.8699999</v>
      </c>
      <c r="BP5" s="189">
        <v>1889664404.03</v>
      </c>
      <c r="BQ5" s="189">
        <v>3821136586.1999998</v>
      </c>
      <c r="BR5" s="189">
        <v>0</v>
      </c>
      <c r="BS5" s="189">
        <v>2167956918.77</v>
      </c>
      <c r="BT5" s="189">
        <v>1584980357.3699999</v>
      </c>
      <c r="BU5" s="189">
        <v>2950932342.1999998</v>
      </c>
      <c r="BV5" s="189">
        <v>1944008591.5599999</v>
      </c>
      <c r="BW5" s="189">
        <v>2524466561.2399998</v>
      </c>
      <c r="BX5" s="189">
        <v>1517158008.29</v>
      </c>
      <c r="BY5" s="189">
        <v>2141029972.9100001</v>
      </c>
      <c r="BZ5" s="189">
        <v>912752288.26999998</v>
      </c>
      <c r="CA5" s="189">
        <v>1695210641.5899999</v>
      </c>
      <c r="CB5" s="189">
        <v>922052291.46000004</v>
      </c>
      <c r="CC5" s="189">
        <v>591238913.46000004</v>
      </c>
      <c r="CD5" s="189">
        <v>0</v>
      </c>
    </row>
    <row r="6" spans="1:82" x14ac:dyDescent="0.25">
      <c r="A6" s="189" t="s">
        <v>193</v>
      </c>
      <c r="B6" s="189">
        <v>7759838646.7200003</v>
      </c>
      <c r="C6" s="189">
        <v>5818583155.1899996</v>
      </c>
      <c r="D6" s="189">
        <v>3725553183.0700002</v>
      </c>
      <c r="E6" s="189">
        <v>8450087271.3599997</v>
      </c>
      <c r="F6" s="189">
        <v>6350106683.5200005</v>
      </c>
      <c r="G6" s="189">
        <v>4428529135.8999996</v>
      </c>
      <c r="H6" s="189">
        <v>2993353291.3099999</v>
      </c>
      <c r="I6" s="189">
        <v>7314252452.3800001</v>
      </c>
      <c r="J6" s="189">
        <v>5287169637.4300003</v>
      </c>
      <c r="K6" s="189">
        <v>3976153298.8800001</v>
      </c>
      <c r="L6" s="189">
        <v>2661635000.4699998</v>
      </c>
      <c r="M6" s="189">
        <v>6671963269.6700001</v>
      </c>
      <c r="N6" s="189">
        <v>4656198301.6999998</v>
      </c>
      <c r="O6" s="189">
        <v>3376312811.8299999</v>
      </c>
      <c r="P6" s="189">
        <v>2055823734.03</v>
      </c>
      <c r="Q6" s="189">
        <v>5772029404.0299997</v>
      </c>
      <c r="R6" s="189">
        <v>3787920585.1700001</v>
      </c>
      <c r="S6" s="189">
        <v>2857248428.6700001</v>
      </c>
      <c r="T6" s="189">
        <v>1682004658.98</v>
      </c>
      <c r="U6" s="189">
        <v>6610410852.2399998</v>
      </c>
      <c r="V6" s="189">
        <v>5339450953.04</v>
      </c>
      <c r="W6" s="189">
        <v>4376697218.3699999</v>
      </c>
      <c r="X6" s="189">
        <v>2033064547.8699999</v>
      </c>
      <c r="Y6" s="189">
        <v>8015724440.8500004</v>
      </c>
      <c r="Z6" s="189">
        <v>6475620512.3999996</v>
      </c>
      <c r="AA6" s="189">
        <v>5252285371.5299997</v>
      </c>
      <c r="AB6" s="189">
        <v>2519558542.4099998</v>
      </c>
      <c r="AC6" s="189">
        <v>6895411289.1300001</v>
      </c>
      <c r="AD6" s="189">
        <v>5318811654.6899996</v>
      </c>
      <c r="AE6" s="189">
        <v>3589356918.8899999</v>
      </c>
      <c r="AF6" s="189">
        <v>2138107423.97</v>
      </c>
      <c r="AG6" s="189">
        <v>4863189610.8299999</v>
      </c>
      <c r="AH6" s="189">
        <v>3862012275.1300001</v>
      </c>
      <c r="AI6" s="189">
        <v>2470927606.6300001</v>
      </c>
      <c r="AJ6" s="189">
        <v>1354048502.05</v>
      </c>
      <c r="AK6" s="189">
        <v>3860659982.3200002</v>
      </c>
      <c r="AL6" s="189">
        <v>3030912031.6799998</v>
      </c>
      <c r="AM6" s="189">
        <v>2029592156.77</v>
      </c>
      <c r="AN6" s="189">
        <v>1086953253.6500001</v>
      </c>
      <c r="AO6" s="189">
        <v>3618072871.25</v>
      </c>
      <c r="AP6" s="189">
        <v>2994697567.3200002</v>
      </c>
      <c r="AQ6" s="189">
        <v>1909931131.78</v>
      </c>
      <c r="AR6" s="189">
        <v>1210862958.6400001</v>
      </c>
      <c r="AS6" s="189">
        <v>3377979573</v>
      </c>
      <c r="AT6" s="189">
        <v>2691916727.7199998</v>
      </c>
      <c r="AU6" s="189">
        <v>1726068014.1400001</v>
      </c>
      <c r="AV6" s="189">
        <v>1260355739.48</v>
      </c>
      <c r="AW6" s="189">
        <v>3486534076.8200002</v>
      </c>
      <c r="AX6" s="189">
        <v>2763275003.6700001</v>
      </c>
      <c r="AY6" s="189">
        <v>1904934120.6800001</v>
      </c>
      <c r="AZ6" s="189">
        <v>1128853611.54</v>
      </c>
      <c r="BA6" s="189">
        <v>3209547722.3400002</v>
      </c>
      <c r="BB6" s="189">
        <v>2434453784.54</v>
      </c>
      <c r="BC6" s="189">
        <v>1840642005.9300001</v>
      </c>
      <c r="BD6" s="189">
        <v>1190452153.4400001</v>
      </c>
      <c r="BE6" s="189">
        <v>3219308815.7399998</v>
      </c>
      <c r="BF6" s="189">
        <v>2411915899.25</v>
      </c>
      <c r="BG6" s="189">
        <v>1846629284.01</v>
      </c>
      <c r="BH6" s="189">
        <v>1345869096.0899999</v>
      </c>
      <c r="BI6" s="189">
        <v>3485512930.8499999</v>
      </c>
      <c r="BJ6" s="189">
        <v>2527189390.6100001</v>
      </c>
      <c r="BK6" s="189">
        <v>1905502286.49</v>
      </c>
      <c r="BL6" s="189">
        <v>1263173219.8800001</v>
      </c>
      <c r="BM6" s="189">
        <v>3200544107.3400002</v>
      </c>
      <c r="BN6" s="189">
        <v>2439984867.3400002</v>
      </c>
      <c r="BO6" s="189">
        <v>1936175378.28</v>
      </c>
      <c r="BP6" s="189">
        <v>1318965800.5</v>
      </c>
      <c r="BQ6" s="189">
        <v>2643927861.4899998</v>
      </c>
      <c r="BR6" s="189">
        <v>0</v>
      </c>
      <c r="BS6" s="189">
        <v>1570152121.23</v>
      </c>
      <c r="BT6" s="189">
        <v>1238131319.3099999</v>
      </c>
      <c r="BU6" s="189">
        <v>1930789417.8299999</v>
      </c>
      <c r="BV6" s="189">
        <v>1153309650.4000001</v>
      </c>
      <c r="BW6" s="189">
        <v>1576612800.96</v>
      </c>
      <c r="BX6" s="189">
        <v>924155194.89999998</v>
      </c>
      <c r="BY6" s="189">
        <v>1486186561.3499999</v>
      </c>
      <c r="BZ6" s="189">
        <v>596587847.75999999</v>
      </c>
      <c r="CA6" s="189">
        <v>1142349023.22</v>
      </c>
      <c r="CB6" s="189">
        <v>564890120.15999997</v>
      </c>
      <c r="CC6" s="189">
        <v>391634546.25999999</v>
      </c>
      <c r="CD6" s="189">
        <v>0</v>
      </c>
    </row>
    <row r="7" spans="1:82" x14ac:dyDescent="0.25">
      <c r="A7" s="189" t="s">
        <v>194</v>
      </c>
      <c r="B7" s="189">
        <v>4399320601.3400002</v>
      </c>
      <c r="C7" s="189">
        <v>3026570088.8899999</v>
      </c>
      <c r="D7" s="189">
        <v>1954791761.8199999</v>
      </c>
      <c r="E7" s="189">
        <v>3494696079.6799998</v>
      </c>
      <c r="F7" s="189">
        <v>2330495982.27</v>
      </c>
      <c r="G7" s="189">
        <v>1428602683.29</v>
      </c>
      <c r="H7" s="189">
        <v>761977874.67999995</v>
      </c>
      <c r="I7" s="189">
        <v>1941174540.51</v>
      </c>
      <c r="J7" s="189">
        <v>1369574668.29</v>
      </c>
      <c r="K7" s="189">
        <v>1036442502.02</v>
      </c>
      <c r="L7" s="189">
        <v>681549806.35000002</v>
      </c>
      <c r="M7" s="189">
        <v>1784675660.3199999</v>
      </c>
      <c r="N7" s="189">
        <v>1185882023.5999999</v>
      </c>
      <c r="O7" s="189">
        <v>885174940.63999999</v>
      </c>
      <c r="P7" s="189">
        <v>496842872.54000002</v>
      </c>
      <c r="Q7" s="189">
        <v>1517236398.1900001</v>
      </c>
      <c r="R7" s="189">
        <v>1056567930.21</v>
      </c>
      <c r="S7" s="189">
        <v>834773708.13</v>
      </c>
      <c r="T7" s="189">
        <v>448817685.83999997</v>
      </c>
      <c r="U7" s="189">
        <v>1849030035.48</v>
      </c>
      <c r="V7" s="189">
        <v>1359146268.04</v>
      </c>
      <c r="W7" s="189">
        <v>1097569220.4100001</v>
      </c>
      <c r="X7" s="189">
        <v>587146311.77999997</v>
      </c>
      <c r="Y7" s="189">
        <v>2005704155.21</v>
      </c>
      <c r="Z7" s="189">
        <v>1558027610.6700001</v>
      </c>
      <c r="AA7" s="189">
        <v>1125809503.8199999</v>
      </c>
      <c r="AB7" s="189">
        <v>649332785.17999995</v>
      </c>
      <c r="AC7" s="189">
        <v>1601644134.96</v>
      </c>
      <c r="AD7" s="189">
        <v>1220745003.9000001</v>
      </c>
      <c r="AE7" s="189">
        <v>818818580.22000003</v>
      </c>
      <c r="AF7" s="189">
        <v>467757266.18000001</v>
      </c>
      <c r="AG7" s="189">
        <v>1392170702.8499999</v>
      </c>
      <c r="AH7" s="189">
        <v>949959547.03999996</v>
      </c>
      <c r="AI7" s="189">
        <v>639437722.14999998</v>
      </c>
      <c r="AJ7" s="189">
        <v>362049254.75</v>
      </c>
      <c r="AK7" s="189">
        <v>798585260.89999998</v>
      </c>
      <c r="AL7" s="189">
        <v>534455603.97000003</v>
      </c>
      <c r="AM7" s="189">
        <v>353016371.48000002</v>
      </c>
      <c r="AN7" s="189">
        <v>229195199.34999999</v>
      </c>
      <c r="AO7" s="189">
        <v>565747370.87</v>
      </c>
      <c r="AP7" s="189">
        <v>459472285.37</v>
      </c>
      <c r="AQ7" s="189">
        <v>314631402.13999999</v>
      </c>
      <c r="AR7" s="189">
        <v>193215185.18000001</v>
      </c>
      <c r="AS7" s="189">
        <v>582633454.80999994</v>
      </c>
      <c r="AT7" s="189">
        <v>449601518.04000002</v>
      </c>
      <c r="AU7" s="189">
        <v>315913759.26999998</v>
      </c>
      <c r="AV7" s="189">
        <v>203169122.56999999</v>
      </c>
      <c r="AW7" s="189">
        <v>686318177.30999994</v>
      </c>
      <c r="AX7" s="189">
        <v>556090845.54999995</v>
      </c>
      <c r="AY7" s="189">
        <v>413944767.72000003</v>
      </c>
      <c r="AZ7" s="189">
        <v>278713692.88999999</v>
      </c>
      <c r="BA7" s="189">
        <v>795539034.54999995</v>
      </c>
      <c r="BB7" s="189">
        <v>611160237.39999998</v>
      </c>
      <c r="BC7" s="189">
        <v>349006847.58999997</v>
      </c>
      <c r="BD7" s="189">
        <v>217156441.12</v>
      </c>
      <c r="BE7" s="189">
        <v>612558108.15999997</v>
      </c>
      <c r="BF7" s="189">
        <v>430574801.92000002</v>
      </c>
      <c r="BG7" s="189">
        <v>300816347.13999999</v>
      </c>
      <c r="BH7" s="189">
        <v>197581411.83000001</v>
      </c>
      <c r="BI7" s="189">
        <v>676350429.50999999</v>
      </c>
      <c r="BJ7" s="189">
        <v>542818070.96000004</v>
      </c>
      <c r="BK7" s="189">
        <v>390629189.02999997</v>
      </c>
      <c r="BL7" s="189">
        <v>235175805.53</v>
      </c>
      <c r="BM7" s="189">
        <v>771795760.16999996</v>
      </c>
      <c r="BN7" s="189">
        <v>632756339.84000003</v>
      </c>
      <c r="BO7" s="189">
        <v>497304015.00999999</v>
      </c>
      <c r="BP7" s="189">
        <v>301207000.88</v>
      </c>
      <c r="BQ7" s="189">
        <v>456967130.48000002</v>
      </c>
      <c r="BR7" s="189">
        <v>0</v>
      </c>
      <c r="BS7" s="189">
        <v>224259442.81</v>
      </c>
      <c r="BT7" s="189">
        <v>153490045</v>
      </c>
      <c r="BU7" s="189">
        <v>214538084.22999999</v>
      </c>
      <c r="BV7" s="189">
        <v>163719979.69999999</v>
      </c>
      <c r="BW7" s="189">
        <v>234582285.06999999</v>
      </c>
      <c r="BX7" s="189">
        <v>132301100.94</v>
      </c>
      <c r="BY7" s="189">
        <v>197975432.55000001</v>
      </c>
      <c r="BZ7" s="189">
        <v>126982521.55</v>
      </c>
      <c r="CA7" s="189">
        <v>270374752.13999999</v>
      </c>
      <c r="CB7" s="189">
        <v>158639410.75999999</v>
      </c>
      <c r="CC7" s="189">
        <v>123488650.38</v>
      </c>
      <c r="CD7" s="189">
        <v>0</v>
      </c>
    </row>
    <row r="8" spans="1:82" x14ac:dyDescent="0.25">
      <c r="A8" s="189" t="s">
        <v>195</v>
      </c>
      <c r="B8" s="189">
        <v>3077131771.98</v>
      </c>
      <c r="C8" s="189">
        <v>2155689822.0700002</v>
      </c>
      <c r="D8" s="189">
        <v>1002891971.85</v>
      </c>
      <c r="E8" s="189">
        <v>3625397914.0599999</v>
      </c>
      <c r="F8" s="189">
        <v>2696626088.8800001</v>
      </c>
      <c r="G8" s="189">
        <v>2174133716.02</v>
      </c>
      <c r="H8" s="189">
        <v>1096463607.3</v>
      </c>
      <c r="I8" s="189">
        <v>4694545075.8500004</v>
      </c>
      <c r="J8" s="189">
        <v>3042710866.3499999</v>
      </c>
      <c r="K8" s="189">
        <v>2195621788.48</v>
      </c>
      <c r="L8" s="189">
        <v>1125781380.21</v>
      </c>
      <c r="M8" s="189">
        <v>3568061356.21</v>
      </c>
      <c r="N8" s="189">
        <v>2197272200.48</v>
      </c>
      <c r="O8" s="189">
        <v>1850332525.5599999</v>
      </c>
      <c r="P8" s="189">
        <v>816948847.00999999</v>
      </c>
      <c r="Q8" s="189">
        <v>4308897447.5699997</v>
      </c>
      <c r="R8" s="189">
        <v>2894737834.0100002</v>
      </c>
      <c r="S8" s="189">
        <v>1791032877.01</v>
      </c>
      <c r="T8" s="189">
        <v>638101750.49000001</v>
      </c>
      <c r="U8" s="189">
        <v>3382176991.3499999</v>
      </c>
      <c r="V8" s="189">
        <v>1552031028.3399999</v>
      </c>
      <c r="W8" s="189">
        <v>1195041137.1700001</v>
      </c>
      <c r="X8" s="189">
        <v>504185088.00999999</v>
      </c>
      <c r="Y8" s="189">
        <v>2258966257.29</v>
      </c>
      <c r="Z8" s="189">
        <v>1604891282.3499999</v>
      </c>
      <c r="AA8" s="189">
        <v>1215125573.74</v>
      </c>
      <c r="AB8" s="189">
        <v>482961749.50999999</v>
      </c>
      <c r="AC8" s="189">
        <v>2069991386.1500001</v>
      </c>
      <c r="AD8" s="189">
        <v>1480296163.3299999</v>
      </c>
      <c r="AE8" s="189">
        <v>954816987.75</v>
      </c>
      <c r="AF8" s="189">
        <v>386635240.64999998</v>
      </c>
      <c r="AG8" s="189">
        <v>1803233837.6800001</v>
      </c>
      <c r="AH8" s="189">
        <v>1036561699.9400001</v>
      </c>
      <c r="AI8" s="189">
        <v>773415888.91999996</v>
      </c>
      <c r="AJ8" s="189">
        <v>351594259.31</v>
      </c>
      <c r="AK8" s="189">
        <v>1164153836.1700001</v>
      </c>
      <c r="AL8" s="189">
        <v>772950147.42999995</v>
      </c>
      <c r="AM8" s="189">
        <v>484683782.69999999</v>
      </c>
      <c r="AN8" s="189">
        <v>201341294</v>
      </c>
      <c r="AO8" s="189">
        <v>890832654.12</v>
      </c>
      <c r="AP8" s="189">
        <v>642056969.50999999</v>
      </c>
      <c r="AQ8" s="189">
        <v>412268629.73000002</v>
      </c>
      <c r="AR8" s="189">
        <v>191259723.78</v>
      </c>
      <c r="AS8" s="189">
        <v>782758181.11000001</v>
      </c>
      <c r="AT8" s="189">
        <v>572401037.52999997</v>
      </c>
      <c r="AU8" s="189">
        <v>364868396.85000002</v>
      </c>
      <c r="AV8" s="189">
        <v>283165137.94</v>
      </c>
      <c r="AW8" s="189">
        <v>1005292875.11</v>
      </c>
      <c r="AX8" s="189">
        <v>770050949.13</v>
      </c>
      <c r="AY8" s="189">
        <v>616714289.07000005</v>
      </c>
      <c r="AZ8" s="189">
        <v>365975456.14999998</v>
      </c>
      <c r="BA8" s="189">
        <v>864010470.38</v>
      </c>
      <c r="BB8" s="189">
        <v>525083962.75</v>
      </c>
      <c r="BC8" s="189">
        <v>473957767.24000001</v>
      </c>
      <c r="BD8" s="189">
        <v>265137290.88999999</v>
      </c>
      <c r="BE8" s="189">
        <v>805873049.33000004</v>
      </c>
      <c r="BF8" s="189">
        <v>410271794.06999999</v>
      </c>
      <c r="BG8" s="189">
        <v>288900281.58999997</v>
      </c>
      <c r="BH8" s="189">
        <v>207267783.87</v>
      </c>
      <c r="BI8" s="189">
        <v>693133050.20000005</v>
      </c>
      <c r="BJ8" s="189">
        <v>400176892.02999997</v>
      </c>
      <c r="BK8" s="189">
        <v>284300322.06</v>
      </c>
      <c r="BL8" s="189">
        <v>177334630.08000001</v>
      </c>
      <c r="BM8" s="189">
        <v>490557853.07999998</v>
      </c>
      <c r="BN8" s="189">
        <v>414199424</v>
      </c>
      <c r="BO8" s="189">
        <v>321007216.29000002</v>
      </c>
      <c r="BP8" s="189">
        <v>170323063.34999999</v>
      </c>
      <c r="BQ8" s="189">
        <v>345465316.55000001</v>
      </c>
      <c r="BR8" s="189">
        <v>0</v>
      </c>
      <c r="BS8" s="189">
        <v>214005459.25</v>
      </c>
      <c r="BT8" s="189">
        <v>152235661.08000001</v>
      </c>
      <c r="BU8" s="189">
        <v>587572449.04999995</v>
      </c>
      <c r="BV8" s="189">
        <v>461791453.66000003</v>
      </c>
      <c r="BW8" s="189">
        <v>449730853.39999998</v>
      </c>
      <c r="BX8" s="189">
        <v>311560399.13</v>
      </c>
      <c r="BY8" s="189">
        <v>342697922.81</v>
      </c>
      <c r="BZ8" s="189">
        <v>152190024.56</v>
      </c>
      <c r="CA8" s="189">
        <v>205458922.97999999</v>
      </c>
      <c r="CB8" s="189">
        <v>143092621.77000001</v>
      </c>
      <c r="CC8" s="189">
        <v>33040032.620000001</v>
      </c>
      <c r="CD8" s="189">
        <v>0</v>
      </c>
    </row>
    <row r="9" spans="1:82" x14ac:dyDescent="0.25">
      <c r="A9" s="189" t="s">
        <v>196</v>
      </c>
      <c r="B9" s="189">
        <v>1673818880.4100001</v>
      </c>
      <c r="C9" s="189">
        <v>1181611988.78</v>
      </c>
      <c r="D9" s="189">
        <v>594986302.97000003</v>
      </c>
      <c r="E9" s="189">
        <v>2269024701.04</v>
      </c>
      <c r="F9" s="189">
        <v>1612942170.3900001</v>
      </c>
      <c r="G9" s="189">
        <v>1076103861.25</v>
      </c>
      <c r="H9" s="189">
        <v>583795810.88</v>
      </c>
      <c r="I9" s="189">
        <v>2143703443.8199999</v>
      </c>
      <c r="J9" s="189">
        <v>1614574317.9200001</v>
      </c>
      <c r="K9" s="189">
        <v>1107396572.5799999</v>
      </c>
      <c r="L9" s="189">
        <v>572834323.13</v>
      </c>
      <c r="M9" s="189">
        <v>2128805680.22</v>
      </c>
      <c r="N9" s="189">
        <v>1443131572.1199999</v>
      </c>
      <c r="O9" s="189">
        <v>1006746030.52</v>
      </c>
      <c r="P9" s="189">
        <v>538900979.45000005</v>
      </c>
      <c r="Q9" s="189">
        <v>2047028546.72</v>
      </c>
      <c r="R9" s="189">
        <v>1377206394.1400001</v>
      </c>
      <c r="S9" s="189">
        <v>977690587.13999999</v>
      </c>
      <c r="T9" s="189">
        <v>533715812.48000002</v>
      </c>
      <c r="U9" s="189">
        <v>2263637925.0300002</v>
      </c>
      <c r="V9" s="189">
        <v>1521231364.8</v>
      </c>
      <c r="W9" s="189">
        <v>1085694375.8</v>
      </c>
      <c r="X9" s="189">
        <v>577974320.34000003</v>
      </c>
      <c r="Y9" s="189">
        <v>2009184257.8499999</v>
      </c>
      <c r="Z9" s="189">
        <v>1408989421.49</v>
      </c>
      <c r="AA9" s="189">
        <v>922708225.65999997</v>
      </c>
      <c r="AB9" s="189">
        <v>532291967.25999999</v>
      </c>
      <c r="AC9" s="189">
        <v>1750685037.9300001</v>
      </c>
      <c r="AD9" s="189">
        <v>1257263895.1099999</v>
      </c>
      <c r="AE9" s="189">
        <v>818535719.35000002</v>
      </c>
      <c r="AF9" s="189">
        <v>431996771.19999999</v>
      </c>
      <c r="AG9" s="189">
        <v>1561852181.1700001</v>
      </c>
      <c r="AH9" s="189">
        <v>1057076554.55</v>
      </c>
      <c r="AI9" s="189">
        <v>670150753.64999998</v>
      </c>
      <c r="AJ9" s="189">
        <v>356750164.04000002</v>
      </c>
      <c r="AK9" s="189">
        <v>838973053.20000005</v>
      </c>
      <c r="AL9" s="189">
        <v>604128660.64999998</v>
      </c>
      <c r="AM9" s="189">
        <v>368919789.76999998</v>
      </c>
      <c r="AN9" s="189">
        <v>173037218.22999999</v>
      </c>
      <c r="AO9" s="189">
        <v>588986100.29999995</v>
      </c>
      <c r="AP9" s="189">
        <v>438226187.12</v>
      </c>
      <c r="AQ9" s="189">
        <v>294992672.13999999</v>
      </c>
      <c r="AR9" s="189">
        <v>155627050.02000001</v>
      </c>
      <c r="AS9" s="189">
        <v>497940571.16000003</v>
      </c>
      <c r="AT9" s="189">
        <v>399714055.94</v>
      </c>
      <c r="AU9" s="189">
        <v>278496902.70999998</v>
      </c>
      <c r="AV9" s="189">
        <v>143955668</v>
      </c>
      <c r="AW9" s="189">
        <v>471915102.69999999</v>
      </c>
      <c r="AX9" s="189">
        <v>342923580.26999998</v>
      </c>
      <c r="AY9" s="189">
        <v>240044224.87</v>
      </c>
      <c r="AZ9" s="189">
        <v>131751437.98</v>
      </c>
      <c r="BA9" s="189">
        <v>380204276.68000001</v>
      </c>
      <c r="BB9" s="189">
        <v>249813020.28999999</v>
      </c>
      <c r="BC9" s="189">
        <v>221542936.25999999</v>
      </c>
      <c r="BD9" s="189">
        <v>147819190.53</v>
      </c>
      <c r="BE9" s="189">
        <v>407299604.80000001</v>
      </c>
      <c r="BF9" s="189">
        <v>300916626.75</v>
      </c>
      <c r="BG9" s="189">
        <v>216306143.75999999</v>
      </c>
      <c r="BH9" s="189">
        <v>126463988.64</v>
      </c>
      <c r="BI9" s="189">
        <v>415151762.45999998</v>
      </c>
      <c r="BJ9" s="189">
        <v>332929994.25999999</v>
      </c>
      <c r="BK9" s="189">
        <v>220046772.38</v>
      </c>
      <c r="BL9" s="189">
        <v>107707797.45999999</v>
      </c>
      <c r="BM9" s="189">
        <v>401004011.82999998</v>
      </c>
      <c r="BN9" s="189">
        <v>315642991.91000003</v>
      </c>
      <c r="BO9" s="189">
        <v>221909407.99000001</v>
      </c>
      <c r="BP9" s="189">
        <v>106695265.43000001</v>
      </c>
      <c r="BQ9" s="189">
        <v>400197212.51999998</v>
      </c>
      <c r="BR9" s="189">
        <v>0</v>
      </c>
      <c r="BS9" s="189">
        <v>176020993.19999999</v>
      </c>
      <c r="BT9" s="189">
        <v>46574723.729999997</v>
      </c>
      <c r="BU9" s="189">
        <v>232381015.22999999</v>
      </c>
      <c r="BV9" s="189">
        <v>172626087.66</v>
      </c>
      <c r="BW9" s="189">
        <v>278627189.76999998</v>
      </c>
      <c r="BX9" s="189">
        <v>158734444.53</v>
      </c>
      <c r="BY9" s="189">
        <v>156961577.28</v>
      </c>
      <c r="BZ9" s="189">
        <v>40826189.950000003</v>
      </c>
      <c r="CA9" s="189">
        <v>65192867.909999996</v>
      </c>
      <c r="CB9" s="189">
        <v>39177380.969999999</v>
      </c>
      <c r="CC9" s="189">
        <v>30667940.870000001</v>
      </c>
      <c r="CD9" s="189">
        <v>0</v>
      </c>
    </row>
    <row r="10" spans="1:82" x14ac:dyDescent="0.25">
      <c r="A10" s="189" t="s">
        <v>197</v>
      </c>
      <c r="B10" s="189">
        <v>-794183981.63999999</v>
      </c>
      <c r="C10" s="189">
        <v>-526618366.85000002</v>
      </c>
      <c r="D10" s="189">
        <v>-264236441.21000001</v>
      </c>
      <c r="E10" s="189">
        <v>-890505901.86000001</v>
      </c>
      <c r="F10" s="189">
        <v>-639724334.27999997</v>
      </c>
      <c r="G10" s="189">
        <v>-427404960.64999998</v>
      </c>
      <c r="H10" s="189">
        <v>-216710540.40000001</v>
      </c>
      <c r="I10" s="189">
        <v>-765864110.91999996</v>
      </c>
      <c r="J10" s="189">
        <v>-559238520.83000004</v>
      </c>
      <c r="K10" s="189">
        <v>-341637035.05000001</v>
      </c>
      <c r="L10" s="189">
        <v>-179087361.55000001</v>
      </c>
      <c r="M10" s="189">
        <v>-732111447.74000001</v>
      </c>
      <c r="N10" s="189">
        <v>-555911422.89999998</v>
      </c>
      <c r="O10" s="189">
        <v>-357654118.22000003</v>
      </c>
      <c r="P10" s="189">
        <v>-173061007.16999999</v>
      </c>
      <c r="Q10" s="189">
        <v>-657775551.16999996</v>
      </c>
      <c r="R10" s="189">
        <v>-490454942.11000001</v>
      </c>
      <c r="S10" s="189">
        <v>-344899041.82999998</v>
      </c>
      <c r="T10" s="189">
        <v>-245115593.80000001</v>
      </c>
      <c r="U10" s="189">
        <v>-826879677.55999994</v>
      </c>
      <c r="V10" s="189">
        <v>-659404182.44000006</v>
      </c>
      <c r="W10" s="189">
        <v>-471944898.50999999</v>
      </c>
      <c r="X10" s="189">
        <v>-238664090.94</v>
      </c>
      <c r="Y10" s="189">
        <v>-789586016.60000002</v>
      </c>
      <c r="Z10" s="189">
        <v>-620329449.92999995</v>
      </c>
      <c r="AA10" s="189">
        <v>-400245467.81999999</v>
      </c>
      <c r="AB10" s="189">
        <v>-142309808.88</v>
      </c>
      <c r="AC10" s="189">
        <v>-476587420.81</v>
      </c>
      <c r="AD10" s="189">
        <v>-235104521.34</v>
      </c>
      <c r="AE10" s="189">
        <v>-187674784.06999999</v>
      </c>
      <c r="AF10" s="189">
        <v>-23414404.640000001</v>
      </c>
      <c r="AG10" s="189">
        <v>-192470846.37</v>
      </c>
      <c r="AH10" s="189">
        <v>-105230410.26000001</v>
      </c>
      <c r="AI10" s="189">
        <v>-77281557.629999995</v>
      </c>
      <c r="AJ10" s="189">
        <v>-11990167.300000001</v>
      </c>
      <c r="AK10" s="189">
        <v>-109732181.41</v>
      </c>
      <c r="AL10" s="189">
        <v>-66018480.219999999</v>
      </c>
      <c r="AM10" s="189">
        <v>-40647909.57</v>
      </c>
      <c r="AN10" s="189">
        <v>-10967664.689999999</v>
      </c>
      <c r="AO10" s="189">
        <v>-159954267.43000001</v>
      </c>
      <c r="AP10" s="189">
        <v>-87720223.980000004</v>
      </c>
      <c r="AQ10" s="189">
        <v>-74810065.359999999</v>
      </c>
      <c r="AR10" s="189">
        <v>-15614749.33</v>
      </c>
      <c r="AS10" s="189">
        <v>-92227613.010000005</v>
      </c>
      <c r="AT10" s="189">
        <v>-41018279.990000002</v>
      </c>
      <c r="AU10" s="189">
        <v>-36487207.520000003</v>
      </c>
      <c r="AV10" s="189">
        <v>-3376979.14</v>
      </c>
      <c r="AW10" s="189">
        <v>-50497352.530000001</v>
      </c>
      <c r="AX10" s="189">
        <v>-26367719.059999999</v>
      </c>
      <c r="AY10" s="189">
        <v>-24396518</v>
      </c>
      <c r="AZ10" s="189">
        <v>-2917708.8</v>
      </c>
      <c r="BA10" s="189">
        <v>-25225980.809999999</v>
      </c>
      <c r="BB10" s="189">
        <v>-7438048.8600000003</v>
      </c>
      <c r="BC10" s="189">
        <v>-5495968.9100000001</v>
      </c>
      <c r="BD10" s="189">
        <v>-6057952.7199999997</v>
      </c>
      <c r="BE10" s="189">
        <v>-26456599.109999999</v>
      </c>
      <c r="BF10" s="189">
        <v>-12780406.130000001</v>
      </c>
      <c r="BG10" s="189">
        <v>-11107770.039999999</v>
      </c>
      <c r="BH10" s="189">
        <v>-1735818.19</v>
      </c>
      <c r="BI10" s="189">
        <v>-28358707.260000002</v>
      </c>
      <c r="BJ10" s="189">
        <v>-19582453.850000001</v>
      </c>
      <c r="BK10" s="189">
        <v>-12127010.279999999</v>
      </c>
      <c r="BL10" s="189">
        <v>-2445731.69</v>
      </c>
      <c r="BM10" s="189">
        <v>-26693808.859999999</v>
      </c>
      <c r="BN10" s="189">
        <v>-21740886.899999999</v>
      </c>
      <c r="BO10" s="189">
        <v>-11645839.699999999</v>
      </c>
      <c r="BP10" s="189">
        <v>-7526726.1299999999</v>
      </c>
      <c r="BQ10" s="189">
        <v>-25420934.84</v>
      </c>
      <c r="BR10" s="189">
        <v>0</v>
      </c>
      <c r="BS10" s="189">
        <v>-16481097.720000001</v>
      </c>
      <c r="BT10" s="189">
        <v>-5451391.75</v>
      </c>
      <c r="BU10" s="189">
        <v>-14348624.140000001</v>
      </c>
      <c r="BV10" s="189">
        <v>-7438579.8600000003</v>
      </c>
      <c r="BW10" s="189">
        <v>-15086567.960000001</v>
      </c>
      <c r="BX10" s="189">
        <v>-9593131.2100000009</v>
      </c>
      <c r="BY10" s="189">
        <v>-42791521.079999998</v>
      </c>
      <c r="BZ10" s="189">
        <v>-3834295.55</v>
      </c>
      <c r="CA10" s="189">
        <v>11835075.34</v>
      </c>
      <c r="CB10" s="189">
        <v>16252757.800000001</v>
      </c>
      <c r="CC10" s="189">
        <v>12407743.33</v>
      </c>
      <c r="CD10" s="189">
        <v>0</v>
      </c>
    </row>
    <row r="11" spans="1:82" x14ac:dyDescent="0.25">
      <c r="A11" s="189" t="s">
        <v>198</v>
      </c>
      <c r="B11" s="189">
        <v>3001320.83</v>
      </c>
      <c r="C11" s="189">
        <v>3001320.83</v>
      </c>
      <c r="D11" s="189">
        <v>0</v>
      </c>
      <c r="E11" s="189">
        <v>5629618.3300000001</v>
      </c>
      <c r="F11" s="189">
        <v>1189060.55</v>
      </c>
      <c r="G11" s="189">
        <v>1189060.55</v>
      </c>
      <c r="H11" s="189">
        <v>368604.9</v>
      </c>
      <c r="I11" s="189">
        <v>12198954.310000001</v>
      </c>
      <c r="J11" s="189">
        <v>-627474.68999999994</v>
      </c>
      <c r="K11" s="189">
        <v>-627474.68999999994</v>
      </c>
      <c r="L11" s="189">
        <v>-496.5</v>
      </c>
      <c r="M11" s="189">
        <v>25800010.27</v>
      </c>
      <c r="N11" s="189">
        <v>2103730.4</v>
      </c>
      <c r="O11" s="189">
        <v>2103730.4</v>
      </c>
      <c r="P11" s="189">
        <v>0</v>
      </c>
      <c r="Q11" s="189">
        <v>6161457.3200000003</v>
      </c>
      <c r="R11" s="189">
        <v>3040104.71</v>
      </c>
      <c r="S11" s="189">
        <v>3049704.71</v>
      </c>
      <c r="T11" s="189">
        <v>0</v>
      </c>
      <c r="U11" s="189">
        <v>5007462.71</v>
      </c>
      <c r="V11" s="189">
        <v>126600</v>
      </c>
      <c r="W11" s="189">
        <v>0</v>
      </c>
      <c r="X11" s="189">
        <v>0</v>
      </c>
      <c r="Y11" s="189">
        <v>2696852.96</v>
      </c>
      <c r="Z11" s="189">
        <v>0</v>
      </c>
      <c r="AA11" s="189">
        <v>0</v>
      </c>
      <c r="AB11" s="189">
        <v>0</v>
      </c>
      <c r="AC11" s="189">
        <v>12452121.74</v>
      </c>
      <c r="AD11" s="189">
        <v>-6703861.4500000002</v>
      </c>
      <c r="AE11" s="189">
        <v>-6703699.5499999998</v>
      </c>
      <c r="AF11" s="189">
        <v>0</v>
      </c>
      <c r="AG11" s="189">
        <v>15044946.109999999</v>
      </c>
      <c r="AH11" s="189">
        <v>10000</v>
      </c>
      <c r="AI11" s="189">
        <v>0</v>
      </c>
      <c r="AJ11" s="189">
        <v>0</v>
      </c>
      <c r="AK11" s="189">
        <v>8545391.5500000007</v>
      </c>
      <c r="AL11" s="189">
        <v>74132.27</v>
      </c>
      <c r="AM11" s="189">
        <v>151647.17000000001</v>
      </c>
      <c r="AN11" s="189">
        <v>0</v>
      </c>
      <c r="AO11" s="189">
        <v>-165194.47</v>
      </c>
      <c r="AP11" s="189">
        <v>-1307035.49</v>
      </c>
      <c r="AQ11" s="189">
        <v>-1307035.49</v>
      </c>
      <c r="AR11" s="189">
        <v>-560158.06999999995</v>
      </c>
      <c r="AS11" s="189">
        <v>-933744.61</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-7070987.5999999996</v>
      </c>
      <c r="V12" s="189">
        <v>-7070987.5999999996</v>
      </c>
      <c r="W12" s="189">
        <v>-7070987.5999999996</v>
      </c>
      <c r="X12" s="189">
        <v>-1174775.3600000001</v>
      </c>
      <c r="Y12" s="189">
        <v>772066.24</v>
      </c>
      <c r="Z12" s="189">
        <v>-2940276.48</v>
      </c>
      <c r="AA12" s="189">
        <v>-1937275.2</v>
      </c>
      <c r="AB12" s="189">
        <v>-526834.56000000006</v>
      </c>
      <c r="AC12" s="189">
        <v>-2456298.7200000002</v>
      </c>
      <c r="AD12" s="189">
        <v>-2934365.6</v>
      </c>
      <c r="AE12" s="189">
        <v>-101244.32</v>
      </c>
      <c r="AF12" s="189">
        <v>1762545.44</v>
      </c>
      <c r="AG12" s="189">
        <v>-6911424.3200000003</v>
      </c>
      <c r="AH12" s="189">
        <v>-6903412</v>
      </c>
      <c r="AI12" s="189">
        <v>-6884916.3200000003</v>
      </c>
      <c r="AJ12" s="189">
        <v>-1808206.56</v>
      </c>
      <c r="AK12" s="189">
        <v>15521684.640000001</v>
      </c>
      <c r="AL12" s="189">
        <v>0</v>
      </c>
      <c r="AM12" s="189">
        <v>0</v>
      </c>
      <c r="AN12" s="189">
        <v>0</v>
      </c>
      <c r="AO12" s="189">
        <v>0</v>
      </c>
      <c r="AP12" s="189">
        <v>0</v>
      </c>
      <c r="AQ12" s="189">
        <v>0</v>
      </c>
      <c r="AR12" s="189">
        <v>0</v>
      </c>
      <c r="AS12" s="189">
        <v>-186980</v>
      </c>
      <c r="AT12" s="189">
        <v>0</v>
      </c>
      <c r="AU12" s="189">
        <v>37074.449999999997</v>
      </c>
      <c r="AV12" s="189">
        <v>294032.84999999998</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row>
    <row r="13" spans="1:82" x14ac:dyDescent="0.25">
      <c r="A13" s="189" t="s">
        <v>200</v>
      </c>
      <c r="B13" s="189">
        <v>50098836.630000003</v>
      </c>
      <c r="C13" s="189">
        <v>50098836.630000003</v>
      </c>
      <c r="D13" s="189">
        <v>0</v>
      </c>
      <c r="E13" s="189">
        <v>68210911.069999993</v>
      </c>
      <c r="F13" s="189">
        <v>22396528.84</v>
      </c>
      <c r="G13" s="189">
        <v>22396528.84</v>
      </c>
      <c r="H13" s="189">
        <v>0</v>
      </c>
      <c r="I13" s="189">
        <v>33428752.969999999</v>
      </c>
      <c r="J13" s="189">
        <v>10147483.09</v>
      </c>
      <c r="K13" s="189">
        <v>10147483.09</v>
      </c>
      <c r="L13" s="189">
        <v>0</v>
      </c>
      <c r="M13" s="189">
        <v>34144563.939999998</v>
      </c>
      <c r="N13" s="189">
        <v>11944354.91</v>
      </c>
      <c r="O13" s="189">
        <v>11944354.91</v>
      </c>
      <c r="P13" s="189">
        <v>0</v>
      </c>
      <c r="Q13" s="189">
        <v>14487542.039999999</v>
      </c>
      <c r="R13" s="189">
        <v>-5773861.4800000004</v>
      </c>
      <c r="S13" s="189">
        <v>-5764261.4800000004</v>
      </c>
      <c r="T13" s="189">
        <v>0</v>
      </c>
      <c r="U13" s="189">
        <v>4298863.95</v>
      </c>
      <c r="V13" s="189">
        <v>-2465402.86</v>
      </c>
      <c r="W13" s="189">
        <v>-2465402.86</v>
      </c>
      <c r="X13" s="189">
        <v>0</v>
      </c>
      <c r="Y13" s="189">
        <v>3007200.68</v>
      </c>
      <c r="Z13" s="189">
        <v>-917593.17</v>
      </c>
      <c r="AA13" s="189">
        <v>-984891.57</v>
      </c>
      <c r="AB13" s="189">
        <v>-9791.5400000000009</v>
      </c>
      <c r="AC13" s="189">
        <v>2400112.7400000002</v>
      </c>
      <c r="AD13" s="189">
        <v>-3804432.96</v>
      </c>
      <c r="AE13" s="189">
        <v>-3956459.4</v>
      </c>
      <c r="AF13" s="189">
        <v>9936.35</v>
      </c>
      <c r="AG13" s="189">
        <v>3377150.17</v>
      </c>
      <c r="AH13" s="189">
        <v>-3505725.42</v>
      </c>
      <c r="AI13" s="189">
        <v>-3858370.54</v>
      </c>
      <c r="AJ13" s="189">
        <v>126698.54</v>
      </c>
      <c r="AK13" s="189">
        <v>3117340.01</v>
      </c>
      <c r="AL13" s="189">
        <v>-2381433.1800000002</v>
      </c>
      <c r="AM13" s="189">
        <v>-2412569.77</v>
      </c>
      <c r="AN13" s="189">
        <v>0</v>
      </c>
      <c r="AO13" s="189">
        <v>1579121.31</v>
      </c>
      <c r="AP13" s="189">
        <v>-929569.49</v>
      </c>
      <c r="AQ13" s="189">
        <v>-929569.49</v>
      </c>
      <c r="AR13" s="189">
        <v>0</v>
      </c>
      <c r="AS13" s="189">
        <v>3199582.46</v>
      </c>
      <c r="AT13" s="189">
        <v>556604.28</v>
      </c>
      <c r="AU13" s="189">
        <v>47918.79</v>
      </c>
      <c r="AV13" s="189">
        <v>665864.48</v>
      </c>
      <c r="AW13" s="189">
        <v>5051692.58</v>
      </c>
      <c r="AX13" s="189">
        <v>2496157.7200000002</v>
      </c>
      <c r="AY13" s="189">
        <v>1832311.81</v>
      </c>
      <c r="AZ13" s="189">
        <v>100000</v>
      </c>
      <c r="BA13" s="189">
        <v>-3923017.4</v>
      </c>
      <c r="BB13" s="189">
        <v>-497364.9</v>
      </c>
      <c r="BC13" s="189">
        <v>-499893.8</v>
      </c>
      <c r="BD13" s="189">
        <v>0</v>
      </c>
      <c r="BE13" s="189">
        <v>-126753.75</v>
      </c>
      <c r="BF13" s="189">
        <v>344265.81</v>
      </c>
      <c r="BG13" s="189">
        <v>344265.81</v>
      </c>
      <c r="BH13" s="189">
        <v>1026367.48</v>
      </c>
      <c r="BI13" s="189">
        <v>-554425.18000000005</v>
      </c>
      <c r="BJ13" s="189">
        <v>287254.11</v>
      </c>
      <c r="BK13" s="189">
        <v>52424.27</v>
      </c>
      <c r="BL13" s="189">
        <v>265460.88</v>
      </c>
      <c r="BM13" s="189">
        <v>178932.4</v>
      </c>
      <c r="BN13" s="189">
        <v>1871129.6000000001</v>
      </c>
      <c r="BO13" s="189">
        <v>1511721.55</v>
      </c>
      <c r="BP13" s="189">
        <v>-174029.22</v>
      </c>
      <c r="BQ13" s="189">
        <v>12349967.949999999</v>
      </c>
      <c r="BR13" s="189">
        <v>12720000</v>
      </c>
      <c r="BS13" s="189">
        <v>9766309.1799999997</v>
      </c>
      <c r="BT13" s="189">
        <v>5348519.25</v>
      </c>
      <c r="BU13" s="189">
        <v>2373601.7000000002</v>
      </c>
      <c r="BV13" s="189">
        <v>0</v>
      </c>
      <c r="BW13" s="189">
        <v>0</v>
      </c>
      <c r="BX13" s="189">
        <v>0</v>
      </c>
      <c r="BY13" s="189">
        <v>0</v>
      </c>
      <c r="BZ13" s="189">
        <v>0</v>
      </c>
      <c r="CA13" s="189">
        <v>0</v>
      </c>
      <c r="CB13" s="189">
        <v>0</v>
      </c>
      <c r="CC13" s="189">
        <v>0</v>
      </c>
      <c r="CD13" s="189">
        <v>0</v>
      </c>
    </row>
    <row r="14" spans="1:82" x14ac:dyDescent="0.25">
      <c r="A14" s="189" t="s">
        <v>201</v>
      </c>
      <c r="B14" s="189">
        <v>50098836.630000003</v>
      </c>
      <c r="C14" s="189">
        <v>50098836.630000003</v>
      </c>
      <c r="D14" s="189">
        <v>0</v>
      </c>
      <c r="E14" s="189">
        <v>68210911.069999993</v>
      </c>
      <c r="F14" s="189">
        <v>22396528.84</v>
      </c>
      <c r="G14" s="189">
        <v>22396528.84</v>
      </c>
      <c r="H14" s="189">
        <v>0</v>
      </c>
      <c r="I14" s="189">
        <v>33428752.969999999</v>
      </c>
      <c r="J14" s="189">
        <v>10147483.09</v>
      </c>
      <c r="K14" s="189">
        <v>10147483.09</v>
      </c>
      <c r="L14" s="189">
        <v>0</v>
      </c>
      <c r="M14" s="189">
        <v>34144563.939999998</v>
      </c>
      <c r="N14" s="189">
        <v>11944354.91</v>
      </c>
      <c r="O14" s="189">
        <v>11944354.91</v>
      </c>
      <c r="P14" s="189">
        <v>0</v>
      </c>
      <c r="Q14" s="189">
        <v>14487542.039999999</v>
      </c>
      <c r="R14" s="189">
        <v>-5764261.4800000004</v>
      </c>
      <c r="S14" s="189">
        <v>-5764261.4800000004</v>
      </c>
      <c r="T14" s="189">
        <v>0</v>
      </c>
      <c r="U14" s="189">
        <v>566442.73</v>
      </c>
      <c r="V14" s="189">
        <v>-6197824.0800000001</v>
      </c>
      <c r="W14" s="189">
        <v>-6197824.0800000001</v>
      </c>
      <c r="X14" s="189">
        <v>0</v>
      </c>
      <c r="Y14" s="189">
        <v>-396769.54</v>
      </c>
      <c r="Z14" s="189">
        <v>0</v>
      </c>
      <c r="AA14" s="189">
        <v>0</v>
      </c>
      <c r="AB14" s="189">
        <v>0</v>
      </c>
      <c r="AC14" s="189">
        <v>2110192.46</v>
      </c>
      <c r="AD14" s="189">
        <v>-4089468.16</v>
      </c>
      <c r="AE14" s="189">
        <v>-4089468.16</v>
      </c>
      <c r="AF14" s="189">
        <v>0</v>
      </c>
      <c r="AG14" s="189">
        <v>2545036.6</v>
      </c>
      <c r="AH14" s="189">
        <v>0</v>
      </c>
      <c r="AI14" s="189">
        <v>-4182065.41</v>
      </c>
      <c r="AJ14" s="189">
        <v>0</v>
      </c>
      <c r="AK14" s="189">
        <v>2508787.02</v>
      </c>
      <c r="AL14" s="189">
        <v>-2412569.77</v>
      </c>
      <c r="AM14" s="189">
        <v>0</v>
      </c>
      <c r="AN14" s="189">
        <v>0</v>
      </c>
      <c r="AO14" s="189">
        <v>0</v>
      </c>
      <c r="AP14" s="189">
        <v>0</v>
      </c>
      <c r="AQ14" s="189">
        <v>0</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row>
    <row r="15" spans="1:82"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203</v>
      </c>
      <c r="B16" s="189">
        <v>13151868290.709999</v>
      </c>
      <c r="C16" s="189">
        <v>9829739818.9799995</v>
      </c>
      <c r="D16" s="189">
        <v>6893629347.9499998</v>
      </c>
      <c r="E16" s="189">
        <v>13374535185.09</v>
      </c>
      <c r="F16" s="189">
        <v>9648357507.2099991</v>
      </c>
      <c r="G16" s="189">
        <v>6962370693.04</v>
      </c>
      <c r="H16" s="189">
        <v>4939558870.4300003</v>
      </c>
      <c r="I16" s="189">
        <v>9237211057.6100006</v>
      </c>
      <c r="J16" s="189">
        <v>6955627820.8299999</v>
      </c>
      <c r="K16" s="189">
        <v>5292436476.8900003</v>
      </c>
      <c r="L16" s="189">
        <v>3962851561.3600001</v>
      </c>
      <c r="M16" s="189">
        <v>8246237394.6499996</v>
      </c>
      <c r="N16" s="189">
        <v>6214609306.7200003</v>
      </c>
      <c r="O16" s="189">
        <v>4464342441.1199999</v>
      </c>
      <c r="P16" s="189">
        <v>2999979648.3000002</v>
      </c>
      <c r="Q16" s="189">
        <v>8032401375.5200005</v>
      </c>
      <c r="R16" s="189">
        <v>6433522748.0600004</v>
      </c>
      <c r="S16" s="189">
        <v>5537872273.96</v>
      </c>
      <c r="T16" s="189">
        <v>3662327306.2800002</v>
      </c>
      <c r="U16" s="189">
        <v>11432432905.09</v>
      </c>
      <c r="V16" s="189">
        <v>10043718813.200001</v>
      </c>
      <c r="W16" s="189">
        <v>8227284181.6199999</v>
      </c>
      <c r="X16" s="189">
        <v>5210918910.3400002</v>
      </c>
      <c r="Y16" s="189">
        <v>13702135270.700001</v>
      </c>
      <c r="Z16" s="189">
        <v>10695546196.02</v>
      </c>
      <c r="AA16" s="189">
        <v>6931104039.6499996</v>
      </c>
      <c r="AB16" s="189">
        <v>4188279611.04</v>
      </c>
      <c r="AC16" s="189">
        <v>8496941733.6300001</v>
      </c>
      <c r="AD16" s="189">
        <v>6606727357.3900003</v>
      </c>
      <c r="AE16" s="189">
        <v>4603622776.8900003</v>
      </c>
      <c r="AF16" s="189">
        <v>2845247264.0799999</v>
      </c>
      <c r="AG16" s="189">
        <v>6094745804.4300003</v>
      </c>
      <c r="AH16" s="189">
        <v>4660911367.04</v>
      </c>
      <c r="AI16" s="189">
        <v>3089152202.9099998</v>
      </c>
      <c r="AJ16" s="189">
        <v>2079492266.6800001</v>
      </c>
      <c r="AK16" s="189">
        <v>4586674231.5299997</v>
      </c>
      <c r="AL16" s="189">
        <v>3150796547.4099998</v>
      </c>
      <c r="AM16" s="189">
        <v>2142761523.72</v>
      </c>
      <c r="AN16" s="189">
        <v>1659291426.05</v>
      </c>
      <c r="AO16" s="189">
        <v>2431128309.8800001</v>
      </c>
      <c r="AP16" s="189">
        <v>2132324337.78</v>
      </c>
      <c r="AQ16" s="189">
        <v>1740641378.5899999</v>
      </c>
      <c r="AR16" s="189">
        <v>1351357503.49</v>
      </c>
      <c r="AS16" s="189">
        <v>2183418021.6199999</v>
      </c>
      <c r="AT16" s="189">
        <v>1971004665.01</v>
      </c>
      <c r="AU16" s="189">
        <v>1694105607.95</v>
      </c>
      <c r="AV16" s="189">
        <v>1123543800.0699999</v>
      </c>
      <c r="AW16" s="189">
        <v>1795032848.4200001</v>
      </c>
      <c r="AX16" s="189">
        <v>1555612689.24</v>
      </c>
      <c r="AY16" s="189">
        <v>1250105819.04</v>
      </c>
      <c r="AZ16" s="189">
        <v>829512832.5</v>
      </c>
      <c r="BA16" s="189">
        <v>1196445876.73</v>
      </c>
      <c r="BB16" s="189">
        <v>1158377662.25</v>
      </c>
      <c r="BC16" s="189">
        <v>929582855.26999998</v>
      </c>
      <c r="BD16" s="189">
        <v>656412367.27999997</v>
      </c>
      <c r="BE16" s="189">
        <v>1282732211.46</v>
      </c>
      <c r="BF16" s="189">
        <v>1040620501.92</v>
      </c>
      <c r="BG16" s="189">
        <v>818164881.66999996</v>
      </c>
      <c r="BH16" s="189">
        <v>576543233.91999996</v>
      </c>
      <c r="BI16" s="189">
        <v>1094450630.95</v>
      </c>
      <c r="BJ16" s="189">
        <v>860854371.10000002</v>
      </c>
      <c r="BK16" s="189">
        <v>639919787.57000005</v>
      </c>
      <c r="BL16" s="189">
        <v>495587497.69999999</v>
      </c>
      <c r="BM16" s="189">
        <v>873321360.46000004</v>
      </c>
      <c r="BN16" s="189">
        <v>706554943.15999997</v>
      </c>
      <c r="BO16" s="189">
        <v>500460937.06999999</v>
      </c>
      <c r="BP16" s="189">
        <v>374256362.02999997</v>
      </c>
      <c r="BQ16" s="189">
        <v>935495374.26999998</v>
      </c>
      <c r="BR16" s="189">
        <v>816080000</v>
      </c>
      <c r="BS16" s="189">
        <v>659731059.76999998</v>
      </c>
      <c r="BT16" s="189">
        <v>421226603.39999998</v>
      </c>
      <c r="BU16" s="189">
        <v>1008084414.29</v>
      </c>
      <c r="BV16" s="189">
        <v>725534527.38999999</v>
      </c>
      <c r="BW16" s="189">
        <v>786968325.85000002</v>
      </c>
      <c r="BX16" s="189">
        <v>383735251.18000001</v>
      </c>
      <c r="BY16" s="189">
        <v>815485605.75999999</v>
      </c>
      <c r="BZ16" s="189">
        <v>297691903</v>
      </c>
      <c r="CA16" s="189">
        <v>509400560.99000001</v>
      </c>
      <c r="CB16" s="189">
        <v>387969146.88</v>
      </c>
      <c r="CC16" s="189">
        <v>323772354.30000001</v>
      </c>
      <c r="CD16" s="189">
        <v>0</v>
      </c>
    </row>
    <row r="17" spans="1:82" x14ac:dyDescent="0.25">
      <c r="A17" s="189" t="s">
        <v>204</v>
      </c>
      <c r="B17" s="189">
        <v>74925289.900000006</v>
      </c>
      <c r="C17" s="189">
        <v>51777968.100000001</v>
      </c>
      <c r="D17" s="189">
        <v>14935320.23</v>
      </c>
      <c r="E17" s="189">
        <v>45130040.420000002</v>
      </c>
      <c r="F17" s="189">
        <v>66835309.93</v>
      </c>
      <c r="G17" s="189">
        <v>48125000.399999999</v>
      </c>
      <c r="H17" s="189">
        <v>19087948.350000001</v>
      </c>
      <c r="I17" s="189">
        <v>118914963.09</v>
      </c>
      <c r="J17" s="189">
        <v>88263186.109999999</v>
      </c>
      <c r="K17" s="189">
        <v>43962304.340000004</v>
      </c>
      <c r="L17" s="189">
        <v>32517529.260000002</v>
      </c>
      <c r="M17" s="189">
        <v>66157319.229999997</v>
      </c>
      <c r="N17" s="189">
        <v>45697498.869999997</v>
      </c>
      <c r="O17" s="189">
        <v>29909283.52</v>
      </c>
      <c r="P17" s="189">
        <v>16235602.84</v>
      </c>
      <c r="Q17" s="189">
        <v>59944583.859999999</v>
      </c>
      <c r="R17" s="189">
        <v>40517664.25</v>
      </c>
      <c r="S17" s="189">
        <v>27438357.48</v>
      </c>
      <c r="T17" s="189">
        <v>15209143.73</v>
      </c>
      <c r="U17" s="189">
        <v>65895607.939999998</v>
      </c>
      <c r="V17" s="189">
        <v>41110317.899999999</v>
      </c>
      <c r="W17" s="189">
        <v>26300977.050000001</v>
      </c>
      <c r="X17" s="189">
        <v>16077929.140000001</v>
      </c>
      <c r="Y17" s="189">
        <v>64928850.340000004</v>
      </c>
      <c r="Z17" s="189">
        <v>39528314.969999999</v>
      </c>
      <c r="AA17" s="189">
        <v>27168368.620000001</v>
      </c>
      <c r="AB17" s="189">
        <v>12849248.380000001</v>
      </c>
      <c r="AC17" s="189">
        <v>57448935.5</v>
      </c>
      <c r="AD17" s="189">
        <v>40815541.130000003</v>
      </c>
      <c r="AE17" s="189">
        <v>20326076.609999999</v>
      </c>
      <c r="AF17" s="189">
        <v>16632128.41</v>
      </c>
      <c r="AG17" s="189">
        <v>50741916.619999997</v>
      </c>
      <c r="AH17" s="189">
        <v>29781367.59</v>
      </c>
      <c r="AI17" s="189">
        <v>27472504.73</v>
      </c>
      <c r="AJ17" s="189">
        <v>13848487.300000001</v>
      </c>
      <c r="AK17" s="189">
        <v>20724800.289999999</v>
      </c>
      <c r="AL17" s="189">
        <v>16213906.050000001</v>
      </c>
      <c r="AM17" s="189">
        <v>16213906.050000001</v>
      </c>
      <c r="AN17" s="189">
        <v>1152099.1399999999</v>
      </c>
      <c r="AO17" s="189">
        <v>1447926.21</v>
      </c>
      <c r="AP17" s="189">
        <v>1223657.6000000001</v>
      </c>
      <c r="AQ17" s="189">
        <v>619534</v>
      </c>
      <c r="AR17" s="189">
        <v>211131</v>
      </c>
      <c r="AS17" s="189">
        <v>1887645.74</v>
      </c>
      <c r="AT17" s="189">
        <v>1694112.77</v>
      </c>
      <c r="AU17" s="189">
        <v>10548638.199999999</v>
      </c>
      <c r="AV17" s="189">
        <v>1135676.02</v>
      </c>
      <c r="AW17" s="189">
        <v>908060.24</v>
      </c>
      <c r="AX17" s="189">
        <v>660482.18000000005</v>
      </c>
      <c r="AY17" s="189">
        <v>657775.68999999994</v>
      </c>
      <c r="AZ17" s="189">
        <v>246324.35</v>
      </c>
      <c r="BA17" s="189">
        <v>1840586.09</v>
      </c>
      <c r="BB17" s="189">
        <v>1252289.04</v>
      </c>
      <c r="BC17" s="189">
        <v>1028211.8</v>
      </c>
      <c r="BD17" s="189">
        <v>308309.86</v>
      </c>
      <c r="BE17" s="189">
        <v>915684.86</v>
      </c>
      <c r="BF17" s="189">
        <v>586003.18000000005</v>
      </c>
      <c r="BG17" s="189">
        <v>446820.18</v>
      </c>
      <c r="BH17" s="189">
        <v>205955.1</v>
      </c>
      <c r="BI17" s="189">
        <v>2029578.75</v>
      </c>
      <c r="BJ17" s="189">
        <v>1674846.32</v>
      </c>
      <c r="BK17" s="189">
        <v>1524706.6</v>
      </c>
      <c r="BL17" s="189">
        <v>1338486.51</v>
      </c>
      <c r="BM17" s="189">
        <v>1072112.83</v>
      </c>
      <c r="BN17" s="189">
        <v>871631.53</v>
      </c>
      <c r="BO17" s="189">
        <v>607230.13</v>
      </c>
      <c r="BP17" s="189">
        <v>428925.72</v>
      </c>
      <c r="BQ17" s="189">
        <v>948009.23</v>
      </c>
      <c r="BR17" s="189">
        <v>0</v>
      </c>
      <c r="BS17" s="189">
        <v>617213.41</v>
      </c>
      <c r="BT17" s="189">
        <v>402953.81</v>
      </c>
      <c r="BU17" s="189">
        <v>270594.24</v>
      </c>
      <c r="BV17" s="189">
        <v>137255.32</v>
      </c>
      <c r="BW17" s="189">
        <v>207553.5</v>
      </c>
      <c r="BX17" s="189">
        <v>1780</v>
      </c>
      <c r="BY17" s="189">
        <v>100322.9</v>
      </c>
      <c r="BZ17" s="189">
        <v>45346.39</v>
      </c>
      <c r="CA17" s="189">
        <v>0</v>
      </c>
      <c r="CB17" s="189">
        <v>0</v>
      </c>
      <c r="CC17" s="189">
        <v>0</v>
      </c>
      <c r="CD17" s="189">
        <v>0</v>
      </c>
    </row>
    <row r="18" spans="1:82" x14ac:dyDescent="0.25">
      <c r="A18" s="189" t="s">
        <v>205</v>
      </c>
      <c r="B18" s="189">
        <v>36430550.340000004</v>
      </c>
      <c r="C18" s="189">
        <v>26047446.829999998</v>
      </c>
      <c r="D18" s="189">
        <v>5187234.2699999996</v>
      </c>
      <c r="E18" s="189">
        <v>27977016.600000001</v>
      </c>
      <c r="F18" s="189">
        <v>20380614.289999999</v>
      </c>
      <c r="G18" s="189">
        <v>14085279.140000001</v>
      </c>
      <c r="H18" s="189">
        <v>5414437.6299999999</v>
      </c>
      <c r="I18" s="189">
        <v>18715363.77</v>
      </c>
      <c r="J18" s="189">
        <v>17255083.41</v>
      </c>
      <c r="K18" s="189">
        <v>13424376.279999999</v>
      </c>
      <c r="L18" s="189">
        <v>4826458.59</v>
      </c>
      <c r="M18" s="189">
        <v>24900730.73</v>
      </c>
      <c r="N18" s="189">
        <v>10418740.880000001</v>
      </c>
      <c r="O18" s="189">
        <v>8385597.25</v>
      </c>
      <c r="P18" s="189">
        <v>5972473.6699999999</v>
      </c>
      <c r="Q18" s="189">
        <v>76429810.819999993</v>
      </c>
      <c r="R18" s="189">
        <v>21948730.800000001</v>
      </c>
      <c r="S18" s="189">
        <v>17767257.829999998</v>
      </c>
      <c r="T18" s="189">
        <v>9220135.6999999993</v>
      </c>
      <c r="U18" s="189">
        <v>251249096.43000001</v>
      </c>
      <c r="V18" s="189">
        <v>240382588.22999999</v>
      </c>
      <c r="W18" s="189">
        <v>234744649.09999999</v>
      </c>
      <c r="X18" s="189">
        <v>205731103.80000001</v>
      </c>
      <c r="Y18" s="189">
        <v>28397993.760000002</v>
      </c>
      <c r="Z18" s="189">
        <v>20251085.850000001</v>
      </c>
      <c r="AA18" s="189">
        <v>4522204.21</v>
      </c>
      <c r="AB18" s="189">
        <v>2291113.5699999998</v>
      </c>
      <c r="AC18" s="189">
        <v>54436988.789999999</v>
      </c>
      <c r="AD18" s="189">
        <v>30022491.640000001</v>
      </c>
      <c r="AE18" s="189">
        <v>3461598.27</v>
      </c>
      <c r="AF18" s="189">
        <v>1367839.63</v>
      </c>
      <c r="AG18" s="189">
        <v>75244790.519999996</v>
      </c>
      <c r="AH18" s="189">
        <v>11748074.09</v>
      </c>
      <c r="AI18" s="189">
        <v>7167163.0999999996</v>
      </c>
      <c r="AJ18" s="189">
        <v>6657736.9000000004</v>
      </c>
      <c r="AK18" s="189">
        <v>1810404.58</v>
      </c>
      <c r="AL18" s="189">
        <v>1348659.93</v>
      </c>
      <c r="AM18" s="189">
        <v>1150390.1000000001</v>
      </c>
      <c r="AN18" s="189">
        <v>6214.34</v>
      </c>
      <c r="AO18" s="189">
        <v>33420578.859999999</v>
      </c>
      <c r="AP18" s="189">
        <v>31475324.5</v>
      </c>
      <c r="AQ18" s="189">
        <v>29553428.690000001</v>
      </c>
      <c r="AR18" s="189">
        <v>43256.94</v>
      </c>
      <c r="AS18" s="189">
        <v>6959120.1299999999</v>
      </c>
      <c r="AT18" s="189">
        <v>-2397785.54</v>
      </c>
      <c r="AU18" s="189">
        <v>-2397785.54</v>
      </c>
      <c r="AV18" s="189">
        <v>4925707.72</v>
      </c>
      <c r="AW18" s="189">
        <v>10215265.289999999</v>
      </c>
      <c r="AX18" s="189">
        <v>6687354.0899999999</v>
      </c>
      <c r="AY18" s="189">
        <v>7619476.1299999999</v>
      </c>
      <c r="AZ18" s="189">
        <v>0</v>
      </c>
      <c r="BA18" s="189">
        <v>2377295.59</v>
      </c>
      <c r="BB18" s="189">
        <v>2025861.95</v>
      </c>
      <c r="BC18" s="189">
        <v>2024807.86</v>
      </c>
      <c r="BD18" s="189">
        <v>1698668.03</v>
      </c>
      <c r="BE18" s="189">
        <v>12486840.279999999</v>
      </c>
      <c r="BF18" s="189">
        <v>7032167.0700000003</v>
      </c>
      <c r="BG18" s="189">
        <v>2328413.73</v>
      </c>
      <c r="BH18" s="189">
        <v>0</v>
      </c>
      <c r="BI18" s="189">
        <v>9239539.8300000001</v>
      </c>
      <c r="BJ18" s="189">
        <v>2857699.22</v>
      </c>
      <c r="BK18" s="189">
        <v>1740299.38</v>
      </c>
      <c r="BL18" s="189">
        <v>17909.78</v>
      </c>
      <c r="BM18" s="189">
        <v>5323122.9000000004</v>
      </c>
      <c r="BN18" s="189">
        <v>4947703.34</v>
      </c>
      <c r="BO18" s="189">
        <v>796621.27</v>
      </c>
      <c r="BP18" s="189">
        <v>45895</v>
      </c>
      <c r="BQ18" s="189">
        <v>3351208.92</v>
      </c>
      <c r="BR18" s="189">
        <v>1350000</v>
      </c>
      <c r="BS18" s="189">
        <v>2138411.16</v>
      </c>
      <c r="BT18" s="189">
        <v>986907.32</v>
      </c>
      <c r="BU18" s="189">
        <v>1258815.75</v>
      </c>
      <c r="BV18" s="189">
        <v>509057.7</v>
      </c>
      <c r="BW18" s="189">
        <v>231640.61</v>
      </c>
      <c r="BX18" s="189">
        <v>7101</v>
      </c>
      <c r="BY18" s="189">
        <v>1716473</v>
      </c>
      <c r="BZ18" s="189">
        <v>185006</v>
      </c>
      <c r="CA18" s="189">
        <v>0</v>
      </c>
      <c r="CB18" s="189">
        <v>0</v>
      </c>
      <c r="CC18" s="189">
        <v>0</v>
      </c>
      <c r="CD18" s="189">
        <v>0</v>
      </c>
    </row>
    <row r="19" spans="1:82" x14ac:dyDescent="0.25">
      <c r="A19" s="189" t="s">
        <v>206</v>
      </c>
      <c r="B19" s="189">
        <v>0</v>
      </c>
      <c r="C19" s="189">
        <v>0</v>
      </c>
      <c r="D19" s="189">
        <v>0</v>
      </c>
      <c r="E19" s="189">
        <v>0</v>
      </c>
      <c r="F19" s="189">
        <v>1658018.71</v>
      </c>
      <c r="G19" s="189">
        <v>1554380.15</v>
      </c>
      <c r="H19" s="189">
        <v>1296034.48</v>
      </c>
      <c r="I19" s="189">
        <v>6668384.5700000003</v>
      </c>
      <c r="J19" s="189">
        <v>4291932.8499999996</v>
      </c>
      <c r="K19" s="189">
        <v>3656083.11</v>
      </c>
      <c r="L19" s="189">
        <v>2727098.04</v>
      </c>
      <c r="M19" s="189">
        <v>2743457.28</v>
      </c>
      <c r="N19" s="189">
        <v>294868.75</v>
      </c>
      <c r="O19" s="189">
        <v>293758.31</v>
      </c>
      <c r="P19" s="189">
        <v>259920.34</v>
      </c>
      <c r="Q19" s="189">
        <v>28862690.41</v>
      </c>
      <c r="R19" s="189">
        <v>9089213.6300000008</v>
      </c>
      <c r="S19" s="189">
        <v>9089213.6300000008</v>
      </c>
      <c r="T19" s="189">
        <v>2952034.47</v>
      </c>
      <c r="U19" s="189">
        <v>2654845.7799999998</v>
      </c>
      <c r="V19" s="189">
        <v>210935.24</v>
      </c>
      <c r="W19" s="189">
        <v>3707.24</v>
      </c>
      <c r="X19" s="189">
        <v>0</v>
      </c>
      <c r="Y19" s="189">
        <v>1400254.25</v>
      </c>
      <c r="Z19" s="189">
        <v>0</v>
      </c>
      <c r="AA19" s="189">
        <v>714503.17</v>
      </c>
      <c r="AB19" s="189">
        <v>0</v>
      </c>
      <c r="AC19" s="189">
        <v>7214460.2400000002</v>
      </c>
      <c r="AD19" s="189">
        <v>0</v>
      </c>
      <c r="AE19" s="189">
        <v>0</v>
      </c>
      <c r="AF19" s="189">
        <v>0</v>
      </c>
      <c r="AG19" s="189">
        <v>1698985.34</v>
      </c>
      <c r="AH19" s="189">
        <v>0</v>
      </c>
      <c r="AI19" s="189">
        <v>0</v>
      </c>
      <c r="AJ19" s="189">
        <v>0</v>
      </c>
      <c r="AK19" s="189">
        <v>634492.06999999995</v>
      </c>
      <c r="AL19" s="189">
        <v>0</v>
      </c>
      <c r="AM19" s="189">
        <v>0</v>
      </c>
      <c r="AN19" s="189">
        <v>0</v>
      </c>
      <c r="AO19" s="189">
        <v>2625775.1800000002</v>
      </c>
      <c r="AP19" s="189">
        <v>0</v>
      </c>
      <c r="AQ19" s="189">
        <v>0</v>
      </c>
      <c r="AR19" s="189">
        <v>0</v>
      </c>
      <c r="AS19" s="189">
        <v>577470.38</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row>
    <row r="20" spans="1:82" x14ac:dyDescent="0.25">
      <c r="A20" s="189" t="s">
        <v>207</v>
      </c>
      <c r="B20" s="189">
        <v>13190363030.27</v>
      </c>
      <c r="C20" s="189">
        <v>9855470340.25</v>
      </c>
      <c r="D20" s="189">
        <v>6903377433.9099998</v>
      </c>
      <c r="E20" s="189">
        <v>13391688208.91</v>
      </c>
      <c r="F20" s="189">
        <v>9694812202.8500004</v>
      </c>
      <c r="G20" s="189">
        <v>6996410414.3000002</v>
      </c>
      <c r="H20" s="189">
        <v>4953232381.1499996</v>
      </c>
      <c r="I20" s="189">
        <v>9337410656.9300003</v>
      </c>
      <c r="J20" s="189">
        <v>7026635923.5299997</v>
      </c>
      <c r="K20" s="189">
        <v>5322974404.9499998</v>
      </c>
      <c r="L20" s="189">
        <v>3990542632.0300002</v>
      </c>
      <c r="M20" s="189">
        <v>8287493983.1499996</v>
      </c>
      <c r="N20" s="189">
        <v>6249888064.71</v>
      </c>
      <c r="O20" s="189">
        <v>4485866127.3900003</v>
      </c>
      <c r="P20" s="189">
        <v>3010242777.4699998</v>
      </c>
      <c r="Q20" s="189">
        <v>8015916148.5600004</v>
      </c>
      <c r="R20" s="189">
        <v>6452091681.5100002</v>
      </c>
      <c r="S20" s="189">
        <v>5547543373.6099997</v>
      </c>
      <c r="T20" s="189">
        <v>3668316314.3099999</v>
      </c>
      <c r="U20" s="189">
        <v>11247079416.6</v>
      </c>
      <c r="V20" s="189">
        <v>9844446542.8700008</v>
      </c>
      <c r="W20" s="189">
        <v>8018840509.5699997</v>
      </c>
      <c r="X20" s="189">
        <v>5021265735.6800003</v>
      </c>
      <c r="Y20" s="189">
        <v>13738666127.280001</v>
      </c>
      <c r="Z20" s="189">
        <v>10714823425.139999</v>
      </c>
      <c r="AA20" s="189">
        <v>6953750204.0600004</v>
      </c>
      <c r="AB20" s="189">
        <v>4198837745.8499999</v>
      </c>
      <c r="AC20" s="189">
        <v>8499953680.3400002</v>
      </c>
      <c r="AD20" s="189">
        <v>6617520406.8800001</v>
      </c>
      <c r="AE20" s="189">
        <v>4620487255.2299995</v>
      </c>
      <c r="AF20" s="189">
        <v>2860511552.8600001</v>
      </c>
      <c r="AG20" s="189">
        <v>6070242930.5299997</v>
      </c>
      <c r="AH20" s="189">
        <v>4678944660.54</v>
      </c>
      <c r="AI20" s="189">
        <v>3109457544.54</v>
      </c>
      <c r="AJ20" s="189">
        <v>2086683017.0799999</v>
      </c>
      <c r="AK20" s="189">
        <v>4605588627.2399998</v>
      </c>
      <c r="AL20" s="189">
        <v>3165661793.5300002</v>
      </c>
      <c r="AM20" s="189">
        <v>2157825039.6700001</v>
      </c>
      <c r="AN20" s="189">
        <v>1660437310.8499999</v>
      </c>
      <c r="AO20" s="189">
        <v>2399155657.23</v>
      </c>
      <c r="AP20" s="189">
        <v>2102072670.8800001</v>
      </c>
      <c r="AQ20" s="189">
        <v>1711707483.9000001</v>
      </c>
      <c r="AR20" s="189">
        <v>1351525377.55</v>
      </c>
      <c r="AS20" s="189">
        <v>2178346547.23</v>
      </c>
      <c r="AT20" s="189">
        <v>1975096563.3199999</v>
      </c>
      <c r="AU20" s="189">
        <v>1707052031.6900001</v>
      </c>
      <c r="AV20" s="189">
        <v>1119753768.3699999</v>
      </c>
      <c r="AW20" s="189">
        <v>1785725643.3699999</v>
      </c>
      <c r="AX20" s="189">
        <v>1549585817.3299999</v>
      </c>
      <c r="AY20" s="189">
        <v>1243144118.5999999</v>
      </c>
      <c r="AZ20" s="189">
        <v>829759156.85000002</v>
      </c>
      <c r="BA20" s="189">
        <v>1195909167.23</v>
      </c>
      <c r="BB20" s="189">
        <v>1157604089.3399999</v>
      </c>
      <c r="BC20" s="189">
        <v>928586259.21000004</v>
      </c>
      <c r="BD20" s="189">
        <v>655022009.11000001</v>
      </c>
      <c r="BE20" s="189">
        <v>1271161056.04</v>
      </c>
      <c r="BF20" s="189">
        <v>1034174338.03</v>
      </c>
      <c r="BG20" s="189">
        <v>816283288.12</v>
      </c>
      <c r="BH20" s="189">
        <v>576749189.01999998</v>
      </c>
      <c r="BI20" s="189">
        <v>1087240669.8699999</v>
      </c>
      <c r="BJ20" s="189">
        <v>859671518.20000005</v>
      </c>
      <c r="BK20" s="189">
        <v>639704194.78999996</v>
      </c>
      <c r="BL20" s="189">
        <v>496908074.43000001</v>
      </c>
      <c r="BM20" s="189">
        <v>869070350.38999999</v>
      </c>
      <c r="BN20" s="189">
        <v>702478871.35000002</v>
      </c>
      <c r="BO20" s="189">
        <v>500271545.93000001</v>
      </c>
      <c r="BP20" s="189">
        <v>374639392.75</v>
      </c>
      <c r="BQ20" s="189">
        <v>933092174.58000004</v>
      </c>
      <c r="BR20" s="189">
        <v>814730000</v>
      </c>
      <c r="BS20" s="189">
        <v>658209862.01999998</v>
      </c>
      <c r="BT20" s="189">
        <v>420642649.88999999</v>
      </c>
      <c r="BU20" s="189">
        <v>1007096192.78</v>
      </c>
      <c r="BV20" s="189">
        <v>725162725.00999999</v>
      </c>
      <c r="BW20" s="189">
        <v>786944238.74000001</v>
      </c>
      <c r="BX20" s="189">
        <v>383729930.18000001</v>
      </c>
      <c r="BY20" s="189">
        <v>813869455.65999997</v>
      </c>
      <c r="BZ20" s="189">
        <v>297552243.38999999</v>
      </c>
      <c r="CA20" s="189">
        <v>509400560.99000001</v>
      </c>
      <c r="CB20" s="189">
        <v>387969146.88</v>
      </c>
      <c r="CC20" s="189">
        <v>323772354.30000001</v>
      </c>
      <c r="CD20" s="189">
        <v>0</v>
      </c>
    </row>
    <row r="21" spans="1:82" x14ac:dyDescent="0.25">
      <c r="A21" s="189" t="s">
        <v>208</v>
      </c>
      <c r="B21" s="189">
        <v>3226898087.0100002</v>
      </c>
      <c r="C21" s="189">
        <v>2391579054.3600001</v>
      </c>
      <c r="D21" s="189">
        <v>1689408345.8399999</v>
      </c>
      <c r="E21" s="189">
        <v>3305718978.8800001</v>
      </c>
      <c r="F21" s="189">
        <v>2429837036.3600001</v>
      </c>
      <c r="G21" s="189">
        <v>1806600454.54</v>
      </c>
      <c r="H21" s="189">
        <v>1214027296.1600001</v>
      </c>
      <c r="I21" s="189">
        <v>2280645088.0700002</v>
      </c>
      <c r="J21" s="189">
        <v>1730020354.03</v>
      </c>
      <c r="K21" s="189">
        <v>1296349816.03</v>
      </c>
      <c r="L21" s="189">
        <v>982264538.23000002</v>
      </c>
      <c r="M21" s="189">
        <v>1877009646.8800001</v>
      </c>
      <c r="N21" s="189">
        <v>1472777535.0599999</v>
      </c>
      <c r="O21" s="189">
        <v>1064662451.0599999</v>
      </c>
      <c r="P21" s="189">
        <v>720319520.78999996</v>
      </c>
      <c r="Q21" s="189">
        <v>1957701185.49</v>
      </c>
      <c r="R21" s="189">
        <v>1557893877.46</v>
      </c>
      <c r="S21" s="189">
        <v>1385095939.4100001</v>
      </c>
      <c r="T21" s="189">
        <v>932767728.71000004</v>
      </c>
      <c r="U21" s="189">
        <v>2924864055.6500001</v>
      </c>
      <c r="V21" s="189">
        <v>2433760593.79</v>
      </c>
      <c r="W21" s="189">
        <v>1978855837.8399999</v>
      </c>
      <c r="X21" s="189">
        <v>1234975036.8900001</v>
      </c>
      <c r="Y21" s="189">
        <v>3402932422.5</v>
      </c>
      <c r="Z21" s="189">
        <v>2601217500.98</v>
      </c>
      <c r="AA21" s="189">
        <v>1712386078.7</v>
      </c>
      <c r="AB21" s="189">
        <v>1032090586.53</v>
      </c>
      <c r="AC21" s="189">
        <v>2105576465.3599999</v>
      </c>
      <c r="AD21" s="189">
        <v>1616253918.8800001</v>
      </c>
      <c r="AE21" s="189">
        <v>1129689950.29</v>
      </c>
      <c r="AF21" s="189">
        <v>699022568.51999998</v>
      </c>
      <c r="AG21" s="189">
        <v>1508186094.9300001</v>
      </c>
      <c r="AH21" s="189">
        <v>1146174819.1099999</v>
      </c>
      <c r="AI21" s="189">
        <v>766274681.52999997</v>
      </c>
      <c r="AJ21" s="189">
        <v>508597717.20999998</v>
      </c>
      <c r="AK21" s="189">
        <v>1138920195.73</v>
      </c>
      <c r="AL21" s="189">
        <v>782953680.64999998</v>
      </c>
      <c r="AM21" s="189">
        <v>537924395.76999998</v>
      </c>
      <c r="AN21" s="189">
        <v>391157082.13999999</v>
      </c>
      <c r="AO21" s="189">
        <v>569455764.67999995</v>
      </c>
      <c r="AP21" s="189">
        <v>497986317.94</v>
      </c>
      <c r="AQ21" s="189">
        <v>403560717.60000002</v>
      </c>
      <c r="AR21" s="189">
        <v>335817684.24000001</v>
      </c>
      <c r="AS21" s="189">
        <v>705562448.80999994</v>
      </c>
      <c r="AT21" s="189">
        <v>648250833.24000001</v>
      </c>
      <c r="AU21" s="189">
        <v>561779303.77999997</v>
      </c>
      <c r="AV21" s="189">
        <v>374547042.32999998</v>
      </c>
      <c r="AW21" s="189">
        <v>606385627.26999998</v>
      </c>
      <c r="AX21" s="189">
        <v>526228001.63</v>
      </c>
      <c r="AY21" s="189">
        <v>420222252.99000001</v>
      </c>
      <c r="AZ21" s="189">
        <v>280943626.88999999</v>
      </c>
      <c r="BA21" s="189">
        <v>396902090.45999998</v>
      </c>
      <c r="BB21" s="189">
        <v>383849839.51999998</v>
      </c>
      <c r="BC21" s="189">
        <v>336122195.32999998</v>
      </c>
      <c r="BD21" s="189">
        <v>238518321.50999999</v>
      </c>
      <c r="BE21" s="189">
        <v>441401360.93000001</v>
      </c>
      <c r="BF21" s="189">
        <v>355010263.50999999</v>
      </c>
      <c r="BG21" s="189">
        <v>278320628.12</v>
      </c>
      <c r="BH21" s="189">
        <v>193355065.81999999</v>
      </c>
      <c r="BI21" s="189">
        <v>383447938.93000001</v>
      </c>
      <c r="BJ21" s="189">
        <v>311366323.06999999</v>
      </c>
      <c r="BK21" s="189">
        <v>250049516.34999999</v>
      </c>
      <c r="BL21" s="189">
        <v>207396289.06999999</v>
      </c>
      <c r="BM21" s="189">
        <v>250085682.47999999</v>
      </c>
      <c r="BN21" s="189">
        <v>190785252.78999999</v>
      </c>
      <c r="BO21" s="189">
        <v>126708958.8</v>
      </c>
      <c r="BP21" s="189">
        <v>121401855.98999999</v>
      </c>
      <c r="BQ21" s="189">
        <v>116775657.84999999</v>
      </c>
      <c r="BR21" s="189">
        <v>160590000</v>
      </c>
      <c r="BS21" s="189">
        <v>179226656.44999999</v>
      </c>
      <c r="BT21" s="189">
        <v>138812074.46000001</v>
      </c>
      <c r="BU21" s="189">
        <v>238879360.28</v>
      </c>
      <c r="BV21" s="189">
        <v>295349924.56</v>
      </c>
      <c r="BW21" s="189">
        <v>303429006.82999998</v>
      </c>
      <c r="BX21" s="189">
        <v>66653678.539999999</v>
      </c>
      <c r="BY21" s="189">
        <v>260578360.56999999</v>
      </c>
      <c r="BZ21" s="189">
        <v>44632836.509999998</v>
      </c>
      <c r="CA21" s="189">
        <v>168102185.13</v>
      </c>
      <c r="CB21" s="189">
        <v>128029818.47</v>
      </c>
      <c r="CC21" s="189">
        <v>106844876.92</v>
      </c>
      <c r="CD21" s="189">
        <v>0</v>
      </c>
    </row>
    <row r="22" spans="1:82" x14ac:dyDescent="0.25">
      <c r="A22" s="189" t="s">
        <v>209</v>
      </c>
      <c r="B22" s="189">
        <v>9963464943.2600002</v>
      </c>
      <c r="C22" s="189">
        <v>7463891285.8900003</v>
      </c>
      <c r="D22" s="189">
        <v>5213969088.0699997</v>
      </c>
      <c r="E22" s="189">
        <v>10085969230.030001</v>
      </c>
      <c r="F22" s="189">
        <v>7264975166.4899998</v>
      </c>
      <c r="G22" s="189">
        <v>5189809959.7600002</v>
      </c>
      <c r="H22" s="189">
        <v>3739205084.9899998</v>
      </c>
      <c r="I22" s="189">
        <v>7056765568.8599997</v>
      </c>
      <c r="J22" s="189">
        <v>5296615569.5</v>
      </c>
      <c r="K22" s="189">
        <v>4026624588.9200001</v>
      </c>
      <c r="L22" s="189">
        <v>3008278093.8000002</v>
      </c>
      <c r="M22" s="189">
        <v>6410484336.2700005</v>
      </c>
      <c r="N22" s="189">
        <v>4777110529.6499996</v>
      </c>
      <c r="O22" s="189">
        <v>3421203676.3299999</v>
      </c>
      <c r="P22" s="189">
        <v>2289923256.6799998</v>
      </c>
      <c r="Q22" s="189">
        <v>6058214963.0699997</v>
      </c>
      <c r="R22" s="189">
        <v>4894197804.0500002</v>
      </c>
      <c r="S22" s="189">
        <v>4162447434.1999998</v>
      </c>
      <c r="T22" s="189">
        <v>2735548585.5999999</v>
      </c>
      <c r="U22" s="189">
        <v>8322215360.9499998</v>
      </c>
      <c r="V22" s="189">
        <v>7410685949.0799999</v>
      </c>
      <c r="W22" s="189">
        <v>6039984671.7299995</v>
      </c>
      <c r="X22" s="189">
        <v>3786290698.79</v>
      </c>
      <c r="Y22" s="189">
        <v>10335733704.780001</v>
      </c>
      <c r="Z22" s="189">
        <v>8113605924.1599998</v>
      </c>
      <c r="AA22" s="189">
        <v>5241364125.3599997</v>
      </c>
      <c r="AB22" s="189">
        <v>3166747159.3200002</v>
      </c>
      <c r="AC22" s="189">
        <v>6394377214.9799995</v>
      </c>
      <c r="AD22" s="189">
        <v>5001266488</v>
      </c>
      <c r="AE22" s="189">
        <v>3490797304.9400001</v>
      </c>
      <c r="AF22" s="189">
        <v>2161488984.3400002</v>
      </c>
      <c r="AG22" s="189">
        <v>4562056835.6000004</v>
      </c>
      <c r="AH22" s="189">
        <v>3532769841.4299998</v>
      </c>
      <c r="AI22" s="189">
        <v>2343182863.0100002</v>
      </c>
      <c r="AJ22" s="189">
        <v>1578085299.8699999</v>
      </c>
      <c r="AK22" s="189">
        <v>3466668431.5100002</v>
      </c>
      <c r="AL22" s="189">
        <v>2382708112.8800001</v>
      </c>
      <c r="AM22" s="189">
        <v>1619900643.9000001</v>
      </c>
      <c r="AN22" s="189">
        <v>1269280228.71</v>
      </c>
      <c r="AO22" s="189">
        <v>1829699892.55</v>
      </c>
      <c r="AP22" s="189">
        <v>1604086352.9400001</v>
      </c>
      <c r="AQ22" s="189">
        <v>1308146766.3</v>
      </c>
      <c r="AR22" s="189">
        <v>1015707693.3099999</v>
      </c>
      <c r="AS22" s="189">
        <v>1472784098.4200001</v>
      </c>
      <c r="AT22" s="189">
        <v>1326845730.0799999</v>
      </c>
      <c r="AU22" s="189">
        <v>1145272727.9100001</v>
      </c>
      <c r="AV22" s="189">
        <v>745206726.03999996</v>
      </c>
      <c r="AW22" s="189">
        <v>1179340016.0999999</v>
      </c>
      <c r="AX22" s="189">
        <v>1023357815.7</v>
      </c>
      <c r="AY22" s="189">
        <v>822921865.61000001</v>
      </c>
      <c r="AZ22" s="189">
        <v>548815529.96000004</v>
      </c>
      <c r="BA22" s="189">
        <v>799007076.76999998</v>
      </c>
      <c r="BB22" s="189">
        <v>773754249.82000005</v>
      </c>
      <c r="BC22" s="189">
        <v>592464063.88</v>
      </c>
      <c r="BD22" s="189">
        <v>416503687.60000002</v>
      </c>
      <c r="BE22" s="189">
        <v>829759695.11000001</v>
      </c>
      <c r="BF22" s="189">
        <v>679164074.51999998</v>
      </c>
      <c r="BG22" s="189">
        <v>537962660</v>
      </c>
      <c r="BH22" s="189">
        <v>383394123.19999999</v>
      </c>
      <c r="BI22" s="189">
        <v>703792730.94000006</v>
      </c>
      <c r="BJ22" s="189">
        <v>548305195.13</v>
      </c>
      <c r="BK22" s="189">
        <v>389654678.44</v>
      </c>
      <c r="BL22" s="189">
        <v>289511785.36000001</v>
      </c>
      <c r="BM22" s="189">
        <v>618984667.90999997</v>
      </c>
      <c r="BN22" s="189">
        <v>511693618.56</v>
      </c>
      <c r="BO22" s="189">
        <v>373562587.13</v>
      </c>
      <c r="BP22" s="189">
        <v>253237536.75999999</v>
      </c>
      <c r="BQ22" s="189">
        <v>816316516.73000002</v>
      </c>
      <c r="BR22" s="189">
        <v>650310000</v>
      </c>
      <c r="BS22" s="189">
        <v>478983205.56999999</v>
      </c>
      <c r="BT22" s="189">
        <v>281830575.43000001</v>
      </c>
      <c r="BU22" s="189">
        <v>768216832.5</v>
      </c>
      <c r="BV22" s="189">
        <v>429812800.44999999</v>
      </c>
      <c r="BW22" s="189">
        <v>649021962.89999998</v>
      </c>
      <c r="BX22" s="189">
        <v>317076251.63999999</v>
      </c>
      <c r="BY22" s="189">
        <v>553291095.09000003</v>
      </c>
      <c r="BZ22" s="189">
        <v>252919406.88</v>
      </c>
      <c r="CA22" s="189">
        <v>341298375.86000001</v>
      </c>
      <c r="CB22" s="189">
        <v>259939328.41</v>
      </c>
      <c r="CC22" s="189">
        <v>216927477.38</v>
      </c>
      <c r="CD22" s="189">
        <v>0</v>
      </c>
    </row>
    <row r="23" spans="1:82" x14ac:dyDescent="0.25">
      <c r="A23" s="189" t="s">
        <v>210</v>
      </c>
      <c r="B23" s="189">
        <v>9494416489.8199997</v>
      </c>
      <c r="C23" s="189">
        <v>7110255593.9899998</v>
      </c>
      <c r="D23" s="189">
        <v>4971013118.0299997</v>
      </c>
      <c r="E23" s="189">
        <v>9673721498.1499996</v>
      </c>
      <c r="F23" s="189">
        <v>6964763242.9799995</v>
      </c>
      <c r="G23" s="189">
        <v>4971505554.1300001</v>
      </c>
      <c r="H23" s="189">
        <v>3593112440.79</v>
      </c>
      <c r="I23" s="189">
        <v>6784533260.3599997</v>
      </c>
      <c r="J23" s="189">
        <v>5101313177.6700001</v>
      </c>
      <c r="K23" s="189">
        <v>3886813135.2800002</v>
      </c>
      <c r="L23" s="189">
        <v>2903112187.1500001</v>
      </c>
      <c r="M23" s="189">
        <v>6176119256.1800003</v>
      </c>
      <c r="N23" s="189">
        <v>4603019813.79</v>
      </c>
      <c r="O23" s="189">
        <v>3297527845.5900002</v>
      </c>
      <c r="P23" s="189">
        <v>2200799535.1700001</v>
      </c>
      <c r="Q23" s="189">
        <v>5834915278.9399996</v>
      </c>
      <c r="R23" s="189">
        <v>4707288391.6000004</v>
      </c>
      <c r="S23" s="189">
        <v>4001813151.27</v>
      </c>
      <c r="T23" s="189">
        <v>2619140414.1700001</v>
      </c>
      <c r="U23" s="189">
        <v>7972814983.2399998</v>
      </c>
      <c r="V23" s="189">
        <v>7103846987.4700003</v>
      </c>
      <c r="W23" s="189">
        <v>5791034483.3500004</v>
      </c>
      <c r="X23" s="189">
        <v>3626866317.8400002</v>
      </c>
      <c r="Y23" s="189">
        <v>9934872820.4300003</v>
      </c>
      <c r="Z23" s="189">
        <v>7801870232.8299999</v>
      </c>
      <c r="AA23" s="189">
        <v>5046255082.0299997</v>
      </c>
      <c r="AB23" s="189">
        <v>3050121093.2199998</v>
      </c>
      <c r="AC23" s="189">
        <v>6157465187.4099998</v>
      </c>
      <c r="AD23" s="189">
        <v>4818212597.3900003</v>
      </c>
      <c r="AE23" s="189">
        <v>3362588438.6100001</v>
      </c>
      <c r="AF23" s="189">
        <v>2081397684.72</v>
      </c>
      <c r="AG23" s="189">
        <v>4395355533.1700001</v>
      </c>
      <c r="AH23" s="189">
        <v>3395360031.98</v>
      </c>
      <c r="AI23" s="189">
        <v>2260967469.5500002</v>
      </c>
      <c r="AJ23" s="189">
        <v>1522636468.96</v>
      </c>
      <c r="AK23" s="189">
        <v>3244752511.4499998</v>
      </c>
      <c r="AL23" s="189">
        <v>2299297028.7399998</v>
      </c>
      <c r="AM23" s="189">
        <v>1604524477.0599999</v>
      </c>
      <c r="AN23" s="189">
        <v>1260659305.3900001</v>
      </c>
      <c r="AO23" s="189">
        <v>1810687550.1600001</v>
      </c>
      <c r="AP23" s="189">
        <v>1589346896.1300001</v>
      </c>
      <c r="AQ23" s="189">
        <v>1295752332.4000001</v>
      </c>
      <c r="AR23" s="189">
        <v>1008106553.49</v>
      </c>
      <c r="AS23" s="189">
        <v>1468920725.1300001</v>
      </c>
      <c r="AT23" s="189">
        <v>1324191177.8</v>
      </c>
      <c r="AU23" s="189">
        <v>1144356425.0699999</v>
      </c>
      <c r="AV23" s="189">
        <v>744189340.47000003</v>
      </c>
      <c r="AW23" s="189">
        <v>1170117537.3</v>
      </c>
      <c r="AX23" s="189">
        <v>1018761472.91</v>
      </c>
      <c r="AY23" s="189">
        <v>819004580.22000003</v>
      </c>
      <c r="AZ23" s="189">
        <v>546094987.98000002</v>
      </c>
      <c r="BA23" s="189">
        <v>791348797.03999996</v>
      </c>
      <c r="BB23" s="189">
        <v>768945225.38999999</v>
      </c>
      <c r="BC23" s="189">
        <v>588407325</v>
      </c>
      <c r="BD23" s="189">
        <v>412850003.60000002</v>
      </c>
      <c r="BE23" s="189">
        <v>827997151.41999996</v>
      </c>
      <c r="BF23" s="189">
        <v>678264477.17999995</v>
      </c>
      <c r="BG23" s="189">
        <v>536945227.03999996</v>
      </c>
      <c r="BH23" s="189">
        <v>383467762.43000001</v>
      </c>
      <c r="BI23" s="189">
        <v>702974477.91999996</v>
      </c>
      <c r="BJ23" s="189">
        <v>547569010.36000001</v>
      </c>
      <c r="BK23" s="189">
        <v>389627161.77999997</v>
      </c>
      <c r="BL23" s="189">
        <v>288544519.86000001</v>
      </c>
      <c r="BM23" s="189">
        <v>613234637.84000003</v>
      </c>
      <c r="BN23" s="189">
        <v>502234364.81</v>
      </c>
      <c r="BO23" s="189">
        <v>359993246.11000001</v>
      </c>
      <c r="BP23" s="189">
        <v>248796308.78</v>
      </c>
      <c r="BQ23" s="189">
        <v>811407817.88</v>
      </c>
      <c r="BR23" s="189">
        <v>650310000</v>
      </c>
      <c r="BS23" s="189">
        <v>478617774.29000002</v>
      </c>
      <c r="BT23" s="189">
        <v>281563149.47000003</v>
      </c>
      <c r="BU23" s="189">
        <v>768112120.07000005</v>
      </c>
      <c r="BV23" s="189">
        <v>429812800.44999999</v>
      </c>
      <c r="BW23" s="189">
        <v>649021962.89999998</v>
      </c>
      <c r="BX23" s="189">
        <v>317076251.63999999</v>
      </c>
      <c r="BY23" s="189">
        <v>553291095.09000003</v>
      </c>
      <c r="BZ23" s="189">
        <v>252919406.88</v>
      </c>
      <c r="CA23" s="189">
        <v>341298375.86000001</v>
      </c>
      <c r="CB23" s="189">
        <v>259939328.41</v>
      </c>
      <c r="CC23" s="189">
        <v>216927477.38</v>
      </c>
      <c r="CD23" s="189">
        <v>0</v>
      </c>
    </row>
    <row r="24" spans="1:82" x14ac:dyDescent="0.25">
      <c r="A24" s="189" t="s">
        <v>211</v>
      </c>
      <c r="B24" s="189">
        <v>469048453.44</v>
      </c>
      <c r="C24" s="189">
        <v>353635691.89999998</v>
      </c>
      <c r="D24" s="189">
        <v>242955970.03999999</v>
      </c>
      <c r="E24" s="189">
        <v>412247731.88</v>
      </c>
      <c r="F24" s="189">
        <v>300211923.50999999</v>
      </c>
      <c r="G24" s="189">
        <v>218304405.63</v>
      </c>
      <c r="H24" s="189">
        <v>146092644.19999999</v>
      </c>
      <c r="I24" s="189">
        <v>272232308.5</v>
      </c>
      <c r="J24" s="189">
        <v>195302391.83000001</v>
      </c>
      <c r="K24" s="189">
        <v>139811453.63999999</v>
      </c>
      <c r="L24" s="189">
        <v>105165906.65000001</v>
      </c>
      <c r="M24" s="189">
        <v>234365080.09</v>
      </c>
      <c r="N24" s="189">
        <v>174090715.86000001</v>
      </c>
      <c r="O24" s="189">
        <v>123675830.73999999</v>
      </c>
      <c r="P24" s="189">
        <v>89123721.510000005</v>
      </c>
      <c r="Q24" s="189">
        <v>223299684.13</v>
      </c>
      <c r="R24" s="189">
        <v>186909412.44999999</v>
      </c>
      <c r="S24" s="189">
        <v>160634282.93000001</v>
      </c>
      <c r="T24" s="189">
        <v>116408171.43000001</v>
      </c>
      <c r="U24" s="189">
        <v>349400377.70999998</v>
      </c>
      <c r="V24" s="189">
        <v>306838961.61000001</v>
      </c>
      <c r="W24" s="189">
        <v>248950188.38</v>
      </c>
      <c r="X24" s="189">
        <v>159424380.94999999</v>
      </c>
      <c r="Y24" s="189">
        <v>400860884.35000002</v>
      </c>
      <c r="Z24" s="189">
        <v>311735691.32999998</v>
      </c>
      <c r="AA24" s="189">
        <v>195109043.33000001</v>
      </c>
      <c r="AB24" s="189">
        <v>116626066.09999999</v>
      </c>
      <c r="AC24" s="189">
        <v>236912027.56999999</v>
      </c>
      <c r="AD24" s="189">
        <v>183053890.61000001</v>
      </c>
      <c r="AE24" s="189">
        <v>128208866.33</v>
      </c>
      <c r="AF24" s="189">
        <v>80091299.620000005</v>
      </c>
      <c r="AG24" s="189">
        <v>166701302.43000001</v>
      </c>
      <c r="AH24" s="189">
        <v>137409809.44999999</v>
      </c>
      <c r="AI24" s="189">
        <v>82215393.459999993</v>
      </c>
      <c r="AJ24" s="189">
        <v>55448830.909999996</v>
      </c>
      <c r="AK24" s="189">
        <v>221915920.06</v>
      </c>
      <c r="AL24" s="189">
        <v>83411084.140000001</v>
      </c>
      <c r="AM24" s="189">
        <v>15376166.84</v>
      </c>
      <c r="AN24" s="189">
        <v>8620923.3200000003</v>
      </c>
      <c r="AO24" s="189">
        <v>19012342.390000001</v>
      </c>
      <c r="AP24" s="189">
        <v>14739456.810000001</v>
      </c>
      <c r="AQ24" s="189">
        <v>12394433.9</v>
      </c>
      <c r="AR24" s="189">
        <v>7601139.8200000003</v>
      </c>
      <c r="AS24" s="189">
        <v>3863373.29</v>
      </c>
      <c r="AT24" s="189">
        <v>2654552.2799999998</v>
      </c>
      <c r="AU24" s="189">
        <v>916302.84</v>
      </c>
      <c r="AV24" s="189">
        <v>1017385.57</v>
      </c>
      <c r="AW24" s="189">
        <v>9222478.8000000007</v>
      </c>
      <c r="AX24" s="189">
        <v>4596342.79</v>
      </c>
      <c r="AY24" s="189">
        <v>3917285.39</v>
      </c>
      <c r="AZ24" s="189">
        <v>2720541.98</v>
      </c>
      <c r="BA24" s="189">
        <v>7658279.7300000004</v>
      </c>
      <c r="BB24" s="189">
        <v>4809024.43</v>
      </c>
      <c r="BC24" s="189">
        <v>4056738.88</v>
      </c>
      <c r="BD24" s="189">
        <v>3653684</v>
      </c>
      <c r="BE24" s="189">
        <v>1762543.69</v>
      </c>
      <c r="BF24" s="189">
        <v>899597.34</v>
      </c>
      <c r="BG24" s="189">
        <v>1017432.96</v>
      </c>
      <c r="BH24" s="189">
        <v>-73639.23</v>
      </c>
      <c r="BI24" s="189">
        <v>818253.02</v>
      </c>
      <c r="BJ24" s="189">
        <v>736184.77</v>
      </c>
      <c r="BK24" s="189">
        <v>27516.66</v>
      </c>
      <c r="BL24" s="189">
        <v>967265.5</v>
      </c>
      <c r="BM24" s="189">
        <v>5750030.0700000003</v>
      </c>
      <c r="BN24" s="189">
        <v>9459253.75</v>
      </c>
      <c r="BO24" s="189">
        <v>13569341.02</v>
      </c>
      <c r="BP24" s="189">
        <v>4441227.9800000004</v>
      </c>
      <c r="BQ24" s="189">
        <v>4908698.8499999996</v>
      </c>
      <c r="BR24" s="189">
        <v>0</v>
      </c>
      <c r="BS24" s="189">
        <v>365431.28</v>
      </c>
      <c r="BT24" s="189">
        <v>267425.96000000002</v>
      </c>
      <c r="BU24" s="189">
        <v>104712.43</v>
      </c>
      <c r="BV24" s="189">
        <v>0</v>
      </c>
      <c r="BW24" s="189">
        <v>0</v>
      </c>
      <c r="BX24" s="189">
        <v>0</v>
      </c>
      <c r="BY24" s="189">
        <v>0</v>
      </c>
      <c r="BZ24" s="189">
        <v>0</v>
      </c>
      <c r="CA24" s="189">
        <v>0</v>
      </c>
      <c r="CB24" s="189">
        <v>0</v>
      </c>
      <c r="CC24" s="189">
        <v>0</v>
      </c>
      <c r="CD24" s="189">
        <v>0</v>
      </c>
    </row>
    <row r="25" spans="1:82" x14ac:dyDescent="0.25">
      <c r="A25" s="189" t="s">
        <v>212</v>
      </c>
    </row>
    <row r="26" spans="1:82" x14ac:dyDescent="0.25">
      <c r="A26" s="189" t="s">
        <v>213</v>
      </c>
      <c r="B26" s="189">
        <v>2.4700000000000002</v>
      </c>
      <c r="C26" s="189">
        <v>1.859</v>
      </c>
      <c r="D26" s="189">
        <v>1.31</v>
      </c>
      <c r="E26" s="189">
        <v>2.548</v>
      </c>
      <c r="F26" s="189">
        <v>1.835</v>
      </c>
      <c r="G26" s="189">
        <v>1.31</v>
      </c>
      <c r="H26" s="189">
        <v>0.94699999999999995</v>
      </c>
      <c r="I26" s="189">
        <v>1.7869999999999999</v>
      </c>
      <c r="J26" s="189">
        <v>1.3440000000000001</v>
      </c>
      <c r="K26" s="189">
        <v>1.024</v>
      </c>
      <c r="L26" s="189">
        <v>0.76500000000000001</v>
      </c>
      <c r="M26" s="189">
        <v>1.627</v>
      </c>
      <c r="N26" s="189">
        <v>1.2130000000000001</v>
      </c>
      <c r="O26" s="189">
        <v>0.86899999999999999</v>
      </c>
      <c r="P26" s="189">
        <v>0.57999999999999996</v>
      </c>
      <c r="Q26" s="189">
        <v>1.5369999999999999</v>
      </c>
      <c r="R26" s="189">
        <v>1.24</v>
      </c>
      <c r="S26" s="189">
        <v>1.054</v>
      </c>
      <c r="T26" s="189">
        <v>0.69</v>
      </c>
      <c r="U26" s="189">
        <v>2.1</v>
      </c>
      <c r="V26" s="189">
        <v>1.871</v>
      </c>
      <c r="W26" s="189">
        <v>1.526</v>
      </c>
      <c r="X26" s="189">
        <v>0.95499999999999996</v>
      </c>
      <c r="Y26" s="189">
        <v>2.617</v>
      </c>
      <c r="Z26" s="189">
        <v>2.0550000000000002</v>
      </c>
      <c r="AA26" s="189">
        <v>1.329</v>
      </c>
      <c r="AB26" s="189">
        <v>0.80400000000000005</v>
      </c>
      <c r="AC26" s="189">
        <v>1.6220000000000001</v>
      </c>
      <c r="AD26" s="189">
        <v>1.2689999999999999</v>
      </c>
      <c r="AE26" s="189">
        <v>0.88600000000000001</v>
      </c>
      <c r="AF26" s="189">
        <v>0.54800000000000004</v>
      </c>
      <c r="AG26" s="189">
        <v>1.1579999999999999</v>
      </c>
      <c r="AH26" s="189">
        <v>0.89400000000000002</v>
      </c>
      <c r="AI26" s="189">
        <v>0.59599999999999997</v>
      </c>
      <c r="AJ26" s="189">
        <v>0.40100000000000002</v>
      </c>
      <c r="AK26" s="189">
        <v>0.85499999999999998</v>
      </c>
      <c r="AL26" s="189">
        <v>0.60599999999999998</v>
      </c>
      <c r="AM26" s="189">
        <v>0.42299999999999999</v>
      </c>
      <c r="AN26" s="189">
        <v>0.33200000000000002</v>
      </c>
      <c r="AO26" s="189">
        <v>0.47699999999999998</v>
      </c>
      <c r="AP26" s="189">
        <v>0.42</v>
      </c>
      <c r="AQ26" s="189">
        <v>0.34100000000000003</v>
      </c>
      <c r="AR26" s="189">
        <v>0.26600000000000001</v>
      </c>
      <c r="AS26" s="189">
        <v>0.38700000000000001</v>
      </c>
      <c r="AT26" s="189">
        <v>0.34899999999999998</v>
      </c>
      <c r="AU26" s="189">
        <v>0.30099999999999999</v>
      </c>
      <c r="AV26" s="189">
        <v>0.27</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row>
    <row r="27" spans="1:82" x14ac:dyDescent="0.25">
      <c r="A27" s="189" t="s">
        <v>214</v>
      </c>
      <c r="B27" s="189">
        <v>2.4700000000000002</v>
      </c>
      <c r="C27" s="189">
        <v>1.859</v>
      </c>
      <c r="D27" s="189">
        <v>1.31</v>
      </c>
      <c r="E27" s="189">
        <v>2.548</v>
      </c>
      <c r="F27" s="189">
        <v>1.835</v>
      </c>
      <c r="G27" s="189">
        <v>1.31</v>
      </c>
      <c r="H27" s="189">
        <v>0.94699999999999995</v>
      </c>
      <c r="I27" s="189">
        <v>1.7869999999999999</v>
      </c>
      <c r="J27" s="189">
        <v>1.3440000000000001</v>
      </c>
      <c r="K27" s="189">
        <v>1.024</v>
      </c>
      <c r="L27" s="189">
        <v>0.76500000000000001</v>
      </c>
      <c r="M27" s="189">
        <v>1.627</v>
      </c>
      <c r="N27" s="189">
        <v>1.2130000000000001</v>
      </c>
      <c r="O27" s="189">
        <v>0.86899999999999999</v>
      </c>
      <c r="P27" s="189">
        <v>0.57999999999999996</v>
      </c>
      <c r="Q27" s="189">
        <v>1.5369999999999999</v>
      </c>
      <c r="R27" s="189">
        <v>1.24</v>
      </c>
      <c r="S27" s="189">
        <v>1.054</v>
      </c>
      <c r="T27" s="189">
        <v>0.69</v>
      </c>
      <c r="U27" s="189">
        <v>2.1</v>
      </c>
      <c r="V27" s="189">
        <v>1.871</v>
      </c>
      <c r="W27" s="189">
        <v>1.526</v>
      </c>
      <c r="X27" s="189">
        <v>0.95499999999999996</v>
      </c>
      <c r="Y27" s="189">
        <v>2.617</v>
      </c>
      <c r="Z27" s="189">
        <v>2.0550000000000002</v>
      </c>
      <c r="AA27" s="189">
        <v>1.329</v>
      </c>
      <c r="AB27" s="189">
        <v>0.80400000000000005</v>
      </c>
      <c r="AC27" s="189">
        <v>1.6220000000000001</v>
      </c>
      <c r="AD27" s="189">
        <v>1.2689999999999999</v>
      </c>
      <c r="AE27" s="189">
        <v>0.88600000000000001</v>
      </c>
      <c r="AF27" s="189">
        <v>0.54800000000000004</v>
      </c>
      <c r="AG27" s="189">
        <v>1.1579999999999999</v>
      </c>
      <c r="AH27" s="189">
        <v>0.89400000000000002</v>
      </c>
      <c r="AI27" s="189">
        <v>0.59599999999999997</v>
      </c>
      <c r="AJ27" s="189">
        <v>0.40100000000000002</v>
      </c>
      <c r="AK27" s="189">
        <v>0.85499999999999998</v>
      </c>
      <c r="AL27" s="189">
        <v>0.60599999999999998</v>
      </c>
      <c r="AM27" s="189">
        <v>0.42299999999999999</v>
      </c>
      <c r="AN27" s="189">
        <v>0.33200000000000002</v>
      </c>
      <c r="AO27" s="189">
        <v>0.47699999999999998</v>
      </c>
      <c r="AP27" s="189">
        <v>0.42</v>
      </c>
      <c r="AQ27" s="189">
        <v>0.34100000000000003</v>
      </c>
      <c r="AR27" s="189">
        <v>0.26600000000000001</v>
      </c>
      <c r="AS27" s="189">
        <v>0.38700000000000001</v>
      </c>
      <c r="AT27" s="189">
        <v>0.34899999999999998</v>
      </c>
      <c r="AU27" s="189">
        <v>0.30099999999999999</v>
      </c>
      <c r="AV27" s="189">
        <v>0.27</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215</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row>
    <row r="29" spans="1:82" x14ac:dyDescent="0.25">
      <c r="A29" s="189" t="s">
        <v>216</v>
      </c>
      <c r="B29" s="189">
        <v>9963464943.2600002</v>
      </c>
      <c r="C29" s="189">
        <v>7463891285.8900003</v>
      </c>
      <c r="D29" s="189">
        <v>5213969088.0699997</v>
      </c>
      <c r="E29" s="189">
        <v>10085969230.030001</v>
      </c>
      <c r="F29" s="189">
        <v>7264975166.4899998</v>
      </c>
      <c r="G29" s="189">
        <v>5189809959.7600002</v>
      </c>
      <c r="H29" s="189">
        <v>3739205084.9899998</v>
      </c>
      <c r="I29" s="189">
        <v>7056765568.8599997</v>
      </c>
      <c r="J29" s="189">
        <v>5296615569.5</v>
      </c>
      <c r="K29" s="189">
        <v>4026624588.9200001</v>
      </c>
      <c r="L29" s="189">
        <v>3008278093.8000002</v>
      </c>
      <c r="M29" s="189">
        <v>6410484336.2700005</v>
      </c>
      <c r="N29" s="189">
        <v>4777110529.6499996</v>
      </c>
      <c r="O29" s="189">
        <v>3421203676.3299999</v>
      </c>
      <c r="P29" s="189">
        <v>2289923256.6799998</v>
      </c>
      <c r="Q29" s="189">
        <v>6058214963.0699997</v>
      </c>
      <c r="R29" s="189">
        <v>4894197804.0500002</v>
      </c>
      <c r="S29" s="189">
        <v>4162447434.1999998</v>
      </c>
      <c r="T29" s="189">
        <v>2735548585.5999999</v>
      </c>
      <c r="U29" s="189">
        <v>8322215360.9499998</v>
      </c>
      <c r="V29" s="189">
        <v>7410685949.0799999</v>
      </c>
      <c r="W29" s="189">
        <v>6039984671.7299995</v>
      </c>
      <c r="X29" s="189">
        <v>3786290698.79</v>
      </c>
      <c r="Y29" s="189">
        <v>10335733704.780001</v>
      </c>
      <c r="Z29" s="189">
        <v>8113605924.1599998</v>
      </c>
      <c r="AA29" s="189">
        <v>5241364125.3599997</v>
      </c>
      <c r="AB29" s="189">
        <v>3166747159.3200002</v>
      </c>
      <c r="AC29" s="189">
        <v>6394377214.9799995</v>
      </c>
      <c r="AD29" s="189">
        <v>5001266488</v>
      </c>
      <c r="AE29" s="189">
        <v>3490797304.9400001</v>
      </c>
      <c r="AF29" s="189">
        <v>2161488984.3400002</v>
      </c>
      <c r="AG29" s="189">
        <v>4562056835.6000004</v>
      </c>
      <c r="AH29" s="189">
        <v>3532769841.4299998</v>
      </c>
      <c r="AI29" s="189">
        <v>2343182863.0100002</v>
      </c>
      <c r="AJ29" s="189">
        <v>1578085299.8699999</v>
      </c>
      <c r="AK29" s="189">
        <v>3466668431.5100002</v>
      </c>
      <c r="AL29" s="189">
        <v>2382708112.8800001</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row>
    <row r="30" spans="1:82" x14ac:dyDescent="0.25">
      <c r="A30" s="189" t="s">
        <v>217</v>
      </c>
      <c r="B30" s="189">
        <v>9494416489.8199997</v>
      </c>
      <c r="C30" s="189">
        <v>7110255593.9899998</v>
      </c>
      <c r="D30" s="189">
        <v>4971013118.0299997</v>
      </c>
      <c r="E30" s="189">
        <v>9673721498.1499996</v>
      </c>
      <c r="F30" s="189">
        <v>6964763242.9799995</v>
      </c>
      <c r="G30" s="189">
        <v>4971505554.1300001</v>
      </c>
      <c r="H30" s="189">
        <v>3593112440.79</v>
      </c>
      <c r="I30" s="189">
        <v>6784533260.3599997</v>
      </c>
      <c r="J30" s="189">
        <v>5101313177.6700001</v>
      </c>
      <c r="K30" s="189">
        <v>3886813135.2800002</v>
      </c>
      <c r="L30" s="189">
        <v>2903112187.1500001</v>
      </c>
      <c r="M30" s="189">
        <v>6176119256.1800003</v>
      </c>
      <c r="N30" s="189">
        <v>4603019813.79</v>
      </c>
      <c r="O30" s="189">
        <v>3297527845.5900002</v>
      </c>
      <c r="P30" s="189">
        <v>2200799535.1700001</v>
      </c>
      <c r="Q30" s="189">
        <v>5834915278.9399996</v>
      </c>
      <c r="R30" s="189">
        <v>4707288391.6000004</v>
      </c>
      <c r="S30" s="189">
        <v>4001813151.27</v>
      </c>
      <c r="T30" s="189">
        <v>2619140414.1700001</v>
      </c>
      <c r="U30" s="189">
        <v>7972814983.2399998</v>
      </c>
      <c r="V30" s="189">
        <v>7103846987.4700003</v>
      </c>
      <c r="W30" s="189">
        <v>5791034483.3500004</v>
      </c>
      <c r="X30" s="189">
        <v>3626866317.8400002</v>
      </c>
      <c r="Y30" s="189">
        <v>9934872820.4300003</v>
      </c>
      <c r="Z30" s="189">
        <v>7801870232.8299999</v>
      </c>
      <c r="AA30" s="189">
        <v>5046255082.0299997</v>
      </c>
      <c r="AB30" s="189">
        <v>3050121093.2199998</v>
      </c>
      <c r="AC30" s="189">
        <v>6157465187.4099998</v>
      </c>
      <c r="AD30" s="189">
        <v>4818212597.3900003</v>
      </c>
      <c r="AE30" s="189">
        <v>3362588438.6100001</v>
      </c>
      <c r="AF30" s="189">
        <v>2081397684.72</v>
      </c>
      <c r="AG30" s="189">
        <v>4395355533.1700001</v>
      </c>
      <c r="AH30" s="189">
        <v>3395360031.98</v>
      </c>
      <c r="AI30" s="189">
        <v>2260967469.5500002</v>
      </c>
      <c r="AJ30" s="189">
        <v>1522636468.96</v>
      </c>
      <c r="AK30" s="189">
        <v>3244752511.4499998</v>
      </c>
      <c r="AL30" s="189">
        <v>2299297028.7399998</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row>
    <row r="31" spans="1:82" x14ac:dyDescent="0.25">
      <c r="A31" s="189" t="s">
        <v>218</v>
      </c>
      <c r="B31" s="189">
        <v>469048453.44</v>
      </c>
      <c r="C31" s="189">
        <v>353635691.89999998</v>
      </c>
      <c r="D31" s="189">
        <v>242955970.03999999</v>
      </c>
      <c r="E31" s="189">
        <v>412247731.88</v>
      </c>
      <c r="F31" s="189">
        <v>300211923.50999999</v>
      </c>
      <c r="G31" s="189">
        <v>218304405.63</v>
      </c>
      <c r="H31" s="189">
        <v>146092644.19999999</v>
      </c>
      <c r="I31" s="189">
        <v>272232308.5</v>
      </c>
      <c r="J31" s="189">
        <v>195302391.83000001</v>
      </c>
      <c r="K31" s="189">
        <v>139811453.63999999</v>
      </c>
      <c r="L31" s="189">
        <v>105165906.65000001</v>
      </c>
      <c r="M31" s="189">
        <v>234365080.09</v>
      </c>
      <c r="N31" s="189">
        <v>174090715.86000001</v>
      </c>
      <c r="O31" s="189">
        <v>123675830.73999999</v>
      </c>
      <c r="P31" s="189">
        <v>89123721.510000005</v>
      </c>
      <c r="Q31" s="189">
        <v>223299684.13</v>
      </c>
      <c r="R31" s="189">
        <v>186909412.44999999</v>
      </c>
      <c r="S31" s="189">
        <v>160634282.93000001</v>
      </c>
      <c r="T31" s="189">
        <v>116408171.43000001</v>
      </c>
      <c r="U31" s="189">
        <v>349400377.70999998</v>
      </c>
      <c r="V31" s="189">
        <v>306838961.61000001</v>
      </c>
      <c r="W31" s="189">
        <v>248950188.38</v>
      </c>
      <c r="X31" s="189">
        <v>159424380.94999999</v>
      </c>
      <c r="Y31" s="189">
        <v>400860884.35000002</v>
      </c>
      <c r="Z31" s="189">
        <v>311735691.32999998</v>
      </c>
      <c r="AA31" s="189">
        <v>195109043.33000001</v>
      </c>
      <c r="AB31" s="189">
        <v>116626066.09999999</v>
      </c>
      <c r="AC31" s="189">
        <v>236912027.56999999</v>
      </c>
      <c r="AD31" s="189">
        <v>183053890.61000001</v>
      </c>
      <c r="AE31" s="189">
        <v>128208866.33</v>
      </c>
      <c r="AF31" s="189">
        <v>80091299.620000005</v>
      </c>
      <c r="AG31" s="189">
        <v>166701302.43000001</v>
      </c>
      <c r="AH31" s="189">
        <v>137409809.44999999</v>
      </c>
      <c r="AI31" s="189">
        <v>82215393.459999993</v>
      </c>
      <c r="AJ31" s="189">
        <v>55448830.909999996</v>
      </c>
      <c r="AK31" s="189">
        <v>221915920.06</v>
      </c>
      <c r="AL31" s="189">
        <v>83411084.140000001</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89" bestFit="1" customWidth="1"/>
    <col min="2" max="3" width="13.88671875" style="189" hidden="1" customWidth="1"/>
    <col min="4" max="4" width="12.777343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2" width="12.77734375" style="189" hidden="1" customWidth="1"/>
    <col min="23" max="24" width="13.88671875" style="189" hidden="1" customWidth="1"/>
    <col min="25" max="25" width="13.88671875" style="189" bestFit="1" customWidth="1"/>
    <col min="26" max="28" width="13.88671875" style="189" hidden="1" customWidth="1"/>
    <col min="29" max="29" width="12.77734375" style="189" bestFit="1" customWidth="1"/>
    <col min="30" max="31" width="13.88671875" style="189" hidden="1" customWidth="1"/>
    <col min="32" max="32" width="12.777343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3" width="13.88671875" style="189" hidden="1" customWidth="1"/>
    <col min="44" max="44" width="12.777343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2.77734375" style="189" bestFit="1" customWidth="1"/>
    <col min="66" max="66" width="13.88671875" style="189" hidden="1" customWidth="1"/>
    <col min="67" max="67" width="13.88671875" style="189" bestFit="1" customWidth="1"/>
    <col min="68" max="68" width="13.88671875" style="189" hidden="1" customWidth="1"/>
    <col min="69" max="69" width="13.88671875" style="189" bestFit="1" customWidth="1"/>
    <col min="70" max="70" width="13.88671875" style="189" hidden="1" customWidth="1"/>
    <col min="71" max="71" width="13.88671875" style="189" bestFit="1" customWidth="1"/>
    <col min="72" max="72" width="13.88671875" style="189" hidden="1" customWidth="1"/>
    <col min="73" max="73" width="13.88671875" style="189" bestFit="1" customWidth="1"/>
    <col min="74" max="74" width="9.5546875" style="189" hidden="1" customWidth="1"/>
    <col min="75" max="16384" width="8.88671875" style="189"/>
  </cols>
  <sheetData>
    <row r="1" spans="1:74"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19990630</v>
      </c>
      <c r="BU1" s="189">
        <v>19981231</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x14ac:dyDescent="0.25">
      <c r="A3" s="189" t="s">
        <v>219</v>
      </c>
    </row>
    <row r="4" spans="1:74" x14ac:dyDescent="0.25">
      <c r="A4" s="189" t="s">
        <v>220</v>
      </c>
      <c r="B4" s="189">
        <v>26438870647.470001</v>
      </c>
      <c r="C4" s="189">
        <v>17210556067.07</v>
      </c>
      <c r="D4" s="189">
        <v>10414204004.889999</v>
      </c>
      <c r="E4" s="189">
        <v>35753619516.239998</v>
      </c>
      <c r="F4" s="189">
        <v>21956722427.07</v>
      </c>
      <c r="G4" s="189">
        <v>14461279629.17</v>
      </c>
      <c r="H4" s="189">
        <v>7704893440.5600004</v>
      </c>
      <c r="I4" s="189">
        <v>33044819191.48</v>
      </c>
      <c r="J4" s="189">
        <v>22848292297.959999</v>
      </c>
      <c r="K4" s="189">
        <v>13621985528.360001</v>
      </c>
      <c r="L4" s="189">
        <v>6669657116.4300003</v>
      </c>
      <c r="M4" s="189">
        <v>26084485451.91</v>
      </c>
      <c r="N4" s="189">
        <v>17113243342.42</v>
      </c>
      <c r="O4" s="189">
        <v>11274169523.639999</v>
      </c>
      <c r="P4" s="189">
        <v>6643981136.1099997</v>
      </c>
      <c r="Q4" s="189">
        <v>20235325675.32</v>
      </c>
      <c r="R4" s="189">
        <v>11551516445.68</v>
      </c>
      <c r="S4" s="189">
        <v>6808791793.5699997</v>
      </c>
      <c r="T4" s="189">
        <v>3056755228.48</v>
      </c>
      <c r="U4" s="189">
        <v>24903786975.080002</v>
      </c>
      <c r="V4" s="189">
        <v>15709598752.91</v>
      </c>
      <c r="W4" s="189">
        <v>13382599510.530001</v>
      </c>
      <c r="X4" s="189">
        <v>7497844122.1400003</v>
      </c>
      <c r="Y4" s="189">
        <v>33004835030.009998</v>
      </c>
      <c r="Z4" s="189">
        <v>22385089218.82</v>
      </c>
      <c r="AA4" s="189">
        <v>14904132971.1</v>
      </c>
      <c r="AB4" s="189">
        <v>7546157733.3699999</v>
      </c>
      <c r="AC4" s="189">
        <v>27452271742.599998</v>
      </c>
      <c r="AD4" s="189">
        <v>19617249637.689999</v>
      </c>
      <c r="AE4" s="189">
        <v>14814609218.200001</v>
      </c>
      <c r="AF4" s="189">
        <v>7250396502.7700005</v>
      </c>
      <c r="AG4" s="189">
        <v>20906767904.150002</v>
      </c>
      <c r="AH4" s="189">
        <v>14764269104.030001</v>
      </c>
      <c r="AI4" s="189">
        <v>10305670771.5</v>
      </c>
      <c r="AJ4" s="189">
        <v>6279541659.8699999</v>
      </c>
      <c r="AK4" s="189">
        <v>15120503779.299999</v>
      </c>
      <c r="AL4" s="189">
        <v>10662239557.42</v>
      </c>
      <c r="AM4" s="189">
        <v>5757870691.96</v>
      </c>
      <c r="AN4" s="189">
        <v>3327773776.04</v>
      </c>
      <c r="AO4" s="189">
        <v>9514523471.0200005</v>
      </c>
      <c r="AP4" s="189">
        <v>7737637682.6899996</v>
      </c>
      <c r="AQ4" s="189">
        <v>5581977962.54</v>
      </c>
      <c r="AR4" s="189">
        <v>3270367291.5799999</v>
      </c>
      <c r="AS4" s="189">
        <v>9077978285.4699993</v>
      </c>
      <c r="AT4" s="189">
        <v>7482745343.8000002</v>
      </c>
      <c r="AU4" s="189">
        <v>5366520738.4200001</v>
      </c>
      <c r="AV4" s="189">
        <v>3434142452.7600002</v>
      </c>
      <c r="AW4" s="189">
        <v>8308499134.1999998</v>
      </c>
      <c r="AX4" s="189">
        <v>6846470639.4099998</v>
      </c>
      <c r="AY4" s="189">
        <v>5400121124.46</v>
      </c>
      <c r="AZ4" s="189">
        <v>3209773564.1100001</v>
      </c>
      <c r="BA4" s="189">
        <v>7654896804.5500002</v>
      </c>
      <c r="BB4" s="189">
        <v>5174946730.0900002</v>
      </c>
      <c r="BC4" s="189">
        <v>3753673163.71</v>
      </c>
      <c r="BD4" s="189">
        <v>2619731569.5300002</v>
      </c>
      <c r="BE4" s="189">
        <v>7130255309.9099998</v>
      </c>
      <c r="BF4" s="189">
        <v>5079790915</v>
      </c>
      <c r="BG4" s="189">
        <v>3173004973.6599998</v>
      </c>
      <c r="BH4" s="189">
        <v>2556165698.0599999</v>
      </c>
      <c r="BI4" s="189">
        <v>7601920157.0699997</v>
      </c>
      <c r="BJ4" s="189">
        <v>5329435053.1700001</v>
      </c>
      <c r="BK4" s="189">
        <v>3663232080.02</v>
      </c>
      <c r="BL4" s="189">
        <v>2167347769.02</v>
      </c>
      <c r="BM4" s="189">
        <v>6083365395.0299997</v>
      </c>
      <c r="BN4" s="189">
        <v>3225084577.2399998</v>
      </c>
      <c r="BO4" s="189">
        <v>6103076703.4099998</v>
      </c>
      <c r="BP4" s="189">
        <v>2920363106.8800001</v>
      </c>
      <c r="BQ4" s="189">
        <v>4451137427.9799995</v>
      </c>
      <c r="BR4" s="189">
        <v>2793944165.46</v>
      </c>
      <c r="BS4" s="189">
        <v>4315335173.0900002</v>
      </c>
      <c r="BT4" s="189">
        <v>1971268435.0999999</v>
      </c>
      <c r="BU4" s="189">
        <v>3260216380.3099999</v>
      </c>
      <c r="BV4" s="189">
        <v>0</v>
      </c>
    </row>
    <row r="5" spans="1:74" x14ac:dyDescent="0.25">
      <c r="A5" s="189" t="s">
        <v>221</v>
      </c>
      <c r="B5" s="189">
        <v>4336017.8600000003</v>
      </c>
      <c r="C5" s="189">
        <v>4336017.8600000003</v>
      </c>
      <c r="D5" s="189">
        <v>4336017.8600000003</v>
      </c>
      <c r="E5" s="189">
        <v>50151825.93</v>
      </c>
      <c r="F5" s="189">
        <v>25329875.739999998</v>
      </c>
      <c r="G5" s="189">
        <v>16181591.060000001</v>
      </c>
      <c r="H5" s="189">
        <v>7978813.9299999997</v>
      </c>
      <c r="I5" s="189">
        <v>35161976.57</v>
      </c>
      <c r="J5" s="189">
        <v>31695416.57</v>
      </c>
      <c r="K5" s="189">
        <v>22259999.93</v>
      </c>
      <c r="L5" s="189">
        <v>16245833.279999999</v>
      </c>
      <c r="M5" s="189">
        <v>14914536.35</v>
      </c>
      <c r="N5" s="189">
        <v>14979748.720000001</v>
      </c>
      <c r="O5" s="189">
        <v>6552453.04</v>
      </c>
      <c r="P5" s="189">
        <v>1104254.27</v>
      </c>
      <c r="Q5" s="189">
        <v>18420248.68</v>
      </c>
      <c r="R5" s="189">
        <v>13682250.859999999</v>
      </c>
      <c r="S5" s="189">
        <v>7082250.8600000003</v>
      </c>
      <c r="T5" s="189">
        <v>2599334.2000000002</v>
      </c>
      <c r="U5" s="189">
        <v>33140174.719999999</v>
      </c>
      <c r="V5" s="189">
        <v>18462015.219999999</v>
      </c>
      <c r="W5" s="189">
        <v>13274521.369999999</v>
      </c>
      <c r="X5" s="189">
        <v>7945825.75</v>
      </c>
      <c r="Y5" s="189">
        <v>40083712.979999997</v>
      </c>
      <c r="Z5" s="189">
        <v>27612835.68</v>
      </c>
      <c r="AA5" s="189">
        <v>19950161.390000001</v>
      </c>
      <c r="AB5" s="189">
        <v>10788489.76</v>
      </c>
      <c r="AC5" s="189">
        <v>41742269.280000001</v>
      </c>
      <c r="AD5" s="189">
        <v>38486839.75</v>
      </c>
      <c r="AE5" s="189">
        <v>17626764.739999998</v>
      </c>
      <c r="AF5" s="189">
        <v>6058803.0899999999</v>
      </c>
      <c r="AG5" s="189">
        <v>40882192.090000004</v>
      </c>
      <c r="AH5" s="189">
        <v>23974369.920000002</v>
      </c>
      <c r="AI5" s="189">
        <v>15150165.02</v>
      </c>
      <c r="AJ5" s="189">
        <v>4972922.3499999996</v>
      </c>
      <c r="AK5" s="189">
        <v>26966485.600000001</v>
      </c>
      <c r="AL5" s="189">
        <v>22612069.5</v>
      </c>
      <c r="AM5" s="189">
        <v>17580789.59</v>
      </c>
      <c r="AN5" s="189">
        <v>937171.75</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0</v>
      </c>
      <c r="BG5" s="189">
        <v>0</v>
      </c>
      <c r="BH5" s="189">
        <v>0</v>
      </c>
      <c r="BI5" s="189">
        <v>0</v>
      </c>
      <c r="BJ5" s="189">
        <v>0</v>
      </c>
      <c r="BK5" s="189">
        <v>0</v>
      </c>
      <c r="BL5" s="189">
        <v>0</v>
      </c>
      <c r="BM5" s="189">
        <v>34386760.770000003</v>
      </c>
      <c r="BN5" s="189">
        <v>34386760.770000003</v>
      </c>
      <c r="BO5" s="189">
        <v>216462400</v>
      </c>
      <c r="BP5" s="189">
        <v>50000000</v>
      </c>
      <c r="BQ5" s="189">
        <v>134700000</v>
      </c>
      <c r="BR5" s="189">
        <v>166880488</v>
      </c>
      <c r="BS5" s="189">
        <v>148258159.02000001</v>
      </c>
      <c r="BT5" s="189">
        <v>4715046</v>
      </c>
      <c r="BU5" s="189">
        <v>0</v>
      </c>
      <c r="BV5" s="189">
        <v>0</v>
      </c>
    </row>
    <row r="6" spans="1:74" x14ac:dyDescent="0.25">
      <c r="A6" s="189" t="s">
        <v>222</v>
      </c>
      <c r="B6" s="189">
        <v>1056252658.6900001</v>
      </c>
      <c r="C6" s="189">
        <v>537203911.55999994</v>
      </c>
      <c r="D6" s="189">
        <v>245110857.33000001</v>
      </c>
      <c r="E6" s="189">
        <v>1271650789.53</v>
      </c>
      <c r="F6" s="189">
        <v>925030795.91999996</v>
      </c>
      <c r="G6" s="189">
        <v>482470937.31</v>
      </c>
      <c r="H6" s="189">
        <v>311400709.55000001</v>
      </c>
      <c r="I6" s="189">
        <v>854825585.61000001</v>
      </c>
      <c r="J6" s="189">
        <v>955871690.34000003</v>
      </c>
      <c r="K6" s="189">
        <v>467033372.94</v>
      </c>
      <c r="L6" s="189">
        <v>297019187.01999998</v>
      </c>
      <c r="M6" s="189">
        <v>692873442.75</v>
      </c>
      <c r="N6" s="189">
        <v>728178857.85000002</v>
      </c>
      <c r="O6" s="189">
        <v>503670787.97000003</v>
      </c>
      <c r="P6" s="189">
        <v>231456971.84</v>
      </c>
      <c r="Q6" s="189">
        <v>938546509.95000005</v>
      </c>
      <c r="R6" s="189">
        <v>855016550.82000005</v>
      </c>
      <c r="S6" s="189">
        <v>576585143.92999995</v>
      </c>
      <c r="T6" s="189">
        <v>379796279.97000003</v>
      </c>
      <c r="U6" s="189">
        <v>1027600435.96</v>
      </c>
      <c r="V6" s="189">
        <v>1023914071.87</v>
      </c>
      <c r="W6" s="189">
        <v>537659163.76999998</v>
      </c>
      <c r="X6" s="189">
        <v>231968383.78</v>
      </c>
      <c r="Y6" s="189">
        <v>838173591.62</v>
      </c>
      <c r="Z6" s="189">
        <v>1580286710.52</v>
      </c>
      <c r="AA6" s="189">
        <v>539663125.47000003</v>
      </c>
      <c r="AB6" s="189">
        <v>299034548.68000001</v>
      </c>
      <c r="AC6" s="189">
        <v>289926526.58999997</v>
      </c>
      <c r="AD6" s="189">
        <v>505846867.27999997</v>
      </c>
      <c r="AE6" s="189">
        <v>334424739.13</v>
      </c>
      <c r="AF6" s="189">
        <v>323689665.74000001</v>
      </c>
      <c r="AG6" s="189">
        <v>252083597.22999999</v>
      </c>
      <c r="AH6" s="189">
        <v>399327083.74000001</v>
      </c>
      <c r="AI6" s="189">
        <v>283420290.94</v>
      </c>
      <c r="AJ6" s="189">
        <v>265635059.28999999</v>
      </c>
      <c r="AK6" s="189">
        <v>257024052.25</v>
      </c>
      <c r="AL6" s="189">
        <v>675262788.99000001</v>
      </c>
      <c r="AM6" s="189">
        <v>185994312.12</v>
      </c>
      <c r="AN6" s="189">
        <v>58462235.700000003</v>
      </c>
      <c r="AO6" s="189">
        <v>161494811.90000001</v>
      </c>
      <c r="AP6" s="189">
        <v>155754415.65000001</v>
      </c>
      <c r="AQ6" s="189">
        <v>88358418.769999996</v>
      </c>
      <c r="AR6" s="189">
        <v>63927624.469999999</v>
      </c>
      <c r="AS6" s="189">
        <v>74197514.549999997</v>
      </c>
      <c r="AT6" s="189">
        <v>88101606.719999999</v>
      </c>
      <c r="AU6" s="189">
        <v>175543802.49000001</v>
      </c>
      <c r="AV6" s="189">
        <v>114133455.56</v>
      </c>
      <c r="AW6" s="189">
        <v>66164474.520000003</v>
      </c>
      <c r="AX6" s="189">
        <v>42581553.170000002</v>
      </c>
      <c r="AY6" s="189">
        <v>19012719.510000002</v>
      </c>
      <c r="AZ6" s="189">
        <v>14464888</v>
      </c>
      <c r="BA6" s="189">
        <v>56494570.979999997</v>
      </c>
      <c r="BB6" s="189">
        <v>401103796.29000002</v>
      </c>
      <c r="BC6" s="189">
        <v>62828541.530000001</v>
      </c>
      <c r="BD6" s="189">
        <v>15687181.65</v>
      </c>
      <c r="BE6" s="189">
        <v>34251992.799999997</v>
      </c>
      <c r="BF6" s="189">
        <v>42057307.479999997</v>
      </c>
      <c r="BG6" s="189">
        <v>29844781.329999998</v>
      </c>
      <c r="BH6" s="189">
        <v>1927215.29</v>
      </c>
      <c r="BI6" s="189">
        <v>47859090.170000002</v>
      </c>
      <c r="BJ6" s="189">
        <v>32960694.73</v>
      </c>
      <c r="BK6" s="189">
        <v>25045953.91</v>
      </c>
      <c r="BL6" s="189">
        <v>18175086.09</v>
      </c>
      <c r="BM6" s="189">
        <v>76771917.450000003</v>
      </c>
      <c r="BN6" s="189">
        <v>62115605.490000002</v>
      </c>
      <c r="BO6" s="189">
        <v>58314135.880000003</v>
      </c>
      <c r="BP6" s="189">
        <v>42510574.990000002</v>
      </c>
      <c r="BQ6" s="189">
        <v>99640595.349999994</v>
      </c>
      <c r="BR6" s="189">
        <v>49538543.380000003</v>
      </c>
      <c r="BS6" s="189">
        <v>58235656.219999999</v>
      </c>
      <c r="BT6" s="189">
        <v>0</v>
      </c>
      <c r="BU6" s="189">
        <v>11277019.84</v>
      </c>
      <c r="BV6" s="189">
        <v>0</v>
      </c>
    </row>
    <row r="7" spans="1:74" x14ac:dyDescent="0.25">
      <c r="A7" s="189" t="s">
        <v>223</v>
      </c>
      <c r="B7" s="189">
        <v>27499459324.02</v>
      </c>
      <c r="C7" s="189">
        <v>17752095996.490002</v>
      </c>
      <c r="D7" s="189">
        <v>10663650880.08</v>
      </c>
      <c r="E7" s="189">
        <v>37075422131.699997</v>
      </c>
      <c r="F7" s="189">
        <v>22907083098.73</v>
      </c>
      <c r="G7" s="189">
        <v>14959932157.540001</v>
      </c>
      <c r="H7" s="189">
        <v>8024272964.04</v>
      </c>
      <c r="I7" s="189">
        <v>33934806753.66</v>
      </c>
      <c r="J7" s="189">
        <v>23835859404.869999</v>
      </c>
      <c r="K7" s="189">
        <v>14111278901.23</v>
      </c>
      <c r="L7" s="189">
        <v>6982922136.7299995</v>
      </c>
      <c r="M7" s="189">
        <v>26792273431.009998</v>
      </c>
      <c r="N7" s="189">
        <v>17856401948.990002</v>
      </c>
      <c r="O7" s="189">
        <v>11784392764.65</v>
      </c>
      <c r="P7" s="189">
        <v>6876542362.2200003</v>
      </c>
      <c r="Q7" s="189">
        <v>21192292433.950001</v>
      </c>
      <c r="R7" s="189">
        <v>12420215247.360001</v>
      </c>
      <c r="S7" s="189">
        <v>7392459188.3599997</v>
      </c>
      <c r="T7" s="189">
        <v>3439150842.6500001</v>
      </c>
      <c r="U7" s="189">
        <v>25964527585.759998</v>
      </c>
      <c r="V7" s="189">
        <v>16751974840</v>
      </c>
      <c r="W7" s="189">
        <v>13933533195.67</v>
      </c>
      <c r="X7" s="189">
        <v>7737758331.6700001</v>
      </c>
      <c r="Y7" s="189">
        <v>33883092334.610001</v>
      </c>
      <c r="Z7" s="189">
        <v>23992988765.02</v>
      </c>
      <c r="AA7" s="189">
        <v>15463746257.959999</v>
      </c>
      <c r="AB7" s="189">
        <v>7855980771.8100004</v>
      </c>
      <c r="AC7" s="189">
        <v>27783940538.470001</v>
      </c>
      <c r="AD7" s="189">
        <v>20161583344.720001</v>
      </c>
      <c r="AE7" s="189">
        <v>15166660722.07</v>
      </c>
      <c r="AF7" s="189">
        <v>7580144971.6000004</v>
      </c>
      <c r="AG7" s="189">
        <v>21199733693.470001</v>
      </c>
      <c r="AH7" s="189">
        <v>15187570557.690001</v>
      </c>
      <c r="AI7" s="189">
        <v>10604241227.459999</v>
      </c>
      <c r="AJ7" s="189">
        <v>6550149641.5100002</v>
      </c>
      <c r="AK7" s="189">
        <v>15404494317.15</v>
      </c>
      <c r="AL7" s="189">
        <v>11360114415.91</v>
      </c>
      <c r="AM7" s="189">
        <v>5961445793.6700001</v>
      </c>
      <c r="AN7" s="189">
        <v>3387173183.4899998</v>
      </c>
      <c r="AO7" s="189">
        <v>9676018282.9200001</v>
      </c>
      <c r="AP7" s="189">
        <v>7893392098.3400002</v>
      </c>
      <c r="AQ7" s="189">
        <v>5670336381.3100004</v>
      </c>
      <c r="AR7" s="189">
        <v>3334294916.0500002</v>
      </c>
      <c r="AS7" s="189">
        <v>9152175800.0200005</v>
      </c>
      <c r="AT7" s="189">
        <v>7570846950.5200005</v>
      </c>
      <c r="AU7" s="189">
        <v>5542064540.9099998</v>
      </c>
      <c r="AV7" s="189">
        <v>3548275908.3200002</v>
      </c>
      <c r="AW7" s="189">
        <v>8374663608.7200003</v>
      </c>
      <c r="AX7" s="189">
        <v>6889052192.5799999</v>
      </c>
      <c r="AY7" s="189">
        <v>5419133843.9700003</v>
      </c>
      <c r="AZ7" s="189">
        <v>3224238452.1100001</v>
      </c>
      <c r="BA7" s="189">
        <v>7711391375.5299997</v>
      </c>
      <c r="BB7" s="189">
        <v>5576050526.3800001</v>
      </c>
      <c r="BC7" s="189">
        <v>3816501705.2399998</v>
      </c>
      <c r="BD7" s="189">
        <v>2635418751.1799998</v>
      </c>
      <c r="BE7" s="189">
        <v>7164507302.71</v>
      </c>
      <c r="BF7" s="189">
        <v>5121848222.4799995</v>
      </c>
      <c r="BG7" s="189">
        <v>3202849754.9899998</v>
      </c>
      <c r="BH7" s="189">
        <v>2558092913.3499999</v>
      </c>
      <c r="BI7" s="189">
        <v>7649779247.2399998</v>
      </c>
      <c r="BJ7" s="189">
        <v>5362395747.8999996</v>
      </c>
      <c r="BK7" s="189">
        <v>3688278033.9299998</v>
      </c>
      <c r="BL7" s="189">
        <v>2185522855.1100001</v>
      </c>
      <c r="BM7" s="189">
        <v>6194524073.25</v>
      </c>
      <c r="BN7" s="189">
        <v>3321586943.5</v>
      </c>
      <c r="BO7" s="189">
        <v>6377853239.29</v>
      </c>
      <c r="BP7" s="189">
        <v>3012873681.8699999</v>
      </c>
      <c r="BQ7" s="189">
        <v>4685478023.3299999</v>
      </c>
      <c r="BR7" s="189">
        <v>3010363196.8400002</v>
      </c>
      <c r="BS7" s="189">
        <v>4521828988.3299999</v>
      </c>
      <c r="BT7" s="189">
        <v>1975983481.0999999</v>
      </c>
      <c r="BU7" s="189">
        <v>3271493400.1500001</v>
      </c>
      <c r="BV7" s="189">
        <v>0</v>
      </c>
    </row>
    <row r="8" spans="1:74" x14ac:dyDescent="0.25">
      <c r="A8" s="189" t="s">
        <v>224</v>
      </c>
      <c r="B8" s="189">
        <v>5630219819.9799995</v>
      </c>
      <c r="C8" s="189">
        <v>4107343273.9499998</v>
      </c>
      <c r="D8" s="189">
        <v>2212969074.6199999</v>
      </c>
      <c r="E8" s="189">
        <v>12623099402.75</v>
      </c>
      <c r="F8" s="189">
        <v>4416529916.9399996</v>
      </c>
      <c r="G8" s="189">
        <v>2954674110.52</v>
      </c>
      <c r="H8" s="189">
        <v>1571495565.8900001</v>
      </c>
      <c r="I8" s="189">
        <v>9565959989.0699997</v>
      </c>
      <c r="J8" s="189">
        <v>3705764934.9099998</v>
      </c>
      <c r="K8" s="189">
        <v>2804626998.2399998</v>
      </c>
      <c r="L8" s="189">
        <v>1827172284.3900001</v>
      </c>
      <c r="M8" s="189">
        <v>8602256449.0400009</v>
      </c>
      <c r="N8" s="189">
        <v>3275567293.9000001</v>
      </c>
      <c r="O8" s="189">
        <v>2513768863.0700002</v>
      </c>
      <c r="P8" s="189">
        <v>1310781376.8399999</v>
      </c>
      <c r="Q8" s="189">
        <v>8040615495.1000004</v>
      </c>
      <c r="R8" s="189">
        <v>3411204955.0100002</v>
      </c>
      <c r="S8" s="189">
        <v>2402816379.3899999</v>
      </c>
      <c r="T8" s="189">
        <v>1463571896.1600001</v>
      </c>
      <c r="U8" s="189">
        <v>9279412931.3799992</v>
      </c>
      <c r="V8" s="189">
        <v>4800617697.54</v>
      </c>
      <c r="W8" s="189">
        <v>4165377197.27</v>
      </c>
      <c r="X8" s="189">
        <v>1847958175.5799999</v>
      </c>
      <c r="Y8" s="189">
        <v>10788665683.209999</v>
      </c>
      <c r="Z8" s="189">
        <v>5916333536.7799997</v>
      </c>
      <c r="AA8" s="189">
        <v>3922537607.77</v>
      </c>
      <c r="AB8" s="189">
        <v>1857139198.75</v>
      </c>
      <c r="AC8" s="189">
        <v>7495207406.2600002</v>
      </c>
      <c r="AD8" s="189">
        <v>4447497638.5699997</v>
      </c>
      <c r="AE8" s="189">
        <v>3728086654.7600002</v>
      </c>
      <c r="AF8" s="189">
        <v>1097321484.8699999</v>
      </c>
      <c r="AG8" s="189">
        <v>5101181751.0200005</v>
      </c>
      <c r="AH8" s="189">
        <v>4325790758.6000004</v>
      </c>
      <c r="AI8" s="189">
        <v>2826768533.5799999</v>
      </c>
      <c r="AJ8" s="189">
        <v>1574718845.46</v>
      </c>
      <c r="AK8" s="189">
        <v>3522042233.6199999</v>
      </c>
      <c r="AL8" s="189">
        <v>1720014463.48</v>
      </c>
      <c r="AM8" s="189">
        <v>1430040145.73</v>
      </c>
      <c r="AN8" s="189">
        <v>727847354.23000002</v>
      </c>
      <c r="AO8" s="189">
        <v>3537850736.1599998</v>
      </c>
      <c r="AP8" s="189">
        <v>2576052977.9200001</v>
      </c>
      <c r="AQ8" s="189">
        <v>2088015197.03</v>
      </c>
      <c r="AR8" s="189">
        <v>929687468.63</v>
      </c>
      <c r="AS8" s="189">
        <v>3186991994.3099999</v>
      </c>
      <c r="AT8" s="189">
        <v>2338654628.4899998</v>
      </c>
      <c r="AU8" s="189">
        <v>1772072328.5999999</v>
      </c>
      <c r="AV8" s="189">
        <v>1284285752.4300001</v>
      </c>
      <c r="AW8" s="189">
        <v>3177920435.0700002</v>
      </c>
      <c r="AX8" s="189">
        <v>2675314361.8200002</v>
      </c>
      <c r="AY8" s="189">
        <v>2097056971.5</v>
      </c>
      <c r="AZ8" s="189">
        <v>1373776255.27</v>
      </c>
      <c r="BA8" s="189">
        <v>3401894303.6300001</v>
      </c>
      <c r="BB8" s="189">
        <v>2339282982.52</v>
      </c>
      <c r="BC8" s="189">
        <v>1581714943.3199999</v>
      </c>
      <c r="BD8" s="189">
        <v>1421426412.23</v>
      </c>
      <c r="BE8" s="189">
        <v>3552113513.7199998</v>
      </c>
      <c r="BF8" s="189">
        <v>2418032423.2199998</v>
      </c>
      <c r="BG8" s="189">
        <v>1345858599.4300001</v>
      </c>
      <c r="BH8" s="189">
        <v>986485069.91999996</v>
      </c>
      <c r="BI8" s="189">
        <v>4046294343.5100002</v>
      </c>
      <c r="BJ8" s="189">
        <v>2937827447.2600002</v>
      </c>
      <c r="BK8" s="189">
        <v>2177238023.3400002</v>
      </c>
      <c r="BL8" s="189">
        <v>1401238482.8399999</v>
      </c>
      <c r="BM8" s="189">
        <v>3043769646.0500002</v>
      </c>
      <c r="BN8" s="189">
        <v>1740738432.3699999</v>
      </c>
      <c r="BO8" s="189">
        <v>3016920513.8699999</v>
      </c>
      <c r="BP8" s="189">
        <v>2051145541.3099999</v>
      </c>
      <c r="BQ8" s="189">
        <v>1649542123.4400001</v>
      </c>
      <c r="BR8" s="189">
        <v>1475355682.55</v>
      </c>
      <c r="BS8" s="189">
        <v>2433955539.0999999</v>
      </c>
      <c r="BT8" s="189">
        <v>803769691.73000002</v>
      </c>
      <c r="BU8" s="189">
        <v>1631733152.6600001</v>
      </c>
      <c r="BV8" s="189">
        <v>0</v>
      </c>
    </row>
    <row r="9" spans="1:74" x14ac:dyDescent="0.25">
      <c r="A9" s="189" t="s">
        <v>225</v>
      </c>
      <c r="B9" s="189">
        <v>3733232035.6900001</v>
      </c>
      <c r="C9" s="189">
        <v>2683558317.4400001</v>
      </c>
      <c r="D9" s="189">
        <v>1285809156.0599999</v>
      </c>
      <c r="E9" s="189">
        <v>3494598459.27</v>
      </c>
      <c r="F9" s="189">
        <v>2664960126.4299998</v>
      </c>
      <c r="G9" s="189">
        <v>1730371896</v>
      </c>
      <c r="H9" s="189">
        <v>1000142663.72</v>
      </c>
      <c r="I9" s="189">
        <v>3198746989.0900002</v>
      </c>
      <c r="J9" s="189">
        <v>2358857410.8699999</v>
      </c>
      <c r="K9" s="189">
        <v>1660122901.8900001</v>
      </c>
      <c r="L9" s="189">
        <v>995029152.65999997</v>
      </c>
      <c r="M9" s="189">
        <v>2874978784.3099999</v>
      </c>
      <c r="N9" s="189">
        <v>2129670825.0699999</v>
      </c>
      <c r="O9" s="189">
        <v>1486277672.98</v>
      </c>
      <c r="P9" s="189">
        <v>827733469.92999995</v>
      </c>
      <c r="Q9" s="189">
        <v>2849896873.71</v>
      </c>
      <c r="R9" s="189">
        <v>1957459191.8399999</v>
      </c>
      <c r="S9" s="189">
        <v>1456678993.5</v>
      </c>
      <c r="T9" s="189">
        <v>840657709.52999997</v>
      </c>
      <c r="U9" s="189">
        <v>2748658533.3600001</v>
      </c>
      <c r="V9" s="189">
        <v>2106734409.1300001</v>
      </c>
      <c r="W9" s="189">
        <v>1540254145.1600001</v>
      </c>
      <c r="X9" s="189">
        <v>917218400.17999995</v>
      </c>
      <c r="Y9" s="189">
        <v>2539978448.1300001</v>
      </c>
      <c r="Z9" s="189">
        <v>1952507680.29</v>
      </c>
      <c r="AA9" s="189">
        <v>1355459366.77</v>
      </c>
      <c r="AB9" s="189">
        <v>784852172.99000001</v>
      </c>
      <c r="AC9" s="189">
        <v>2209763985.9200001</v>
      </c>
      <c r="AD9" s="189">
        <v>1599503135.1500001</v>
      </c>
      <c r="AE9" s="189">
        <v>1103501645.48</v>
      </c>
      <c r="AF9" s="189">
        <v>641523243.63</v>
      </c>
      <c r="AG9" s="189">
        <v>1728275530.49</v>
      </c>
      <c r="AH9" s="189">
        <v>1180635798</v>
      </c>
      <c r="AI9" s="189">
        <v>774395320.47000003</v>
      </c>
      <c r="AJ9" s="189">
        <v>467889233.91000003</v>
      </c>
      <c r="AK9" s="189">
        <v>1127353033.6199999</v>
      </c>
      <c r="AL9" s="189">
        <v>809161568.02999997</v>
      </c>
      <c r="AM9" s="189">
        <v>542063576.39999998</v>
      </c>
      <c r="AN9" s="189">
        <v>240341150.94999999</v>
      </c>
      <c r="AO9" s="189">
        <v>895049489.40999997</v>
      </c>
      <c r="AP9" s="189">
        <v>533371382.69999999</v>
      </c>
      <c r="AQ9" s="189">
        <v>361797959.94999999</v>
      </c>
      <c r="AR9" s="189">
        <v>183690733.47</v>
      </c>
      <c r="AS9" s="189">
        <v>692192269.19000006</v>
      </c>
      <c r="AT9" s="189">
        <v>441617770.32999998</v>
      </c>
      <c r="AU9" s="189">
        <v>315203870.37</v>
      </c>
      <c r="AV9" s="189">
        <v>151419284.94999999</v>
      </c>
      <c r="AW9" s="189">
        <v>454799729.91000003</v>
      </c>
      <c r="AX9" s="189">
        <v>366627838.70999998</v>
      </c>
      <c r="AY9" s="189">
        <v>238290046.19999999</v>
      </c>
      <c r="AZ9" s="189">
        <v>177155770.03</v>
      </c>
      <c r="BA9" s="189">
        <v>394335450.75</v>
      </c>
      <c r="BB9" s="189">
        <v>237515713.68000001</v>
      </c>
      <c r="BC9" s="189">
        <v>144405328.46000001</v>
      </c>
      <c r="BD9" s="189">
        <v>80491465.719999999</v>
      </c>
      <c r="BE9" s="189">
        <v>326198256.17000002</v>
      </c>
      <c r="BF9" s="189">
        <v>254805942.77000001</v>
      </c>
      <c r="BG9" s="189">
        <v>180412266.90000001</v>
      </c>
      <c r="BH9" s="189">
        <v>99637912.870000005</v>
      </c>
      <c r="BI9" s="189">
        <v>313077096.42000002</v>
      </c>
      <c r="BJ9" s="189">
        <v>196078925.19</v>
      </c>
      <c r="BK9" s="189">
        <v>128449800.12</v>
      </c>
      <c r="BL9" s="189">
        <v>67342713.359999999</v>
      </c>
      <c r="BM9" s="189">
        <v>204368272.59999999</v>
      </c>
      <c r="BN9" s="189">
        <v>113574766.59999999</v>
      </c>
      <c r="BO9" s="189">
        <v>217456545.49000001</v>
      </c>
      <c r="BP9" s="189">
        <v>77830024.310000002</v>
      </c>
      <c r="BQ9" s="189">
        <v>122400330.2</v>
      </c>
      <c r="BR9" s="189">
        <v>66239313.93</v>
      </c>
      <c r="BS9" s="189">
        <v>98903039.349999994</v>
      </c>
      <c r="BT9" s="189">
        <v>45109648.340000004</v>
      </c>
      <c r="BU9" s="189">
        <v>97413638.549999997</v>
      </c>
      <c r="BV9" s="189">
        <v>0</v>
      </c>
    </row>
    <row r="10" spans="1:74" x14ac:dyDescent="0.25">
      <c r="A10" s="189" t="s">
        <v>226</v>
      </c>
      <c r="B10" s="189">
        <v>12154156688.99</v>
      </c>
      <c r="C10" s="189">
        <v>8826830083.1399994</v>
      </c>
      <c r="D10" s="189">
        <v>4111252308.5700002</v>
      </c>
      <c r="E10" s="189">
        <v>9102235873.4699993</v>
      </c>
      <c r="F10" s="189">
        <v>7814824936.8699999</v>
      </c>
      <c r="G10" s="189">
        <v>5843190466.6899996</v>
      </c>
      <c r="H10" s="189">
        <v>2861340911.1999998</v>
      </c>
      <c r="I10" s="189">
        <v>7276097905.8999996</v>
      </c>
      <c r="J10" s="189">
        <v>5446477487.3400002</v>
      </c>
      <c r="K10" s="189">
        <v>4172326226.1100001</v>
      </c>
      <c r="L10" s="189">
        <v>2793153484.1300001</v>
      </c>
      <c r="M10" s="189">
        <v>6660468211.8599997</v>
      </c>
      <c r="N10" s="189">
        <v>5074558315.6400003</v>
      </c>
      <c r="O10" s="189">
        <v>3584299373.8200002</v>
      </c>
      <c r="P10" s="189">
        <v>2332702515.6599998</v>
      </c>
      <c r="Q10" s="189">
        <v>7273342171.7600002</v>
      </c>
      <c r="R10" s="189">
        <v>5882388695.9200001</v>
      </c>
      <c r="S10" s="189">
        <v>4193417867.96</v>
      </c>
      <c r="T10" s="189">
        <v>2712904945.7199998</v>
      </c>
      <c r="U10" s="189">
        <v>8864027684.5699997</v>
      </c>
      <c r="V10" s="189">
        <v>7191947386.8000002</v>
      </c>
      <c r="W10" s="189">
        <v>5268837187.5699997</v>
      </c>
      <c r="X10" s="189">
        <v>3067936654.73</v>
      </c>
      <c r="Y10" s="189">
        <v>9072901623.7800007</v>
      </c>
      <c r="Z10" s="189">
        <v>6858259965.6199999</v>
      </c>
      <c r="AA10" s="189">
        <v>4956585551.5600004</v>
      </c>
      <c r="AB10" s="189">
        <v>2826509808.6199999</v>
      </c>
      <c r="AC10" s="189">
        <v>5860930835.0500002</v>
      </c>
      <c r="AD10" s="189">
        <v>5147892996.6199999</v>
      </c>
      <c r="AE10" s="189">
        <v>3448590507.4200001</v>
      </c>
      <c r="AF10" s="189">
        <v>2234923817.46</v>
      </c>
      <c r="AG10" s="189">
        <v>4414637565.8100004</v>
      </c>
      <c r="AH10" s="189">
        <v>3792736958.5</v>
      </c>
      <c r="AI10" s="189">
        <v>2875567465.6799998</v>
      </c>
      <c r="AJ10" s="189">
        <v>1686890448.8800001</v>
      </c>
      <c r="AK10" s="189">
        <v>3165458270.1100001</v>
      </c>
      <c r="AL10" s="189">
        <v>2403575335.3800001</v>
      </c>
      <c r="AM10" s="189">
        <v>1614090861.6800001</v>
      </c>
      <c r="AN10" s="189">
        <v>812596078.34000003</v>
      </c>
      <c r="AO10" s="189">
        <v>2155455747.6300001</v>
      </c>
      <c r="AP10" s="189">
        <v>1755768802.24</v>
      </c>
      <c r="AQ10" s="189">
        <v>1293470847.5</v>
      </c>
      <c r="AR10" s="189">
        <v>748414407.60000002</v>
      </c>
      <c r="AS10" s="189">
        <v>2551496896.7800002</v>
      </c>
      <c r="AT10" s="189">
        <v>1861857842.78</v>
      </c>
      <c r="AU10" s="189">
        <v>1318385062.2</v>
      </c>
      <c r="AV10" s="189">
        <v>722985175.14999998</v>
      </c>
      <c r="AW10" s="189">
        <v>2219507758.8899999</v>
      </c>
      <c r="AX10" s="189">
        <v>1776105214.1500001</v>
      </c>
      <c r="AY10" s="189">
        <v>1471201294.98</v>
      </c>
      <c r="AZ10" s="189">
        <v>440002895.37</v>
      </c>
      <c r="BA10" s="189">
        <v>1633381762.28</v>
      </c>
      <c r="BB10" s="189">
        <v>1223280246.52</v>
      </c>
      <c r="BC10" s="189">
        <v>748545955.55999994</v>
      </c>
      <c r="BD10" s="189">
        <v>351699322.35000002</v>
      </c>
      <c r="BE10" s="189">
        <v>1398943969.1199999</v>
      </c>
      <c r="BF10" s="189">
        <v>981124802.91999996</v>
      </c>
      <c r="BG10" s="189">
        <v>629073894.77999997</v>
      </c>
      <c r="BH10" s="189">
        <v>313680056.11000001</v>
      </c>
      <c r="BI10" s="189">
        <v>1251349424.0799999</v>
      </c>
      <c r="BJ10" s="189">
        <v>978083130.64999998</v>
      </c>
      <c r="BK10" s="189">
        <v>695200861.11000001</v>
      </c>
      <c r="BL10" s="189">
        <v>320771664.79000002</v>
      </c>
      <c r="BM10" s="189">
        <v>1241805381.04</v>
      </c>
      <c r="BN10" s="189">
        <v>587624578.25</v>
      </c>
      <c r="BO10" s="189">
        <v>1007765568.33</v>
      </c>
      <c r="BP10" s="189">
        <v>448828084.33999997</v>
      </c>
      <c r="BQ10" s="189">
        <v>1127727669.1900001</v>
      </c>
      <c r="BR10" s="189">
        <v>585631833.66999996</v>
      </c>
      <c r="BS10" s="189">
        <v>598548348.32000005</v>
      </c>
      <c r="BT10" s="189">
        <v>404518929.93000001</v>
      </c>
      <c r="BU10" s="189">
        <v>661802689.01999998</v>
      </c>
      <c r="BV10" s="189">
        <v>0</v>
      </c>
    </row>
    <row r="11" spans="1:74" x14ac:dyDescent="0.25">
      <c r="A11" s="189" t="s">
        <v>227</v>
      </c>
      <c r="B11" s="189">
        <v>2104980744.9100001</v>
      </c>
      <c r="C11" s="189">
        <v>1537717304.22</v>
      </c>
      <c r="D11" s="189">
        <v>655591797.13999999</v>
      </c>
      <c r="E11" s="189">
        <v>2089312573.55</v>
      </c>
      <c r="F11" s="189">
        <v>1917602720.8499999</v>
      </c>
      <c r="G11" s="189">
        <v>1267003986.78</v>
      </c>
      <c r="H11" s="189">
        <v>747681155.97000003</v>
      </c>
      <c r="I11" s="189">
        <v>2197241300.3899999</v>
      </c>
      <c r="J11" s="189">
        <v>1762369278.04</v>
      </c>
      <c r="K11" s="189">
        <v>1162960545.4100001</v>
      </c>
      <c r="L11" s="189">
        <v>608050271.39999998</v>
      </c>
      <c r="M11" s="189">
        <v>1963501536.02</v>
      </c>
      <c r="N11" s="189">
        <v>1666834849.1800001</v>
      </c>
      <c r="O11" s="189">
        <v>1083432347.49</v>
      </c>
      <c r="P11" s="189">
        <v>472902115.07999998</v>
      </c>
      <c r="Q11" s="189">
        <v>2233872248.04</v>
      </c>
      <c r="R11" s="189">
        <v>1923053837.26</v>
      </c>
      <c r="S11" s="189">
        <v>1166360353.9100001</v>
      </c>
      <c r="T11" s="189">
        <v>623741769.88</v>
      </c>
      <c r="U11" s="189">
        <v>3613517679.5700002</v>
      </c>
      <c r="V11" s="189">
        <v>2338696388.8299999</v>
      </c>
      <c r="W11" s="189">
        <v>1461277583.4300001</v>
      </c>
      <c r="X11" s="189">
        <v>767933224.99000001</v>
      </c>
      <c r="Y11" s="189">
        <v>2731879495.0100002</v>
      </c>
      <c r="Z11" s="189">
        <v>2717658391.1399999</v>
      </c>
      <c r="AA11" s="189">
        <v>1281559132.77</v>
      </c>
      <c r="AB11" s="189">
        <v>705835809.73000002</v>
      </c>
      <c r="AC11" s="189">
        <v>2685015386.8299999</v>
      </c>
      <c r="AD11" s="189">
        <v>2194749622.1900001</v>
      </c>
      <c r="AE11" s="189">
        <v>1476675744.8699999</v>
      </c>
      <c r="AF11" s="189">
        <v>1241473108.24</v>
      </c>
      <c r="AG11" s="189">
        <v>2252518560.8899999</v>
      </c>
      <c r="AH11" s="189">
        <v>1097617339.8099999</v>
      </c>
      <c r="AI11" s="189">
        <v>988849756.85000002</v>
      </c>
      <c r="AJ11" s="189">
        <v>682026597.40999997</v>
      </c>
      <c r="AK11" s="189">
        <v>1535631116.8</v>
      </c>
      <c r="AL11" s="189">
        <v>1582122191.22</v>
      </c>
      <c r="AM11" s="189">
        <v>491899583.85000002</v>
      </c>
      <c r="AN11" s="189">
        <v>378910720.45999998</v>
      </c>
      <c r="AO11" s="189">
        <v>1115025758.9100001</v>
      </c>
      <c r="AP11" s="189">
        <v>1171062585.8499999</v>
      </c>
      <c r="AQ11" s="189">
        <v>730260164.23000002</v>
      </c>
      <c r="AR11" s="189">
        <v>300555938.24000001</v>
      </c>
      <c r="AS11" s="189">
        <v>1055948696.03</v>
      </c>
      <c r="AT11" s="189">
        <v>838870691.03999996</v>
      </c>
      <c r="AU11" s="189">
        <v>536515197.93000001</v>
      </c>
      <c r="AV11" s="189">
        <v>333787415.72000003</v>
      </c>
      <c r="AW11" s="189">
        <v>1186165317.4000001</v>
      </c>
      <c r="AX11" s="189">
        <v>878596504.5</v>
      </c>
      <c r="AY11" s="189">
        <v>722662290.14999998</v>
      </c>
      <c r="AZ11" s="189">
        <v>444876365.61000001</v>
      </c>
      <c r="BA11" s="189">
        <v>1029062190.78</v>
      </c>
      <c r="BB11" s="189">
        <v>968030584.26999998</v>
      </c>
      <c r="BC11" s="189">
        <v>628545945.23000002</v>
      </c>
      <c r="BD11" s="189">
        <v>370991670.67000002</v>
      </c>
      <c r="BE11" s="189">
        <v>1065558169.4</v>
      </c>
      <c r="BF11" s="189">
        <v>621913030.12</v>
      </c>
      <c r="BG11" s="189">
        <v>374049614.11000001</v>
      </c>
      <c r="BH11" s="189">
        <v>198810398.03</v>
      </c>
      <c r="BI11" s="189">
        <v>994399139.83000004</v>
      </c>
      <c r="BJ11" s="189">
        <v>453926469.13</v>
      </c>
      <c r="BK11" s="189">
        <v>363245838.99000001</v>
      </c>
      <c r="BL11" s="189">
        <v>162638167.40000001</v>
      </c>
      <c r="BM11" s="189">
        <v>651290055.63999999</v>
      </c>
      <c r="BN11" s="189">
        <v>366017589.88</v>
      </c>
      <c r="BO11" s="189">
        <v>1062522669.77</v>
      </c>
      <c r="BP11" s="189">
        <v>175228172.59</v>
      </c>
      <c r="BQ11" s="189">
        <v>490812117.23000002</v>
      </c>
      <c r="BR11" s="189">
        <v>355966902.97000003</v>
      </c>
      <c r="BS11" s="189">
        <v>491975165.87</v>
      </c>
      <c r="BT11" s="189">
        <v>286306337.82999998</v>
      </c>
      <c r="BU11" s="189">
        <v>521538460.88</v>
      </c>
      <c r="BV11" s="189">
        <v>0</v>
      </c>
    </row>
    <row r="12" spans="1:74" x14ac:dyDescent="0.25">
      <c r="A12" s="189" t="s">
        <v>228</v>
      </c>
      <c r="B12" s="189">
        <v>23622589289.57</v>
      </c>
      <c r="C12" s="189">
        <v>17155448978.75</v>
      </c>
      <c r="D12" s="189">
        <v>8265622336.3900003</v>
      </c>
      <c r="E12" s="189">
        <v>27309246309.040001</v>
      </c>
      <c r="F12" s="189">
        <v>16813917701.09</v>
      </c>
      <c r="G12" s="189">
        <v>11795240459.99</v>
      </c>
      <c r="H12" s="189">
        <v>6180660296.7799997</v>
      </c>
      <c r="I12" s="189">
        <v>22238046184.450001</v>
      </c>
      <c r="J12" s="189">
        <v>13273469111.16</v>
      </c>
      <c r="K12" s="189">
        <v>9800036671.6499996</v>
      </c>
      <c r="L12" s="189">
        <v>6223405192.5799999</v>
      </c>
      <c r="M12" s="189">
        <v>20101204981.23</v>
      </c>
      <c r="N12" s="189">
        <v>12146631283.790001</v>
      </c>
      <c r="O12" s="189">
        <v>8667778257.3600006</v>
      </c>
      <c r="P12" s="189">
        <v>4944119477.5100002</v>
      </c>
      <c r="Q12" s="189">
        <v>20397726788.610001</v>
      </c>
      <c r="R12" s="189">
        <v>13174106680.030001</v>
      </c>
      <c r="S12" s="189">
        <v>9219273594.7600002</v>
      </c>
      <c r="T12" s="189">
        <v>5640876321.29</v>
      </c>
      <c r="U12" s="189">
        <v>24505616828.880001</v>
      </c>
      <c r="V12" s="189">
        <v>16437995882.299999</v>
      </c>
      <c r="W12" s="189">
        <v>12435746113.43</v>
      </c>
      <c r="X12" s="189">
        <v>6601046455.4799995</v>
      </c>
      <c r="Y12" s="189">
        <v>25133425250.130001</v>
      </c>
      <c r="Z12" s="189">
        <v>17444759573.830002</v>
      </c>
      <c r="AA12" s="189">
        <v>11516141658.870001</v>
      </c>
      <c r="AB12" s="189">
        <v>6174336990.0900002</v>
      </c>
      <c r="AC12" s="189">
        <v>18250917614.060001</v>
      </c>
      <c r="AD12" s="189">
        <v>13389643392.530001</v>
      </c>
      <c r="AE12" s="189">
        <v>9756854552.5300007</v>
      </c>
      <c r="AF12" s="189">
        <v>5215241654.1999998</v>
      </c>
      <c r="AG12" s="189">
        <v>13496613408.209999</v>
      </c>
      <c r="AH12" s="189">
        <v>10396780854.91</v>
      </c>
      <c r="AI12" s="189">
        <v>7465581076.5799999</v>
      </c>
      <c r="AJ12" s="189">
        <v>4411525125.6599998</v>
      </c>
      <c r="AK12" s="189">
        <v>9350484654.1499996</v>
      </c>
      <c r="AL12" s="189">
        <v>6514873558.1099997</v>
      </c>
      <c r="AM12" s="189">
        <v>4078094167.6599998</v>
      </c>
      <c r="AN12" s="189">
        <v>2159695303.98</v>
      </c>
      <c r="AO12" s="189">
        <v>7703381732.1099997</v>
      </c>
      <c r="AP12" s="189">
        <v>6036255748.71</v>
      </c>
      <c r="AQ12" s="189">
        <v>4473544168.71</v>
      </c>
      <c r="AR12" s="189">
        <v>2162348547.9400001</v>
      </c>
      <c r="AS12" s="189">
        <v>7486629856.3100004</v>
      </c>
      <c r="AT12" s="189">
        <v>5481000932.6400003</v>
      </c>
      <c r="AU12" s="189">
        <v>3942176459.0999999</v>
      </c>
      <c r="AV12" s="189">
        <v>2492477628.25</v>
      </c>
      <c r="AW12" s="189">
        <v>7038393241.2700005</v>
      </c>
      <c r="AX12" s="189">
        <v>5696643919.1800003</v>
      </c>
      <c r="AY12" s="189">
        <v>4529210602.8299999</v>
      </c>
      <c r="AZ12" s="189">
        <v>2435811286.2800002</v>
      </c>
      <c r="BA12" s="189">
        <v>6458673707.4399996</v>
      </c>
      <c r="BB12" s="189">
        <v>4768109526.9899998</v>
      </c>
      <c r="BC12" s="189">
        <v>3103212172.5700002</v>
      </c>
      <c r="BD12" s="189">
        <v>2224608870.9699998</v>
      </c>
      <c r="BE12" s="189">
        <v>6342813908.4099998</v>
      </c>
      <c r="BF12" s="189">
        <v>4275876199.0300002</v>
      </c>
      <c r="BG12" s="189">
        <v>2529394375.2199998</v>
      </c>
      <c r="BH12" s="189">
        <v>1598613436.9300001</v>
      </c>
      <c r="BI12" s="189">
        <v>6605120003.8400002</v>
      </c>
      <c r="BJ12" s="189">
        <v>4565915972.2299995</v>
      </c>
      <c r="BK12" s="189">
        <v>3364134523.5599999</v>
      </c>
      <c r="BL12" s="189">
        <v>1951991028.3900001</v>
      </c>
      <c r="BM12" s="189">
        <v>5141233355.3299999</v>
      </c>
      <c r="BN12" s="189">
        <v>2807955367.0999999</v>
      </c>
      <c r="BO12" s="189">
        <v>5304665297.46</v>
      </c>
      <c r="BP12" s="189">
        <v>2753031822.5500002</v>
      </c>
      <c r="BQ12" s="189">
        <v>3390482240.0599999</v>
      </c>
      <c r="BR12" s="189">
        <v>2483193733.1199999</v>
      </c>
      <c r="BS12" s="189">
        <v>3623382092.6399999</v>
      </c>
      <c r="BT12" s="189">
        <v>1539704607.8299999</v>
      </c>
      <c r="BU12" s="189">
        <v>2912487941.1100001</v>
      </c>
      <c r="BV12" s="189">
        <v>0</v>
      </c>
    </row>
    <row r="13" spans="1:74" x14ac:dyDescent="0.25">
      <c r="A13" s="189" t="s">
        <v>229</v>
      </c>
      <c r="B13" s="189">
        <v>3876870034.4499998</v>
      </c>
      <c r="C13" s="189">
        <v>596647017.74000001</v>
      </c>
      <c r="D13" s="189">
        <v>2398028543.6900001</v>
      </c>
      <c r="E13" s="189">
        <v>9766175822.6599998</v>
      </c>
      <c r="F13" s="189">
        <v>6093165397.6400003</v>
      </c>
      <c r="G13" s="189">
        <v>3164691697.5500002</v>
      </c>
      <c r="H13" s="189">
        <v>1843612667.26</v>
      </c>
      <c r="I13" s="189">
        <v>11696760569.209999</v>
      </c>
      <c r="J13" s="189">
        <v>10562390293.709999</v>
      </c>
      <c r="K13" s="189">
        <v>4311242229.5799999</v>
      </c>
      <c r="L13" s="189">
        <v>759516944.14999998</v>
      </c>
      <c r="M13" s="189">
        <v>6691068449.7799997</v>
      </c>
      <c r="N13" s="189">
        <v>5709770665.1999998</v>
      </c>
      <c r="O13" s="189">
        <v>3116614507.29</v>
      </c>
      <c r="P13" s="189">
        <v>1932422884.71</v>
      </c>
      <c r="Q13" s="189">
        <v>794565645.34000003</v>
      </c>
      <c r="R13" s="189">
        <v>-753891432.66999996</v>
      </c>
      <c r="S13" s="189">
        <v>-1826814406.4000001</v>
      </c>
      <c r="T13" s="189">
        <v>-2201725478.6399999</v>
      </c>
      <c r="U13" s="189">
        <v>1458910756.8800001</v>
      </c>
      <c r="V13" s="189">
        <v>313978957.69999999</v>
      </c>
      <c r="W13" s="189">
        <v>1497787082.24</v>
      </c>
      <c r="X13" s="189">
        <v>1136711876.1900001</v>
      </c>
      <c r="Y13" s="189">
        <v>8749667084.4799995</v>
      </c>
      <c r="Z13" s="189">
        <v>6548229191.1899996</v>
      </c>
      <c r="AA13" s="189">
        <v>3947604599.0900002</v>
      </c>
      <c r="AB13" s="189">
        <v>1681643781.72</v>
      </c>
      <c r="AC13" s="189">
        <v>9533022924.4099998</v>
      </c>
      <c r="AD13" s="189">
        <v>6771939952.1899996</v>
      </c>
      <c r="AE13" s="189">
        <v>5409806169.54</v>
      </c>
      <c r="AF13" s="189">
        <v>2364903317.4000001</v>
      </c>
      <c r="AG13" s="189">
        <v>7703120285.2600002</v>
      </c>
      <c r="AH13" s="189">
        <v>4790789702.7799997</v>
      </c>
      <c r="AI13" s="189">
        <v>3138660150.8800001</v>
      </c>
      <c r="AJ13" s="189">
        <v>2138624515.8499999</v>
      </c>
      <c r="AK13" s="189">
        <v>6054009663</v>
      </c>
      <c r="AL13" s="189">
        <v>4845240857.8000002</v>
      </c>
      <c r="AM13" s="189">
        <v>1883351626.01</v>
      </c>
      <c r="AN13" s="189">
        <v>1227477879.51</v>
      </c>
      <c r="AO13" s="189">
        <v>1972636550.8099999</v>
      </c>
      <c r="AP13" s="189">
        <v>1857136349.6300001</v>
      </c>
      <c r="AQ13" s="189">
        <v>1196792212.5999999</v>
      </c>
      <c r="AR13" s="189">
        <v>1171946368.1099999</v>
      </c>
      <c r="AS13" s="189">
        <v>1665545943.71</v>
      </c>
      <c r="AT13" s="189">
        <v>2089846017.8800001</v>
      </c>
      <c r="AU13" s="189">
        <v>1599888081.8099999</v>
      </c>
      <c r="AV13" s="189">
        <v>1055798280.0700001</v>
      </c>
      <c r="AW13" s="189">
        <v>1336270367.45</v>
      </c>
      <c r="AX13" s="189">
        <v>1192408273.4000001</v>
      </c>
      <c r="AY13" s="189">
        <v>889923241.13999999</v>
      </c>
      <c r="AZ13" s="189">
        <v>788427165.83000004</v>
      </c>
      <c r="BA13" s="189">
        <v>1252717668.0899999</v>
      </c>
      <c r="BB13" s="189">
        <v>807940999.38999999</v>
      </c>
      <c r="BC13" s="189">
        <v>713289532.66999996</v>
      </c>
      <c r="BD13" s="189">
        <v>410809880.20999998</v>
      </c>
      <c r="BE13" s="189">
        <v>821693394.29999995</v>
      </c>
      <c r="BF13" s="189">
        <v>845972023.45000005</v>
      </c>
      <c r="BG13" s="189">
        <v>673455379.76999998</v>
      </c>
      <c r="BH13" s="189">
        <v>959479476.41999996</v>
      </c>
      <c r="BI13" s="189">
        <v>1044659243.4</v>
      </c>
      <c r="BJ13" s="189">
        <v>796479775.66999996</v>
      </c>
      <c r="BK13" s="189">
        <v>324143510.37</v>
      </c>
      <c r="BL13" s="189">
        <v>233531826.72</v>
      </c>
      <c r="BM13" s="189">
        <v>1053290717.92</v>
      </c>
      <c r="BN13" s="189">
        <v>513631576.39999998</v>
      </c>
      <c r="BO13" s="189">
        <v>1073187941.83</v>
      </c>
      <c r="BP13" s="189">
        <v>259841859.31999999</v>
      </c>
      <c r="BQ13" s="189">
        <v>1294995783.27</v>
      </c>
      <c r="BR13" s="189">
        <v>527169463.72000003</v>
      </c>
      <c r="BS13" s="189">
        <v>898446895.69000006</v>
      </c>
      <c r="BT13" s="189">
        <v>436278873.26999998</v>
      </c>
      <c r="BU13" s="189">
        <v>359005459.04000002</v>
      </c>
      <c r="BV13" s="189">
        <v>0</v>
      </c>
    </row>
    <row r="14" spans="1:74" x14ac:dyDescent="0.25">
      <c r="A14" s="189" t="s">
        <v>230</v>
      </c>
    </row>
    <row r="15" spans="1:74" x14ac:dyDescent="0.25">
      <c r="A15" s="189" t="s">
        <v>231</v>
      </c>
      <c r="B15" s="189">
        <v>0</v>
      </c>
      <c r="C15" s="189">
        <v>0</v>
      </c>
      <c r="D15" s="189">
        <v>0</v>
      </c>
      <c r="E15" s="189">
        <v>0</v>
      </c>
      <c r="F15" s="189">
        <v>0</v>
      </c>
      <c r="G15" s="189">
        <v>0</v>
      </c>
      <c r="H15" s="189">
        <v>0</v>
      </c>
      <c r="I15" s="189">
        <v>107813538</v>
      </c>
      <c r="J15" s="189">
        <v>76100000</v>
      </c>
      <c r="K15" s="189">
        <v>67000000</v>
      </c>
      <c r="L15" s="189">
        <v>0</v>
      </c>
      <c r="M15" s="189">
        <v>0</v>
      </c>
      <c r="N15" s="189">
        <v>0</v>
      </c>
      <c r="O15" s="189">
        <v>0</v>
      </c>
      <c r="P15" s="189">
        <v>0</v>
      </c>
      <c r="Q15" s="189">
        <v>0</v>
      </c>
      <c r="R15" s="189">
        <v>0</v>
      </c>
      <c r="S15" s="189">
        <v>0</v>
      </c>
      <c r="T15" s="189">
        <v>0</v>
      </c>
      <c r="U15" s="189">
        <v>13338250.199999999</v>
      </c>
      <c r="V15" s="189">
        <v>13338250.199999999</v>
      </c>
      <c r="W15" s="189">
        <v>13338250.199999999</v>
      </c>
      <c r="X15" s="189">
        <v>0</v>
      </c>
      <c r="Y15" s="189">
        <v>10000000</v>
      </c>
      <c r="Z15" s="189">
        <v>10042500</v>
      </c>
      <c r="AA15" s="189">
        <v>10042500</v>
      </c>
      <c r="AB15" s="189">
        <v>10042500</v>
      </c>
      <c r="AC15" s="189">
        <v>0</v>
      </c>
      <c r="AD15" s="189">
        <v>2110860</v>
      </c>
      <c r="AE15" s="189">
        <v>1843200</v>
      </c>
      <c r="AF15" s="189">
        <v>623600</v>
      </c>
      <c r="AG15" s="189">
        <v>0</v>
      </c>
      <c r="AH15" s="189">
        <v>2274195</v>
      </c>
      <c r="AI15" s="189">
        <v>1951530</v>
      </c>
      <c r="AJ15" s="189">
        <v>1191240</v>
      </c>
      <c r="AK15" s="189">
        <v>0</v>
      </c>
      <c r="AL15" s="189">
        <v>262407.36</v>
      </c>
      <c r="AM15" s="189">
        <v>0</v>
      </c>
      <c r="AN15" s="189">
        <v>0</v>
      </c>
      <c r="AO15" s="189">
        <v>0</v>
      </c>
      <c r="AP15" s="189">
        <v>0</v>
      </c>
      <c r="AQ15" s="189">
        <v>0</v>
      </c>
      <c r="AR15" s="189">
        <v>0</v>
      </c>
      <c r="AS15" s="189">
        <v>603890</v>
      </c>
      <c r="AT15" s="189">
        <v>3309251.38</v>
      </c>
      <c r="AU15" s="189">
        <v>3238466.38</v>
      </c>
      <c r="AV15" s="189">
        <v>603890</v>
      </c>
      <c r="AW15" s="189">
        <v>51060619.399999999</v>
      </c>
      <c r="AX15" s="189">
        <v>6586928.1699999999</v>
      </c>
      <c r="AY15" s="189">
        <v>5107374.3499999996</v>
      </c>
      <c r="AZ15" s="189">
        <v>100000</v>
      </c>
      <c r="BA15" s="189">
        <v>6680</v>
      </c>
      <c r="BB15" s="189">
        <v>0</v>
      </c>
      <c r="BC15" s="189">
        <v>0</v>
      </c>
      <c r="BD15" s="189">
        <v>0</v>
      </c>
      <c r="BE15" s="189">
        <v>1520850</v>
      </c>
      <c r="BF15" s="189">
        <v>1520850</v>
      </c>
      <c r="BG15" s="189">
        <v>1520850</v>
      </c>
      <c r="BH15" s="189">
        <v>1508200</v>
      </c>
      <c r="BI15" s="189">
        <v>4172322.31</v>
      </c>
      <c r="BJ15" s="189">
        <v>27377971.170000002</v>
      </c>
      <c r="BK15" s="189">
        <v>26308143.780000001</v>
      </c>
      <c r="BL15" s="189">
        <v>6908625.8499999996</v>
      </c>
      <c r="BM15" s="189">
        <v>16056985.48</v>
      </c>
      <c r="BN15" s="189">
        <v>18909490.82</v>
      </c>
      <c r="BO15" s="189">
        <v>0</v>
      </c>
      <c r="BP15" s="189">
        <v>1501401</v>
      </c>
      <c r="BQ15" s="189">
        <v>4886949.13</v>
      </c>
      <c r="BR15" s="189">
        <v>0</v>
      </c>
      <c r="BS15" s="189">
        <v>0</v>
      </c>
      <c r="BT15" s="189">
        <v>0</v>
      </c>
      <c r="BU15" s="189">
        <v>0</v>
      </c>
      <c r="BV15" s="189">
        <v>0</v>
      </c>
    </row>
    <row r="16" spans="1:74" x14ac:dyDescent="0.25">
      <c r="A16" s="189" t="s">
        <v>232</v>
      </c>
      <c r="B16" s="189">
        <v>36000000</v>
      </c>
      <c r="C16" s="189">
        <v>0</v>
      </c>
      <c r="D16" s="189">
        <v>0</v>
      </c>
      <c r="E16" s="189">
        <v>0</v>
      </c>
      <c r="F16" s="189">
        <v>0</v>
      </c>
      <c r="G16" s="189">
        <v>0</v>
      </c>
      <c r="H16" s="189">
        <v>0</v>
      </c>
      <c r="I16" s="189">
        <v>36000000</v>
      </c>
      <c r="J16" s="189">
        <v>36000000</v>
      </c>
      <c r="K16" s="189">
        <v>36000000</v>
      </c>
      <c r="L16" s="189">
        <v>36000000</v>
      </c>
      <c r="M16" s="189">
        <v>0</v>
      </c>
      <c r="N16" s="189">
        <v>0</v>
      </c>
      <c r="O16" s="189">
        <v>0</v>
      </c>
      <c r="P16" s="189">
        <v>0</v>
      </c>
      <c r="Q16" s="189">
        <v>0</v>
      </c>
      <c r="R16" s="189">
        <v>0</v>
      </c>
      <c r="S16" s="189">
        <v>0</v>
      </c>
      <c r="T16" s="189">
        <v>0</v>
      </c>
      <c r="U16" s="189">
        <v>3732421.22</v>
      </c>
      <c r="V16" s="189">
        <v>3732421.22</v>
      </c>
      <c r="W16" s="189">
        <v>3732421.22</v>
      </c>
      <c r="X16" s="189">
        <v>0</v>
      </c>
      <c r="Y16" s="189">
        <v>3403970.22</v>
      </c>
      <c r="Z16" s="189">
        <v>3403970.22</v>
      </c>
      <c r="AA16" s="189">
        <v>3336671.82</v>
      </c>
      <c r="AB16" s="189">
        <v>2890208.46</v>
      </c>
      <c r="AC16" s="189">
        <v>289920.28000000003</v>
      </c>
      <c r="AD16" s="189">
        <v>285035.2</v>
      </c>
      <c r="AE16" s="189">
        <v>133008.76</v>
      </c>
      <c r="AF16" s="189">
        <v>9936.35</v>
      </c>
      <c r="AG16" s="189">
        <v>832123.57</v>
      </c>
      <c r="AH16" s="189">
        <v>676439.99</v>
      </c>
      <c r="AI16" s="189">
        <v>323694.87</v>
      </c>
      <c r="AJ16" s="189">
        <v>126698.54</v>
      </c>
      <c r="AK16" s="189">
        <v>495807.44</v>
      </c>
      <c r="AL16" s="189">
        <v>32928.99</v>
      </c>
      <c r="AM16" s="189">
        <v>0</v>
      </c>
      <c r="AN16" s="189">
        <v>0</v>
      </c>
      <c r="AO16" s="189">
        <v>500000</v>
      </c>
      <c r="AP16" s="189">
        <v>500000</v>
      </c>
      <c r="AQ16" s="189">
        <v>500000</v>
      </c>
      <c r="AR16" s="189">
        <v>0</v>
      </c>
      <c r="AS16" s="189">
        <v>3386562.46</v>
      </c>
      <c r="AT16" s="189">
        <v>2679736.08</v>
      </c>
      <c r="AU16" s="189">
        <v>2226385.59</v>
      </c>
      <c r="AV16" s="189">
        <v>665864.48</v>
      </c>
      <c r="AW16" s="189">
        <v>3350806.76</v>
      </c>
      <c r="AX16" s="189">
        <v>501493.36</v>
      </c>
      <c r="AY16" s="189">
        <v>160540</v>
      </c>
      <c r="AZ16" s="189">
        <v>0</v>
      </c>
      <c r="BA16" s="189">
        <v>4714.13</v>
      </c>
      <c r="BB16" s="189">
        <v>3424.9</v>
      </c>
      <c r="BC16" s="189">
        <v>896</v>
      </c>
      <c r="BD16" s="189">
        <v>0</v>
      </c>
      <c r="BE16" s="189">
        <v>1034601.53</v>
      </c>
      <c r="BF16" s="189">
        <v>1034601.53</v>
      </c>
      <c r="BG16" s="189">
        <v>1034601.53</v>
      </c>
      <c r="BH16" s="189">
        <v>1026367.48</v>
      </c>
      <c r="BI16" s="189">
        <v>0</v>
      </c>
      <c r="BJ16" s="189">
        <v>6642944.0700000003</v>
      </c>
      <c r="BK16" s="189">
        <v>0</v>
      </c>
      <c r="BL16" s="189">
        <v>0</v>
      </c>
      <c r="BM16" s="189">
        <v>0</v>
      </c>
      <c r="BN16" s="189">
        <v>1511721.55</v>
      </c>
      <c r="BO16" s="189">
        <v>15284415.369999999</v>
      </c>
      <c r="BP16" s="189">
        <v>9916309.1799999997</v>
      </c>
      <c r="BQ16" s="189">
        <v>2373601.7000000002</v>
      </c>
      <c r="BR16" s="189">
        <v>0</v>
      </c>
      <c r="BS16" s="189">
        <v>0</v>
      </c>
      <c r="BT16" s="189">
        <v>0</v>
      </c>
      <c r="BU16" s="189">
        <v>0</v>
      </c>
      <c r="BV16" s="189">
        <v>0</v>
      </c>
    </row>
    <row r="17" spans="1:74" x14ac:dyDescent="0.25">
      <c r="A17" s="189" t="s">
        <v>233</v>
      </c>
      <c r="B17" s="189">
        <v>5270982.83</v>
      </c>
      <c r="C17" s="189">
        <v>4590653.97</v>
      </c>
      <c r="D17" s="189">
        <v>97938.49</v>
      </c>
      <c r="E17" s="189">
        <v>15177613.02</v>
      </c>
      <c r="F17" s="189">
        <v>16278927.949999999</v>
      </c>
      <c r="G17" s="189">
        <v>7622099.8399999999</v>
      </c>
      <c r="H17" s="189">
        <v>1579366.99</v>
      </c>
      <c r="I17" s="189">
        <v>5353619.6100000003</v>
      </c>
      <c r="J17" s="189">
        <v>485842.2</v>
      </c>
      <c r="K17" s="189">
        <v>455569.2</v>
      </c>
      <c r="L17" s="189">
        <v>18700.8</v>
      </c>
      <c r="M17" s="189">
        <v>1044231.7</v>
      </c>
      <c r="N17" s="189">
        <v>660682.53</v>
      </c>
      <c r="O17" s="189">
        <v>659241.1</v>
      </c>
      <c r="P17" s="189">
        <v>464000.1</v>
      </c>
      <c r="Q17" s="189">
        <v>30475856.719999999</v>
      </c>
      <c r="R17" s="189">
        <v>25915139.010000002</v>
      </c>
      <c r="S17" s="189">
        <v>25841495.82</v>
      </c>
      <c r="T17" s="189">
        <v>23558470.84</v>
      </c>
      <c r="U17" s="189">
        <v>3782193.81</v>
      </c>
      <c r="V17" s="189">
        <v>3391378.97</v>
      </c>
      <c r="W17" s="189">
        <v>3252166.77</v>
      </c>
      <c r="X17" s="189">
        <v>261460.28</v>
      </c>
      <c r="Y17" s="189">
        <v>685226.29</v>
      </c>
      <c r="Z17" s="189">
        <v>185350.6</v>
      </c>
      <c r="AA17" s="189">
        <v>185350.6</v>
      </c>
      <c r="AB17" s="189">
        <v>28460.6</v>
      </c>
      <c r="AC17" s="189">
        <v>5239472.51</v>
      </c>
      <c r="AD17" s="189">
        <v>203195</v>
      </c>
      <c r="AE17" s="189">
        <v>200000</v>
      </c>
      <c r="AF17" s="189">
        <v>0</v>
      </c>
      <c r="AG17" s="189">
        <v>1556299.86</v>
      </c>
      <c r="AH17" s="189">
        <v>13391400.119999999</v>
      </c>
      <c r="AI17" s="189">
        <v>13290787.810000001</v>
      </c>
      <c r="AJ17" s="189">
        <v>510426.18</v>
      </c>
      <c r="AK17" s="189">
        <v>310042.07</v>
      </c>
      <c r="AL17" s="189">
        <v>167266.07</v>
      </c>
      <c r="AM17" s="189">
        <v>167266.07</v>
      </c>
      <c r="AN17" s="189">
        <v>1649.81</v>
      </c>
      <c r="AO17" s="189">
        <v>3361413.55</v>
      </c>
      <c r="AP17" s="189">
        <v>2432381.64</v>
      </c>
      <c r="AQ17" s="189">
        <v>710417.99</v>
      </c>
      <c r="AR17" s="189">
        <v>5100</v>
      </c>
      <c r="AS17" s="189">
        <v>1461877.56</v>
      </c>
      <c r="AT17" s="189">
        <v>915725.99</v>
      </c>
      <c r="AU17" s="189">
        <v>888021.74</v>
      </c>
      <c r="AV17" s="189">
        <v>464588.74</v>
      </c>
      <c r="AW17" s="189">
        <v>573336.46</v>
      </c>
      <c r="AX17" s="189">
        <v>488804.96</v>
      </c>
      <c r="AY17" s="189">
        <v>270000</v>
      </c>
      <c r="AZ17" s="189">
        <v>0</v>
      </c>
      <c r="BA17" s="189">
        <v>863329.02</v>
      </c>
      <c r="BB17" s="189">
        <v>813805.81</v>
      </c>
      <c r="BC17" s="189">
        <v>727743.76</v>
      </c>
      <c r="BD17" s="189">
        <v>17650.599999999999</v>
      </c>
      <c r="BE17" s="189">
        <v>8589013.4800000004</v>
      </c>
      <c r="BF17" s="189">
        <v>7499124.0300000003</v>
      </c>
      <c r="BG17" s="189">
        <v>7168613.4299999997</v>
      </c>
      <c r="BH17" s="189">
        <v>21398</v>
      </c>
      <c r="BI17" s="189">
        <v>6970503.7599999998</v>
      </c>
      <c r="BJ17" s="189">
        <v>0</v>
      </c>
      <c r="BK17" s="189">
        <v>211614.42</v>
      </c>
      <c r="BL17" s="189">
        <v>50000</v>
      </c>
      <c r="BM17" s="189">
        <v>27193335.649999999</v>
      </c>
      <c r="BN17" s="189">
        <v>40285.5</v>
      </c>
      <c r="BO17" s="189">
        <v>371490.58</v>
      </c>
      <c r="BP17" s="189">
        <v>0</v>
      </c>
      <c r="BQ17" s="189">
        <v>3580</v>
      </c>
      <c r="BR17" s="189">
        <v>1500</v>
      </c>
      <c r="BS17" s="189">
        <v>52101.23</v>
      </c>
      <c r="BT17" s="189">
        <v>1680</v>
      </c>
      <c r="BU17" s="189">
        <v>25980.76</v>
      </c>
      <c r="BV17" s="189">
        <v>0</v>
      </c>
    </row>
    <row r="18" spans="1:74" x14ac:dyDescent="0.25">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row>
    <row r="19" spans="1:74" x14ac:dyDescent="0.25">
      <c r="A19" s="189" t="s">
        <v>235</v>
      </c>
      <c r="B19" s="189">
        <v>0</v>
      </c>
      <c r="C19" s="189">
        <v>0</v>
      </c>
      <c r="D19" s="189">
        <v>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1000000</v>
      </c>
      <c r="W19" s="189">
        <v>1000000</v>
      </c>
      <c r="X19" s="189">
        <v>1000000</v>
      </c>
      <c r="Y19" s="189">
        <v>42500</v>
      </c>
      <c r="Z19" s="189">
        <v>0</v>
      </c>
      <c r="AA19" s="189">
        <v>0</v>
      </c>
      <c r="AB19" s="189">
        <v>0</v>
      </c>
      <c r="AC19" s="189">
        <v>17561386.379999999</v>
      </c>
      <c r="AD19" s="189">
        <v>0</v>
      </c>
      <c r="AE19" s="189">
        <v>0</v>
      </c>
      <c r="AF19" s="189">
        <v>0</v>
      </c>
      <c r="AG19" s="189">
        <v>2811809.32</v>
      </c>
      <c r="AH19" s="189">
        <v>0</v>
      </c>
      <c r="AI19" s="189">
        <v>0</v>
      </c>
      <c r="AJ19" s="189">
        <v>0</v>
      </c>
      <c r="AK19" s="189">
        <v>3107372.53</v>
      </c>
      <c r="AL19" s="189">
        <v>0</v>
      </c>
      <c r="AM19" s="189">
        <v>0</v>
      </c>
      <c r="AN19" s="189">
        <v>0</v>
      </c>
      <c r="AO19" s="189">
        <v>0</v>
      </c>
      <c r="AP19" s="189">
        <v>0</v>
      </c>
      <c r="AQ19" s="189">
        <v>0</v>
      </c>
      <c r="AR19" s="189">
        <v>0</v>
      </c>
      <c r="AS19" s="189">
        <v>0</v>
      </c>
      <c r="AT19" s="189">
        <v>0</v>
      </c>
      <c r="AU19" s="189">
        <v>0</v>
      </c>
      <c r="AV19" s="189">
        <v>0</v>
      </c>
      <c r="AW19" s="189">
        <v>1000000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269434.84000000003</v>
      </c>
      <c r="BO19" s="189">
        <v>2845275.2</v>
      </c>
      <c r="BP19" s="189">
        <v>0</v>
      </c>
      <c r="BQ19" s="189">
        <v>0</v>
      </c>
      <c r="BR19" s="189">
        <v>0</v>
      </c>
      <c r="BS19" s="189">
        <v>0</v>
      </c>
      <c r="BT19" s="189">
        <v>0</v>
      </c>
      <c r="BU19" s="189">
        <v>0</v>
      </c>
      <c r="BV19" s="189">
        <v>0</v>
      </c>
    </row>
    <row r="20" spans="1:74" x14ac:dyDescent="0.25">
      <c r="A20" s="189" t="s">
        <v>236</v>
      </c>
      <c r="B20" s="189">
        <v>41270982.829999998</v>
      </c>
      <c r="C20" s="189">
        <v>4590653.97</v>
      </c>
      <c r="D20" s="189">
        <v>97938.49</v>
      </c>
      <c r="E20" s="189">
        <v>15177613.02</v>
      </c>
      <c r="F20" s="189">
        <v>16278927.949999999</v>
      </c>
      <c r="G20" s="189">
        <v>7622099.8399999999</v>
      </c>
      <c r="H20" s="189">
        <v>1579366.99</v>
      </c>
      <c r="I20" s="189">
        <v>149167157.61000001</v>
      </c>
      <c r="J20" s="189">
        <v>112585842.2</v>
      </c>
      <c r="K20" s="189">
        <v>103455569.2</v>
      </c>
      <c r="L20" s="189">
        <v>36018700.799999997</v>
      </c>
      <c r="M20" s="189">
        <v>1044231.7</v>
      </c>
      <c r="N20" s="189">
        <v>660682.53</v>
      </c>
      <c r="O20" s="189">
        <v>659241.1</v>
      </c>
      <c r="P20" s="189">
        <v>464000.1</v>
      </c>
      <c r="Q20" s="189">
        <v>30475856.719999999</v>
      </c>
      <c r="R20" s="189">
        <v>25915139.010000002</v>
      </c>
      <c r="S20" s="189">
        <v>25841495.82</v>
      </c>
      <c r="T20" s="189">
        <v>23558470.84</v>
      </c>
      <c r="U20" s="189">
        <v>20852865.23</v>
      </c>
      <c r="V20" s="189">
        <v>21462050.390000001</v>
      </c>
      <c r="W20" s="189">
        <v>21322838.190000001</v>
      </c>
      <c r="X20" s="189">
        <v>1261460.28</v>
      </c>
      <c r="Y20" s="189">
        <v>14131696.51</v>
      </c>
      <c r="Z20" s="189">
        <v>13631820.82</v>
      </c>
      <c r="AA20" s="189">
        <v>13564522.42</v>
      </c>
      <c r="AB20" s="189">
        <v>12961169.060000001</v>
      </c>
      <c r="AC20" s="189">
        <v>23090779.170000002</v>
      </c>
      <c r="AD20" s="189">
        <v>2599090.2000000002</v>
      </c>
      <c r="AE20" s="189">
        <v>2176208.7599999998</v>
      </c>
      <c r="AF20" s="189">
        <v>633536.35</v>
      </c>
      <c r="AG20" s="189">
        <v>5200232.75</v>
      </c>
      <c r="AH20" s="189">
        <v>16342035.109999999</v>
      </c>
      <c r="AI20" s="189">
        <v>15566012.68</v>
      </c>
      <c r="AJ20" s="189">
        <v>1828364.72</v>
      </c>
      <c r="AK20" s="189">
        <v>3913222.04</v>
      </c>
      <c r="AL20" s="189">
        <v>462602.42</v>
      </c>
      <c r="AM20" s="189">
        <v>167266.07</v>
      </c>
      <c r="AN20" s="189">
        <v>1649.81</v>
      </c>
      <c r="AO20" s="189">
        <v>3861413.55</v>
      </c>
      <c r="AP20" s="189">
        <v>2932381.64</v>
      </c>
      <c r="AQ20" s="189">
        <v>1210417.99</v>
      </c>
      <c r="AR20" s="189">
        <v>5100</v>
      </c>
      <c r="AS20" s="189">
        <v>5452330.0199999996</v>
      </c>
      <c r="AT20" s="189">
        <v>6904713.4500000002</v>
      </c>
      <c r="AU20" s="189">
        <v>6352873.71</v>
      </c>
      <c r="AV20" s="189">
        <v>1734343.22</v>
      </c>
      <c r="AW20" s="189">
        <v>55984762.619999997</v>
      </c>
      <c r="AX20" s="189">
        <v>7577226.4900000002</v>
      </c>
      <c r="AY20" s="189">
        <v>5537914.3499999996</v>
      </c>
      <c r="AZ20" s="189">
        <v>100000</v>
      </c>
      <c r="BA20" s="189">
        <v>874723.15</v>
      </c>
      <c r="BB20" s="189">
        <v>817230.71</v>
      </c>
      <c r="BC20" s="189">
        <v>728639.76</v>
      </c>
      <c r="BD20" s="189">
        <v>17650.599999999999</v>
      </c>
      <c r="BE20" s="189">
        <v>11144465.01</v>
      </c>
      <c r="BF20" s="189">
        <v>10054575.560000001</v>
      </c>
      <c r="BG20" s="189">
        <v>9724064.9600000009</v>
      </c>
      <c r="BH20" s="189">
        <v>2555965.48</v>
      </c>
      <c r="BI20" s="189">
        <v>11142826.07</v>
      </c>
      <c r="BJ20" s="189">
        <v>34020915.240000002</v>
      </c>
      <c r="BK20" s="189">
        <v>26519758.199999999</v>
      </c>
      <c r="BL20" s="189">
        <v>6958625.8499999996</v>
      </c>
      <c r="BM20" s="189">
        <v>43250321.130000003</v>
      </c>
      <c r="BN20" s="189">
        <v>20730932.710000001</v>
      </c>
      <c r="BO20" s="189">
        <v>18501781.149999999</v>
      </c>
      <c r="BP20" s="189">
        <v>11417710.18</v>
      </c>
      <c r="BQ20" s="189">
        <v>7264130.8300000001</v>
      </c>
      <c r="BR20" s="189">
        <v>1500</v>
      </c>
      <c r="BS20" s="189">
        <v>52101.23</v>
      </c>
      <c r="BT20" s="189">
        <v>1680</v>
      </c>
      <c r="BU20" s="189">
        <v>25980.76</v>
      </c>
      <c r="BV20" s="189">
        <v>0</v>
      </c>
    </row>
    <row r="21" spans="1:74" x14ac:dyDescent="0.25">
      <c r="A21" s="189" t="s">
        <v>237</v>
      </c>
      <c r="B21" s="189">
        <v>266963573.63999999</v>
      </c>
      <c r="C21" s="189">
        <v>220511645.30000001</v>
      </c>
      <c r="D21" s="189">
        <v>148455263.44</v>
      </c>
      <c r="E21" s="189">
        <v>216058886.55000001</v>
      </c>
      <c r="F21" s="189">
        <v>126545615.28</v>
      </c>
      <c r="G21" s="189">
        <v>89131857.5</v>
      </c>
      <c r="H21" s="189">
        <v>66866188.82</v>
      </c>
      <c r="I21" s="189">
        <v>307337776.30000001</v>
      </c>
      <c r="J21" s="189">
        <v>206243187.97999999</v>
      </c>
      <c r="K21" s="189">
        <v>167783179.62</v>
      </c>
      <c r="L21" s="189">
        <v>98697173.260000005</v>
      </c>
      <c r="M21" s="189">
        <v>395218520.86000001</v>
      </c>
      <c r="N21" s="189">
        <v>325684472.19999999</v>
      </c>
      <c r="O21" s="189">
        <v>228478960.53999999</v>
      </c>
      <c r="P21" s="189">
        <v>102048998.65000001</v>
      </c>
      <c r="Q21" s="189">
        <v>411004620.01999998</v>
      </c>
      <c r="R21" s="189">
        <v>292777427.69</v>
      </c>
      <c r="S21" s="189">
        <v>202670140.46000001</v>
      </c>
      <c r="T21" s="189">
        <v>88471907.120000005</v>
      </c>
      <c r="U21" s="189">
        <v>341534397.35000002</v>
      </c>
      <c r="V21" s="189">
        <v>286139179.36000001</v>
      </c>
      <c r="W21" s="189">
        <v>215862695.83000001</v>
      </c>
      <c r="X21" s="189">
        <v>144070201.88999999</v>
      </c>
      <c r="Y21" s="189">
        <v>355506717.47000003</v>
      </c>
      <c r="Z21" s="189">
        <v>228521903.88999999</v>
      </c>
      <c r="AA21" s="189">
        <v>204363119.03999999</v>
      </c>
      <c r="AB21" s="189">
        <v>146432254.69999999</v>
      </c>
      <c r="AC21" s="189">
        <v>536106369.48000002</v>
      </c>
      <c r="AD21" s="189">
        <v>351106948.10000002</v>
      </c>
      <c r="AE21" s="189">
        <v>288668171.64999998</v>
      </c>
      <c r="AF21" s="189">
        <v>103106550.39</v>
      </c>
      <c r="AG21" s="189">
        <v>462908343.55000001</v>
      </c>
      <c r="AH21" s="189">
        <v>328702496.94999999</v>
      </c>
      <c r="AI21" s="189">
        <v>247966835.41</v>
      </c>
      <c r="AJ21" s="189">
        <v>135287234.63999999</v>
      </c>
      <c r="AK21" s="189">
        <v>985162241.49000001</v>
      </c>
      <c r="AL21" s="189">
        <v>193936548.19</v>
      </c>
      <c r="AM21" s="189">
        <v>169537553.47</v>
      </c>
      <c r="AN21" s="189">
        <v>105598391.20999999</v>
      </c>
      <c r="AO21" s="189">
        <v>109368261.26000001</v>
      </c>
      <c r="AP21" s="189">
        <v>82119739.920000002</v>
      </c>
      <c r="AQ21" s="189">
        <v>74523182.519999996</v>
      </c>
      <c r="AR21" s="189">
        <v>4086163.05</v>
      </c>
      <c r="AS21" s="189">
        <v>248805213.50999999</v>
      </c>
      <c r="AT21" s="189">
        <v>180806493.18000001</v>
      </c>
      <c r="AU21" s="189">
        <v>102706016.8</v>
      </c>
      <c r="AV21" s="189">
        <v>39566827.240000002</v>
      </c>
      <c r="AW21" s="189">
        <v>251397575.99000001</v>
      </c>
      <c r="AX21" s="189">
        <v>231787598.30000001</v>
      </c>
      <c r="AY21" s="189">
        <v>193913936.41999999</v>
      </c>
      <c r="AZ21" s="189">
        <v>732516.47</v>
      </c>
      <c r="BA21" s="189">
        <v>117069771.09999999</v>
      </c>
      <c r="BB21" s="189">
        <v>72571280.939999998</v>
      </c>
      <c r="BC21" s="189">
        <v>69853888.430000007</v>
      </c>
      <c r="BD21" s="189">
        <v>48611645.549999997</v>
      </c>
      <c r="BE21" s="189">
        <v>683013865.38</v>
      </c>
      <c r="BF21" s="189">
        <v>111516381.05</v>
      </c>
      <c r="BG21" s="189">
        <v>99482044.859999999</v>
      </c>
      <c r="BH21" s="189">
        <v>66469318.329999998</v>
      </c>
      <c r="BI21" s="189">
        <v>1370837016.3299999</v>
      </c>
      <c r="BJ21" s="189">
        <v>869403485.79999995</v>
      </c>
      <c r="BK21" s="189">
        <v>102523951.22</v>
      </c>
      <c r="BL21" s="189">
        <v>18067034.449999999</v>
      </c>
      <c r="BM21" s="189">
        <v>1276551302.9200001</v>
      </c>
      <c r="BN21" s="189">
        <v>227870170.09</v>
      </c>
      <c r="BO21" s="189">
        <v>1825260201.4100001</v>
      </c>
      <c r="BP21" s="189">
        <v>1033022955.65</v>
      </c>
      <c r="BQ21" s="189">
        <v>508204018.88</v>
      </c>
      <c r="BR21" s="189">
        <v>378968057.27999997</v>
      </c>
      <c r="BS21" s="189">
        <v>94153230.329999998</v>
      </c>
      <c r="BT21" s="189">
        <v>6757461.4400000004</v>
      </c>
      <c r="BU21" s="189">
        <v>585117171</v>
      </c>
      <c r="BV21" s="189">
        <v>0</v>
      </c>
    </row>
    <row r="22" spans="1:74" x14ac:dyDescent="0.25">
      <c r="A22" s="189" t="s">
        <v>238</v>
      </c>
      <c r="B22" s="189">
        <v>0</v>
      </c>
      <c r="C22" s="189">
        <v>0</v>
      </c>
      <c r="D22" s="189">
        <v>0</v>
      </c>
      <c r="E22" s="189">
        <v>0</v>
      </c>
      <c r="F22" s="189">
        <v>0</v>
      </c>
      <c r="G22" s="189">
        <v>0</v>
      </c>
      <c r="H22" s="189">
        <v>0</v>
      </c>
      <c r="I22" s="189">
        <v>8000000</v>
      </c>
      <c r="J22" s="189">
        <v>8000000</v>
      </c>
      <c r="K22" s="189">
        <v>0</v>
      </c>
      <c r="L22" s="189">
        <v>0</v>
      </c>
      <c r="M22" s="189">
        <v>0</v>
      </c>
      <c r="N22" s="189">
        <v>0</v>
      </c>
      <c r="O22" s="189">
        <v>0</v>
      </c>
      <c r="P22" s="189">
        <v>0</v>
      </c>
      <c r="Q22" s="189">
        <v>734000000</v>
      </c>
      <c r="R22" s="189">
        <v>933675708.13</v>
      </c>
      <c r="S22" s="189">
        <v>720000000</v>
      </c>
      <c r="T22" s="189">
        <v>720000000</v>
      </c>
      <c r="U22" s="189">
        <v>1200000</v>
      </c>
      <c r="V22" s="189">
        <v>1200000</v>
      </c>
      <c r="W22" s="189">
        <v>1200000</v>
      </c>
      <c r="X22" s="189">
        <v>1200000</v>
      </c>
      <c r="Y22" s="189">
        <v>0</v>
      </c>
      <c r="Z22" s="189">
        <v>300000</v>
      </c>
      <c r="AA22" s="189">
        <v>300000</v>
      </c>
      <c r="AB22" s="189">
        <v>0</v>
      </c>
      <c r="AC22" s="189">
        <v>98000000</v>
      </c>
      <c r="AD22" s="189">
        <v>100034460</v>
      </c>
      <c r="AE22" s="189">
        <v>1766800</v>
      </c>
      <c r="AF22" s="189">
        <v>579800</v>
      </c>
      <c r="AG22" s="189">
        <v>0</v>
      </c>
      <c r="AH22" s="189">
        <v>48165768.799999997</v>
      </c>
      <c r="AI22" s="189">
        <v>5875003.7999999998</v>
      </c>
      <c r="AJ22" s="189">
        <v>5093463.8</v>
      </c>
      <c r="AK22" s="189">
        <v>3204512.53</v>
      </c>
      <c r="AL22" s="189">
        <v>3820565212.4200001</v>
      </c>
      <c r="AM22" s="189">
        <v>2600000000</v>
      </c>
      <c r="AN22" s="189">
        <v>0</v>
      </c>
      <c r="AO22" s="189">
        <v>0</v>
      </c>
      <c r="AP22" s="189">
        <v>0</v>
      </c>
      <c r="AQ22" s="189">
        <v>0</v>
      </c>
      <c r="AR22" s="189">
        <v>0</v>
      </c>
      <c r="AS22" s="189">
        <v>0</v>
      </c>
      <c r="AT22" s="189">
        <v>2185515</v>
      </c>
      <c r="AU22" s="189">
        <v>2185515</v>
      </c>
      <c r="AV22" s="189">
        <v>845785</v>
      </c>
      <c r="AW22" s="189">
        <v>54526945.119999997</v>
      </c>
      <c r="AX22" s="189">
        <v>17722174.899999999</v>
      </c>
      <c r="AY22" s="189">
        <v>8487744.5399999991</v>
      </c>
      <c r="AZ22" s="189">
        <v>7646493.9000000004</v>
      </c>
      <c r="BA22" s="189">
        <v>28079299.829999998</v>
      </c>
      <c r="BB22" s="189">
        <v>27150000</v>
      </c>
      <c r="BC22" s="189">
        <v>27150000</v>
      </c>
      <c r="BD22" s="189">
        <v>10000000</v>
      </c>
      <c r="BE22" s="189">
        <v>3593751</v>
      </c>
      <c r="BF22" s="189">
        <v>8143751</v>
      </c>
      <c r="BG22" s="189">
        <v>3587071</v>
      </c>
      <c r="BH22" s="189">
        <v>1508200</v>
      </c>
      <c r="BI22" s="189">
        <v>0</v>
      </c>
      <c r="BJ22" s="189">
        <v>23477549.02</v>
      </c>
      <c r="BK22" s="189">
        <v>22647579.02</v>
      </c>
      <c r="BL22" s="189">
        <v>3490556.9</v>
      </c>
      <c r="BM22" s="189">
        <v>6519630.0999999996</v>
      </c>
      <c r="BN22" s="189">
        <v>15487632.689999999</v>
      </c>
      <c r="BO22" s="189">
        <v>10641505.18</v>
      </c>
      <c r="BP22" s="189">
        <v>0</v>
      </c>
      <c r="BQ22" s="189">
        <v>16553209.27</v>
      </c>
      <c r="BR22" s="189">
        <v>4900000</v>
      </c>
      <c r="BS22" s="189">
        <v>214676351.40000001</v>
      </c>
      <c r="BT22" s="189">
        <v>0</v>
      </c>
      <c r="BU22" s="189">
        <v>0</v>
      </c>
      <c r="BV22" s="189">
        <v>0</v>
      </c>
    </row>
    <row r="23" spans="1:74" x14ac:dyDescent="0.25">
      <c r="A23" s="189" t="s">
        <v>239</v>
      </c>
      <c r="B23" s="189">
        <v>0</v>
      </c>
      <c r="C23" s="189">
        <v>0</v>
      </c>
      <c r="D23" s="189">
        <v>0</v>
      </c>
      <c r="E23" s="189">
        <v>0</v>
      </c>
      <c r="F23" s="189">
        <v>0</v>
      </c>
      <c r="G23" s="189">
        <v>0</v>
      </c>
      <c r="H23" s="189">
        <v>0</v>
      </c>
      <c r="I23" s="189">
        <v>-4911283.58</v>
      </c>
      <c r="J23" s="189">
        <v>0</v>
      </c>
      <c r="K23" s="189">
        <v>0</v>
      </c>
      <c r="L23" s="189">
        <v>0</v>
      </c>
      <c r="M23" s="189">
        <v>0</v>
      </c>
      <c r="N23" s="189">
        <v>0</v>
      </c>
      <c r="O23" s="189">
        <v>0</v>
      </c>
      <c r="P23" s="189">
        <v>0</v>
      </c>
      <c r="Q23" s="189">
        <v>72009699.129999995</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3269464666.25</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row>
    <row r="24" spans="1:74"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75394.570000000007</v>
      </c>
      <c r="Y24" s="189">
        <v>0</v>
      </c>
      <c r="Z24" s="189">
        <v>0</v>
      </c>
      <c r="AA24" s="189">
        <v>0</v>
      </c>
      <c r="AB24" s="189">
        <v>0</v>
      </c>
      <c r="AC24" s="189">
        <v>2456298.7200000002</v>
      </c>
      <c r="AD24" s="189">
        <v>0</v>
      </c>
      <c r="AE24" s="189">
        <v>0</v>
      </c>
      <c r="AF24" s="189">
        <v>0</v>
      </c>
      <c r="AG24" s="189">
        <v>6774433.1200000001</v>
      </c>
      <c r="AH24" s="189">
        <v>0</v>
      </c>
      <c r="AI24" s="189">
        <v>0</v>
      </c>
      <c r="AJ24" s="189">
        <v>0</v>
      </c>
      <c r="AK24" s="189">
        <v>3101023.42</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20000000</v>
      </c>
      <c r="BB24" s="189">
        <v>20000000</v>
      </c>
      <c r="BC24" s="189">
        <v>20000000</v>
      </c>
      <c r="BD24" s="189">
        <v>0</v>
      </c>
      <c r="BE24" s="189">
        <v>0</v>
      </c>
      <c r="BF24" s="189">
        <v>0</v>
      </c>
      <c r="BG24" s="189">
        <v>0</v>
      </c>
      <c r="BH24" s="189">
        <v>0</v>
      </c>
      <c r="BI24" s="189">
        <v>0</v>
      </c>
      <c r="BJ24" s="189">
        <v>0</v>
      </c>
      <c r="BK24" s="189">
        <v>0</v>
      </c>
      <c r="BL24" s="189">
        <v>0</v>
      </c>
      <c r="BM24" s="189">
        <v>0</v>
      </c>
      <c r="BN24" s="189">
        <v>40</v>
      </c>
      <c r="BO24" s="189">
        <v>181.6</v>
      </c>
      <c r="BP24" s="189">
        <v>0</v>
      </c>
      <c r="BQ24" s="189">
        <v>0</v>
      </c>
      <c r="BR24" s="189">
        <v>479600000</v>
      </c>
      <c r="BS24" s="189">
        <v>418371365.25999999</v>
      </c>
      <c r="BT24" s="189">
        <v>0</v>
      </c>
      <c r="BU24" s="189">
        <v>0</v>
      </c>
      <c r="BV24" s="189">
        <v>0</v>
      </c>
    </row>
    <row r="25" spans="1:74" x14ac:dyDescent="0.25">
      <c r="A25" s="189" t="s">
        <v>241</v>
      </c>
      <c r="B25" s="189">
        <v>266963573.63999999</v>
      </c>
      <c r="C25" s="189">
        <v>220511645.30000001</v>
      </c>
      <c r="D25" s="189">
        <v>148455263.44</v>
      </c>
      <c r="E25" s="189">
        <v>216058886.55000001</v>
      </c>
      <c r="F25" s="189">
        <v>126545615.28</v>
      </c>
      <c r="G25" s="189">
        <v>89131857.5</v>
      </c>
      <c r="H25" s="189">
        <v>66866188.82</v>
      </c>
      <c r="I25" s="189">
        <v>310426492.72000003</v>
      </c>
      <c r="J25" s="189">
        <v>214243187.97999999</v>
      </c>
      <c r="K25" s="189">
        <v>167783179.62</v>
      </c>
      <c r="L25" s="189">
        <v>98697173.260000005</v>
      </c>
      <c r="M25" s="189">
        <v>395218520.86000001</v>
      </c>
      <c r="N25" s="189">
        <v>325684472.19999999</v>
      </c>
      <c r="O25" s="189">
        <v>228478960.53999999</v>
      </c>
      <c r="P25" s="189">
        <v>102048998.65000001</v>
      </c>
      <c r="Q25" s="189">
        <v>1217014319.1500001</v>
      </c>
      <c r="R25" s="189">
        <v>1226453135.8199999</v>
      </c>
      <c r="S25" s="189">
        <v>922670140.46000004</v>
      </c>
      <c r="T25" s="189">
        <v>808471907.12</v>
      </c>
      <c r="U25" s="189">
        <v>342734397.35000002</v>
      </c>
      <c r="V25" s="189">
        <v>287339179.36000001</v>
      </c>
      <c r="W25" s="189">
        <v>217062695.83000001</v>
      </c>
      <c r="X25" s="189">
        <v>145345596.46000001</v>
      </c>
      <c r="Y25" s="189">
        <v>355506717.47000003</v>
      </c>
      <c r="Z25" s="189">
        <v>228821903.88999999</v>
      </c>
      <c r="AA25" s="189">
        <v>204663119.03999999</v>
      </c>
      <c r="AB25" s="189">
        <v>146432254.69999999</v>
      </c>
      <c r="AC25" s="189">
        <v>636562668.20000005</v>
      </c>
      <c r="AD25" s="189">
        <v>451141408.10000002</v>
      </c>
      <c r="AE25" s="189">
        <v>290434971.64999998</v>
      </c>
      <c r="AF25" s="189">
        <v>103686350.39</v>
      </c>
      <c r="AG25" s="189">
        <v>469682776.67000002</v>
      </c>
      <c r="AH25" s="189">
        <v>376868265.75</v>
      </c>
      <c r="AI25" s="189">
        <v>253841839.21000001</v>
      </c>
      <c r="AJ25" s="189">
        <v>140380698.44</v>
      </c>
      <c r="AK25" s="189">
        <v>4260932443.6900001</v>
      </c>
      <c r="AL25" s="189">
        <v>4014501760.6100001</v>
      </c>
      <c r="AM25" s="189">
        <v>2769537553.4699998</v>
      </c>
      <c r="AN25" s="189">
        <v>105598391.20999999</v>
      </c>
      <c r="AO25" s="189">
        <v>109368261.26000001</v>
      </c>
      <c r="AP25" s="189">
        <v>82119739.920000002</v>
      </c>
      <c r="AQ25" s="189">
        <v>74523182.519999996</v>
      </c>
      <c r="AR25" s="189">
        <v>4086163.05</v>
      </c>
      <c r="AS25" s="189">
        <v>248805213.50999999</v>
      </c>
      <c r="AT25" s="189">
        <v>182992008.18000001</v>
      </c>
      <c r="AU25" s="189">
        <v>104891531.8</v>
      </c>
      <c r="AV25" s="189">
        <v>40412612.240000002</v>
      </c>
      <c r="AW25" s="189">
        <v>305924521.11000001</v>
      </c>
      <c r="AX25" s="189">
        <v>249509773.19999999</v>
      </c>
      <c r="AY25" s="189">
        <v>202401680.96000001</v>
      </c>
      <c r="AZ25" s="189">
        <v>8379010.3700000001</v>
      </c>
      <c r="BA25" s="189">
        <v>165149070.93000001</v>
      </c>
      <c r="BB25" s="189">
        <v>119721280.94</v>
      </c>
      <c r="BC25" s="189">
        <v>117003888.43000001</v>
      </c>
      <c r="BD25" s="189">
        <v>58611645.549999997</v>
      </c>
      <c r="BE25" s="189">
        <v>686607616.38</v>
      </c>
      <c r="BF25" s="189">
        <v>119660132.05</v>
      </c>
      <c r="BG25" s="189">
        <v>103069115.86</v>
      </c>
      <c r="BH25" s="189">
        <v>67977518.329999998</v>
      </c>
      <c r="BI25" s="189">
        <v>1370837016.3299999</v>
      </c>
      <c r="BJ25" s="189">
        <v>892881034.82000005</v>
      </c>
      <c r="BK25" s="189">
        <v>125171530.23999999</v>
      </c>
      <c r="BL25" s="189">
        <v>21557591.350000001</v>
      </c>
      <c r="BM25" s="189">
        <v>1283070933.02</v>
      </c>
      <c r="BN25" s="189">
        <v>243357842.78</v>
      </c>
      <c r="BO25" s="189">
        <v>1835901888.1900001</v>
      </c>
      <c r="BP25" s="189">
        <v>1033022955.65</v>
      </c>
      <c r="BQ25" s="189">
        <v>524757228.14999998</v>
      </c>
      <c r="BR25" s="189">
        <v>863468057.27999997</v>
      </c>
      <c r="BS25" s="189">
        <v>619862771.28999996</v>
      </c>
      <c r="BT25" s="189">
        <v>6757461.4400000004</v>
      </c>
      <c r="BU25" s="189">
        <v>585117171</v>
      </c>
      <c r="BV25" s="189">
        <v>0</v>
      </c>
    </row>
    <row r="26" spans="1:74" x14ac:dyDescent="0.25">
      <c r="A26" s="189" t="s">
        <v>242</v>
      </c>
      <c r="B26" s="189">
        <v>-225692590.81</v>
      </c>
      <c r="C26" s="189">
        <v>-215920991.33000001</v>
      </c>
      <c r="D26" s="189">
        <v>-148357324.94999999</v>
      </c>
      <c r="E26" s="189">
        <v>-200881273.53</v>
      </c>
      <c r="F26" s="189">
        <v>-110266687.33</v>
      </c>
      <c r="G26" s="189">
        <v>-81509757.659999996</v>
      </c>
      <c r="H26" s="189">
        <v>-65286821.829999998</v>
      </c>
      <c r="I26" s="189">
        <v>-161259335.11000001</v>
      </c>
      <c r="J26" s="189">
        <v>-101657345.78</v>
      </c>
      <c r="K26" s="189">
        <v>-64327610.420000002</v>
      </c>
      <c r="L26" s="189">
        <v>-62678472.460000001</v>
      </c>
      <c r="M26" s="189">
        <v>-394174289.16000003</v>
      </c>
      <c r="N26" s="189">
        <v>-325023789.67000002</v>
      </c>
      <c r="O26" s="189">
        <v>-227819719.44</v>
      </c>
      <c r="P26" s="189">
        <v>-101584998.55</v>
      </c>
      <c r="Q26" s="189">
        <v>-1186538462.4300001</v>
      </c>
      <c r="R26" s="189">
        <v>-1200537996.8099999</v>
      </c>
      <c r="S26" s="189">
        <v>-896828644.63999999</v>
      </c>
      <c r="T26" s="189">
        <v>-784913436.27999997</v>
      </c>
      <c r="U26" s="189">
        <v>-321881532.12</v>
      </c>
      <c r="V26" s="189">
        <v>-265877128.97</v>
      </c>
      <c r="W26" s="189">
        <v>-195739857.63999999</v>
      </c>
      <c r="X26" s="189">
        <v>-144084136.18000001</v>
      </c>
      <c r="Y26" s="189">
        <v>-341375020.95999998</v>
      </c>
      <c r="Z26" s="189">
        <v>-215190083.06999999</v>
      </c>
      <c r="AA26" s="189">
        <v>-191098596.62</v>
      </c>
      <c r="AB26" s="189">
        <v>-133471085.64</v>
      </c>
      <c r="AC26" s="189">
        <v>-613471889.02999997</v>
      </c>
      <c r="AD26" s="189">
        <v>-448542317.89999998</v>
      </c>
      <c r="AE26" s="189">
        <v>-288258762.88999999</v>
      </c>
      <c r="AF26" s="189">
        <v>-103052814.04000001</v>
      </c>
      <c r="AG26" s="189">
        <v>-464482543.92000002</v>
      </c>
      <c r="AH26" s="189">
        <v>-360526230.63999999</v>
      </c>
      <c r="AI26" s="189">
        <v>-238275826.53</v>
      </c>
      <c r="AJ26" s="189">
        <v>-138552333.72</v>
      </c>
      <c r="AK26" s="189">
        <v>-4257019221.6500001</v>
      </c>
      <c r="AL26" s="189">
        <v>-4014039158.1900001</v>
      </c>
      <c r="AM26" s="189">
        <v>-2769370287.4000001</v>
      </c>
      <c r="AN26" s="189">
        <v>-105596741.40000001</v>
      </c>
      <c r="AO26" s="189">
        <v>-105506847.70999999</v>
      </c>
      <c r="AP26" s="189">
        <v>-79187358.280000001</v>
      </c>
      <c r="AQ26" s="189">
        <v>-73312764.530000001</v>
      </c>
      <c r="AR26" s="189">
        <v>-4081063.05</v>
      </c>
      <c r="AS26" s="189">
        <v>-243352883.49000001</v>
      </c>
      <c r="AT26" s="189">
        <v>-176087294.72999999</v>
      </c>
      <c r="AU26" s="189">
        <v>-98538658.090000004</v>
      </c>
      <c r="AV26" s="189">
        <v>-38678269.020000003</v>
      </c>
      <c r="AW26" s="189">
        <v>-249939758.49000001</v>
      </c>
      <c r="AX26" s="189">
        <v>-241932546.71000001</v>
      </c>
      <c r="AY26" s="189">
        <v>-196863766.61000001</v>
      </c>
      <c r="AZ26" s="189">
        <v>-8279010.3700000001</v>
      </c>
      <c r="BA26" s="189">
        <v>-164274347.78</v>
      </c>
      <c r="BB26" s="189">
        <v>-118904050.23</v>
      </c>
      <c r="BC26" s="189">
        <v>-116275248.67</v>
      </c>
      <c r="BD26" s="189">
        <v>-58593994.950000003</v>
      </c>
      <c r="BE26" s="189">
        <v>-675463151.37</v>
      </c>
      <c r="BF26" s="189">
        <v>-109605556.48999999</v>
      </c>
      <c r="BG26" s="189">
        <v>-93345050.900000006</v>
      </c>
      <c r="BH26" s="189">
        <v>-65421552.850000001</v>
      </c>
      <c r="BI26" s="189">
        <v>-1359694190.26</v>
      </c>
      <c r="BJ26" s="189">
        <v>-858860119.58000004</v>
      </c>
      <c r="BK26" s="189">
        <v>-98651772.040000007</v>
      </c>
      <c r="BL26" s="189">
        <v>-14598965.5</v>
      </c>
      <c r="BM26" s="189">
        <v>-1239820611.8900001</v>
      </c>
      <c r="BN26" s="189">
        <v>-222626910.06999999</v>
      </c>
      <c r="BO26" s="189">
        <v>-1817400107.04</v>
      </c>
      <c r="BP26" s="189">
        <v>-1021605245.47</v>
      </c>
      <c r="BQ26" s="189">
        <v>-517493097.31999999</v>
      </c>
      <c r="BR26" s="189">
        <v>-863466557.27999997</v>
      </c>
      <c r="BS26" s="189">
        <v>-619810670.05999994</v>
      </c>
      <c r="BT26" s="189">
        <v>-6755781.4400000004</v>
      </c>
      <c r="BU26" s="189">
        <v>-585091190.24000001</v>
      </c>
      <c r="BV26" s="189">
        <v>0</v>
      </c>
    </row>
    <row r="27" spans="1:74" x14ac:dyDescent="0.25">
      <c r="A27" s="189" t="s">
        <v>243</v>
      </c>
    </row>
    <row r="28" spans="1:74" x14ac:dyDescent="0.25">
      <c r="A28" s="189" t="s">
        <v>244</v>
      </c>
      <c r="B28" s="189">
        <v>1813717926.3599999</v>
      </c>
      <c r="C28" s="189">
        <v>1813717926.3599999</v>
      </c>
      <c r="D28" s="189">
        <v>0</v>
      </c>
      <c r="E28" s="189">
        <v>0</v>
      </c>
      <c r="F28" s="189">
        <v>0</v>
      </c>
      <c r="G28" s="189">
        <v>0</v>
      </c>
      <c r="H28" s="189">
        <v>0</v>
      </c>
      <c r="I28" s="189">
        <v>15952288.85</v>
      </c>
      <c r="J28" s="189">
        <v>15900000</v>
      </c>
      <c r="K28" s="189">
        <v>0</v>
      </c>
      <c r="L28" s="189">
        <v>0</v>
      </c>
      <c r="M28" s="189">
        <v>59000000</v>
      </c>
      <c r="N28" s="189">
        <v>59000000</v>
      </c>
      <c r="O28" s="189">
        <v>39000000</v>
      </c>
      <c r="P28" s="189">
        <v>4000000</v>
      </c>
      <c r="Q28" s="189">
        <v>6000000</v>
      </c>
      <c r="R28" s="189">
        <v>2666009</v>
      </c>
      <c r="S28" s="189">
        <v>0</v>
      </c>
      <c r="T28" s="189">
        <v>0</v>
      </c>
      <c r="U28" s="189">
        <v>172467935.24000001</v>
      </c>
      <c r="V28" s="189">
        <v>73500000</v>
      </c>
      <c r="W28" s="189">
        <v>0</v>
      </c>
      <c r="X28" s="189">
        <v>0</v>
      </c>
      <c r="Y28" s="189">
        <v>0</v>
      </c>
      <c r="Z28" s="189">
        <v>0</v>
      </c>
      <c r="AA28" s="189">
        <v>0</v>
      </c>
      <c r="AB28" s="189">
        <v>0</v>
      </c>
      <c r="AC28" s="189">
        <v>0</v>
      </c>
      <c r="AD28" s="189">
        <v>0</v>
      </c>
      <c r="AE28" s="189">
        <v>0</v>
      </c>
      <c r="AF28" s="189">
        <v>0</v>
      </c>
      <c r="AG28" s="189">
        <v>13000000</v>
      </c>
      <c r="AH28" s="189">
        <v>0</v>
      </c>
      <c r="AI28" s="189">
        <v>0</v>
      </c>
      <c r="AJ28" s="189">
        <v>0</v>
      </c>
      <c r="AK28" s="189">
        <v>11000000</v>
      </c>
      <c r="AL28" s="189">
        <v>0</v>
      </c>
      <c r="AM28" s="189">
        <v>0</v>
      </c>
      <c r="AN28" s="189">
        <v>0</v>
      </c>
      <c r="AO28" s="189">
        <v>0</v>
      </c>
      <c r="AP28" s="189">
        <v>0</v>
      </c>
      <c r="AQ28" s="189">
        <v>0</v>
      </c>
      <c r="AR28" s="189">
        <v>0</v>
      </c>
      <c r="AS28" s="189">
        <v>15000000</v>
      </c>
      <c r="AT28" s="189">
        <v>15000000</v>
      </c>
      <c r="AU28" s="189">
        <v>15000000</v>
      </c>
      <c r="AV28" s="189">
        <v>0</v>
      </c>
      <c r="AW28" s="189">
        <v>0</v>
      </c>
      <c r="AX28" s="189">
        <v>1000000</v>
      </c>
      <c r="AY28" s="189">
        <v>1000000</v>
      </c>
      <c r="AZ28" s="189">
        <v>0</v>
      </c>
      <c r="BA28" s="189">
        <v>0</v>
      </c>
      <c r="BB28" s="189">
        <v>0</v>
      </c>
      <c r="BC28" s="189">
        <v>0</v>
      </c>
      <c r="BD28" s="189">
        <v>0</v>
      </c>
      <c r="BE28" s="189">
        <v>2450000</v>
      </c>
      <c r="BF28" s="189">
        <v>0</v>
      </c>
      <c r="BG28" s="189">
        <v>0</v>
      </c>
      <c r="BH28" s="189">
        <v>0</v>
      </c>
      <c r="BI28" s="189">
        <v>0</v>
      </c>
      <c r="BJ28" s="189">
        <v>0</v>
      </c>
      <c r="BK28" s="189">
        <v>0</v>
      </c>
      <c r="BL28" s="189">
        <v>0</v>
      </c>
      <c r="BM28" s="189">
        <v>800000</v>
      </c>
      <c r="BN28" s="189">
        <v>0</v>
      </c>
      <c r="BO28" s="189">
        <v>615571049.24000001</v>
      </c>
      <c r="BP28" s="189">
        <v>614591049.24000001</v>
      </c>
      <c r="BQ28" s="189">
        <v>0</v>
      </c>
      <c r="BR28" s="189">
        <v>0</v>
      </c>
      <c r="BS28" s="189">
        <v>0</v>
      </c>
      <c r="BT28" s="189">
        <v>0</v>
      </c>
      <c r="BU28" s="189">
        <v>1165397962.47</v>
      </c>
      <c r="BV28" s="189">
        <v>0</v>
      </c>
    </row>
    <row r="29" spans="1:74" x14ac:dyDescent="0.25">
      <c r="A29" s="189" t="s">
        <v>245</v>
      </c>
      <c r="B29" s="189">
        <v>980000</v>
      </c>
      <c r="C29" s="189">
        <v>980000</v>
      </c>
      <c r="D29" s="189">
        <v>0</v>
      </c>
      <c r="E29" s="189">
        <v>0</v>
      </c>
      <c r="F29" s="189">
        <v>0</v>
      </c>
      <c r="G29" s="189">
        <v>0</v>
      </c>
      <c r="H29" s="189">
        <v>0</v>
      </c>
      <c r="I29" s="189">
        <v>15900000</v>
      </c>
      <c r="J29" s="189">
        <v>15900000</v>
      </c>
      <c r="K29" s="189">
        <v>0</v>
      </c>
      <c r="L29" s="189">
        <v>0</v>
      </c>
      <c r="M29" s="189">
        <v>59000000</v>
      </c>
      <c r="N29" s="189">
        <v>59000000</v>
      </c>
      <c r="O29" s="189">
        <v>39000000</v>
      </c>
      <c r="P29" s="189">
        <v>4000000</v>
      </c>
      <c r="Q29" s="189">
        <v>6000000</v>
      </c>
      <c r="R29" s="189">
        <v>2666009</v>
      </c>
      <c r="S29" s="189">
        <v>0</v>
      </c>
      <c r="T29" s="189">
        <v>0</v>
      </c>
      <c r="U29" s="189">
        <v>172467935.24000001</v>
      </c>
      <c r="V29" s="189">
        <v>73500000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11000000</v>
      </c>
      <c r="AL29" s="189">
        <v>0</v>
      </c>
      <c r="AM29" s="189">
        <v>0</v>
      </c>
      <c r="AN29" s="189">
        <v>0</v>
      </c>
      <c r="AO29" s="189">
        <v>0</v>
      </c>
      <c r="AP29" s="189">
        <v>0</v>
      </c>
      <c r="AQ29" s="189">
        <v>0</v>
      </c>
      <c r="AR29" s="189">
        <v>0</v>
      </c>
      <c r="AS29" s="189">
        <v>0</v>
      </c>
      <c r="AT29" s="189">
        <v>0</v>
      </c>
      <c r="AU29" s="189">
        <v>15000000</v>
      </c>
      <c r="AV29" s="189">
        <v>0</v>
      </c>
      <c r="AW29" s="189">
        <v>0</v>
      </c>
      <c r="AX29" s="189">
        <v>1000000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row>
    <row r="30" spans="1:74" x14ac:dyDescent="0.25">
      <c r="A30" s="189" t="s">
        <v>246</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row>
    <row r="31" spans="1:74" x14ac:dyDescent="0.2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row>
    <row r="32" spans="1:74" x14ac:dyDescent="0.25">
      <c r="A32" s="189" t="s">
        <v>248</v>
      </c>
      <c r="B32" s="189">
        <v>0</v>
      </c>
      <c r="C32" s="189">
        <v>0</v>
      </c>
      <c r="D32" s="189">
        <v>0</v>
      </c>
      <c r="E32" s="189">
        <v>491047150</v>
      </c>
      <c r="F32" s="189">
        <v>491047150</v>
      </c>
      <c r="G32" s="189">
        <v>128035650</v>
      </c>
      <c r="H32" s="189">
        <v>0</v>
      </c>
      <c r="I32" s="189">
        <v>2139760</v>
      </c>
      <c r="J32" s="189">
        <v>2127260</v>
      </c>
      <c r="K32" s="189">
        <v>2077260</v>
      </c>
      <c r="L32" s="189">
        <v>0</v>
      </c>
      <c r="M32" s="189">
        <v>43490805</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7438579.8600000003</v>
      </c>
      <c r="BS32" s="189">
        <v>0</v>
      </c>
      <c r="BT32" s="189">
        <v>0</v>
      </c>
      <c r="BU32" s="189">
        <v>22169914.800000001</v>
      </c>
      <c r="BV32" s="189">
        <v>0</v>
      </c>
    </row>
    <row r="33" spans="1:74" x14ac:dyDescent="0.25">
      <c r="A33" s="189" t="s">
        <v>249</v>
      </c>
      <c r="B33" s="189">
        <v>1813717926.3599999</v>
      </c>
      <c r="C33" s="189">
        <v>1813717926.3599999</v>
      </c>
      <c r="D33" s="189">
        <v>0</v>
      </c>
      <c r="E33" s="189">
        <v>491047150</v>
      </c>
      <c r="F33" s="189">
        <v>491047150</v>
      </c>
      <c r="G33" s="189">
        <v>128035650</v>
      </c>
      <c r="H33" s="189">
        <v>0</v>
      </c>
      <c r="I33" s="189">
        <v>18092048.850000001</v>
      </c>
      <c r="J33" s="189">
        <v>18027260</v>
      </c>
      <c r="K33" s="189">
        <v>2077260</v>
      </c>
      <c r="L33" s="189">
        <v>0</v>
      </c>
      <c r="M33" s="189">
        <v>102490805</v>
      </c>
      <c r="N33" s="189">
        <v>59000000</v>
      </c>
      <c r="O33" s="189">
        <v>39000000</v>
      </c>
      <c r="P33" s="189">
        <v>4000000</v>
      </c>
      <c r="Q33" s="189">
        <v>6000000</v>
      </c>
      <c r="R33" s="189">
        <v>2666009</v>
      </c>
      <c r="S33" s="189">
        <v>0</v>
      </c>
      <c r="T33" s="189">
        <v>0</v>
      </c>
      <c r="U33" s="189">
        <v>172467935.24000001</v>
      </c>
      <c r="V33" s="189">
        <v>73500000</v>
      </c>
      <c r="W33" s="189">
        <v>0</v>
      </c>
      <c r="X33" s="189">
        <v>0</v>
      </c>
      <c r="Y33" s="189">
        <v>0</v>
      </c>
      <c r="Z33" s="189">
        <v>0</v>
      </c>
      <c r="AA33" s="189">
        <v>0</v>
      </c>
      <c r="AB33" s="189">
        <v>0</v>
      </c>
      <c r="AC33" s="189">
        <v>0</v>
      </c>
      <c r="AD33" s="189">
        <v>0</v>
      </c>
      <c r="AE33" s="189">
        <v>0</v>
      </c>
      <c r="AF33" s="189">
        <v>0</v>
      </c>
      <c r="AG33" s="189">
        <v>13000000</v>
      </c>
      <c r="AH33" s="189">
        <v>0</v>
      </c>
      <c r="AI33" s="189">
        <v>0</v>
      </c>
      <c r="AJ33" s="189">
        <v>0</v>
      </c>
      <c r="AK33" s="189">
        <v>11000000</v>
      </c>
      <c r="AL33" s="189">
        <v>0</v>
      </c>
      <c r="AM33" s="189">
        <v>0</v>
      </c>
      <c r="AN33" s="189">
        <v>0</v>
      </c>
      <c r="AO33" s="189">
        <v>0</v>
      </c>
      <c r="AP33" s="189">
        <v>0</v>
      </c>
      <c r="AQ33" s="189">
        <v>0</v>
      </c>
      <c r="AR33" s="189">
        <v>0</v>
      </c>
      <c r="AS33" s="189">
        <v>15000000</v>
      </c>
      <c r="AT33" s="189">
        <v>15000000</v>
      </c>
      <c r="AU33" s="189">
        <v>15000000</v>
      </c>
      <c r="AV33" s="189">
        <v>0</v>
      </c>
      <c r="AW33" s="189">
        <v>0</v>
      </c>
      <c r="AX33" s="189">
        <v>1000000</v>
      </c>
      <c r="AY33" s="189">
        <v>1000000</v>
      </c>
      <c r="AZ33" s="189">
        <v>0</v>
      </c>
      <c r="BA33" s="189">
        <v>0</v>
      </c>
      <c r="BB33" s="189">
        <v>0</v>
      </c>
      <c r="BC33" s="189">
        <v>0</v>
      </c>
      <c r="BD33" s="189">
        <v>0</v>
      </c>
      <c r="BE33" s="189">
        <v>2450000</v>
      </c>
      <c r="BF33" s="189">
        <v>0</v>
      </c>
      <c r="BG33" s="189">
        <v>0</v>
      </c>
      <c r="BH33" s="189">
        <v>0</v>
      </c>
      <c r="BI33" s="189">
        <v>0</v>
      </c>
      <c r="BJ33" s="189">
        <v>0</v>
      </c>
      <c r="BK33" s="189">
        <v>0</v>
      </c>
      <c r="BL33" s="189">
        <v>0</v>
      </c>
      <c r="BM33" s="189">
        <v>800000</v>
      </c>
      <c r="BN33" s="189">
        <v>0</v>
      </c>
      <c r="BO33" s="189">
        <v>615571049.24000001</v>
      </c>
      <c r="BP33" s="189">
        <v>614591049.24000001</v>
      </c>
      <c r="BQ33" s="189">
        <v>0</v>
      </c>
      <c r="BR33" s="189">
        <v>7438579.8600000003</v>
      </c>
      <c r="BS33" s="189">
        <v>0</v>
      </c>
      <c r="BT33" s="189">
        <v>0</v>
      </c>
      <c r="BU33" s="189">
        <v>1187567877.27</v>
      </c>
      <c r="BV33" s="189">
        <v>0</v>
      </c>
    </row>
    <row r="34" spans="1:74" x14ac:dyDescent="0.25">
      <c r="A34" s="189" t="s">
        <v>250</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2450000</v>
      </c>
      <c r="AM34" s="189">
        <v>2450000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2814887.33</v>
      </c>
      <c r="BS34" s="189">
        <v>0</v>
      </c>
      <c r="BT34" s="189">
        <v>0</v>
      </c>
      <c r="BU34" s="189">
        <v>70000000</v>
      </c>
      <c r="BV34" s="189">
        <v>0</v>
      </c>
    </row>
    <row r="35" spans="1:74" x14ac:dyDescent="0.25">
      <c r="A35" s="189" t="s">
        <v>552</v>
      </c>
      <c r="B35" s="189">
        <v>5409549048.5299997</v>
      </c>
      <c r="C35" s="189">
        <v>360002591.63999999</v>
      </c>
      <c r="D35" s="189">
        <v>0</v>
      </c>
      <c r="E35" s="189">
        <v>3617502790.5500002</v>
      </c>
      <c r="F35" s="189">
        <v>3617502790.5500002</v>
      </c>
      <c r="G35" s="189">
        <v>3416370048</v>
      </c>
      <c r="H35" s="189">
        <v>0</v>
      </c>
      <c r="I35" s="189">
        <v>3212019610.5599999</v>
      </c>
      <c r="J35" s="189">
        <v>3141873139.1399999</v>
      </c>
      <c r="K35" s="189">
        <v>0</v>
      </c>
      <c r="L35" s="189">
        <v>0</v>
      </c>
      <c r="M35" s="189">
        <v>2457403819.8000002</v>
      </c>
      <c r="N35" s="189">
        <v>2457403819.8000002</v>
      </c>
      <c r="O35" s="189">
        <v>2457403819.8000002</v>
      </c>
      <c r="P35" s="189">
        <v>0</v>
      </c>
      <c r="Q35" s="189">
        <v>2995275619.5599999</v>
      </c>
      <c r="R35" s="189">
        <v>2995275619.5700002</v>
      </c>
      <c r="S35" s="189">
        <v>2994919047.9699998</v>
      </c>
      <c r="T35" s="189">
        <v>0</v>
      </c>
      <c r="U35" s="189">
        <v>3391501362.1599998</v>
      </c>
      <c r="V35" s="189">
        <v>3391501362.1599998</v>
      </c>
      <c r="W35" s="189">
        <v>3391501362.1599998</v>
      </c>
      <c r="X35" s="189">
        <v>32227986.16</v>
      </c>
      <c r="Y35" s="189">
        <v>2113851892.23</v>
      </c>
      <c r="Z35" s="189">
        <v>2116322677.4300001</v>
      </c>
      <c r="AA35" s="189">
        <v>2116322677.4300001</v>
      </c>
      <c r="AB35" s="189">
        <v>215868531.93000001</v>
      </c>
      <c r="AC35" s="189">
        <v>1503137193.9100001</v>
      </c>
      <c r="AD35" s="189">
        <v>1427440016</v>
      </c>
      <c r="AE35" s="189">
        <v>1044440016</v>
      </c>
      <c r="AF35" s="189">
        <v>205650000</v>
      </c>
      <c r="AG35" s="189">
        <v>660767438.72000003</v>
      </c>
      <c r="AH35" s="189">
        <v>500767438.72000003</v>
      </c>
      <c r="AI35" s="189">
        <v>500767438.72000003</v>
      </c>
      <c r="AJ35" s="189">
        <v>0</v>
      </c>
      <c r="AK35" s="189">
        <v>189798336</v>
      </c>
      <c r="AL35" s="189">
        <v>190580418.09</v>
      </c>
      <c r="AM35" s="189">
        <v>190580418.09</v>
      </c>
      <c r="AN35" s="189">
        <v>0</v>
      </c>
      <c r="AO35" s="189">
        <v>0</v>
      </c>
      <c r="AP35" s="189">
        <v>0</v>
      </c>
      <c r="AQ35" s="189">
        <v>0</v>
      </c>
      <c r="AR35" s="189">
        <v>0</v>
      </c>
      <c r="AS35" s="189">
        <v>162684288</v>
      </c>
      <c r="AT35" s="189">
        <v>26287580.489999998</v>
      </c>
      <c r="AU35" s="189">
        <v>26287580.489999998</v>
      </c>
      <c r="AV35" s="189">
        <v>0</v>
      </c>
      <c r="AW35" s="189">
        <v>271140480</v>
      </c>
      <c r="AX35" s="189">
        <v>266331306.06</v>
      </c>
      <c r="AY35" s="189">
        <v>221552618.06</v>
      </c>
      <c r="AZ35" s="189">
        <v>0</v>
      </c>
      <c r="BA35" s="189">
        <v>0</v>
      </c>
      <c r="BB35" s="189">
        <v>0</v>
      </c>
      <c r="BC35" s="189">
        <v>0</v>
      </c>
      <c r="BD35" s="189">
        <v>0</v>
      </c>
      <c r="BE35" s="189">
        <v>271140480</v>
      </c>
      <c r="BF35" s="189">
        <v>271140480</v>
      </c>
      <c r="BG35" s="189">
        <v>271140480</v>
      </c>
      <c r="BH35" s="189">
        <v>0</v>
      </c>
      <c r="BI35" s="189">
        <v>15606000</v>
      </c>
      <c r="BJ35" s="189">
        <v>0</v>
      </c>
      <c r="BK35" s="189">
        <v>0</v>
      </c>
      <c r="BL35" s="189">
        <v>0</v>
      </c>
      <c r="BM35" s="189">
        <v>6120000</v>
      </c>
      <c r="BN35" s="189">
        <v>6120000</v>
      </c>
      <c r="BO35" s="189">
        <v>51120000</v>
      </c>
      <c r="BP35" s="189">
        <v>0</v>
      </c>
      <c r="BQ35" s="189">
        <v>0</v>
      </c>
      <c r="BR35" s="189">
        <v>0</v>
      </c>
      <c r="BS35" s="189">
        <v>400000000</v>
      </c>
      <c r="BT35" s="189">
        <v>237866348.78</v>
      </c>
      <c r="BU35" s="189">
        <v>3413057.57</v>
      </c>
      <c r="BV35" s="189">
        <v>0</v>
      </c>
    </row>
    <row r="36" spans="1:74" x14ac:dyDescent="0.25">
      <c r="A36" s="189" t="s">
        <v>251</v>
      </c>
      <c r="B36" s="189">
        <v>363458642.02999997</v>
      </c>
      <c r="C36" s="189">
        <v>360002591.63999999</v>
      </c>
      <c r="D36" s="189">
        <v>0</v>
      </c>
      <c r="E36" s="189">
        <v>201132742.55000001</v>
      </c>
      <c r="F36" s="189">
        <v>201132742.55000001</v>
      </c>
      <c r="G36" s="189">
        <v>0</v>
      </c>
      <c r="H36" s="189">
        <v>0</v>
      </c>
      <c r="I36" s="189">
        <v>175246234.56</v>
      </c>
      <c r="J36" s="189">
        <v>175099763.13999999</v>
      </c>
      <c r="K36" s="189">
        <v>0</v>
      </c>
      <c r="L36" s="189">
        <v>0</v>
      </c>
      <c r="M36" s="189">
        <v>179823787.80000001</v>
      </c>
      <c r="N36" s="189">
        <v>179823787.80000001</v>
      </c>
      <c r="O36" s="189">
        <v>179823787.80000001</v>
      </c>
      <c r="P36" s="189">
        <v>0</v>
      </c>
      <c r="Q36" s="189">
        <v>338098915.56</v>
      </c>
      <c r="R36" s="189">
        <v>338098915.56999999</v>
      </c>
      <c r="S36" s="189">
        <v>338098915.56999999</v>
      </c>
      <c r="T36" s="189">
        <v>0</v>
      </c>
      <c r="U36" s="189">
        <v>354727986.16000003</v>
      </c>
      <c r="V36" s="189">
        <v>354727986.16000003</v>
      </c>
      <c r="W36" s="189">
        <v>354727986.16000003</v>
      </c>
      <c r="X36" s="189">
        <v>0</v>
      </c>
      <c r="Y36" s="189">
        <v>215868531.93000001</v>
      </c>
      <c r="Z36" s="189">
        <v>0</v>
      </c>
      <c r="AA36" s="189">
        <v>515868531.93000001</v>
      </c>
      <c r="AB36" s="189">
        <v>0</v>
      </c>
      <c r="AC36" s="189">
        <v>281347177.91000003</v>
      </c>
      <c r="AD36" s="189">
        <v>0</v>
      </c>
      <c r="AE36" s="189">
        <v>205650000</v>
      </c>
      <c r="AF36" s="189">
        <v>0</v>
      </c>
      <c r="AG36" s="189">
        <v>0</v>
      </c>
      <c r="AH36" s="189">
        <v>0</v>
      </c>
      <c r="AI36" s="189">
        <v>14372430.720000001</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row>
    <row r="37" spans="1:74" x14ac:dyDescent="0.25">
      <c r="A37" s="189" t="s">
        <v>252</v>
      </c>
      <c r="B37" s="189">
        <v>0</v>
      </c>
      <c r="C37" s="189">
        <v>0</v>
      </c>
      <c r="D37" s="189">
        <v>0</v>
      </c>
      <c r="E37" s="189">
        <v>512787500</v>
      </c>
      <c r="F37" s="189">
        <v>512787500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2500000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1456710.92</v>
      </c>
      <c r="BP37" s="189">
        <v>1456710.92</v>
      </c>
      <c r="BQ37" s="189">
        <v>0</v>
      </c>
      <c r="BR37" s="189">
        <v>0</v>
      </c>
      <c r="BS37" s="189">
        <v>0</v>
      </c>
      <c r="BT37" s="189">
        <v>0</v>
      </c>
      <c r="BU37" s="189">
        <v>6041000</v>
      </c>
      <c r="BV37" s="189">
        <v>0</v>
      </c>
    </row>
    <row r="38" spans="1:74" x14ac:dyDescent="0.25">
      <c r="A38" s="189" t="s">
        <v>253</v>
      </c>
      <c r="B38" s="189">
        <v>5409549048.5299997</v>
      </c>
      <c r="C38" s="189">
        <v>360002591.63999999</v>
      </c>
      <c r="D38" s="189">
        <v>0</v>
      </c>
      <c r="E38" s="189">
        <v>4130290290.5500002</v>
      </c>
      <c r="F38" s="189">
        <v>4130290290.5500002</v>
      </c>
      <c r="G38" s="189">
        <v>3416370048</v>
      </c>
      <c r="H38" s="189">
        <v>0</v>
      </c>
      <c r="I38" s="189">
        <v>3212019610.5599999</v>
      </c>
      <c r="J38" s="189">
        <v>3141873139.1399999</v>
      </c>
      <c r="K38" s="189">
        <v>0</v>
      </c>
      <c r="L38" s="189">
        <v>0</v>
      </c>
      <c r="M38" s="189">
        <v>2457403819.8000002</v>
      </c>
      <c r="N38" s="189">
        <v>2457403819.8000002</v>
      </c>
      <c r="O38" s="189">
        <v>2457403819.8000002</v>
      </c>
      <c r="P38" s="189">
        <v>0</v>
      </c>
      <c r="Q38" s="189">
        <v>2995275619.5599999</v>
      </c>
      <c r="R38" s="189">
        <v>2995275619.5700002</v>
      </c>
      <c r="S38" s="189">
        <v>2994919047.9699998</v>
      </c>
      <c r="T38" s="189">
        <v>0</v>
      </c>
      <c r="U38" s="189">
        <v>3391501362.1599998</v>
      </c>
      <c r="V38" s="189">
        <v>3391501362.1599998</v>
      </c>
      <c r="W38" s="189">
        <v>3391501362.1599998</v>
      </c>
      <c r="X38" s="189">
        <v>32227986.16</v>
      </c>
      <c r="Y38" s="189">
        <v>2113851892.23</v>
      </c>
      <c r="Z38" s="189">
        <v>2116322677.4300001</v>
      </c>
      <c r="AA38" s="189">
        <v>2116322677.4300001</v>
      </c>
      <c r="AB38" s="189">
        <v>215868531.93000001</v>
      </c>
      <c r="AC38" s="189">
        <v>1503137193.9100001</v>
      </c>
      <c r="AD38" s="189">
        <v>1427440016</v>
      </c>
      <c r="AE38" s="189">
        <v>1044440016</v>
      </c>
      <c r="AF38" s="189">
        <v>205650000</v>
      </c>
      <c r="AG38" s="189">
        <v>660767438.72000003</v>
      </c>
      <c r="AH38" s="189">
        <v>500767438.72000003</v>
      </c>
      <c r="AI38" s="189">
        <v>500767438.72000003</v>
      </c>
      <c r="AJ38" s="189">
        <v>0</v>
      </c>
      <c r="AK38" s="189">
        <v>189798336</v>
      </c>
      <c r="AL38" s="189">
        <v>193030418.09</v>
      </c>
      <c r="AM38" s="189">
        <v>193030418.09</v>
      </c>
      <c r="AN38" s="189">
        <v>0</v>
      </c>
      <c r="AO38" s="189">
        <v>2500000</v>
      </c>
      <c r="AP38" s="189">
        <v>0</v>
      </c>
      <c r="AQ38" s="189">
        <v>0</v>
      </c>
      <c r="AR38" s="189">
        <v>0</v>
      </c>
      <c r="AS38" s="189">
        <v>162684288</v>
      </c>
      <c r="AT38" s="189">
        <v>26287580.489999998</v>
      </c>
      <c r="AU38" s="189">
        <v>26287580.489999998</v>
      </c>
      <c r="AV38" s="189">
        <v>0</v>
      </c>
      <c r="AW38" s="189">
        <v>271140480</v>
      </c>
      <c r="AX38" s="189">
        <v>266331306.06</v>
      </c>
      <c r="AY38" s="189">
        <v>221552618.06</v>
      </c>
      <c r="AZ38" s="189">
        <v>0</v>
      </c>
      <c r="BA38" s="189">
        <v>0</v>
      </c>
      <c r="BB38" s="189">
        <v>0</v>
      </c>
      <c r="BC38" s="189">
        <v>0</v>
      </c>
      <c r="BD38" s="189">
        <v>0</v>
      </c>
      <c r="BE38" s="189">
        <v>271140480</v>
      </c>
      <c r="BF38" s="189">
        <v>271140480</v>
      </c>
      <c r="BG38" s="189">
        <v>271140480</v>
      </c>
      <c r="BH38" s="189">
        <v>0</v>
      </c>
      <c r="BI38" s="189">
        <v>15606000</v>
      </c>
      <c r="BJ38" s="189">
        <v>0</v>
      </c>
      <c r="BK38" s="189">
        <v>0</v>
      </c>
      <c r="BL38" s="189">
        <v>0</v>
      </c>
      <c r="BM38" s="189">
        <v>6120000</v>
      </c>
      <c r="BN38" s="189">
        <v>6120000</v>
      </c>
      <c r="BO38" s="189">
        <v>52576710.920000002</v>
      </c>
      <c r="BP38" s="189">
        <v>1456710.92</v>
      </c>
      <c r="BQ38" s="189">
        <v>0</v>
      </c>
      <c r="BR38" s="189">
        <v>2814887.33</v>
      </c>
      <c r="BS38" s="189">
        <v>400000000</v>
      </c>
      <c r="BT38" s="189">
        <v>237866348.78</v>
      </c>
      <c r="BU38" s="189">
        <v>79454057.569999993</v>
      </c>
      <c r="BV38" s="189">
        <v>0</v>
      </c>
    </row>
    <row r="39" spans="1:74" x14ac:dyDescent="0.25">
      <c r="A39" s="189" t="s">
        <v>254</v>
      </c>
      <c r="B39" s="189">
        <v>-3595831122.1700001</v>
      </c>
      <c r="C39" s="189">
        <v>1453715334.72</v>
      </c>
      <c r="D39" s="189">
        <v>0</v>
      </c>
      <c r="E39" s="189">
        <v>-3639243140.5500002</v>
      </c>
      <c r="F39" s="189">
        <v>-3639243140.5500002</v>
      </c>
      <c r="G39" s="189">
        <v>-3288334398</v>
      </c>
      <c r="H39" s="189">
        <v>0</v>
      </c>
      <c r="I39" s="189">
        <v>-3193927561.71</v>
      </c>
      <c r="J39" s="189">
        <v>-3123845879.1399999</v>
      </c>
      <c r="K39" s="189">
        <v>2077260</v>
      </c>
      <c r="L39" s="189">
        <v>0</v>
      </c>
      <c r="M39" s="189">
        <v>-2354913014.8000002</v>
      </c>
      <c r="N39" s="189">
        <v>-2398403819.8000002</v>
      </c>
      <c r="O39" s="189">
        <v>-2418403819.8000002</v>
      </c>
      <c r="P39" s="189">
        <v>4000000</v>
      </c>
      <c r="Q39" s="189">
        <v>-2989275619.5599999</v>
      </c>
      <c r="R39" s="189">
        <v>-2992609610.5700002</v>
      </c>
      <c r="S39" s="189">
        <v>-2994919047.9699998</v>
      </c>
      <c r="T39" s="189">
        <v>0</v>
      </c>
      <c r="U39" s="189">
        <v>-3219033426.9200001</v>
      </c>
      <c r="V39" s="189">
        <v>-3318001362.1599998</v>
      </c>
      <c r="W39" s="189">
        <v>-3391501362.1599998</v>
      </c>
      <c r="X39" s="189">
        <v>-32227986.16</v>
      </c>
      <c r="Y39" s="189">
        <v>-2113851892.23</v>
      </c>
      <c r="Z39" s="189">
        <v>-2116322677.4300001</v>
      </c>
      <c r="AA39" s="189">
        <v>-2116322677.4300001</v>
      </c>
      <c r="AB39" s="189">
        <v>-215868531.93000001</v>
      </c>
      <c r="AC39" s="189">
        <v>-1503137193.9100001</v>
      </c>
      <c r="AD39" s="189">
        <v>-1427440016</v>
      </c>
      <c r="AE39" s="189">
        <v>-1044440016</v>
      </c>
      <c r="AF39" s="189">
        <v>-205650000</v>
      </c>
      <c r="AG39" s="189">
        <v>-647767438.72000003</v>
      </c>
      <c r="AH39" s="189">
        <v>-500767438.72000003</v>
      </c>
      <c r="AI39" s="189">
        <v>-500767438.72000003</v>
      </c>
      <c r="AJ39" s="189">
        <v>0</v>
      </c>
      <c r="AK39" s="189">
        <v>-178798336</v>
      </c>
      <c r="AL39" s="189">
        <v>-193030418.09</v>
      </c>
      <c r="AM39" s="189">
        <v>-193030418.09</v>
      </c>
      <c r="AN39" s="189">
        <v>0</v>
      </c>
      <c r="AO39" s="189">
        <v>-2500000</v>
      </c>
      <c r="AP39" s="189">
        <v>0</v>
      </c>
      <c r="AQ39" s="189">
        <v>0</v>
      </c>
      <c r="AR39" s="189">
        <v>0</v>
      </c>
      <c r="AS39" s="189">
        <v>-147684288</v>
      </c>
      <c r="AT39" s="189">
        <v>-11287580.49</v>
      </c>
      <c r="AU39" s="189">
        <v>-11287580.49</v>
      </c>
      <c r="AV39" s="189">
        <v>0</v>
      </c>
      <c r="AW39" s="189">
        <v>-271140480</v>
      </c>
      <c r="AX39" s="189">
        <v>-265331306.06</v>
      </c>
      <c r="AY39" s="189">
        <v>-220552618.06</v>
      </c>
      <c r="AZ39" s="189">
        <v>0</v>
      </c>
      <c r="BA39" s="189">
        <v>0</v>
      </c>
      <c r="BB39" s="189">
        <v>0</v>
      </c>
      <c r="BC39" s="189">
        <v>0</v>
      </c>
      <c r="BD39" s="189">
        <v>0</v>
      </c>
      <c r="BE39" s="189">
        <v>-268690480</v>
      </c>
      <c r="BF39" s="189">
        <v>-271140480</v>
      </c>
      <c r="BG39" s="189">
        <v>-271140480</v>
      </c>
      <c r="BH39" s="189">
        <v>0</v>
      </c>
      <c r="BI39" s="189">
        <v>-15606000</v>
      </c>
      <c r="BJ39" s="189">
        <v>0</v>
      </c>
      <c r="BK39" s="189">
        <v>0</v>
      </c>
      <c r="BL39" s="189">
        <v>0</v>
      </c>
      <c r="BM39" s="189">
        <v>-5320000</v>
      </c>
      <c r="BN39" s="189">
        <v>-6120000</v>
      </c>
      <c r="BO39" s="189">
        <v>562994338.32000005</v>
      </c>
      <c r="BP39" s="189">
        <v>613134338.32000005</v>
      </c>
      <c r="BQ39" s="189">
        <v>0</v>
      </c>
      <c r="BR39" s="189">
        <v>4623692.53</v>
      </c>
      <c r="BS39" s="189">
        <v>-400000000</v>
      </c>
      <c r="BT39" s="189">
        <v>-237866348.78</v>
      </c>
      <c r="BU39" s="189">
        <v>1108113819.7</v>
      </c>
      <c r="BV39" s="189">
        <v>0</v>
      </c>
    </row>
    <row r="40" spans="1:74" x14ac:dyDescent="0.25">
      <c r="A40" s="189" t="s">
        <v>255</v>
      </c>
      <c r="B40" s="189">
        <v>383156.81</v>
      </c>
      <c r="C40" s="189">
        <v>85882.9</v>
      </c>
      <c r="D40" s="189">
        <v>-128438.01</v>
      </c>
      <c r="E40" s="189">
        <v>-165838.85</v>
      </c>
      <c r="F40" s="189">
        <v>-108910.63</v>
      </c>
      <c r="G40" s="189">
        <v>-62722.36</v>
      </c>
      <c r="H40" s="189">
        <v>-13952.3</v>
      </c>
      <c r="I40" s="189">
        <v>153983.15</v>
      </c>
      <c r="J40" s="189">
        <v>59851.15</v>
      </c>
      <c r="K40" s="189">
        <v>43813.84</v>
      </c>
      <c r="L40" s="189">
        <v>-10314.629999999999</v>
      </c>
      <c r="M40" s="189">
        <v>102450.21</v>
      </c>
      <c r="N40" s="189">
        <v>74412.03</v>
      </c>
      <c r="O40" s="189">
        <v>4982.21</v>
      </c>
      <c r="P40" s="189">
        <v>-34268.800000000003</v>
      </c>
      <c r="Q40" s="189">
        <v>-140253.82</v>
      </c>
      <c r="R40" s="189">
        <v>3104.63</v>
      </c>
      <c r="S40" s="189">
        <v>2222.46</v>
      </c>
      <c r="T40" s="189">
        <v>0</v>
      </c>
      <c r="U40" s="189">
        <v>-7760.06</v>
      </c>
      <c r="V40" s="189">
        <v>2674.95</v>
      </c>
      <c r="W40" s="189">
        <v>2674.95</v>
      </c>
      <c r="X40" s="189">
        <v>0</v>
      </c>
      <c r="Y40" s="189">
        <v>205399.9</v>
      </c>
      <c r="Z40" s="189">
        <v>0</v>
      </c>
      <c r="AA40" s="189">
        <v>0</v>
      </c>
      <c r="AB40" s="189">
        <v>0</v>
      </c>
      <c r="AC40" s="189">
        <v>-11178.14</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row>
    <row r="41" spans="1:74" x14ac:dyDescent="0.25">
      <c r="A41" s="189" t="s">
        <v>256</v>
      </c>
      <c r="B41" s="189">
        <v>55729478.280000001</v>
      </c>
      <c r="C41" s="189">
        <v>1834527244.03</v>
      </c>
      <c r="D41" s="189">
        <v>2249542780.73</v>
      </c>
      <c r="E41" s="189">
        <v>5925885569.7299995</v>
      </c>
      <c r="F41" s="189">
        <v>2343546659.1300001</v>
      </c>
      <c r="G41" s="189">
        <v>-205215180.47</v>
      </c>
      <c r="H41" s="189">
        <v>1778311893.1300001</v>
      </c>
      <c r="I41" s="189">
        <v>8341727655.54</v>
      </c>
      <c r="J41" s="189">
        <v>7336946919.9399996</v>
      </c>
      <c r="K41" s="189">
        <v>4249035693</v>
      </c>
      <c r="L41" s="189">
        <v>696828157.05999994</v>
      </c>
      <c r="M41" s="189">
        <v>3942083596.0300002</v>
      </c>
      <c r="N41" s="189">
        <v>2986417467.7600002</v>
      </c>
      <c r="O41" s="189">
        <v>470395950.25999999</v>
      </c>
      <c r="P41" s="189">
        <v>1834803617.3599999</v>
      </c>
      <c r="Q41" s="189">
        <v>-3381388690.4699998</v>
      </c>
      <c r="R41" s="189">
        <v>-4947035935.4200001</v>
      </c>
      <c r="S41" s="189">
        <v>-5718559876.5500002</v>
      </c>
      <c r="T41" s="189">
        <v>-2986638914.9200001</v>
      </c>
      <c r="U41" s="189">
        <v>-2082011962.22</v>
      </c>
      <c r="V41" s="189">
        <v>-3269896858.48</v>
      </c>
      <c r="W41" s="189">
        <v>-2089451462.6099999</v>
      </c>
      <c r="X41" s="189">
        <v>960399753.85000002</v>
      </c>
      <c r="Y41" s="189">
        <v>6294645571.1899996</v>
      </c>
      <c r="Z41" s="189">
        <v>4216716430.6900001</v>
      </c>
      <c r="AA41" s="189">
        <v>1640183325.04</v>
      </c>
      <c r="AB41" s="189">
        <v>1332304164.1500001</v>
      </c>
      <c r="AC41" s="189">
        <v>7416402663.3299999</v>
      </c>
      <c r="AD41" s="189">
        <v>4895957618.29</v>
      </c>
      <c r="AE41" s="189">
        <v>4077107390.6500001</v>
      </c>
      <c r="AF41" s="189">
        <v>2056200503.3599999</v>
      </c>
      <c r="AG41" s="189">
        <v>6590870302.6199999</v>
      </c>
      <c r="AH41" s="189">
        <v>3929496033.4200001</v>
      </c>
      <c r="AI41" s="189">
        <v>2399616885.6300001</v>
      </c>
      <c r="AJ41" s="189">
        <v>2000072182.1300001</v>
      </c>
      <c r="AK41" s="189">
        <v>1618192105.3499999</v>
      </c>
      <c r="AL41" s="189">
        <v>638171281.51999998</v>
      </c>
      <c r="AM41" s="189">
        <v>-1079049079.48</v>
      </c>
      <c r="AN41" s="189">
        <v>1121881138.1099999</v>
      </c>
      <c r="AO41" s="189">
        <v>1864629703.0999999</v>
      </c>
      <c r="AP41" s="189">
        <v>1777948991.3499999</v>
      </c>
      <c r="AQ41" s="189">
        <v>1123479448.0699999</v>
      </c>
      <c r="AR41" s="189">
        <v>1167865305.0599999</v>
      </c>
      <c r="AS41" s="189">
        <v>1274508772.22</v>
      </c>
      <c r="AT41" s="189">
        <v>1902471142.6600001</v>
      </c>
      <c r="AU41" s="189">
        <v>1490061843.23</v>
      </c>
      <c r="AV41" s="189">
        <v>1017120011.05</v>
      </c>
      <c r="AW41" s="189">
        <v>815190128.96000004</v>
      </c>
      <c r="AX41" s="189">
        <v>685144420.63</v>
      </c>
      <c r="AY41" s="189">
        <v>472506856.47000003</v>
      </c>
      <c r="AZ41" s="189">
        <v>780148155.46000004</v>
      </c>
      <c r="BA41" s="189">
        <v>1088443320.3099999</v>
      </c>
      <c r="BB41" s="189">
        <v>689036949.15999997</v>
      </c>
      <c r="BC41" s="189">
        <v>597014284</v>
      </c>
      <c r="BD41" s="189">
        <v>352215885.25999999</v>
      </c>
      <c r="BE41" s="189">
        <v>-122460237.06999999</v>
      </c>
      <c r="BF41" s="189">
        <v>465225986.95999998</v>
      </c>
      <c r="BG41" s="189">
        <v>308969848.87</v>
      </c>
      <c r="BH41" s="189">
        <v>894057923.57000005</v>
      </c>
      <c r="BI41" s="189">
        <v>-330640946.86000001</v>
      </c>
      <c r="BJ41" s="189">
        <v>-62380343.909999996</v>
      </c>
      <c r="BK41" s="189">
        <v>225491738.33000001</v>
      </c>
      <c r="BL41" s="189">
        <v>218932861.22</v>
      </c>
      <c r="BM41" s="189">
        <v>-191849893.97</v>
      </c>
      <c r="BN41" s="189">
        <v>284884666.32999998</v>
      </c>
      <c r="BO41" s="189">
        <v>-181217826.88999999</v>
      </c>
      <c r="BP41" s="189">
        <v>-148629047.83000001</v>
      </c>
      <c r="BQ41" s="189">
        <v>777502685.95000005</v>
      </c>
      <c r="BR41" s="189">
        <v>-331673401.02999997</v>
      </c>
      <c r="BS41" s="189">
        <v>-121363774.37</v>
      </c>
      <c r="BT41" s="189">
        <v>191656743.05000001</v>
      </c>
      <c r="BU41" s="189">
        <v>882028088.5</v>
      </c>
      <c r="BV41" s="189">
        <v>0</v>
      </c>
    </row>
    <row r="42" spans="1:74" x14ac:dyDescent="0.25">
      <c r="A42" s="189" t="s">
        <v>257</v>
      </c>
      <c r="B42" s="189">
        <v>40591803405.779999</v>
      </c>
      <c r="C42" s="189">
        <v>40591803405.779999</v>
      </c>
      <c r="D42" s="189">
        <v>40591803405.779999</v>
      </c>
      <c r="E42" s="189">
        <v>34665917836.050003</v>
      </c>
      <c r="F42" s="189">
        <v>34665917836.050003</v>
      </c>
      <c r="G42" s="189">
        <v>34665917836.050003</v>
      </c>
      <c r="H42" s="189">
        <v>34665917836.050003</v>
      </c>
      <c r="I42" s="189">
        <v>26324190180.509998</v>
      </c>
      <c r="J42" s="189">
        <v>26324190180.509998</v>
      </c>
      <c r="K42" s="189">
        <v>26324190180.509998</v>
      </c>
      <c r="L42" s="189">
        <v>26324190180.509998</v>
      </c>
      <c r="M42" s="189">
        <v>22382106584.48</v>
      </c>
      <c r="N42" s="189">
        <v>22382106584.48</v>
      </c>
      <c r="O42" s="189">
        <v>22382106584.48</v>
      </c>
      <c r="P42" s="189">
        <v>22382106584.48</v>
      </c>
      <c r="Q42" s="189">
        <v>25763495274.950001</v>
      </c>
      <c r="R42" s="189">
        <v>25763495274.950001</v>
      </c>
      <c r="S42" s="189">
        <v>25763495274.950001</v>
      </c>
      <c r="T42" s="189">
        <v>25763495274.950001</v>
      </c>
      <c r="U42" s="189">
        <v>27845507237.169998</v>
      </c>
      <c r="V42" s="189">
        <v>27845507237.169998</v>
      </c>
      <c r="W42" s="189">
        <v>27845507237.169998</v>
      </c>
      <c r="X42" s="189">
        <v>27845507237.169998</v>
      </c>
      <c r="Y42" s="189">
        <v>21550861665.98</v>
      </c>
      <c r="Z42" s="189">
        <v>21550861665.98</v>
      </c>
      <c r="AA42" s="189">
        <v>21550861665.98</v>
      </c>
      <c r="AB42" s="189">
        <v>21550861665.98</v>
      </c>
      <c r="AC42" s="189">
        <v>14134459002.65</v>
      </c>
      <c r="AD42" s="189">
        <v>14134459002.65</v>
      </c>
      <c r="AE42" s="189">
        <v>14134459002.65</v>
      </c>
      <c r="AF42" s="189">
        <v>14134459002.65</v>
      </c>
      <c r="AG42" s="189">
        <v>7543588700.0299997</v>
      </c>
      <c r="AH42" s="189">
        <v>7543588700.0299997</v>
      </c>
      <c r="AI42" s="189">
        <v>7543588700.0299997</v>
      </c>
      <c r="AJ42" s="189">
        <v>7543588700.0299997</v>
      </c>
      <c r="AK42" s="189">
        <v>5925396594.6800003</v>
      </c>
      <c r="AL42" s="189">
        <v>5925396594.6800003</v>
      </c>
      <c r="AM42" s="189">
        <v>5925396594.6800003</v>
      </c>
      <c r="AN42" s="189">
        <v>5925396594.6800003</v>
      </c>
      <c r="AO42" s="189">
        <v>4060766891.5799999</v>
      </c>
      <c r="AP42" s="189">
        <v>4060766891.5799999</v>
      </c>
      <c r="AQ42" s="189">
        <v>4060758393.3400002</v>
      </c>
      <c r="AR42" s="189">
        <v>4060766891.5799999</v>
      </c>
      <c r="AS42" s="189">
        <v>2786258119.3600001</v>
      </c>
      <c r="AT42" s="189">
        <v>2786258119.3600001</v>
      </c>
      <c r="AU42" s="189">
        <v>2786258119.3600001</v>
      </c>
      <c r="AV42" s="189">
        <v>2786258119.3600001</v>
      </c>
      <c r="AW42" s="189">
        <v>1971067990.4000001</v>
      </c>
      <c r="AX42" s="189">
        <v>1971067990.4000001</v>
      </c>
      <c r="AY42" s="189">
        <v>1971067990.4000001</v>
      </c>
      <c r="AZ42" s="189">
        <v>1971067990.4000001</v>
      </c>
      <c r="BA42" s="189">
        <v>882624670.09000003</v>
      </c>
      <c r="BB42" s="189">
        <v>882624670.09000003</v>
      </c>
      <c r="BC42" s="189">
        <v>882624670.09000003</v>
      </c>
      <c r="BD42" s="189">
        <v>882624670.09000003</v>
      </c>
      <c r="BE42" s="189">
        <v>1005084907.16</v>
      </c>
      <c r="BF42" s="189">
        <v>1005084907.16</v>
      </c>
      <c r="BG42" s="189">
        <v>1005084907.16</v>
      </c>
      <c r="BH42" s="189">
        <v>1005084907.16</v>
      </c>
      <c r="BI42" s="189">
        <v>1335725854.02</v>
      </c>
      <c r="BJ42" s="189">
        <v>1335725854.02</v>
      </c>
      <c r="BK42" s="189">
        <v>1335725854.02</v>
      </c>
      <c r="BL42" s="189">
        <v>1335725854.02</v>
      </c>
      <c r="BM42" s="189">
        <v>1527575747.99</v>
      </c>
      <c r="BN42" s="189">
        <v>1527575747.99</v>
      </c>
      <c r="BO42" s="189">
        <v>1708793574.8800001</v>
      </c>
      <c r="BP42" s="189">
        <v>1708793574.8800001</v>
      </c>
      <c r="BQ42" s="189">
        <v>931290888.92999995</v>
      </c>
      <c r="BR42" s="189">
        <v>931290888.92999995</v>
      </c>
      <c r="BS42" s="189">
        <v>1052654663.3</v>
      </c>
      <c r="BT42" s="189">
        <v>1052654663.3</v>
      </c>
      <c r="BU42" s="189">
        <v>170626574.80000001</v>
      </c>
      <c r="BV42" s="189">
        <v>0</v>
      </c>
    </row>
    <row r="43" spans="1:74" x14ac:dyDescent="0.25">
      <c r="A43" s="189" t="s">
        <v>258</v>
      </c>
      <c r="B43" s="189">
        <v>40647532884.059998</v>
      </c>
      <c r="C43" s="189">
        <v>42426330649.809998</v>
      </c>
      <c r="D43" s="189">
        <v>42841346186.510002</v>
      </c>
      <c r="E43" s="189">
        <v>40591803405.779999</v>
      </c>
      <c r="F43" s="189">
        <v>37009464495.18</v>
      </c>
      <c r="G43" s="189">
        <v>34460702655.580002</v>
      </c>
      <c r="H43" s="189">
        <v>36444229729.18</v>
      </c>
      <c r="I43" s="189">
        <v>34665917836.050003</v>
      </c>
      <c r="J43" s="189">
        <v>33661137100.450001</v>
      </c>
      <c r="K43" s="189">
        <v>30573225873.509998</v>
      </c>
      <c r="L43" s="189">
        <v>27021018337.57</v>
      </c>
      <c r="M43" s="189">
        <v>26324190180.509998</v>
      </c>
      <c r="N43" s="189">
        <v>25368524052.240002</v>
      </c>
      <c r="O43" s="189">
        <v>22852502534.740002</v>
      </c>
      <c r="P43" s="189">
        <v>24216910201.84</v>
      </c>
      <c r="Q43" s="189">
        <v>22382106584.48</v>
      </c>
      <c r="R43" s="189">
        <v>20816459339.529999</v>
      </c>
      <c r="S43" s="189">
        <v>20044935398.400002</v>
      </c>
      <c r="T43" s="189">
        <v>22776856360.029999</v>
      </c>
      <c r="U43" s="189">
        <v>25763495274.950001</v>
      </c>
      <c r="V43" s="189">
        <v>24575610378.689999</v>
      </c>
      <c r="W43" s="189">
        <v>25756055774.560001</v>
      </c>
      <c r="X43" s="189">
        <v>28805906991.02</v>
      </c>
      <c r="Y43" s="189">
        <v>27845507237.169998</v>
      </c>
      <c r="Z43" s="189">
        <v>25767578096.669998</v>
      </c>
      <c r="AA43" s="189">
        <v>23191044991.02</v>
      </c>
      <c r="AB43" s="189">
        <v>22883165830.130001</v>
      </c>
      <c r="AC43" s="189">
        <v>21550861665.98</v>
      </c>
      <c r="AD43" s="189">
        <v>19030416620.939999</v>
      </c>
      <c r="AE43" s="189">
        <v>18211566393.299999</v>
      </c>
      <c r="AF43" s="189">
        <v>16190659506.01</v>
      </c>
      <c r="AG43" s="189">
        <v>14134459002.65</v>
      </c>
      <c r="AH43" s="189">
        <v>11473084733.450001</v>
      </c>
      <c r="AI43" s="189">
        <v>9943205585.6599998</v>
      </c>
      <c r="AJ43" s="189">
        <v>9543660882.1599998</v>
      </c>
      <c r="AK43" s="189">
        <v>7543588700.0299997</v>
      </c>
      <c r="AL43" s="189">
        <v>6563567876.1999998</v>
      </c>
      <c r="AM43" s="189">
        <v>4846347515.1999998</v>
      </c>
      <c r="AN43" s="189">
        <v>7047277732.79</v>
      </c>
      <c r="AO43" s="189">
        <v>5925396594.6800003</v>
      </c>
      <c r="AP43" s="189">
        <v>5838715882.9300003</v>
      </c>
      <c r="AQ43" s="189">
        <v>5184237841.4099998</v>
      </c>
      <c r="AR43" s="189">
        <v>5228632196.6400003</v>
      </c>
      <c r="AS43" s="189">
        <v>4060766891.5799999</v>
      </c>
      <c r="AT43" s="189">
        <v>4688729262.0200005</v>
      </c>
      <c r="AU43" s="189">
        <v>4276319962.5900002</v>
      </c>
      <c r="AV43" s="189">
        <v>3803378130.4099998</v>
      </c>
      <c r="AW43" s="189">
        <v>2786258119.3600001</v>
      </c>
      <c r="AX43" s="189">
        <v>2656212411.0300002</v>
      </c>
      <c r="AY43" s="189">
        <v>2443574846.8699999</v>
      </c>
      <c r="AZ43" s="189">
        <v>2751216145.8600001</v>
      </c>
      <c r="BA43" s="189">
        <v>1971067990.4000001</v>
      </c>
      <c r="BB43" s="189">
        <v>1571661619.25</v>
      </c>
      <c r="BC43" s="189">
        <v>1479638954.0899999</v>
      </c>
      <c r="BD43" s="189">
        <v>1234840555.3499999</v>
      </c>
      <c r="BE43" s="189">
        <v>882624670.09000003</v>
      </c>
      <c r="BF43" s="189">
        <v>1470310894.1199999</v>
      </c>
      <c r="BG43" s="189">
        <v>1314054756.03</v>
      </c>
      <c r="BH43" s="189">
        <v>1899142830.73</v>
      </c>
      <c r="BI43" s="189">
        <v>1005084907.16</v>
      </c>
      <c r="BJ43" s="189">
        <v>1273345510.1099999</v>
      </c>
      <c r="BK43" s="189">
        <v>1561217592.3499999</v>
      </c>
      <c r="BL43" s="189">
        <v>1554658715.24</v>
      </c>
      <c r="BM43" s="189">
        <v>1335725854.02</v>
      </c>
      <c r="BN43" s="189">
        <v>1812460414.3199999</v>
      </c>
      <c r="BO43" s="189">
        <v>1527575747.99</v>
      </c>
      <c r="BP43" s="189">
        <v>1560164527.05</v>
      </c>
      <c r="BQ43" s="189">
        <v>1708793574.8800001</v>
      </c>
      <c r="BR43" s="189">
        <v>599617487.89999998</v>
      </c>
      <c r="BS43" s="189">
        <v>931290888.92999995</v>
      </c>
      <c r="BT43" s="189">
        <v>1244311406.3499999</v>
      </c>
      <c r="BU43" s="189">
        <v>1052654663.3</v>
      </c>
      <c r="BV43" s="189">
        <v>0</v>
      </c>
    </row>
    <row r="44" spans="1:74" x14ac:dyDescent="0.25">
      <c r="A44" s="189" t="s">
        <v>259</v>
      </c>
    </row>
    <row r="45" spans="1:74" x14ac:dyDescent="0.25">
      <c r="A45" s="189" t="s">
        <v>260</v>
      </c>
      <c r="B45" s="189">
        <v>0</v>
      </c>
      <c r="C45" s="189">
        <v>7463891285.8900003</v>
      </c>
      <c r="D45" s="189">
        <v>0</v>
      </c>
      <c r="E45" s="189">
        <v>10085969230.030001</v>
      </c>
      <c r="F45" s="189">
        <v>0</v>
      </c>
      <c r="G45" s="189">
        <v>5189809959.7600002</v>
      </c>
      <c r="H45" s="189">
        <v>0</v>
      </c>
      <c r="I45" s="189">
        <v>7056765568.8599997</v>
      </c>
      <c r="J45" s="189">
        <v>0</v>
      </c>
      <c r="K45" s="189">
        <v>4026624588.9200001</v>
      </c>
      <c r="L45" s="189">
        <v>0</v>
      </c>
      <c r="M45" s="189">
        <v>6410484336.2700005</v>
      </c>
      <c r="N45" s="189">
        <v>0</v>
      </c>
      <c r="O45" s="189">
        <v>3421203676.3299999</v>
      </c>
      <c r="P45" s="189">
        <v>0</v>
      </c>
      <c r="Q45" s="189">
        <v>6058214963.0699997</v>
      </c>
      <c r="R45" s="189">
        <v>0</v>
      </c>
      <c r="S45" s="189">
        <v>4162447434.1999998</v>
      </c>
      <c r="T45" s="189">
        <v>0</v>
      </c>
      <c r="U45" s="189">
        <v>8322215360.9499998</v>
      </c>
      <c r="V45" s="189">
        <v>0</v>
      </c>
      <c r="W45" s="189">
        <v>6039984671.7299995</v>
      </c>
      <c r="X45" s="189">
        <v>0</v>
      </c>
      <c r="Y45" s="189">
        <v>10335733704.780001</v>
      </c>
      <c r="Z45" s="189">
        <v>0</v>
      </c>
      <c r="AA45" s="189">
        <v>5241364125.3599997</v>
      </c>
      <c r="AB45" s="189">
        <v>0</v>
      </c>
      <c r="AC45" s="189">
        <v>6394377214.9799995</v>
      </c>
      <c r="AD45" s="189">
        <v>0</v>
      </c>
      <c r="AE45" s="189">
        <v>3490797304.9400001</v>
      </c>
      <c r="AF45" s="189">
        <v>0</v>
      </c>
      <c r="AG45" s="189">
        <v>4562056835.6000004</v>
      </c>
      <c r="AH45" s="189">
        <v>0</v>
      </c>
      <c r="AI45" s="189">
        <v>2343182863.0100002</v>
      </c>
      <c r="AJ45" s="189">
        <v>0</v>
      </c>
      <c r="AK45" s="189">
        <v>3466668431.5100002</v>
      </c>
      <c r="AL45" s="189">
        <v>0</v>
      </c>
      <c r="AM45" s="189">
        <v>1619900643.9000001</v>
      </c>
      <c r="AN45" s="189">
        <v>0</v>
      </c>
      <c r="AO45" s="189">
        <v>1829699892.55</v>
      </c>
      <c r="AP45" s="189">
        <v>0</v>
      </c>
      <c r="AQ45" s="189">
        <v>1308146766.3</v>
      </c>
      <c r="AR45" s="189">
        <v>0</v>
      </c>
      <c r="AS45" s="189">
        <v>1468920725.1300001</v>
      </c>
      <c r="AT45" s="189">
        <v>0</v>
      </c>
      <c r="AU45" s="189">
        <v>0</v>
      </c>
      <c r="AV45" s="189">
        <v>0</v>
      </c>
      <c r="AW45" s="189">
        <v>1170117537.3</v>
      </c>
      <c r="AX45" s="189">
        <v>1018761472.91</v>
      </c>
      <c r="AY45" s="189">
        <v>819004580.22000003</v>
      </c>
      <c r="AZ45" s="189">
        <v>546094987.98000002</v>
      </c>
      <c r="BA45" s="189">
        <v>791348797.03999996</v>
      </c>
      <c r="BB45" s="189">
        <v>768945225.38999999</v>
      </c>
      <c r="BC45" s="189">
        <v>588407325</v>
      </c>
      <c r="BD45" s="189">
        <v>412850003.60000002</v>
      </c>
      <c r="BE45" s="189">
        <v>827997151.41999996</v>
      </c>
      <c r="BF45" s="189">
        <v>678264477.17999995</v>
      </c>
      <c r="BG45" s="189">
        <v>536945227.03999996</v>
      </c>
      <c r="BH45" s="189">
        <v>383467762.43000001</v>
      </c>
      <c r="BI45" s="189">
        <v>702974477.91999996</v>
      </c>
      <c r="BJ45" s="189">
        <v>547569010.36000001</v>
      </c>
      <c r="BK45" s="189">
        <v>389627161.77999997</v>
      </c>
      <c r="BL45" s="189">
        <v>288544519.86000001</v>
      </c>
      <c r="BM45" s="189">
        <v>613234637.84000003</v>
      </c>
      <c r="BN45" s="189">
        <v>359993246.11000001</v>
      </c>
      <c r="BO45" s="189">
        <v>811407817.88</v>
      </c>
      <c r="BP45" s="189">
        <v>478617774.29000002</v>
      </c>
      <c r="BQ45" s="189">
        <v>768112120.07000005</v>
      </c>
      <c r="BR45" s="189">
        <v>429812800.44999999</v>
      </c>
      <c r="BS45" s="189">
        <v>649021962.89999998</v>
      </c>
      <c r="BT45" s="189">
        <v>317076251.63999999</v>
      </c>
      <c r="BU45" s="189">
        <v>553291095.09000003</v>
      </c>
      <c r="BV45" s="189">
        <v>0</v>
      </c>
    </row>
    <row r="46" spans="1:7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3863373.29</v>
      </c>
      <c r="AT46" s="189">
        <v>0</v>
      </c>
      <c r="AU46" s="189">
        <v>0</v>
      </c>
      <c r="AV46" s="189">
        <v>0</v>
      </c>
      <c r="AW46" s="189">
        <v>9222478.8000000007</v>
      </c>
      <c r="AX46" s="189">
        <v>4596342.79</v>
      </c>
      <c r="AY46" s="189">
        <v>3917285.39</v>
      </c>
      <c r="AZ46" s="189">
        <v>2720541.98</v>
      </c>
      <c r="BA46" s="189">
        <v>7658279.7300000004</v>
      </c>
      <c r="BB46" s="189">
        <v>4809024.43</v>
      </c>
      <c r="BC46" s="189">
        <v>4056738.88</v>
      </c>
      <c r="BD46" s="189">
        <v>3653684</v>
      </c>
      <c r="BE46" s="189">
        <v>1762543.69</v>
      </c>
      <c r="BF46" s="189">
        <v>899597.34</v>
      </c>
      <c r="BG46" s="189">
        <v>1017432.96</v>
      </c>
      <c r="BH46" s="189">
        <v>-73639.23</v>
      </c>
      <c r="BI46" s="189">
        <v>818253.02</v>
      </c>
      <c r="BJ46" s="189">
        <v>736184.77</v>
      </c>
      <c r="BK46" s="189">
        <v>27516.66</v>
      </c>
      <c r="BL46" s="189">
        <v>967265.5</v>
      </c>
      <c r="BM46" s="189">
        <v>5750030.0700000003</v>
      </c>
      <c r="BN46" s="189">
        <v>13569341.02</v>
      </c>
      <c r="BO46" s="189">
        <v>4908698.8499999996</v>
      </c>
      <c r="BP46" s="189">
        <v>365431.28</v>
      </c>
      <c r="BQ46" s="189">
        <v>104712.43</v>
      </c>
      <c r="BR46" s="189">
        <v>1723279.28</v>
      </c>
      <c r="BS46" s="189">
        <v>0</v>
      </c>
      <c r="BT46" s="189">
        <v>0</v>
      </c>
      <c r="BU46" s="189">
        <v>0</v>
      </c>
      <c r="BV46" s="189">
        <v>0</v>
      </c>
    </row>
    <row r="47" spans="1:7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row>
    <row r="48" spans="1:74" x14ac:dyDescent="0.25">
      <c r="A48" s="189" t="s">
        <v>262</v>
      </c>
      <c r="B48" s="189">
        <v>0</v>
      </c>
      <c r="C48" s="189">
        <v>2383110.2200000002</v>
      </c>
      <c r="D48" s="189">
        <v>0</v>
      </c>
      <c r="E48" s="189">
        <v>5329618.33</v>
      </c>
      <c r="F48" s="189">
        <v>0</v>
      </c>
      <c r="G48" s="189">
        <v>1189060.55</v>
      </c>
      <c r="H48" s="189">
        <v>0</v>
      </c>
      <c r="I48" s="189">
        <v>1389409.74</v>
      </c>
      <c r="J48" s="189">
        <v>0</v>
      </c>
      <c r="K48" s="189">
        <v>-1989145.16</v>
      </c>
      <c r="L48" s="189">
        <v>0</v>
      </c>
      <c r="M48" s="189">
        <v>23569776.23</v>
      </c>
      <c r="N48" s="189">
        <v>0</v>
      </c>
      <c r="O48" s="189">
        <v>2007331.45</v>
      </c>
      <c r="P48" s="189">
        <v>0</v>
      </c>
      <c r="Q48" s="189">
        <v>6161457.3200000003</v>
      </c>
      <c r="R48" s="189">
        <v>0</v>
      </c>
      <c r="S48" s="189">
        <v>3049704.71</v>
      </c>
      <c r="T48" s="189">
        <v>0</v>
      </c>
      <c r="U48" s="189">
        <v>20428.32</v>
      </c>
      <c r="V48" s="189">
        <v>0</v>
      </c>
      <c r="W48" s="189">
        <v>0</v>
      </c>
      <c r="X48" s="189">
        <v>0</v>
      </c>
      <c r="Y48" s="189">
        <v>53341.78</v>
      </c>
      <c r="Z48" s="189">
        <v>0</v>
      </c>
      <c r="AA48" s="189">
        <v>0</v>
      </c>
      <c r="AB48" s="189">
        <v>0</v>
      </c>
      <c r="AC48" s="189">
        <v>10193964.01</v>
      </c>
      <c r="AD48" s="189">
        <v>0</v>
      </c>
      <c r="AE48" s="189">
        <v>0</v>
      </c>
      <c r="AF48" s="189">
        <v>0</v>
      </c>
      <c r="AG48" s="189">
        <v>8301188.4800000004</v>
      </c>
      <c r="AH48" s="189">
        <v>0</v>
      </c>
      <c r="AI48" s="189">
        <v>0</v>
      </c>
      <c r="AJ48" s="189">
        <v>0</v>
      </c>
      <c r="AK48" s="189">
        <v>8545391.5500000007</v>
      </c>
      <c r="AL48" s="189">
        <v>0</v>
      </c>
      <c r="AM48" s="189">
        <v>31683.41</v>
      </c>
      <c r="AN48" s="189">
        <v>0</v>
      </c>
      <c r="AO48" s="189">
        <v>-165194.47</v>
      </c>
      <c r="AP48" s="189">
        <v>0</v>
      </c>
      <c r="AQ48" s="189">
        <v>0</v>
      </c>
      <c r="AR48" s="189">
        <v>0</v>
      </c>
      <c r="AS48" s="189">
        <v>-933744.61</v>
      </c>
      <c r="AT48" s="189">
        <v>0</v>
      </c>
      <c r="AU48" s="189">
        <v>0</v>
      </c>
      <c r="AV48" s="189">
        <v>0</v>
      </c>
      <c r="AW48" s="189">
        <v>-14645378.74</v>
      </c>
      <c r="AX48" s="189">
        <v>-2329274.54</v>
      </c>
      <c r="AY48" s="189">
        <v>376888.63</v>
      </c>
      <c r="AZ48" s="189">
        <v>0</v>
      </c>
      <c r="BA48" s="189">
        <v>2498246.5699999998</v>
      </c>
      <c r="BB48" s="189">
        <v>500789.8</v>
      </c>
      <c r="BC48" s="189">
        <v>500789.8</v>
      </c>
      <c r="BD48" s="189">
        <v>0</v>
      </c>
      <c r="BE48" s="189">
        <v>1974306.98</v>
      </c>
      <c r="BF48" s="189">
        <v>690335.72</v>
      </c>
      <c r="BG48" s="189">
        <v>690335.72</v>
      </c>
      <c r="BH48" s="189">
        <v>0</v>
      </c>
      <c r="BI48" s="189">
        <v>3724733.79</v>
      </c>
      <c r="BJ48" s="189">
        <v>-2148737.2599999998</v>
      </c>
      <c r="BK48" s="189">
        <v>-2167668.17</v>
      </c>
      <c r="BL48" s="189">
        <v>-2315886.5099999998</v>
      </c>
      <c r="BM48" s="189">
        <v>1269984.46</v>
      </c>
      <c r="BN48" s="189">
        <v>-1443472.99</v>
      </c>
      <c r="BO48" s="189">
        <v>26629198.629999999</v>
      </c>
      <c r="BP48" s="189">
        <v>20538039.010000002</v>
      </c>
      <c r="BQ48" s="189">
        <v>457915.13</v>
      </c>
      <c r="BR48" s="189">
        <v>0</v>
      </c>
      <c r="BS48" s="189">
        <v>2580920.16</v>
      </c>
      <c r="BT48" s="189">
        <v>0</v>
      </c>
      <c r="BU48" s="189">
        <v>0</v>
      </c>
      <c r="BV48" s="189">
        <v>0</v>
      </c>
    </row>
    <row r="49" spans="1:74" x14ac:dyDescent="0.25">
      <c r="A49" s="189" t="s">
        <v>263</v>
      </c>
      <c r="B49" s="189">
        <v>0</v>
      </c>
      <c r="C49" s="189">
        <v>222746598.50999999</v>
      </c>
      <c r="D49" s="189">
        <v>0</v>
      </c>
      <c r="E49" s="189">
        <v>475443742.99000001</v>
      </c>
      <c r="F49" s="189">
        <v>0</v>
      </c>
      <c r="G49" s="189">
        <v>240397528.90000001</v>
      </c>
      <c r="H49" s="189">
        <v>0</v>
      </c>
      <c r="I49" s="189">
        <v>514034686.83999997</v>
      </c>
      <c r="J49" s="189">
        <v>0</v>
      </c>
      <c r="K49" s="189">
        <v>264496743</v>
      </c>
      <c r="L49" s="189">
        <v>0</v>
      </c>
      <c r="M49" s="189">
        <v>571384638.39999998</v>
      </c>
      <c r="N49" s="189">
        <v>0</v>
      </c>
      <c r="O49" s="189">
        <v>282385154.77999997</v>
      </c>
      <c r="P49" s="189">
        <v>0</v>
      </c>
      <c r="Q49" s="189">
        <v>615601722.92999995</v>
      </c>
      <c r="R49" s="189">
        <v>0</v>
      </c>
      <c r="S49" s="189">
        <v>281305161.80000001</v>
      </c>
      <c r="T49" s="189">
        <v>0</v>
      </c>
      <c r="U49" s="189">
        <v>640477322.51999998</v>
      </c>
      <c r="V49" s="189">
        <v>0</v>
      </c>
      <c r="W49" s="189">
        <v>313438532.41000003</v>
      </c>
      <c r="X49" s="189">
        <v>0</v>
      </c>
      <c r="Y49" s="189">
        <v>660996817.02999997</v>
      </c>
      <c r="Z49" s="189">
        <v>0</v>
      </c>
      <c r="AA49" s="189">
        <v>330900138.69999999</v>
      </c>
      <c r="AB49" s="189">
        <v>0</v>
      </c>
      <c r="AC49" s="189">
        <v>700477452.44000006</v>
      </c>
      <c r="AD49" s="189">
        <v>0</v>
      </c>
      <c r="AE49" s="189">
        <v>353569837.38999999</v>
      </c>
      <c r="AF49" s="189">
        <v>0</v>
      </c>
      <c r="AG49" s="189">
        <v>722805104.55999994</v>
      </c>
      <c r="AH49" s="189">
        <v>0</v>
      </c>
      <c r="AI49" s="189">
        <v>360067389.06999999</v>
      </c>
      <c r="AJ49" s="189">
        <v>0</v>
      </c>
      <c r="AK49" s="189">
        <v>646335570.79999995</v>
      </c>
      <c r="AL49" s="189">
        <v>0</v>
      </c>
      <c r="AM49" s="189">
        <v>352652082.83999997</v>
      </c>
      <c r="AN49" s="189">
        <v>0</v>
      </c>
      <c r="AO49" s="189">
        <v>434466978.80000001</v>
      </c>
      <c r="AP49" s="189">
        <v>0</v>
      </c>
      <c r="AQ49" s="189">
        <v>220055249.78</v>
      </c>
      <c r="AR49" s="189">
        <v>0</v>
      </c>
      <c r="AS49" s="189">
        <v>466252820.24000001</v>
      </c>
      <c r="AT49" s="189">
        <v>0</v>
      </c>
      <c r="AU49" s="189">
        <v>0</v>
      </c>
      <c r="AV49" s="189">
        <v>0</v>
      </c>
      <c r="AW49" s="189">
        <v>467047308.91000003</v>
      </c>
      <c r="AX49" s="189">
        <v>322210774.50999999</v>
      </c>
      <c r="AY49" s="189">
        <v>214415246.97</v>
      </c>
      <c r="AZ49" s="189">
        <v>106891762.23999999</v>
      </c>
      <c r="BA49" s="189">
        <v>478234075.06999999</v>
      </c>
      <c r="BB49" s="189">
        <v>357766299.13</v>
      </c>
      <c r="BC49" s="189">
        <v>237335309.81999999</v>
      </c>
      <c r="BD49" s="189">
        <v>118623693.14</v>
      </c>
      <c r="BE49" s="189">
        <v>404552322.94</v>
      </c>
      <c r="BF49" s="189">
        <v>305788725.56</v>
      </c>
      <c r="BG49" s="189">
        <v>208996928.00999999</v>
      </c>
      <c r="BH49" s="189">
        <v>112312929.75</v>
      </c>
      <c r="BI49" s="189">
        <v>275750634.47000003</v>
      </c>
      <c r="BJ49" s="189">
        <v>202256946.52000001</v>
      </c>
      <c r="BK49" s="189">
        <v>113461866.70999999</v>
      </c>
      <c r="BL49" s="189">
        <v>56664861.82</v>
      </c>
      <c r="BM49" s="189">
        <v>233663769.53999999</v>
      </c>
      <c r="BN49" s="189">
        <v>102939387.53</v>
      </c>
      <c r="BO49" s="189">
        <v>165653982.56</v>
      </c>
      <c r="BP49" s="189">
        <v>49234570.869999997</v>
      </c>
      <c r="BQ49" s="189">
        <v>130519869.31</v>
      </c>
      <c r="BR49" s="189">
        <v>62414344.259999998</v>
      </c>
      <c r="BS49" s="189">
        <v>56928281.189999998</v>
      </c>
      <c r="BT49" s="189">
        <v>29633190.559999999</v>
      </c>
      <c r="BU49" s="189">
        <v>42460875.850000001</v>
      </c>
      <c r="BV49" s="189">
        <v>0</v>
      </c>
    </row>
    <row r="50" spans="1:74" x14ac:dyDescent="0.25">
      <c r="A50" s="189" t="s">
        <v>264</v>
      </c>
      <c r="B50" s="189">
        <v>0</v>
      </c>
      <c r="C50" s="189">
        <v>7081526.21</v>
      </c>
      <c r="D50" s="189">
        <v>0</v>
      </c>
      <c r="E50" s="189">
        <v>13655637.59</v>
      </c>
      <c r="F50" s="189">
        <v>0</v>
      </c>
      <c r="G50" s="189">
        <v>6652366.8200000003</v>
      </c>
      <c r="H50" s="189">
        <v>0</v>
      </c>
      <c r="I50" s="189">
        <v>13017183.08</v>
      </c>
      <c r="J50" s="189">
        <v>0</v>
      </c>
      <c r="K50" s="189">
        <v>6602244.1799999997</v>
      </c>
      <c r="L50" s="189">
        <v>0</v>
      </c>
      <c r="M50" s="189">
        <v>12716890.33</v>
      </c>
      <c r="N50" s="189">
        <v>0</v>
      </c>
      <c r="O50" s="189">
        <v>6286429.4500000002</v>
      </c>
      <c r="P50" s="189">
        <v>0</v>
      </c>
      <c r="Q50" s="189">
        <v>9758275.0800000001</v>
      </c>
      <c r="R50" s="189">
        <v>0</v>
      </c>
      <c r="S50" s="189">
        <v>4226872.9000000004</v>
      </c>
      <c r="T50" s="189">
        <v>0</v>
      </c>
      <c r="U50" s="189">
        <v>8486946.6699999999</v>
      </c>
      <c r="V50" s="189">
        <v>0</v>
      </c>
      <c r="W50" s="189">
        <v>4060746.45</v>
      </c>
      <c r="X50" s="189">
        <v>0</v>
      </c>
      <c r="Y50" s="189">
        <v>9029127.9100000001</v>
      </c>
      <c r="Z50" s="189">
        <v>0</v>
      </c>
      <c r="AA50" s="189">
        <v>4484684.68</v>
      </c>
      <c r="AB50" s="189">
        <v>0</v>
      </c>
      <c r="AC50" s="189">
        <v>8175665.5899999999</v>
      </c>
      <c r="AD50" s="189">
        <v>0</v>
      </c>
      <c r="AE50" s="189">
        <v>3786462.11</v>
      </c>
      <c r="AF50" s="189">
        <v>0</v>
      </c>
      <c r="AG50" s="189">
        <v>9197284.1500000004</v>
      </c>
      <c r="AH50" s="189">
        <v>0</v>
      </c>
      <c r="AI50" s="189">
        <v>4877963.95</v>
      </c>
      <c r="AJ50" s="189">
        <v>0</v>
      </c>
      <c r="AK50" s="189">
        <v>7271245.3099999996</v>
      </c>
      <c r="AL50" s="189">
        <v>0</v>
      </c>
      <c r="AM50" s="189">
        <v>4907043.74</v>
      </c>
      <c r="AN50" s="189">
        <v>0</v>
      </c>
      <c r="AO50" s="189">
        <v>1586144.88</v>
      </c>
      <c r="AP50" s="189">
        <v>0</v>
      </c>
      <c r="AQ50" s="189">
        <v>845090.25</v>
      </c>
      <c r="AR50" s="189">
        <v>0</v>
      </c>
      <c r="AS50" s="189">
        <v>1586144.88</v>
      </c>
      <c r="AT50" s="189">
        <v>0</v>
      </c>
      <c r="AU50" s="189">
        <v>0</v>
      </c>
      <c r="AV50" s="189">
        <v>0</v>
      </c>
      <c r="AW50" s="189">
        <v>3799631.08</v>
      </c>
      <c r="AX50" s="189">
        <v>3384594.86</v>
      </c>
      <c r="AY50" s="189">
        <v>1952934.44</v>
      </c>
      <c r="AZ50" s="189">
        <v>567536.22</v>
      </c>
      <c r="BA50" s="189">
        <v>1586144.88</v>
      </c>
      <c r="BB50" s="189">
        <v>1189608.6599999999</v>
      </c>
      <c r="BC50" s="189">
        <v>793072.44</v>
      </c>
      <c r="BD50" s="189">
        <v>396536.22</v>
      </c>
      <c r="BE50" s="189">
        <v>2026799.88</v>
      </c>
      <c r="BF50" s="189">
        <v>1513263.66</v>
      </c>
      <c r="BG50" s="189">
        <v>968842.44</v>
      </c>
      <c r="BH50" s="189">
        <v>572304.69999999995</v>
      </c>
      <c r="BI50" s="189">
        <v>2294148.85</v>
      </c>
      <c r="BJ50" s="189">
        <v>1897612.63</v>
      </c>
      <c r="BK50" s="189">
        <v>1501076.41</v>
      </c>
      <c r="BL50" s="189">
        <v>397126.17</v>
      </c>
      <c r="BM50" s="189">
        <v>3779059.29</v>
      </c>
      <c r="BN50" s="189">
        <v>943096.31999999995</v>
      </c>
      <c r="BO50" s="189">
        <v>1696119.74</v>
      </c>
      <c r="BP50" s="189">
        <v>808679.94</v>
      </c>
      <c r="BQ50" s="189">
        <v>2290393.21</v>
      </c>
      <c r="BR50" s="189">
        <v>677235.94</v>
      </c>
      <c r="BS50" s="189">
        <v>16746446.949999999</v>
      </c>
      <c r="BT50" s="189">
        <v>1394056.95</v>
      </c>
      <c r="BU50" s="189">
        <v>2442875.52</v>
      </c>
      <c r="BV50" s="189">
        <v>0</v>
      </c>
    </row>
    <row r="51" spans="1:74" x14ac:dyDescent="0.25">
      <c r="A51" s="189" t="s">
        <v>265</v>
      </c>
      <c r="B51" s="189">
        <v>0</v>
      </c>
      <c r="C51" s="189">
        <v>34005626.619999997</v>
      </c>
      <c r="D51" s="189">
        <v>0</v>
      </c>
      <c r="E51" s="189">
        <v>61315287.07</v>
      </c>
      <c r="F51" s="189">
        <v>0</v>
      </c>
      <c r="G51" s="189">
        <v>28987908.420000002</v>
      </c>
      <c r="H51" s="189">
        <v>0</v>
      </c>
      <c r="I51" s="189">
        <v>46386919.689999998</v>
      </c>
      <c r="J51" s="189">
        <v>0</v>
      </c>
      <c r="K51" s="189">
        <v>22006603.620000001</v>
      </c>
      <c r="L51" s="189">
        <v>0</v>
      </c>
      <c r="M51" s="189">
        <v>34520032.619999997</v>
      </c>
      <c r="N51" s="189">
        <v>0</v>
      </c>
      <c r="O51" s="189">
        <v>15251087.630000001</v>
      </c>
      <c r="P51" s="189">
        <v>0</v>
      </c>
      <c r="Q51" s="189">
        <v>27253805.43</v>
      </c>
      <c r="R51" s="189">
        <v>0</v>
      </c>
      <c r="S51" s="189">
        <v>14380864.119999999</v>
      </c>
      <c r="T51" s="189">
        <v>0</v>
      </c>
      <c r="U51" s="189">
        <v>32579186.390000001</v>
      </c>
      <c r="V51" s="189">
        <v>0</v>
      </c>
      <c r="W51" s="189">
        <v>16946915.23</v>
      </c>
      <c r="X51" s="189">
        <v>0</v>
      </c>
      <c r="Y51" s="189">
        <v>36112959.259999998</v>
      </c>
      <c r="Z51" s="189">
        <v>0</v>
      </c>
      <c r="AA51" s="189">
        <v>20521731.27</v>
      </c>
      <c r="AB51" s="189">
        <v>0</v>
      </c>
      <c r="AC51" s="189">
        <v>48417441.210000001</v>
      </c>
      <c r="AD51" s="189">
        <v>0</v>
      </c>
      <c r="AE51" s="189">
        <v>33027836.780000001</v>
      </c>
      <c r="AF51" s="189">
        <v>0</v>
      </c>
      <c r="AG51" s="189">
        <v>38118543.149999999</v>
      </c>
      <c r="AH51" s="189">
        <v>0</v>
      </c>
      <c r="AI51" s="189">
        <v>19325171.309999999</v>
      </c>
      <c r="AJ51" s="189">
        <v>0</v>
      </c>
      <c r="AK51" s="189">
        <v>29472070.109999999</v>
      </c>
      <c r="AL51" s="189">
        <v>0</v>
      </c>
      <c r="AM51" s="189">
        <v>17523174.57</v>
      </c>
      <c r="AN51" s="189">
        <v>0</v>
      </c>
      <c r="AO51" s="189">
        <v>0</v>
      </c>
      <c r="AP51" s="189">
        <v>0</v>
      </c>
      <c r="AQ51" s="189">
        <v>-3272209.09</v>
      </c>
      <c r="AR51" s="189">
        <v>0</v>
      </c>
      <c r="AS51" s="189">
        <v>820470.57</v>
      </c>
      <c r="AT51" s="189">
        <v>0</v>
      </c>
      <c r="AU51" s="189">
        <v>0</v>
      </c>
      <c r="AV51" s="189">
        <v>0</v>
      </c>
      <c r="AW51" s="189">
        <v>0</v>
      </c>
      <c r="AX51" s="189">
        <v>0</v>
      </c>
      <c r="AY51" s="189">
        <v>0</v>
      </c>
      <c r="AZ51" s="189">
        <v>0</v>
      </c>
      <c r="BA51" s="189">
        <v>0</v>
      </c>
      <c r="BB51" s="189">
        <v>0</v>
      </c>
      <c r="BC51" s="189">
        <v>0</v>
      </c>
      <c r="BD51" s="189">
        <v>0</v>
      </c>
      <c r="BE51" s="189">
        <v>0</v>
      </c>
      <c r="BF51" s="189">
        <v>0</v>
      </c>
      <c r="BG51" s="189">
        <v>0</v>
      </c>
      <c r="BH51" s="189">
        <v>0</v>
      </c>
      <c r="BI51" s="189">
        <v>0</v>
      </c>
      <c r="BJ51" s="189">
        <v>0</v>
      </c>
      <c r="BK51" s="189">
        <v>0</v>
      </c>
      <c r="BL51" s="189">
        <v>0</v>
      </c>
      <c r="BM51" s="189">
        <v>0</v>
      </c>
      <c r="BN51" s="189">
        <v>0</v>
      </c>
      <c r="BO51" s="189">
        <v>0</v>
      </c>
      <c r="BP51" s="189">
        <v>0</v>
      </c>
      <c r="BQ51" s="189">
        <v>0</v>
      </c>
      <c r="BR51" s="189">
        <v>0</v>
      </c>
      <c r="BS51" s="189">
        <v>0</v>
      </c>
      <c r="BT51" s="189">
        <v>0</v>
      </c>
      <c r="BU51" s="189">
        <v>0</v>
      </c>
      <c r="BV51" s="189">
        <v>0</v>
      </c>
    </row>
    <row r="52" spans="1:7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13225.28</v>
      </c>
      <c r="BN52" s="189">
        <v>-39675.839999999997</v>
      </c>
      <c r="BO52" s="189">
        <v>-13225.28</v>
      </c>
      <c r="BP52" s="189">
        <v>-52901.120000000003</v>
      </c>
      <c r="BQ52" s="189">
        <v>0</v>
      </c>
      <c r="BR52" s="189">
        <v>172485428.63</v>
      </c>
      <c r="BS52" s="189">
        <v>664399.15</v>
      </c>
      <c r="BT52" s="189">
        <v>332199.59999999998</v>
      </c>
      <c r="BU52" s="189">
        <v>2823545.4</v>
      </c>
      <c r="BV52" s="189">
        <v>0</v>
      </c>
    </row>
    <row r="53" spans="1:7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0</v>
      </c>
      <c r="AX53" s="189">
        <v>0</v>
      </c>
      <c r="AY53" s="189">
        <v>380559.76</v>
      </c>
      <c r="AZ53" s="189">
        <v>0</v>
      </c>
      <c r="BA53" s="189">
        <v>-3420.39</v>
      </c>
      <c r="BB53" s="189">
        <v>-3420.39</v>
      </c>
      <c r="BC53" s="189">
        <v>-3420.39</v>
      </c>
      <c r="BD53" s="189">
        <v>0</v>
      </c>
      <c r="BE53" s="189">
        <v>-250579.61</v>
      </c>
      <c r="BF53" s="189">
        <v>-254000</v>
      </c>
      <c r="BG53" s="189">
        <v>-254000</v>
      </c>
      <c r="BH53" s="189">
        <v>0</v>
      </c>
      <c r="BI53" s="189">
        <v>254000</v>
      </c>
      <c r="BJ53" s="189">
        <v>0</v>
      </c>
      <c r="BK53" s="189">
        <v>0</v>
      </c>
      <c r="BL53" s="189">
        <v>48386812.130000003</v>
      </c>
      <c r="BM53" s="189">
        <v>0</v>
      </c>
      <c r="BN53" s="189">
        <v>62059699.979999997</v>
      </c>
      <c r="BO53" s="189">
        <v>0</v>
      </c>
      <c r="BP53" s="189">
        <v>132000000</v>
      </c>
      <c r="BQ53" s="189">
        <v>0</v>
      </c>
      <c r="BR53" s="189">
        <v>-95138.16</v>
      </c>
      <c r="BS53" s="189">
        <v>0</v>
      </c>
      <c r="BT53" s="189">
        <v>118500000</v>
      </c>
      <c r="BU53" s="189">
        <v>0</v>
      </c>
      <c r="BV53" s="189">
        <v>0</v>
      </c>
    </row>
    <row r="54" spans="1:74" x14ac:dyDescent="0.25">
      <c r="A54" s="189" t="s">
        <v>268</v>
      </c>
      <c r="B54" s="189">
        <v>0</v>
      </c>
      <c r="C54" s="189">
        <v>261019.6</v>
      </c>
      <c r="D54" s="189">
        <v>0</v>
      </c>
      <c r="E54" s="189">
        <v>-3657328.2</v>
      </c>
      <c r="F54" s="189">
        <v>0</v>
      </c>
      <c r="G54" s="189">
        <v>-3245153.05</v>
      </c>
      <c r="H54" s="189">
        <v>0</v>
      </c>
      <c r="I54" s="189">
        <v>6305863.9199999999</v>
      </c>
      <c r="J54" s="189">
        <v>0</v>
      </c>
      <c r="K54" s="189">
        <v>3446982.34</v>
      </c>
      <c r="L54" s="189">
        <v>0</v>
      </c>
      <c r="M54" s="189">
        <v>1838674.34</v>
      </c>
      <c r="N54" s="189">
        <v>0</v>
      </c>
      <c r="O54" s="189">
        <v>275015.77</v>
      </c>
      <c r="P54" s="189">
        <v>0</v>
      </c>
      <c r="Q54" s="189">
        <v>20295106.23</v>
      </c>
      <c r="R54" s="189">
        <v>0</v>
      </c>
      <c r="S54" s="189">
        <v>2914020.37</v>
      </c>
      <c r="T54" s="189">
        <v>0</v>
      </c>
      <c r="U54" s="189">
        <v>1912291.32</v>
      </c>
      <c r="V54" s="189">
        <v>0</v>
      </c>
      <c r="W54" s="189">
        <v>68747.679999999993</v>
      </c>
      <c r="X54" s="189">
        <v>0</v>
      </c>
      <c r="Y54" s="189">
        <v>1095331.6000000001</v>
      </c>
      <c r="Z54" s="189">
        <v>0</v>
      </c>
      <c r="AA54" s="189">
        <v>714503.17</v>
      </c>
      <c r="AB54" s="189">
        <v>0</v>
      </c>
      <c r="AC54" s="189">
        <v>6136174.5300000003</v>
      </c>
      <c r="AD54" s="189">
        <v>0</v>
      </c>
      <c r="AE54" s="189">
        <v>1553017.11</v>
      </c>
      <c r="AF54" s="189">
        <v>0</v>
      </c>
      <c r="AG54" s="189">
        <v>810820.36</v>
      </c>
      <c r="AH54" s="189">
        <v>0</v>
      </c>
      <c r="AI54" s="189">
        <v>-257394.23</v>
      </c>
      <c r="AJ54" s="189">
        <v>0</v>
      </c>
      <c r="AK54" s="189">
        <v>415296.61</v>
      </c>
      <c r="AL54" s="189">
        <v>0</v>
      </c>
      <c r="AM54" s="189">
        <v>249641.93</v>
      </c>
      <c r="AN54" s="189">
        <v>0</v>
      </c>
      <c r="AO54" s="189">
        <v>-633994.59</v>
      </c>
      <c r="AP54" s="189">
        <v>0</v>
      </c>
      <c r="AQ54" s="189">
        <v>-661025</v>
      </c>
      <c r="AR54" s="189">
        <v>0</v>
      </c>
      <c r="AS54" s="189">
        <v>-598305.26</v>
      </c>
      <c r="AT54" s="189">
        <v>0</v>
      </c>
      <c r="AU54" s="189">
        <v>0</v>
      </c>
      <c r="AV54" s="189">
        <v>0</v>
      </c>
      <c r="AW54" s="189">
        <v>269102.78999999998</v>
      </c>
      <c r="AX54" s="189">
        <v>146154.56</v>
      </c>
      <c r="AY54" s="189">
        <v>-125360.21</v>
      </c>
      <c r="AZ54" s="189">
        <v>0</v>
      </c>
      <c r="BA54" s="189">
        <v>-191319.73</v>
      </c>
      <c r="BB54" s="189">
        <v>-54708.43</v>
      </c>
      <c r="BC54" s="189">
        <v>-7534.17</v>
      </c>
      <c r="BD54" s="189">
        <v>-12970.6</v>
      </c>
      <c r="BE54" s="189">
        <v>2450780.61</v>
      </c>
      <c r="BF54" s="189">
        <v>461041.96</v>
      </c>
      <c r="BG54" s="189">
        <v>260575.46</v>
      </c>
      <c r="BH54" s="189">
        <v>-14558</v>
      </c>
      <c r="BI54" s="189">
        <v>3395525.08</v>
      </c>
      <c r="BJ54" s="189">
        <v>-15527.85</v>
      </c>
      <c r="BK54" s="189">
        <v>13728.15</v>
      </c>
      <c r="BL54" s="189">
        <v>-38776.370000000003</v>
      </c>
      <c r="BM54" s="189">
        <v>925739.38</v>
      </c>
      <c r="BN54" s="189">
        <v>510508.23</v>
      </c>
      <c r="BO54" s="189">
        <v>-49398.94</v>
      </c>
      <c r="BP54" s="189">
        <v>1595890.7</v>
      </c>
      <c r="BQ54" s="189">
        <v>-3580</v>
      </c>
      <c r="BR54" s="189">
        <v>-1500</v>
      </c>
      <c r="BS54" s="189">
        <v>169771.53</v>
      </c>
      <c r="BT54" s="189">
        <v>-1680</v>
      </c>
      <c r="BU54" s="189">
        <v>0</v>
      </c>
      <c r="BV54" s="189">
        <v>0</v>
      </c>
    </row>
    <row r="55" spans="1:74" x14ac:dyDescent="0.25">
      <c r="A55" s="189" t="s">
        <v>269</v>
      </c>
      <c r="B55" s="189">
        <v>0</v>
      </c>
      <c r="C55" s="189">
        <v>-805207.89</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2625775.1800000002</v>
      </c>
      <c r="AP55" s="189">
        <v>0</v>
      </c>
      <c r="AQ55" s="189">
        <v>0</v>
      </c>
      <c r="AR55" s="189">
        <v>0</v>
      </c>
      <c r="AS55" s="189">
        <v>577470.38</v>
      </c>
      <c r="AT55" s="189">
        <v>0</v>
      </c>
      <c r="AU55" s="189">
        <v>0</v>
      </c>
      <c r="AV55" s="189">
        <v>0</v>
      </c>
      <c r="AW55" s="189">
        <v>0</v>
      </c>
      <c r="AX55" s="189">
        <v>0</v>
      </c>
      <c r="AY55" s="189">
        <v>1108956.43</v>
      </c>
      <c r="AZ55" s="189">
        <v>0</v>
      </c>
      <c r="BA55" s="189">
        <v>0</v>
      </c>
      <c r="BB55" s="189">
        <v>0</v>
      </c>
      <c r="BC55" s="189">
        <v>0</v>
      </c>
      <c r="BD55" s="189">
        <v>0</v>
      </c>
      <c r="BE55" s="189">
        <v>10234174.27</v>
      </c>
      <c r="BF55" s="189">
        <v>6735200.1100000003</v>
      </c>
      <c r="BG55" s="189">
        <v>2122271.27</v>
      </c>
      <c r="BH55" s="189">
        <v>0</v>
      </c>
      <c r="BI55" s="189">
        <v>5443986.7300000004</v>
      </c>
      <c r="BJ55" s="189">
        <v>2732944.24</v>
      </c>
      <c r="BK55" s="189">
        <v>1676945.26</v>
      </c>
      <c r="BL55" s="189">
        <v>15909.78</v>
      </c>
      <c r="BM55" s="189">
        <v>4369433.5199999996</v>
      </c>
      <c r="BN55" s="189">
        <v>256577.04</v>
      </c>
      <c r="BO55" s="189">
        <v>2074884.19</v>
      </c>
      <c r="BP55" s="189">
        <v>0</v>
      </c>
      <c r="BQ55" s="189">
        <v>1025342.66</v>
      </c>
      <c r="BR55" s="189">
        <v>43944</v>
      </c>
      <c r="BS55" s="189">
        <v>0</v>
      </c>
      <c r="BT55" s="189">
        <v>7101</v>
      </c>
      <c r="BU55" s="189">
        <v>0</v>
      </c>
      <c r="BV55" s="189">
        <v>0</v>
      </c>
    </row>
    <row r="56" spans="1:74"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7070987.5999999996</v>
      </c>
      <c r="V56" s="189">
        <v>0</v>
      </c>
      <c r="W56" s="189">
        <v>7070987.5999999996</v>
      </c>
      <c r="X56" s="189">
        <v>0</v>
      </c>
      <c r="Y56" s="189">
        <v>-772066.24</v>
      </c>
      <c r="Z56" s="189">
        <v>0</v>
      </c>
      <c r="AA56" s="189">
        <v>1937275.2</v>
      </c>
      <c r="AB56" s="189">
        <v>0</v>
      </c>
      <c r="AC56" s="189">
        <v>2456298.7200000002</v>
      </c>
      <c r="AD56" s="189">
        <v>0</v>
      </c>
      <c r="AE56" s="189">
        <v>101244.32</v>
      </c>
      <c r="AF56" s="189">
        <v>0</v>
      </c>
      <c r="AG56" s="189">
        <v>6911424.3200000003</v>
      </c>
      <c r="AH56" s="189">
        <v>0</v>
      </c>
      <c r="AI56" s="189">
        <v>-6884916.3200000003</v>
      </c>
      <c r="AJ56" s="189">
        <v>0</v>
      </c>
      <c r="AK56" s="189">
        <v>-15521684.640000001</v>
      </c>
      <c r="AL56" s="189">
        <v>0</v>
      </c>
      <c r="AM56" s="189">
        <v>0</v>
      </c>
      <c r="AN56" s="189">
        <v>0</v>
      </c>
      <c r="AO56" s="189">
        <v>0</v>
      </c>
      <c r="AP56" s="189">
        <v>0</v>
      </c>
      <c r="AQ56" s="189">
        <v>0</v>
      </c>
      <c r="AR56" s="189">
        <v>0</v>
      </c>
      <c r="AS56" s="189">
        <v>186980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row>
    <row r="57" spans="1:74"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row>
    <row r="58" spans="1:7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row>
    <row r="59" spans="1:74" x14ac:dyDescent="0.25">
      <c r="A59" s="189" t="s">
        <v>197</v>
      </c>
      <c r="B59" s="189">
        <v>0</v>
      </c>
      <c r="C59" s="189">
        <v>-85882.9</v>
      </c>
      <c r="D59" s="189">
        <v>0</v>
      </c>
      <c r="E59" s="189">
        <v>165838.85</v>
      </c>
      <c r="F59" s="189">
        <v>0</v>
      </c>
      <c r="G59" s="189">
        <v>62722.36</v>
      </c>
      <c r="H59" s="189">
        <v>0</v>
      </c>
      <c r="I59" s="189">
        <v>-153983.15</v>
      </c>
      <c r="J59" s="189">
        <v>0</v>
      </c>
      <c r="K59" s="189">
        <v>-43813.84</v>
      </c>
      <c r="L59" s="189">
        <v>0</v>
      </c>
      <c r="M59" s="189">
        <v>-102450.21</v>
      </c>
      <c r="N59" s="189">
        <v>0</v>
      </c>
      <c r="O59" s="189">
        <v>-4982.21</v>
      </c>
      <c r="P59" s="189">
        <v>0</v>
      </c>
      <c r="Q59" s="189">
        <v>140253.82</v>
      </c>
      <c r="R59" s="189">
        <v>0</v>
      </c>
      <c r="S59" s="189">
        <v>-2222.46</v>
      </c>
      <c r="T59" s="189">
        <v>0</v>
      </c>
      <c r="U59" s="189">
        <v>7760.06</v>
      </c>
      <c r="V59" s="189">
        <v>0</v>
      </c>
      <c r="W59" s="189">
        <v>-2674.95</v>
      </c>
      <c r="X59" s="189">
        <v>0</v>
      </c>
      <c r="Y59" s="189">
        <v>-205399.9</v>
      </c>
      <c r="Z59" s="189">
        <v>0</v>
      </c>
      <c r="AA59" s="189">
        <v>0</v>
      </c>
      <c r="AB59" s="189">
        <v>0</v>
      </c>
      <c r="AC59" s="189">
        <v>-11178.14</v>
      </c>
      <c r="AD59" s="189">
        <v>0</v>
      </c>
      <c r="AE59" s="189">
        <v>0</v>
      </c>
      <c r="AF59" s="189">
        <v>0</v>
      </c>
      <c r="AG59" s="189">
        <v>0</v>
      </c>
      <c r="AH59" s="189">
        <v>0</v>
      </c>
      <c r="AI59" s="189">
        <v>0</v>
      </c>
      <c r="AJ59" s="189">
        <v>0</v>
      </c>
      <c r="AK59" s="189">
        <v>0</v>
      </c>
      <c r="AL59" s="189">
        <v>0</v>
      </c>
      <c r="AM59" s="189">
        <v>0</v>
      </c>
      <c r="AN59" s="189">
        <v>0</v>
      </c>
      <c r="AO59" s="189">
        <v>0</v>
      </c>
      <c r="AP59" s="189">
        <v>0</v>
      </c>
      <c r="AQ59" s="189">
        <v>-334100.95</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-11645839.699999999</v>
      </c>
      <c r="BO59" s="189">
        <v>0</v>
      </c>
      <c r="BP59" s="189">
        <v>0</v>
      </c>
      <c r="BQ59" s="189">
        <v>-14348624.140000001</v>
      </c>
      <c r="BR59" s="189">
        <v>-7438579.8600000003</v>
      </c>
      <c r="BS59" s="189">
        <v>-15086567.960000001</v>
      </c>
      <c r="BT59" s="189">
        <v>-9593131.2100000009</v>
      </c>
      <c r="BU59" s="189">
        <v>-42791521.079999998</v>
      </c>
      <c r="BV59" s="189">
        <v>0</v>
      </c>
    </row>
    <row r="60" spans="1:74" x14ac:dyDescent="0.25">
      <c r="A60" s="189" t="s">
        <v>273</v>
      </c>
      <c r="B60" s="189">
        <v>0</v>
      </c>
      <c r="C60" s="189">
        <v>-50098836.630000003</v>
      </c>
      <c r="D60" s="189">
        <v>0</v>
      </c>
      <c r="E60" s="189">
        <v>-68210911.069999993</v>
      </c>
      <c r="F60" s="189">
        <v>0</v>
      </c>
      <c r="G60" s="189">
        <v>-22396528.84</v>
      </c>
      <c r="H60" s="189">
        <v>0</v>
      </c>
      <c r="I60" s="189">
        <v>-33428752.969999999</v>
      </c>
      <c r="J60" s="189">
        <v>0</v>
      </c>
      <c r="K60" s="189">
        <v>-10147483.09</v>
      </c>
      <c r="L60" s="189">
        <v>0</v>
      </c>
      <c r="M60" s="189">
        <v>-34144563.939999998</v>
      </c>
      <c r="N60" s="189">
        <v>0</v>
      </c>
      <c r="O60" s="189">
        <v>-11944354.91</v>
      </c>
      <c r="P60" s="189">
        <v>0</v>
      </c>
      <c r="Q60" s="189">
        <v>-14487542.039999999</v>
      </c>
      <c r="R60" s="189">
        <v>0</v>
      </c>
      <c r="S60" s="189">
        <v>5764261.4800000004</v>
      </c>
      <c r="T60" s="189">
        <v>0</v>
      </c>
      <c r="U60" s="189">
        <v>-4298863.95</v>
      </c>
      <c r="V60" s="189">
        <v>0</v>
      </c>
      <c r="W60" s="189">
        <v>2465402.86</v>
      </c>
      <c r="X60" s="189">
        <v>0</v>
      </c>
      <c r="Y60" s="189">
        <v>-3007200.68</v>
      </c>
      <c r="Z60" s="189">
        <v>0</v>
      </c>
      <c r="AA60" s="189">
        <v>984891.57</v>
      </c>
      <c r="AB60" s="189">
        <v>0</v>
      </c>
      <c r="AC60" s="189">
        <v>-2400112.7400000002</v>
      </c>
      <c r="AD60" s="189">
        <v>0</v>
      </c>
      <c r="AE60" s="189">
        <v>-133008.76</v>
      </c>
      <c r="AF60" s="189">
        <v>0</v>
      </c>
      <c r="AG60" s="189">
        <v>-3377150.17</v>
      </c>
      <c r="AH60" s="189">
        <v>0</v>
      </c>
      <c r="AI60" s="189">
        <v>-323694.87</v>
      </c>
      <c r="AJ60" s="189">
        <v>0</v>
      </c>
      <c r="AK60" s="189">
        <v>-3117340.01</v>
      </c>
      <c r="AL60" s="189">
        <v>0</v>
      </c>
      <c r="AM60" s="189">
        <v>2412569.77</v>
      </c>
      <c r="AN60" s="189">
        <v>0</v>
      </c>
      <c r="AO60" s="189">
        <v>-1579121.31</v>
      </c>
      <c r="AP60" s="189">
        <v>0</v>
      </c>
      <c r="AQ60" s="189">
        <v>929569.49</v>
      </c>
      <c r="AR60" s="189">
        <v>0</v>
      </c>
      <c r="AS60" s="189">
        <v>-3199582.46</v>
      </c>
      <c r="AT60" s="189">
        <v>0</v>
      </c>
      <c r="AU60" s="189">
        <v>0</v>
      </c>
      <c r="AV60" s="189">
        <v>0</v>
      </c>
      <c r="AW60" s="189">
        <v>-2722418.04</v>
      </c>
      <c r="AX60" s="189">
        <v>-166883.18</v>
      </c>
      <c r="AY60" s="189">
        <v>-1832311.81</v>
      </c>
      <c r="AZ60" s="189">
        <v>-100000</v>
      </c>
      <c r="BA60" s="189">
        <v>3452351.23</v>
      </c>
      <c r="BB60" s="189">
        <v>-3424.9</v>
      </c>
      <c r="BC60" s="189">
        <v>-896</v>
      </c>
      <c r="BD60" s="189">
        <v>0</v>
      </c>
      <c r="BE60" s="189">
        <v>-1034601.53</v>
      </c>
      <c r="BF60" s="189">
        <v>-1034601.53</v>
      </c>
      <c r="BG60" s="189">
        <v>-1034601.53</v>
      </c>
      <c r="BH60" s="189">
        <v>-1026367.48</v>
      </c>
      <c r="BI60" s="189">
        <v>324425.17</v>
      </c>
      <c r="BJ60" s="189">
        <v>1084324.8700000001</v>
      </c>
      <c r="BK60" s="189">
        <v>1959239.02</v>
      </c>
      <c r="BL60" s="189">
        <v>2050425.63</v>
      </c>
      <c r="BM60" s="189">
        <v>282860.51</v>
      </c>
      <c r="BN60" s="189">
        <v>-1511721.55</v>
      </c>
      <c r="BO60" s="189">
        <v>-15285015.369999999</v>
      </c>
      <c r="BP60" s="189">
        <v>-9766309.1799999997</v>
      </c>
      <c r="BQ60" s="189">
        <v>-2373601.7000000002</v>
      </c>
      <c r="BR60" s="189">
        <v>0</v>
      </c>
      <c r="BS60" s="189">
        <v>0</v>
      </c>
      <c r="BT60" s="189">
        <v>0</v>
      </c>
      <c r="BU60" s="189">
        <v>0</v>
      </c>
      <c r="BV60" s="189">
        <v>0</v>
      </c>
    </row>
    <row r="61" spans="1:74" x14ac:dyDescent="0.25">
      <c r="A61" s="189" t="s">
        <v>274</v>
      </c>
      <c r="B61" s="189">
        <v>0</v>
      </c>
      <c r="C61" s="189">
        <v>-357002194.63</v>
      </c>
      <c r="D61" s="189">
        <v>0</v>
      </c>
      <c r="E61" s="189">
        <v>-61876220.619999997</v>
      </c>
      <c r="F61" s="189">
        <v>0</v>
      </c>
      <c r="G61" s="189">
        <v>-712653.8</v>
      </c>
      <c r="H61" s="189">
        <v>0</v>
      </c>
      <c r="I61" s="189">
        <v>21983761.52</v>
      </c>
      <c r="J61" s="189">
        <v>0</v>
      </c>
      <c r="K61" s="189">
        <v>-43018742.490000002</v>
      </c>
      <c r="L61" s="189">
        <v>0</v>
      </c>
      <c r="M61" s="189">
        <v>-136918689.78999999</v>
      </c>
      <c r="N61" s="189">
        <v>0</v>
      </c>
      <c r="O61" s="189">
        <v>31440328.670000002</v>
      </c>
      <c r="P61" s="189">
        <v>0</v>
      </c>
      <c r="Q61" s="189">
        <v>75870594.200000003</v>
      </c>
      <c r="R61" s="189">
        <v>0</v>
      </c>
      <c r="S61" s="189">
        <v>114339632.95999999</v>
      </c>
      <c r="T61" s="189">
        <v>0</v>
      </c>
      <c r="U61" s="189">
        <v>-93277296.400000006</v>
      </c>
      <c r="V61" s="189">
        <v>0</v>
      </c>
      <c r="W61" s="189">
        <v>-110778266.18000001</v>
      </c>
      <c r="X61" s="189">
        <v>0</v>
      </c>
      <c r="Y61" s="189">
        <v>-468869310.70999998</v>
      </c>
      <c r="Z61" s="189">
        <v>0</v>
      </c>
      <c r="AA61" s="189">
        <v>-125000000</v>
      </c>
      <c r="AB61" s="189">
        <v>0</v>
      </c>
      <c r="AC61" s="189">
        <v>-5380422.0300000003</v>
      </c>
      <c r="AD61" s="189">
        <v>0</v>
      </c>
      <c r="AE61" s="189">
        <v>-125000</v>
      </c>
      <c r="AF61" s="189">
        <v>0</v>
      </c>
      <c r="AG61" s="189">
        <v>-5668455.3899999997</v>
      </c>
      <c r="AH61" s="189">
        <v>0</v>
      </c>
      <c r="AI61" s="189">
        <v>0</v>
      </c>
      <c r="AJ61" s="189">
        <v>0</v>
      </c>
      <c r="AK61" s="189">
        <v>-1344988.07</v>
      </c>
      <c r="AL61" s="189">
        <v>0</v>
      </c>
      <c r="AM61" s="189">
        <v>0</v>
      </c>
      <c r="AN61" s="189">
        <v>0</v>
      </c>
      <c r="AO61" s="189">
        <v>932081.56</v>
      </c>
      <c r="AP61" s="189">
        <v>0</v>
      </c>
      <c r="AQ61" s="189">
        <v>0</v>
      </c>
      <c r="AR61" s="189">
        <v>0</v>
      </c>
      <c r="AS61" s="189">
        <v>519264.49</v>
      </c>
      <c r="AT61" s="189">
        <v>0</v>
      </c>
      <c r="AU61" s="189">
        <v>0</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row>
    <row r="62" spans="1:74" x14ac:dyDescent="0.25">
      <c r="A62" s="189" t="s">
        <v>275</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-1731506.96</v>
      </c>
      <c r="V62" s="189">
        <v>0</v>
      </c>
      <c r="W62" s="189">
        <v>-1731506.96</v>
      </c>
      <c r="X62" s="189">
        <v>0</v>
      </c>
      <c r="Y62" s="189">
        <v>193016.56</v>
      </c>
      <c r="Z62" s="189">
        <v>0</v>
      </c>
      <c r="AA62" s="189">
        <v>484318.8</v>
      </c>
      <c r="AB62" s="189">
        <v>0</v>
      </c>
      <c r="AC62" s="189">
        <v>-614074.68000000005</v>
      </c>
      <c r="AD62" s="189">
        <v>0</v>
      </c>
      <c r="AE62" s="189">
        <v>-25311.08</v>
      </c>
      <c r="AF62" s="189">
        <v>0</v>
      </c>
      <c r="AG62" s="189">
        <v>-1727856.08</v>
      </c>
      <c r="AH62" s="189">
        <v>0</v>
      </c>
      <c r="AI62" s="189">
        <v>-1721229.08</v>
      </c>
      <c r="AJ62" s="189">
        <v>0</v>
      </c>
      <c r="AK62" s="189">
        <v>3880421.16</v>
      </c>
      <c r="AL62" s="189">
        <v>0</v>
      </c>
      <c r="AM62" s="189">
        <v>0</v>
      </c>
      <c r="AN62" s="189">
        <v>0</v>
      </c>
      <c r="AO62" s="189">
        <v>0</v>
      </c>
      <c r="AP62" s="189">
        <v>0</v>
      </c>
      <c r="AQ62" s="189">
        <v>0</v>
      </c>
      <c r="AR62" s="189">
        <v>0</v>
      </c>
      <c r="AS62" s="189">
        <v>-61703.4</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row>
    <row r="63" spans="1:74" x14ac:dyDescent="0.25">
      <c r="A63" s="189" t="s">
        <v>276</v>
      </c>
      <c r="B63" s="189">
        <v>0</v>
      </c>
      <c r="C63" s="189">
        <v>-770220833.14999998</v>
      </c>
      <c r="D63" s="189">
        <v>0</v>
      </c>
      <c r="E63" s="189">
        <v>-1297140163.5</v>
      </c>
      <c r="F63" s="189">
        <v>0</v>
      </c>
      <c r="G63" s="189">
        <v>-370507155.69999999</v>
      </c>
      <c r="H63" s="189">
        <v>0</v>
      </c>
      <c r="I63" s="189">
        <v>-551733273.94000006</v>
      </c>
      <c r="J63" s="189">
        <v>0</v>
      </c>
      <c r="K63" s="189">
        <v>-653675966.63</v>
      </c>
      <c r="L63" s="189">
        <v>0</v>
      </c>
      <c r="M63" s="189">
        <v>-632571124.04999995</v>
      </c>
      <c r="N63" s="189">
        <v>0</v>
      </c>
      <c r="O63" s="189">
        <v>-415724888.83999997</v>
      </c>
      <c r="P63" s="189">
        <v>0</v>
      </c>
      <c r="Q63" s="189">
        <v>-1181272030.3</v>
      </c>
      <c r="R63" s="189">
        <v>0</v>
      </c>
      <c r="S63" s="189">
        <v>-431005410.55000001</v>
      </c>
      <c r="T63" s="189">
        <v>0</v>
      </c>
      <c r="U63" s="189">
        <v>-205592316.05000001</v>
      </c>
      <c r="V63" s="189">
        <v>0</v>
      </c>
      <c r="W63" s="189">
        <v>-210576697.75</v>
      </c>
      <c r="X63" s="189">
        <v>0</v>
      </c>
      <c r="Y63" s="189">
        <v>-1143271689.0699999</v>
      </c>
      <c r="Z63" s="189">
        <v>0</v>
      </c>
      <c r="AA63" s="189">
        <v>-544339734.64999998</v>
      </c>
      <c r="AB63" s="189">
        <v>0</v>
      </c>
      <c r="AC63" s="189">
        <v>-1030218798.95</v>
      </c>
      <c r="AD63" s="189">
        <v>0</v>
      </c>
      <c r="AE63" s="189">
        <v>-320718276.69999999</v>
      </c>
      <c r="AF63" s="189">
        <v>0</v>
      </c>
      <c r="AG63" s="189">
        <v>-1047314129.84</v>
      </c>
      <c r="AH63" s="189">
        <v>0</v>
      </c>
      <c r="AI63" s="189">
        <v>-538404484.97000003</v>
      </c>
      <c r="AJ63" s="189">
        <v>0</v>
      </c>
      <c r="AK63" s="189">
        <v>-685669129.10000002</v>
      </c>
      <c r="AL63" s="189">
        <v>0</v>
      </c>
      <c r="AM63" s="189">
        <v>-23464530.59</v>
      </c>
      <c r="AN63" s="189">
        <v>0</v>
      </c>
      <c r="AO63" s="189">
        <v>-269383151.68000001</v>
      </c>
      <c r="AP63" s="189">
        <v>0</v>
      </c>
      <c r="AQ63" s="189">
        <v>-85624567.099999994</v>
      </c>
      <c r="AR63" s="189">
        <v>0</v>
      </c>
      <c r="AS63" s="189">
        <v>-297844728.13999999</v>
      </c>
      <c r="AT63" s="189">
        <v>0</v>
      </c>
      <c r="AU63" s="189">
        <v>0</v>
      </c>
      <c r="AV63" s="189">
        <v>0</v>
      </c>
      <c r="AW63" s="189">
        <v>-51023550.609999999</v>
      </c>
      <c r="AX63" s="189">
        <v>25214249.57</v>
      </c>
      <c r="AY63" s="189">
        <v>-53146425.170000002</v>
      </c>
      <c r="AZ63" s="189">
        <v>-63805866.719999999</v>
      </c>
      <c r="BA63" s="189">
        <v>-75881953.069999993</v>
      </c>
      <c r="BB63" s="189">
        <v>2461580.23</v>
      </c>
      <c r="BC63" s="189">
        <v>62458479.670000002</v>
      </c>
      <c r="BD63" s="189">
        <v>-71999961.900000006</v>
      </c>
      <c r="BE63" s="189">
        <v>-282991987.47000003</v>
      </c>
      <c r="BF63" s="189">
        <v>-241941910.61000001</v>
      </c>
      <c r="BG63" s="189">
        <v>-164558478.68000001</v>
      </c>
      <c r="BH63" s="189">
        <v>-21751953.59</v>
      </c>
      <c r="BI63" s="189">
        <v>-120007522.41</v>
      </c>
      <c r="BJ63" s="189">
        <v>-22012952.690000001</v>
      </c>
      <c r="BK63" s="189">
        <v>63365352.920000002</v>
      </c>
      <c r="BL63" s="189">
        <v>27352275.670000002</v>
      </c>
      <c r="BM63" s="189">
        <v>345759770.95999998</v>
      </c>
      <c r="BN63" s="189">
        <v>372005337.29000002</v>
      </c>
      <c r="BO63" s="189">
        <v>-336579939.07999998</v>
      </c>
      <c r="BP63" s="189">
        <v>77177466.329999998</v>
      </c>
      <c r="BQ63" s="189">
        <v>-341417941.55000001</v>
      </c>
      <c r="BR63" s="189">
        <v>54083894.700000003</v>
      </c>
      <c r="BS63" s="189">
        <v>-77923751.25</v>
      </c>
      <c r="BT63" s="189">
        <v>116310490.47</v>
      </c>
      <c r="BU63" s="189">
        <v>56739291.729999997</v>
      </c>
      <c r="BV63" s="189">
        <v>0</v>
      </c>
    </row>
    <row r="64" spans="1:74" x14ac:dyDescent="0.25">
      <c r="A64" s="189" t="s">
        <v>277</v>
      </c>
      <c r="B64" s="189">
        <v>0</v>
      </c>
      <c r="C64" s="189">
        <v>-6431595615.29</v>
      </c>
      <c r="D64" s="189">
        <v>0</v>
      </c>
      <c r="E64" s="189">
        <v>-1551180951.8</v>
      </c>
      <c r="F64" s="189">
        <v>0</v>
      </c>
      <c r="G64" s="189">
        <v>-2159962679.5500002</v>
      </c>
      <c r="H64" s="189">
        <v>0</v>
      </c>
      <c r="I64" s="189">
        <v>-1057744969.79</v>
      </c>
      <c r="J64" s="189">
        <v>0</v>
      </c>
      <c r="K64" s="189">
        <v>-2678769985.9000001</v>
      </c>
      <c r="L64" s="189">
        <v>0</v>
      </c>
      <c r="M64" s="189">
        <v>-1546245346.9400001</v>
      </c>
      <c r="N64" s="189">
        <v>0</v>
      </c>
      <c r="O64" s="189">
        <v>-139725038.34999999</v>
      </c>
      <c r="P64" s="189">
        <v>0</v>
      </c>
      <c r="Q64" s="189">
        <v>-3711623760.5</v>
      </c>
      <c r="R64" s="189">
        <v>0</v>
      </c>
      <c r="S64" s="189">
        <v>-5387942814.3599997</v>
      </c>
      <c r="T64" s="189">
        <v>0</v>
      </c>
      <c r="U64" s="189">
        <v>-915196107.59000003</v>
      </c>
      <c r="V64" s="189">
        <v>0</v>
      </c>
      <c r="W64" s="189">
        <v>-1722456984.0599999</v>
      </c>
      <c r="X64" s="189">
        <v>0</v>
      </c>
      <c r="Y64" s="189">
        <v>-774776834.11000001</v>
      </c>
      <c r="Z64" s="189">
        <v>0</v>
      </c>
      <c r="AA64" s="189">
        <v>-312770441.24000001</v>
      </c>
      <c r="AB64" s="189">
        <v>0</v>
      </c>
      <c r="AC64" s="189">
        <v>87219643.090000004</v>
      </c>
      <c r="AD64" s="189">
        <v>0</v>
      </c>
      <c r="AE64" s="189">
        <v>460098036.5</v>
      </c>
      <c r="AF64" s="189">
        <v>0</v>
      </c>
      <c r="AG64" s="189">
        <v>-472612913.94999999</v>
      </c>
      <c r="AH64" s="189">
        <v>0</v>
      </c>
      <c r="AI64" s="189">
        <v>273282654.64999998</v>
      </c>
      <c r="AJ64" s="189">
        <v>0</v>
      </c>
      <c r="AK64" s="189">
        <v>95868443.75</v>
      </c>
      <c r="AL64" s="189">
        <v>0</v>
      </c>
      <c r="AM64" s="189">
        <v>195818496.55000001</v>
      </c>
      <c r="AN64" s="189">
        <v>0</v>
      </c>
      <c r="AO64" s="189">
        <v>-122482568.7</v>
      </c>
      <c r="AP64" s="189">
        <v>0</v>
      </c>
      <c r="AQ64" s="189">
        <v>215858533.19</v>
      </c>
      <c r="AR64" s="189">
        <v>0</v>
      </c>
      <c r="AS64" s="189">
        <v>118998060</v>
      </c>
      <c r="AT64" s="189">
        <v>0</v>
      </c>
      <c r="AU64" s="189">
        <v>0</v>
      </c>
      <c r="AV64" s="189">
        <v>0</v>
      </c>
      <c r="AW64" s="189">
        <v>-252866237.31999999</v>
      </c>
      <c r="AX64" s="189">
        <v>-23265966.93</v>
      </c>
      <c r="AY64" s="189">
        <v>5297884.55</v>
      </c>
      <c r="AZ64" s="189">
        <v>120799862.31999999</v>
      </c>
      <c r="BA64" s="189">
        <v>87616042.659999996</v>
      </c>
      <c r="BB64" s="189">
        <v>-270371179.48000002</v>
      </c>
      <c r="BC64" s="189">
        <v>-295809295.06999999</v>
      </c>
      <c r="BD64" s="189">
        <v>32940607.91</v>
      </c>
      <c r="BE64" s="189">
        <v>-208000060.84</v>
      </c>
      <c r="BF64" s="189">
        <v>40373736.439999998</v>
      </c>
      <c r="BG64" s="189">
        <v>16967883.77</v>
      </c>
      <c r="BH64" s="189">
        <v>147629289.19</v>
      </c>
      <c r="BI64" s="189">
        <v>-315522425.82999998</v>
      </c>
      <c r="BJ64" s="189">
        <v>-152323719.84999999</v>
      </c>
      <c r="BK64" s="189">
        <v>128702315.09</v>
      </c>
      <c r="BL64" s="189">
        <v>-115275972.92</v>
      </c>
      <c r="BM64" s="189">
        <v>-193149743.03</v>
      </c>
      <c r="BN64" s="189">
        <v>-117561667.22</v>
      </c>
      <c r="BO64" s="189">
        <v>-62344738</v>
      </c>
      <c r="BP64" s="189">
        <v>-61321138.789999999</v>
      </c>
      <c r="BQ64" s="189">
        <v>747875599.04999995</v>
      </c>
      <c r="BR64" s="189">
        <v>50135599.649999999</v>
      </c>
      <c r="BS64" s="189">
        <v>-687131777.67999995</v>
      </c>
      <c r="BT64" s="189">
        <v>-113300338.97</v>
      </c>
      <c r="BU64" s="189">
        <v>-165301930.81999999</v>
      </c>
      <c r="BV64" s="189">
        <v>0</v>
      </c>
    </row>
    <row r="65" spans="1:74" x14ac:dyDescent="0.25">
      <c r="A65" s="189" t="s">
        <v>278</v>
      </c>
      <c r="B65" s="189">
        <v>0</v>
      </c>
      <c r="C65" s="189">
        <v>476086421.18000001</v>
      </c>
      <c r="D65" s="189">
        <v>0</v>
      </c>
      <c r="E65" s="189">
        <v>2106362042.99</v>
      </c>
      <c r="F65" s="189">
        <v>0</v>
      </c>
      <c r="G65" s="189">
        <v>254416321.68000001</v>
      </c>
      <c r="H65" s="189">
        <v>0</v>
      </c>
      <c r="I65" s="189">
        <v>5679938155.4099998</v>
      </c>
      <c r="J65" s="189">
        <v>0</v>
      </c>
      <c r="K65" s="189">
        <v>3375710204.6300001</v>
      </c>
      <c r="L65" s="189">
        <v>0</v>
      </c>
      <c r="M65" s="189">
        <v>1986536276.52</v>
      </c>
      <c r="N65" s="189">
        <v>0</v>
      </c>
      <c r="O65" s="189">
        <v>-74835252.480000004</v>
      </c>
      <c r="P65" s="189">
        <v>0</v>
      </c>
      <c r="Q65" s="189">
        <v>-1111347199.9000001</v>
      </c>
      <c r="R65" s="189">
        <v>0</v>
      </c>
      <c r="S65" s="189">
        <v>-596291911.57000005</v>
      </c>
      <c r="T65" s="189">
        <v>0</v>
      </c>
      <c r="U65" s="189">
        <v>-6333763436</v>
      </c>
      <c r="V65" s="189">
        <v>0</v>
      </c>
      <c r="W65" s="189">
        <v>-2840702791.8200002</v>
      </c>
      <c r="X65" s="189">
        <v>0</v>
      </c>
      <c r="Y65" s="189">
        <v>97355286.269999996</v>
      </c>
      <c r="Z65" s="189">
        <v>0</v>
      </c>
      <c r="AA65" s="189">
        <v>-671676893.76999998</v>
      </c>
      <c r="AB65" s="189">
        <v>0</v>
      </c>
      <c r="AC65" s="189">
        <v>3314193656.3800001</v>
      </c>
      <c r="AD65" s="189">
        <v>0</v>
      </c>
      <c r="AE65" s="189">
        <v>1387874026.9300001</v>
      </c>
      <c r="AF65" s="189">
        <v>0</v>
      </c>
      <c r="AG65" s="189">
        <v>3885619590.0700002</v>
      </c>
      <c r="AH65" s="189">
        <v>0</v>
      </c>
      <c r="AI65" s="189">
        <v>685515828.36000001</v>
      </c>
      <c r="AJ65" s="189">
        <v>0</v>
      </c>
      <c r="AK65" s="189">
        <v>2501205934.02</v>
      </c>
      <c r="AL65" s="189">
        <v>0</v>
      </c>
      <c r="AM65" s="189">
        <v>-286679180.11000001</v>
      </c>
      <c r="AN65" s="189">
        <v>0</v>
      </c>
      <c r="AO65" s="189">
        <v>97569708.590000004</v>
      </c>
      <c r="AP65" s="189">
        <v>0</v>
      </c>
      <c r="AQ65" s="189">
        <v>-459151094.26999998</v>
      </c>
      <c r="AR65" s="189">
        <v>0</v>
      </c>
      <c r="AS65" s="189">
        <v>-93541301.400000006</v>
      </c>
      <c r="AT65" s="189">
        <v>0</v>
      </c>
      <c r="AU65" s="189">
        <v>0</v>
      </c>
      <c r="AV65" s="189">
        <v>0</v>
      </c>
      <c r="AW65" s="189">
        <v>7071893.2800000003</v>
      </c>
      <c r="AX65" s="189">
        <v>-156143191.15000001</v>
      </c>
      <c r="AY65" s="189">
        <v>-101426998.06</v>
      </c>
      <c r="AZ65" s="189">
        <v>75258341.810000002</v>
      </c>
      <c r="BA65" s="189">
        <v>-43599575.899999999</v>
      </c>
      <c r="BB65" s="189">
        <v>-57298795.049999997</v>
      </c>
      <c r="BC65" s="189">
        <v>115558962.69</v>
      </c>
      <c r="BD65" s="189">
        <v>-85641712.159999996</v>
      </c>
      <c r="BE65" s="189">
        <v>62972543.960000001</v>
      </c>
      <c r="BF65" s="189">
        <v>54476157.619999997</v>
      </c>
      <c r="BG65" s="189">
        <v>71332963.310000002</v>
      </c>
      <c r="BH65" s="189">
        <v>338363708.64999998</v>
      </c>
      <c r="BI65" s="189">
        <v>485209006.61000001</v>
      </c>
      <c r="BJ65" s="189">
        <v>216278146.06999999</v>
      </c>
      <c r="BK65" s="189">
        <v>-377422808.31999999</v>
      </c>
      <c r="BL65" s="189">
        <v>-73371441.810000002</v>
      </c>
      <c r="BM65" s="189">
        <v>37445914.549999997</v>
      </c>
      <c r="BN65" s="189">
        <v>-329134542.06</v>
      </c>
      <c r="BO65" s="189">
        <v>667790591.48000002</v>
      </c>
      <c r="BP65" s="189">
        <v>-430273347.93000001</v>
      </c>
      <c r="BQ65" s="189">
        <v>-105061991.68000001</v>
      </c>
      <c r="BR65" s="189">
        <v>-228854403.56999999</v>
      </c>
      <c r="BS65" s="189">
        <v>918335758.51999998</v>
      </c>
      <c r="BT65" s="189">
        <v>28091156.73</v>
      </c>
      <c r="BU65" s="189">
        <v>-118741892.40000001</v>
      </c>
      <c r="BV65" s="189">
        <v>0</v>
      </c>
    </row>
    <row r="66" spans="1:7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row>
    <row r="67" spans="1:7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row>
    <row r="68" spans="1:74"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425543.86</v>
      </c>
      <c r="BK68" s="189">
        <v>3398784.86</v>
      </c>
      <c r="BL68" s="189">
        <v>154707.76999999999</v>
      </c>
      <c r="BM68" s="189">
        <v>-53964.45</v>
      </c>
      <c r="BN68" s="189">
        <v>62691302.240000002</v>
      </c>
      <c r="BO68" s="189">
        <v>-192701034.83000001</v>
      </c>
      <c r="BP68" s="189">
        <v>917703.92</v>
      </c>
      <c r="BQ68" s="189">
        <v>107815570.48</v>
      </c>
      <c r="BR68" s="189">
        <v>-7817441.5999999996</v>
      </c>
      <c r="BS68" s="189">
        <v>34141452.18</v>
      </c>
      <c r="BT68" s="189">
        <v>-52170423.5</v>
      </c>
      <c r="BU68" s="189">
        <v>28083119.75</v>
      </c>
      <c r="BV68" s="189">
        <v>0</v>
      </c>
    </row>
    <row r="69" spans="1:74" x14ac:dyDescent="0.25">
      <c r="A69" s="189" t="s">
        <v>282</v>
      </c>
      <c r="B69" s="189">
        <v>0</v>
      </c>
      <c r="C69" s="189">
        <v>596647017.74000001</v>
      </c>
      <c r="D69" s="189">
        <v>0</v>
      </c>
      <c r="E69" s="189">
        <v>9766175822.6599998</v>
      </c>
      <c r="F69" s="189">
        <v>0</v>
      </c>
      <c r="G69" s="189">
        <v>3164691697.5500002</v>
      </c>
      <c r="H69" s="189">
        <v>0</v>
      </c>
      <c r="I69" s="189">
        <v>11696760569.209999</v>
      </c>
      <c r="J69" s="189">
        <v>0</v>
      </c>
      <c r="K69" s="189">
        <v>4311242229.5799999</v>
      </c>
      <c r="L69" s="189">
        <v>0</v>
      </c>
      <c r="M69" s="189">
        <v>6691068449.7799997</v>
      </c>
      <c r="N69" s="189">
        <v>0</v>
      </c>
      <c r="O69" s="189">
        <v>3116614507.29</v>
      </c>
      <c r="P69" s="189">
        <v>0</v>
      </c>
      <c r="Q69" s="189">
        <v>794565645.34000003</v>
      </c>
      <c r="R69" s="189">
        <v>0</v>
      </c>
      <c r="S69" s="189">
        <v>-1826814406.4000001</v>
      </c>
      <c r="T69" s="189">
        <v>0</v>
      </c>
      <c r="U69" s="189">
        <v>1458910756.8800001</v>
      </c>
      <c r="V69" s="189">
        <v>0</v>
      </c>
      <c r="W69" s="189">
        <v>1497787082.24</v>
      </c>
      <c r="X69" s="189">
        <v>0</v>
      </c>
      <c r="Y69" s="189">
        <v>8749667084.4799995</v>
      </c>
      <c r="Z69" s="189">
        <v>0</v>
      </c>
      <c r="AA69" s="189">
        <v>3947604599.0900002</v>
      </c>
      <c r="AB69" s="189">
        <v>0</v>
      </c>
      <c r="AC69" s="189">
        <v>9533022924.4099998</v>
      </c>
      <c r="AD69" s="189">
        <v>0</v>
      </c>
      <c r="AE69" s="189">
        <v>5409806169.54</v>
      </c>
      <c r="AF69" s="189">
        <v>0</v>
      </c>
      <c r="AG69" s="189">
        <v>7703120285.2600002</v>
      </c>
      <c r="AH69" s="189">
        <v>0</v>
      </c>
      <c r="AI69" s="189">
        <v>3138660150.8800001</v>
      </c>
      <c r="AJ69" s="189">
        <v>0</v>
      </c>
      <c r="AK69" s="189">
        <v>6054009663</v>
      </c>
      <c r="AL69" s="189">
        <v>0</v>
      </c>
      <c r="AM69" s="189">
        <v>1883351626.01</v>
      </c>
      <c r="AN69" s="189">
        <v>0</v>
      </c>
      <c r="AO69" s="189">
        <v>1972636550.8099999</v>
      </c>
      <c r="AP69" s="189">
        <v>0</v>
      </c>
      <c r="AQ69" s="189">
        <v>1196792212.5999999</v>
      </c>
      <c r="AR69" s="189">
        <v>0</v>
      </c>
      <c r="AS69" s="189">
        <v>1665545943.71</v>
      </c>
      <c r="AT69" s="189">
        <v>0</v>
      </c>
      <c r="AU69" s="189">
        <v>0</v>
      </c>
      <c r="AV69" s="189">
        <v>0</v>
      </c>
      <c r="AW69" s="189">
        <v>1336270367.45</v>
      </c>
      <c r="AX69" s="189">
        <v>1192408273.4000001</v>
      </c>
      <c r="AY69" s="189">
        <v>889923241.13999999</v>
      </c>
      <c r="AZ69" s="189">
        <v>788427165.83000004</v>
      </c>
      <c r="BA69" s="189">
        <v>1252717668.0899999</v>
      </c>
      <c r="BB69" s="189">
        <v>807940999.38999999</v>
      </c>
      <c r="BC69" s="189">
        <v>713289532.66999996</v>
      </c>
      <c r="BD69" s="189">
        <v>410809880.20999998</v>
      </c>
      <c r="BE69" s="189">
        <v>821693394.29999995</v>
      </c>
      <c r="BF69" s="189">
        <v>845972023.45000005</v>
      </c>
      <c r="BG69" s="189">
        <v>673455379.76999998</v>
      </c>
      <c r="BH69" s="189">
        <v>959479476.41999996</v>
      </c>
      <c r="BI69" s="189">
        <v>1044659243.4</v>
      </c>
      <c r="BJ69" s="189">
        <v>796479775.66999996</v>
      </c>
      <c r="BK69" s="189">
        <v>324143510.37</v>
      </c>
      <c r="BL69" s="189">
        <v>233531826.72</v>
      </c>
      <c r="BM69" s="189">
        <v>1053290717.92</v>
      </c>
      <c r="BN69" s="189">
        <v>513631576.39999998</v>
      </c>
      <c r="BO69" s="189">
        <v>1073187941.83</v>
      </c>
      <c r="BP69" s="189">
        <v>259841859.31999999</v>
      </c>
      <c r="BQ69" s="189">
        <v>1294995783.27</v>
      </c>
      <c r="BR69" s="189">
        <v>527169463.72000003</v>
      </c>
      <c r="BS69" s="189">
        <v>898446895.69000006</v>
      </c>
      <c r="BT69" s="189">
        <v>436278873.26999998</v>
      </c>
      <c r="BU69" s="189">
        <v>359005459.04000002</v>
      </c>
      <c r="BV69" s="189">
        <v>0</v>
      </c>
    </row>
    <row r="70" spans="1:7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row>
    <row r="71" spans="1:7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row>
    <row r="72" spans="1:7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row>
    <row r="73" spans="1:74" x14ac:dyDescent="0.25">
      <c r="A73" s="189" t="s">
        <v>286</v>
      </c>
      <c r="B73" s="189">
        <v>0</v>
      </c>
      <c r="C73" s="189">
        <v>42231529832.639999</v>
      </c>
      <c r="D73" s="189">
        <v>0</v>
      </c>
      <c r="E73" s="189">
        <v>40529000014.209999</v>
      </c>
      <c r="F73" s="189">
        <v>0</v>
      </c>
      <c r="G73" s="189">
        <v>34377586703.849998</v>
      </c>
      <c r="H73" s="189">
        <v>0</v>
      </c>
      <c r="I73" s="189">
        <v>34596654426.980003</v>
      </c>
      <c r="J73" s="189">
        <v>0</v>
      </c>
      <c r="K73" s="189">
        <v>30557758703.07</v>
      </c>
      <c r="L73" s="189">
        <v>0</v>
      </c>
      <c r="M73" s="189">
        <v>26311138400.740002</v>
      </c>
      <c r="N73" s="189">
        <v>0</v>
      </c>
      <c r="O73" s="189">
        <v>22852502534.740002</v>
      </c>
      <c r="P73" s="189">
        <v>0</v>
      </c>
      <c r="Q73" s="189">
        <v>22364113951.740002</v>
      </c>
      <c r="R73" s="189">
        <v>0</v>
      </c>
      <c r="S73" s="189">
        <v>20044935398.400002</v>
      </c>
      <c r="T73" s="189">
        <v>0</v>
      </c>
      <c r="U73" s="189">
        <v>25763495274.950001</v>
      </c>
      <c r="V73" s="189">
        <v>0</v>
      </c>
      <c r="W73" s="189">
        <v>25756055774.560001</v>
      </c>
      <c r="X73" s="189">
        <v>0</v>
      </c>
      <c r="Y73" s="189">
        <v>27845507237.169998</v>
      </c>
      <c r="Z73" s="189">
        <v>0</v>
      </c>
      <c r="AA73" s="189">
        <v>23191044991.02</v>
      </c>
      <c r="AB73" s="189">
        <v>0</v>
      </c>
      <c r="AC73" s="189">
        <v>21550861665.98</v>
      </c>
      <c r="AD73" s="189">
        <v>0</v>
      </c>
      <c r="AE73" s="189">
        <v>18211566393.299999</v>
      </c>
      <c r="AF73" s="189">
        <v>16190659506.01</v>
      </c>
      <c r="AG73" s="189">
        <v>14134459002.65</v>
      </c>
      <c r="AH73" s="189">
        <v>11473084733.450001</v>
      </c>
      <c r="AI73" s="189">
        <v>9943205585.6599998</v>
      </c>
      <c r="AJ73" s="189">
        <v>9543660882.1599998</v>
      </c>
      <c r="AK73" s="189">
        <v>7543588700.0299997</v>
      </c>
      <c r="AL73" s="189">
        <v>6563567876.1999998</v>
      </c>
      <c r="AM73" s="189">
        <v>4846347515.1999998</v>
      </c>
      <c r="AN73" s="189">
        <v>7047277732.79</v>
      </c>
      <c r="AO73" s="189">
        <v>5925396594.6800003</v>
      </c>
      <c r="AP73" s="189">
        <v>5838715882.9300003</v>
      </c>
      <c r="AQ73" s="189">
        <v>5184237841.4099998</v>
      </c>
      <c r="AR73" s="189">
        <v>5228632196.6400003</v>
      </c>
      <c r="AS73" s="189">
        <v>4060766891.5799999</v>
      </c>
      <c r="AT73" s="189">
        <v>4688729262.0200005</v>
      </c>
      <c r="AU73" s="189">
        <v>4276319962.5900002</v>
      </c>
      <c r="AV73" s="189">
        <v>3803378130.4099998</v>
      </c>
      <c r="AW73" s="189">
        <v>2786258119.3600001</v>
      </c>
      <c r="AX73" s="189">
        <v>2656212411.0300002</v>
      </c>
      <c r="AY73" s="189">
        <v>2443574846.8699999</v>
      </c>
      <c r="AZ73" s="189">
        <v>2751216145.8600001</v>
      </c>
      <c r="BA73" s="189">
        <v>1971067990.4000001</v>
      </c>
      <c r="BB73" s="189">
        <v>1571661619.25</v>
      </c>
      <c r="BC73" s="189">
        <v>1479638954.0899999</v>
      </c>
      <c r="BD73" s="189">
        <v>1234840555.3499999</v>
      </c>
      <c r="BE73" s="189">
        <v>882624670.09000003</v>
      </c>
      <c r="BF73" s="189">
        <v>1470310894.1199999</v>
      </c>
      <c r="BG73" s="189">
        <v>1314054756.03</v>
      </c>
      <c r="BH73" s="189">
        <v>1899142830.73</v>
      </c>
      <c r="BI73" s="189">
        <v>1005084907.16</v>
      </c>
      <c r="BJ73" s="189">
        <v>1273345510.1099999</v>
      </c>
      <c r="BK73" s="189">
        <v>1561217592.3499999</v>
      </c>
      <c r="BL73" s="189">
        <v>1554658715.24</v>
      </c>
      <c r="BM73" s="189">
        <v>1335725854.02</v>
      </c>
      <c r="BN73" s="189">
        <v>1812460414.3199999</v>
      </c>
      <c r="BO73" s="189">
        <v>1527575747.99</v>
      </c>
      <c r="BP73" s="189">
        <v>1560164527.05</v>
      </c>
      <c r="BQ73" s="189">
        <v>1708793574.8800001</v>
      </c>
      <c r="BR73" s="189">
        <v>599617487.89999998</v>
      </c>
      <c r="BS73" s="189">
        <v>931290888.92999995</v>
      </c>
      <c r="BT73" s="189">
        <v>1244311406.3499999</v>
      </c>
      <c r="BU73" s="189">
        <v>1052654663.3</v>
      </c>
      <c r="BV73" s="189">
        <v>0</v>
      </c>
    </row>
    <row r="74" spans="1:74" x14ac:dyDescent="0.25">
      <c r="A74" s="189" t="s">
        <v>287</v>
      </c>
      <c r="B74" s="189">
        <v>0</v>
      </c>
      <c r="C74" s="189">
        <v>40529000014.209999</v>
      </c>
      <c r="D74" s="189">
        <v>0</v>
      </c>
      <c r="E74" s="189">
        <v>34596654426.980003</v>
      </c>
      <c r="F74" s="189">
        <v>0</v>
      </c>
      <c r="G74" s="189">
        <v>34596654426.980003</v>
      </c>
      <c r="H74" s="189">
        <v>0</v>
      </c>
      <c r="I74" s="189">
        <v>26311138400.740002</v>
      </c>
      <c r="J74" s="189">
        <v>0</v>
      </c>
      <c r="K74" s="189">
        <v>26311138400.740002</v>
      </c>
      <c r="L74" s="189">
        <v>0</v>
      </c>
      <c r="M74" s="189">
        <v>22364113951.740002</v>
      </c>
      <c r="N74" s="189">
        <v>0</v>
      </c>
      <c r="O74" s="189">
        <v>22364113951.740002</v>
      </c>
      <c r="P74" s="189">
        <v>0</v>
      </c>
      <c r="Q74" s="189">
        <v>25763495274.950001</v>
      </c>
      <c r="R74" s="189">
        <v>0</v>
      </c>
      <c r="S74" s="189">
        <v>25763495274.950001</v>
      </c>
      <c r="T74" s="189">
        <v>0</v>
      </c>
      <c r="U74" s="189">
        <v>27845507237.169998</v>
      </c>
      <c r="V74" s="189">
        <v>0</v>
      </c>
      <c r="W74" s="189">
        <v>27845507237.169998</v>
      </c>
      <c r="X74" s="189">
        <v>0</v>
      </c>
      <c r="Y74" s="189">
        <v>21550861665.98</v>
      </c>
      <c r="Z74" s="189">
        <v>0</v>
      </c>
      <c r="AA74" s="189">
        <v>21550861665.98</v>
      </c>
      <c r="AB74" s="189">
        <v>0</v>
      </c>
      <c r="AC74" s="189">
        <v>14134459002.65</v>
      </c>
      <c r="AD74" s="189">
        <v>0</v>
      </c>
      <c r="AE74" s="189">
        <v>14134459002.65</v>
      </c>
      <c r="AF74" s="189">
        <v>14134459002.65</v>
      </c>
      <c r="AG74" s="189">
        <v>7543588700.0299997</v>
      </c>
      <c r="AH74" s="189">
        <v>7543588700.0299997</v>
      </c>
      <c r="AI74" s="189">
        <v>7543588700.0299997</v>
      </c>
      <c r="AJ74" s="189">
        <v>7543588700.0299997</v>
      </c>
      <c r="AK74" s="189">
        <v>5925396594.6800003</v>
      </c>
      <c r="AL74" s="189">
        <v>5925396594.6800003</v>
      </c>
      <c r="AM74" s="189">
        <v>5925396594.6800003</v>
      </c>
      <c r="AN74" s="189">
        <v>5925396594.6800003</v>
      </c>
      <c r="AO74" s="189">
        <v>4060766891.5799999</v>
      </c>
      <c r="AP74" s="189">
        <v>4060766891.5799999</v>
      </c>
      <c r="AQ74" s="189">
        <v>4060758393.3400002</v>
      </c>
      <c r="AR74" s="189">
        <v>4060766891.5799999</v>
      </c>
      <c r="AS74" s="189">
        <v>2786258119.3600001</v>
      </c>
      <c r="AT74" s="189">
        <v>2786258119.3600001</v>
      </c>
      <c r="AU74" s="189">
        <v>2786258119.3600001</v>
      </c>
      <c r="AV74" s="189">
        <v>2786258119.3600001</v>
      </c>
      <c r="AW74" s="189">
        <v>1971067990.4000001</v>
      </c>
      <c r="AX74" s="189">
        <v>1971067990.4000001</v>
      </c>
      <c r="AY74" s="189">
        <v>1971067990.4000001</v>
      </c>
      <c r="AZ74" s="189">
        <v>1971067990.4000001</v>
      </c>
      <c r="BA74" s="189">
        <v>882624670.09000003</v>
      </c>
      <c r="BB74" s="189">
        <v>882624670.09000003</v>
      </c>
      <c r="BC74" s="189">
        <v>882624670.09000003</v>
      </c>
      <c r="BD74" s="189">
        <v>882624670.09000003</v>
      </c>
      <c r="BE74" s="189">
        <v>1005084907.16</v>
      </c>
      <c r="BF74" s="189">
        <v>1005084907.16</v>
      </c>
      <c r="BG74" s="189">
        <v>1005084907.16</v>
      </c>
      <c r="BH74" s="189">
        <v>1005084907.16</v>
      </c>
      <c r="BI74" s="189">
        <v>1335725854.02</v>
      </c>
      <c r="BJ74" s="189">
        <v>1335725854.02</v>
      </c>
      <c r="BK74" s="189">
        <v>1335725854.02</v>
      </c>
      <c r="BL74" s="189">
        <v>1335725854.02</v>
      </c>
      <c r="BM74" s="189">
        <v>1527575747.99</v>
      </c>
      <c r="BN74" s="189">
        <v>1527575747.99</v>
      </c>
      <c r="BO74" s="189">
        <v>1708793574.8800001</v>
      </c>
      <c r="BP74" s="189">
        <v>1708793574.8800001</v>
      </c>
      <c r="BQ74" s="189">
        <v>931290888.92999995</v>
      </c>
      <c r="BR74" s="189">
        <v>931290888.92999995</v>
      </c>
      <c r="BS74" s="189">
        <v>1052654663.3</v>
      </c>
      <c r="BT74" s="189">
        <v>1052654663.3</v>
      </c>
      <c r="BU74" s="189">
        <v>170626574.80000001</v>
      </c>
      <c r="BV74" s="189">
        <v>0</v>
      </c>
    </row>
    <row r="75" spans="1:74" x14ac:dyDescent="0.25">
      <c r="A75" s="189" t="s">
        <v>288</v>
      </c>
      <c r="B75" s="189">
        <v>0</v>
      </c>
      <c r="C75" s="189">
        <v>194800817.16999999</v>
      </c>
      <c r="D75" s="189">
        <v>0</v>
      </c>
      <c r="E75" s="189">
        <v>62803391.57</v>
      </c>
      <c r="F75" s="189">
        <v>0</v>
      </c>
      <c r="G75" s="189">
        <v>83115951.730000004</v>
      </c>
      <c r="H75" s="189">
        <v>0</v>
      </c>
      <c r="I75" s="189">
        <v>69263409.069999993</v>
      </c>
      <c r="J75" s="189">
        <v>0</v>
      </c>
      <c r="K75" s="189">
        <v>15467170.439999999</v>
      </c>
      <c r="L75" s="189">
        <v>0</v>
      </c>
      <c r="M75" s="189">
        <v>13051779.77</v>
      </c>
      <c r="N75" s="189">
        <v>0</v>
      </c>
      <c r="O75" s="189">
        <v>0</v>
      </c>
      <c r="P75" s="189">
        <v>0</v>
      </c>
      <c r="Q75" s="189">
        <v>17992632.739999998</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row>
    <row r="76" spans="1:74" x14ac:dyDescent="0.25">
      <c r="A76" s="189" t="s">
        <v>289</v>
      </c>
      <c r="B76" s="189">
        <v>0</v>
      </c>
      <c r="C76" s="189">
        <v>62803391.57</v>
      </c>
      <c r="D76" s="189">
        <v>0</v>
      </c>
      <c r="E76" s="189">
        <v>69263409.069999993</v>
      </c>
      <c r="F76" s="189">
        <v>0</v>
      </c>
      <c r="G76" s="189">
        <v>69263409.069999993</v>
      </c>
      <c r="H76" s="189">
        <v>0</v>
      </c>
      <c r="I76" s="189">
        <v>13051779.77</v>
      </c>
      <c r="J76" s="189">
        <v>0</v>
      </c>
      <c r="K76" s="189">
        <v>13051779.77</v>
      </c>
      <c r="L76" s="189">
        <v>0</v>
      </c>
      <c r="M76" s="189">
        <v>17992632.739999998</v>
      </c>
      <c r="N76" s="189">
        <v>0</v>
      </c>
      <c r="O76" s="189">
        <v>17992632.739999998</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row>
    <row r="77" spans="1:74" x14ac:dyDescent="0.25">
      <c r="A77" s="189" t="s">
        <v>290</v>
      </c>
      <c r="B77" s="189">
        <v>0</v>
      </c>
      <c r="C77" s="189">
        <v>1834527244.03</v>
      </c>
      <c r="D77" s="189">
        <v>0</v>
      </c>
      <c r="E77" s="189">
        <v>5925885569.7299995</v>
      </c>
      <c r="F77" s="189">
        <v>0</v>
      </c>
      <c r="G77" s="189">
        <v>-205215180.47</v>
      </c>
      <c r="H77" s="189">
        <v>0</v>
      </c>
      <c r="I77" s="189">
        <v>8341727655.54</v>
      </c>
      <c r="J77" s="189">
        <v>0</v>
      </c>
      <c r="K77" s="189">
        <v>4249035693</v>
      </c>
      <c r="L77" s="189">
        <v>0</v>
      </c>
      <c r="M77" s="189">
        <v>3942083596.0300002</v>
      </c>
      <c r="N77" s="189">
        <v>0</v>
      </c>
      <c r="O77" s="189">
        <v>470395950.25999999</v>
      </c>
      <c r="P77" s="189">
        <v>0</v>
      </c>
      <c r="Q77" s="189">
        <v>-3381388690.4699998</v>
      </c>
      <c r="R77" s="189">
        <v>0</v>
      </c>
      <c r="S77" s="189">
        <v>-5718559876.5500002</v>
      </c>
      <c r="T77" s="189">
        <v>0</v>
      </c>
      <c r="U77" s="189">
        <v>-2082011962.22</v>
      </c>
      <c r="V77" s="189">
        <v>0</v>
      </c>
      <c r="W77" s="189">
        <v>-2089451462.6099999</v>
      </c>
      <c r="X77" s="189">
        <v>0</v>
      </c>
      <c r="Y77" s="189">
        <v>6294645571.1899996</v>
      </c>
      <c r="Z77" s="189">
        <v>0</v>
      </c>
      <c r="AA77" s="189">
        <v>1640183325.04</v>
      </c>
      <c r="AB77" s="189">
        <v>0</v>
      </c>
      <c r="AC77" s="189">
        <v>7416402663.3299999</v>
      </c>
      <c r="AD77" s="189">
        <v>0</v>
      </c>
      <c r="AE77" s="189">
        <v>4077107390.6500001</v>
      </c>
      <c r="AF77" s="189">
        <v>2056200503.3599999</v>
      </c>
      <c r="AG77" s="189">
        <v>6590870302.6199999</v>
      </c>
      <c r="AH77" s="189">
        <v>3929496033.4200001</v>
      </c>
      <c r="AI77" s="189">
        <v>2399616885.6300001</v>
      </c>
      <c r="AJ77" s="189">
        <v>2000072182.1300001</v>
      </c>
      <c r="AK77" s="189">
        <v>1618192105.3499999</v>
      </c>
      <c r="AL77" s="189">
        <v>638171281.51999998</v>
      </c>
      <c r="AM77" s="189">
        <v>-1079049079.48</v>
      </c>
      <c r="AN77" s="189">
        <v>1121881138.1099999</v>
      </c>
      <c r="AO77" s="189">
        <v>1864629703.0999999</v>
      </c>
      <c r="AP77" s="189">
        <v>1777948991.3499999</v>
      </c>
      <c r="AQ77" s="189">
        <v>1123479448.0699999</v>
      </c>
      <c r="AR77" s="189">
        <v>1167865305.0599999</v>
      </c>
      <c r="AS77" s="189">
        <v>1274508772.22</v>
      </c>
      <c r="AT77" s="189">
        <v>1902471142.6600001</v>
      </c>
      <c r="AU77" s="189">
        <v>1490061843.23</v>
      </c>
      <c r="AV77" s="189">
        <v>1017120011.05</v>
      </c>
      <c r="AW77" s="189">
        <v>815190128.96000004</v>
      </c>
      <c r="AX77" s="189">
        <v>685144420.63</v>
      </c>
      <c r="AY77" s="189">
        <v>472506856.47000003</v>
      </c>
      <c r="AZ77" s="189">
        <v>780148155.46000004</v>
      </c>
      <c r="BA77" s="189">
        <v>1088443320.3099999</v>
      </c>
      <c r="BB77" s="189">
        <v>689036949.15999997</v>
      </c>
      <c r="BC77" s="189">
        <v>597014284</v>
      </c>
      <c r="BD77" s="189">
        <v>352215885.25999999</v>
      </c>
      <c r="BE77" s="189">
        <v>-122460237.06999999</v>
      </c>
      <c r="BF77" s="189">
        <v>465225986.95999998</v>
      </c>
      <c r="BG77" s="189">
        <v>308969848.87</v>
      </c>
      <c r="BH77" s="189">
        <v>894057923.57000005</v>
      </c>
      <c r="BI77" s="189">
        <v>-330640946.86000001</v>
      </c>
      <c r="BJ77" s="189">
        <v>-62380343.909999996</v>
      </c>
      <c r="BK77" s="189">
        <v>225491738.33000001</v>
      </c>
      <c r="BL77" s="189">
        <v>218932861.22</v>
      </c>
      <c r="BM77" s="189">
        <v>-191849893.97</v>
      </c>
      <c r="BN77" s="189">
        <v>284884666.32999998</v>
      </c>
      <c r="BO77" s="189">
        <v>-181217826.88999999</v>
      </c>
      <c r="BP77" s="189">
        <v>-148629047.83000001</v>
      </c>
      <c r="BQ77" s="189">
        <v>777502685.95000005</v>
      </c>
      <c r="BR77" s="189">
        <v>-331673401.02999997</v>
      </c>
      <c r="BS77" s="189">
        <v>-121363774.37</v>
      </c>
      <c r="BT77" s="189">
        <v>191656743.05000001</v>
      </c>
      <c r="BU77" s="189">
        <v>882028088.5</v>
      </c>
      <c r="BV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7.77734375" bestFit="1" customWidth="1"/>
    <col min="80" max="81" width="19"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40647532884.059998</v>
      </c>
      <c r="C4" s="189">
        <v>42426330649.809998</v>
      </c>
      <c r="D4" s="189">
        <v>42841346186.510002</v>
      </c>
      <c r="E4" s="189">
        <v>40591803405.779999</v>
      </c>
      <c r="F4" s="189">
        <v>37009464495.18</v>
      </c>
      <c r="G4" s="189">
        <v>34460702655.580002</v>
      </c>
      <c r="H4" s="189">
        <v>36444229729.18</v>
      </c>
      <c r="I4" s="189">
        <v>34665917836.050003</v>
      </c>
      <c r="J4" s="189">
        <v>33661137100.450001</v>
      </c>
      <c r="K4" s="189">
        <v>30573225873.509998</v>
      </c>
      <c r="L4" s="189">
        <v>27021018337.57</v>
      </c>
      <c r="M4" s="189">
        <v>26374190180.509998</v>
      </c>
      <c r="N4" s="189">
        <v>25368524052.240002</v>
      </c>
      <c r="O4" s="189">
        <v>22852502534.740002</v>
      </c>
      <c r="P4" s="189">
        <v>24216910201.84</v>
      </c>
      <c r="Q4" s="189">
        <v>22382106584.48</v>
      </c>
      <c r="R4" s="189">
        <v>20816459339.529999</v>
      </c>
      <c r="S4" s="189">
        <v>20044935398.400002</v>
      </c>
      <c r="T4" s="189">
        <v>22776856360.029999</v>
      </c>
      <c r="U4" s="189">
        <v>25763495274.950001</v>
      </c>
      <c r="V4" s="189">
        <v>24575610378.689999</v>
      </c>
      <c r="W4" s="189">
        <v>25756055774.560001</v>
      </c>
      <c r="X4" s="189">
        <v>28805906991.02</v>
      </c>
      <c r="Y4" s="189">
        <v>27845507237.169998</v>
      </c>
      <c r="Z4" s="189">
        <v>25767578096.669998</v>
      </c>
      <c r="AA4" s="189">
        <v>23191044991.02</v>
      </c>
      <c r="AB4" s="189">
        <v>22883165830.130001</v>
      </c>
      <c r="AC4" s="189">
        <v>21550861665.98</v>
      </c>
      <c r="AD4" s="189">
        <v>19030416620.939999</v>
      </c>
      <c r="AE4" s="189">
        <v>18211566393.299999</v>
      </c>
      <c r="AF4" s="189">
        <v>16190659506.01</v>
      </c>
      <c r="AG4" s="189">
        <v>14134459002.65</v>
      </c>
      <c r="AH4" s="189">
        <v>11473084733.450001</v>
      </c>
      <c r="AI4" s="189">
        <v>9943205585.6599998</v>
      </c>
      <c r="AJ4" s="189">
        <v>9543660882.1599998</v>
      </c>
      <c r="AK4" s="189">
        <v>7543588700.0299997</v>
      </c>
      <c r="AL4" s="189">
        <v>6563567876.1999998</v>
      </c>
      <c r="AM4" s="189">
        <v>4846347515.1999998</v>
      </c>
      <c r="AN4" s="189">
        <v>7097277732.79</v>
      </c>
      <c r="AO4" s="189">
        <v>5925396594.6800003</v>
      </c>
      <c r="AP4" s="189">
        <v>5838715882.9300003</v>
      </c>
      <c r="AQ4" s="189">
        <v>5184237841.4099998</v>
      </c>
      <c r="AR4" s="189">
        <v>5228632196.6400003</v>
      </c>
      <c r="AS4" s="189">
        <v>4060766891.5799999</v>
      </c>
      <c r="AT4" s="189">
        <v>4688729262.0200005</v>
      </c>
      <c r="AU4" s="189">
        <v>4276319962.5900002</v>
      </c>
      <c r="AV4" s="189">
        <v>3803378130.4099998</v>
      </c>
      <c r="AW4" s="189">
        <v>2786258119.3600001</v>
      </c>
      <c r="AX4" s="189">
        <v>2656212411.0300002</v>
      </c>
      <c r="AY4" s="189">
        <v>2443574846.8699999</v>
      </c>
      <c r="AZ4" s="189">
        <v>2751216145.8600001</v>
      </c>
      <c r="BA4" s="189">
        <v>1971067990.4000001</v>
      </c>
      <c r="BB4" s="189">
        <v>1571661619.25</v>
      </c>
      <c r="BC4" s="189">
        <v>1479638954.0899999</v>
      </c>
      <c r="BD4" s="189">
        <v>1234840555.3499999</v>
      </c>
      <c r="BE4" s="189">
        <v>882624670.09000003</v>
      </c>
      <c r="BF4" s="189">
        <v>1470310894.1199999</v>
      </c>
      <c r="BG4" s="189">
        <v>1314054756.03</v>
      </c>
      <c r="BH4" s="189">
        <v>1899142830.73</v>
      </c>
      <c r="BI4" s="189">
        <v>1005084907.16</v>
      </c>
      <c r="BJ4" s="189">
        <v>1273345510.1099999</v>
      </c>
      <c r="BK4" s="189">
        <v>1561217592.3499999</v>
      </c>
      <c r="BL4" s="189">
        <v>1554658715.24</v>
      </c>
      <c r="BM4" s="189">
        <v>1335725854.02</v>
      </c>
      <c r="BN4" s="189">
        <v>1611944400.46</v>
      </c>
      <c r="BO4" s="189">
        <v>1812460414.3199999</v>
      </c>
      <c r="BP4" s="189">
        <v>1781245268.29</v>
      </c>
      <c r="BQ4" s="189">
        <v>1527575747.99</v>
      </c>
      <c r="BR4" s="189">
        <v>0</v>
      </c>
      <c r="BS4" s="189">
        <v>1560164527.05</v>
      </c>
      <c r="BT4" s="189">
        <v>2177885886.6399999</v>
      </c>
      <c r="BU4" s="189">
        <v>1708793574.8800001</v>
      </c>
      <c r="BV4" s="189">
        <v>599617487.89999998</v>
      </c>
      <c r="BW4" s="189">
        <v>931290888.92999995</v>
      </c>
      <c r="BX4" s="189">
        <v>1244311406.3499999</v>
      </c>
      <c r="BY4" s="189">
        <v>1052654663.3</v>
      </c>
      <c r="BZ4" s="189">
        <v>908361204.25999999</v>
      </c>
      <c r="CA4" s="189">
        <v>170626574.80000001</v>
      </c>
      <c r="CB4" s="189">
        <v>41123701.590000004</v>
      </c>
      <c r="CC4" s="189">
        <v>38805248.43</v>
      </c>
      <c r="CD4" s="189">
        <v>0</v>
      </c>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17820853.440000001</v>
      </c>
      <c r="Y5" s="189">
        <v>18995628.800000001</v>
      </c>
      <c r="Z5" s="189">
        <v>15283286.08</v>
      </c>
      <c r="AA5" s="189">
        <v>16286287.359999999</v>
      </c>
      <c r="AB5" s="189">
        <v>17696728</v>
      </c>
      <c r="AC5" s="189">
        <v>18266062.559999999</v>
      </c>
      <c r="AD5" s="189">
        <v>17745495.68</v>
      </c>
      <c r="AE5" s="189">
        <v>20578616.960000001</v>
      </c>
      <c r="AF5" s="189">
        <v>22475006.719999999</v>
      </c>
      <c r="AG5" s="189">
        <v>20756261.280000001</v>
      </c>
      <c r="AH5" s="189">
        <v>20693323.600000001</v>
      </c>
      <c r="AI5" s="189">
        <v>20743819.280000001</v>
      </c>
      <c r="AJ5" s="189">
        <v>25799079.039999999</v>
      </c>
      <c r="AK5" s="189">
        <v>23705071.800000001</v>
      </c>
      <c r="AL5" s="189">
        <v>10613694.93</v>
      </c>
      <c r="AM5" s="189">
        <v>8086247.1600000001</v>
      </c>
      <c r="AN5" s="189">
        <v>8086247.1600000001</v>
      </c>
      <c r="AO5" s="189">
        <v>8086247.1600000001</v>
      </c>
      <c r="AP5" s="189">
        <v>8086247.1600000001</v>
      </c>
      <c r="AQ5" s="189">
        <v>8086247.1600000001</v>
      </c>
      <c r="AR5" s="189">
        <v>8086247.1600000001</v>
      </c>
      <c r="AS5" s="189">
        <v>8086247.1600000001</v>
      </c>
      <c r="AT5" s="189">
        <v>16168058</v>
      </c>
      <c r="AU5" s="189">
        <v>16238843</v>
      </c>
      <c r="AV5" s="189">
        <v>17452698</v>
      </c>
      <c r="AW5" s="189">
        <v>8690137.1600000001</v>
      </c>
      <c r="AX5" s="189">
        <v>16359058.17</v>
      </c>
      <c r="AY5" s="189">
        <v>8218308.8099999996</v>
      </c>
      <c r="AZ5" s="189">
        <v>10441030.800000001</v>
      </c>
      <c r="BA5" s="189">
        <v>2794536.9</v>
      </c>
      <c r="BB5" s="189">
        <v>1841793.44</v>
      </c>
      <c r="BC5" s="189">
        <v>1841793.44</v>
      </c>
      <c r="BD5" s="189">
        <v>2342583.2400000002</v>
      </c>
      <c r="BE5" s="189">
        <v>2342583.2400000002</v>
      </c>
      <c r="BF5" s="189">
        <v>2813602.8</v>
      </c>
      <c r="BG5" s="189">
        <v>2806922.8</v>
      </c>
      <c r="BH5" s="189">
        <v>1431037.52</v>
      </c>
      <c r="BI5" s="189">
        <v>1431037.52</v>
      </c>
      <c r="BJ5" s="189">
        <v>2307717.8199999998</v>
      </c>
      <c r="BK5" s="189">
        <v>2313897.8199999998</v>
      </c>
      <c r="BL5" s="189">
        <v>2373641.41</v>
      </c>
      <c r="BM5" s="189">
        <v>5927785</v>
      </c>
      <c r="BN5" s="189">
        <v>10930414</v>
      </c>
      <c r="BO5" s="189">
        <v>11289741.119999999</v>
      </c>
      <c r="BP5" s="189">
        <v>8862440</v>
      </c>
      <c r="BQ5" s="189">
        <v>16223320.800000001</v>
      </c>
      <c r="BR5" s="189">
        <v>0</v>
      </c>
      <c r="BS5" s="189">
        <v>6864862.1399999997</v>
      </c>
      <c r="BT5" s="189">
        <v>237722120.94999999</v>
      </c>
      <c r="BU5" s="189">
        <v>8366263.1399999997</v>
      </c>
      <c r="BV5" s="189">
        <v>0</v>
      </c>
      <c r="BW5" s="189">
        <v>0</v>
      </c>
      <c r="BX5" s="189">
        <v>0</v>
      </c>
      <c r="BY5" s="189">
        <v>0</v>
      </c>
      <c r="BZ5" s="189">
        <v>0</v>
      </c>
      <c r="CA5" s="189">
        <v>0</v>
      </c>
      <c r="CB5" s="189">
        <v>0</v>
      </c>
      <c r="CC5" s="189">
        <v>0</v>
      </c>
      <c r="CD5" s="189">
        <v>0</v>
      </c>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c r="CF7" s="189"/>
      <c r="CG7" s="189"/>
      <c r="CH7" s="189"/>
      <c r="CI7" s="189"/>
      <c r="CJ7" s="189"/>
      <c r="CK7" s="189"/>
      <c r="CL7" s="189"/>
    </row>
    <row r="8" spans="1:90" x14ac:dyDescent="0.25">
      <c r="A8" s="17" t="s">
        <v>5</v>
      </c>
      <c r="B8" s="189">
        <v>1200000</v>
      </c>
      <c r="C8" s="189">
        <v>1200000</v>
      </c>
      <c r="D8" s="189">
        <v>1200000</v>
      </c>
      <c r="E8" s="189">
        <v>1200000</v>
      </c>
      <c r="F8" s="189">
        <v>1200000</v>
      </c>
      <c r="G8" s="189">
        <v>1200000</v>
      </c>
      <c r="H8" s="189">
        <v>1200000</v>
      </c>
      <c r="I8" s="189">
        <v>1200000</v>
      </c>
      <c r="J8" s="189">
        <v>1200000</v>
      </c>
      <c r="K8" s="189">
        <v>1200000</v>
      </c>
      <c r="L8" s="189">
        <v>1200000</v>
      </c>
      <c r="M8" s="189">
        <v>1200000</v>
      </c>
      <c r="N8" s="189">
        <v>1200000</v>
      </c>
      <c r="O8" s="189">
        <v>1200000</v>
      </c>
      <c r="P8" s="189">
        <v>1200000</v>
      </c>
      <c r="Q8" s="189">
        <v>1200000</v>
      </c>
      <c r="R8" s="189">
        <v>1200000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v>0</v>
      </c>
      <c r="BR9" s="189">
        <v>0</v>
      </c>
      <c r="BS9" s="189">
        <v>0</v>
      </c>
      <c r="BT9" s="189">
        <v>0</v>
      </c>
      <c r="BU9" s="189">
        <v>0</v>
      </c>
      <c r="BV9" s="189">
        <v>0</v>
      </c>
      <c r="BW9" s="189">
        <v>0</v>
      </c>
      <c r="BX9" s="189">
        <v>0</v>
      </c>
      <c r="BY9" s="189">
        <v>0</v>
      </c>
      <c r="BZ9" s="189">
        <v>0</v>
      </c>
      <c r="CA9" s="189">
        <v>0</v>
      </c>
      <c r="CB9" s="189">
        <v>0</v>
      </c>
      <c r="CC9" s="189">
        <v>0</v>
      </c>
      <c r="CD9" s="189">
        <v>0</v>
      </c>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c r="CF12" s="189"/>
      <c r="CG12" s="189"/>
      <c r="CH12" s="189"/>
      <c r="CI12" s="189"/>
      <c r="CJ12" s="189"/>
      <c r="CK12" s="189"/>
      <c r="CL12" s="189"/>
    </row>
    <row r="13" spans="1:90" x14ac:dyDescent="0.25">
      <c r="A13" s="17" t="s">
        <v>10</v>
      </c>
      <c r="B13" s="189">
        <v>0</v>
      </c>
      <c r="C13" s="189">
        <v>896209492.20000005</v>
      </c>
      <c r="D13" s="189">
        <v>698586641.74000001</v>
      </c>
      <c r="E13" s="189">
        <v>613136431.42999995</v>
      </c>
      <c r="F13" s="189">
        <v>749721710.38</v>
      </c>
      <c r="G13" s="189">
        <v>829863225</v>
      </c>
      <c r="H13" s="189">
        <v>696005435.27999997</v>
      </c>
      <c r="I13" s="189">
        <v>604019151.69000006</v>
      </c>
      <c r="J13" s="189">
        <v>553030925.94000006</v>
      </c>
      <c r="K13" s="189">
        <v>579948348.63999999</v>
      </c>
      <c r="L13" s="189">
        <v>434804190.69999999</v>
      </c>
      <c r="M13" s="189">
        <v>398511238.64999998</v>
      </c>
      <c r="N13" s="189">
        <v>393919064.10000002</v>
      </c>
      <c r="O13" s="189">
        <v>371591340.93000001</v>
      </c>
      <c r="P13" s="189">
        <v>256097826.94</v>
      </c>
      <c r="Q13" s="189">
        <v>216399146.66</v>
      </c>
      <c r="R13" s="189">
        <v>308673824.19999999</v>
      </c>
      <c r="S13" s="189">
        <v>342299854.17000002</v>
      </c>
      <c r="T13" s="189">
        <v>296183029.95999998</v>
      </c>
      <c r="U13" s="189">
        <v>355196983.69</v>
      </c>
      <c r="V13" s="189">
        <v>455867454.29000002</v>
      </c>
      <c r="W13" s="189">
        <v>468116161.61000001</v>
      </c>
      <c r="X13" s="189">
        <v>446820156.70999998</v>
      </c>
      <c r="Y13" s="189">
        <v>418175820.61000001</v>
      </c>
      <c r="Z13" s="189">
        <v>429918420.89999998</v>
      </c>
      <c r="AA13" s="189">
        <v>377424524.44999999</v>
      </c>
      <c r="AB13" s="189">
        <v>294469156.37</v>
      </c>
      <c r="AC13" s="189">
        <v>295940185.10000002</v>
      </c>
      <c r="AD13" s="189">
        <v>136641507.16999999</v>
      </c>
      <c r="AE13" s="189">
        <v>147828634.97</v>
      </c>
      <c r="AF13" s="189">
        <v>39873135.909999996</v>
      </c>
      <c r="AG13" s="189">
        <v>63714535.909999996</v>
      </c>
      <c r="AH13" s="189">
        <v>17555203.170000002</v>
      </c>
      <c r="AI13" s="189">
        <v>48182973.82</v>
      </c>
      <c r="AJ13" s="189">
        <v>12057261.5</v>
      </c>
      <c r="AK13" s="189">
        <v>29337771.640000001</v>
      </c>
      <c r="AL13" s="189">
        <v>2021425</v>
      </c>
      <c r="AM13" s="189">
        <v>13592850</v>
      </c>
      <c r="AN13" s="189">
        <v>13090025</v>
      </c>
      <c r="AO13" s="189">
        <v>52818875</v>
      </c>
      <c r="AP13" s="189">
        <v>2013750</v>
      </c>
      <c r="AQ13" s="189">
        <v>49343103.829999998</v>
      </c>
      <c r="AR13" s="189">
        <v>6723978.7599999998</v>
      </c>
      <c r="AS13" s="189">
        <v>43219626.439999998</v>
      </c>
      <c r="AT13" s="189">
        <v>22055917.120000001</v>
      </c>
      <c r="AU13" s="189">
        <v>34057542.119999997</v>
      </c>
      <c r="AV13" s="189">
        <v>11063062.5</v>
      </c>
      <c r="AW13" s="189">
        <v>23900187.5</v>
      </c>
      <c r="AX13" s="189">
        <v>14764375</v>
      </c>
      <c r="AY13" s="189">
        <v>22445562.5</v>
      </c>
      <c r="AZ13" s="189">
        <v>6350562.5</v>
      </c>
      <c r="BA13" s="189">
        <v>10667991.02</v>
      </c>
      <c r="BB13" s="189">
        <v>6884375</v>
      </c>
      <c r="BC13" s="189">
        <v>13199379.74</v>
      </c>
      <c r="BD13" s="189">
        <v>8005797.5599999996</v>
      </c>
      <c r="BE13" s="189">
        <v>4424750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40648732884.059998</v>
      </c>
      <c r="C17" s="33">
        <f t="shared" ref="C17:BN17" si="0">SUM(C4:C13)</f>
        <v>43323740142.009995</v>
      </c>
      <c r="D17" s="33">
        <f t="shared" si="0"/>
        <v>43541132828.25</v>
      </c>
      <c r="E17" s="33">
        <f t="shared" si="0"/>
        <v>41206139837.209999</v>
      </c>
      <c r="F17" s="33">
        <f t="shared" si="0"/>
        <v>37760386205.559998</v>
      </c>
      <c r="G17" s="33">
        <f t="shared" si="0"/>
        <v>35291765880.580002</v>
      </c>
      <c r="H17" s="33">
        <f t="shared" si="0"/>
        <v>37141435164.459999</v>
      </c>
      <c r="I17" s="33">
        <f t="shared" si="0"/>
        <v>35271136987.740005</v>
      </c>
      <c r="J17" s="33">
        <f t="shared" si="0"/>
        <v>34215368026.389999</v>
      </c>
      <c r="K17" s="33">
        <f t="shared" si="0"/>
        <v>31154374222.149998</v>
      </c>
      <c r="L17" s="33">
        <f t="shared" si="0"/>
        <v>27457022528.27</v>
      </c>
      <c r="M17" s="33">
        <f t="shared" si="0"/>
        <v>26773901419.16</v>
      </c>
      <c r="N17" s="33">
        <f t="shared" si="0"/>
        <v>25763643116.34</v>
      </c>
      <c r="O17" s="33">
        <f t="shared" si="0"/>
        <v>23225293875.670002</v>
      </c>
      <c r="P17" s="33">
        <f t="shared" si="0"/>
        <v>24474208028.779999</v>
      </c>
      <c r="Q17" s="33">
        <f t="shared" si="0"/>
        <v>22599705731.139999</v>
      </c>
      <c r="R17" s="33">
        <f t="shared" si="0"/>
        <v>21126333163.73</v>
      </c>
      <c r="S17" s="33">
        <f t="shared" si="0"/>
        <v>20387235252.57</v>
      </c>
      <c r="T17" s="33">
        <f t="shared" si="0"/>
        <v>23073039389.989998</v>
      </c>
      <c r="U17" s="33">
        <f t="shared" si="0"/>
        <v>26118692258.639999</v>
      </c>
      <c r="V17" s="33">
        <f t="shared" si="0"/>
        <v>25031477832.98</v>
      </c>
      <c r="W17" s="33">
        <f t="shared" si="0"/>
        <v>26224171936.170002</v>
      </c>
      <c r="X17" s="33">
        <f t="shared" si="0"/>
        <v>29270548001.169998</v>
      </c>
      <c r="Y17" s="33">
        <f t="shared" si="0"/>
        <v>28282678686.579998</v>
      </c>
      <c r="Z17" s="33">
        <f t="shared" si="0"/>
        <v>26212779803.650002</v>
      </c>
      <c r="AA17" s="33">
        <f t="shared" si="0"/>
        <v>23584755802.830002</v>
      </c>
      <c r="AB17" s="33">
        <f t="shared" si="0"/>
        <v>23195331714.5</v>
      </c>
      <c r="AC17" s="33">
        <f t="shared" si="0"/>
        <v>21865067913.639999</v>
      </c>
      <c r="AD17" s="33">
        <f t="shared" si="0"/>
        <v>19184803623.789997</v>
      </c>
      <c r="AE17" s="33">
        <f t="shared" si="0"/>
        <v>18379973645.23</v>
      </c>
      <c r="AF17" s="33">
        <f t="shared" si="0"/>
        <v>16253007648.639999</v>
      </c>
      <c r="AG17" s="33">
        <f t="shared" si="0"/>
        <v>14218929799.84</v>
      </c>
      <c r="AH17" s="33">
        <f t="shared" si="0"/>
        <v>11511333260.220001</v>
      </c>
      <c r="AI17" s="33">
        <f t="shared" si="0"/>
        <v>10012132378.76</v>
      </c>
      <c r="AJ17" s="33">
        <f t="shared" si="0"/>
        <v>9581517222.7000008</v>
      </c>
      <c r="AK17" s="33">
        <f t="shared" si="0"/>
        <v>7596631543.4700003</v>
      </c>
      <c r="AL17" s="33">
        <f t="shared" si="0"/>
        <v>6576202996.1300001</v>
      </c>
      <c r="AM17" s="33">
        <f t="shared" si="0"/>
        <v>4868026612.3599997</v>
      </c>
      <c r="AN17" s="33">
        <f t="shared" si="0"/>
        <v>7118454004.9499998</v>
      </c>
      <c r="AO17" s="33">
        <f t="shared" si="0"/>
        <v>5986301716.8400002</v>
      </c>
      <c r="AP17" s="33">
        <f t="shared" si="0"/>
        <v>5848815880.0900002</v>
      </c>
      <c r="AQ17" s="33">
        <f t="shared" si="0"/>
        <v>5241667192.3999996</v>
      </c>
      <c r="AR17" s="33">
        <f t="shared" si="0"/>
        <v>5243442422.5600004</v>
      </c>
      <c r="AS17" s="33">
        <f t="shared" si="0"/>
        <v>4112072765.1799998</v>
      </c>
      <c r="AT17" s="33">
        <f t="shared" si="0"/>
        <v>4726953237.1400003</v>
      </c>
      <c r="AU17" s="33">
        <f t="shared" si="0"/>
        <v>4326616347.71</v>
      </c>
      <c r="AV17" s="33">
        <f t="shared" si="0"/>
        <v>3831893890.9099998</v>
      </c>
      <c r="AW17" s="33">
        <f t="shared" si="0"/>
        <v>2818848444.02</v>
      </c>
      <c r="AX17" s="33">
        <f t="shared" si="0"/>
        <v>2687335844.2000003</v>
      </c>
      <c r="AY17" s="33">
        <f t="shared" si="0"/>
        <v>2474238718.1799998</v>
      </c>
      <c r="AZ17" s="33">
        <f t="shared" si="0"/>
        <v>2768007739.1600003</v>
      </c>
      <c r="BA17" s="33">
        <f t="shared" si="0"/>
        <v>1984530518.3200002</v>
      </c>
      <c r="BB17" s="33">
        <f t="shared" si="0"/>
        <v>1580387787.6900001</v>
      </c>
      <c r="BC17" s="33">
        <f t="shared" si="0"/>
        <v>1494680127.27</v>
      </c>
      <c r="BD17" s="33">
        <f t="shared" si="0"/>
        <v>1245188936.1499999</v>
      </c>
      <c r="BE17" s="33">
        <f t="shared" si="0"/>
        <v>889392003.33000004</v>
      </c>
      <c r="BF17" s="33">
        <f t="shared" si="0"/>
        <v>1473124496.9199998</v>
      </c>
      <c r="BG17" s="33">
        <f t="shared" si="0"/>
        <v>1316861678.8299999</v>
      </c>
      <c r="BH17" s="33">
        <f t="shared" si="0"/>
        <v>1900573868.25</v>
      </c>
      <c r="BI17" s="33">
        <f t="shared" si="0"/>
        <v>1006515944.6799999</v>
      </c>
      <c r="BJ17" s="33">
        <f t="shared" si="0"/>
        <v>1275653227.9299998</v>
      </c>
      <c r="BK17" s="33">
        <f t="shared" si="0"/>
        <v>1563531490.1699998</v>
      </c>
      <c r="BL17" s="33">
        <f t="shared" si="0"/>
        <v>1557032356.6500001</v>
      </c>
      <c r="BM17" s="33">
        <f t="shared" si="0"/>
        <v>1341653639.02</v>
      </c>
      <c r="BN17" s="33">
        <f t="shared" si="0"/>
        <v>1622874814.46</v>
      </c>
      <c r="BO17" s="33">
        <f t="shared" ref="BO17:CK17" si="1">SUM(BO4:BO13)</f>
        <v>1823750155.4399998</v>
      </c>
      <c r="BP17" s="33">
        <f t="shared" si="1"/>
        <v>1790107708.29</v>
      </c>
      <c r="BQ17" s="33">
        <f t="shared" si="1"/>
        <v>1543799068.79</v>
      </c>
      <c r="BR17" s="33">
        <f t="shared" si="1"/>
        <v>0</v>
      </c>
      <c r="BS17" s="33">
        <f t="shared" si="1"/>
        <v>1567029389.1900001</v>
      </c>
      <c r="BT17" s="33">
        <f t="shared" si="1"/>
        <v>2415608007.5899997</v>
      </c>
      <c r="BU17" s="33">
        <f t="shared" si="1"/>
        <v>1717159838.0200002</v>
      </c>
      <c r="BV17" s="33">
        <f t="shared" si="1"/>
        <v>599617487.89999998</v>
      </c>
      <c r="BW17" s="33">
        <f t="shared" si="1"/>
        <v>931290888.92999995</v>
      </c>
      <c r="BX17" s="33">
        <f t="shared" si="1"/>
        <v>1244311406.3499999</v>
      </c>
      <c r="BY17" s="33">
        <f t="shared" si="1"/>
        <v>1052654663.3</v>
      </c>
      <c r="BZ17" s="33">
        <f t="shared" si="1"/>
        <v>908361204.25999999</v>
      </c>
      <c r="CA17" s="33">
        <f t="shared" si="1"/>
        <v>170626574.80000001</v>
      </c>
      <c r="CB17" s="33">
        <f t="shared" si="1"/>
        <v>41123701.590000004</v>
      </c>
      <c r="CC17" s="33">
        <f t="shared" si="1"/>
        <v>38805248.43</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876952840.72000003</v>
      </c>
      <c r="C19" s="189">
        <v>912952840.72000003</v>
      </c>
      <c r="D19" s="189">
        <v>862854004.09000003</v>
      </c>
      <c r="E19" s="189">
        <v>862854004.09000003</v>
      </c>
      <c r="F19" s="189">
        <v>817039621.86000001</v>
      </c>
      <c r="G19" s="189">
        <v>817039621.86000001</v>
      </c>
      <c r="H19" s="189">
        <v>794643093.01999998</v>
      </c>
      <c r="I19" s="189">
        <v>794643093.01999998</v>
      </c>
      <c r="J19" s="189">
        <v>776343407.57000005</v>
      </c>
      <c r="K19" s="189">
        <v>777443407.57000005</v>
      </c>
      <c r="L19" s="189">
        <v>866009462.48000002</v>
      </c>
      <c r="M19" s="189">
        <v>902009462.48000002</v>
      </c>
      <c r="N19" s="189">
        <v>879809253.45000005</v>
      </c>
      <c r="O19" s="189">
        <v>879809253.45000005</v>
      </c>
      <c r="P19" s="189">
        <v>867864898.53999996</v>
      </c>
      <c r="Q19" s="189">
        <v>867864898.53999996</v>
      </c>
      <c r="R19" s="189">
        <v>847613095.01999998</v>
      </c>
      <c r="S19" s="189">
        <v>834813095.01999998</v>
      </c>
      <c r="T19" s="189">
        <v>840577356.5</v>
      </c>
      <c r="U19" s="189">
        <v>120577356.5</v>
      </c>
      <c r="V19" s="189">
        <v>113813089.69</v>
      </c>
      <c r="W19" s="189">
        <v>113939689.69</v>
      </c>
      <c r="X19" s="189">
        <v>120137513.77</v>
      </c>
      <c r="Y19" s="189">
        <v>120351122.77</v>
      </c>
      <c r="Z19" s="189">
        <v>116553819.92</v>
      </c>
      <c r="AA19" s="189">
        <v>116553819.92</v>
      </c>
      <c r="AB19" s="189">
        <v>120875383.31</v>
      </c>
      <c r="AC19" s="189">
        <v>130875383.31</v>
      </c>
      <c r="AD19" s="189">
        <v>126434622.69</v>
      </c>
      <c r="AE19" s="189">
        <v>28434622.690000001</v>
      </c>
      <c r="AF19" s="189">
        <v>32524090.850000001</v>
      </c>
      <c r="AG19" s="189">
        <v>32524090.850000001</v>
      </c>
      <c r="AH19" s="189">
        <v>67796988.840000004</v>
      </c>
      <c r="AI19" s="189">
        <v>25796988.84</v>
      </c>
      <c r="AJ19" s="189">
        <v>29979154.25</v>
      </c>
      <c r="AK19" s="189">
        <v>29979054.25</v>
      </c>
      <c r="AL19" s="189">
        <v>25057697.460000001</v>
      </c>
      <c r="AM19" s="189">
        <v>25057697.460000001</v>
      </c>
      <c r="AN19" s="189">
        <v>27470267.23</v>
      </c>
      <c r="AO19" s="189">
        <v>27470267.23</v>
      </c>
      <c r="AP19" s="189">
        <v>24961576.43</v>
      </c>
      <c r="AQ19" s="189">
        <v>24961576.43</v>
      </c>
      <c r="AR19" s="189">
        <v>26391145.920000002</v>
      </c>
      <c r="AS19" s="189">
        <v>26391145.920000002</v>
      </c>
      <c r="AT19" s="189">
        <v>23748167.739999998</v>
      </c>
      <c r="AU19" s="189">
        <v>23748167.739999998</v>
      </c>
      <c r="AV19" s="189">
        <v>26391145.920000002</v>
      </c>
      <c r="AW19" s="189">
        <v>26391145.920000002</v>
      </c>
      <c r="AX19" s="189">
        <v>26684924.460000001</v>
      </c>
      <c r="AY19" s="189">
        <v>26747904.73</v>
      </c>
      <c r="AZ19" s="189">
        <v>27119534.640000001</v>
      </c>
      <c r="BA19" s="189">
        <v>27119534.640000001</v>
      </c>
      <c r="BB19" s="189">
        <v>30576600</v>
      </c>
      <c r="BC19" s="189">
        <v>30576600</v>
      </c>
      <c r="BD19" s="189">
        <v>13426600</v>
      </c>
      <c r="BE19" s="189">
        <v>3426600</v>
      </c>
      <c r="BF19" s="189">
        <v>7976600</v>
      </c>
      <c r="BG19" s="189">
        <v>3426600</v>
      </c>
      <c r="BH19" s="189">
        <v>3426600</v>
      </c>
      <c r="BI19" s="189">
        <v>3426600</v>
      </c>
      <c r="BJ19" s="189">
        <v>3656600</v>
      </c>
      <c r="BK19" s="189">
        <v>3656600</v>
      </c>
      <c r="BL19" s="189">
        <v>3656600</v>
      </c>
      <c r="BM19" s="189">
        <v>3656600</v>
      </c>
      <c r="BN19" s="189">
        <v>3656600</v>
      </c>
      <c r="BO19" s="189">
        <v>3656600</v>
      </c>
      <c r="BP19" s="189">
        <v>3656600</v>
      </c>
      <c r="BQ19" s="189">
        <v>3656600</v>
      </c>
      <c r="BR19" s="189">
        <v>0</v>
      </c>
      <c r="BS19" s="189">
        <v>5656600</v>
      </c>
      <c r="BT19" s="189">
        <v>5806600</v>
      </c>
      <c r="BU19" s="189">
        <v>5806600</v>
      </c>
      <c r="BV19" s="189">
        <v>5406600</v>
      </c>
      <c r="BW19" s="189">
        <v>3506600</v>
      </c>
      <c r="BX19" s="189">
        <v>0</v>
      </c>
      <c r="BY19" s="189">
        <v>0</v>
      </c>
      <c r="BZ19" s="189">
        <v>0</v>
      </c>
      <c r="CA19" s="189">
        <v>0</v>
      </c>
      <c r="CB19" s="189">
        <v>0</v>
      </c>
      <c r="CC19" s="189">
        <v>0</v>
      </c>
      <c r="CD19" s="189">
        <v>0</v>
      </c>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14319733592.74</v>
      </c>
      <c r="C22" s="189">
        <v>16977557220.09</v>
      </c>
      <c r="D22" s="189">
        <v>17196073686.740002</v>
      </c>
      <c r="E22" s="189">
        <v>11188200510.91</v>
      </c>
      <c r="F22" s="189">
        <v>10434216114.75</v>
      </c>
      <c r="G22" s="189">
        <v>11527797189.120001</v>
      </c>
      <c r="H22" s="189">
        <v>13159107548.99</v>
      </c>
      <c r="I22" s="189">
        <v>9579098215.2299995</v>
      </c>
      <c r="J22" s="189">
        <v>8483681711.9499998</v>
      </c>
      <c r="K22" s="189">
        <v>11151897352.93</v>
      </c>
      <c r="L22" s="189">
        <v>16167613235.6</v>
      </c>
      <c r="M22" s="189">
        <v>8665339281.5900002</v>
      </c>
      <c r="N22" s="189">
        <v>5830649754.7700005</v>
      </c>
      <c r="O22" s="189">
        <v>7425023965.3599997</v>
      </c>
      <c r="P22" s="189">
        <v>7622456071.8199997</v>
      </c>
      <c r="Q22" s="189">
        <v>7369422899.46</v>
      </c>
      <c r="R22" s="189">
        <v>7364396469.04</v>
      </c>
      <c r="S22" s="189">
        <v>8952154232.8199997</v>
      </c>
      <c r="T22" s="189">
        <v>9153573194.8099995</v>
      </c>
      <c r="U22" s="189">
        <v>3625484719.4099998</v>
      </c>
      <c r="V22" s="189">
        <v>4104036271.0900002</v>
      </c>
      <c r="W22" s="189">
        <v>4247102908.23</v>
      </c>
      <c r="X22" s="189">
        <v>2885552496.4400001</v>
      </c>
      <c r="Y22" s="189">
        <v>2594222586.9299998</v>
      </c>
      <c r="Z22" s="189">
        <v>1671281067.5799999</v>
      </c>
      <c r="AA22" s="189">
        <v>2399499494.96</v>
      </c>
      <c r="AB22" s="189">
        <v>2374016621.27</v>
      </c>
      <c r="AC22" s="189">
        <v>1938673301.02</v>
      </c>
      <c r="AD22" s="189">
        <v>1656244403.1900001</v>
      </c>
      <c r="AE22" s="189">
        <v>1619094085.5</v>
      </c>
      <c r="AF22" s="189">
        <v>2516511592.3299999</v>
      </c>
      <c r="AG22" s="189">
        <v>2180616262.52</v>
      </c>
      <c r="AH22" s="189">
        <v>1425521975.4400001</v>
      </c>
      <c r="AI22" s="189">
        <v>1276951868.4100001</v>
      </c>
      <c r="AJ22" s="189">
        <v>1410762154.1800001</v>
      </c>
      <c r="AK22" s="189">
        <v>1842131762.6199999</v>
      </c>
      <c r="AL22" s="189">
        <v>1011783426.12</v>
      </c>
      <c r="AM22" s="189">
        <v>566096206.28999996</v>
      </c>
      <c r="AN22" s="189">
        <v>298348819.12</v>
      </c>
      <c r="AO22" s="189">
        <v>601748849.88</v>
      </c>
      <c r="AP22" s="189">
        <v>510997030.19999999</v>
      </c>
      <c r="AQ22" s="189">
        <v>352053475.43000001</v>
      </c>
      <c r="AR22" s="189">
        <v>397695819.48000002</v>
      </c>
      <c r="AS22" s="189">
        <v>523942546.5</v>
      </c>
      <c r="AT22" s="189">
        <v>438071678.39999998</v>
      </c>
      <c r="AU22" s="189">
        <v>379986577.06</v>
      </c>
      <c r="AV22" s="189">
        <v>700835412.30999994</v>
      </c>
      <c r="AW22" s="189">
        <v>669717586.73000002</v>
      </c>
      <c r="AX22" s="189">
        <v>636883188.83000004</v>
      </c>
      <c r="AY22" s="189">
        <v>418106596.38</v>
      </c>
      <c r="AZ22" s="189">
        <v>551795849.77999997</v>
      </c>
      <c r="BA22" s="189">
        <v>567966196</v>
      </c>
      <c r="BB22" s="189">
        <v>914569335.20000005</v>
      </c>
      <c r="BC22" s="189">
        <v>975117540.52999997</v>
      </c>
      <c r="BD22" s="189">
        <v>611455924.19000006</v>
      </c>
      <c r="BE22" s="189">
        <v>683957089</v>
      </c>
      <c r="BF22" s="189">
        <v>486619894.12</v>
      </c>
      <c r="BG22" s="189">
        <v>550250862</v>
      </c>
      <c r="BH22" s="189">
        <v>391663000</v>
      </c>
      <c r="BI22" s="189">
        <v>550460821.35000002</v>
      </c>
      <c r="BJ22" s="189">
        <v>566707454.88</v>
      </c>
      <c r="BK22" s="189">
        <v>280062160</v>
      </c>
      <c r="BL22" s="189">
        <v>264602772</v>
      </c>
      <c r="BM22" s="189">
        <v>376468732</v>
      </c>
      <c r="BN22" s="189">
        <v>305916880</v>
      </c>
      <c r="BO22" s="189">
        <v>243659520</v>
      </c>
      <c r="BP22" s="189">
        <v>184015332</v>
      </c>
      <c r="BQ22" s="189">
        <v>98460640</v>
      </c>
      <c r="BR22" s="189">
        <v>0</v>
      </c>
      <c r="BS22" s="189">
        <v>148695117.40000001</v>
      </c>
      <c r="BT22" s="189">
        <v>93413130</v>
      </c>
      <c r="BU22" s="189">
        <v>93229460</v>
      </c>
      <c r="BV22" s="189">
        <v>146284500</v>
      </c>
      <c r="BW22" s="189">
        <v>95218000</v>
      </c>
      <c r="BX22" s="189">
        <v>64188400</v>
      </c>
      <c r="BY22" s="189">
        <v>26924000</v>
      </c>
      <c r="BZ22" s="189">
        <v>2600000</v>
      </c>
      <c r="CA22" s="189">
        <v>0</v>
      </c>
      <c r="CB22" s="189">
        <v>4000000</v>
      </c>
      <c r="CC22" s="189">
        <v>0</v>
      </c>
      <c r="CD22" s="189">
        <v>0</v>
      </c>
      <c r="CE22" s="189"/>
      <c r="CF22" s="189"/>
      <c r="CG22" s="189"/>
      <c r="CH22" s="189"/>
      <c r="CI22" s="189"/>
      <c r="CJ22" s="189"/>
      <c r="CK22" s="189"/>
      <c r="CL22" s="189"/>
    </row>
    <row r="23" spans="1:90" x14ac:dyDescent="0.25">
      <c r="A23" s="17" t="s">
        <v>15</v>
      </c>
      <c r="B23" s="189">
        <v>159633443.63</v>
      </c>
      <c r="C23" s="189">
        <v>178700262.75999999</v>
      </c>
      <c r="D23" s="189">
        <v>153117071.25</v>
      </c>
      <c r="E23" s="189">
        <v>109569527.26000001</v>
      </c>
      <c r="F23" s="189">
        <v>117313272.51000001</v>
      </c>
      <c r="G23" s="189">
        <v>121745303.23999999</v>
      </c>
      <c r="H23" s="189">
        <v>153556780.75</v>
      </c>
      <c r="I23" s="189">
        <v>107702772.20999999</v>
      </c>
      <c r="J23" s="189">
        <v>127688546.06</v>
      </c>
      <c r="K23" s="189">
        <v>124322436.59999999</v>
      </c>
      <c r="L23" s="189">
        <v>146053117.66</v>
      </c>
      <c r="M23" s="189">
        <v>106953033.25</v>
      </c>
      <c r="N23" s="189">
        <v>120971070.58</v>
      </c>
      <c r="O23" s="189">
        <v>142355074.77000001</v>
      </c>
      <c r="P23" s="189">
        <v>214776783.08000001</v>
      </c>
      <c r="Q23" s="189">
        <v>122947745.88</v>
      </c>
      <c r="R23" s="189">
        <v>130143929.04000001</v>
      </c>
      <c r="S23" s="189">
        <v>132997074.34</v>
      </c>
      <c r="T23" s="189">
        <v>94682124.099999994</v>
      </c>
      <c r="U23" s="189">
        <v>75473277.189999998</v>
      </c>
      <c r="V23" s="189">
        <v>127791575.36</v>
      </c>
      <c r="W23" s="189">
        <v>122003853.23</v>
      </c>
      <c r="X23" s="189">
        <v>137135845.06999999</v>
      </c>
      <c r="Y23" s="189">
        <v>80997122.239999995</v>
      </c>
      <c r="Z23" s="189">
        <v>139523546.13999999</v>
      </c>
      <c r="AA23" s="189">
        <v>111469617.20999999</v>
      </c>
      <c r="AB23" s="189">
        <v>91302403.829999998</v>
      </c>
      <c r="AC23" s="189">
        <v>75620180.150000006</v>
      </c>
      <c r="AD23" s="189">
        <v>107612919.33</v>
      </c>
      <c r="AE23" s="189">
        <v>90179133.640000001</v>
      </c>
      <c r="AF23" s="189">
        <v>135662395.46000001</v>
      </c>
      <c r="AG23" s="189">
        <v>89308643.659999996</v>
      </c>
      <c r="AH23" s="189">
        <v>95257645.409999996</v>
      </c>
      <c r="AI23" s="189">
        <v>121431445.87</v>
      </c>
      <c r="AJ23" s="189">
        <v>106195171.78</v>
      </c>
      <c r="AK23" s="189">
        <v>102759224.95999999</v>
      </c>
      <c r="AL23" s="189">
        <v>218856184.69</v>
      </c>
      <c r="AM23" s="189">
        <v>81047717.200000003</v>
      </c>
      <c r="AN23" s="189">
        <v>41423790.420000002</v>
      </c>
      <c r="AO23" s="189">
        <v>5170935.7300000004</v>
      </c>
      <c r="AP23" s="189">
        <v>20361430.23</v>
      </c>
      <c r="AQ23" s="189">
        <v>16460544.41</v>
      </c>
      <c r="AR23" s="189">
        <v>62119013.289999999</v>
      </c>
      <c r="AS23" s="189">
        <v>6792521.3799999999</v>
      </c>
      <c r="AT23" s="189">
        <v>60092296.229999997</v>
      </c>
      <c r="AU23" s="189">
        <v>10677560.939999999</v>
      </c>
      <c r="AV23" s="189">
        <v>62527448.840000004</v>
      </c>
      <c r="AW23" s="189">
        <v>6260195.0199999996</v>
      </c>
      <c r="AX23" s="189">
        <v>58185536.700000003</v>
      </c>
      <c r="AY23" s="189">
        <v>5688086.54</v>
      </c>
      <c r="AZ23" s="189">
        <v>4505066.0599999996</v>
      </c>
      <c r="BA23" s="189">
        <v>3485923.59</v>
      </c>
      <c r="BB23" s="189">
        <v>44915049.399999999</v>
      </c>
      <c r="BC23" s="189">
        <v>5919635.0700000003</v>
      </c>
      <c r="BD23" s="189">
        <v>47660585.799999997</v>
      </c>
      <c r="BE23" s="189">
        <v>2151313.52</v>
      </c>
      <c r="BF23" s="189">
        <v>57118311.170000002</v>
      </c>
      <c r="BG23" s="189">
        <v>2989801.7</v>
      </c>
      <c r="BH23" s="189">
        <v>10392876.48</v>
      </c>
      <c r="BI23" s="189">
        <v>2709674.42</v>
      </c>
      <c r="BJ23" s="189">
        <v>3297701.91</v>
      </c>
      <c r="BK23" s="189">
        <v>6416936.2800000003</v>
      </c>
      <c r="BL23" s="189">
        <v>240365350.56</v>
      </c>
      <c r="BM23" s="189">
        <v>2926977.69</v>
      </c>
      <c r="BN23" s="189">
        <v>5068027.75</v>
      </c>
      <c r="BO23" s="189">
        <v>37640854.090000004</v>
      </c>
      <c r="BP23" s="189">
        <v>132748147.05</v>
      </c>
      <c r="BQ23" s="189">
        <v>7910472.4500000002</v>
      </c>
      <c r="BR23" s="189">
        <v>0</v>
      </c>
      <c r="BS23" s="189">
        <v>78436213.890000001</v>
      </c>
      <c r="BT23" s="189">
        <v>38304361.759999998</v>
      </c>
      <c r="BU23" s="189">
        <v>15162121.77</v>
      </c>
      <c r="BV23" s="189">
        <v>99818939.200000003</v>
      </c>
      <c r="BW23" s="189">
        <v>104285129.01000001</v>
      </c>
      <c r="BX23" s="189">
        <v>31475559.050000001</v>
      </c>
      <c r="BY23" s="189">
        <v>13522153.390000001</v>
      </c>
      <c r="BZ23" s="189">
        <v>3188798.42</v>
      </c>
      <c r="CA23" s="189">
        <v>1781269.24</v>
      </c>
      <c r="CB23" s="189">
        <v>2927659.32</v>
      </c>
      <c r="CC23" s="189">
        <v>2788901.88</v>
      </c>
      <c r="CD23" s="189">
        <v>0</v>
      </c>
      <c r="CE23" s="189"/>
      <c r="CF23" s="189"/>
      <c r="CG23" s="189"/>
      <c r="CH23" s="189"/>
      <c r="CI23" s="189"/>
      <c r="CJ23" s="189"/>
      <c r="CK23" s="189"/>
      <c r="CL23" s="189"/>
    </row>
    <row r="24" spans="1:90" x14ac:dyDescent="0.25">
      <c r="A24" s="17" t="s">
        <v>16</v>
      </c>
      <c r="B24" s="189">
        <v>661505054.35000002</v>
      </c>
      <c r="C24" s="189">
        <v>457883202.29000002</v>
      </c>
      <c r="D24" s="189">
        <v>459361428.92000002</v>
      </c>
      <c r="E24" s="189">
        <v>198058435.49000001</v>
      </c>
      <c r="F24" s="189">
        <v>285151661.41000003</v>
      </c>
      <c r="G24" s="189">
        <v>237477969.99000001</v>
      </c>
      <c r="H24" s="189">
        <v>363047875.52999997</v>
      </c>
      <c r="I24" s="189">
        <v>271649757.80000001</v>
      </c>
      <c r="J24" s="189">
        <v>281844564.43000001</v>
      </c>
      <c r="K24" s="189">
        <v>314006426.75999999</v>
      </c>
      <c r="L24" s="189">
        <v>389494047.27999997</v>
      </c>
      <c r="M24" s="189">
        <v>332130005.31999999</v>
      </c>
      <c r="N24" s="189">
        <v>198250284.71000001</v>
      </c>
      <c r="O24" s="189">
        <v>199040884.59</v>
      </c>
      <c r="P24" s="189">
        <v>211099303.16999999</v>
      </c>
      <c r="Q24" s="189">
        <v>298155704.17000002</v>
      </c>
      <c r="R24" s="189">
        <v>567747380.69000006</v>
      </c>
      <c r="S24" s="189">
        <v>224045622.72999999</v>
      </c>
      <c r="T24" s="189">
        <v>145246155.97</v>
      </c>
      <c r="U24" s="189">
        <v>213651778.22</v>
      </c>
      <c r="V24" s="189">
        <v>375593573.01999998</v>
      </c>
      <c r="W24" s="189">
        <v>226754621.13</v>
      </c>
      <c r="X24" s="189">
        <v>109493039.03</v>
      </c>
      <c r="Y24" s="189">
        <v>258719181.59999999</v>
      </c>
      <c r="Z24" s="189">
        <v>278664739.87</v>
      </c>
      <c r="AA24" s="189">
        <v>251995509.90000001</v>
      </c>
      <c r="AB24" s="189">
        <v>263222943.09</v>
      </c>
      <c r="AC24" s="189">
        <v>254497498.00999999</v>
      </c>
      <c r="AD24" s="189">
        <v>241814896.36000001</v>
      </c>
      <c r="AE24" s="189">
        <v>218455551.13999999</v>
      </c>
      <c r="AF24" s="189">
        <v>275157634.20999998</v>
      </c>
      <c r="AG24" s="189">
        <v>328380998.27999997</v>
      </c>
      <c r="AH24" s="189">
        <v>191907282.83000001</v>
      </c>
      <c r="AI24" s="189">
        <v>323106093.92000002</v>
      </c>
      <c r="AJ24" s="189">
        <v>348428191.00999999</v>
      </c>
      <c r="AK24" s="189">
        <v>195685085.40000001</v>
      </c>
      <c r="AL24" s="189">
        <v>184675932.61000001</v>
      </c>
      <c r="AM24" s="189">
        <v>139038405.69</v>
      </c>
      <c r="AN24" s="189">
        <v>41232496.460000001</v>
      </c>
      <c r="AO24" s="189">
        <v>45462986.789999999</v>
      </c>
      <c r="AP24" s="189">
        <v>11928878.33</v>
      </c>
      <c r="AQ24" s="189">
        <v>10500016.779999999</v>
      </c>
      <c r="AR24" s="189">
        <v>5023436.71</v>
      </c>
      <c r="AS24" s="189">
        <v>7624049.3799999999</v>
      </c>
      <c r="AT24" s="189">
        <v>2496309.2999999998</v>
      </c>
      <c r="AU24" s="189">
        <v>5602998.9400000004</v>
      </c>
      <c r="AV24" s="189">
        <v>1716533.62</v>
      </c>
      <c r="AW24" s="189">
        <v>2846244.14</v>
      </c>
      <c r="AX24" s="189">
        <v>4130276.51</v>
      </c>
      <c r="AY24" s="189">
        <v>7161550.7300000004</v>
      </c>
      <c r="AZ24" s="189">
        <v>67045199.5</v>
      </c>
      <c r="BA24" s="189">
        <v>81478767.469999999</v>
      </c>
      <c r="BB24" s="189">
        <v>8635003.25</v>
      </c>
      <c r="BC24" s="189">
        <v>5840481.6299999999</v>
      </c>
      <c r="BD24" s="189">
        <v>2818645.49</v>
      </c>
      <c r="BE24" s="189">
        <v>6959145.8700000001</v>
      </c>
      <c r="BF24" s="189">
        <v>820864.99</v>
      </c>
      <c r="BG24" s="189">
        <v>2720360.71</v>
      </c>
      <c r="BH24" s="189">
        <v>1401151.11</v>
      </c>
      <c r="BI24" s="189">
        <v>201151.11</v>
      </c>
      <c r="BJ24" s="189">
        <v>279151.11</v>
      </c>
      <c r="BK24" s="189">
        <v>1294471.81</v>
      </c>
      <c r="BL24" s="189">
        <v>1551502.91</v>
      </c>
      <c r="BM24" s="189">
        <v>46973092.109999999</v>
      </c>
      <c r="BN24" s="189">
        <v>7921870.3200000003</v>
      </c>
      <c r="BO24" s="189">
        <v>15255469.43</v>
      </c>
      <c r="BP24" s="189">
        <v>21453880.149999999</v>
      </c>
      <c r="BQ24" s="189">
        <v>4955055.3600000003</v>
      </c>
      <c r="BR24" s="189">
        <v>0</v>
      </c>
      <c r="BS24" s="189">
        <v>53713400.82</v>
      </c>
      <c r="BT24" s="189">
        <v>401627395.88</v>
      </c>
      <c r="BU24" s="189">
        <v>114124914.41</v>
      </c>
      <c r="BV24" s="189">
        <v>347571735.83999997</v>
      </c>
      <c r="BW24" s="189">
        <v>547588023.92999995</v>
      </c>
      <c r="BX24" s="189">
        <v>50037907.729999997</v>
      </c>
      <c r="BY24" s="189">
        <v>52103421.990000002</v>
      </c>
      <c r="BZ24" s="189">
        <v>136861423.19999999</v>
      </c>
      <c r="CA24" s="189">
        <v>43872563.140000001</v>
      </c>
      <c r="CB24" s="189">
        <v>812211</v>
      </c>
      <c r="CC24" s="189">
        <v>17203730.27</v>
      </c>
      <c r="CD24" s="189">
        <v>0</v>
      </c>
      <c r="CE24" s="189"/>
      <c r="CF24" s="189"/>
      <c r="CG24" s="189"/>
      <c r="CH24" s="189"/>
      <c r="CI24" s="189"/>
      <c r="CJ24" s="189"/>
      <c r="CK24" s="189"/>
      <c r="CL24" s="189"/>
    </row>
    <row r="25" spans="1:90" x14ac:dyDescent="0.25">
      <c r="A25" s="17" t="s">
        <v>17</v>
      </c>
      <c r="B25" s="189">
        <v>879193067.00999999</v>
      </c>
      <c r="C25" s="189">
        <v>54701761.460000001</v>
      </c>
      <c r="D25" s="189">
        <v>45736774.259999998</v>
      </c>
      <c r="E25" s="189">
        <v>21131300.66</v>
      </c>
      <c r="F25" s="189">
        <v>40418418.960000001</v>
      </c>
      <c r="G25" s="189">
        <v>25246550.280000001</v>
      </c>
      <c r="H25" s="189">
        <v>31034384.079999998</v>
      </c>
      <c r="I25" s="189">
        <v>18782965.600000001</v>
      </c>
      <c r="J25" s="189">
        <v>76936616.310000002</v>
      </c>
      <c r="K25" s="189">
        <v>63325655.530000001</v>
      </c>
      <c r="L25" s="189">
        <v>32211234.280000001</v>
      </c>
      <c r="M25" s="189">
        <v>19436307.34</v>
      </c>
      <c r="N25" s="189">
        <v>34183309.530000001</v>
      </c>
      <c r="O25" s="189">
        <v>26192058.609999999</v>
      </c>
      <c r="P25" s="189">
        <v>37919746.390000001</v>
      </c>
      <c r="Q25" s="189">
        <v>19560121.190000001</v>
      </c>
      <c r="R25" s="189">
        <v>87106826.590000004</v>
      </c>
      <c r="S25" s="189">
        <v>29584864.93</v>
      </c>
      <c r="T25" s="189">
        <v>30281211.370000001</v>
      </c>
      <c r="U25" s="189">
        <v>23332076.120000001</v>
      </c>
      <c r="V25" s="189">
        <v>49944731.740000002</v>
      </c>
      <c r="W25" s="189">
        <v>36286298.670000002</v>
      </c>
      <c r="X25" s="189">
        <v>35140468.409999996</v>
      </c>
      <c r="Y25" s="189">
        <v>25692147.43</v>
      </c>
      <c r="Z25" s="189">
        <v>123598983.22</v>
      </c>
      <c r="AA25" s="189">
        <v>57451613.520000003</v>
      </c>
      <c r="AB25" s="189">
        <v>51875346.560000002</v>
      </c>
      <c r="AC25" s="189">
        <v>42779907.200000003</v>
      </c>
      <c r="AD25" s="189">
        <v>48946166.030000001</v>
      </c>
      <c r="AE25" s="189">
        <v>52250874.969999999</v>
      </c>
      <c r="AF25" s="189">
        <v>61979651.539999999</v>
      </c>
      <c r="AG25" s="189">
        <v>37700601.640000001</v>
      </c>
      <c r="AH25" s="189">
        <v>58541301.049999997</v>
      </c>
      <c r="AI25" s="189">
        <v>71438969.379999995</v>
      </c>
      <c r="AJ25" s="189">
        <v>97633444.069999993</v>
      </c>
      <c r="AK25" s="189">
        <v>68864328.269999996</v>
      </c>
      <c r="AL25" s="189">
        <v>50242987.810000002</v>
      </c>
      <c r="AM25" s="189">
        <v>29081736.34</v>
      </c>
      <c r="AN25" s="189">
        <v>37755192.710000001</v>
      </c>
      <c r="AO25" s="189">
        <v>25936687.260000002</v>
      </c>
      <c r="AP25" s="189">
        <v>29715469.859999999</v>
      </c>
      <c r="AQ25" s="189">
        <v>29105179.32</v>
      </c>
      <c r="AR25" s="189">
        <v>29268188.57</v>
      </c>
      <c r="AS25" s="189">
        <v>27592841.539999999</v>
      </c>
      <c r="AT25" s="189">
        <v>31841306.379999999</v>
      </c>
      <c r="AU25" s="189">
        <v>28274604.239999998</v>
      </c>
      <c r="AV25" s="189">
        <v>26532807.890000001</v>
      </c>
      <c r="AW25" s="189">
        <v>25060355.109999999</v>
      </c>
      <c r="AX25" s="189">
        <v>27389747.18</v>
      </c>
      <c r="AY25" s="189">
        <v>26737112.18</v>
      </c>
      <c r="AZ25" s="189">
        <v>27573851</v>
      </c>
      <c r="BA25" s="189">
        <v>25847449.93</v>
      </c>
      <c r="BB25" s="189">
        <v>27557665.949999999</v>
      </c>
      <c r="BC25" s="189">
        <v>27662132.690000001</v>
      </c>
      <c r="BD25" s="189">
        <v>7150137.2199999997</v>
      </c>
      <c r="BE25" s="189">
        <v>11566490.199999999</v>
      </c>
      <c r="BF25" s="189">
        <v>13473895.74</v>
      </c>
      <c r="BG25" s="189">
        <v>13602466.67</v>
      </c>
      <c r="BH25" s="189">
        <v>25097801.030000001</v>
      </c>
      <c r="BI25" s="189">
        <v>22812470.93</v>
      </c>
      <c r="BJ25" s="189">
        <v>22763656.050000001</v>
      </c>
      <c r="BK25" s="189">
        <v>24248360.920000002</v>
      </c>
      <c r="BL25" s="189">
        <v>49351830.579999998</v>
      </c>
      <c r="BM25" s="189">
        <v>14226681.33</v>
      </c>
      <c r="BN25" s="189">
        <v>81260234.730000004</v>
      </c>
      <c r="BO25" s="189">
        <v>97718320.129999995</v>
      </c>
      <c r="BP25" s="189">
        <v>108023655.18000001</v>
      </c>
      <c r="BQ25" s="189">
        <v>165468658.28</v>
      </c>
      <c r="BR25" s="189">
        <v>0</v>
      </c>
      <c r="BS25" s="189">
        <v>26270936.149999999</v>
      </c>
      <c r="BT25" s="189">
        <v>19840418.710000001</v>
      </c>
      <c r="BU25" s="189">
        <v>26316868.579999998</v>
      </c>
      <c r="BV25" s="189">
        <v>587428972.38</v>
      </c>
      <c r="BW25" s="189">
        <v>90645670.879999995</v>
      </c>
      <c r="BX25" s="189">
        <v>132720247.31</v>
      </c>
      <c r="BY25" s="189">
        <v>8383799.7400000002</v>
      </c>
      <c r="BZ25" s="189">
        <v>136036363.34</v>
      </c>
      <c r="CA25" s="189">
        <v>36862013.93</v>
      </c>
      <c r="CB25" s="189">
        <v>16618451.49</v>
      </c>
      <c r="CC25" s="189">
        <v>12844507.380000001</v>
      </c>
      <c r="CD25" s="189">
        <v>0</v>
      </c>
      <c r="CE25" s="189"/>
      <c r="CF25" s="189"/>
      <c r="CG25" s="189"/>
      <c r="CH25" s="189"/>
      <c r="CI25" s="189"/>
      <c r="CJ25" s="189"/>
      <c r="CK25" s="189"/>
      <c r="CL25" s="189"/>
    </row>
    <row r="26" spans="1:90" x14ac:dyDescent="0.25">
      <c r="A26" s="17" t="s">
        <v>18</v>
      </c>
      <c r="B26" s="189">
        <v>11437518043.67</v>
      </c>
      <c r="C26" s="189">
        <v>11334058116.57</v>
      </c>
      <c r="D26" s="189">
        <v>10505467773.08</v>
      </c>
      <c r="E26" s="189">
        <v>10557801464.120001</v>
      </c>
      <c r="F26" s="189">
        <v>9913263627.9400005</v>
      </c>
      <c r="G26" s="189">
        <v>9627605128.6299992</v>
      </c>
      <c r="H26" s="189">
        <v>9364037239.7700005</v>
      </c>
      <c r="I26" s="189">
        <v>9257369374.4799995</v>
      </c>
      <c r="J26" s="189">
        <v>9442953679.8199997</v>
      </c>
      <c r="K26" s="189">
        <v>9355869460.9099998</v>
      </c>
      <c r="L26" s="189">
        <v>8929792868.5599995</v>
      </c>
      <c r="M26" s="189">
        <v>8700851179.5300007</v>
      </c>
      <c r="N26" s="189">
        <v>8530807984.9499998</v>
      </c>
      <c r="O26" s="189">
        <v>8507213622.3999996</v>
      </c>
      <c r="P26" s="189">
        <v>8253645529.4799995</v>
      </c>
      <c r="Q26" s="189">
        <v>8091488733.5600004</v>
      </c>
      <c r="R26" s="189">
        <v>7531491241.9899998</v>
      </c>
      <c r="S26" s="189">
        <v>7316591405.9399996</v>
      </c>
      <c r="T26" s="189">
        <v>7077955284.5699997</v>
      </c>
      <c r="U26" s="189">
        <v>6885585995.3900003</v>
      </c>
      <c r="V26" s="189">
        <v>6988166978.5200005</v>
      </c>
      <c r="W26" s="189">
        <v>6890600435.0699997</v>
      </c>
      <c r="X26" s="189">
        <v>6752485923.0600004</v>
      </c>
      <c r="Y26" s="189">
        <v>6680023737.3199997</v>
      </c>
      <c r="Z26" s="189">
        <v>6346798188.0900002</v>
      </c>
      <c r="AA26" s="189">
        <v>6080842217.1899996</v>
      </c>
      <c r="AB26" s="189">
        <v>5707586438.5799999</v>
      </c>
      <c r="AC26" s="189">
        <v>5536502482.54</v>
      </c>
      <c r="AD26" s="189">
        <v>4860415255.9099998</v>
      </c>
      <c r="AE26" s="189">
        <v>4835039413.5500002</v>
      </c>
      <c r="AF26" s="189">
        <v>4551014859.0900002</v>
      </c>
      <c r="AG26" s="189">
        <v>4514778551.6300001</v>
      </c>
      <c r="AH26" s="189">
        <v>4012206493.4699998</v>
      </c>
      <c r="AI26" s="189">
        <v>4009234951.54</v>
      </c>
      <c r="AJ26" s="189">
        <v>3756438574.9499998</v>
      </c>
      <c r="AK26" s="189">
        <v>3476844741.04</v>
      </c>
      <c r="AL26" s="189">
        <v>3264420284.7800002</v>
      </c>
      <c r="AM26" s="189">
        <v>3219922001.1799998</v>
      </c>
      <c r="AN26" s="189">
        <v>2084787694.03</v>
      </c>
      <c r="AO26" s="189">
        <v>2076930883.6099999</v>
      </c>
      <c r="AP26" s="189">
        <v>1915649161.1700001</v>
      </c>
      <c r="AQ26" s="189">
        <v>1891491824.8299999</v>
      </c>
      <c r="AR26" s="189">
        <v>1740967246.4100001</v>
      </c>
      <c r="AS26" s="189">
        <v>1805867257.73</v>
      </c>
      <c r="AT26" s="189">
        <v>1630465329.8499999</v>
      </c>
      <c r="AU26" s="189">
        <v>1660895359.1300001</v>
      </c>
      <c r="AV26" s="189">
        <v>1485234639.98</v>
      </c>
      <c r="AW26" s="189">
        <v>1508022529.5899999</v>
      </c>
      <c r="AX26" s="189">
        <v>1424746013.72</v>
      </c>
      <c r="AY26" s="189">
        <v>1509173104.5999999</v>
      </c>
      <c r="AZ26" s="189">
        <v>1543267261.29</v>
      </c>
      <c r="BA26" s="189">
        <v>1449461394.5699999</v>
      </c>
      <c r="BB26" s="189">
        <v>1373053158.5599999</v>
      </c>
      <c r="BC26" s="189">
        <v>1313056259.1199999</v>
      </c>
      <c r="BD26" s="189">
        <v>1447514700.6900001</v>
      </c>
      <c r="BE26" s="189">
        <v>1375514738.79</v>
      </c>
      <c r="BF26" s="189">
        <v>1334464661.9300001</v>
      </c>
      <c r="BG26" s="189">
        <v>1257081230</v>
      </c>
      <c r="BH26" s="189">
        <v>1114274704.9100001</v>
      </c>
      <c r="BI26" s="189">
        <v>1092522751.3199999</v>
      </c>
      <c r="BJ26" s="189">
        <v>980722281.51999998</v>
      </c>
      <c r="BK26" s="189">
        <v>895371219.82000005</v>
      </c>
      <c r="BL26" s="189">
        <v>931357053.15999997</v>
      </c>
      <c r="BM26" s="189">
        <v>958709328.83000004</v>
      </c>
      <c r="BN26" s="189">
        <v>1485944703.75</v>
      </c>
      <c r="BO26" s="189">
        <v>936722057.44000006</v>
      </c>
      <c r="BP26" s="189">
        <v>958050682.25</v>
      </c>
      <c r="BQ26" s="189">
        <v>1308727394.73</v>
      </c>
      <c r="BR26" s="189">
        <v>0</v>
      </c>
      <c r="BS26" s="189">
        <v>894969989.32000005</v>
      </c>
      <c r="BT26" s="189">
        <v>578141921.86000001</v>
      </c>
      <c r="BU26" s="189">
        <v>972147455.64999998</v>
      </c>
      <c r="BV26" s="189">
        <v>576645619.39999998</v>
      </c>
      <c r="BW26" s="189">
        <v>630729514.10000002</v>
      </c>
      <c r="BX26" s="189">
        <v>436495272.38</v>
      </c>
      <c r="BY26" s="189">
        <v>552805762.85000002</v>
      </c>
      <c r="BZ26" s="189">
        <v>553526408.04999995</v>
      </c>
      <c r="CA26" s="189">
        <v>609545054.58000004</v>
      </c>
      <c r="CB26" s="189">
        <v>536879605.17999995</v>
      </c>
      <c r="CC26" s="189">
        <v>467186347.06</v>
      </c>
      <c r="CD26" s="189">
        <v>0</v>
      </c>
      <c r="CE26" s="189"/>
      <c r="CF26" s="189"/>
      <c r="CG26" s="189"/>
      <c r="CH26" s="189"/>
      <c r="CI26" s="189"/>
      <c r="CJ26" s="189"/>
      <c r="CK26" s="189"/>
      <c r="CL26" s="189"/>
    </row>
    <row r="27" spans="1:90" x14ac:dyDescent="0.25">
      <c r="A27" s="17" t="s">
        <v>19</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146460.91</v>
      </c>
      <c r="BU27" s="189">
        <v>0</v>
      </c>
      <c r="BV27" s="189">
        <v>0</v>
      </c>
      <c r="BW27" s="189">
        <v>0</v>
      </c>
      <c r="BX27" s="189">
        <v>0</v>
      </c>
      <c r="BY27" s="189">
        <v>0</v>
      </c>
      <c r="BZ27" s="189">
        <v>0</v>
      </c>
      <c r="CA27" s="189">
        <v>0</v>
      </c>
      <c r="CB27" s="189">
        <v>0</v>
      </c>
      <c r="CC27" s="189">
        <v>0</v>
      </c>
      <c r="CD27" s="189">
        <v>0</v>
      </c>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27457583201.400002</v>
      </c>
      <c r="C33" s="35">
        <f t="shared" ref="C33:BN33" si="2">SUM(C22:C29)</f>
        <v>29002900563.169998</v>
      </c>
      <c r="D33" s="35">
        <f t="shared" si="2"/>
        <v>28359756734.25</v>
      </c>
      <c r="E33" s="35">
        <f t="shared" si="2"/>
        <v>22074761238.440002</v>
      </c>
      <c r="F33" s="35">
        <f t="shared" si="2"/>
        <v>20790363095.57</v>
      </c>
      <c r="G33" s="35">
        <f t="shared" si="2"/>
        <v>21539872141.260002</v>
      </c>
      <c r="H33" s="35">
        <f t="shared" si="2"/>
        <v>23070783829.120003</v>
      </c>
      <c r="I33" s="35">
        <f t="shared" si="2"/>
        <v>19234603085.32</v>
      </c>
      <c r="J33" s="35">
        <f t="shared" si="2"/>
        <v>18413105118.57</v>
      </c>
      <c r="K33" s="35">
        <f t="shared" si="2"/>
        <v>21009421332.730003</v>
      </c>
      <c r="L33" s="35">
        <f t="shared" si="2"/>
        <v>25665164503.380001</v>
      </c>
      <c r="M33" s="35">
        <f t="shared" si="2"/>
        <v>17824709807.029999</v>
      </c>
      <c r="N33" s="35">
        <f t="shared" si="2"/>
        <v>14714862404.540001</v>
      </c>
      <c r="O33" s="35">
        <f t="shared" si="2"/>
        <v>16299825605.73</v>
      </c>
      <c r="P33" s="35">
        <f t="shared" si="2"/>
        <v>16339897433.939999</v>
      </c>
      <c r="Q33" s="35">
        <f t="shared" si="2"/>
        <v>15901575204.26</v>
      </c>
      <c r="R33" s="35">
        <f t="shared" si="2"/>
        <v>15680885847.35</v>
      </c>
      <c r="S33" s="35">
        <f t="shared" si="2"/>
        <v>16655373200.759998</v>
      </c>
      <c r="T33" s="35">
        <f t="shared" si="2"/>
        <v>16501737970.82</v>
      </c>
      <c r="U33" s="35">
        <f t="shared" si="2"/>
        <v>10823527846.33</v>
      </c>
      <c r="V33" s="35">
        <f t="shared" si="2"/>
        <v>11645533129.73</v>
      </c>
      <c r="W33" s="35">
        <f t="shared" si="2"/>
        <v>11522748116.33</v>
      </c>
      <c r="X33" s="35">
        <f t="shared" si="2"/>
        <v>9919807772.0100002</v>
      </c>
      <c r="Y33" s="35">
        <f t="shared" si="2"/>
        <v>9639654775.5199986</v>
      </c>
      <c r="Z33" s="35">
        <f t="shared" si="2"/>
        <v>8559866524.8999996</v>
      </c>
      <c r="AA33" s="35">
        <f t="shared" si="2"/>
        <v>8901258452.7799988</v>
      </c>
      <c r="AB33" s="35">
        <f t="shared" si="2"/>
        <v>8488003753.3299999</v>
      </c>
      <c r="AC33" s="35">
        <f t="shared" si="2"/>
        <v>7848073368.9200001</v>
      </c>
      <c r="AD33" s="35">
        <f t="shared" si="2"/>
        <v>6915033640.8199997</v>
      </c>
      <c r="AE33" s="35">
        <f t="shared" si="2"/>
        <v>6815019058.8000002</v>
      </c>
      <c r="AF33" s="35">
        <f t="shared" si="2"/>
        <v>7540326132.6300001</v>
      </c>
      <c r="AG33" s="35">
        <f t="shared" si="2"/>
        <v>7150785057.7299995</v>
      </c>
      <c r="AH33" s="35">
        <f t="shared" si="2"/>
        <v>5783434698.1999998</v>
      </c>
      <c r="AI33" s="35">
        <f t="shared" si="2"/>
        <v>5802163329.1200008</v>
      </c>
      <c r="AJ33" s="35">
        <f t="shared" si="2"/>
        <v>5719457535.9899998</v>
      </c>
      <c r="AK33" s="35">
        <f t="shared" si="2"/>
        <v>5686285142.29</v>
      </c>
      <c r="AL33" s="35">
        <f t="shared" si="2"/>
        <v>4729978816.0100002</v>
      </c>
      <c r="AM33" s="35">
        <f t="shared" si="2"/>
        <v>4035186066.6999998</v>
      </c>
      <c r="AN33" s="35">
        <f t="shared" si="2"/>
        <v>2503547992.7399998</v>
      </c>
      <c r="AO33" s="35">
        <f t="shared" si="2"/>
        <v>2755250343.27</v>
      </c>
      <c r="AP33" s="35">
        <f t="shared" si="2"/>
        <v>2488651969.79</v>
      </c>
      <c r="AQ33" s="35">
        <f t="shared" si="2"/>
        <v>2299611040.77</v>
      </c>
      <c r="AR33" s="35">
        <f t="shared" si="2"/>
        <v>2235073704.46</v>
      </c>
      <c r="AS33" s="35">
        <f t="shared" si="2"/>
        <v>2371819216.5299997</v>
      </c>
      <c r="AT33" s="35">
        <f t="shared" si="2"/>
        <v>2162966920.1599998</v>
      </c>
      <c r="AU33" s="35">
        <f t="shared" si="2"/>
        <v>2085437100.3100002</v>
      </c>
      <c r="AV33" s="35">
        <f t="shared" si="2"/>
        <v>2276846842.6399999</v>
      </c>
      <c r="AW33" s="35">
        <f t="shared" si="2"/>
        <v>2211906910.5900002</v>
      </c>
      <c r="AX33" s="35">
        <f t="shared" si="2"/>
        <v>2151334762.9400001</v>
      </c>
      <c r="AY33" s="35">
        <f t="shared" si="2"/>
        <v>1966866450.4299998</v>
      </c>
      <c r="AZ33" s="35">
        <f t="shared" si="2"/>
        <v>2194187227.6300001</v>
      </c>
      <c r="BA33" s="35">
        <f t="shared" si="2"/>
        <v>2128239731.5599999</v>
      </c>
      <c r="BB33" s="35">
        <f t="shared" si="2"/>
        <v>2368730212.3600001</v>
      </c>
      <c r="BC33" s="35">
        <f t="shared" si="2"/>
        <v>2327596049.04</v>
      </c>
      <c r="BD33" s="35">
        <f t="shared" si="2"/>
        <v>2116599993.3900001</v>
      </c>
      <c r="BE33" s="35">
        <f t="shared" si="2"/>
        <v>2080148777.3800001</v>
      </c>
      <c r="BF33" s="35">
        <f t="shared" si="2"/>
        <v>1892497627.95</v>
      </c>
      <c r="BG33" s="35">
        <f t="shared" si="2"/>
        <v>1826644721.0799999</v>
      </c>
      <c r="BH33" s="35">
        <f t="shared" si="2"/>
        <v>1542829533.5300002</v>
      </c>
      <c r="BI33" s="35">
        <f t="shared" si="2"/>
        <v>1668706869.1299999</v>
      </c>
      <c r="BJ33" s="35">
        <f t="shared" si="2"/>
        <v>1573770245.4699998</v>
      </c>
      <c r="BK33" s="35">
        <f t="shared" si="2"/>
        <v>1207393148.8299999</v>
      </c>
      <c r="BL33" s="35">
        <f t="shared" si="2"/>
        <v>1487228509.21</v>
      </c>
      <c r="BM33" s="35">
        <f t="shared" si="2"/>
        <v>1399304811.96</v>
      </c>
      <c r="BN33" s="35">
        <f t="shared" si="2"/>
        <v>1886111716.55</v>
      </c>
      <c r="BO33" s="35">
        <f t="shared" ref="BO33:CK33" si="3">SUM(BO22:BO29)</f>
        <v>1330996221.0900002</v>
      </c>
      <c r="BP33" s="35">
        <f t="shared" si="3"/>
        <v>1404291696.6300001</v>
      </c>
      <c r="BQ33" s="35">
        <f t="shared" si="3"/>
        <v>1585522220.8200002</v>
      </c>
      <c r="BR33" s="35">
        <f t="shared" si="3"/>
        <v>0</v>
      </c>
      <c r="BS33" s="35">
        <f t="shared" si="3"/>
        <v>1202085657.5799999</v>
      </c>
      <c r="BT33" s="35">
        <f t="shared" si="3"/>
        <v>1131473689.1200001</v>
      </c>
      <c r="BU33" s="35">
        <f t="shared" si="3"/>
        <v>1220980820.4099998</v>
      </c>
      <c r="BV33" s="35">
        <f t="shared" si="3"/>
        <v>1757749766.8200002</v>
      </c>
      <c r="BW33" s="35">
        <f t="shared" si="3"/>
        <v>1468466337.9200001</v>
      </c>
      <c r="BX33" s="35">
        <f t="shared" si="3"/>
        <v>714917386.47000003</v>
      </c>
      <c r="BY33" s="35">
        <f t="shared" si="3"/>
        <v>653739137.97000003</v>
      </c>
      <c r="BZ33" s="35">
        <f t="shared" si="3"/>
        <v>832212993.00999999</v>
      </c>
      <c r="CA33" s="35">
        <f t="shared" si="3"/>
        <v>692060900.8900001</v>
      </c>
      <c r="CB33" s="35">
        <f t="shared" si="3"/>
        <v>561237926.99000001</v>
      </c>
      <c r="CC33" s="35">
        <f t="shared" si="3"/>
        <v>500023486.59000003</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493870872.73000002</v>
      </c>
      <c r="D35" s="189">
        <v>565844194.5</v>
      </c>
      <c r="E35" s="189">
        <v>629668486.53999996</v>
      </c>
      <c r="F35" s="189">
        <v>444281179.75999999</v>
      </c>
      <c r="G35" s="189">
        <v>401616467.52999997</v>
      </c>
      <c r="H35" s="189">
        <v>393457461.22000003</v>
      </c>
      <c r="I35" s="189">
        <v>327474650.48000002</v>
      </c>
      <c r="J35" s="189">
        <v>281697340.70999998</v>
      </c>
      <c r="K35" s="189">
        <v>217131959.84999999</v>
      </c>
      <c r="L35" s="189">
        <v>168562188.22</v>
      </c>
      <c r="M35" s="189">
        <v>206060495.80000001</v>
      </c>
      <c r="N35" s="189">
        <v>246844082.41999999</v>
      </c>
      <c r="O35" s="189">
        <v>209802069.41999999</v>
      </c>
      <c r="P35" s="189">
        <v>116354744.69</v>
      </c>
      <c r="Q35" s="189">
        <v>85449379.480000004</v>
      </c>
      <c r="R35" s="189">
        <v>210739647.93000001</v>
      </c>
      <c r="S35" s="189">
        <v>102106793.65000001</v>
      </c>
      <c r="T35" s="189">
        <v>56484738.25</v>
      </c>
      <c r="U35" s="189">
        <v>52577851.100000001</v>
      </c>
      <c r="V35" s="189">
        <v>54814400</v>
      </c>
      <c r="W35" s="189">
        <v>49160000</v>
      </c>
      <c r="X35" s="189">
        <v>30000000</v>
      </c>
      <c r="Y35" s="189">
        <v>0</v>
      </c>
      <c r="Z35" s="189">
        <v>0</v>
      </c>
      <c r="AA35" s="189">
        <v>0</v>
      </c>
      <c r="AB35" s="189">
        <v>0</v>
      </c>
      <c r="AC35" s="189">
        <v>0</v>
      </c>
      <c r="AD35" s="189">
        <v>0</v>
      </c>
      <c r="AE35" s="189">
        <v>0</v>
      </c>
      <c r="AF35" s="189">
        <v>0</v>
      </c>
      <c r="AG35" s="189">
        <v>56456400</v>
      </c>
      <c r="AH35" s="189">
        <v>22822800</v>
      </c>
      <c r="AI35" s="189">
        <v>0</v>
      </c>
      <c r="AJ35" s="189">
        <v>0</v>
      </c>
      <c r="AK35" s="189">
        <v>0</v>
      </c>
      <c r="AL35" s="189">
        <v>0</v>
      </c>
      <c r="AM35" s="189">
        <v>0</v>
      </c>
      <c r="AN35" s="189">
        <v>0</v>
      </c>
      <c r="AO35" s="189">
        <v>0</v>
      </c>
      <c r="AP35" s="189">
        <v>0</v>
      </c>
      <c r="AQ35" s="189">
        <v>0</v>
      </c>
      <c r="AR35" s="189">
        <v>0</v>
      </c>
      <c r="AS35" s="189">
        <v>0</v>
      </c>
      <c r="AT35" s="189">
        <v>0</v>
      </c>
      <c r="AU35" s="189">
        <v>0</v>
      </c>
      <c r="AV35" s="189">
        <v>0</v>
      </c>
      <c r="AW35" s="189">
        <v>0</v>
      </c>
      <c r="AX35" s="189">
        <v>0</v>
      </c>
      <c r="AY35" s="189">
        <v>0</v>
      </c>
      <c r="AZ35" s="189">
        <v>0</v>
      </c>
      <c r="BA35" s="189">
        <v>0</v>
      </c>
      <c r="BB35" s="189">
        <v>0</v>
      </c>
      <c r="BC35" s="189">
        <v>0</v>
      </c>
      <c r="BD35" s="189">
        <v>0</v>
      </c>
      <c r="BE35" s="189">
        <v>0</v>
      </c>
      <c r="BF35" s="189">
        <v>0</v>
      </c>
      <c r="BG35" s="189">
        <v>0</v>
      </c>
      <c r="BH35" s="189">
        <v>0</v>
      </c>
      <c r="BI35" s="189">
        <v>0</v>
      </c>
      <c r="BJ35" s="189">
        <v>0</v>
      </c>
      <c r="BK35" s="189">
        <v>0</v>
      </c>
      <c r="BL35" s="189">
        <v>0</v>
      </c>
      <c r="BM35" s="189">
        <v>0</v>
      </c>
      <c r="BN35" s="189">
        <v>0</v>
      </c>
      <c r="BO35" s="189">
        <v>0</v>
      </c>
      <c r="BP35" s="189">
        <v>0</v>
      </c>
      <c r="BQ35" s="189">
        <v>0</v>
      </c>
      <c r="BR35" s="189">
        <v>0</v>
      </c>
      <c r="BS35" s="189">
        <v>0</v>
      </c>
      <c r="BT35" s="189">
        <v>0</v>
      </c>
      <c r="BU35" s="189">
        <v>0</v>
      </c>
      <c r="BV35" s="189">
        <v>0</v>
      </c>
      <c r="BW35" s="189">
        <v>0</v>
      </c>
      <c r="BX35" s="189">
        <v>0</v>
      </c>
      <c r="BY35" s="189">
        <v>0</v>
      </c>
      <c r="BZ35" s="189">
        <v>0</v>
      </c>
      <c r="CA35" s="189">
        <v>0</v>
      </c>
      <c r="CB35" s="189">
        <v>0</v>
      </c>
      <c r="CC35" s="189">
        <v>0</v>
      </c>
      <c r="CD35" s="189">
        <v>0</v>
      </c>
      <c r="CE35" s="189"/>
      <c r="CF35" s="189"/>
      <c r="CG35" s="189"/>
      <c r="CH35" s="189"/>
      <c r="CI35" s="189"/>
      <c r="CJ35" s="189"/>
      <c r="CK35" s="189"/>
      <c r="CL35" s="189"/>
    </row>
    <row r="36" spans="1:90" x14ac:dyDescent="0.25">
      <c r="A36" s="17" t="s">
        <v>22</v>
      </c>
      <c r="B36" s="189">
        <v>0</v>
      </c>
      <c r="C36" s="189">
        <v>3970836974.7600002</v>
      </c>
      <c r="D36" s="189">
        <v>3838984045.9699998</v>
      </c>
      <c r="E36" s="189">
        <v>3137915625.6100001</v>
      </c>
      <c r="F36" s="189">
        <v>3556064072.6199999</v>
      </c>
      <c r="G36" s="189">
        <v>3526387932.96</v>
      </c>
      <c r="H36" s="189">
        <v>3040708704.7800002</v>
      </c>
      <c r="I36" s="189">
        <v>2171287638.1399999</v>
      </c>
      <c r="J36" s="189">
        <v>1534554612.8900001</v>
      </c>
      <c r="K36" s="189">
        <v>1608905206.8399999</v>
      </c>
      <c r="L36" s="189">
        <v>1571631407.6099999</v>
      </c>
      <c r="M36" s="189">
        <v>1058247050.29</v>
      </c>
      <c r="N36" s="189">
        <v>884085345.91999996</v>
      </c>
      <c r="O36" s="189">
        <v>974909229.63</v>
      </c>
      <c r="P36" s="189">
        <v>1149524453.5999999</v>
      </c>
      <c r="Q36" s="189">
        <v>647043070</v>
      </c>
      <c r="R36" s="189">
        <v>741184097.14999998</v>
      </c>
      <c r="S36" s="189">
        <v>986430295.13</v>
      </c>
      <c r="T36" s="189">
        <v>923957982.58000004</v>
      </c>
      <c r="U36" s="189">
        <v>583987991.92999995</v>
      </c>
      <c r="V36" s="189">
        <v>962793175.55999994</v>
      </c>
      <c r="W36" s="189">
        <v>580932251.35000002</v>
      </c>
      <c r="X36" s="189">
        <v>712717208.05999994</v>
      </c>
      <c r="Y36" s="189">
        <v>730530919.89999998</v>
      </c>
      <c r="Z36" s="189">
        <v>339830835.56999999</v>
      </c>
      <c r="AA36" s="189">
        <v>355483573.51999998</v>
      </c>
      <c r="AB36" s="189">
        <v>263252391.58000001</v>
      </c>
      <c r="AC36" s="189">
        <v>234517751.80000001</v>
      </c>
      <c r="AD36" s="189">
        <v>254313834.71000001</v>
      </c>
      <c r="AE36" s="189">
        <v>218946880.88</v>
      </c>
      <c r="AF36" s="189">
        <v>326267826.50999999</v>
      </c>
      <c r="AG36" s="189">
        <v>155435476.75999999</v>
      </c>
      <c r="AH36" s="189">
        <v>261887557.63</v>
      </c>
      <c r="AI36" s="189">
        <v>447782773.98000002</v>
      </c>
      <c r="AJ36" s="189">
        <v>405567824.89999998</v>
      </c>
      <c r="AK36" s="189">
        <v>239072532.94</v>
      </c>
      <c r="AL36" s="189">
        <v>455109648.48000002</v>
      </c>
      <c r="AM36" s="189">
        <v>523434740.57999998</v>
      </c>
      <c r="AN36" s="189">
        <v>242586539.78</v>
      </c>
      <c r="AO36" s="189">
        <v>38079985.509999998</v>
      </c>
      <c r="AP36" s="189">
        <v>264017878.25</v>
      </c>
      <c r="AQ36" s="189">
        <v>46494790.409999996</v>
      </c>
      <c r="AR36" s="189">
        <v>36925617.490000002</v>
      </c>
      <c r="AS36" s="189">
        <v>30308923.309999999</v>
      </c>
      <c r="AT36" s="189">
        <v>26164564.460000001</v>
      </c>
      <c r="AU36" s="189">
        <v>29179995.600000001</v>
      </c>
      <c r="AV36" s="189">
        <v>174303975.41</v>
      </c>
      <c r="AW36" s="189">
        <v>36304903.149999999</v>
      </c>
      <c r="AX36" s="189">
        <v>102823628.08</v>
      </c>
      <c r="AY36" s="189">
        <v>85475050.379999995</v>
      </c>
      <c r="AZ36" s="189">
        <v>40755924.520000003</v>
      </c>
      <c r="BA36" s="189">
        <v>65058276.600000001</v>
      </c>
      <c r="BB36" s="189">
        <v>21775974.030000001</v>
      </c>
      <c r="BC36" s="189">
        <v>200335690.00999999</v>
      </c>
      <c r="BD36" s="189">
        <v>37252464.07</v>
      </c>
      <c r="BE36" s="189">
        <v>35958562.25</v>
      </c>
      <c r="BF36" s="189">
        <v>378517172.31</v>
      </c>
      <c r="BG36" s="189">
        <v>450865370.57999998</v>
      </c>
      <c r="BH36" s="189">
        <v>585396527.25</v>
      </c>
      <c r="BI36" s="189">
        <v>49607110.049999997</v>
      </c>
      <c r="BJ36" s="189">
        <v>209521018.34999999</v>
      </c>
      <c r="BK36" s="189">
        <v>160787260.09</v>
      </c>
      <c r="BL36" s="189">
        <v>301939028.25</v>
      </c>
      <c r="BM36" s="189">
        <v>274372579.00999999</v>
      </c>
      <c r="BN36" s="189">
        <v>232238050.12</v>
      </c>
      <c r="BO36" s="189">
        <v>236894201.50999999</v>
      </c>
      <c r="BP36" s="189">
        <v>256286446.86000001</v>
      </c>
      <c r="BQ36" s="189">
        <v>242014437.78999999</v>
      </c>
      <c r="BR36" s="189">
        <v>0</v>
      </c>
      <c r="BS36" s="189">
        <v>112228383.06</v>
      </c>
      <c r="BT36" s="189">
        <v>8611001.7100000009</v>
      </c>
      <c r="BU36" s="189">
        <v>14299649.949999999</v>
      </c>
      <c r="BV36" s="189">
        <v>15794690.85</v>
      </c>
      <c r="BW36" s="189">
        <v>40926765.5</v>
      </c>
      <c r="BX36" s="189">
        <v>2009498.44</v>
      </c>
      <c r="BY36" s="189">
        <v>4567124.41</v>
      </c>
      <c r="BZ36" s="189">
        <v>127350.54</v>
      </c>
      <c r="CA36" s="189">
        <v>96482.04</v>
      </c>
      <c r="CB36" s="189">
        <v>6728609.3700000001</v>
      </c>
      <c r="CC36" s="189">
        <v>12653045.130000001</v>
      </c>
      <c r="CD36" s="189">
        <v>0</v>
      </c>
      <c r="CE36" s="189"/>
      <c r="CF36" s="189"/>
      <c r="CG36" s="189"/>
      <c r="CH36" s="189"/>
      <c r="CI36" s="189"/>
      <c r="CJ36" s="189"/>
      <c r="CK36" s="189"/>
      <c r="CL36" s="189"/>
    </row>
    <row r="37" spans="1:90" x14ac:dyDescent="0.25">
      <c r="A37" s="17" t="s">
        <v>23</v>
      </c>
      <c r="B37" s="189">
        <v>2439900796.75</v>
      </c>
      <c r="C37" s="189">
        <v>4418983399.2299995</v>
      </c>
      <c r="D37" s="189">
        <v>5771644744.0299997</v>
      </c>
      <c r="E37" s="189">
        <v>4645721765.9899998</v>
      </c>
      <c r="F37" s="189">
        <v>4925694275.4399996</v>
      </c>
      <c r="G37" s="189">
        <v>5511067556</v>
      </c>
      <c r="H37" s="189">
        <v>6237059999.7299995</v>
      </c>
      <c r="I37" s="189">
        <v>6298680313.8800001</v>
      </c>
      <c r="J37" s="189">
        <v>6723035776.4899998</v>
      </c>
      <c r="K37" s="189">
        <v>4416995952.9399996</v>
      </c>
      <c r="L37" s="189">
        <v>6826442994.04</v>
      </c>
      <c r="M37" s="189">
        <v>1993934055.9100001</v>
      </c>
      <c r="N37" s="189">
        <v>656301527.12</v>
      </c>
      <c r="O37" s="189">
        <v>621830322.53999996</v>
      </c>
      <c r="P37" s="189">
        <v>778364798.66999996</v>
      </c>
      <c r="Q37" s="189">
        <v>858110981.88999999</v>
      </c>
      <c r="R37" s="189">
        <v>1430141617.3499999</v>
      </c>
      <c r="S37" s="189">
        <v>1189254075.97</v>
      </c>
      <c r="T37" s="189">
        <v>1566551581.8199999</v>
      </c>
      <c r="U37" s="189">
        <v>824725426.75</v>
      </c>
      <c r="V37" s="189">
        <v>1309599466.4400001</v>
      </c>
      <c r="W37" s="189">
        <v>3386451882.9099998</v>
      </c>
      <c r="X37" s="189">
        <v>3863416187.6999998</v>
      </c>
      <c r="Y37" s="189">
        <v>6467422141.71</v>
      </c>
      <c r="Z37" s="189">
        <v>6510647051.3999996</v>
      </c>
      <c r="AA37" s="189">
        <v>7479837557.5900002</v>
      </c>
      <c r="AB37" s="189">
        <v>7790285617.7200003</v>
      </c>
      <c r="AC37" s="189">
        <v>9047172727.9300003</v>
      </c>
      <c r="AD37" s="189">
        <v>7899140218.46</v>
      </c>
      <c r="AE37" s="189">
        <v>8241570251.0799999</v>
      </c>
      <c r="AF37" s="189">
        <v>7659580030.1700001</v>
      </c>
      <c r="AG37" s="189">
        <v>7107610071.8599997</v>
      </c>
      <c r="AH37" s="189">
        <v>5268820414.8100004</v>
      </c>
      <c r="AI37" s="189">
        <v>5270872584.79</v>
      </c>
      <c r="AJ37" s="189">
        <v>4965561554.71</v>
      </c>
      <c r="AK37" s="189">
        <v>4376268193.6700001</v>
      </c>
      <c r="AL37" s="189">
        <v>3032086738.1700001</v>
      </c>
      <c r="AM37" s="189">
        <v>276311548.98000002</v>
      </c>
      <c r="AN37" s="189">
        <v>187233216.74000001</v>
      </c>
      <c r="AO37" s="189">
        <v>1052920496.85</v>
      </c>
      <c r="AP37" s="189">
        <v>505629720.07999998</v>
      </c>
      <c r="AQ37" s="189">
        <v>346203139.69999999</v>
      </c>
      <c r="AR37" s="189">
        <v>442082196.89999998</v>
      </c>
      <c r="AS37" s="189">
        <v>711587261.14999998</v>
      </c>
      <c r="AT37" s="189">
        <v>580516526.89999998</v>
      </c>
      <c r="AU37" s="189">
        <v>342011688.20999998</v>
      </c>
      <c r="AV37" s="189">
        <v>215327186.46000001</v>
      </c>
      <c r="AW37" s="189">
        <v>345968840.57999998</v>
      </c>
      <c r="AX37" s="189">
        <v>229829359.40000001</v>
      </c>
      <c r="AY37" s="189">
        <v>167171049.72</v>
      </c>
      <c r="AZ37" s="189">
        <v>168400577.74000001</v>
      </c>
      <c r="BA37" s="189">
        <v>296621379.50999999</v>
      </c>
      <c r="BB37" s="189">
        <v>200475191.44</v>
      </c>
      <c r="BC37" s="189">
        <v>158445830.63999999</v>
      </c>
      <c r="BD37" s="189">
        <v>148593472.91999999</v>
      </c>
      <c r="BE37" s="189">
        <v>564444875.91999996</v>
      </c>
      <c r="BF37" s="189">
        <v>267627268.38</v>
      </c>
      <c r="BG37" s="189">
        <v>158357937.21000001</v>
      </c>
      <c r="BH37" s="189">
        <v>261267708.34999999</v>
      </c>
      <c r="BI37" s="189">
        <v>800467461.40999997</v>
      </c>
      <c r="BJ37" s="189">
        <v>629715938.67999995</v>
      </c>
      <c r="BK37" s="189">
        <v>142691086.62</v>
      </c>
      <c r="BL37" s="189">
        <v>216295919.33000001</v>
      </c>
      <c r="BM37" s="189">
        <v>584725447.89999998</v>
      </c>
      <c r="BN37" s="189">
        <v>358327853.04000002</v>
      </c>
      <c r="BO37" s="189">
        <v>204888539.56</v>
      </c>
      <c r="BP37" s="189">
        <v>208329971.93000001</v>
      </c>
      <c r="BQ37" s="189">
        <v>894549790.89999998</v>
      </c>
      <c r="BR37" s="189">
        <v>0</v>
      </c>
      <c r="BS37" s="189">
        <v>313458926.70999998</v>
      </c>
      <c r="BT37" s="189">
        <v>153185224.31</v>
      </c>
      <c r="BU37" s="189">
        <v>901537767.23000002</v>
      </c>
      <c r="BV37" s="189">
        <v>167561288.84</v>
      </c>
      <c r="BW37" s="189">
        <v>666367419.39999998</v>
      </c>
      <c r="BX37" s="189">
        <v>51055443.700000003</v>
      </c>
      <c r="BY37" s="189">
        <v>134594069.78999999</v>
      </c>
      <c r="BZ37" s="189">
        <v>354309750</v>
      </c>
      <c r="CA37" s="189">
        <v>267886661.69999999</v>
      </c>
      <c r="CB37" s="189">
        <v>223119861.33000001</v>
      </c>
      <c r="CC37" s="189">
        <v>165676312.36000001</v>
      </c>
      <c r="CD37" s="189">
        <v>0</v>
      </c>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c r="CF38" s="189"/>
      <c r="CG38" s="189"/>
      <c r="CH38" s="189"/>
      <c r="CI38" s="189"/>
      <c r="CJ38" s="189"/>
      <c r="CK38" s="189"/>
      <c r="CL38" s="189"/>
    </row>
    <row r="39" spans="1:90" x14ac:dyDescent="0.25">
      <c r="A39" s="17" t="s">
        <v>25</v>
      </c>
      <c r="B39" s="189">
        <v>2579613439.3499999</v>
      </c>
      <c r="C39" s="189">
        <v>2568412966.9200001</v>
      </c>
      <c r="D39" s="189">
        <v>2583211456.79</v>
      </c>
      <c r="E39" s="189">
        <v>2566575608.48</v>
      </c>
      <c r="F39" s="189">
        <v>2308344141.98</v>
      </c>
      <c r="G39" s="189">
        <v>2277944100.8800001</v>
      </c>
      <c r="H39" s="189">
        <v>2277365113.0100002</v>
      </c>
      <c r="I39" s="189">
        <v>2273948506.8899999</v>
      </c>
      <c r="J39" s="189">
        <v>2401117225.5700002</v>
      </c>
      <c r="K39" s="189">
        <v>2416873000.23</v>
      </c>
      <c r="L39" s="189">
        <v>2210304258.0599999</v>
      </c>
      <c r="M39" s="189">
        <v>2387050259.0700002</v>
      </c>
      <c r="N39" s="189">
        <v>2095979570.0799999</v>
      </c>
      <c r="O39" s="189">
        <v>2250908932.27</v>
      </c>
      <c r="P39" s="189">
        <v>2195342417.4400001</v>
      </c>
      <c r="Q39" s="189">
        <v>2272260762.6300001</v>
      </c>
      <c r="R39" s="189">
        <v>1715232165.96</v>
      </c>
      <c r="S39" s="189">
        <v>1858748167.6500001</v>
      </c>
      <c r="T39" s="189">
        <v>2049570229.1900001</v>
      </c>
      <c r="U39" s="189">
        <v>2329068193.8299999</v>
      </c>
      <c r="V39" s="189">
        <v>2324951566.9400001</v>
      </c>
      <c r="W39" s="189">
        <v>2384027440.2399998</v>
      </c>
      <c r="X39" s="189">
        <v>1956435084.75</v>
      </c>
      <c r="Y39" s="189">
        <v>1971327322.3900001</v>
      </c>
      <c r="Z39" s="189">
        <v>1566700889.3</v>
      </c>
      <c r="AA39" s="189">
        <v>1520251335.3399999</v>
      </c>
      <c r="AB39" s="189">
        <v>1150338408.47</v>
      </c>
      <c r="AC39" s="189">
        <v>1063798296.8099999</v>
      </c>
      <c r="AD39" s="189">
        <v>614523162.72000003</v>
      </c>
      <c r="AE39" s="189">
        <v>349281985.49000001</v>
      </c>
      <c r="AF39" s="189">
        <v>344757117.88</v>
      </c>
      <c r="AG39" s="189">
        <v>348244603.83999997</v>
      </c>
      <c r="AH39" s="189">
        <v>348072998.49000001</v>
      </c>
      <c r="AI39" s="189">
        <v>37741922.579999998</v>
      </c>
      <c r="AJ39" s="189">
        <v>38875988.979999997</v>
      </c>
      <c r="AK39" s="189">
        <v>41710820.659999996</v>
      </c>
      <c r="AL39" s="189">
        <v>38420673.689999998</v>
      </c>
      <c r="AM39" s="189">
        <v>38785799.340000004</v>
      </c>
      <c r="AN39" s="189">
        <v>37384585.82</v>
      </c>
      <c r="AO39" s="189">
        <v>37475412.420000002</v>
      </c>
      <c r="AP39" s="189">
        <v>184237207.84</v>
      </c>
      <c r="AQ39" s="189">
        <v>189324045.03</v>
      </c>
      <c r="AR39" s="189">
        <v>185692378.16999999</v>
      </c>
      <c r="AS39" s="189">
        <v>193361894.02000001</v>
      </c>
      <c r="AT39" s="189">
        <v>364189862.92000002</v>
      </c>
      <c r="AU39" s="189">
        <v>226254094.66999999</v>
      </c>
      <c r="AV39" s="189">
        <v>224727463.31999999</v>
      </c>
      <c r="AW39" s="189">
        <v>200471053.72999999</v>
      </c>
      <c r="AX39" s="189">
        <v>199942676.69999999</v>
      </c>
      <c r="AY39" s="189">
        <v>199338215.37</v>
      </c>
      <c r="AZ39" s="189">
        <v>197590202.28</v>
      </c>
      <c r="BA39" s="189">
        <v>221827198.33000001</v>
      </c>
      <c r="BB39" s="189">
        <v>239324798.97</v>
      </c>
      <c r="BC39" s="189">
        <v>234337135.13</v>
      </c>
      <c r="BD39" s="189">
        <v>232269652.11000001</v>
      </c>
      <c r="BE39" s="189">
        <v>238504922.24000001</v>
      </c>
      <c r="BF39" s="189">
        <v>240142159.19</v>
      </c>
      <c r="BG39" s="189">
        <v>233532491.97999999</v>
      </c>
      <c r="BH39" s="189">
        <v>226448753.03</v>
      </c>
      <c r="BI39" s="189">
        <v>216156839.5</v>
      </c>
      <c r="BJ39" s="189">
        <v>204076027.99000001</v>
      </c>
      <c r="BK39" s="189">
        <v>197906581.22999999</v>
      </c>
      <c r="BL39" s="189">
        <v>193306881.84999999</v>
      </c>
      <c r="BM39" s="189">
        <v>187845500.33000001</v>
      </c>
      <c r="BN39" s="189">
        <v>184263383.56</v>
      </c>
      <c r="BO39" s="189">
        <v>180750840.25999999</v>
      </c>
      <c r="BP39" s="189">
        <v>174948161.38</v>
      </c>
      <c r="BQ39" s="189">
        <v>167906251.19999999</v>
      </c>
      <c r="BR39" s="189">
        <v>0</v>
      </c>
      <c r="BS39" s="189">
        <v>152054401.22999999</v>
      </c>
      <c r="BT39" s="189">
        <v>148930769.24000001</v>
      </c>
      <c r="BU39" s="189">
        <v>144738256.78</v>
      </c>
      <c r="BV39" s="189">
        <v>139606706.46000001</v>
      </c>
      <c r="BW39" s="189">
        <v>132629471.67</v>
      </c>
      <c r="BX39" s="189">
        <v>104150836.27</v>
      </c>
      <c r="BY39" s="189">
        <v>100718037.31</v>
      </c>
      <c r="BZ39" s="189">
        <v>70154801.060000002</v>
      </c>
      <c r="CA39" s="189">
        <v>18458106.190000001</v>
      </c>
      <c r="CB39" s="189">
        <v>16306257.609999999</v>
      </c>
      <c r="CC39" s="189">
        <v>25925821.690000001</v>
      </c>
      <c r="CD39" s="189">
        <v>0</v>
      </c>
      <c r="CE39" s="189"/>
      <c r="CF39" s="189"/>
      <c r="CG39" s="189"/>
      <c r="CH39" s="189"/>
      <c r="CI39" s="189"/>
      <c r="CJ39" s="189"/>
      <c r="CK39" s="189"/>
      <c r="CL39" s="189"/>
    </row>
    <row r="40" spans="1:90" x14ac:dyDescent="0.25">
      <c r="A40" s="17" t="s">
        <v>26</v>
      </c>
      <c r="B40" s="189">
        <v>2445091023.25</v>
      </c>
      <c r="C40" s="189">
        <v>2431664835.9099998</v>
      </c>
      <c r="D40" s="189">
        <v>4101546395.6500001</v>
      </c>
      <c r="E40" s="189">
        <v>2644725962.5900002</v>
      </c>
      <c r="F40" s="189">
        <v>924311008.65999997</v>
      </c>
      <c r="G40" s="189">
        <v>581008449.63999999</v>
      </c>
      <c r="H40" s="189">
        <v>1623532023.6700001</v>
      </c>
      <c r="I40" s="189">
        <v>1091867750.03</v>
      </c>
      <c r="J40" s="189">
        <v>1077097693.23</v>
      </c>
      <c r="K40" s="189">
        <v>1024186092.38</v>
      </c>
      <c r="L40" s="189">
        <v>1130744682.3099999</v>
      </c>
      <c r="M40" s="189">
        <v>1042400938.1799999</v>
      </c>
      <c r="N40" s="189">
        <v>630566838.41999996</v>
      </c>
      <c r="O40" s="189">
        <v>908856741.54999995</v>
      </c>
      <c r="P40" s="189">
        <v>881400105</v>
      </c>
      <c r="Q40" s="189">
        <v>1097979258.6500001</v>
      </c>
      <c r="R40" s="189">
        <v>826697781.57000005</v>
      </c>
      <c r="S40" s="189">
        <v>1775265967.23</v>
      </c>
      <c r="T40" s="189">
        <v>1832690627.3499999</v>
      </c>
      <c r="U40" s="189">
        <v>2194188016.6599998</v>
      </c>
      <c r="V40" s="189">
        <v>2252817698.6199999</v>
      </c>
      <c r="W40" s="189">
        <v>3022230844.2399998</v>
      </c>
      <c r="X40" s="189">
        <v>2800160682.02</v>
      </c>
      <c r="Y40" s="189">
        <v>2780243294.1399999</v>
      </c>
      <c r="Z40" s="189">
        <v>2714697307.3899999</v>
      </c>
      <c r="AA40" s="189">
        <v>2341835538.6900001</v>
      </c>
      <c r="AB40" s="189">
        <v>2191605783.7199998</v>
      </c>
      <c r="AC40" s="189">
        <v>2087153334.95</v>
      </c>
      <c r="AD40" s="189">
        <v>1457830918.25</v>
      </c>
      <c r="AE40" s="189">
        <v>1555148691.54</v>
      </c>
      <c r="AF40" s="189">
        <v>1377392496.6199999</v>
      </c>
      <c r="AG40" s="189">
        <v>1582292614.5999999</v>
      </c>
      <c r="AH40" s="189">
        <v>875784865.62</v>
      </c>
      <c r="AI40" s="189">
        <v>606566873.84000003</v>
      </c>
      <c r="AJ40" s="189">
        <v>887626587.16999996</v>
      </c>
      <c r="AK40" s="189">
        <v>1046110746.79</v>
      </c>
      <c r="AL40" s="189">
        <v>825077628.10000002</v>
      </c>
      <c r="AM40" s="189">
        <v>831067887.66999996</v>
      </c>
      <c r="AN40" s="189">
        <v>1107063971.8499999</v>
      </c>
      <c r="AO40" s="189">
        <v>827803261.89999998</v>
      </c>
      <c r="AP40" s="189">
        <v>925269448.76999998</v>
      </c>
      <c r="AQ40" s="189">
        <v>902244377.95000005</v>
      </c>
      <c r="AR40" s="189">
        <v>1091124081.77</v>
      </c>
      <c r="AS40" s="189">
        <v>941728762.87</v>
      </c>
      <c r="AT40" s="189">
        <v>1368910307.23</v>
      </c>
      <c r="AU40" s="189">
        <v>1502244746.7</v>
      </c>
      <c r="AV40" s="189">
        <v>1597837675.27</v>
      </c>
      <c r="AW40" s="189">
        <v>1211103490.9000001</v>
      </c>
      <c r="AX40" s="189">
        <v>1323829312.27</v>
      </c>
      <c r="AY40" s="189">
        <v>1252128227.3699999</v>
      </c>
      <c r="AZ40" s="189">
        <v>1789022238.51</v>
      </c>
      <c r="BA40" s="189">
        <v>1434633243.3800001</v>
      </c>
      <c r="BB40" s="189">
        <v>1507555626.5699999</v>
      </c>
      <c r="BC40" s="189">
        <v>1568096163.8499999</v>
      </c>
      <c r="BD40" s="189">
        <v>1549608873.25</v>
      </c>
      <c r="BE40" s="189">
        <v>1229519160.02</v>
      </c>
      <c r="BF40" s="189">
        <v>1285696916.4100001</v>
      </c>
      <c r="BG40" s="189">
        <v>1343563012.78</v>
      </c>
      <c r="BH40" s="189">
        <v>1404173188.1300001</v>
      </c>
      <c r="BI40" s="189">
        <v>1049534838.29</v>
      </c>
      <c r="BJ40" s="189">
        <v>984770253.08000004</v>
      </c>
      <c r="BK40" s="189">
        <v>941464754.41999996</v>
      </c>
      <c r="BL40" s="189">
        <v>1004877827.5</v>
      </c>
      <c r="BM40" s="189">
        <v>729957675.29999995</v>
      </c>
      <c r="BN40" s="189">
        <v>786265003.01999998</v>
      </c>
      <c r="BO40" s="189">
        <v>787770022.34000003</v>
      </c>
      <c r="BP40" s="189">
        <v>733783820.07000005</v>
      </c>
      <c r="BQ40" s="189">
        <v>393489075.31</v>
      </c>
      <c r="BR40" s="189">
        <v>0</v>
      </c>
      <c r="BS40" s="189">
        <v>481468408.29000002</v>
      </c>
      <c r="BT40" s="189">
        <v>573691390.54999995</v>
      </c>
      <c r="BU40" s="189">
        <v>259216465.53</v>
      </c>
      <c r="BV40" s="189">
        <v>639621921.52999997</v>
      </c>
      <c r="BW40" s="189">
        <v>485183469.38</v>
      </c>
      <c r="BX40" s="189">
        <v>284101021.47000003</v>
      </c>
      <c r="BY40" s="189">
        <v>275509234.19999999</v>
      </c>
      <c r="BZ40" s="189">
        <v>221359624</v>
      </c>
      <c r="CA40" s="189">
        <v>130531218.91</v>
      </c>
      <c r="CB40" s="189">
        <v>69481090.340000004</v>
      </c>
      <c r="CC40" s="189">
        <v>14148829.369999999</v>
      </c>
      <c r="CD40" s="189">
        <v>0</v>
      </c>
      <c r="CE40" s="189"/>
      <c r="CF40" s="189"/>
      <c r="CG40" s="189"/>
      <c r="CH40" s="189"/>
      <c r="CI40" s="189"/>
      <c r="CJ40" s="189"/>
      <c r="CK40" s="189"/>
      <c r="CL40" s="189"/>
    </row>
    <row r="41" spans="1:90" x14ac:dyDescent="0.25">
      <c r="A41" s="17" t="s">
        <v>27</v>
      </c>
      <c r="B41" s="189">
        <v>2833164018.8499999</v>
      </c>
      <c r="C41" s="189">
        <v>2680768736.9299998</v>
      </c>
      <c r="D41" s="189">
        <v>2620675030.77</v>
      </c>
      <c r="E41" s="189">
        <v>2343421664.52</v>
      </c>
      <c r="F41" s="189">
        <v>1786094619.5699999</v>
      </c>
      <c r="G41" s="189">
        <v>1870305164.1099999</v>
      </c>
      <c r="H41" s="189">
        <v>2068230974.0899999</v>
      </c>
      <c r="I41" s="189">
        <v>1524627778.99</v>
      </c>
      <c r="J41" s="189">
        <v>1521840057.29</v>
      </c>
      <c r="K41" s="189">
        <v>1674159681.1800001</v>
      </c>
      <c r="L41" s="189">
        <v>1489404677.6700001</v>
      </c>
      <c r="M41" s="189">
        <v>1279924101.98</v>
      </c>
      <c r="N41" s="189">
        <v>849959453.26999998</v>
      </c>
      <c r="O41" s="189">
        <v>895112768.73000002</v>
      </c>
      <c r="P41" s="189">
        <v>763978112.34000003</v>
      </c>
      <c r="Q41" s="189">
        <v>964097340.10000002</v>
      </c>
      <c r="R41" s="189">
        <v>629662172.80999994</v>
      </c>
      <c r="S41" s="189">
        <v>534507606.94999999</v>
      </c>
      <c r="T41" s="189">
        <v>1067589249.7</v>
      </c>
      <c r="U41" s="189">
        <v>1058057337.88</v>
      </c>
      <c r="V41" s="189">
        <v>985846342.65999997</v>
      </c>
      <c r="W41" s="189">
        <v>1080971102.96</v>
      </c>
      <c r="X41" s="189">
        <v>1481140976.6099999</v>
      </c>
      <c r="Y41" s="189">
        <v>1394952635.3800001</v>
      </c>
      <c r="Z41" s="189">
        <v>1058913890.29</v>
      </c>
      <c r="AA41" s="189">
        <v>1168176009.1500001</v>
      </c>
      <c r="AB41" s="189">
        <v>839069143.04999995</v>
      </c>
      <c r="AC41" s="189">
        <v>801788668.84000003</v>
      </c>
      <c r="AD41" s="189">
        <v>757530281.40999997</v>
      </c>
      <c r="AE41" s="189">
        <v>845567369.25999999</v>
      </c>
      <c r="AF41" s="189">
        <v>575152633.72000003</v>
      </c>
      <c r="AG41" s="189">
        <v>689020663.08000004</v>
      </c>
      <c r="AH41" s="189">
        <v>304261188.48000002</v>
      </c>
      <c r="AI41" s="189">
        <v>456936057.51999998</v>
      </c>
      <c r="AJ41" s="189">
        <v>314291643.43000001</v>
      </c>
      <c r="AK41" s="189">
        <v>339959685.67000002</v>
      </c>
      <c r="AL41" s="189">
        <v>338920878.33999997</v>
      </c>
      <c r="AM41" s="189">
        <v>1488170160.77</v>
      </c>
      <c r="AN41" s="189">
        <v>72532938.930000007</v>
      </c>
      <c r="AO41" s="189">
        <v>84204694.840000004</v>
      </c>
      <c r="AP41" s="189">
        <v>69669456.340000004</v>
      </c>
      <c r="AQ41" s="189">
        <v>68127138.370000005</v>
      </c>
      <c r="AR41" s="189">
        <v>64087542.850000001</v>
      </c>
      <c r="AS41" s="189">
        <v>65927301.579999998</v>
      </c>
      <c r="AT41" s="189">
        <v>79209500.799999997</v>
      </c>
      <c r="AU41" s="189">
        <v>69486753.209999993</v>
      </c>
      <c r="AV41" s="189">
        <v>69325369.180000007</v>
      </c>
      <c r="AW41" s="189">
        <v>86262157.519999996</v>
      </c>
      <c r="AX41" s="189">
        <v>92534346.069999993</v>
      </c>
      <c r="AY41" s="189">
        <v>77012707.480000004</v>
      </c>
      <c r="AZ41" s="189">
        <v>73022433.510000005</v>
      </c>
      <c r="BA41" s="189">
        <v>71106488.989999995</v>
      </c>
      <c r="BB41" s="189">
        <v>66748166.009999998</v>
      </c>
      <c r="BC41" s="189">
        <v>55066850.789999999</v>
      </c>
      <c r="BD41" s="189">
        <v>52630683.039999999</v>
      </c>
      <c r="BE41" s="189">
        <v>50905875.689999998</v>
      </c>
      <c r="BF41" s="189">
        <v>94748745.290000007</v>
      </c>
      <c r="BG41" s="189">
        <v>91169462.680000007</v>
      </c>
      <c r="BH41" s="189">
        <v>53351389.810000002</v>
      </c>
      <c r="BI41" s="189">
        <v>42176687.57</v>
      </c>
      <c r="BJ41" s="189">
        <v>37867581.289999999</v>
      </c>
      <c r="BK41" s="189">
        <v>75939893.799999997</v>
      </c>
      <c r="BL41" s="189">
        <v>64162946.270000003</v>
      </c>
      <c r="BM41" s="189">
        <v>67870157.969999999</v>
      </c>
      <c r="BN41" s="189">
        <v>144028779.55000001</v>
      </c>
      <c r="BO41" s="189">
        <v>145439199.37</v>
      </c>
      <c r="BP41" s="189">
        <v>250811320.91999999</v>
      </c>
      <c r="BQ41" s="189">
        <v>205173603.58000001</v>
      </c>
      <c r="BR41" s="189">
        <v>0</v>
      </c>
      <c r="BS41" s="189">
        <v>626054931.66999996</v>
      </c>
      <c r="BT41" s="189">
        <v>40244829.950000003</v>
      </c>
      <c r="BU41" s="189">
        <v>50642667.810000002</v>
      </c>
      <c r="BV41" s="189">
        <v>28956327.039999999</v>
      </c>
      <c r="BW41" s="189">
        <v>159473726.08000001</v>
      </c>
      <c r="BX41" s="189">
        <v>165513370.62</v>
      </c>
      <c r="BY41" s="189">
        <v>51325961.829999998</v>
      </c>
      <c r="BZ41" s="189">
        <v>11420007.890000001</v>
      </c>
      <c r="CA41" s="189">
        <v>267189021.71000001</v>
      </c>
      <c r="CB41" s="189">
        <v>122816479.70999999</v>
      </c>
      <c r="CC41" s="189">
        <v>9945678.8499999996</v>
      </c>
      <c r="CD41" s="189">
        <v>0</v>
      </c>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6677340</v>
      </c>
      <c r="K42" s="189">
        <v>6677340</v>
      </c>
      <c r="L42" s="189">
        <v>6677340</v>
      </c>
      <c r="M42" s="189">
        <v>6677340</v>
      </c>
      <c r="N42" s="189">
        <v>4591646</v>
      </c>
      <c r="O42" s="189">
        <v>4591646</v>
      </c>
      <c r="P42" s="189">
        <v>4591646</v>
      </c>
      <c r="Q42" s="189">
        <v>4591646</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c r="CF42" s="189"/>
      <c r="CG42" s="189"/>
      <c r="CH42" s="189"/>
      <c r="CI42" s="189"/>
      <c r="CJ42" s="189"/>
      <c r="CK42" s="189"/>
      <c r="CL42" s="189"/>
    </row>
    <row r="43" spans="1:90" x14ac:dyDescent="0.25">
      <c r="A43" s="17" t="s">
        <v>29</v>
      </c>
      <c r="B43" s="189">
        <v>268884201.55000001</v>
      </c>
      <c r="C43" s="189">
        <v>271827784.88</v>
      </c>
      <c r="D43" s="189">
        <v>277698333.19</v>
      </c>
      <c r="E43" s="189">
        <v>280271916.51999998</v>
      </c>
      <c r="F43" s="189">
        <v>285279999.85000002</v>
      </c>
      <c r="G43" s="189">
        <v>285738749.86000001</v>
      </c>
      <c r="H43" s="189">
        <v>281197499.87</v>
      </c>
      <c r="I43" s="189">
        <v>280660735.08999997</v>
      </c>
      <c r="J43" s="189">
        <v>283219485.10000002</v>
      </c>
      <c r="K43" s="189">
        <v>226158235.11000001</v>
      </c>
      <c r="L43" s="189">
        <v>227016985.12</v>
      </c>
      <c r="M43" s="189">
        <v>227179736.72999999</v>
      </c>
      <c r="N43" s="189">
        <v>186078486.74000001</v>
      </c>
      <c r="O43" s="189">
        <v>187450268</v>
      </c>
      <c r="P43" s="189">
        <v>147999018.00999999</v>
      </c>
      <c r="Q43" s="189">
        <v>145257768.02000001</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c r="CF44" s="189"/>
      <c r="CG44" s="189"/>
      <c r="CH44" s="189"/>
      <c r="CI44" s="189"/>
      <c r="CJ44" s="189"/>
      <c r="CK44" s="189"/>
      <c r="CL44" s="189"/>
    </row>
    <row r="45" spans="1:90" x14ac:dyDescent="0.25">
      <c r="A45" s="17" t="s">
        <v>31</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564822857.91999996</v>
      </c>
      <c r="AM45" s="189">
        <v>566280800.39999998</v>
      </c>
      <c r="AN45" s="189">
        <v>0</v>
      </c>
      <c r="AO45" s="189">
        <v>0</v>
      </c>
      <c r="AP45" s="189">
        <v>0</v>
      </c>
      <c r="AQ45" s="189">
        <v>0</v>
      </c>
      <c r="AR45" s="189">
        <v>250000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29379522.879999999</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10566653479.75</v>
      </c>
      <c r="C49" s="35">
        <f>SUM(C35:C41)+SUM(C43:C45)</f>
        <v>16836365571.359999</v>
      </c>
      <c r="D49" s="35">
        <f>SUM(D35:D41)+SUM(D43:D45)</f>
        <v>19759604200.899998</v>
      </c>
      <c r="E49" s="35">
        <f>SUM(E35:E45)</f>
        <v>16248301030.25</v>
      </c>
      <c r="F49" s="35">
        <f t="shared" ref="F49:BQ49" si="4">SUM(F35:F45)</f>
        <v>14230069297.879999</v>
      </c>
      <c r="G49" s="35">
        <f t="shared" si="4"/>
        <v>14454068420.98</v>
      </c>
      <c r="H49" s="35">
        <f t="shared" si="4"/>
        <v>15921551776.370001</v>
      </c>
      <c r="I49" s="35">
        <f t="shared" si="4"/>
        <v>13968547373.5</v>
      </c>
      <c r="J49" s="35">
        <f t="shared" si="4"/>
        <v>13829239531.280001</v>
      </c>
      <c r="K49" s="35">
        <f t="shared" si="4"/>
        <v>11591087468.529999</v>
      </c>
      <c r="L49" s="35">
        <f t="shared" si="4"/>
        <v>13630784533.030001</v>
      </c>
      <c r="M49" s="35">
        <f t="shared" si="4"/>
        <v>8201473977.9599991</v>
      </c>
      <c r="N49" s="35">
        <f t="shared" si="4"/>
        <v>5554406949.9699993</v>
      </c>
      <c r="O49" s="35">
        <f t="shared" si="4"/>
        <v>6053461978.1399994</v>
      </c>
      <c r="P49" s="35">
        <f t="shared" si="4"/>
        <v>6037555295.75</v>
      </c>
      <c r="Q49" s="35">
        <f t="shared" si="4"/>
        <v>6074790206.7700005</v>
      </c>
      <c r="R49" s="35">
        <f t="shared" si="4"/>
        <v>5553657482.7700005</v>
      </c>
      <c r="S49" s="35">
        <f t="shared" si="4"/>
        <v>6446312906.5799999</v>
      </c>
      <c r="T49" s="35">
        <f t="shared" si="4"/>
        <v>7496844408.8900003</v>
      </c>
      <c r="U49" s="35">
        <f t="shared" si="4"/>
        <v>7042604818.1499996</v>
      </c>
      <c r="V49" s="35">
        <f t="shared" si="4"/>
        <v>7890822650.2200003</v>
      </c>
      <c r="W49" s="35">
        <f t="shared" si="4"/>
        <v>10503773521.700001</v>
      </c>
      <c r="X49" s="35">
        <f t="shared" si="4"/>
        <v>10843870139.140001</v>
      </c>
      <c r="Y49" s="35">
        <f t="shared" si="4"/>
        <v>13344476313.52</v>
      </c>
      <c r="Z49" s="35">
        <f t="shared" si="4"/>
        <v>12190789973.950001</v>
      </c>
      <c r="AA49" s="35">
        <f t="shared" si="4"/>
        <v>12865584014.290001</v>
      </c>
      <c r="AB49" s="35">
        <f t="shared" si="4"/>
        <v>12234551344.539999</v>
      </c>
      <c r="AC49" s="35">
        <f t="shared" si="4"/>
        <v>13234430780.33</v>
      </c>
      <c r="AD49" s="35">
        <f t="shared" si="4"/>
        <v>10983338415.549999</v>
      </c>
      <c r="AE49" s="35">
        <f t="shared" si="4"/>
        <v>11210515178.250002</v>
      </c>
      <c r="AF49" s="35">
        <f t="shared" si="4"/>
        <v>10283150104.9</v>
      </c>
      <c r="AG49" s="35">
        <f t="shared" si="4"/>
        <v>9939059830.1399994</v>
      </c>
      <c r="AH49" s="35">
        <f t="shared" si="4"/>
        <v>7081649825.0300007</v>
      </c>
      <c r="AI49" s="35">
        <f t="shared" si="4"/>
        <v>6819900212.710001</v>
      </c>
      <c r="AJ49" s="35">
        <f t="shared" si="4"/>
        <v>6611923599.1899996</v>
      </c>
      <c r="AK49" s="35">
        <f t="shared" si="4"/>
        <v>6043121979.7299995</v>
      </c>
      <c r="AL49" s="35">
        <f t="shared" si="4"/>
        <v>5254438424.7000008</v>
      </c>
      <c r="AM49" s="35">
        <f t="shared" si="4"/>
        <v>3724050937.7400002</v>
      </c>
      <c r="AN49" s="35">
        <f t="shared" si="4"/>
        <v>1646801253.1199999</v>
      </c>
      <c r="AO49" s="35">
        <f t="shared" si="4"/>
        <v>2040483851.5200002</v>
      </c>
      <c r="AP49" s="35">
        <f t="shared" si="4"/>
        <v>1948823711.28</v>
      </c>
      <c r="AQ49" s="35">
        <f t="shared" si="4"/>
        <v>1552393491.46</v>
      </c>
      <c r="AR49" s="35">
        <f t="shared" si="4"/>
        <v>1820161817.1799998</v>
      </c>
      <c r="AS49" s="35">
        <f t="shared" si="4"/>
        <v>1942914142.9299998</v>
      </c>
      <c r="AT49" s="35">
        <f t="shared" si="4"/>
        <v>2418990762.3100004</v>
      </c>
      <c r="AU49" s="35">
        <f t="shared" si="4"/>
        <v>2169177278.3899999</v>
      </c>
      <c r="AV49" s="35">
        <f t="shared" si="4"/>
        <v>2281521669.6399999</v>
      </c>
      <c r="AW49" s="35">
        <f t="shared" si="4"/>
        <v>1880110445.8800001</v>
      </c>
      <c r="AX49" s="35">
        <f t="shared" si="4"/>
        <v>1948959322.52</v>
      </c>
      <c r="AY49" s="35">
        <f t="shared" si="4"/>
        <v>1781125250.3199999</v>
      </c>
      <c r="AZ49" s="35">
        <f t="shared" si="4"/>
        <v>2268791376.5600004</v>
      </c>
      <c r="BA49" s="35">
        <f t="shared" si="4"/>
        <v>2089246586.8100002</v>
      </c>
      <c r="BB49" s="35">
        <f t="shared" si="4"/>
        <v>2035879757.02</v>
      </c>
      <c r="BC49" s="35">
        <f t="shared" si="4"/>
        <v>2216281670.4200001</v>
      </c>
      <c r="BD49" s="35">
        <f t="shared" si="4"/>
        <v>2020355145.3899999</v>
      </c>
      <c r="BE49" s="35">
        <f t="shared" si="4"/>
        <v>2119333396.1199999</v>
      </c>
      <c r="BF49" s="35">
        <f t="shared" si="4"/>
        <v>2266732261.5799999</v>
      </c>
      <c r="BG49" s="35">
        <f t="shared" si="4"/>
        <v>2277488275.23</v>
      </c>
      <c r="BH49" s="35">
        <f t="shared" si="4"/>
        <v>2530637566.5700002</v>
      </c>
      <c r="BI49" s="35">
        <f t="shared" si="4"/>
        <v>2157942936.8200002</v>
      </c>
      <c r="BJ49" s="35">
        <f t="shared" si="4"/>
        <v>2065950819.3899999</v>
      </c>
      <c r="BK49" s="35">
        <f t="shared" si="4"/>
        <v>1518789576.1600001</v>
      </c>
      <c r="BL49" s="35">
        <f t="shared" si="4"/>
        <v>1780582603.2</v>
      </c>
      <c r="BM49" s="35">
        <f t="shared" si="4"/>
        <v>1844771360.51</v>
      </c>
      <c r="BN49" s="35">
        <f t="shared" si="4"/>
        <v>1734502592.1700001</v>
      </c>
      <c r="BO49" s="35">
        <f t="shared" si="4"/>
        <v>1555742803.04</v>
      </c>
      <c r="BP49" s="35">
        <f t="shared" si="4"/>
        <v>1624159721.1600003</v>
      </c>
      <c r="BQ49" s="35">
        <f t="shared" si="4"/>
        <v>1903133158.78</v>
      </c>
      <c r="BR49" s="35">
        <f t="shared" ref="BR49:CK49" si="5">SUM(BR35:BR45)</f>
        <v>0</v>
      </c>
      <c r="BS49" s="35">
        <f t="shared" si="5"/>
        <v>1685265050.96</v>
      </c>
      <c r="BT49" s="35">
        <f t="shared" si="5"/>
        <v>924663215.75999999</v>
      </c>
      <c r="BU49" s="35">
        <f t="shared" si="5"/>
        <v>1370434807.3</v>
      </c>
      <c r="BV49" s="35">
        <f t="shared" si="5"/>
        <v>991540934.71999991</v>
      </c>
      <c r="BW49" s="35">
        <f t="shared" si="5"/>
        <v>1484580852.0299997</v>
      </c>
      <c r="BX49" s="35">
        <f t="shared" si="5"/>
        <v>606830170.5</v>
      </c>
      <c r="BY49" s="35">
        <f t="shared" si="5"/>
        <v>566714427.53999996</v>
      </c>
      <c r="BZ49" s="35">
        <f t="shared" si="5"/>
        <v>657371533.49000001</v>
      </c>
      <c r="CA49" s="35">
        <f t="shared" si="5"/>
        <v>684161490.55000007</v>
      </c>
      <c r="CB49" s="35">
        <f t="shared" si="5"/>
        <v>438452298.35999995</v>
      </c>
      <c r="CC49" s="35">
        <f t="shared" si="5"/>
        <v>228349687.40000001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16890929721.650002</v>
      </c>
      <c r="C50" s="36">
        <f t="shared" ref="C50:BN50" si="6">C33-C49</f>
        <v>12166534991.809999</v>
      </c>
      <c r="D50" s="36">
        <f t="shared" si="6"/>
        <v>8600152533.3500023</v>
      </c>
      <c r="E50" s="36">
        <f t="shared" si="6"/>
        <v>5826460208.1900024</v>
      </c>
      <c r="F50" s="36">
        <f t="shared" si="6"/>
        <v>6560293797.6900005</v>
      </c>
      <c r="G50" s="36">
        <f t="shared" si="6"/>
        <v>7085803720.2800026</v>
      </c>
      <c r="H50" s="36">
        <f t="shared" si="6"/>
        <v>7149232052.7500019</v>
      </c>
      <c r="I50" s="36">
        <f t="shared" si="6"/>
        <v>5266055711.8199997</v>
      </c>
      <c r="J50" s="36">
        <f t="shared" si="6"/>
        <v>4583865587.289999</v>
      </c>
      <c r="K50" s="36">
        <f t="shared" si="6"/>
        <v>9418333864.2000046</v>
      </c>
      <c r="L50" s="36">
        <f t="shared" si="6"/>
        <v>12034379970.35</v>
      </c>
      <c r="M50" s="36">
        <f t="shared" si="6"/>
        <v>9623235829.0699997</v>
      </c>
      <c r="N50" s="36">
        <f t="shared" si="6"/>
        <v>9160455454.5700016</v>
      </c>
      <c r="O50" s="36">
        <f t="shared" si="6"/>
        <v>10246363627.59</v>
      </c>
      <c r="P50" s="36">
        <f t="shared" si="6"/>
        <v>10302342138.189999</v>
      </c>
      <c r="Q50" s="36">
        <f t="shared" si="6"/>
        <v>9826784997.4899998</v>
      </c>
      <c r="R50" s="36">
        <f t="shared" si="6"/>
        <v>10127228364.58</v>
      </c>
      <c r="S50" s="36">
        <f t="shared" si="6"/>
        <v>10209060294.179998</v>
      </c>
      <c r="T50" s="36">
        <f t="shared" si="6"/>
        <v>9004893561.9300003</v>
      </c>
      <c r="U50" s="36">
        <f t="shared" si="6"/>
        <v>3780923028.1800003</v>
      </c>
      <c r="V50" s="36">
        <f t="shared" si="6"/>
        <v>3754710479.5099993</v>
      </c>
      <c r="W50" s="36">
        <f t="shared" si="6"/>
        <v>1018974594.6299992</v>
      </c>
      <c r="X50" s="36">
        <f t="shared" si="6"/>
        <v>-924062367.13000107</v>
      </c>
      <c r="Y50" s="36">
        <f t="shared" si="6"/>
        <v>-3704821538.0000019</v>
      </c>
      <c r="Z50" s="36">
        <f t="shared" si="6"/>
        <v>-3630923449.0500011</v>
      </c>
      <c r="AA50" s="36">
        <f t="shared" si="6"/>
        <v>-3964325561.5100021</v>
      </c>
      <c r="AB50" s="36">
        <f t="shared" si="6"/>
        <v>-3746547591.2099991</v>
      </c>
      <c r="AC50" s="36">
        <f t="shared" si="6"/>
        <v>-5386357411.4099998</v>
      </c>
      <c r="AD50" s="36">
        <f t="shared" si="6"/>
        <v>-4068304774.7299995</v>
      </c>
      <c r="AE50" s="36">
        <f t="shared" si="6"/>
        <v>-4395496119.4500017</v>
      </c>
      <c r="AF50" s="36">
        <f t="shared" si="6"/>
        <v>-2742823972.2699995</v>
      </c>
      <c r="AG50" s="36">
        <f t="shared" si="6"/>
        <v>-2788274772.4099998</v>
      </c>
      <c r="AH50" s="36">
        <f t="shared" si="6"/>
        <v>-1298215126.8300009</v>
      </c>
      <c r="AI50" s="36">
        <f t="shared" si="6"/>
        <v>-1017736883.5900002</v>
      </c>
      <c r="AJ50" s="36">
        <f t="shared" si="6"/>
        <v>-892466063.19999981</v>
      </c>
      <c r="AK50" s="36">
        <f t="shared" si="6"/>
        <v>-356836837.43999958</v>
      </c>
      <c r="AL50" s="36">
        <f t="shared" si="6"/>
        <v>-524459608.69000053</v>
      </c>
      <c r="AM50" s="36">
        <f t="shared" si="6"/>
        <v>311135128.95999956</v>
      </c>
      <c r="AN50" s="36">
        <f t="shared" si="6"/>
        <v>856746739.61999989</v>
      </c>
      <c r="AO50" s="36">
        <f t="shared" si="6"/>
        <v>714766491.74999976</v>
      </c>
      <c r="AP50" s="36">
        <f t="shared" si="6"/>
        <v>539828258.50999999</v>
      </c>
      <c r="AQ50" s="36">
        <f t="shared" si="6"/>
        <v>747217549.30999994</v>
      </c>
      <c r="AR50" s="36">
        <f t="shared" si="6"/>
        <v>414911887.28000021</v>
      </c>
      <c r="AS50" s="36">
        <f t="shared" si="6"/>
        <v>428905073.5999999</v>
      </c>
      <c r="AT50" s="36">
        <f t="shared" si="6"/>
        <v>-256023842.15000057</v>
      </c>
      <c r="AU50" s="36">
        <f t="shared" si="6"/>
        <v>-83740178.079999685</v>
      </c>
      <c r="AV50" s="36">
        <f t="shared" si="6"/>
        <v>-4674827</v>
      </c>
      <c r="AW50" s="36">
        <f t="shared" si="6"/>
        <v>331796464.71000004</v>
      </c>
      <c r="AX50" s="36">
        <f t="shared" si="6"/>
        <v>202375440.42000008</v>
      </c>
      <c r="AY50" s="36">
        <f t="shared" si="6"/>
        <v>185741200.1099999</v>
      </c>
      <c r="AZ50" s="36">
        <f t="shared" si="6"/>
        <v>-74604148.930000305</v>
      </c>
      <c r="BA50" s="36">
        <f t="shared" si="6"/>
        <v>38993144.749999762</v>
      </c>
      <c r="BB50" s="36">
        <f t="shared" si="6"/>
        <v>332850455.34000015</v>
      </c>
      <c r="BC50" s="36">
        <f t="shared" si="6"/>
        <v>111314378.61999989</v>
      </c>
      <c r="BD50" s="36">
        <f t="shared" si="6"/>
        <v>96244848.000000238</v>
      </c>
      <c r="BE50" s="36">
        <f t="shared" si="6"/>
        <v>-39184618.739999771</v>
      </c>
      <c r="BF50" s="36">
        <f t="shared" si="6"/>
        <v>-374234633.62999988</v>
      </c>
      <c r="BG50" s="36">
        <f t="shared" si="6"/>
        <v>-450843554.1500001</v>
      </c>
      <c r="BH50" s="36">
        <f t="shared" si="6"/>
        <v>-987808033.03999996</v>
      </c>
      <c r="BI50" s="36">
        <f t="shared" si="6"/>
        <v>-489236067.6900003</v>
      </c>
      <c r="BJ50" s="36">
        <f t="shared" si="6"/>
        <v>-492180573.92000008</v>
      </c>
      <c r="BK50" s="36">
        <f t="shared" si="6"/>
        <v>-311396427.33000016</v>
      </c>
      <c r="BL50" s="36">
        <f t="shared" si="6"/>
        <v>-293354093.99000001</v>
      </c>
      <c r="BM50" s="36">
        <f t="shared" si="6"/>
        <v>-445466548.54999995</v>
      </c>
      <c r="BN50" s="36">
        <f t="shared" si="6"/>
        <v>151609124.37999988</v>
      </c>
      <c r="BO50" s="36">
        <f t="shared" ref="BO50:CK50" si="7">BO33-BO49</f>
        <v>-224746581.94999981</v>
      </c>
      <c r="BP50" s="36">
        <f t="shared" si="7"/>
        <v>-219868024.53000021</v>
      </c>
      <c r="BQ50" s="36">
        <f t="shared" si="7"/>
        <v>-317610937.9599998</v>
      </c>
      <c r="BR50" s="36">
        <f t="shared" si="7"/>
        <v>0</v>
      </c>
      <c r="BS50" s="36">
        <f t="shared" si="7"/>
        <v>-483179393.38000011</v>
      </c>
      <c r="BT50" s="36">
        <f t="shared" si="7"/>
        <v>206810473.36000013</v>
      </c>
      <c r="BU50" s="36">
        <f t="shared" si="7"/>
        <v>-149453986.8900001</v>
      </c>
      <c r="BV50" s="36">
        <f t="shared" si="7"/>
        <v>766208832.10000026</v>
      </c>
      <c r="BW50" s="36">
        <f t="shared" si="7"/>
        <v>-16114514.109999657</v>
      </c>
      <c r="BX50" s="36">
        <f t="shared" si="7"/>
        <v>108087215.97000003</v>
      </c>
      <c r="BY50" s="36">
        <f t="shared" si="7"/>
        <v>87024710.430000067</v>
      </c>
      <c r="BZ50" s="36">
        <f t="shared" si="7"/>
        <v>174841459.51999998</v>
      </c>
      <c r="CA50" s="36">
        <f t="shared" si="7"/>
        <v>7899410.3400000334</v>
      </c>
      <c r="CB50" s="36">
        <f t="shared" si="7"/>
        <v>122785628.63000005</v>
      </c>
      <c r="CC50" s="36">
        <f t="shared" si="7"/>
        <v>271673799.19000006</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5282593649.3400002</v>
      </c>
      <c r="C52" s="189">
        <v>5342671729.5299997</v>
      </c>
      <c r="D52" s="189">
        <v>5210283730.3500004</v>
      </c>
      <c r="E52" s="189">
        <v>5292583427.1999998</v>
      </c>
      <c r="F52" s="189">
        <v>5277803007.6599998</v>
      </c>
      <c r="G52" s="189">
        <v>5310208763.0200005</v>
      </c>
      <c r="H52" s="189">
        <v>5357774717.21</v>
      </c>
      <c r="I52" s="189">
        <v>5431085733.1599998</v>
      </c>
      <c r="J52" s="189">
        <v>5075825005.04</v>
      </c>
      <c r="K52" s="189">
        <v>5178721783.9899998</v>
      </c>
      <c r="L52" s="189">
        <v>5243340408.9499998</v>
      </c>
      <c r="M52" s="189">
        <v>5347549946.8800001</v>
      </c>
      <c r="N52" s="189">
        <v>5447067768.5299997</v>
      </c>
      <c r="O52" s="189">
        <v>5569494294.8800001</v>
      </c>
      <c r="P52" s="189">
        <v>5561162652.8900003</v>
      </c>
      <c r="Q52" s="189">
        <v>5676482317.6499996</v>
      </c>
      <c r="R52" s="189">
        <v>5714480502.4799995</v>
      </c>
      <c r="S52" s="189">
        <v>5618349275.9399996</v>
      </c>
      <c r="T52" s="189">
        <v>5746016698.6599998</v>
      </c>
      <c r="U52" s="189">
        <v>5882125515.1599998</v>
      </c>
      <c r="V52" s="189">
        <v>5496333315.8199997</v>
      </c>
      <c r="W52" s="189">
        <v>5636878064.6800003</v>
      </c>
      <c r="X52" s="189">
        <v>5760836594.4499998</v>
      </c>
      <c r="Y52" s="189">
        <v>5497236500.9799995</v>
      </c>
      <c r="Z52" s="189">
        <v>5477857707.71</v>
      </c>
      <c r="AA52" s="189">
        <v>5608943204.5600004</v>
      </c>
      <c r="AB52" s="189">
        <v>5775442018.75</v>
      </c>
      <c r="AC52" s="189">
        <v>5905055195.5</v>
      </c>
      <c r="AD52" s="189">
        <v>6066038876.1300001</v>
      </c>
      <c r="AE52" s="189">
        <v>6178043190.9700003</v>
      </c>
      <c r="AF52" s="189">
        <v>6212189646.3800001</v>
      </c>
      <c r="AG52" s="189">
        <v>6373457302.8599997</v>
      </c>
      <c r="AH52" s="189">
        <v>6538960841.9200001</v>
      </c>
      <c r="AI52" s="189">
        <v>6686192245.9099998</v>
      </c>
      <c r="AJ52" s="189">
        <v>6807745494.1300001</v>
      </c>
      <c r="AK52" s="189">
        <v>6935927656.6199999</v>
      </c>
      <c r="AL52" s="189">
        <v>6725076984.0900002</v>
      </c>
      <c r="AM52" s="189">
        <v>6866972825.3900003</v>
      </c>
      <c r="AN52" s="189">
        <v>4245800806.3699999</v>
      </c>
      <c r="AO52" s="189">
        <v>4334380905.8800001</v>
      </c>
      <c r="AP52" s="189">
        <v>4608271296.8800001</v>
      </c>
      <c r="AQ52" s="189">
        <v>4711785850.8299999</v>
      </c>
      <c r="AR52" s="189">
        <v>4608423992.0200005</v>
      </c>
      <c r="AS52" s="189">
        <v>4670657791.3599997</v>
      </c>
      <c r="AT52" s="189">
        <v>4934237086.5299997</v>
      </c>
      <c r="AU52" s="189">
        <v>5019279783.0500002</v>
      </c>
      <c r="AV52" s="189">
        <v>5082147090.9300003</v>
      </c>
      <c r="AW52" s="189">
        <v>5193905238.7700005</v>
      </c>
      <c r="AX52" s="189">
        <v>5289844741.3100004</v>
      </c>
      <c r="AY52" s="189">
        <v>5356101803.7600002</v>
      </c>
      <c r="AZ52" s="189">
        <v>5272215535.1000004</v>
      </c>
      <c r="BA52" s="189">
        <v>5378990872.5299997</v>
      </c>
      <c r="BB52" s="189">
        <v>5451346214.2799997</v>
      </c>
      <c r="BC52" s="189">
        <v>5569703297.2299995</v>
      </c>
      <c r="BD52" s="189">
        <v>5601605514.1899996</v>
      </c>
      <c r="BE52" s="189">
        <v>5647276968.4899998</v>
      </c>
      <c r="BF52" s="189">
        <v>4692216694</v>
      </c>
      <c r="BG52" s="189">
        <v>4779198241.9799995</v>
      </c>
      <c r="BH52" s="189">
        <v>4855612116.8599997</v>
      </c>
      <c r="BI52" s="189">
        <v>4896279236.6899996</v>
      </c>
      <c r="BJ52" s="189">
        <v>3680362197.46</v>
      </c>
      <c r="BK52" s="189">
        <v>3766242267.48</v>
      </c>
      <c r="BL52" s="189">
        <v>3559955468.8299999</v>
      </c>
      <c r="BM52" s="189">
        <v>3602003201.1100001</v>
      </c>
      <c r="BN52" s="189">
        <v>3417705127.8600001</v>
      </c>
      <c r="BO52" s="189">
        <v>3445620147.3200002</v>
      </c>
      <c r="BP52" s="189">
        <v>3047036752.3400002</v>
      </c>
      <c r="BQ52" s="189">
        <v>3074187958.48</v>
      </c>
      <c r="BR52" s="189">
        <v>0</v>
      </c>
      <c r="BS52" s="189">
        <v>2996112005.8499999</v>
      </c>
      <c r="BT52" s="189">
        <v>1326479175.75</v>
      </c>
      <c r="BU52" s="189">
        <v>1220622570.2</v>
      </c>
      <c r="BV52" s="189">
        <v>1245325894.1400001</v>
      </c>
      <c r="BW52" s="189">
        <v>1205088242.78</v>
      </c>
      <c r="BX52" s="189">
        <v>773054420.82000005</v>
      </c>
      <c r="BY52" s="189">
        <v>800607155.58000004</v>
      </c>
      <c r="BZ52" s="189">
        <v>455849033.79000002</v>
      </c>
      <c r="CA52" s="189">
        <v>225513764.90000001</v>
      </c>
      <c r="CB52" s="189">
        <v>222897373.97999999</v>
      </c>
      <c r="CC52" s="189">
        <v>158461384.13999999</v>
      </c>
      <c r="CD52" s="189">
        <v>0</v>
      </c>
      <c r="CE52" s="189"/>
      <c r="CF52" s="189"/>
      <c r="CG52" s="189"/>
      <c r="CH52" s="189"/>
      <c r="CI52" s="189"/>
      <c r="CJ52" s="189"/>
      <c r="CK52" s="189"/>
      <c r="CL52" s="189"/>
    </row>
    <row r="53" spans="1:90" s="192" customFormat="1" x14ac:dyDescent="0.25">
      <c r="A53" s="192" t="s">
        <v>35</v>
      </c>
      <c r="B53" s="189">
        <v>308092704</v>
      </c>
      <c r="C53" s="189">
        <v>289649202.87</v>
      </c>
      <c r="D53" s="189">
        <v>461106398.14999998</v>
      </c>
      <c r="E53" s="189">
        <v>271653749.52999997</v>
      </c>
      <c r="F53" s="189">
        <v>293854009.37</v>
      </c>
      <c r="G53" s="189">
        <v>324538161.11000001</v>
      </c>
      <c r="H53" s="189">
        <v>348440047.02999997</v>
      </c>
      <c r="I53" s="189">
        <v>292881811.61000001</v>
      </c>
      <c r="J53" s="189">
        <v>679794179</v>
      </c>
      <c r="K53" s="189">
        <v>651606385.32000005</v>
      </c>
      <c r="L53" s="189">
        <v>621285037.23000002</v>
      </c>
      <c r="M53" s="189">
        <v>554771287.60000002</v>
      </c>
      <c r="N53" s="189">
        <v>515231211.56</v>
      </c>
      <c r="O53" s="189">
        <v>442337179.86000001</v>
      </c>
      <c r="P53" s="189">
        <v>461155792.07999998</v>
      </c>
      <c r="Q53" s="189">
        <v>384533672.73000002</v>
      </c>
      <c r="R53" s="189">
        <v>389754043.56</v>
      </c>
      <c r="S53" s="189">
        <v>375618975.69</v>
      </c>
      <c r="T53" s="189">
        <v>293040488.70999998</v>
      </c>
      <c r="U53" s="189">
        <v>223094343.47999999</v>
      </c>
      <c r="V53" s="189">
        <v>683382375.25999999</v>
      </c>
      <c r="W53" s="189">
        <v>599153056.07000005</v>
      </c>
      <c r="X53" s="189">
        <v>577888903.21000004</v>
      </c>
      <c r="Y53" s="189">
        <v>855585255.33000004</v>
      </c>
      <c r="Z53" s="189">
        <v>986738283.25</v>
      </c>
      <c r="AA53" s="189">
        <v>966002053.88</v>
      </c>
      <c r="AB53" s="189">
        <v>910719299.58000004</v>
      </c>
      <c r="AC53" s="189">
        <v>787493319.77999997</v>
      </c>
      <c r="AD53" s="189">
        <v>652572593.78999996</v>
      </c>
      <c r="AE53" s="189">
        <v>633703948.47000003</v>
      </c>
      <c r="AF53" s="189">
        <v>603595798.02999997</v>
      </c>
      <c r="AG53" s="189">
        <v>514643508.64999998</v>
      </c>
      <c r="AH53" s="189">
        <v>413532910.43000001</v>
      </c>
      <c r="AI53" s="189">
        <v>353532910.43000001</v>
      </c>
      <c r="AJ53" s="189">
        <v>271382910.43000001</v>
      </c>
      <c r="AK53" s="189">
        <v>218457910.43000001</v>
      </c>
      <c r="AL53" s="189">
        <v>456047491.41000003</v>
      </c>
      <c r="AM53" s="189">
        <v>422932472.19999999</v>
      </c>
      <c r="AN53" s="189">
        <v>411554268.08999997</v>
      </c>
      <c r="AO53" s="189">
        <v>327723836.08999997</v>
      </c>
      <c r="AP53" s="189">
        <v>129382571.26000001</v>
      </c>
      <c r="AQ53" s="189">
        <v>129382571.26000001</v>
      </c>
      <c r="AR53" s="189">
        <v>279097163.50999999</v>
      </c>
      <c r="AS53" s="189">
        <v>322898322.74000001</v>
      </c>
      <c r="AT53" s="189">
        <v>91207611.170000002</v>
      </c>
      <c r="AU53" s="189">
        <v>52207611.170000002</v>
      </c>
      <c r="AV53" s="189">
        <v>50577836.869999997</v>
      </c>
      <c r="AW53" s="189">
        <v>18177836.870000001</v>
      </c>
      <c r="AX53" s="189">
        <v>30237841.699999999</v>
      </c>
      <c r="AY53" s="189">
        <v>29552394.699999999</v>
      </c>
      <c r="AZ53" s="189">
        <v>29552394.699999999</v>
      </c>
      <c r="BA53" s="189">
        <v>29552394.699999999</v>
      </c>
      <c r="BB53" s="189">
        <v>29567210.289999999</v>
      </c>
      <c r="BC53" s="189">
        <v>29567210.289999999</v>
      </c>
      <c r="BD53" s="189">
        <v>97643076.810000002</v>
      </c>
      <c r="BE53" s="189">
        <v>123043076.81</v>
      </c>
      <c r="BF53" s="189">
        <v>665769611.87</v>
      </c>
      <c r="BG53" s="189">
        <v>668969611.87</v>
      </c>
      <c r="BH53" s="189">
        <v>660331699.49000001</v>
      </c>
      <c r="BI53" s="189">
        <v>619018667.15999997</v>
      </c>
      <c r="BJ53" s="189">
        <v>1419518505.3099999</v>
      </c>
      <c r="BK53" s="189">
        <v>700560718.25999999</v>
      </c>
      <c r="BL53" s="189">
        <v>844818644.94000006</v>
      </c>
      <c r="BM53" s="189">
        <v>844818644.94000006</v>
      </c>
      <c r="BN53" s="189">
        <v>126894081.58</v>
      </c>
      <c r="BO53" s="189">
        <v>162667645.38999999</v>
      </c>
      <c r="BP53" s="189">
        <v>399832678.99000001</v>
      </c>
      <c r="BQ53" s="189">
        <v>407129955.11000001</v>
      </c>
      <c r="BR53" s="189">
        <v>0</v>
      </c>
      <c r="BS53" s="189">
        <v>460000000</v>
      </c>
      <c r="BT53" s="189">
        <v>375089152.60000002</v>
      </c>
      <c r="BU53" s="189">
        <v>375088852.60000002</v>
      </c>
      <c r="BV53" s="189">
        <v>375087726.19999999</v>
      </c>
      <c r="BW53" s="189">
        <v>88107716.200000003</v>
      </c>
      <c r="BX53" s="189">
        <v>24500000</v>
      </c>
      <c r="BY53" s="189">
        <v>21500000</v>
      </c>
      <c r="BZ53" s="189">
        <v>273299036</v>
      </c>
      <c r="CA53" s="189">
        <v>0</v>
      </c>
      <c r="CB53" s="189">
        <v>0</v>
      </c>
      <c r="CC53" s="189">
        <v>0</v>
      </c>
      <c r="CD53" s="189">
        <v>0</v>
      </c>
      <c r="CE53" s="189"/>
      <c r="CF53" s="189"/>
      <c r="CG53" s="189"/>
      <c r="CH53" s="189"/>
      <c r="CI53" s="189"/>
      <c r="CJ53" s="189"/>
      <c r="CK53" s="189"/>
      <c r="CL53" s="189"/>
    </row>
    <row r="54" spans="1:90" s="192" customFormat="1" x14ac:dyDescent="0.25">
      <c r="A54" s="192" t="s">
        <v>36</v>
      </c>
      <c r="B54" s="189">
        <v>0</v>
      </c>
      <c r="C54" s="189">
        <v>1761090.07</v>
      </c>
      <c r="D54" s="189">
        <v>1761090.07</v>
      </c>
      <c r="E54" s="189">
        <v>1761078.76</v>
      </c>
      <c r="F54" s="189">
        <v>1761078.76</v>
      </c>
      <c r="G54" s="189">
        <v>1761078.76</v>
      </c>
      <c r="H54" s="189">
        <v>1761078.76</v>
      </c>
      <c r="I54" s="189">
        <v>1667017.72</v>
      </c>
      <c r="J54" s="189">
        <v>1667017.72</v>
      </c>
      <c r="K54" s="189">
        <v>1667017.72</v>
      </c>
      <c r="L54" s="189">
        <v>1667017.72</v>
      </c>
      <c r="M54" s="189">
        <v>1667017.72</v>
      </c>
      <c r="N54" s="189">
        <v>2345837.34</v>
      </c>
      <c r="O54" s="189">
        <v>2345837.34</v>
      </c>
      <c r="P54" s="189">
        <v>0</v>
      </c>
      <c r="Q54" s="189">
        <v>0</v>
      </c>
      <c r="R54" s="189">
        <v>0</v>
      </c>
      <c r="S54" s="189">
        <v>886472.77</v>
      </c>
      <c r="T54" s="189">
        <v>886472.77</v>
      </c>
      <c r="U54" s="189">
        <v>1755346.28</v>
      </c>
      <c r="V54" s="189">
        <v>1755346.28</v>
      </c>
      <c r="W54" s="189">
        <v>1360425.6</v>
      </c>
      <c r="X54" s="189">
        <v>868873.51</v>
      </c>
      <c r="Y54" s="189">
        <v>868873.51</v>
      </c>
      <c r="Z54" s="189">
        <v>868873.51</v>
      </c>
      <c r="AA54" s="189">
        <v>868873.51</v>
      </c>
      <c r="AB54" s="189">
        <v>4618186.3099999996</v>
      </c>
      <c r="AC54" s="189">
        <v>4618186.3099999996</v>
      </c>
      <c r="AD54" s="189">
        <v>3959809.39</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89194</v>
      </c>
      <c r="BT54" s="189">
        <v>0</v>
      </c>
      <c r="BU54" s="189">
        <v>0</v>
      </c>
      <c r="BV54" s="189">
        <v>0</v>
      </c>
      <c r="BW54" s="189">
        <v>0</v>
      </c>
      <c r="BX54" s="189">
        <v>0</v>
      </c>
      <c r="BY54" s="189">
        <v>0</v>
      </c>
      <c r="BZ54" s="189">
        <v>0</v>
      </c>
      <c r="CA54" s="189">
        <v>0</v>
      </c>
      <c r="CB54" s="189">
        <v>0</v>
      </c>
      <c r="CC54" s="189">
        <v>0</v>
      </c>
      <c r="CD54" s="189">
        <v>0</v>
      </c>
      <c r="CE54" s="189"/>
      <c r="CF54" s="189"/>
      <c r="CG54" s="189"/>
      <c r="CH54" s="189"/>
      <c r="CI54" s="189"/>
      <c r="CJ54" s="189"/>
      <c r="CK54" s="189"/>
      <c r="CL54" s="189"/>
    </row>
    <row r="55" spans="1:90" s="192" customFormat="1" x14ac:dyDescent="0.25">
      <c r="A55" s="192" t="s">
        <v>37</v>
      </c>
      <c r="B55" s="189">
        <v>0</v>
      </c>
      <c r="C55" s="189">
        <v>893413.43</v>
      </c>
      <c r="D55" s="189">
        <v>909214.56</v>
      </c>
      <c r="E55" s="189">
        <v>288961.94</v>
      </c>
      <c r="F55" s="189">
        <v>415003.29</v>
      </c>
      <c r="G55" s="189">
        <v>462889.13</v>
      </c>
      <c r="H55" s="189">
        <v>428414.15</v>
      </c>
      <c r="I55" s="189">
        <v>376757.14</v>
      </c>
      <c r="J55" s="189">
        <v>3915320.77</v>
      </c>
      <c r="K55" s="189">
        <v>547544.29</v>
      </c>
      <c r="L55" s="189">
        <v>29416.67</v>
      </c>
      <c r="M55" s="189">
        <v>77252.92</v>
      </c>
      <c r="N55" s="189">
        <v>116193.38</v>
      </c>
      <c r="O55" s="189">
        <v>104795.98</v>
      </c>
      <c r="P55" s="189">
        <v>588148.86</v>
      </c>
      <c r="Q55" s="189">
        <v>0</v>
      </c>
      <c r="R55" s="189">
        <v>16879528.420000002</v>
      </c>
      <c r="S55" s="189">
        <v>17486607.289999999</v>
      </c>
      <c r="T55" s="189">
        <v>3089634.06</v>
      </c>
      <c r="U55" s="189">
        <v>23060688.899999999</v>
      </c>
      <c r="V55" s="189">
        <v>1450865.12</v>
      </c>
      <c r="W55" s="189">
        <v>3030629.26</v>
      </c>
      <c r="X55" s="189">
        <v>16439.16</v>
      </c>
      <c r="Y55" s="189">
        <v>0</v>
      </c>
      <c r="Z55" s="189">
        <v>505169.2</v>
      </c>
      <c r="AA55" s="189">
        <v>254378.39</v>
      </c>
      <c r="AB55" s="189">
        <v>793603.03</v>
      </c>
      <c r="AC55" s="189">
        <v>0</v>
      </c>
      <c r="AD55" s="189">
        <v>3917205.74</v>
      </c>
      <c r="AE55" s="189">
        <v>20126.830000000002</v>
      </c>
      <c r="AF55" s="189">
        <v>-321275.59999999998</v>
      </c>
      <c r="AG55" s="189">
        <v>0</v>
      </c>
      <c r="AH55" s="189">
        <v>-77395.37</v>
      </c>
      <c r="AI55" s="189">
        <v>152293.06</v>
      </c>
      <c r="AJ55" s="189">
        <v>-3189.36</v>
      </c>
      <c r="AK55" s="189">
        <v>0</v>
      </c>
      <c r="AL55" s="189">
        <v>251869.68</v>
      </c>
      <c r="AM55" s="189">
        <v>284937.68</v>
      </c>
      <c r="AN55" s="189">
        <v>293896.46000000002</v>
      </c>
      <c r="AO55" s="189">
        <v>0</v>
      </c>
      <c r="AP55" s="189">
        <v>2010620.24</v>
      </c>
      <c r="AQ55" s="189">
        <v>1947340.32</v>
      </c>
      <c r="AR55" s="189">
        <v>2195635.52</v>
      </c>
      <c r="AS55" s="189">
        <v>0</v>
      </c>
      <c r="AT55" s="189">
        <v>321143.26</v>
      </c>
      <c r="AU55" s="189">
        <v>400255.66</v>
      </c>
      <c r="AV55" s="189">
        <v>152167.29</v>
      </c>
      <c r="AW55" s="189">
        <v>0</v>
      </c>
      <c r="AX55" s="189">
        <v>1347170.96</v>
      </c>
      <c r="AY55" s="189">
        <v>0</v>
      </c>
      <c r="AZ55" s="189">
        <v>431491.66</v>
      </c>
      <c r="BA55" s="189">
        <v>0</v>
      </c>
      <c r="BB55" s="189">
        <v>320852.43</v>
      </c>
      <c r="BC55" s="189">
        <v>-16338.42</v>
      </c>
      <c r="BD55" s="189">
        <v>78396.740000000005</v>
      </c>
      <c r="BE55" s="189">
        <v>0</v>
      </c>
      <c r="BF55" s="189">
        <v>711059.3</v>
      </c>
      <c r="BG55" s="189">
        <v>18337.099999999999</v>
      </c>
      <c r="BH55" s="189">
        <v>4818.46</v>
      </c>
      <c r="BI55" s="189">
        <v>0</v>
      </c>
      <c r="BJ55" s="189">
        <v>2469421.9900000002</v>
      </c>
      <c r="BK55" s="189">
        <v>3450286.61</v>
      </c>
      <c r="BL55" s="189">
        <v>308063.73</v>
      </c>
      <c r="BM55" s="189">
        <v>0</v>
      </c>
      <c r="BN55" s="189">
        <v>21704.28</v>
      </c>
      <c r="BO55" s="189">
        <v>14580.65</v>
      </c>
      <c r="BP55" s="189">
        <v>13860.65</v>
      </c>
      <c r="BQ55" s="189">
        <v>0</v>
      </c>
      <c r="BR55" s="189">
        <v>0</v>
      </c>
      <c r="BS55" s="189">
        <v>5459040.46</v>
      </c>
      <c r="BT55" s="189">
        <v>5534040.46</v>
      </c>
      <c r="BU55" s="189">
        <v>5531581.5599999996</v>
      </c>
      <c r="BV55" s="189">
        <v>0</v>
      </c>
      <c r="BW55" s="189">
        <v>0</v>
      </c>
      <c r="BX55" s="189">
        <v>153.43</v>
      </c>
      <c r="BY55" s="189">
        <v>0</v>
      </c>
      <c r="BZ55" s="189">
        <v>-32684.51</v>
      </c>
      <c r="CA55" s="189">
        <v>0</v>
      </c>
      <c r="CB55" s="189">
        <v>0</v>
      </c>
      <c r="CC55" s="189">
        <v>0</v>
      </c>
      <c r="CD55" s="189">
        <v>0</v>
      </c>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c r="CF57" s="189"/>
      <c r="CG57" s="189"/>
      <c r="CH57" s="189"/>
      <c r="CI57" s="189"/>
      <c r="CJ57" s="189"/>
      <c r="CK57" s="189"/>
      <c r="CL57" s="189"/>
    </row>
    <row r="58" spans="1:90" s="192" customFormat="1" x14ac:dyDescent="0.25">
      <c r="A58" s="192" t="s">
        <v>40</v>
      </c>
      <c r="B58" s="189">
        <v>409538513.31</v>
      </c>
      <c r="C58" s="189">
        <v>405011373.60000002</v>
      </c>
      <c r="D58" s="189">
        <v>405233901.17000002</v>
      </c>
      <c r="E58" s="189">
        <v>399362442.36000001</v>
      </c>
      <c r="F58" s="189">
        <v>401014121.88</v>
      </c>
      <c r="G58" s="189">
        <v>402106287.05000001</v>
      </c>
      <c r="H58" s="189">
        <v>403375212.81999999</v>
      </c>
      <c r="I58" s="189">
        <v>402445490.66000003</v>
      </c>
      <c r="J58" s="189">
        <v>405058608.17000002</v>
      </c>
      <c r="K58" s="189">
        <v>408260788.24000001</v>
      </c>
      <c r="L58" s="189">
        <v>410580251.26999998</v>
      </c>
      <c r="M58" s="189">
        <v>411690665.44999999</v>
      </c>
      <c r="N58" s="189">
        <v>413781641.51999998</v>
      </c>
      <c r="O58" s="189">
        <v>416329498.33999997</v>
      </c>
      <c r="P58" s="189">
        <v>418798824.29000002</v>
      </c>
      <c r="Q58" s="189">
        <v>421573592.33999997</v>
      </c>
      <c r="R58" s="189">
        <v>407530654.27999997</v>
      </c>
      <c r="S58" s="189">
        <v>289485867.45999998</v>
      </c>
      <c r="T58" s="189">
        <v>291516506.41000003</v>
      </c>
      <c r="U58" s="189">
        <v>293642157.83999997</v>
      </c>
      <c r="V58" s="189">
        <v>286159461.87</v>
      </c>
      <c r="W58" s="189">
        <v>286508406.24000001</v>
      </c>
      <c r="X58" s="189">
        <v>287842307.35000002</v>
      </c>
      <c r="Y58" s="189">
        <v>289762684.52999997</v>
      </c>
      <c r="Z58" s="189">
        <v>291861174.47000003</v>
      </c>
      <c r="AA58" s="189">
        <v>294151982.13</v>
      </c>
      <c r="AB58" s="189">
        <v>296216674.35000002</v>
      </c>
      <c r="AC58" s="189">
        <v>297477470.22000003</v>
      </c>
      <c r="AD58" s="189">
        <v>294440574.5</v>
      </c>
      <c r="AE58" s="189">
        <v>296094213.19</v>
      </c>
      <c r="AF58" s="189">
        <v>297864163.10000002</v>
      </c>
      <c r="AG58" s="189">
        <v>299598624.00999999</v>
      </c>
      <c r="AH58" s="189">
        <v>301379560.60000002</v>
      </c>
      <c r="AI58" s="189">
        <v>303567227.47000003</v>
      </c>
      <c r="AJ58" s="189">
        <v>305889251.11000001</v>
      </c>
      <c r="AK58" s="189">
        <v>308093817.98000002</v>
      </c>
      <c r="AL58" s="189">
        <v>310308703.5</v>
      </c>
      <c r="AM58" s="189">
        <v>312590026.97000003</v>
      </c>
      <c r="AN58" s="189">
        <v>60505086.25</v>
      </c>
      <c r="AO58" s="189">
        <v>60901622.469999999</v>
      </c>
      <c r="AP58" s="189">
        <v>61445140.880000003</v>
      </c>
      <c r="AQ58" s="189">
        <v>61813677.100000001</v>
      </c>
      <c r="AR58" s="189">
        <v>62091231.130000003</v>
      </c>
      <c r="AS58" s="189">
        <v>62487767.350000001</v>
      </c>
      <c r="AT58" s="189">
        <v>62884303.57</v>
      </c>
      <c r="AU58" s="189">
        <v>63280839.789999999</v>
      </c>
      <c r="AV58" s="189">
        <v>63677376.009999998</v>
      </c>
      <c r="AW58" s="189">
        <v>64073912.229999997</v>
      </c>
      <c r="AX58" s="189">
        <v>64470448.450000003</v>
      </c>
      <c r="AY58" s="189">
        <v>64866984.670000002</v>
      </c>
      <c r="AZ58" s="189">
        <v>65263520.890000001</v>
      </c>
      <c r="BA58" s="189">
        <v>65660057.109999999</v>
      </c>
      <c r="BB58" s="189">
        <v>66056593.329999998</v>
      </c>
      <c r="BC58" s="189">
        <v>66453129.549999997</v>
      </c>
      <c r="BD58" s="189">
        <v>66849665.770000003</v>
      </c>
      <c r="BE58" s="189">
        <v>67246201.989999995</v>
      </c>
      <c r="BF58" s="189">
        <v>67642738.209999993</v>
      </c>
      <c r="BG58" s="189">
        <v>68039274.430000007</v>
      </c>
      <c r="BH58" s="189">
        <v>68435812.170000002</v>
      </c>
      <c r="BI58" s="189">
        <v>68832346.870000005</v>
      </c>
      <c r="BJ58" s="189">
        <v>69228883.090000004</v>
      </c>
      <c r="BK58" s="189">
        <v>69625419.310000002</v>
      </c>
      <c r="BL58" s="189">
        <v>69900957.549999997</v>
      </c>
      <c r="BM58" s="189">
        <v>70298083.719999999</v>
      </c>
      <c r="BN58" s="189">
        <v>72597881.879999995</v>
      </c>
      <c r="BO58" s="189">
        <v>73034046.689999998</v>
      </c>
      <c r="BP58" s="189">
        <v>73098044.840000004</v>
      </c>
      <c r="BQ58" s="189">
        <v>73559143.010000005</v>
      </c>
      <c r="BR58" s="189">
        <v>0</v>
      </c>
      <c r="BS58" s="189">
        <v>73598684.810000002</v>
      </c>
      <c r="BT58" s="189">
        <v>74026010.75</v>
      </c>
      <c r="BU58" s="189">
        <v>58765770.75</v>
      </c>
      <c r="BV58" s="189">
        <v>59482506.689999998</v>
      </c>
      <c r="BW58" s="189">
        <v>58139409.280000001</v>
      </c>
      <c r="BX58" s="189">
        <v>65587064.039999999</v>
      </c>
      <c r="BY58" s="189">
        <v>66981120.990000002</v>
      </c>
      <c r="BZ58" s="189">
        <v>65983463.460000001</v>
      </c>
      <c r="CA58" s="189">
        <v>63478146.789999999</v>
      </c>
      <c r="CB58" s="189">
        <v>48623979.789999999</v>
      </c>
      <c r="CC58" s="189">
        <v>48623979.789999999</v>
      </c>
      <c r="CD58" s="189">
        <v>0</v>
      </c>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118000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c r="CF59" s="189"/>
      <c r="CG59" s="189"/>
      <c r="CH59" s="189"/>
      <c r="CI59" s="189"/>
      <c r="CJ59" s="189"/>
      <c r="CK59" s="189"/>
      <c r="CL59" s="189"/>
    </row>
    <row r="60" spans="1:90" s="192" customFormat="1" x14ac:dyDescent="0.25">
      <c r="A60" s="192" t="s">
        <v>42</v>
      </c>
      <c r="B60" s="189">
        <v>1621619.53</v>
      </c>
      <c r="C60" s="189">
        <v>1621619.53</v>
      </c>
      <c r="D60" s="189">
        <v>1621619.53</v>
      </c>
      <c r="E60" s="189">
        <v>1621619.53</v>
      </c>
      <c r="F60" s="189">
        <v>1621619.53</v>
      </c>
      <c r="G60" s="189">
        <v>1621619.53</v>
      </c>
      <c r="H60" s="189">
        <v>1621619.53</v>
      </c>
      <c r="I60" s="189">
        <v>1621619.53</v>
      </c>
      <c r="J60" s="189">
        <v>1621619.53</v>
      </c>
      <c r="K60" s="189">
        <v>1621619.53</v>
      </c>
      <c r="L60" s="189">
        <v>1621619.53</v>
      </c>
      <c r="M60" s="189">
        <v>1621619.53</v>
      </c>
      <c r="N60" s="189">
        <v>1621619.53</v>
      </c>
      <c r="O60" s="189">
        <v>1621619.53</v>
      </c>
      <c r="P60" s="189">
        <v>1621619.53</v>
      </c>
      <c r="Q60" s="189">
        <v>1621619.53</v>
      </c>
      <c r="R60" s="189">
        <v>1621619.53</v>
      </c>
      <c r="S60" s="189">
        <v>1621619.53</v>
      </c>
      <c r="T60" s="189">
        <v>1621619.53</v>
      </c>
      <c r="U60" s="189">
        <v>1621619.53</v>
      </c>
      <c r="V60" s="189">
        <v>1621619.53</v>
      </c>
      <c r="W60" s="189">
        <v>1621619.53</v>
      </c>
      <c r="X60" s="189">
        <v>1621619.53</v>
      </c>
      <c r="Y60" s="189">
        <v>1621619.53</v>
      </c>
      <c r="Z60" s="189">
        <v>1621619.53</v>
      </c>
      <c r="AA60" s="189">
        <v>1621619.53</v>
      </c>
      <c r="AB60" s="189">
        <v>1621619.53</v>
      </c>
      <c r="AC60" s="189">
        <v>1621619.53</v>
      </c>
      <c r="AD60" s="189">
        <v>1621619.53</v>
      </c>
      <c r="AE60" s="189">
        <v>1621619.53</v>
      </c>
      <c r="AF60" s="189">
        <v>1621619.53</v>
      </c>
      <c r="AG60" s="189">
        <v>1621619.53</v>
      </c>
      <c r="AH60" s="189">
        <v>1621619.53</v>
      </c>
      <c r="AI60" s="189">
        <v>1621619.53</v>
      </c>
      <c r="AJ60" s="189">
        <v>1621619.53</v>
      </c>
      <c r="AK60" s="189">
        <v>1621619.53</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c r="CF60" s="189"/>
      <c r="CG60" s="189"/>
      <c r="CH60" s="189"/>
      <c r="CI60" s="189"/>
      <c r="CJ60" s="189"/>
      <c r="CK60" s="189"/>
      <c r="CL60" s="189"/>
    </row>
    <row r="61" spans="1:90" s="192" customFormat="1" x14ac:dyDescent="0.25">
      <c r="A61" s="192" t="s">
        <v>43</v>
      </c>
      <c r="B61" s="189">
        <v>98248295.469999999</v>
      </c>
      <c r="C61" s="189">
        <v>112515295.45999999</v>
      </c>
      <c r="D61" s="189">
        <v>120670925.28</v>
      </c>
      <c r="E61" s="189">
        <v>131727256.62</v>
      </c>
      <c r="F61" s="189">
        <v>118149951.62</v>
      </c>
      <c r="G61" s="189">
        <v>125281603.20999999</v>
      </c>
      <c r="H61" s="189">
        <v>123455998.7</v>
      </c>
      <c r="I61" s="189">
        <v>125948144.17</v>
      </c>
      <c r="J61" s="189">
        <v>96525402.329999998</v>
      </c>
      <c r="K61" s="189">
        <v>96261860.170000002</v>
      </c>
      <c r="L61" s="189">
        <v>102748671.52</v>
      </c>
      <c r="M61" s="189">
        <v>88655857.090000004</v>
      </c>
      <c r="N61" s="189">
        <v>96448663.359999999</v>
      </c>
      <c r="O61" s="189">
        <v>81558733.780000001</v>
      </c>
      <c r="P61" s="189">
        <v>55458375.509999998</v>
      </c>
      <c r="Q61" s="189">
        <v>52451701.799999997</v>
      </c>
      <c r="R61" s="189">
        <v>47321964.009999998</v>
      </c>
      <c r="S61" s="189">
        <v>52857869.810000002</v>
      </c>
      <c r="T61" s="189">
        <v>57004033.350000001</v>
      </c>
      <c r="U61" s="189">
        <v>62472496.579999998</v>
      </c>
      <c r="V61" s="189">
        <v>62706969.280000001</v>
      </c>
      <c r="W61" s="189">
        <v>68217230.219999999</v>
      </c>
      <c r="X61" s="189">
        <v>76264499.430000007</v>
      </c>
      <c r="Y61" s="189">
        <v>74221410.430000007</v>
      </c>
      <c r="Z61" s="189">
        <v>51744500.789999999</v>
      </c>
      <c r="AA61" s="189">
        <v>50263338.350000001</v>
      </c>
      <c r="AB61" s="189">
        <v>51999371.619999997</v>
      </c>
      <c r="AC61" s="189">
        <v>48772420.079999998</v>
      </c>
      <c r="AD61" s="189">
        <v>55485489.719999999</v>
      </c>
      <c r="AE61" s="189">
        <v>54750990.350000001</v>
      </c>
      <c r="AF61" s="189">
        <v>63203725.390000001</v>
      </c>
      <c r="AG61" s="189">
        <v>70535041.769999996</v>
      </c>
      <c r="AH61" s="189">
        <v>63128855.079999998</v>
      </c>
      <c r="AI61" s="189">
        <v>54574209.359999999</v>
      </c>
      <c r="AJ61" s="189">
        <v>91036439.319999993</v>
      </c>
      <c r="AK61" s="189">
        <v>66356766.630000003</v>
      </c>
      <c r="AL61" s="189">
        <v>85968483.560000002</v>
      </c>
      <c r="AM61" s="189">
        <v>74647447.140000001</v>
      </c>
      <c r="AN61" s="189">
        <v>0</v>
      </c>
      <c r="AO61" s="189">
        <v>0</v>
      </c>
      <c r="AP61" s="189">
        <v>11031429.68</v>
      </c>
      <c r="AQ61" s="189">
        <v>11031429.68</v>
      </c>
      <c r="AR61" s="189">
        <v>0</v>
      </c>
      <c r="AS61" s="189">
        <v>0</v>
      </c>
      <c r="AT61" s="189">
        <v>1571037.88</v>
      </c>
      <c r="AU61" s="189">
        <v>1571037.88</v>
      </c>
      <c r="AV61" s="189">
        <v>955962.74</v>
      </c>
      <c r="AW61" s="189">
        <v>820470.57</v>
      </c>
      <c r="AX61" s="189">
        <v>306513.43</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c r="BW61" s="189">
        <v>0</v>
      </c>
      <c r="BX61" s="189">
        <v>0</v>
      </c>
      <c r="BY61" s="189">
        <v>0</v>
      </c>
      <c r="BZ61" s="189">
        <v>-22018374.600000001</v>
      </c>
      <c r="CA61" s="189">
        <v>0</v>
      </c>
      <c r="CB61" s="189">
        <v>0</v>
      </c>
      <c r="CC61" s="189">
        <v>0</v>
      </c>
      <c r="CD61" s="189">
        <v>0</v>
      </c>
      <c r="CE61" s="189"/>
      <c r="CF61" s="189"/>
      <c r="CG61" s="189"/>
      <c r="CH61" s="189"/>
      <c r="CI61" s="189"/>
      <c r="CJ61" s="189"/>
      <c r="CK61" s="189"/>
      <c r="CL61" s="189"/>
    </row>
    <row r="62" spans="1:90" s="192" customFormat="1" x14ac:dyDescent="0.25">
      <c r="A62" s="192" t="s">
        <v>44</v>
      </c>
      <c r="B62" s="189">
        <v>1040482867.13</v>
      </c>
      <c r="C62" s="189">
        <v>1036875258.38</v>
      </c>
      <c r="D62" s="189">
        <v>682568492.45000005</v>
      </c>
      <c r="E62" s="189">
        <v>679873063.75</v>
      </c>
      <c r="F62" s="189">
        <v>620993168.41999996</v>
      </c>
      <c r="G62" s="189">
        <v>618709496.92999995</v>
      </c>
      <c r="H62" s="189">
        <v>622896896.25999999</v>
      </c>
      <c r="I62" s="189">
        <v>617996843.13</v>
      </c>
      <c r="J62" s="189">
        <v>675871507.95000005</v>
      </c>
      <c r="K62" s="189">
        <v>682999347.13999999</v>
      </c>
      <c r="L62" s="189">
        <v>614806961.21000004</v>
      </c>
      <c r="M62" s="189">
        <v>639980604.64999998</v>
      </c>
      <c r="N62" s="189">
        <v>432266396.35000002</v>
      </c>
      <c r="O62" s="189">
        <v>471621586.19</v>
      </c>
      <c r="P62" s="189">
        <v>484803224.08999997</v>
      </c>
      <c r="Q62" s="189">
        <v>503061914.86000001</v>
      </c>
      <c r="R62" s="189">
        <v>424816869.47000003</v>
      </c>
      <c r="S62" s="189">
        <v>464592876.10000002</v>
      </c>
      <c r="T62" s="189">
        <v>508801393.82999998</v>
      </c>
      <c r="U62" s="189">
        <v>578932509.05999994</v>
      </c>
      <c r="V62" s="189">
        <v>560767802.94000006</v>
      </c>
      <c r="W62" s="189">
        <v>596433478.84000003</v>
      </c>
      <c r="X62" s="189">
        <v>485655212.66000003</v>
      </c>
      <c r="Y62" s="189">
        <v>485655212.66000003</v>
      </c>
      <c r="Z62" s="189">
        <v>170777709.03999999</v>
      </c>
      <c r="AA62" s="189">
        <v>141785901.94999999</v>
      </c>
      <c r="AB62" s="189">
        <v>16785901.949999999</v>
      </c>
      <c r="AC62" s="189">
        <v>16785901.949999999</v>
      </c>
      <c r="AD62" s="189">
        <v>11530479.92</v>
      </c>
      <c r="AE62" s="189">
        <v>11530479.92</v>
      </c>
      <c r="AF62" s="189">
        <v>11405479.92</v>
      </c>
      <c r="AG62" s="189">
        <v>11405479.92</v>
      </c>
      <c r="AH62" s="189">
        <v>5737024.5300000003</v>
      </c>
      <c r="AI62" s="189">
        <v>5737024.5300000003</v>
      </c>
      <c r="AJ62" s="189">
        <v>9795813.5700000003</v>
      </c>
      <c r="AK62" s="189">
        <v>5737024.5300000003</v>
      </c>
      <c r="AL62" s="189">
        <v>4392036.46</v>
      </c>
      <c r="AM62" s="189">
        <v>4392036.46</v>
      </c>
      <c r="AN62" s="189">
        <v>4392036.46</v>
      </c>
      <c r="AO62" s="189">
        <v>4392036.46</v>
      </c>
      <c r="AP62" s="189">
        <v>4576563.1399999997</v>
      </c>
      <c r="AQ62" s="189">
        <v>4576563.1399999997</v>
      </c>
      <c r="AR62" s="189">
        <v>5273199.54</v>
      </c>
      <c r="AS62" s="189">
        <v>5324118.0199999996</v>
      </c>
      <c r="AT62" s="189">
        <v>5856404.9299999997</v>
      </c>
      <c r="AU62" s="189">
        <v>5836543.5300000003</v>
      </c>
      <c r="AV62" s="189">
        <v>5840564.8300000001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c r="CF62" s="189"/>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1437813.12</v>
      </c>
      <c r="Y63" s="189">
        <v>1731506.96</v>
      </c>
      <c r="Z63" s="189">
        <v>803421.28</v>
      </c>
      <c r="AA63" s="189">
        <v>1054171.6000000001</v>
      </c>
      <c r="AB63" s="189">
        <v>1406781.76</v>
      </c>
      <c r="AC63" s="189">
        <v>1538490.4</v>
      </c>
      <c r="AD63" s="189">
        <v>1418973.68</v>
      </c>
      <c r="AE63" s="189">
        <v>2127254</v>
      </c>
      <c r="AF63" s="189">
        <v>2593201.44</v>
      </c>
      <c r="AG63" s="189">
        <v>2152565.08</v>
      </c>
      <c r="AH63" s="189">
        <v>2154568.16</v>
      </c>
      <c r="AI63" s="189">
        <v>2159192.08</v>
      </c>
      <c r="AJ63" s="189">
        <v>3428369.52</v>
      </c>
      <c r="AK63" s="189">
        <v>3880421.16</v>
      </c>
      <c r="AL63" s="189">
        <v>0</v>
      </c>
      <c r="AM63" s="189">
        <v>0</v>
      </c>
      <c r="AN63" s="189">
        <v>0</v>
      </c>
      <c r="AO63" s="189">
        <v>0</v>
      </c>
      <c r="AP63" s="189">
        <v>0</v>
      </c>
      <c r="AQ63" s="189">
        <v>0</v>
      </c>
      <c r="AR63" s="189">
        <v>0</v>
      </c>
      <c r="AS63" s="189">
        <v>0</v>
      </c>
      <c r="AT63" s="189">
        <v>2666997.58</v>
      </c>
      <c r="AU63" s="189">
        <v>2685258.13</v>
      </c>
      <c r="AV63" s="189">
        <v>2811819.73</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c r="CF63" s="189"/>
      <c r="CG63" s="189"/>
      <c r="CH63" s="189"/>
      <c r="CI63" s="189"/>
      <c r="CJ63" s="189"/>
      <c r="CK63" s="189"/>
      <c r="CL63" s="189"/>
    </row>
    <row r="64" spans="1:90" s="192" customFormat="1" x14ac:dyDescent="0.25">
      <c r="A64" s="192" t="s">
        <v>46</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v>0</v>
      </c>
      <c r="BY64" s="189">
        <v>0</v>
      </c>
      <c r="BZ64" s="189">
        <v>0</v>
      </c>
      <c r="CA64" s="189">
        <v>0</v>
      </c>
      <c r="CB64" s="189">
        <v>0</v>
      </c>
      <c r="CC64" s="189">
        <v>0</v>
      </c>
      <c r="CD64" s="189">
        <v>0</v>
      </c>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7140577648.7800007</v>
      </c>
      <c r="C68" s="36">
        <f t="shared" ref="C68:BN68" si="8">SUM(C52:C64)-2*C63</f>
        <v>7190998982.8699999</v>
      </c>
      <c r="D68" s="36">
        <f t="shared" si="8"/>
        <v>6884155371.5599995</v>
      </c>
      <c r="E68" s="36">
        <f t="shared" si="8"/>
        <v>6778871599.6899986</v>
      </c>
      <c r="F68" s="36">
        <f t="shared" si="8"/>
        <v>6715611960.5299997</v>
      </c>
      <c r="G68" s="36">
        <f t="shared" si="8"/>
        <v>6784689898.7400007</v>
      </c>
      <c r="H68" s="36">
        <f t="shared" si="8"/>
        <v>6859753984.4599991</v>
      </c>
      <c r="I68" s="36">
        <f t="shared" si="8"/>
        <v>6874023417.1199999</v>
      </c>
      <c r="J68" s="36">
        <f t="shared" si="8"/>
        <v>6940278660.5100002</v>
      </c>
      <c r="K68" s="36">
        <f t="shared" si="8"/>
        <v>7021686346.3999996</v>
      </c>
      <c r="L68" s="36">
        <f t="shared" si="8"/>
        <v>6996079384.1000004</v>
      </c>
      <c r="M68" s="36">
        <f t="shared" si="8"/>
        <v>7046014251.8400002</v>
      </c>
      <c r="N68" s="36">
        <f t="shared" si="8"/>
        <v>6908879331.5699997</v>
      </c>
      <c r="O68" s="36">
        <f t="shared" si="8"/>
        <v>6985413545.8999987</v>
      </c>
      <c r="P68" s="36">
        <f t="shared" si="8"/>
        <v>6983588637.25</v>
      </c>
      <c r="Q68" s="36">
        <f t="shared" si="8"/>
        <v>7039724818.9099989</v>
      </c>
      <c r="R68" s="36">
        <f t="shared" si="8"/>
        <v>7002405181.75</v>
      </c>
      <c r="S68" s="36">
        <f t="shared" si="8"/>
        <v>6820899564.5900002</v>
      </c>
      <c r="T68" s="36">
        <f t="shared" si="8"/>
        <v>6901976847.3200006</v>
      </c>
      <c r="U68" s="36">
        <f t="shared" si="8"/>
        <v>7066704676.829998</v>
      </c>
      <c r="V68" s="36">
        <f t="shared" si="8"/>
        <v>7094177756.0999985</v>
      </c>
      <c r="W68" s="36">
        <f t="shared" si="8"/>
        <v>7193202910.4400005</v>
      </c>
      <c r="X68" s="36">
        <f t="shared" si="8"/>
        <v>7189556636.1800003</v>
      </c>
      <c r="Y68" s="36">
        <f t="shared" si="8"/>
        <v>7203220050.0099993</v>
      </c>
      <c r="Z68" s="36">
        <f t="shared" si="8"/>
        <v>6981171616.2199993</v>
      </c>
      <c r="AA68" s="36">
        <f t="shared" si="8"/>
        <v>7062837180.7000017</v>
      </c>
      <c r="AB68" s="36">
        <f t="shared" si="8"/>
        <v>7056789893.3599997</v>
      </c>
      <c r="AC68" s="36">
        <f t="shared" si="8"/>
        <v>7060285622.9699993</v>
      </c>
      <c r="AD68" s="36">
        <f t="shared" si="8"/>
        <v>7088147675.0400009</v>
      </c>
      <c r="AE68" s="36">
        <f t="shared" si="8"/>
        <v>7173637315.2600002</v>
      </c>
      <c r="AF68" s="36">
        <f t="shared" si="8"/>
        <v>7186965955.3099995</v>
      </c>
      <c r="AG68" s="36">
        <f t="shared" si="8"/>
        <v>7269109011.6599998</v>
      </c>
      <c r="AH68" s="36">
        <f t="shared" si="8"/>
        <v>7322128848.5600004</v>
      </c>
      <c r="AI68" s="36">
        <f t="shared" si="8"/>
        <v>7403218338.21</v>
      </c>
      <c r="AJ68" s="36">
        <f t="shared" si="8"/>
        <v>7484039969.21</v>
      </c>
      <c r="AK68" s="36">
        <f t="shared" si="8"/>
        <v>7532314374.5600004</v>
      </c>
      <c r="AL68" s="36">
        <f t="shared" si="8"/>
        <v>7582045568.7000008</v>
      </c>
      <c r="AM68" s="36">
        <f t="shared" si="8"/>
        <v>7681819745.8400011</v>
      </c>
      <c r="AN68" s="36">
        <f t="shared" si="8"/>
        <v>4722546093.6300001</v>
      </c>
      <c r="AO68" s="36">
        <f t="shared" si="8"/>
        <v>4727398400.9000006</v>
      </c>
      <c r="AP68" s="36">
        <f t="shared" si="8"/>
        <v>4816717622.0800009</v>
      </c>
      <c r="AQ68" s="36">
        <f t="shared" si="8"/>
        <v>4920537432.3300009</v>
      </c>
      <c r="AR68" s="36">
        <f t="shared" si="8"/>
        <v>4957199221.7200012</v>
      </c>
      <c r="AS68" s="36">
        <f t="shared" si="8"/>
        <v>5061367999.4700003</v>
      </c>
      <c r="AT68" s="36">
        <f t="shared" si="8"/>
        <v>5093410589.7600002</v>
      </c>
      <c r="AU68" s="36">
        <f t="shared" si="8"/>
        <v>5139890812.9499998</v>
      </c>
      <c r="AV68" s="36">
        <f t="shared" si="8"/>
        <v>5200539178.9399996</v>
      </c>
      <c r="AW68" s="36">
        <f t="shared" si="8"/>
        <v>5276977458.4399996</v>
      </c>
      <c r="AX68" s="36">
        <f t="shared" si="8"/>
        <v>5386206715.8500004</v>
      </c>
      <c r="AY68" s="36">
        <f t="shared" si="8"/>
        <v>5450521183.1300001</v>
      </c>
      <c r="AZ68" s="36">
        <f t="shared" si="8"/>
        <v>5367462942.3500004</v>
      </c>
      <c r="BA68" s="36">
        <f t="shared" si="8"/>
        <v>5474203324.3399992</v>
      </c>
      <c r="BB68" s="36">
        <f t="shared" si="8"/>
        <v>5547290870.3299999</v>
      </c>
      <c r="BC68" s="36">
        <f t="shared" si="8"/>
        <v>5665707298.6499996</v>
      </c>
      <c r="BD68" s="36">
        <f t="shared" si="8"/>
        <v>5766176653.5100002</v>
      </c>
      <c r="BE68" s="36">
        <f t="shared" si="8"/>
        <v>5837566247.29</v>
      </c>
      <c r="BF68" s="36">
        <f t="shared" si="8"/>
        <v>5426340103.3800001</v>
      </c>
      <c r="BG68" s="36">
        <f t="shared" si="8"/>
        <v>5516225465.3800001</v>
      </c>
      <c r="BH68" s="36">
        <f t="shared" si="8"/>
        <v>5584384446.9799995</v>
      </c>
      <c r="BI68" s="36">
        <f t="shared" si="8"/>
        <v>5584130250.7199993</v>
      </c>
      <c r="BJ68" s="36">
        <f t="shared" si="8"/>
        <v>5171579007.8500004</v>
      </c>
      <c r="BK68" s="36">
        <f t="shared" si="8"/>
        <v>4539878691.6599998</v>
      </c>
      <c r="BL68" s="36">
        <f t="shared" si="8"/>
        <v>4474983135.0500002</v>
      </c>
      <c r="BM68" s="36">
        <f t="shared" si="8"/>
        <v>4517119929.7700005</v>
      </c>
      <c r="BN68" s="36">
        <f t="shared" si="8"/>
        <v>3617218795.6000004</v>
      </c>
      <c r="BO68" s="36">
        <f t="shared" ref="BO68:CK68" si="9">SUM(BO52:BO64)-2*BO63</f>
        <v>3681336420.0500002</v>
      </c>
      <c r="BP68" s="36">
        <f t="shared" si="9"/>
        <v>3519981336.8200002</v>
      </c>
      <c r="BQ68" s="36">
        <f t="shared" si="9"/>
        <v>3554877056.6000004</v>
      </c>
      <c r="BR68" s="36">
        <f t="shared" si="9"/>
        <v>0</v>
      </c>
      <c r="BS68" s="36">
        <f t="shared" si="9"/>
        <v>3535258925.1199999</v>
      </c>
      <c r="BT68" s="36">
        <f t="shared" si="9"/>
        <v>1781128379.5599999</v>
      </c>
      <c r="BU68" s="36">
        <f t="shared" si="9"/>
        <v>1660008775.1100001</v>
      </c>
      <c r="BV68" s="36">
        <f t="shared" si="9"/>
        <v>1679896127.0300002</v>
      </c>
      <c r="BW68" s="36">
        <f t="shared" si="9"/>
        <v>1351335368.26</v>
      </c>
      <c r="BX68" s="36">
        <f t="shared" si="9"/>
        <v>863141638.28999996</v>
      </c>
      <c r="BY68" s="36">
        <f t="shared" si="9"/>
        <v>889088276.57000005</v>
      </c>
      <c r="BZ68" s="36">
        <f t="shared" si="9"/>
        <v>773080474.13999999</v>
      </c>
      <c r="CA68" s="36">
        <f t="shared" si="9"/>
        <v>288991911.69</v>
      </c>
      <c r="CB68" s="36">
        <f t="shared" si="9"/>
        <v>271521353.76999998</v>
      </c>
      <c r="CC68" s="36">
        <f t="shared" si="9"/>
        <v>207085363.92999998</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24031507370.43</v>
      </c>
      <c r="C69" s="33">
        <f t="shared" ref="C69:BN69" si="10">C50+C68</f>
        <v>19357533974.68</v>
      </c>
      <c r="D69" s="33">
        <f t="shared" si="10"/>
        <v>15484307904.910002</v>
      </c>
      <c r="E69" s="33">
        <f t="shared" si="10"/>
        <v>12605331807.880001</v>
      </c>
      <c r="F69" s="33">
        <f t="shared" si="10"/>
        <v>13275905758.220001</v>
      </c>
      <c r="G69" s="33">
        <f t="shared" si="10"/>
        <v>13870493619.020004</v>
      </c>
      <c r="H69" s="33">
        <f t="shared" si="10"/>
        <v>14008986037.210001</v>
      </c>
      <c r="I69" s="33">
        <f t="shared" si="10"/>
        <v>12140079128.939999</v>
      </c>
      <c r="J69" s="33">
        <f t="shared" si="10"/>
        <v>11524144247.799999</v>
      </c>
      <c r="K69" s="33">
        <f t="shared" si="10"/>
        <v>16440020210.600004</v>
      </c>
      <c r="L69" s="33">
        <f t="shared" si="10"/>
        <v>19030459354.450001</v>
      </c>
      <c r="M69" s="33">
        <f t="shared" si="10"/>
        <v>16669250080.91</v>
      </c>
      <c r="N69" s="33">
        <f t="shared" si="10"/>
        <v>16069334786.140001</v>
      </c>
      <c r="O69" s="33">
        <f t="shared" si="10"/>
        <v>17231777173.489998</v>
      </c>
      <c r="P69" s="33">
        <f t="shared" si="10"/>
        <v>17285930775.439999</v>
      </c>
      <c r="Q69" s="33">
        <f t="shared" si="10"/>
        <v>16866509816.399998</v>
      </c>
      <c r="R69" s="33">
        <f t="shared" si="10"/>
        <v>17129633546.33</v>
      </c>
      <c r="S69" s="33">
        <f t="shared" si="10"/>
        <v>17029959858.769999</v>
      </c>
      <c r="T69" s="33">
        <f t="shared" si="10"/>
        <v>15906870409.25</v>
      </c>
      <c r="U69" s="33">
        <f t="shared" si="10"/>
        <v>10847627705.009998</v>
      </c>
      <c r="V69" s="33">
        <f t="shared" si="10"/>
        <v>10848888235.609997</v>
      </c>
      <c r="W69" s="33">
        <f t="shared" si="10"/>
        <v>8212177505.0699997</v>
      </c>
      <c r="X69" s="33">
        <f t="shared" si="10"/>
        <v>6265494269.0499992</v>
      </c>
      <c r="Y69" s="33">
        <f t="shared" si="10"/>
        <v>3498398512.0099974</v>
      </c>
      <c r="Z69" s="33">
        <f t="shared" si="10"/>
        <v>3350248167.1699982</v>
      </c>
      <c r="AA69" s="33">
        <f t="shared" si="10"/>
        <v>3098511619.1899996</v>
      </c>
      <c r="AB69" s="33">
        <f t="shared" si="10"/>
        <v>3310242302.1500006</v>
      </c>
      <c r="AC69" s="33">
        <f t="shared" si="10"/>
        <v>1673928211.5599995</v>
      </c>
      <c r="AD69" s="33">
        <f t="shared" si="10"/>
        <v>3019842900.3100014</v>
      </c>
      <c r="AE69" s="33">
        <f t="shared" si="10"/>
        <v>2778141195.8099985</v>
      </c>
      <c r="AF69" s="33">
        <f t="shared" si="10"/>
        <v>4444141983.04</v>
      </c>
      <c r="AG69" s="33">
        <f t="shared" si="10"/>
        <v>4480834239.25</v>
      </c>
      <c r="AH69" s="33">
        <f t="shared" si="10"/>
        <v>6023913721.7299995</v>
      </c>
      <c r="AI69" s="33">
        <f t="shared" si="10"/>
        <v>6385481454.6199999</v>
      </c>
      <c r="AJ69" s="33">
        <f t="shared" si="10"/>
        <v>6591573906.0100002</v>
      </c>
      <c r="AK69" s="33">
        <f t="shared" si="10"/>
        <v>7175477537.1200008</v>
      </c>
      <c r="AL69" s="33">
        <f t="shared" si="10"/>
        <v>7057585960.0100002</v>
      </c>
      <c r="AM69" s="33">
        <f t="shared" si="10"/>
        <v>7992954874.8000011</v>
      </c>
      <c r="AN69" s="33">
        <f t="shared" si="10"/>
        <v>5579292833.25</v>
      </c>
      <c r="AO69" s="33">
        <f t="shared" si="10"/>
        <v>5442164892.6500006</v>
      </c>
      <c r="AP69" s="33">
        <f t="shared" si="10"/>
        <v>5356545880.5900011</v>
      </c>
      <c r="AQ69" s="33">
        <f t="shared" si="10"/>
        <v>5667754981.6400013</v>
      </c>
      <c r="AR69" s="33">
        <f t="shared" si="10"/>
        <v>5372111109.0000019</v>
      </c>
      <c r="AS69" s="33">
        <f t="shared" si="10"/>
        <v>5490273073.0699997</v>
      </c>
      <c r="AT69" s="33">
        <f t="shared" si="10"/>
        <v>4837386747.6099997</v>
      </c>
      <c r="AU69" s="33">
        <f t="shared" si="10"/>
        <v>5056150634.8699999</v>
      </c>
      <c r="AV69" s="33">
        <f t="shared" si="10"/>
        <v>5195864351.9399996</v>
      </c>
      <c r="AW69" s="33">
        <f t="shared" si="10"/>
        <v>5608773923.1499996</v>
      </c>
      <c r="AX69" s="33">
        <f t="shared" si="10"/>
        <v>5588582156.2700005</v>
      </c>
      <c r="AY69" s="33">
        <f t="shared" si="10"/>
        <v>5636262383.2399998</v>
      </c>
      <c r="AZ69" s="33">
        <f t="shared" si="10"/>
        <v>5292858793.4200001</v>
      </c>
      <c r="BA69" s="33">
        <f t="shared" si="10"/>
        <v>5513196469.0899992</v>
      </c>
      <c r="BB69" s="33">
        <f t="shared" si="10"/>
        <v>5880141325.6700001</v>
      </c>
      <c r="BC69" s="33">
        <f t="shared" si="10"/>
        <v>5777021677.2699995</v>
      </c>
      <c r="BD69" s="33">
        <f t="shared" si="10"/>
        <v>5862421501.5100002</v>
      </c>
      <c r="BE69" s="33">
        <f t="shared" si="10"/>
        <v>5798381628.5500002</v>
      </c>
      <c r="BF69" s="33">
        <f t="shared" si="10"/>
        <v>5052105469.75</v>
      </c>
      <c r="BG69" s="33">
        <f t="shared" si="10"/>
        <v>5065381911.2299995</v>
      </c>
      <c r="BH69" s="33">
        <f t="shared" si="10"/>
        <v>4596576413.9399996</v>
      </c>
      <c r="BI69" s="33">
        <f t="shared" si="10"/>
        <v>5094894183.0299988</v>
      </c>
      <c r="BJ69" s="33">
        <f t="shared" si="10"/>
        <v>4679398433.9300003</v>
      </c>
      <c r="BK69" s="33">
        <f t="shared" si="10"/>
        <v>4228482264.3299999</v>
      </c>
      <c r="BL69" s="33">
        <f t="shared" si="10"/>
        <v>4181629041.0600004</v>
      </c>
      <c r="BM69" s="33">
        <f t="shared" si="10"/>
        <v>4071653381.2200003</v>
      </c>
      <c r="BN69" s="33">
        <f t="shared" si="10"/>
        <v>3768827919.9800005</v>
      </c>
      <c r="BO69" s="33">
        <f t="shared" ref="BO69:CL69" si="11">BO50+BO68</f>
        <v>3456589838.1000004</v>
      </c>
      <c r="BP69" s="33">
        <f t="shared" si="11"/>
        <v>3300113312.29</v>
      </c>
      <c r="BQ69" s="33">
        <f t="shared" si="11"/>
        <v>3237266118.6400003</v>
      </c>
      <c r="BR69" s="33">
        <f t="shared" si="11"/>
        <v>0</v>
      </c>
      <c r="BS69" s="33">
        <f t="shared" si="11"/>
        <v>3052079531.7399998</v>
      </c>
      <c r="BT69" s="33">
        <f t="shared" si="11"/>
        <v>1987938852.9200001</v>
      </c>
      <c r="BU69" s="33">
        <f t="shared" si="11"/>
        <v>1510554788.22</v>
      </c>
      <c r="BV69" s="33">
        <f t="shared" si="11"/>
        <v>2446104959.1300006</v>
      </c>
      <c r="BW69" s="33">
        <f t="shared" si="11"/>
        <v>1335220854.1500003</v>
      </c>
      <c r="BX69" s="33">
        <f t="shared" si="11"/>
        <v>971228854.25999999</v>
      </c>
      <c r="BY69" s="33">
        <f t="shared" si="11"/>
        <v>976112987.00000012</v>
      </c>
      <c r="BZ69" s="33">
        <f t="shared" si="11"/>
        <v>947921933.65999997</v>
      </c>
      <c r="CA69" s="33">
        <f t="shared" si="11"/>
        <v>296891322.03000003</v>
      </c>
      <c r="CB69" s="33">
        <f t="shared" si="11"/>
        <v>394306982.40000004</v>
      </c>
      <c r="CC69" s="33">
        <f t="shared" si="11"/>
        <v>478759163.12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65557193095.209999</v>
      </c>
      <c r="C70" s="37">
        <f t="shared" ref="C70:BN70" si="12">C17+C19+C69</f>
        <v>63594226957.409996</v>
      </c>
      <c r="D70" s="37">
        <f t="shared" si="12"/>
        <v>59888294737.25</v>
      </c>
      <c r="E70" s="37">
        <f t="shared" si="12"/>
        <v>54674325649.179993</v>
      </c>
      <c r="F70" s="37">
        <f t="shared" si="12"/>
        <v>51853331585.639999</v>
      </c>
      <c r="G70" s="37">
        <f t="shared" si="12"/>
        <v>49979299121.460007</v>
      </c>
      <c r="H70" s="37">
        <f t="shared" si="12"/>
        <v>51945064294.689995</v>
      </c>
      <c r="I70" s="37">
        <f t="shared" si="12"/>
        <v>48205859209.699997</v>
      </c>
      <c r="J70" s="37">
        <f t="shared" si="12"/>
        <v>46515855681.759995</v>
      </c>
      <c r="K70" s="37">
        <f t="shared" si="12"/>
        <v>48371837840.32</v>
      </c>
      <c r="L70" s="37">
        <f t="shared" si="12"/>
        <v>47353491345.199997</v>
      </c>
      <c r="M70" s="37">
        <f t="shared" si="12"/>
        <v>44345160962.550003</v>
      </c>
      <c r="N70" s="37">
        <f t="shared" si="12"/>
        <v>42712787155.93</v>
      </c>
      <c r="O70" s="37">
        <f t="shared" si="12"/>
        <v>41336880302.610001</v>
      </c>
      <c r="P70" s="37">
        <f t="shared" si="12"/>
        <v>42628003702.759995</v>
      </c>
      <c r="Q70" s="37">
        <f t="shared" si="12"/>
        <v>40334080446.080002</v>
      </c>
      <c r="R70" s="37">
        <f t="shared" si="12"/>
        <v>39103579805.080002</v>
      </c>
      <c r="S70" s="37">
        <f t="shared" si="12"/>
        <v>38252008206.360001</v>
      </c>
      <c r="T70" s="37">
        <f t="shared" si="12"/>
        <v>39820487155.739998</v>
      </c>
      <c r="U70" s="37">
        <f t="shared" si="12"/>
        <v>37086897320.149994</v>
      </c>
      <c r="V70" s="37">
        <f t="shared" si="12"/>
        <v>35994179158.279999</v>
      </c>
      <c r="W70" s="37">
        <f t="shared" si="12"/>
        <v>34550289130.93</v>
      </c>
      <c r="X70" s="37">
        <f t="shared" si="12"/>
        <v>35656179783.989998</v>
      </c>
      <c r="Y70" s="37">
        <f t="shared" si="12"/>
        <v>31901428321.359997</v>
      </c>
      <c r="Z70" s="37">
        <f t="shared" si="12"/>
        <v>29679581790.739998</v>
      </c>
      <c r="AA70" s="37">
        <f t="shared" si="12"/>
        <v>26799821241.939999</v>
      </c>
      <c r="AB70" s="37">
        <f t="shared" si="12"/>
        <v>26626449399.960003</v>
      </c>
      <c r="AC70" s="37">
        <f t="shared" si="12"/>
        <v>23669871508.510002</v>
      </c>
      <c r="AD70" s="37">
        <f t="shared" si="12"/>
        <v>22331081146.789997</v>
      </c>
      <c r="AE70" s="37">
        <f t="shared" si="12"/>
        <v>21186549463.729996</v>
      </c>
      <c r="AF70" s="37">
        <f t="shared" si="12"/>
        <v>20729673722.529999</v>
      </c>
      <c r="AG70" s="37">
        <f t="shared" si="12"/>
        <v>18732288129.940002</v>
      </c>
      <c r="AH70" s="37">
        <f t="shared" si="12"/>
        <v>17603043970.790001</v>
      </c>
      <c r="AI70" s="37">
        <f t="shared" si="12"/>
        <v>16423410822.220001</v>
      </c>
      <c r="AJ70" s="37">
        <f t="shared" si="12"/>
        <v>16203070282.960001</v>
      </c>
      <c r="AK70" s="37">
        <f t="shared" si="12"/>
        <v>14802088134.84</v>
      </c>
      <c r="AL70" s="37">
        <f t="shared" si="12"/>
        <v>13658846653.6</v>
      </c>
      <c r="AM70" s="37">
        <f t="shared" si="12"/>
        <v>12886039184.620001</v>
      </c>
      <c r="AN70" s="37">
        <f t="shared" si="12"/>
        <v>12725217105.43</v>
      </c>
      <c r="AO70" s="37">
        <f t="shared" si="12"/>
        <v>11455936876.720001</v>
      </c>
      <c r="AP70" s="37">
        <f t="shared" si="12"/>
        <v>11230323337.110001</v>
      </c>
      <c r="AQ70" s="37">
        <f t="shared" si="12"/>
        <v>10934383750.470001</v>
      </c>
      <c r="AR70" s="37">
        <f t="shared" si="12"/>
        <v>10641944677.480003</v>
      </c>
      <c r="AS70" s="37">
        <f t="shared" si="12"/>
        <v>9628736984.1700001</v>
      </c>
      <c r="AT70" s="37">
        <f t="shared" si="12"/>
        <v>9588088152.4899998</v>
      </c>
      <c r="AU70" s="37">
        <f t="shared" si="12"/>
        <v>9406515150.3199997</v>
      </c>
      <c r="AV70" s="37">
        <f t="shared" si="12"/>
        <v>9054149388.7700005</v>
      </c>
      <c r="AW70" s="37">
        <f t="shared" si="12"/>
        <v>8454013513.0900002</v>
      </c>
      <c r="AX70" s="37">
        <f t="shared" si="12"/>
        <v>8302602924.9300003</v>
      </c>
      <c r="AY70" s="37">
        <f t="shared" si="12"/>
        <v>8137249006.1499996</v>
      </c>
      <c r="AZ70" s="37">
        <f t="shared" si="12"/>
        <v>8087986067.2200003</v>
      </c>
      <c r="BA70" s="37">
        <f t="shared" si="12"/>
        <v>7524846522.0499992</v>
      </c>
      <c r="BB70" s="37">
        <f t="shared" si="12"/>
        <v>7491105713.3600006</v>
      </c>
      <c r="BC70" s="37">
        <f t="shared" si="12"/>
        <v>7302278404.539999</v>
      </c>
      <c r="BD70" s="37">
        <f t="shared" si="12"/>
        <v>7121037037.6599998</v>
      </c>
      <c r="BE70" s="37">
        <f t="shared" si="12"/>
        <v>6691200231.8800001</v>
      </c>
      <c r="BF70" s="37">
        <f t="shared" si="12"/>
        <v>6533206566.6700001</v>
      </c>
      <c r="BG70" s="37">
        <f t="shared" si="12"/>
        <v>6385670190.0599995</v>
      </c>
      <c r="BH70" s="37">
        <f t="shared" si="12"/>
        <v>6500576882.1899996</v>
      </c>
      <c r="BI70" s="37">
        <f t="shared" si="12"/>
        <v>6104836727.7099991</v>
      </c>
      <c r="BJ70" s="37">
        <f t="shared" si="12"/>
        <v>5958708261.8600006</v>
      </c>
      <c r="BK70" s="37">
        <f t="shared" si="12"/>
        <v>5795670354.5</v>
      </c>
      <c r="BL70" s="37">
        <f t="shared" si="12"/>
        <v>5742317997.710001</v>
      </c>
      <c r="BM70" s="37">
        <f t="shared" si="12"/>
        <v>5416963620.2399998</v>
      </c>
      <c r="BN70" s="37">
        <f t="shared" si="12"/>
        <v>5395359334.4400005</v>
      </c>
      <c r="BO70" s="37">
        <f t="shared" ref="BO70:CL70" si="13">BO17+BO19+BO69</f>
        <v>5283996593.54</v>
      </c>
      <c r="BP70" s="37">
        <f t="shared" si="13"/>
        <v>5093877620.5799999</v>
      </c>
      <c r="BQ70" s="37">
        <f t="shared" si="13"/>
        <v>4784721787.4300003</v>
      </c>
      <c r="BR70" s="37">
        <f t="shared" si="13"/>
        <v>0</v>
      </c>
      <c r="BS70" s="37">
        <f t="shared" si="13"/>
        <v>4624765520.9300003</v>
      </c>
      <c r="BT70" s="37">
        <f t="shared" si="13"/>
        <v>4409353460.5100002</v>
      </c>
      <c r="BU70" s="37">
        <f t="shared" si="13"/>
        <v>3233521226.2400002</v>
      </c>
      <c r="BV70" s="37">
        <f t="shared" si="13"/>
        <v>3051129047.0300007</v>
      </c>
      <c r="BW70" s="37">
        <f t="shared" si="13"/>
        <v>2270018343.0800004</v>
      </c>
      <c r="BX70" s="37">
        <f t="shared" si="13"/>
        <v>2215540260.6099997</v>
      </c>
      <c r="BY70" s="37">
        <f t="shared" si="13"/>
        <v>2028767650.3000002</v>
      </c>
      <c r="BZ70" s="37">
        <f t="shared" si="13"/>
        <v>1856283137.9200001</v>
      </c>
      <c r="CA70" s="37">
        <f t="shared" si="13"/>
        <v>467517896.83000004</v>
      </c>
      <c r="CB70" s="37">
        <f t="shared" si="13"/>
        <v>435430683.99000001</v>
      </c>
      <c r="CC70" s="37">
        <f t="shared" si="13"/>
        <v>517564411.55000001</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40000000</v>
      </c>
      <c r="CB72" s="28">
        <f t="shared" si="15"/>
        <v>137500000</v>
      </c>
      <c r="CC72" s="28">
        <f t="shared" si="15"/>
        <v>177400000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0</v>
      </c>
      <c r="F73" s="189">
        <v>0</v>
      </c>
      <c r="G73" s="189">
        <v>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0</v>
      </c>
      <c r="X73" s="189">
        <v>0</v>
      </c>
      <c r="Y73" s="189">
        <v>0</v>
      </c>
      <c r="Z73" s="189">
        <v>0</v>
      </c>
      <c r="AA73" s="189">
        <v>0</v>
      </c>
      <c r="AB73" s="189">
        <v>0</v>
      </c>
      <c r="AC73" s="189">
        <v>0</v>
      </c>
      <c r="AD73" s="189">
        <v>0</v>
      </c>
      <c r="AE73" s="189">
        <v>0</v>
      </c>
      <c r="AF73" s="189">
        <v>0</v>
      </c>
      <c r="AG73" s="189">
        <v>0</v>
      </c>
      <c r="AH73" s="189">
        <v>0</v>
      </c>
      <c r="AI73" s="189">
        <v>0</v>
      </c>
      <c r="AJ73" s="189">
        <v>0</v>
      </c>
      <c r="AK73" s="189">
        <v>0</v>
      </c>
      <c r="AL73" s="189">
        <v>0</v>
      </c>
      <c r="AM73" s="189">
        <v>0</v>
      </c>
      <c r="AN73" s="189">
        <v>0</v>
      </c>
      <c r="AO73" s="189">
        <v>0</v>
      </c>
      <c r="AP73" s="189">
        <v>0</v>
      </c>
      <c r="AQ73" s="189">
        <v>0</v>
      </c>
      <c r="AR73" s="189">
        <v>0</v>
      </c>
      <c r="AS73" s="189">
        <v>0</v>
      </c>
      <c r="AT73" s="189">
        <v>0</v>
      </c>
      <c r="AU73" s="189">
        <v>0</v>
      </c>
      <c r="AV73" s="189">
        <v>0</v>
      </c>
      <c r="AW73" s="189">
        <v>0</v>
      </c>
      <c r="AX73" s="189">
        <v>0</v>
      </c>
      <c r="AY73" s="189">
        <v>0</v>
      </c>
      <c r="AZ73" s="189">
        <v>0</v>
      </c>
      <c r="BA73" s="189">
        <v>0</v>
      </c>
      <c r="BB73" s="189">
        <v>0</v>
      </c>
      <c r="BC73" s="189">
        <v>0</v>
      </c>
      <c r="BD73" s="189">
        <v>0</v>
      </c>
      <c r="BE73" s="189">
        <v>0</v>
      </c>
      <c r="BF73" s="189">
        <v>0</v>
      </c>
      <c r="BG73" s="189">
        <v>0</v>
      </c>
      <c r="BH73" s="189">
        <v>0</v>
      </c>
      <c r="BI73" s="189">
        <v>0</v>
      </c>
      <c r="BJ73" s="189">
        <v>0</v>
      </c>
      <c r="BK73" s="189">
        <v>0</v>
      </c>
      <c r="BL73" s="189">
        <v>0</v>
      </c>
      <c r="BM73" s="189">
        <v>0</v>
      </c>
      <c r="BN73" s="189">
        <v>0</v>
      </c>
      <c r="BO73" s="189">
        <v>0</v>
      </c>
      <c r="BP73" s="189">
        <v>0</v>
      </c>
      <c r="BQ73" s="189">
        <v>0</v>
      </c>
      <c r="BR73" s="189">
        <v>0</v>
      </c>
      <c r="BS73" s="189">
        <v>0</v>
      </c>
      <c r="BT73" s="189">
        <v>0</v>
      </c>
      <c r="BU73" s="189">
        <v>0</v>
      </c>
      <c r="BV73" s="189">
        <v>0</v>
      </c>
      <c r="BW73" s="189">
        <v>0</v>
      </c>
      <c r="BX73" s="189">
        <v>0</v>
      </c>
      <c r="BY73" s="189">
        <v>0</v>
      </c>
      <c r="BZ73" s="189">
        <v>0</v>
      </c>
      <c r="CA73" s="189">
        <v>40000000</v>
      </c>
      <c r="CB73" s="189">
        <v>107500000</v>
      </c>
      <c r="CC73" s="189">
        <v>177400000</v>
      </c>
      <c r="CD73" s="189">
        <v>0</v>
      </c>
      <c r="CE73" s="189"/>
      <c r="CF73" s="189"/>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c r="CF75" s="189"/>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30000000</v>
      </c>
      <c r="CC76" s="189">
        <v>0</v>
      </c>
      <c r="CD76" s="189">
        <v>0</v>
      </c>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1000000</v>
      </c>
      <c r="O81" s="28">
        <f t="shared" si="16"/>
        <v>1000000</v>
      </c>
      <c r="P81" s="28">
        <f t="shared" si="16"/>
        <v>1000000</v>
      </c>
      <c r="Q81" s="28">
        <f t="shared" si="16"/>
        <v>1000000</v>
      </c>
      <c r="R81" s="28">
        <f t="shared" si="16"/>
        <v>65516518.030000001</v>
      </c>
      <c r="S81" s="28">
        <f t="shared" si="16"/>
        <v>65195268.039999999</v>
      </c>
      <c r="T81" s="28">
        <f t="shared" si="16"/>
        <v>65654018.049999997</v>
      </c>
      <c r="U81" s="28">
        <f t="shared" si="16"/>
        <v>67612768.060000002</v>
      </c>
      <c r="V81" s="28">
        <f t="shared" si="16"/>
        <v>57924018.060000002</v>
      </c>
      <c r="W81" s="28">
        <f t="shared" si="16"/>
        <v>58235268.060000002</v>
      </c>
      <c r="X81" s="28">
        <f t="shared" si="16"/>
        <v>58546518.060000002</v>
      </c>
      <c r="Y81" s="28">
        <f t="shared" si="16"/>
        <v>57857768.060000002</v>
      </c>
      <c r="Z81" s="28">
        <f t="shared" si="16"/>
        <v>58139018.060000002</v>
      </c>
      <c r="AA81" s="28">
        <f t="shared" si="16"/>
        <v>50620268.060000002</v>
      </c>
      <c r="AB81" s="28">
        <f t="shared" si="16"/>
        <v>48501518.060000002</v>
      </c>
      <c r="AC81" s="28">
        <f t="shared" si="16"/>
        <v>48182768.060000002</v>
      </c>
      <c r="AD81" s="28">
        <f t="shared" si="16"/>
        <v>41877143.07</v>
      </c>
      <c r="AE81" s="28">
        <f t="shared" si="16"/>
        <v>24814643.07</v>
      </c>
      <c r="AF81" s="28">
        <f t="shared" si="16"/>
        <v>20910598.219999999</v>
      </c>
      <c r="AG81" s="28">
        <f t="shared" si="16"/>
        <v>16910598.219999999</v>
      </c>
      <c r="AH81" s="28">
        <f t="shared" si="16"/>
        <v>1000000</v>
      </c>
      <c r="AI81" s="28">
        <f t="shared" si="16"/>
        <v>1000000</v>
      </c>
      <c r="AJ81" s="28">
        <f t="shared" si="16"/>
        <v>1000000</v>
      </c>
      <c r="AK81" s="28">
        <f t="shared" si="16"/>
        <v>1000000</v>
      </c>
      <c r="AL81" s="28">
        <f t="shared" si="16"/>
        <v>0</v>
      </c>
      <c r="AM81" s="28">
        <f t="shared" si="16"/>
        <v>0</v>
      </c>
      <c r="AN81" s="28">
        <f t="shared" si="16"/>
        <v>0</v>
      </c>
      <c r="AO81" s="28">
        <f t="shared" si="16"/>
        <v>0</v>
      </c>
      <c r="AP81" s="28">
        <f t="shared" si="16"/>
        <v>0</v>
      </c>
      <c r="AQ81" s="28">
        <f t="shared" si="16"/>
        <v>0</v>
      </c>
      <c r="AR81" s="28">
        <f t="shared" si="16"/>
        <v>0</v>
      </c>
      <c r="AS81" s="28">
        <f t="shared" si="16"/>
        <v>2500000</v>
      </c>
      <c r="AT81" s="28">
        <f t="shared" si="16"/>
        <v>2500000</v>
      </c>
      <c r="AU81" s="28">
        <f t="shared" si="16"/>
        <v>2500000</v>
      </c>
      <c r="AV81" s="28">
        <f t="shared" si="16"/>
        <v>2500000</v>
      </c>
      <c r="AW81" s="28">
        <f t="shared" si="16"/>
        <v>2500000</v>
      </c>
      <c r="AX81" s="28">
        <f t="shared" si="16"/>
        <v>2500000</v>
      </c>
      <c r="AY81" s="28">
        <f t="shared" si="16"/>
        <v>2500000</v>
      </c>
      <c r="AZ81" s="28">
        <f t="shared" si="16"/>
        <v>2500000</v>
      </c>
      <c r="BA81" s="28">
        <f t="shared" si="16"/>
        <v>2500000</v>
      </c>
      <c r="BB81" s="28">
        <f t="shared" si="16"/>
        <v>2500000</v>
      </c>
      <c r="BC81" s="28">
        <f t="shared" si="16"/>
        <v>2500000</v>
      </c>
      <c r="BD81" s="28">
        <f t="shared" si="16"/>
        <v>2500000</v>
      </c>
      <c r="BE81" s="28">
        <f t="shared" si="16"/>
        <v>2500000</v>
      </c>
      <c r="BF81" s="28">
        <f t="shared" si="16"/>
        <v>2500000</v>
      </c>
      <c r="BG81" s="28">
        <f t="shared" si="16"/>
        <v>2500000</v>
      </c>
      <c r="BH81" s="28">
        <f t="shared" si="16"/>
        <v>2500000</v>
      </c>
      <c r="BI81" s="28">
        <f t="shared" si="16"/>
        <v>2500000</v>
      </c>
      <c r="BJ81" s="28">
        <f t="shared" si="16"/>
        <v>2500000</v>
      </c>
      <c r="BK81" s="28">
        <f t="shared" si="16"/>
        <v>2500000</v>
      </c>
      <c r="BL81" s="28">
        <f t="shared" si="16"/>
        <v>2500000</v>
      </c>
      <c r="BM81" s="28">
        <f t="shared" si="16"/>
        <v>22500000</v>
      </c>
      <c r="BN81" s="28">
        <f t="shared" si="16"/>
        <v>22500000</v>
      </c>
      <c r="BO81" s="28">
        <f t="shared" si="16"/>
        <v>74500000</v>
      </c>
      <c r="BP81" s="28">
        <f t="shared" si="16"/>
        <v>22500000</v>
      </c>
      <c r="BQ81" s="28">
        <f t="shared" si="16"/>
        <v>22500000</v>
      </c>
      <c r="BR81" s="28">
        <f t="shared" ref="BR81:CG81" si="17">SUM(BR82:BR85)</f>
        <v>0</v>
      </c>
      <c r="BS81" s="28">
        <f t="shared" si="17"/>
        <v>22500000</v>
      </c>
      <c r="BT81" s="28">
        <f t="shared" si="17"/>
        <v>23500000</v>
      </c>
      <c r="BU81" s="28">
        <f t="shared" si="17"/>
        <v>47000000</v>
      </c>
      <c r="BV81" s="28">
        <f t="shared" si="17"/>
        <v>4321518.1899999995</v>
      </c>
      <c r="BW81" s="28">
        <f t="shared" si="17"/>
        <v>7136405.5199999996</v>
      </c>
      <c r="BX81" s="28">
        <f t="shared" si="17"/>
        <v>0</v>
      </c>
      <c r="BY81" s="28">
        <f t="shared" si="17"/>
        <v>0</v>
      </c>
      <c r="BZ81" s="28">
        <f t="shared" si="17"/>
        <v>0</v>
      </c>
      <c r="CA81" s="28">
        <f t="shared" si="17"/>
        <v>30000000</v>
      </c>
      <c r="CB81" s="28">
        <f t="shared" si="17"/>
        <v>30000000</v>
      </c>
      <c r="CC81" s="28">
        <f t="shared" si="17"/>
        <v>125350000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0</v>
      </c>
      <c r="AS82" s="189">
        <v>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0</v>
      </c>
      <c r="BK82" s="189">
        <v>0</v>
      </c>
      <c r="BL82" s="189">
        <v>0</v>
      </c>
      <c r="BM82" s="189">
        <v>0</v>
      </c>
      <c r="BN82" s="189">
        <v>0</v>
      </c>
      <c r="BO82" s="189">
        <v>0</v>
      </c>
      <c r="BP82" s="189">
        <v>0</v>
      </c>
      <c r="BQ82" s="189">
        <v>0</v>
      </c>
      <c r="BR82" s="189">
        <v>0</v>
      </c>
      <c r="BS82" s="189">
        <v>0</v>
      </c>
      <c r="BT82" s="189">
        <v>0</v>
      </c>
      <c r="BU82" s="189">
        <v>23500000</v>
      </c>
      <c r="BV82" s="189">
        <v>0</v>
      </c>
      <c r="BW82" s="189">
        <v>2813030.67</v>
      </c>
      <c r="BX82" s="189">
        <v>0</v>
      </c>
      <c r="BY82" s="189">
        <v>0</v>
      </c>
      <c r="BZ82" s="189">
        <v>0</v>
      </c>
      <c r="CA82" s="189">
        <v>30000000</v>
      </c>
      <c r="CB82" s="189">
        <v>30000000</v>
      </c>
      <c r="CC82" s="189">
        <v>125350000</v>
      </c>
      <c r="CD82" s="189">
        <v>0</v>
      </c>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c r="CF83" s="189"/>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1000000</v>
      </c>
      <c r="O84" s="189">
        <v>1000000</v>
      </c>
      <c r="P84" s="189">
        <v>1000000</v>
      </c>
      <c r="Q84" s="189">
        <v>1000000</v>
      </c>
      <c r="R84" s="189">
        <v>1000000</v>
      </c>
      <c r="S84" s="189">
        <v>1000000</v>
      </c>
      <c r="T84" s="189">
        <v>1000000</v>
      </c>
      <c r="U84" s="189">
        <v>1000000</v>
      </c>
      <c r="V84" s="189">
        <v>1000000</v>
      </c>
      <c r="W84" s="189">
        <v>1000000</v>
      </c>
      <c r="X84" s="189">
        <v>1000000</v>
      </c>
      <c r="Y84" s="189">
        <v>1000000</v>
      </c>
      <c r="Z84" s="189">
        <v>1000000</v>
      </c>
      <c r="AA84" s="189">
        <v>1000000</v>
      </c>
      <c r="AB84" s="189">
        <v>1000000</v>
      </c>
      <c r="AC84" s="189">
        <v>1000000</v>
      </c>
      <c r="AD84" s="189">
        <v>1000000</v>
      </c>
      <c r="AE84" s="189">
        <v>1000000</v>
      </c>
      <c r="AF84" s="189">
        <v>1000000</v>
      </c>
      <c r="AG84" s="189">
        <v>1000000</v>
      </c>
      <c r="AH84" s="189">
        <v>1000000</v>
      </c>
      <c r="AI84" s="189">
        <v>1000000</v>
      </c>
      <c r="AJ84" s="189">
        <v>1000000</v>
      </c>
      <c r="AK84" s="189">
        <v>1000000</v>
      </c>
      <c r="AL84" s="189">
        <v>0</v>
      </c>
      <c r="AM84" s="189">
        <v>0</v>
      </c>
      <c r="AN84" s="189">
        <v>0</v>
      </c>
      <c r="AO84" s="189">
        <v>0</v>
      </c>
      <c r="AP84" s="189">
        <v>0</v>
      </c>
      <c r="AQ84" s="189">
        <v>0</v>
      </c>
      <c r="AR84" s="189">
        <v>0</v>
      </c>
      <c r="AS84" s="189">
        <v>2500000</v>
      </c>
      <c r="AT84" s="189">
        <v>2500000</v>
      </c>
      <c r="AU84" s="189">
        <v>2500000</v>
      </c>
      <c r="AV84" s="189">
        <v>2500000</v>
      </c>
      <c r="AW84" s="189">
        <v>2500000</v>
      </c>
      <c r="AX84" s="189">
        <v>2500000</v>
      </c>
      <c r="AY84" s="189">
        <v>2500000</v>
      </c>
      <c r="AZ84" s="189">
        <v>2500000</v>
      </c>
      <c r="BA84" s="189">
        <v>2500000</v>
      </c>
      <c r="BB84" s="189">
        <v>2500000</v>
      </c>
      <c r="BC84" s="189">
        <v>2500000</v>
      </c>
      <c r="BD84" s="189">
        <v>2500000</v>
      </c>
      <c r="BE84" s="189">
        <v>2500000</v>
      </c>
      <c r="BF84" s="189">
        <v>2500000</v>
      </c>
      <c r="BG84" s="189">
        <v>2500000</v>
      </c>
      <c r="BH84" s="189">
        <v>2500000</v>
      </c>
      <c r="BI84" s="189">
        <v>0</v>
      </c>
      <c r="BJ84" s="189">
        <v>2500000</v>
      </c>
      <c r="BK84" s="189">
        <v>2500000</v>
      </c>
      <c r="BL84" s="189">
        <v>2500000</v>
      </c>
      <c r="BM84" s="189">
        <v>22500000</v>
      </c>
      <c r="BN84" s="189">
        <v>22500000</v>
      </c>
      <c r="BO84" s="189">
        <v>74500000</v>
      </c>
      <c r="BP84" s="189">
        <v>22500000</v>
      </c>
      <c r="BQ84" s="189">
        <v>22500000</v>
      </c>
      <c r="BR84" s="189">
        <v>0</v>
      </c>
      <c r="BS84" s="189">
        <v>22500000</v>
      </c>
      <c r="BT84" s="189">
        <v>23500000</v>
      </c>
      <c r="BU84" s="189">
        <v>23500000</v>
      </c>
      <c r="BV84" s="189">
        <v>1000000</v>
      </c>
      <c r="BW84" s="189">
        <v>1000000</v>
      </c>
      <c r="BX84" s="189">
        <v>0</v>
      </c>
      <c r="BY84" s="189">
        <v>0</v>
      </c>
      <c r="BZ84" s="189">
        <v>0</v>
      </c>
      <c r="CA84" s="189">
        <v>0</v>
      </c>
      <c r="CB84" s="189">
        <v>0</v>
      </c>
      <c r="CC84" s="189">
        <v>0</v>
      </c>
      <c r="CD84" s="189">
        <v>0</v>
      </c>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64516518.030000001</v>
      </c>
      <c r="S85" s="189">
        <v>64195268.039999999</v>
      </c>
      <c r="T85" s="189">
        <v>64654018.049999997</v>
      </c>
      <c r="U85" s="189">
        <v>66612768.060000002</v>
      </c>
      <c r="V85" s="189">
        <v>56924018.060000002</v>
      </c>
      <c r="W85" s="189">
        <v>57235268.060000002</v>
      </c>
      <c r="X85" s="189">
        <v>57546518.060000002</v>
      </c>
      <c r="Y85" s="189">
        <v>56857768.060000002</v>
      </c>
      <c r="Z85" s="189">
        <v>57139018.060000002</v>
      </c>
      <c r="AA85" s="189">
        <v>49620268.060000002</v>
      </c>
      <c r="AB85" s="189">
        <v>47501518.060000002</v>
      </c>
      <c r="AC85" s="189">
        <v>47182768.060000002</v>
      </c>
      <c r="AD85" s="189">
        <v>40877143.07</v>
      </c>
      <c r="AE85" s="189">
        <v>23814643.07</v>
      </c>
      <c r="AF85" s="189">
        <v>19910598.219999999</v>
      </c>
      <c r="AG85" s="189">
        <v>15910598.220000001</v>
      </c>
      <c r="AH85" s="189">
        <v>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2500000</v>
      </c>
      <c r="BJ85" s="189">
        <v>0</v>
      </c>
      <c r="BK85" s="189">
        <v>0</v>
      </c>
      <c r="BL85" s="189">
        <v>0</v>
      </c>
      <c r="BM85" s="189">
        <v>0</v>
      </c>
      <c r="BN85" s="189">
        <v>0</v>
      </c>
      <c r="BO85" s="189">
        <v>0</v>
      </c>
      <c r="BP85" s="189">
        <v>0</v>
      </c>
      <c r="BQ85" s="189">
        <v>0</v>
      </c>
      <c r="BR85" s="189">
        <v>0</v>
      </c>
      <c r="BS85" s="189">
        <v>0</v>
      </c>
      <c r="BT85" s="189">
        <v>0</v>
      </c>
      <c r="BU85" s="189">
        <v>0</v>
      </c>
      <c r="BV85" s="189">
        <v>3321518.19</v>
      </c>
      <c r="BW85" s="189">
        <v>3323374.85</v>
      </c>
      <c r="BX85" s="189">
        <v>0</v>
      </c>
      <c r="BY85" s="189">
        <v>0</v>
      </c>
      <c r="BZ85" s="189">
        <v>0</v>
      </c>
      <c r="CA85" s="189">
        <v>0</v>
      </c>
      <c r="CB85" s="189">
        <v>0</v>
      </c>
      <c r="CC85" s="189">
        <v>0</v>
      </c>
      <c r="CD85" s="189">
        <v>0</v>
      </c>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1000000</v>
      </c>
      <c r="O89" s="33">
        <f t="shared" si="18"/>
        <v>1000000</v>
      </c>
      <c r="P89" s="33">
        <f t="shared" si="18"/>
        <v>1000000</v>
      </c>
      <c r="Q89" s="33">
        <f t="shared" si="18"/>
        <v>1000000</v>
      </c>
      <c r="R89" s="33">
        <f t="shared" si="18"/>
        <v>65516518.030000001</v>
      </c>
      <c r="S89" s="33">
        <f t="shared" si="18"/>
        <v>65195268.039999999</v>
      </c>
      <c r="T89" s="33">
        <f t="shared" si="18"/>
        <v>65654018.049999997</v>
      </c>
      <c r="U89" s="33">
        <f t="shared" si="18"/>
        <v>67612768.060000002</v>
      </c>
      <c r="V89" s="33">
        <f t="shared" si="18"/>
        <v>57924018.060000002</v>
      </c>
      <c r="W89" s="33">
        <f t="shared" si="18"/>
        <v>58235268.060000002</v>
      </c>
      <c r="X89" s="33">
        <f t="shared" si="18"/>
        <v>58546518.060000002</v>
      </c>
      <c r="Y89" s="33">
        <f t="shared" si="18"/>
        <v>57857768.060000002</v>
      </c>
      <c r="Z89" s="33">
        <f t="shared" si="18"/>
        <v>58139018.060000002</v>
      </c>
      <c r="AA89" s="33">
        <f t="shared" si="18"/>
        <v>50620268.060000002</v>
      </c>
      <c r="AB89" s="33">
        <f t="shared" si="18"/>
        <v>48501518.060000002</v>
      </c>
      <c r="AC89" s="33">
        <f t="shared" si="18"/>
        <v>48182768.060000002</v>
      </c>
      <c r="AD89" s="33">
        <f t="shared" si="18"/>
        <v>41877143.07</v>
      </c>
      <c r="AE89" s="33">
        <f t="shared" si="18"/>
        <v>24814643.07</v>
      </c>
      <c r="AF89" s="33">
        <f t="shared" si="18"/>
        <v>20910598.219999999</v>
      </c>
      <c r="AG89" s="33">
        <f t="shared" si="18"/>
        <v>16910598.219999999</v>
      </c>
      <c r="AH89" s="33">
        <f t="shared" si="18"/>
        <v>1000000</v>
      </c>
      <c r="AI89" s="33">
        <f t="shared" si="18"/>
        <v>1000000</v>
      </c>
      <c r="AJ89" s="33">
        <f t="shared" si="18"/>
        <v>1000000</v>
      </c>
      <c r="AK89" s="33">
        <f t="shared" si="18"/>
        <v>1000000</v>
      </c>
      <c r="AL89" s="33">
        <f t="shared" si="18"/>
        <v>0</v>
      </c>
      <c r="AM89" s="33">
        <f t="shared" si="18"/>
        <v>0</v>
      </c>
      <c r="AN89" s="33">
        <f t="shared" si="18"/>
        <v>0</v>
      </c>
      <c r="AO89" s="33">
        <f t="shared" si="18"/>
        <v>0</v>
      </c>
      <c r="AP89" s="33">
        <f t="shared" si="18"/>
        <v>0</v>
      </c>
      <c r="AQ89" s="33">
        <f t="shared" si="18"/>
        <v>0</v>
      </c>
      <c r="AR89" s="33">
        <f t="shared" si="18"/>
        <v>0</v>
      </c>
      <c r="AS89" s="33">
        <f t="shared" si="18"/>
        <v>2500000</v>
      </c>
      <c r="AT89" s="33">
        <f t="shared" si="18"/>
        <v>2500000</v>
      </c>
      <c r="AU89" s="33">
        <f t="shared" si="18"/>
        <v>2500000</v>
      </c>
      <c r="AV89" s="33">
        <f t="shared" si="18"/>
        <v>2500000</v>
      </c>
      <c r="AW89" s="33">
        <f t="shared" si="18"/>
        <v>2500000</v>
      </c>
      <c r="AX89" s="33">
        <f t="shared" si="18"/>
        <v>2500000</v>
      </c>
      <c r="AY89" s="33">
        <f t="shared" si="18"/>
        <v>2500000</v>
      </c>
      <c r="AZ89" s="33">
        <f t="shared" si="18"/>
        <v>2500000</v>
      </c>
      <c r="BA89" s="33">
        <f t="shared" si="18"/>
        <v>2500000</v>
      </c>
      <c r="BB89" s="33">
        <f t="shared" si="18"/>
        <v>2500000</v>
      </c>
      <c r="BC89" s="33">
        <f t="shared" si="18"/>
        <v>2500000</v>
      </c>
      <c r="BD89" s="33">
        <f t="shared" si="18"/>
        <v>2500000</v>
      </c>
      <c r="BE89" s="33">
        <f t="shared" si="18"/>
        <v>2500000</v>
      </c>
      <c r="BF89" s="33">
        <f t="shared" si="18"/>
        <v>2500000</v>
      </c>
      <c r="BG89" s="33">
        <f t="shared" si="18"/>
        <v>2500000</v>
      </c>
      <c r="BH89" s="33">
        <f t="shared" si="18"/>
        <v>2500000</v>
      </c>
      <c r="BI89" s="33">
        <f t="shared" si="18"/>
        <v>2500000</v>
      </c>
      <c r="BJ89" s="33">
        <f t="shared" si="18"/>
        <v>2500000</v>
      </c>
      <c r="BK89" s="33">
        <f t="shared" si="18"/>
        <v>2500000</v>
      </c>
      <c r="BL89" s="33">
        <f t="shared" si="18"/>
        <v>2500000</v>
      </c>
      <c r="BM89" s="33">
        <f t="shared" si="18"/>
        <v>22500000</v>
      </c>
      <c r="BN89" s="33">
        <f t="shared" si="18"/>
        <v>22500000</v>
      </c>
      <c r="BO89" s="33">
        <f t="shared" si="18"/>
        <v>74500000</v>
      </c>
      <c r="BP89" s="33">
        <f t="shared" si="18"/>
        <v>22500000</v>
      </c>
      <c r="BQ89" s="33">
        <f t="shared" si="18"/>
        <v>22500000</v>
      </c>
      <c r="BR89" s="33">
        <f t="shared" ref="BR89:CK89" si="19">BR72+BR81</f>
        <v>0</v>
      </c>
      <c r="BS89" s="33">
        <f t="shared" si="19"/>
        <v>22500000</v>
      </c>
      <c r="BT89" s="33">
        <f t="shared" si="19"/>
        <v>23500000</v>
      </c>
      <c r="BU89" s="33">
        <f t="shared" si="19"/>
        <v>47000000</v>
      </c>
      <c r="BV89" s="33">
        <f t="shared" si="19"/>
        <v>4321518.1899999995</v>
      </c>
      <c r="BW89" s="33">
        <f t="shared" si="19"/>
        <v>7136405.5199999996</v>
      </c>
      <c r="BX89" s="33">
        <f t="shared" si="19"/>
        <v>0</v>
      </c>
      <c r="BY89" s="33">
        <f t="shared" si="19"/>
        <v>0</v>
      </c>
      <c r="BZ89" s="33">
        <f t="shared" si="19"/>
        <v>0</v>
      </c>
      <c r="CA89" s="33">
        <f t="shared" si="19"/>
        <v>70000000</v>
      </c>
      <c r="CB89" s="33">
        <f t="shared" si="19"/>
        <v>167500000</v>
      </c>
      <c r="CC89" s="33">
        <f t="shared" si="19"/>
        <v>302750000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3881608005</v>
      </c>
      <c r="C91" s="189">
        <v>3881608005</v>
      </c>
      <c r="D91" s="189">
        <v>3795966720</v>
      </c>
      <c r="E91" s="189">
        <v>3795966720</v>
      </c>
      <c r="F91" s="189">
        <v>3795966720</v>
      </c>
      <c r="G91" s="189">
        <v>3795966720</v>
      </c>
      <c r="H91" s="189">
        <v>3795966720</v>
      </c>
      <c r="I91" s="189">
        <v>3795966720</v>
      </c>
      <c r="J91" s="189">
        <v>3795966720</v>
      </c>
      <c r="K91" s="189">
        <v>3795966720</v>
      </c>
      <c r="L91" s="189">
        <v>3795966720</v>
      </c>
      <c r="M91" s="189">
        <v>3795966720</v>
      </c>
      <c r="N91" s="189">
        <v>3795966720</v>
      </c>
      <c r="O91" s="189">
        <v>3795966720</v>
      </c>
      <c r="P91" s="189">
        <v>3795966720</v>
      </c>
      <c r="Q91" s="189">
        <v>3795966720</v>
      </c>
      <c r="R91" s="189">
        <v>3795966720</v>
      </c>
      <c r="S91" s="189">
        <v>3795966720</v>
      </c>
      <c r="T91" s="189">
        <v>3795966720</v>
      </c>
      <c r="U91" s="189">
        <v>3795966720</v>
      </c>
      <c r="V91" s="189">
        <v>3795966720</v>
      </c>
      <c r="W91" s="189">
        <v>3795966720</v>
      </c>
      <c r="X91" s="189">
        <v>3795966720</v>
      </c>
      <c r="Y91" s="189">
        <v>3795966720</v>
      </c>
      <c r="Z91" s="189">
        <v>3795966720</v>
      </c>
      <c r="AA91" s="189">
        <v>3795966720</v>
      </c>
      <c r="AB91" s="189">
        <v>3795966720</v>
      </c>
      <c r="AC91" s="189">
        <v>3795966720</v>
      </c>
      <c r="AD91" s="189">
        <v>3795966720</v>
      </c>
      <c r="AE91" s="189">
        <v>3795966720</v>
      </c>
      <c r="AF91" s="189">
        <v>3795966720</v>
      </c>
      <c r="AG91" s="189">
        <v>3795966720</v>
      </c>
      <c r="AH91" s="189">
        <v>3795966720</v>
      </c>
      <c r="AI91" s="189">
        <v>3795966720</v>
      </c>
      <c r="AJ91" s="189">
        <v>3795966720</v>
      </c>
      <c r="AK91" s="189">
        <v>3795966720</v>
      </c>
      <c r="AL91" s="189">
        <v>3795966720</v>
      </c>
      <c r="AM91" s="189">
        <v>3795966720</v>
      </c>
      <c r="AN91" s="189">
        <v>3795966720</v>
      </c>
      <c r="AO91" s="189">
        <v>3795966720</v>
      </c>
      <c r="AP91" s="189">
        <v>3795966720</v>
      </c>
      <c r="AQ91" s="189">
        <v>3795966720</v>
      </c>
      <c r="AR91" s="189">
        <v>3795966720</v>
      </c>
      <c r="AS91" s="189">
        <v>3795966720</v>
      </c>
      <c r="AT91" s="189">
        <v>3795966720</v>
      </c>
      <c r="AU91" s="189">
        <v>3795966720</v>
      </c>
      <c r="AV91" s="189">
        <v>2711404800</v>
      </c>
      <c r="AW91" s="189">
        <v>2711404800</v>
      </c>
      <c r="AX91" s="189">
        <v>2711404800</v>
      </c>
      <c r="AY91" s="189">
        <v>2711404800</v>
      </c>
      <c r="AZ91" s="189">
        <v>2711404800</v>
      </c>
      <c r="BA91" s="189">
        <v>2711404800</v>
      </c>
      <c r="BB91" s="189">
        <v>2711404800</v>
      </c>
      <c r="BC91" s="189">
        <v>2711404800</v>
      </c>
      <c r="BD91" s="189">
        <v>2711404800</v>
      </c>
      <c r="BE91" s="189">
        <v>2711404800</v>
      </c>
      <c r="BF91" s="189">
        <v>2711404800</v>
      </c>
      <c r="BG91" s="189">
        <v>2711404800</v>
      </c>
      <c r="BH91" s="189">
        <v>1355702400</v>
      </c>
      <c r="BI91" s="189">
        <v>1355702400</v>
      </c>
      <c r="BJ91" s="189">
        <v>1355702400</v>
      </c>
      <c r="BK91" s="189">
        <v>1355702400</v>
      </c>
      <c r="BL91" s="189">
        <v>1129752000</v>
      </c>
      <c r="BM91" s="189">
        <v>1129752000</v>
      </c>
      <c r="BN91" s="189">
        <v>1129752000</v>
      </c>
      <c r="BO91" s="189">
        <v>1129752000</v>
      </c>
      <c r="BP91" s="189">
        <v>869040000</v>
      </c>
      <c r="BQ91" s="189">
        <v>869040000</v>
      </c>
      <c r="BR91" s="189">
        <v>869040000</v>
      </c>
      <c r="BS91" s="189">
        <v>511200000</v>
      </c>
      <c r="BT91" s="189">
        <v>511200000</v>
      </c>
      <c r="BU91" s="189">
        <v>480000000</v>
      </c>
      <c r="BV91" s="189">
        <v>480000000</v>
      </c>
      <c r="BW91" s="189">
        <v>480000000</v>
      </c>
      <c r="BX91" s="189">
        <v>320000000</v>
      </c>
      <c r="BY91" s="189">
        <v>320000000</v>
      </c>
      <c r="BZ91" s="189">
        <v>320000000</v>
      </c>
      <c r="CA91" s="189">
        <v>240000000</v>
      </c>
      <c r="CB91" s="189">
        <v>0</v>
      </c>
      <c r="CC91" s="189">
        <v>0</v>
      </c>
      <c r="CD91" s="189">
        <v>0</v>
      </c>
      <c r="CE91" s="189"/>
      <c r="CF91" s="189"/>
      <c r="CG91" s="189"/>
      <c r="CH91" s="189"/>
      <c r="CI91" s="189"/>
      <c r="CJ91" s="189"/>
      <c r="CK91" s="189"/>
      <c r="CL91" s="189"/>
    </row>
    <row r="92" spans="1:90" x14ac:dyDescent="0.25">
      <c r="A92" s="128" t="s">
        <v>63</v>
      </c>
      <c r="B92" s="189">
        <v>2682647086.1500001</v>
      </c>
      <c r="C92" s="189">
        <v>2682647086.1500001</v>
      </c>
      <c r="D92" s="189">
        <v>953255757.16999996</v>
      </c>
      <c r="E92" s="189">
        <v>953255757.16999996</v>
      </c>
      <c r="F92" s="189">
        <v>953255757.16999996</v>
      </c>
      <c r="G92" s="189">
        <v>953255757.16999996</v>
      </c>
      <c r="H92" s="189">
        <v>953255757.16999996</v>
      </c>
      <c r="I92" s="189">
        <v>953255757.16999996</v>
      </c>
      <c r="J92" s="189">
        <v>953255757.16999996</v>
      </c>
      <c r="K92" s="189">
        <v>953255757.16999996</v>
      </c>
      <c r="L92" s="189">
        <v>953255757.16999996</v>
      </c>
      <c r="M92" s="189">
        <v>953203468.32000005</v>
      </c>
      <c r="N92" s="189">
        <v>953203468.32000005</v>
      </c>
      <c r="O92" s="189">
        <v>953203468.32000005</v>
      </c>
      <c r="P92" s="189">
        <v>953203468.32000005</v>
      </c>
      <c r="Q92" s="189">
        <v>953203468.32000005</v>
      </c>
      <c r="R92" s="189">
        <v>953203468.32000005</v>
      </c>
      <c r="S92" s="189">
        <v>953203468.32000005</v>
      </c>
      <c r="T92" s="189">
        <v>953203468.32000005</v>
      </c>
      <c r="U92" s="189">
        <v>953203468.32000005</v>
      </c>
      <c r="V92" s="189">
        <v>953203468.32000005</v>
      </c>
      <c r="W92" s="189">
        <v>953203468.32000005</v>
      </c>
      <c r="X92" s="189">
        <v>953203468.32000005</v>
      </c>
      <c r="Y92" s="189">
        <v>953203468.32000005</v>
      </c>
      <c r="Z92" s="189">
        <v>953203468.32000005</v>
      </c>
      <c r="AA92" s="189">
        <v>953203468.32000005</v>
      </c>
      <c r="AB92" s="189">
        <v>953203468.32000005</v>
      </c>
      <c r="AC92" s="189">
        <v>953203468.32000005</v>
      </c>
      <c r="AD92" s="189">
        <v>953203468.32000005</v>
      </c>
      <c r="AE92" s="189">
        <v>953203468.32000005</v>
      </c>
      <c r="AF92" s="189">
        <v>953203468.32000005</v>
      </c>
      <c r="AG92" s="189">
        <v>953203468.32000005</v>
      </c>
      <c r="AH92" s="189">
        <v>953203468.32000005</v>
      </c>
      <c r="AI92" s="189">
        <v>953203468.32000005</v>
      </c>
      <c r="AJ92" s="189">
        <v>953203468.32000005</v>
      </c>
      <c r="AK92" s="189">
        <v>953203468.32000005</v>
      </c>
      <c r="AL92" s="189">
        <v>953203468.32000005</v>
      </c>
      <c r="AM92" s="189">
        <v>953203468.32000005</v>
      </c>
      <c r="AN92" s="189">
        <v>953203468.32000005</v>
      </c>
      <c r="AO92" s="189">
        <v>953203468.32000005</v>
      </c>
      <c r="AP92" s="189">
        <v>953203468.32000005</v>
      </c>
      <c r="AQ92" s="189">
        <v>953203468.32000005</v>
      </c>
      <c r="AR92" s="189">
        <v>953203468.32000005</v>
      </c>
      <c r="AS92" s="189">
        <v>953203468.32000005</v>
      </c>
      <c r="AT92" s="189">
        <v>968203468.32000005</v>
      </c>
      <c r="AU92" s="189">
        <v>968203468.32000005</v>
      </c>
      <c r="AV92" s="189">
        <v>953203468.32000005</v>
      </c>
      <c r="AW92" s="189">
        <v>953203468.32000005</v>
      </c>
      <c r="AX92" s="189">
        <v>953702337.03999996</v>
      </c>
      <c r="AY92" s="189">
        <v>953203468.32000005</v>
      </c>
      <c r="AZ92" s="189">
        <v>953203468.32000005</v>
      </c>
      <c r="BA92" s="189">
        <v>953203468.32000005</v>
      </c>
      <c r="BB92" s="189">
        <v>953203468.32000005</v>
      </c>
      <c r="BC92" s="189">
        <v>953203468.32000005</v>
      </c>
      <c r="BD92" s="189">
        <v>953203468.32000005</v>
      </c>
      <c r="BE92" s="189">
        <v>953203468.32000005</v>
      </c>
      <c r="BF92" s="189">
        <v>953203468.32000005</v>
      </c>
      <c r="BG92" s="189">
        <v>953203468.32000005</v>
      </c>
      <c r="BH92" s="189">
        <v>1224343948.3199999</v>
      </c>
      <c r="BI92" s="189">
        <v>1224343948.3199999</v>
      </c>
      <c r="BJ92" s="189">
        <v>1224343948.3199999</v>
      </c>
      <c r="BK92" s="189">
        <v>1224343948.3199999</v>
      </c>
      <c r="BL92" s="189">
        <v>1450294348.3199999</v>
      </c>
      <c r="BM92" s="189">
        <v>1450294348.3199999</v>
      </c>
      <c r="BN92" s="189">
        <v>1450279635.1600001</v>
      </c>
      <c r="BO92" s="189">
        <v>1450223254</v>
      </c>
      <c r="BP92" s="189">
        <v>1624031254</v>
      </c>
      <c r="BQ92" s="189">
        <v>1624031254</v>
      </c>
      <c r="BR92" s="189">
        <v>0</v>
      </c>
      <c r="BS92" s="189">
        <v>1777391254</v>
      </c>
      <c r="BT92" s="189">
        <v>1776391254</v>
      </c>
      <c r="BU92" s="189">
        <v>1042014836.88</v>
      </c>
      <c r="BV92" s="189">
        <v>1042014836.88</v>
      </c>
      <c r="BW92" s="189">
        <v>1042014836.88</v>
      </c>
      <c r="BX92" s="189">
        <v>1202014836.8800001</v>
      </c>
      <c r="BY92" s="189">
        <v>1202014836.8800001</v>
      </c>
      <c r="BZ92" s="189">
        <v>1202014836.8800001</v>
      </c>
      <c r="CA92" s="189">
        <v>62700492.729999997</v>
      </c>
      <c r="CB92" s="189">
        <v>0</v>
      </c>
      <c r="CC92" s="189">
        <v>0</v>
      </c>
      <c r="CD92" s="189">
        <v>0</v>
      </c>
      <c r="CE92" s="189"/>
      <c r="CF92" s="189"/>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0</v>
      </c>
      <c r="C94" s="189">
        <v>0</v>
      </c>
      <c r="D94" s="189">
        <v>0</v>
      </c>
      <c r="E94" s="189">
        <v>0</v>
      </c>
      <c r="F94" s="189">
        <v>0</v>
      </c>
      <c r="G94" s="189">
        <v>0</v>
      </c>
      <c r="H94" s="189">
        <v>0</v>
      </c>
      <c r="I94" s="189">
        <v>0</v>
      </c>
      <c r="J94" s="189">
        <v>0</v>
      </c>
      <c r="K94" s="189">
        <v>0</v>
      </c>
      <c r="L94" s="189">
        <v>0</v>
      </c>
      <c r="M94" s="189">
        <v>0</v>
      </c>
      <c r="N94" s="189">
        <v>0</v>
      </c>
      <c r="O94" s="189">
        <v>0</v>
      </c>
      <c r="P94" s="189">
        <v>0</v>
      </c>
      <c r="Q94" s="189">
        <v>0</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10909576690.57</v>
      </c>
      <c r="C96" s="189">
        <v>10909576690.57</v>
      </c>
      <c r="D96" s="189">
        <v>10909576690.57</v>
      </c>
      <c r="E96" s="189">
        <v>10909576690.57</v>
      </c>
      <c r="F96" s="189">
        <v>9352029056.75</v>
      </c>
      <c r="G96" s="189">
        <v>9352029056.75</v>
      </c>
      <c r="H96" s="189">
        <v>9352029056.75</v>
      </c>
      <c r="I96" s="189">
        <v>9352029056.75</v>
      </c>
      <c r="J96" s="189">
        <v>8172440644.0100002</v>
      </c>
      <c r="K96" s="189">
        <v>8172440644.0100002</v>
      </c>
      <c r="L96" s="189">
        <v>8172440644.0100002</v>
      </c>
      <c r="M96" s="189">
        <v>8172440644.0100002</v>
      </c>
      <c r="N96" s="189">
        <v>7070005102.9300003</v>
      </c>
      <c r="O96" s="189">
        <v>7070005102.9300003</v>
      </c>
      <c r="P96" s="189">
        <v>7070005102.9300003</v>
      </c>
      <c r="Q96" s="189">
        <v>7070005102.9300003</v>
      </c>
      <c r="R96" s="189">
        <v>5678791405.4799995</v>
      </c>
      <c r="S96" s="189">
        <v>5678791405.4799995</v>
      </c>
      <c r="T96" s="189">
        <v>5678791405.4799995</v>
      </c>
      <c r="U96" s="189">
        <v>5678791405.4799995</v>
      </c>
      <c r="V96" s="189">
        <v>4361745664.4300003</v>
      </c>
      <c r="W96" s="189">
        <v>4359541398.0200005</v>
      </c>
      <c r="X96" s="189">
        <v>4358041112.96</v>
      </c>
      <c r="Y96" s="189">
        <v>4356977349.0200005</v>
      </c>
      <c r="Z96" s="189">
        <v>4082214414.9499998</v>
      </c>
      <c r="AA96" s="189">
        <v>3826734576.6399999</v>
      </c>
      <c r="AB96" s="189">
        <v>3649723469.3200002</v>
      </c>
      <c r="AC96" s="189">
        <v>3368959934.7800002</v>
      </c>
      <c r="AD96" s="189">
        <v>3186313117.5300002</v>
      </c>
      <c r="AE96" s="189">
        <v>3058448487.4699998</v>
      </c>
      <c r="AF96" s="189">
        <v>2952281810.9699998</v>
      </c>
      <c r="AG96" s="189">
        <v>2759520038.0900002</v>
      </c>
      <c r="AH96" s="189">
        <v>2607545619.9699998</v>
      </c>
      <c r="AI96" s="189">
        <v>2506722817.98</v>
      </c>
      <c r="AJ96" s="189">
        <v>2447380345.21</v>
      </c>
      <c r="AK96" s="189">
        <v>2318892624.6700001</v>
      </c>
      <c r="AL96" s="189">
        <v>2212123551.0100002</v>
      </c>
      <c r="AM96" s="189">
        <v>2136403032.1300001</v>
      </c>
      <c r="AN96" s="189">
        <v>2100990527.9000001</v>
      </c>
      <c r="AO96" s="189">
        <v>1985197516.3199999</v>
      </c>
      <c r="AP96" s="189">
        <v>1960895723.9000001</v>
      </c>
      <c r="AQ96" s="189">
        <v>1931960377.45</v>
      </c>
      <c r="AR96" s="189">
        <v>1904071967.1600001</v>
      </c>
      <c r="AS96" s="189">
        <v>1803743654.97</v>
      </c>
      <c r="AT96" s="189">
        <v>1784842154.0899999</v>
      </c>
      <c r="AU96" s="189">
        <v>1769499231.54</v>
      </c>
      <c r="AV96" s="189">
        <v>1728597077.04</v>
      </c>
      <c r="AW96" s="189">
        <v>1656111478.8599999</v>
      </c>
      <c r="AX96" s="189">
        <v>1605045274.6500001</v>
      </c>
      <c r="AY96" s="189">
        <v>1586050475.99</v>
      </c>
      <c r="AZ96" s="189">
        <v>1503840551.3499999</v>
      </c>
      <c r="BA96" s="189">
        <v>1421686339.5</v>
      </c>
      <c r="BB96" s="189">
        <v>1389360858.45</v>
      </c>
      <c r="BC96" s="189">
        <v>1382274938.1900001</v>
      </c>
      <c r="BD96" s="189">
        <v>1254574026.6800001</v>
      </c>
      <c r="BE96" s="189">
        <v>1187372649.6400001</v>
      </c>
      <c r="BF96" s="189">
        <v>1118260147.0599999</v>
      </c>
      <c r="BG96" s="189">
        <v>1098510367.5599999</v>
      </c>
      <c r="BH96" s="189">
        <v>994296939.84000003</v>
      </c>
      <c r="BI96" s="189">
        <v>939688251.88</v>
      </c>
      <c r="BJ96" s="189">
        <v>870801644.83000004</v>
      </c>
      <c r="BK96" s="189">
        <v>854086763.44000006</v>
      </c>
      <c r="BL96" s="189">
        <v>772450547.37</v>
      </c>
      <c r="BM96" s="189">
        <v>719760715.63</v>
      </c>
      <c r="BN96" s="189">
        <v>664546335.02999997</v>
      </c>
      <c r="BO96" s="189">
        <v>643227764.61000001</v>
      </c>
      <c r="BP96" s="189">
        <v>576048176.03999996</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42123608105.059998</v>
      </c>
      <c r="C98" s="189">
        <v>39739447209.230003</v>
      </c>
      <c r="D98" s="189">
        <v>42646295139.769997</v>
      </c>
      <c r="E98" s="189">
        <v>37675282021.739998</v>
      </c>
      <c r="F98" s="189">
        <v>36523871400.389999</v>
      </c>
      <c r="G98" s="189">
        <v>34530613711.540001</v>
      </c>
      <c r="H98" s="189">
        <v>36568590646.199997</v>
      </c>
      <c r="I98" s="189">
        <v>32975478205.41</v>
      </c>
      <c r="J98" s="189">
        <v>32471846535.459999</v>
      </c>
      <c r="K98" s="189">
        <v>31257346493.07</v>
      </c>
      <c r="L98" s="189">
        <v>33310418920.939999</v>
      </c>
      <c r="M98" s="189">
        <v>30407306733.790001</v>
      </c>
      <c r="N98" s="189">
        <v>29936642832.48</v>
      </c>
      <c r="O98" s="189">
        <v>28631150864.279999</v>
      </c>
      <c r="P98" s="189">
        <v>29812002585.860001</v>
      </c>
      <c r="Q98" s="189">
        <v>27611203050.689999</v>
      </c>
      <c r="R98" s="189">
        <v>27714789860.799999</v>
      </c>
      <c r="S98" s="189">
        <v>27009314620.470001</v>
      </c>
      <c r="T98" s="189">
        <v>28283818587.369999</v>
      </c>
      <c r="U98" s="189">
        <v>25664678173.200001</v>
      </c>
      <c r="V98" s="189">
        <v>26112755918.48</v>
      </c>
      <c r="W98" s="189">
        <v>24802147680.77</v>
      </c>
      <c r="X98" s="189">
        <v>25676253176.32</v>
      </c>
      <c r="Y98" s="189">
        <v>22050450622.419998</v>
      </c>
      <c r="Z98" s="189">
        <v>20151342436.959999</v>
      </c>
      <c r="AA98" s="189">
        <v>17651207124.470001</v>
      </c>
      <c r="AB98" s="189">
        <v>17735448117.040001</v>
      </c>
      <c r="AC98" s="189">
        <v>15001578576.23</v>
      </c>
      <c r="AD98" s="189">
        <v>13844972803.459999</v>
      </c>
      <c r="AE98" s="189">
        <v>12517213274.74</v>
      </c>
      <c r="AF98" s="189">
        <v>12518523823.18</v>
      </c>
      <c r="AG98" s="189">
        <v>10592343301.51</v>
      </c>
      <c r="AH98" s="189">
        <v>9719977749.6299992</v>
      </c>
      <c r="AI98" s="189">
        <v>8696328565.7000008</v>
      </c>
      <c r="AJ98" s="189">
        <v>8630757884.3799992</v>
      </c>
      <c r="AK98" s="189">
        <v>7206958728.1800003</v>
      </c>
      <c r="AL98" s="189">
        <v>6528272319.1300001</v>
      </c>
      <c r="AM98" s="189">
        <v>5909220286.3299999</v>
      </c>
      <c r="AN98" s="189">
        <v>5790565954.8900003</v>
      </c>
      <c r="AO98" s="189">
        <v>4645699661.0799999</v>
      </c>
      <c r="AP98" s="189">
        <v>4448660799.4700003</v>
      </c>
      <c r="AQ98" s="189">
        <v>4184001582.1900001</v>
      </c>
      <c r="AR98" s="189">
        <v>3939446493.21</v>
      </c>
      <c r="AS98" s="189">
        <v>3016465972.27</v>
      </c>
      <c r="AT98" s="189">
        <v>2895687323</v>
      </c>
      <c r="AU98" s="189">
        <v>2731195492.8200002</v>
      </c>
      <c r="AV98" s="189">
        <v>3619192723.04</v>
      </c>
      <c r="AW98" s="189">
        <v>2936492710.1799998</v>
      </c>
      <c r="AX98" s="189">
        <v>2836202850</v>
      </c>
      <c r="AY98" s="189">
        <v>2655440755.9699998</v>
      </c>
      <c r="AZ98" s="189">
        <v>2735881568.3699999</v>
      </c>
      <c r="BA98" s="189">
        <v>2271940792.2399998</v>
      </c>
      <c r="BB98" s="189">
        <v>2281862701.6399999</v>
      </c>
      <c r="BC98" s="189">
        <v>2108410721.51</v>
      </c>
      <c r="BD98" s="189">
        <v>2060554311.6199999</v>
      </c>
      <c r="BE98" s="189">
        <v>1714905685.0599999</v>
      </c>
      <c r="BF98" s="189">
        <v>1634285513.4000001</v>
      </c>
      <c r="BG98" s="189">
        <v>1512716042.76</v>
      </c>
      <c r="BH98" s="189">
        <v>2819154405.8699999</v>
      </c>
      <c r="BI98" s="189">
        <v>2490295331.4000001</v>
      </c>
      <c r="BJ98" s="189">
        <v>2403776470.8899999</v>
      </c>
      <c r="BK98" s="189">
        <v>2262549503.6999998</v>
      </c>
      <c r="BL98" s="189">
        <v>2243103077.8499999</v>
      </c>
      <c r="BM98" s="189">
        <v>2007248389.73</v>
      </c>
      <c r="BN98" s="189">
        <v>1951462497.3</v>
      </c>
      <c r="BO98" s="189">
        <v>1830539949.02</v>
      </c>
      <c r="BP98" s="189">
        <v>1872926600.26</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0</v>
      </c>
      <c r="C99" s="189">
        <v>5046990406.5</v>
      </c>
      <c r="D99" s="189">
        <v>0</v>
      </c>
      <c r="E99" s="189">
        <v>0</v>
      </c>
      <c r="F99" s="189">
        <v>0</v>
      </c>
      <c r="G99" s="189">
        <v>201132742.55000001</v>
      </c>
      <c r="H99" s="189">
        <v>0</v>
      </c>
      <c r="I99" s="189">
        <v>0</v>
      </c>
      <c r="J99" s="189">
        <v>70146471.420000002</v>
      </c>
      <c r="K99" s="189">
        <v>3036773376</v>
      </c>
      <c r="L99" s="189">
        <v>0</v>
      </c>
      <c r="M99" s="189">
        <v>0</v>
      </c>
      <c r="N99" s="189">
        <v>0</v>
      </c>
      <c r="O99" s="189">
        <v>0</v>
      </c>
      <c r="P99" s="189">
        <v>0</v>
      </c>
      <c r="Q99" s="189">
        <v>0</v>
      </c>
      <c r="R99" s="189">
        <v>0</v>
      </c>
      <c r="S99" s="189">
        <v>356571.6</v>
      </c>
      <c r="T99" s="189">
        <v>0</v>
      </c>
      <c r="U99" s="189">
        <v>0</v>
      </c>
      <c r="V99" s="189">
        <v>0</v>
      </c>
      <c r="W99" s="189">
        <v>0</v>
      </c>
      <c r="X99" s="189">
        <v>322500000</v>
      </c>
      <c r="Y99" s="189">
        <v>322500000</v>
      </c>
      <c r="Z99" s="189">
        <v>0</v>
      </c>
      <c r="AA99" s="189">
        <v>0</v>
      </c>
      <c r="AB99" s="189">
        <v>0</v>
      </c>
      <c r="AC99" s="189">
        <v>175000000</v>
      </c>
      <c r="AD99" s="189">
        <v>60625990.25</v>
      </c>
      <c r="AE99" s="189">
        <v>443625990.25</v>
      </c>
      <c r="AF99" s="189">
        <v>143625990.25</v>
      </c>
      <c r="AG99" s="189">
        <v>349275990.25</v>
      </c>
      <c r="AH99" s="189">
        <v>83000000</v>
      </c>
      <c r="AI99" s="189">
        <v>83000000</v>
      </c>
      <c r="AJ99" s="189">
        <v>14372430.720000001</v>
      </c>
      <c r="AK99" s="189">
        <v>220625990.25</v>
      </c>
      <c r="AL99" s="189">
        <v>0</v>
      </c>
      <c r="AM99" s="189">
        <v>0</v>
      </c>
      <c r="AN99" s="189">
        <v>0</v>
      </c>
      <c r="AO99" s="189">
        <v>0</v>
      </c>
      <c r="AP99" s="189">
        <v>0</v>
      </c>
      <c r="AQ99" s="189">
        <v>0</v>
      </c>
      <c r="AR99" s="189">
        <v>0</v>
      </c>
      <c r="AS99" s="189">
        <v>0</v>
      </c>
      <c r="AT99" s="189">
        <v>100000000</v>
      </c>
      <c r="AU99" s="189">
        <v>100000000</v>
      </c>
      <c r="AV99" s="189">
        <v>0</v>
      </c>
      <c r="AW99" s="189">
        <v>0</v>
      </c>
      <c r="AX99" s="189">
        <v>0</v>
      </c>
      <c r="AY99" s="189">
        <v>41778688</v>
      </c>
      <c r="AZ99" s="189">
        <v>0</v>
      </c>
      <c r="BA99" s="189">
        <v>0</v>
      </c>
      <c r="BB99" s="189">
        <v>0</v>
      </c>
      <c r="BC99" s="189">
        <v>0</v>
      </c>
      <c r="BD99" s="189">
        <v>0</v>
      </c>
      <c r="BE99" s="189">
        <v>0</v>
      </c>
      <c r="BF99" s="189">
        <v>0</v>
      </c>
      <c r="BG99" s="189">
        <v>0</v>
      </c>
      <c r="BH99" s="189">
        <v>0</v>
      </c>
      <c r="BI99" s="189">
        <v>0</v>
      </c>
      <c r="BJ99" s="189">
        <v>15606000</v>
      </c>
      <c r="BK99" s="189">
        <v>15606000</v>
      </c>
      <c r="BL99" s="189">
        <v>15606000</v>
      </c>
      <c r="BM99" s="189">
        <v>15606000</v>
      </c>
      <c r="BN99" s="189">
        <v>15606000</v>
      </c>
      <c r="BO99" s="189">
        <v>15606000</v>
      </c>
      <c r="BP99" s="189">
        <v>21726000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59597439886.779999</v>
      </c>
      <c r="C102" s="189">
        <v>57213278990.949997</v>
      </c>
      <c r="D102" s="189">
        <v>58305094307.510002</v>
      </c>
      <c r="E102" s="189">
        <v>53334081189.480003</v>
      </c>
      <c r="F102" s="189">
        <v>50625122934.309998</v>
      </c>
      <c r="G102" s="189">
        <v>48631865245.459999</v>
      </c>
      <c r="H102" s="189">
        <v>50669842180.120003</v>
      </c>
      <c r="I102" s="189">
        <v>47076729739.330002</v>
      </c>
      <c r="J102" s="189">
        <v>45393509656.639999</v>
      </c>
      <c r="K102" s="189">
        <v>44179009614.25</v>
      </c>
      <c r="L102" s="189">
        <v>46232082042.120003</v>
      </c>
      <c r="M102" s="189">
        <v>43328917566.120003</v>
      </c>
      <c r="N102" s="189">
        <v>41755818123.730003</v>
      </c>
      <c r="O102" s="189">
        <v>40450326155.529999</v>
      </c>
      <c r="P102" s="189">
        <v>41631177877.110001</v>
      </c>
      <c r="Q102" s="189">
        <v>39430378341.940002</v>
      </c>
      <c r="R102" s="189">
        <v>38142751454.599998</v>
      </c>
      <c r="S102" s="189">
        <v>37437276214.269997</v>
      </c>
      <c r="T102" s="189">
        <v>38711780181.169998</v>
      </c>
      <c r="U102" s="189">
        <v>36092639767</v>
      </c>
      <c r="V102" s="189">
        <v>35223671771.230003</v>
      </c>
      <c r="W102" s="189">
        <v>33910859267.110001</v>
      </c>
      <c r="X102" s="189">
        <v>34783464477.599998</v>
      </c>
      <c r="Y102" s="189">
        <v>31156598159.759998</v>
      </c>
      <c r="Z102" s="189">
        <v>28982727040.23</v>
      </c>
      <c r="AA102" s="189">
        <v>26227111889.43</v>
      </c>
      <c r="AB102" s="189">
        <v>26134341774.68</v>
      </c>
      <c r="AC102" s="189">
        <v>23119708699.330002</v>
      </c>
      <c r="AD102" s="189">
        <v>21780456109.310001</v>
      </c>
      <c r="AE102" s="189">
        <v>20324831950.529999</v>
      </c>
      <c r="AF102" s="189">
        <v>20219975822.470001</v>
      </c>
      <c r="AG102" s="189">
        <v>18101033527.919998</v>
      </c>
      <c r="AH102" s="189">
        <v>17076693557.92</v>
      </c>
      <c r="AI102" s="189">
        <v>15952221572</v>
      </c>
      <c r="AJ102" s="189">
        <v>15827308417.91</v>
      </c>
      <c r="AK102" s="189">
        <v>14275021541.17</v>
      </c>
      <c r="AL102" s="189">
        <v>13489566058.459999</v>
      </c>
      <c r="AM102" s="189">
        <v>12794793506.780001</v>
      </c>
      <c r="AN102" s="189">
        <v>12640726671.110001</v>
      </c>
      <c r="AO102" s="189">
        <v>11380067365.719999</v>
      </c>
      <c r="AP102" s="189">
        <v>11158726711.690001</v>
      </c>
      <c r="AQ102" s="189">
        <v>10865132147.959999</v>
      </c>
      <c r="AR102" s="189">
        <v>10592688648.690001</v>
      </c>
      <c r="AS102" s="189">
        <v>9569379815.5599995</v>
      </c>
      <c r="AT102" s="189">
        <v>9444699665.4099998</v>
      </c>
      <c r="AU102" s="189">
        <v>9264864912.6800003</v>
      </c>
      <c r="AV102" s="189">
        <v>9012398068.3999996</v>
      </c>
      <c r="AW102" s="189">
        <v>8257212457.3599997</v>
      </c>
      <c r="AX102" s="189">
        <v>8106355261.6899996</v>
      </c>
      <c r="AY102" s="189">
        <v>7906099500.2799997</v>
      </c>
      <c r="AZ102" s="189">
        <v>7904330388.04</v>
      </c>
      <c r="BA102" s="189">
        <v>7358235400.0600004</v>
      </c>
      <c r="BB102" s="189">
        <v>7335831828.4099998</v>
      </c>
      <c r="BC102" s="189">
        <v>7155293928.0200005</v>
      </c>
      <c r="BD102" s="189">
        <v>6979736606.6199999</v>
      </c>
      <c r="BE102" s="189">
        <v>6566886603.0200005</v>
      </c>
      <c r="BF102" s="189">
        <v>6417153928.7799997</v>
      </c>
      <c r="BG102" s="189">
        <v>6275834678.6400003</v>
      </c>
      <c r="BH102" s="189">
        <v>6393497694.0299997</v>
      </c>
      <c r="BI102" s="189">
        <v>6010029931.6000004</v>
      </c>
      <c r="BJ102" s="189">
        <v>5854624464.04</v>
      </c>
      <c r="BK102" s="189">
        <v>5696682615.46</v>
      </c>
      <c r="BL102" s="189">
        <v>5595599973.54</v>
      </c>
      <c r="BM102" s="189">
        <v>5307055453.6800003</v>
      </c>
      <c r="BN102" s="189">
        <v>5196040467.4899998</v>
      </c>
      <c r="BO102" s="189">
        <v>5053742967.6300001</v>
      </c>
      <c r="BP102" s="189">
        <v>4942046030.3000002</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1446814271.1099999</v>
      </c>
      <c r="C103" s="189">
        <v>1333957559.96</v>
      </c>
      <c r="D103" s="189">
        <v>1583200429.74</v>
      </c>
      <c r="E103" s="189">
        <v>1340244459.7</v>
      </c>
      <c r="F103" s="189">
        <v>1228208651.3299999</v>
      </c>
      <c r="G103" s="189">
        <v>1146301133.45</v>
      </c>
      <c r="H103" s="189">
        <v>1275222114.5699999</v>
      </c>
      <c r="I103" s="189">
        <v>1129129470.3699999</v>
      </c>
      <c r="J103" s="189">
        <v>1052199553.7</v>
      </c>
      <c r="K103" s="189">
        <v>1156054850.0699999</v>
      </c>
      <c r="L103" s="189">
        <v>1121409303.0799999</v>
      </c>
      <c r="M103" s="189">
        <v>1016243396.4299999</v>
      </c>
      <c r="N103" s="189">
        <v>955969032.20000005</v>
      </c>
      <c r="O103" s="189">
        <v>885554147.08000004</v>
      </c>
      <c r="P103" s="189">
        <v>995825825.64999998</v>
      </c>
      <c r="Q103" s="189">
        <v>902702104.13999999</v>
      </c>
      <c r="R103" s="189">
        <v>895311832.45000005</v>
      </c>
      <c r="S103" s="189">
        <v>749180152.45000005</v>
      </c>
      <c r="T103" s="189">
        <v>1043052956.52</v>
      </c>
      <c r="U103" s="189">
        <v>926644785.09000003</v>
      </c>
      <c r="V103" s="189">
        <v>712583368.99000001</v>
      </c>
      <c r="W103" s="189">
        <v>581194595.75999999</v>
      </c>
      <c r="X103" s="189">
        <v>491668788.32999998</v>
      </c>
      <c r="Y103" s="189">
        <v>364472393.54000002</v>
      </c>
      <c r="Z103" s="189">
        <v>638715732.45000005</v>
      </c>
      <c r="AA103" s="189">
        <v>522089084.44999999</v>
      </c>
      <c r="AB103" s="189">
        <v>443606107.22000003</v>
      </c>
      <c r="AC103" s="189">
        <v>326980041.12</v>
      </c>
      <c r="AD103" s="189">
        <v>448121904.16000003</v>
      </c>
      <c r="AE103" s="189">
        <v>393276879.88</v>
      </c>
      <c r="AF103" s="189">
        <v>345161311.58999997</v>
      </c>
      <c r="AG103" s="189">
        <v>265068013.55000001</v>
      </c>
      <c r="AH103" s="189">
        <v>442350412.87</v>
      </c>
      <c r="AI103" s="189">
        <v>387189250.22000003</v>
      </c>
      <c r="AJ103" s="189">
        <v>360389434.32999998</v>
      </c>
      <c r="AK103" s="189">
        <v>305440603.42000002</v>
      </c>
      <c r="AL103" s="189">
        <v>169280595.13999999</v>
      </c>
      <c r="AM103" s="189">
        <v>91245677.840000004</v>
      </c>
      <c r="AN103" s="189">
        <v>84490434.319999993</v>
      </c>
      <c r="AO103" s="189">
        <v>75869511</v>
      </c>
      <c r="AP103" s="189">
        <v>71596625.420000002</v>
      </c>
      <c r="AQ103" s="189">
        <v>69251602.510000005</v>
      </c>
      <c r="AR103" s="189">
        <v>49256028.789999999</v>
      </c>
      <c r="AS103" s="189">
        <v>56857168.609999999</v>
      </c>
      <c r="AT103" s="189">
        <v>40888487.079999998</v>
      </c>
      <c r="AU103" s="189">
        <v>39150237.640000001</v>
      </c>
      <c r="AV103" s="189">
        <v>39251320.369999997</v>
      </c>
      <c r="AW103" s="189">
        <v>37956057.280000001</v>
      </c>
      <c r="AX103" s="189">
        <v>33329921.27</v>
      </c>
      <c r="AY103" s="189">
        <v>32650863.870000001</v>
      </c>
      <c r="AZ103" s="189">
        <v>30454120.460000001</v>
      </c>
      <c r="BA103" s="189">
        <v>27733578.48</v>
      </c>
      <c r="BB103" s="189">
        <v>24884323.18</v>
      </c>
      <c r="BC103" s="189">
        <v>24132037.629999999</v>
      </c>
      <c r="BD103" s="189">
        <v>23728982.75</v>
      </c>
      <c r="BE103" s="189">
        <v>20075298.75</v>
      </c>
      <c r="BF103" s="189">
        <v>16762352.4</v>
      </c>
      <c r="BG103" s="189">
        <v>16880188.02</v>
      </c>
      <c r="BH103" s="189">
        <v>15789115.83</v>
      </c>
      <c r="BI103" s="189">
        <v>15862755.060000001</v>
      </c>
      <c r="BJ103" s="189">
        <v>15780686.800000001</v>
      </c>
      <c r="BK103" s="189">
        <v>15072018.689999999</v>
      </c>
      <c r="BL103" s="189">
        <v>16011767.529999999</v>
      </c>
      <c r="BM103" s="189">
        <v>15044502.029999999</v>
      </c>
      <c r="BN103" s="189">
        <v>18252665.030000001</v>
      </c>
      <c r="BO103" s="189">
        <v>21619133.460000001</v>
      </c>
      <c r="BP103" s="189">
        <v>12934639.26</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61044254157.889999</v>
      </c>
      <c r="C107" s="33">
        <f>C102+C103</f>
        <v>58547236550.909996</v>
      </c>
      <c r="D107" s="33">
        <f>D102+D103</f>
        <v>59888294737.25</v>
      </c>
      <c r="E107" s="33">
        <f>E102+E103</f>
        <v>54674325649.18</v>
      </c>
      <c r="F107" s="33">
        <f t="shared" ref="F107:BQ107" si="20">F102+F103</f>
        <v>51853331585.639999</v>
      </c>
      <c r="G107" s="33">
        <f t="shared" si="20"/>
        <v>49778166378.909996</v>
      </c>
      <c r="H107" s="33">
        <f t="shared" si="20"/>
        <v>51945064294.690002</v>
      </c>
      <c r="I107" s="33">
        <f t="shared" si="20"/>
        <v>48205859209.700005</v>
      </c>
      <c r="J107" s="33">
        <f t="shared" si="20"/>
        <v>46445709210.339996</v>
      </c>
      <c r="K107" s="33">
        <f t="shared" si="20"/>
        <v>45335064464.32</v>
      </c>
      <c r="L107" s="33">
        <f t="shared" si="20"/>
        <v>47353491345.200005</v>
      </c>
      <c r="M107" s="33">
        <f t="shared" si="20"/>
        <v>44345160962.550003</v>
      </c>
      <c r="N107" s="33">
        <f t="shared" si="20"/>
        <v>42711787155.93</v>
      </c>
      <c r="O107" s="33">
        <f t="shared" si="20"/>
        <v>41335880302.610001</v>
      </c>
      <c r="P107" s="33">
        <f t="shared" si="20"/>
        <v>42627003702.760002</v>
      </c>
      <c r="Q107" s="33">
        <f t="shared" si="20"/>
        <v>40333080446.080002</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61044254157.889999</v>
      </c>
      <c r="C108" s="38">
        <f t="shared" ref="C108:BN108" si="22">SUM(C89+C107)</f>
        <v>58547236550.909996</v>
      </c>
      <c r="D108" s="38">
        <f t="shared" si="22"/>
        <v>59888294737.25</v>
      </c>
      <c r="E108" s="38">
        <f>SUM(E107+E89)</f>
        <v>54674325649.18</v>
      </c>
      <c r="F108" s="38">
        <f t="shared" si="22"/>
        <v>51853331585.639999</v>
      </c>
      <c r="G108" s="38">
        <f t="shared" si="22"/>
        <v>49778166378.909996</v>
      </c>
      <c r="H108" s="38">
        <f t="shared" si="22"/>
        <v>51945064294.690002</v>
      </c>
      <c r="I108" s="38">
        <f t="shared" si="22"/>
        <v>48205859209.700005</v>
      </c>
      <c r="J108" s="38">
        <f t="shared" si="22"/>
        <v>46445709210.339996</v>
      </c>
      <c r="K108" s="38">
        <f t="shared" si="22"/>
        <v>45335064464.32</v>
      </c>
      <c r="L108" s="38">
        <f t="shared" si="22"/>
        <v>47353491345.200005</v>
      </c>
      <c r="M108" s="38">
        <f t="shared" si="22"/>
        <v>44345160962.550003</v>
      </c>
      <c r="N108" s="38">
        <f t="shared" si="22"/>
        <v>42712787155.93</v>
      </c>
      <c r="O108" s="38">
        <f t="shared" si="22"/>
        <v>41336880302.610001</v>
      </c>
      <c r="P108" s="38">
        <f t="shared" si="22"/>
        <v>42628003702.760002</v>
      </c>
      <c r="Q108" s="38">
        <f t="shared" si="22"/>
        <v>40334080446.080002</v>
      </c>
      <c r="R108" s="38">
        <f t="shared" si="22"/>
        <v>39103579805.079994</v>
      </c>
      <c r="S108" s="38">
        <f t="shared" si="22"/>
        <v>38251651634.759995</v>
      </c>
      <c r="T108" s="38">
        <f t="shared" si="22"/>
        <v>39820487155.739998</v>
      </c>
      <c r="U108" s="38">
        <f t="shared" si="22"/>
        <v>37086897320.149994</v>
      </c>
      <c r="V108" s="38">
        <f t="shared" si="22"/>
        <v>35994179158.279999</v>
      </c>
      <c r="W108" s="38">
        <f t="shared" si="22"/>
        <v>34550289130.93</v>
      </c>
      <c r="X108" s="38">
        <f t="shared" si="22"/>
        <v>35333679783.989998</v>
      </c>
      <c r="Y108" s="38">
        <f t="shared" si="22"/>
        <v>31578928321.360001</v>
      </c>
      <c r="Z108" s="38">
        <f t="shared" si="22"/>
        <v>29679581790.740002</v>
      </c>
      <c r="AA108" s="38">
        <f t="shared" si="22"/>
        <v>26799821241.940002</v>
      </c>
      <c r="AB108" s="38">
        <f t="shared" si="22"/>
        <v>26626449399.960003</v>
      </c>
      <c r="AC108" s="38">
        <f t="shared" si="22"/>
        <v>23494871508.510002</v>
      </c>
      <c r="AD108" s="38">
        <f t="shared" si="22"/>
        <v>22270455156.540001</v>
      </c>
      <c r="AE108" s="38">
        <f t="shared" si="22"/>
        <v>20742923473.48</v>
      </c>
      <c r="AF108" s="38">
        <f t="shared" si="22"/>
        <v>20586047732.280003</v>
      </c>
      <c r="AG108" s="38">
        <f t="shared" si="22"/>
        <v>18383012139.689999</v>
      </c>
      <c r="AH108" s="38">
        <f t="shared" si="22"/>
        <v>17520043970.790001</v>
      </c>
      <c r="AI108" s="38">
        <f t="shared" si="22"/>
        <v>16340410822.219999</v>
      </c>
      <c r="AJ108" s="38">
        <f t="shared" si="22"/>
        <v>16188697852.24</v>
      </c>
      <c r="AK108" s="38">
        <f t="shared" si="22"/>
        <v>14581462144.59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9628736984.1700001</v>
      </c>
      <c r="AT108" s="38">
        <f t="shared" si="22"/>
        <v>9488088152.4899998</v>
      </c>
      <c r="AU108" s="38">
        <f t="shared" si="22"/>
        <v>9306515150.3199997</v>
      </c>
      <c r="AV108" s="38">
        <f t="shared" si="22"/>
        <v>9054149388.7700005</v>
      </c>
      <c r="AW108" s="38">
        <f t="shared" si="22"/>
        <v>8297668514.6399994</v>
      </c>
      <c r="AX108" s="38">
        <f t="shared" si="22"/>
        <v>8142185182.96</v>
      </c>
      <c r="AY108" s="38">
        <f t="shared" si="22"/>
        <v>7941250364.1499996</v>
      </c>
      <c r="AZ108" s="38">
        <f t="shared" si="22"/>
        <v>7937284508.5</v>
      </c>
      <c r="BA108" s="38">
        <f t="shared" si="22"/>
        <v>7388468978.54</v>
      </c>
      <c r="BB108" s="38">
        <f t="shared" si="22"/>
        <v>7363216151.5900002</v>
      </c>
      <c r="BC108" s="38">
        <f t="shared" si="22"/>
        <v>7181925965.6500006</v>
      </c>
      <c r="BD108" s="38">
        <f t="shared" si="22"/>
        <v>7005965589.3699999</v>
      </c>
      <c r="BE108" s="38">
        <f t="shared" si="22"/>
        <v>6589461901.7700005</v>
      </c>
      <c r="BF108" s="38">
        <f t="shared" si="22"/>
        <v>6436416281.1799994</v>
      </c>
      <c r="BG108" s="38">
        <f t="shared" si="22"/>
        <v>6295214866.6600008</v>
      </c>
      <c r="BH108" s="38">
        <f t="shared" si="22"/>
        <v>6411786809.8599997</v>
      </c>
      <c r="BI108" s="38">
        <f t="shared" si="22"/>
        <v>6028392686.6600008</v>
      </c>
      <c r="BJ108" s="38">
        <f t="shared" si="22"/>
        <v>5872905150.8400002</v>
      </c>
      <c r="BK108" s="38">
        <f t="shared" si="22"/>
        <v>5714254634.1499996</v>
      </c>
      <c r="BL108" s="38">
        <f t="shared" si="22"/>
        <v>5614111741.0699997</v>
      </c>
      <c r="BM108" s="38">
        <f t="shared" si="22"/>
        <v>5344599955.71</v>
      </c>
      <c r="BN108" s="38">
        <f t="shared" si="22"/>
        <v>5236793132.5199995</v>
      </c>
      <c r="BO108" s="38">
        <f t="shared" ref="BO108:CK108" si="23">SUM(BO89+BO107)</f>
        <v>5149862101.0900002</v>
      </c>
      <c r="BP108" s="38">
        <f t="shared" si="23"/>
        <v>4977480669.5600004</v>
      </c>
      <c r="BQ108" s="38">
        <f t="shared" si="23"/>
        <v>4724743132.8000002</v>
      </c>
      <c r="BR108" s="38">
        <f t="shared" si="23"/>
        <v>4561780000</v>
      </c>
      <c r="BS108" s="38">
        <f t="shared" si="23"/>
        <v>4408155821.6400003</v>
      </c>
      <c r="BT108" s="38">
        <f t="shared" si="23"/>
        <v>4262123191.5</v>
      </c>
      <c r="BU108" s="38">
        <f t="shared" si="23"/>
        <v>3238216198.9499998</v>
      </c>
      <c r="BV108" s="38">
        <f t="shared" si="23"/>
        <v>2854633685.0900002</v>
      </c>
      <c r="BW108" s="38">
        <f t="shared" si="23"/>
        <v>2427635771.9699998</v>
      </c>
      <c r="BX108" s="38">
        <f t="shared" si="23"/>
        <v>2089698452.7</v>
      </c>
      <c r="BY108" s="38">
        <f t="shared" si="23"/>
        <v>1764990217.6700001</v>
      </c>
      <c r="BZ108" s="38">
        <f t="shared" si="23"/>
        <v>1864618529.46</v>
      </c>
      <c r="CA108" s="38">
        <f t="shared" si="23"/>
        <v>462384778.43000001</v>
      </c>
      <c r="CB108" s="38">
        <f t="shared" si="23"/>
        <v>432458379.21000004</v>
      </c>
      <c r="CC108" s="38">
        <f t="shared" si="23"/>
        <v>528717479.94999999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2.6640625" hidden="1" customWidth="1"/>
    <col min="17" max="17" width="21.44140625" bestFit="1" customWidth="1"/>
    <col min="18" max="20" width="21.44140625" hidden="1" customWidth="1"/>
    <col min="21" max="21" width="22.6640625" bestFit="1" customWidth="1"/>
    <col min="22" max="24" width="21.44140625" hidden="1" customWidth="1"/>
    <col min="25" max="25" width="22.6640625" bestFit="1" customWidth="1"/>
    <col min="26" max="26" width="22.66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4" width="21.44140625" hidden="1" customWidth="1"/>
    <col min="55" max="55" width="19.33203125" hidden="1" customWidth="1"/>
    <col min="56" max="56" width="20.21875" hidden="1" customWidth="1"/>
    <col min="57" max="57" width="21.44140625" bestFit="1" customWidth="1"/>
    <col min="58" max="58" width="21.44140625" hidden="1" customWidth="1"/>
    <col min="59" max="59" width="19.33203125" hidden="1" customWidth="1"/>
    <col min="60" max="60" width="20.21875" hidden="1" customWidth="1"/>
    <col min="61" max="61" width="21.44140625" bestFit="1" customWidth="1"/>
    <col min="62" max="63" width="19.33203125" hidden="1" customWidth="1"/>
    <col min="64" max="64" width="20.21875" hidden="1" customWidth="1"/>
    <col min="65" max="65" width="19.33203125" bestFit="1" customWidth="1"/>
    <col min="66" max="67" width="19.33203125" hidden="1" customWidth="1"/>
    <col min="68" max="68" width="20.21875" hidden="1" customWidth="1"/>
    <col min="69" max="69" width="19.33203125" bestFit="1" customWidth="1"/>
    <col min="70" max="70" width="21.44140625" hidden="1" customWidth="1"/>
    <col min="71" max="71" width="19.33203125" hidden="1" customWidth="1"/>
    <col min="72" max="72" width="19" hidden="1" customWidth="1"/>
    <col min="73" max="73" width="21.44140625" bestFit="1" customWidth="1"/>
    <col min="74" max="74" width="19.33203125" hidden="1" customWidth="1"/>
    <col min="75" max="75" width="19.33203125" bestFit="1" customWidth="1"/>
    <col min="76" max="76" width="19" hidden="1" customWidth="1"/>
    <col min="77" max="77" width="19.33203125" bestFit="1" customWidth="1"/>
    <col min="78" max="78" width="19" hidden="1" customWidth="1"/>
    <col min="79" max="79" width="19.33203125" bestFit="1" customWidth="1"/>
    <col min="80" max="81" width="19"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385</v>
      </c>
      <c r="B4" s="189">
        <v>29250287403.09</v>
      </c>
      <c r="C4" s="189">
        <v>21421181221.360001</v>
      </c>
      <c r="D4" s="189">
        <v>13897660045.379999</v>
      </c>
      <c r="E4" s="189">
        <v>30186780409.139999</v>
      </c>
      <c r="F4" s="189">
        <v>21977596629.700001</v>
      </c>
      <c r="G4" s="189">
        <v>15621127660.559999</v>
      </c>
      <c r="H4" s="189">
        <v>10158807519.1</v>
      </c>
      <c r="I4" s="189">
        <v>24543792660.59</v>
      </c>
      <c r="J4" s="189">
        <v>17699643832.209999</v>
      </c>
      <c r="K4" s="189">
        <v>13255638646.02</v>
      </c>
      <c r="L4" s="189">
        <v>8825564213.4699993</v>
      </c>
      <c r="M4" s="189">
        <v>21659287359.66</v>
      </c>
      <c r="N4" s="189">
        <v>15131341357.209999</v>
      </c>
      <c r="O4" s="189">
        <v>11215414006.940001</v>
      </c>
      <c r="P4" s="189">
        <v>6735435074.1599998</v>
      </c>
      <c r="Q4" s="189">
        <v>21011491536.139999</v>
      </c>
      <c r="R4" s="189">
        <v>15068314515.67</v>
      </c>
      <c r="S4" s="189">
        <v>11662532799.27</v>
      </c>
      <c r="T4" s="189">
        <v>6719851620.2700005</v>
      </c>
      <c r="U4" s="189">
        <v>24718588617.990002</v>
      </c>
      <c r="V4" s="189">
        <v>19165837235.439999</v>
      </c>
      <c r="W4" s="189">
        <v>15519877625.32</v>
      </c>
      <c r="X4" s="189">
        <v>8675799862.7600002</v>
      </c>
      <c r="Y4" s="189">
        <v>27201045951.34</v>
      </c>
      <c r="Z4" s="189">
        <v>21126603442.650002</v>
      </c>
      <c r="AA4" s="189">
        <v>15049709413.35</v>
      </c>
      <c r="AB4" s="189">
        <v>8230651472.6199999</v>
      </c>
      <c r="AC4" s="189">
        <v>20350594468.709999</v>
      </c>
      <c r="AD4" s="189">
        <v>15648774490.190001</v>
      </c>
      <c r="AE4" s="189">
        <v>10594830203.200001</v>
      </c>
      <c r="AF4" s="189">
        <v>6244557079.6499996</v>
      </c>
      <c r="AG4" s="189">
        <v>15541300510.85</v>
      </c>
      <c r="AH4" s="189">
        <v>11471710170.860001</v>
      </c>
      <c r="AI4" s="189">
        <v>7576545903.4899998</v>
      </c>
      <c r="AJ4" s="189">
        <v>4493625787.5500002</v>
      </c>
      <c r="AK4" s="189">
        <v>11129220549.610001</v>
      </c>
      <c r="AL4" s="189">
        <v>8029680076.3699999</v>
      </c>
      <c r="AM4" s="189">
        <v>5340889931.8100004</v>
      </c>
      <c r="AN4" s="189">
        <v>3338850726.5900002</v>
      </c>
      <c r="AO4" s="189">
        <v>7933068723.21</v>
      </c>
      <c r="AP4" s="189">
        <v>6578679657.1199999</v>
      </c>
      <c r="AQ4" s="189">
        <v>4597277683.0200005</v>
      </c>
      <c r="AR4" s="189">
        <v>3086147513.71</v>
      </c>
      <c r="AS4" s="189">
        <v>7328555841.6199999</v>
      </c>
      <c r="AT4" s="189">
        <v>6043063119.9700003</v>
      </c>
      <c r="AU4" s="189">
        <v>4342880480.1599998</v>
      </c>
      <c r="AV4" s="189">
        <v>3009852591.5900002</v>
      </c>
      <c r="AW4" s="189">
        <v>7386141421.5100002</v>
      </c>
      <c r="AX4" s="189">
        <v>5955523309.9399996</v>
      </c>
      <c r="AY4" s="189">
        <v>4397011844.6999998</v>
      </c>
      <c r="AZ4" s="189">
        <v>2730446461.8499999</v>
      </c>
      <c r="BA4" s="189">
        <v>6418751478.3199997</v>
      </c>
      <c r="BB4" s="189">
        <v>4967771279.1899996</v>
      </c>
      <c r="BC4" s="189">
        <v>3807013164.1999998</v>
      </c>
      <c r="BD4" s="189">
        <v>2469452513.6900001</v>
      </c>
      <c r="BE4" s="189">
        <v>6297583438.9799995</v>
      </c>
      <c r="BF4" s="189">
        <v>4578081987.8100004</v>
      </c>
      <c r="BG4" s="189">
        <v>3457300399.23</v>
      </c>
      <c r="BH4" s="189">
        <v>2449943325.7399998</v>
      </c>
      <c r="BI4" s="189">
        <v>6333090598.79</v>
      </c>
      <c r="BJ4" s="189">
        <v>4640989046.4700003</v>
      </c>
      <c r="BK4" s="189">
        <v>3426815041.8899999</v>
      </c>
      <c r="BL4" s="189">
        <v>2274657872.1900001</v>
      </c>
      <c r="BM4" s="189">
        <v>5706517438.4499998</v>
      </c>
      <c r="BN4" s="189">
        <v>4483326842.3900003</v>
      </c>
      <c r="BO4" s="189">
        <v>3462399215.1500001</v>
      </c>
      <c r="BP4" s="189">
        <v>2263204765.0599999</v>
      </c>
      <c r="BQ4" s="189">
        <v>4742095340.6499996</v>
      </c>
      <c r="BR4" s="189">
        <v>3700110000</v>
      </c>
      <c r="BS4" s="189">
        <v>2817494022.5799999</v>
      </c>
      <c r="BT4" s="189">
        <v>1999899650.1600001</v>
      </c>
      <c r="BU4" s="189">
        <v>3953640138.96</v>
      </c>
      <c r="BV4" s="189">
        <v>2667684533.9200001</v>
      </c>
      <c r="BW4" s="189">
        <v>3308791041.8000002</v>
      </c>
      <c r="BX4" s="189">
        <v>1900893259.47</v>
      </c>
      <c r="BY4" s="189">
        <v>2814346533.1199999</v>
      </c>
      <c r="BZ4" s="189">
        <v>1210433401.23</v>
      </c>
      <c r="CA4" s="189">
        <v>2204454415.5599999</v>
      </c>
      <c r="CB4" s="189">
        <v>1309696890.55</v>
      </c>
      <c r="CC4" s="189">
        <v>914703675.36000001</v>
      </c>
      <c r="CD4" s="189">
        <v>0</v>
      </c>
      <c r="CE4" s="189"/>
      <c r="CF4" s="189"/>
      <c r="CG4" s="189"/>
      <c r="CH4" s="189"/>
      <c r="CI4" s="189"/>
      <c r="CJ4" s="189"/>
      <c r="CK4" s="189"/>
    </row>
    <row r="5" spans="1:89" x14ac:dyDescent="0.25">
      <c r="A5" s="19" t="s">
        <v>386</v>
      </c>
      <c r="B5" s="189">
        <v>7759838646.7200003</v>
      </c>
      <c r="C5" s="189">
        <v>5818583155.1899996</v>
      </c>
      <c r="D5" s="189">
        <v>3725553183.0700002</v>
      </c>
      <c r="E5" s="189">
        <v>8450087271.3599997</v>
      </c>
      <c r="F5" s="189">
        <v>6350106683.5200005</v>
      </c>
      <c r="G5" s="189">
        <v>4428529135.8999996</v>
      </c>
      <c r="H5" s="189">
        <v>2993353291.3099999</v>
      </c>
      <c r="I5" s="189">
        <v>7314252452.3800001</v>
      </c>
      <c r="J5" s="189">
        <v>5287169637.4300003</v>
      </c>
      <c r="K5" s="189">
        <v>3976153298.8800001</v>
      </c>
      <c r="L5" s="189">
        <v>2661635000.4699998</v>
      </c>
      <c r="M5" s="189">
        <v>6671963269.6700001</v>
      </c>
      <c r="N5" s="189">
        <v>4656198301.6999998</v>
      </c>
      <c r="O5" s="189">
        <v>3376312811.8299999</v>
      </c>
      <c r="P5" s="189">
        <v>2055823734.03</v>
      </c>
      <c r="Q5" s="189">
        <v>5772029404.0299997</v>
      </c>
      <c r="R5" s="189">
        <v>3787920585.1700001</v>
      </c>
      <c r="S5" s="189">
        <v>2857248428.6700001</v>
      </c>
      <c r="T5" s="189">
        <v>1682004658.98</v>
      </c>
      <c r="U5" s="189">
        <v>6610410852.2399998</v>
      </c>
      <c r="V5" s="189">
        <v>5339450953.04</v>
      </c>
      <c r="W5" s="189">
        <v>4376697218.3699999</v>
      </c>
      <c r="X5" s="189">
        <v>2033064547.8699999</v>
      </c>
      <c r="Y5" s="189">
        <v>8015724440.8500004</v>
      </c>
      <c r="Z5" s="189">
        <v>6475620512.3999996</v>
      </c>
      <c r="AA5" s="189">
        <v>5252285371.5299997</v>
      </c>
      <c r="AB5" s="189">
        <v>2519558542.4099998</v>
      </c>
      <c r="AC5" s="189">
        <v>6895411289.1300001</v>
      </c>
      <c r="AD5" s="189">
        <v>5318811654.6899996</v>
      </c>
      <c r="AE5" s="189">
        <v>3589356918.8899999</v>
      </c>
      <c r="AF5" s="189">
        <v>2138107423.97</v>
      </c>
      <c r="AG5" s="189">
        <v>4863189610.8299999</v>
      </c>
      <c r="AH5" s="189">
        <v>3862012275.1300001</v>
      </c>
      <c r="AI5" s="189">
        <v>2470927606.6300001</v>
      </c>
      <c r="AJ5" s="189">
        <v>1354048502.05</v>
      </c>
      <c r="AK5" s="189">
        <v>3860659982.3200002</v>
      </c>
      <c r="AL5" s="189">
        <v>3030912031.6799998</v>
      </c>
      <c r="AM5" s="189">
        <v>2029592156.77</v>
      </c>
      <c r="AN5" s="189">
        <v>1086953253.6500001</v>
      </c>
      <c r="AO5" s="189">
        <v>3618072871.25</v>
      </c>
      <c r="AP5" s="189">
        <v>2994697567.3200002</v>
      </c>
      <c r="AQ5" s="189">
        <v>1909931131.78</v>
      </c>
      <c r="AR5" s="189">
        <v>1210862958.6400001</v>
      </c>
      <c r="AS5" s="189">
        <v>3377979573</v>
      </c>
      <c r="AT5" s="189">
        <v>2691916727.7199998</v>
      </c>
      <c r="AU5" s="189">
        <v>1726068014.1400001</v>
      </c>
      <c r="AV5" s="189">
        <v>1260355739.48</v>
      </c>
      <c r="AW5" s="189">
        <v>3486534076.8200002</v>
      </c>
      <c r="AX5" s="189">
        <v>2763275003.6700001</v>
      </c>
      <c r="AY5" s="189">
        <v>1904934120.6800001</v>
      </c>
      <c r="AZ5" s="189">
        <v>1128853611.54</v>
      </c>
      <c r="BA5" s="189">
        <v>3209547722.3400002</v>
      </c>
      <c r="BB5" s="189">
        <v>2434453784.54</v>
      </c>
      <c r="BC5" s="189">
        <v>1840642005.9300001</v>
      </c>
      <c r="BD5" s="189">
        <v>1190452153.4400001</v>
      </c>
      <c r="BE5" s="189">
        <v>3219308815.7399998</v>
      </c>
      <c r="BF5" s="189">
        <v>2411915899.25</v>
      </c>
      <c r="BG5" s="189">
        <v>1846629284.01</v>
      </c>
      <c r="BH5" s="189">
        <v>1345869096.0899999</v>
      </c>
      <c r="BI5" s="189">
        <v>3485512930.8499999</v>
      </c>
      <c r="BJ5" s="189">
        <v>2527189390.6100001</v>
      </c>
      <c r="BK5" s="189">
        <v>1905502286.49</v>
      </c>
      <c r="BL5" s="189">
        <v>1263173219.8800001</v>
      </c>
      <c r="BM5" s="189">
        <v>3200544107.3400002</v>
      </c>
      <c r="BN5" s="189">
        <v>2439984867.3400002</v>
      </c>
      <c r="BO5" s="189">
        <v>1936175378.28</v>
      </c>
      <c r="BP5" s="189">
        <v>1318965800.5</v>
      </c>
      <c r="BQ5" s="189">
        <v>2643927861.4899998</v>
      </c>
      <c r="BR5" s="189">
        <v>0</v>
      </c>
      <c r="BS5" s="189">
        <v>1570152121.23</v>
      </c>
      <c r="BT5" s="189">
        <v>1238131319.3099999</v>
      </c>
      <c r="BU5" s="189">
        <v>1930789417.8299999</v>
      </c>
      <c r="BV5" s="189">
        <v>1153309650.4000001</v>
      </c>
      <c r="BW5" s="189">
        <v>1576612800.96</v>
      </c>
      <c r="BX5" s="189">
        <v>924155194.89999998</v>
      </c>
      <c r="BY5" s="189">
        <v>1486186561.3499999</v>
      </c>
      <c r="BZ5" s="189">
        <v>596587847.75999999</v>
      </c>
      <c r="CA5" s="189">
        <v>1142349023.22</v>
      </c>
      <c r="CB5" s="189">
        <v>564890120.15999997</v>
      </c>
      <c r="CC5" s="189">
        <v>391634546.25999999</v>
      </c>
      <c r="CD5" s="189">
        <v>0</v>
      </c>
      <c r="CE5" s="189"/>
      <c r="CF5" s="189"/>
      <c r="CG5" s="189"/>
      <c r="CH5" s="189"/>
      <c r="CI5" s="189"/>
      <c r="CJ5" s="189"/>
      <c r="CK5" s="189"/>
    </row>
    <row r="6" spans="1:89" s="3" customFormat="1" x14ac:dyDescent="0.25">
      <c r="A6" s="20" t="s">
        <v>387</v>
      </c>
      <c r="B6" s="27">
        <f>B4-B5</f>
        <v>21490448756.369999</v>
      </c>
      <c r="C6" s="27">
        <f t="shared" ref="C6:BN6" si="0">C4-C5</f>
        <v>15602598066.170002</v>
      </c>
      <c r="D6" s="27">
        <f t="shared" si="0"/>
        <v>10172106862.309999</v>
      </c>
      <c r="E6" s="27">
        <f t="shared" si="0"/>
        <v>21736693137.779999</v>
      </c>
      <c r="F6" s="27">
        <f t="shared" si="0"/>
        <v>15627489946.18</v>
      </c>
      <c r="G6" s="27">
        <f t="shared" si="0"/>
        <v>11192598524.66</v>
      </c>
      <c r="H6" s="27">
        <f t="shared" si="0"/>
        <v>7165454227.7900009</v>
      </c>
      <c r="I6" s="27">
        <f t="shared" si="0"/>
        <v>17229540208.209999</v>
      </c>
      <c r="J6" s="27">
        <f t="shared" si="0"/>
        <v>12412474194.779999</v>
      </c>
      <c r="K6" s="27">
        <f t="shared" si="0"/>
        <v>9279485347.1399994</v>
      </c>
      <c r="L6" s="27">
        <f t="shared" si="0"/>
        <v>6163929213</v>
      </c>
      <c r="M6" s="27">
        <f t="shared" si="0"/>
        <v>14987324089.99</v>
      </c>
      <c r="N6" s="27">
        <f t="shared" si="0"/>
        <v>10475143055.509998</v>
      </c>
      <c r="O6" s="27">
        <f t="shared" si="0"/>
        <v>7839101195.1100006</v>
      </c>
      <c r="P6" s="27">
        <f t="shared" si="0"/>
        <v>4679611340.1300001</v>
      </c>
      <c r="Q6" s="27">
        <f t="shared" si="0"/>
        <v>15239462132.110001</v>
      </c>
      <c r="R6" s="27">
        <f t="shared" si="0"/>
        <v>11280393930.5</v>
      </c>
      <c r="S6" s="27">
        <f t="shared" si="0"/>
        <v>8805284370.6000004</v>
      </c>
      <c r="T6" s="27">
        <f t="shared" si="0"/>
        <v>5037846961.2900009</v>
      </c>
      <c r="U6" s="27">
        <f t="shared" si="0"/>
        <v>18108177765.75</v>
      </c>
      <c r="V6" s="27">
        <f t="shared" si="0"/>
        <v>13826386282.399998</v>
      </c>
      <c r="W6" s="27">
        <f t="shared" si="0"/>
        <v>11143180406.950001</v>
      </c>
      <c r="X6" s="27">
        <f t="shared" si="0"/>
        <v>6642735314.8900003</v>
      </c>
      <c r="Y6" s="27">
        <f t="shared" si="0"/>
        <v>19185321510.489998</v>
      </c>
      <c r="Z6" s="27">
        <f t="shared" si="0"/>
        <v>14650982930.250002</v>
      </c>
      <c r="AA6" s="27">
        <f t="shared" si="0"/>
        <v>9797424041.8199997</v>
      </c>
      <c r="AB6" s="27">
        <f t="shared" si="0"/>
        <v>5711092930.21</v>
      </c>
      <c r="AC6" s="27">
        <f t="shared" si="0"/>
        <v>13455183179.579998</v>
      </c>
      <c r="AD6" s="27">
        <f t="shared" si="0"/>
        <v>10329962835.5</v>
      </c>
      <c r="AE6" s="27">
        <f t="shared" si="0"/>
        <v>7005473284.3100014</v>
      </c>
      <c r="AF6" s="27">
        <f t="shared" si="0"/>
        <v>4106449655.6799994</v>
      </c>
      <c r="AG6" s="27">
        <f t="shared" si="0"/>
        <v>10678110900.02</v>
      </c>
      <c r="AH6" s="27">
        <f t="shared" si="0"/>
        <v>7609697895.7300005</v>
      </c>
      <c r="AI6" s="27">
        <f t="shared" si="0"/>
        <v>5105618296.8599997</v>
      </c>
      <c r="AJ6" s="27">
        <f t="shared" si="0"/>
        <v>3139577285.5</v>
      </c>
      <c r="AK6" s="27">
        <f t="shared" si="0"/>
        <v>7268560567.2900009</v>
      </c>
      <c r="AL6" s="27">
        <f t="shared" si="0"/>
        <v>4998768044.6900005</v>
      </c>
      <c r="AM6" s="27">
        <f t="shared" si="0"/>
        <v>3311297775.0400004</v>
      </c>
      <c r="AN6" s="27">
        <f t="shared" si="0"/>
        <v>2251897472.9400001</v>
      </c>
      <c r="AO6" s="27">
        <f t="shared" si="0"/>
        <v>4314995851.96</v>
      </c>
      <c r="AP6" s="27">
        <f t="shared" si="0"/>
        <v>3583982089.7999997</v>
      </c>
      <c r="AQ6" s="27">
        <f t="shared" si="0"/>
        <v>2687346551.2400007</v>
      </c>
      <c r="AR6" s="27">
        <f t="shared" si="0"/>
        <v>1875284555.0699999</v>
      </c>
      <c r="AS6" s="27">
        <f t="shared" si="0"/>
        <v>3950576268.6199999</v>
      </c>
      <c r="AT6" s="27">
        <f t="shared" si="0"/>
        <v>3351146392.2500005</v>
      </c>
      <c r="AU6" s="27">
        <f t="shared" si="0"/>
        <v>2616812466.0199995</v>
      </c>
      <c r="AV6" s="27">
        <f t="shared" si="0"/>
        <v>1749496852.1100001</v>
      </c>
      <c r="AW6" s="27">
        <f t="shared" si="0"/>
        <v>3899607344.6900001</v>
      </c>
      <c r="AX6" s="27">
        <f t="shared" si="0"/>
        <v>3192248306.2699995</v>
      </c>
      <c r="AY6" s="27">
        <f t="shared" si="0"/>
        <v>2492077724.0199995</v>
      </c>
      <c r="AZ6" s="27">
        <f t="shared" si="0"/>
        <v>1601592850.3099999</v>
      </c>
      <c r="BA6" s="27">
        <f t="shared" si="0"/>
        <v>3209203755.9799995</v>
      </c>
      <c r="BB6" s="27">
        <f t="shared" si="0"/>
        <v>2533317494.6499996</v>
      </c>
      <c r="BC6" s="27">
        <f t="shared" si="0"/>
        <v>1966371158.2699997</v>
      </c>
      <c r="BD6" s="27">
        <f t="shared" si="0"/>
        <v>1279000360.25</v>
      </c>
      <c r="BE6" s="27">
        <f t="shared" si="0"/>
        <v>3078274623.2399998</v>
      </c>
      <c r="BF6" s="27">
        <f t="shared" si="0"/>
        <v>2166166088.5600004</v>
      </c>
      <c r="BG6" s="27">
        <f t="shared" si="0"/>
        <v>1610671115.22</v>
      </c>
      <c r="BH6" s="27">
        <f t="shared" si="0"/>
        <v>1104074229.6499999</v>
      </c>
      <c r="BI6" s="27">
        <f t="shared" si="0"/>
        <v>2847577667.9400001</v>
      </c>
      <c r="BJ6" s="27">
        <f t="shared" si="0"/>
        <v>2113799655.8600001</v>
      </c>
      <c r="BK6" s="27">
        <f t="shared" si="0"/>
        <v>1521312755.3999999</v>
      </c>
      <c r="BL6" s="27">
        <f t="shared" si="0"/>
        <v>1011484652.3099999</v>
      </c>
      <c r="BM6" s="27">
        <f t="shared" si="0"/>
        <v>2505973331.1099997</v>
      </c>
      <c r="BN6" s="27">
        <f t="shared" si="0"/>
        <v>2043341975.0500002</v>
      </c>
      <c r="BO6" s="27">
        <f t="shared" ref="BO6:CK6" si="1">BO4-BO5</f>
        <v>1526223836.8700001</v>
      </c>
      <c r="BP6" s="27">
        <f t="shared" si="1"/>
        <v>944238964.55999994</v>
      </c>
      <c r="BQ6" s="27">
        <f t="shared" si="1"/>
        <v>2098167479.1599998</v>
      </c>
      <c r="BR6" s="27">
        <f t="shared" si="1"/>
        <v>3700110000</v>
      </c>
      <c r="BS6" s="27">
        <f t="shared" si="1"/>
        <v>1247341901.3499999</v>
      </c>
      <c r="BT6" s="27">
        <f t="shared" si="1"/>
        <v>761768330.85000014</v>
      </c>
      <c r="BU6" s="27">
        <f t="shared" si="1"/>
        <v>2022850721.1300001</v>
      </c>
      <c r="BV6" s="27">
        <f t="shared" si="1"/>
        <v>1514374883.52</v>
      </c>
      <c r="BW6" s="27">
        <f t="shared" si="1"/>
        <v>1732178240.8400002</v>
      </c>
      <c r="BX6" s="27">
        <f t="shared" si="1"/>
        <v>976738064.57000005</v>
      </c>
      <c r="BY6" s="27">
        <f t="shared" si="1"/>
        <v>1328159971.77</v>
      </c>
      <c r="BZ6" s="27">
        <f t="shared" si="1"/>
        <v>613845553.47000003</v>
      </c>
      <c r="CA6" s="27">
        <f t="shared" si="1"/>
        <v>1062105392.3399999</v>
      </c>
      <c r="CB6" s="27">
        <f t="shared" si="1"/>
        <v>744806770.38999999</v>
      </c>
      <c r="CC6" s="27">
        <f t="shared" si="1"/>
        <v>523069129.10000002</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73.470897773468536</v>
      </c>
      <c r="C7" s="57">
        <f t="shared" ref="C7:D7" si="2">C6/C4*100</f>
        <v>72.837244150719229</v>
      </c>
      <c r="D7" s="57">
        <f t="shared" si="2"/>
        <v>73.192946359999027</v>
      </c>
      <c r="E7" s="57">
        <f>E6/E4</f>
        <v>0.72007325203844963</v>
      </c>
      <c r="F7" s="57">
        <f t="shared" ref="F7:BQ7" si="3">F6/F4</f>
        <v>0.71106455403141677</v>
      </c>
      <c r="G7" s="57">
        <f t="shared" si="3"/>
        <v>0.71650387653632153</v>
      </c>
      <c r="H7" s="57">
        <f t="shared" si="3"/>
        <v>0.70534402923944861</v>
      </c>
      <c r="I7" s="57">
        <f t="shared" si="3"/>
        <v>0.70199176005408059</v>
      </c>
      <c r="J7" s="57">
        <f t="shared" si="3"/>
        <v>0.70128384008449063</v>
      </c>
      <c r="K7" s="57">
        <f t="shared" si="3"/>
        <v>0.70004060875076435</v>
      </c>
      <c r="L7" s="57">
        <f t="shared" si="3"/>
        <v>0.69841758146094679</v>
      </c>
      <c r="M7" s="57">
        <f t="shared" si="3"/>
        <v>0.69195831982466782</v>
      </c>
      <c r="N7" s="57">
        <f t="shared" si="3"/>
        <v>0.69228119359812412</v>
      </c>
      <c r="O7" s="57">
        <f t="shared" si="3"/>
        <v>0.69895780844641431</v>
      </c>
      <c r="P7" s="57">
        <f t="shared" si="3"/>
        <v>0.69477491633509825</v>
      </c>
      <c r="Q7" s="57">
        <f t="shared" si="3"/>
        <v>0.72529178168517716</v>
      </c>
      <c r="R7" s="57">
        <f t="shared" si="3"/>
        <v>0.74861683559691927</v>
      </c>
      <c r="S7" s="57">
        <f t="shared" si="3"/>
        <v>0.75500618280371778</v>
      </c>
      <c r="T7" s="57">
        <f t="shared" si="3"/>
        <v>0.74969616086368029</v>
      </c>
      <c r="U7" s="57">
        <f t="shared" si="3"/>
        <v>0.73257328909835107</v>
      </c>
      <c r="V7" s="57">
        <f t="shared" si="3"/>
        <v>0.72140789429398378</v>
      </c>
      <c r="W7" s="57">
        <f t="shared" si="3"/>
        <v>0.71799408964220124</v>
      </c>
      <c r="X7" s="57">
        <f t="shared" si="3"/>
        <v>0.76566258096884821</v>
      </c>
      <c r="Y7" s="57">
        <f t="shared" si="3"/>
        <v>0.70531558032035435</v>
      </c>
      <c r="Z7" s="57">
        <f t="shared" si="3"/>
        <v>0.69348501617978331</v>
      </c>
      <c r="AA7" s="57">
        <f t="shared" si="3"/>
        <v>0.65100420032888429</v>
      </c>
      <c r="AB7" s="57">
        <f t="shared" si="3"/>
        <v>0.6938810310712904</v>
      </c>
      <c r="AC7" s="57">
        <f t="shared" si="3"/>
        <v>0.66116904841615209</v>
      </c>
      <c r="AD7" s="57">
        <f t="shared" si="3"/>
        <v>0.66011321474251616</v>
      </c>
      <c r="AE7" s="57">
        <f t="shared" si="3"/>
        <v>0.66121619223252004</v>
      </c>
      <c r="AF7" s="57">
        <f t="shared" si="3"/>
        <v>0.65760463124954915</v>
      </c>
      <c r="AG7" s="57">
        <f t="shared" si="3"/>
        <v>0.68707962326352201</v>
      </c>
      <c r="AH7" s="57">
        <f t="shared" si="3"/>
        <v>0.66334467855192714</v>
      </c>
      <c r="AI7" s="57">
        <f t="shared" si="3"/>
        <v>0.67387149261620505</v>
      </c>
      <c r="AJ7" s="57">
        <f t="shared" si="3"/>
        <v>0.69867350641401538</v>
      </c>
      <c r="AK7" s="57">
        <f t="shared" si="3"/>
        <v>0.65310598661329533</v>
      </c>
      <c r="AL7" s="57">
        <f t="shared" si="3"/>
        <v>0.62253638963780578</v>
      </c>
      <c r="AM7" s="57">
        <f t="shared" si="3"/>
        <v>0.61998989256792614</v>
      </c>
      <c r="AN7" s="57">
        <f t="shared" si="3"/>
        <v>0.67445287535806797</v>
      </c>
      <c r="AO7" s="57">
        <f t="shared" si="3"/>
        <v>0.54392518236171283</v>
      </c>
      <c r="AP7" s="57">
        <f t="shared" si="3"/>
        <v>0.54478744620451514</v>
      </c>
      <c r="AQ7" s="57">
        <f t="shared" si="3"/>
        <v>0.58455171441257259</v>
      </c>
      <c r="AR7" s="57">
        <f t="shared" si="3"/>
        <v>0.60764579357894466</v>
      </c>
      <c r="AS7" s="57">
        <f t="shared" si="3"/>
        <v>0.53906613444685347</v>
      </c>
      <c r="AT7" s="57">
        <f t="shared" si="3"/>
        <v>0.55454433053590824</v>
      </c>
      <c r="AU7" s="57">
        <f t="shared" si="3"/>
        <v>0.60255226409629192</v>
      </c>
      <c r="AV7" s="57">
        <f t="shared" si="3"/>
        <v>0.58125665589018161</v>
      </c>
      <c r="AW7" s="57">
        <f t="shared" si="3"/>
        <v>0.52796272399192379</v>
      </c>
      <c r="AX7" s="57">
        <f t="shared" si="3"/>
        <v>0.53601474465594201</v>
      </c>
      <c r="AY7" s="57">
        <f t="shared" si="3"/>
        <v>0.56676620669645461</v>
      </c>
      <c r="AZ7" s="57">
        <f t="shared" si="3"/>
        <v>0.58656812088703214</v>
      </c>
      <c r="BA7" s="57">
        <f t="shared" si="3"/>
        <v>0.49997320613197421</v>
      </c>
      <c r="BB7" s="57">
        <f t="shared" si="3"/>
        <v>0.50995050944919107</v>
      </c>
      <c r="BC7" s="57">
        <f t="shared" si="3"/>
        <v>0.51651283393531688</v>
      </c>
      <c r="BD7" s="57">
        <f t="shared" si="3"/>
        <v>0.51792871219817183</v>
      </c>
      <c r="BE7" s="57">
        <f t="shared" si="3"/>
        <v>0.48880251497526461</v>
      </c>
      <c r="BF7" s="57">
        <f t="shared" si="3"/>
        <v>0.47316017806754507</v>
      </c>
      <c r="BG7" s="57">
        <f t="shared" si="3"/>
        <v>0.46587537362351389</v>
      </c>
      <c r="BH7" s="57">
        <f t="shared" si="3"/>
        <v>0.45065296737691546</v>
      </c>
      <c r="BI7" s="57">
        <f t="shared" si="3"/>
        <v>0.44963475944652648</v>
      </c>
      <c r="BJ7" s="57">
        <f t="shared" si="3"/>
        <v>0.45546318569051247</v>
      </c>
      <c r="BK7" s="57">
        <f t="shared" si="3"/>
        <v>0.44394364352998356</v>
      </c>
      <c r="BL7" s="57">
        <f t="shared" si="3"/>
        <v>0.44467551128300475</v>
      </c>
      <c r="BM7" s="57">
        <f t="shared" si="3"/>
        <v>0.43914232421774047</v>
      </c>
      <c r="BN7" s="57">
        <f t="shared" si="3"/>
        <v>0.45576466915820985</v>
      </c>
      <c r="BO7" s="57">
        <f t="shared" si="3"/>
        <v>0.44079949827619175</v>
      </c>
      <c r="BP7" s="57">
        <f t="shared" si="3"/>
        <v>0.4172132275158793</v>
      </c>
      <c r="BQ7" s="57">
        <f t="shared" si="3"/>
        <v>0.44245577712750156</v>
      </c>
      <c r="BR7" s="57">
        <f t="shared" ref="BR7:CK7" si="4">BR6/BR4</f>
        <v>1</v>
      </c>
      <c r="BS7" s="57">
        <f t="shared" si="4"/>
        <v>0.44271323784665911</v>
      </c>
      <c r="BT7" s="57">
        <f t="shared" si="4"/>
        <v>0.38090327721646211</v>
      </c>
      <c r="BU7" s="57">
        <f t="shared" si="4"/>
        <v>0.51164260024487418</v>
      </c>
      <c r="BV7" s="57">
        <f t="shared" si="4"/>
        <v>0.56767390006745599</v>
      </c>
      <c r="BW7" s="57">
        <f t="shared" si="4"/>
        <v>0.52350789728253311</v>
      </c>
      <c r="BX7" s="57">
        <f t="shared" si="4"/>
        <v>0.5138310947782152</v>
      </c>
      <c r="BY7" s="57">
        <f t="shared" si="4"/>
        <v>0.47192481669895664</v>
      </c>
      <c r="BZ7" s="57">
        <f t="shared" si="4"/>
        <v>0.50712872996253378</v>
      </c>
      <c r="CA7" s="57">
        <f t="shared" si="4"/>
        <v>0.48179966201305741</v>
      </c>
      <c r="CB7" s="57">
        <f t="shared" si="4"/>
        <v>0.56868636992580968</v>
      </c>
      <c r="CC7" s="57">
        <f t="shared" si="4"/>
        <v>0.57184544371064827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9">
        <v>4399320601.3400002</v>
      </c>
      <c r="C8" s="189">
        <v>3026570088.8899999</v>
      </c>
      <c r="D8" s="189">
        <v>1954791761.8199999</v>
      </c>
      <c r="E8" s="189">
        <v>3494696079.6799998</v>
      </c>
      <c r="F8" s="189">
        <v>2330495982.27</v>
      </c>
      <c r="G8" s="189">
        <v>1428602683.29</v>
      </c>
      <c r="H8" s="189">
        <v>761977874.67999995</v>
      </c>
      <c r="I8" s="189">
        <v>1941174540.51</v>
      </c>
      <c r="J8" s="189">
        <v>1369574668.29</v>
      </c>
      <c r="K8" s="189">
        <v>1036442502.02</v>
      </c>
      <c r="L8" s="189">
        <v>681549806.35000002</v>
      </c>
      <c r="M8" s="189">
        <v>1784675660.3199999</v>
      </c>
      <c r="N8" s="189">
        <v>1185882023.5999999</v>
      </c>
      <c r="O8" s="189">
        <v>885174940.63999999</v>
      </c>
      <c r="P8" s="189">
        <v>496842872.54000002</v>
      </c>
      <c r="Q8" s="189">
        <v>1517236398.1900001</v>
      </c>
      <c r="R8" s="189">
        <v>1056567930.21</v>
      </c>
      <c r="S8" s="189">
        <v>834773708.13</v>
      </c>
      <c r="T8" s="189">
        <v>448817685.83999997</v>
      </c>
      <c r="U8" s="189">
        <v>1849030035.48</v>
      </c>
      <c r="V8" s="189">
        <v>1359146268.04</v>
      </c>
      <c r="W8" s="189">
        <v>1097569220.4100001</v>
      </c>
      <c r="X8" s="189">
        <v>587146311.77999997</v>
      </c>
      <c r="Y8" s="189">
        <v>2005704155.21</v>
      </c>
      <c r="Z8" s="189">
        <v>1558027610.6700001</v>
      </c>
      <c r="AA8" s="189">
        <v>1125809503.8199999</v>
      </c>
      <c r="AB8" s="189">
        <v>649332785.17999995</v>
      </c>
      <c r="AC8" s="189">
        <v>1601644134.96</v>
      </c>
      <c r="AD8" s="189">
        <v>1220745003.9000001</v>
      </c>
      <c r="AE8" s="189">
        <v>818818580.22000003</v>
      </c>
      <c r="AF8" s="189">
        <v>467757266.18000001</v>
      </c>
      <c r="AG8" s="189">
        <v>1392170702.8499999</v>
      </c>
      <c r="AH8" s="189">
        <v>949959547.03999996</v>
      </c>
      <c r="AI8" s="189">
        <v>639437722.14999998</v>
      </c>
      <c r="AJ8" s="189">
        <v>362049254.75</v>
      </c>
      <c r="AK8" s="189">
        <v>798585260.89999998</v>
      </c>
      <c r="AL8" s="189">
        <v>534455603.97000003</v>
      </c>
      <c r="AM8" s="189">
        <v>353016371.48000002</v>
      </c>
      <c r="AN8" s="189">
        <v>229195199.34999999</v>
      </c>
      <c r="AO8" s="189">
        <v>565747370.87</v>
      </c>
      <c r="AP8" s="189">
        <v>459472285.37</v>
      </c>
      <c r="AQ8" s="189">
        <v>314631402.13999999</v>
      </c>
      <c r="AR8" s="189">
        <v>193215185.18000001</v>
      </c>
      <c r="AS8" s="189">
        <v>582633454.80999994</v>
      </c>
      <c r="AT8" s="189">
        <v>449601518.04000002</v>
      </c>
      <c r="AU8" s="189">
        <v>315913759.26999998</v>
      </c>
      <c r="AV8" s="189">
        <v>203169122.56999999</v>
      </c>
      <c r="AW8" s="189">
        <v>686318177.30999994</v>
      </c>
      <c r="AX8" s="189">
        <v>556090845.54999995</v>
      </c>
      <c r="AY8" s="189">
        <v>413944767.72000003</v>
      </c>
      <c r="AZ8" s="189">
        <v>278713692.88999999</v>
      </c>
      <c r="BA8" s="189">
        <v>795539034.54999995</v>
      </c>
      <c r="BB8" s="189">
        <v>611160237.39999998</v>
      </c>
      <c r="BC8" s="189">
        <v>349006847.58999997</v>
      </c>
      <c r="BD8" s="189">
        <v>217156441.12</v>
      </c>
      <c r="BE8" s="189">
        <v>612558108.15999997</v>
      </c>
      <c r="BF8" s="189">
        <v>430574801.92000002</v>
      </c>
      <c r="BG8" s="189">
        <v>300816347.13999999</v>
      </c>
      <c r="BH8" s="189">
        <v>197581411.83000001</v>
      </c>
      <c r="BI8" s="189">
        <v>676350429.50999999</v>
      </c>
      <c r="BJ8" s="189">
        <v>542818070.96000004</v>
      </c>
      <c r="BK8" s="189">
        <v>390629189.02999997</v>
      </c>
      <c r="BL8" s="189">
        <v>235175805.53</v>
      </c>
      <c r="BM8" s="189">
        <v>771795760.16999996</v>
      </c>
      <c r="BN8" s="189">
        <v>632756339.84000003</v>
      </c>
      <c r="BO8" s="189">
        <v>497304015.00999999</v>
      </c>
      <c r="BP8" s="189">
        <v>301207000.88</v>
      </c>
      <c r="BQ8" s="189">
        <v>456967130.48000002</v>
      </c>
      <c r="BR8" s="189">
        <v>0</v>
      </c>
      <c r="BS8" s="189">
        <v>224259442.81</v>
      </c>
      <c r="BT8" s="189">
        <v>153490045</v>
      </c>
      <c r="BU8" s="189">
        <v>214538084.22999999</v>
      </c>
      <c r="BV8" s="189">
        <v>163719979.69999999</v>
      </c>
      <c r="BW8" s="189">
        <v>234582285.06999999</v>
      </c>
      <c r="BX8" s="189">
        <v>132301100.94</v>
      </c>
      <c r="BY8" s="189">
        <v>197975432.55000001</v>
      </c>
      <c r="BZ8" s="189">
        <v>126982521.55</v>
      </c>
      <c r="CA8" s="189">
        <v>270374752.13999999</v>
      </c>
      <c r="CB8" s="189">
        <v>158639410.75999999</v>
      </c>
      <c r="CC8" s="189">
        <v>123488650.38</v>
      </c>
      <c r="CD8" s="189">
        <v>0</v>
      </c>
      <c r="CE8" s="189"/>
      <c r="CF8" s="189"/>
      <c r="CG8" s="189"/>
      <c r="CH8" s="189"/>
      <c r="CI8" s="189"/>
      <c r="CJ8" s="189"/>
      <c r="CK8" s="189"/>
    </row>
    <row r="9" spans="1:89" x14ac:dyDescent="0.25">
      <c r="A9" s="17" t="s">
        <v>390</v>
      </c>
      <c r="B9" s="189">
        <v>3077131771.98</v>
      </c>
      <c r="C9" s="189">
        <v>2155689822.0700002</v>
      </c>
      <c r="D9" s="189">
        <v>1002891971.85</v>
      </c>
      <c r="E9" s="189">
        <v>3625397914.0599999</v>
      </c>
      <c r="F9" s="189">
        <v>2696626088.8800001</v>
      </c>
      <c r="G9" s="189">
        <v>2174133716.02</v>
      </c>
      <c r="H9" s="189">
        <v>1096463607.3</v>
      </c>
      <c r="I9" s="189">
        <v>4694545075.8500004</v>
      </c>
      <c r="J9" s="189">
        <v>3042710866.3499999</v>
      </c>
      <c r="K9" s="189">
        <v>2195621788.48</v>
      </c>
      <c r="L9" s="189">
        <v>1125781380.21</v>
      </c>
      <c r="M9" s="189">
        <v>3568061356.21</v>
      </c>
      <c r="N9" s="189">
        <v>2197272200.48</v>
      </c>
      <c r="O9" s="189">
        <v>1850332525.5599999</v>
      </c>
      <c r="P9" s="189">
        <v>816948847.00999999</v>
      </c>
      <c r="Q9" s="189">
        <v>4308897447.5699997</v>
      </c>
      <c r="R9" s="189">
        <v>2894737834.0100002</v>
      </c>
      <c r="S9" s="189">
        <v>1791032877.01</v>
      </c>
      <c r="T9" s="189">
        <v>638101750.49000001</v>
      </c>
      <c r="U9" s="189">
        <v>3382176991.3499999</v>
      </c>
      <c r="V9" s="189">
        <v>1552031028.3399999</v>
      </c>
      <c r="W9" s="189">
        <v>1195041137.1700001</v>
      </c>
      <c r="X9" s="189">
        <v>504185088.00999999</v>
      </c>
      <c r="Y9" s="189">
        <v>2258966257.29</v>
      </c>
      <c r="Z9" s="189">
        <v>1604891282.3499999</v>
      </c>
      <c r="AA9" s="189">
        <v>1215125573.74</v>
      </c>
      <c r="AB9" s="189">
        <v>482961749.50999999</v>
      </c>
      <c r="AC9" s="189">
        <v>2069991386.1500001</v>
      </c>
      <c r="AD9" s="189">
        <v>1480296163.3299999</v>
      </c>
      <c r="AE9" s="189">
        <v>954816987.75</v>
      </c>
      <c r="AF9" s="189">
        <v>386635240.64999998</v>
      </c>
      <c r="AG9" s="189">
        <v>1803233837.6800001</v>
      </c>
      <c r="AH9" s="189">
        <v>1036561699.9400001</v>
      </c>
      <c r="AI9" s="189">
        <v>773415888.91999996</v>
      </c>
      <c r="AJ9" s="189">
        <v>351594259.31</v>
      </c>
      <c r="AK9" s="189">
        <v>1164153836.1700001</v>
      </c>
      <c r="AL9" s="189">
        <v>772950147.42999995</v>
      </c>
      <c r="AM9" s="189">
        <v>484683782.69999999</v>
      </c>
      <c r="AN9" s="189">
        <v>201341294</v>
      </c>
      <c r="AO9" s="189">
        <v>890832654.12</v>
      </c>
      <c r="AP9" s="189">
        <v>642056969.50999999</v>
      </c>
      <c r="AQ9" s="189">
        <v>412268629.73000002</v>
      </c>
      <c r="AR9" s="189">
        <v>191259723.78</v>
      </c>
      <c r="AS9" s="189">
        <v>782758181.11000001</v>
      </c>
      <c r="AT9" s="189">
        <v>572401037.52999997</v>
      </c>
      <c r="AU9" s="189">
        <v>364868396.85000002</v>
      </c>
      <c r="AV9" s="189">
        <v>283165137.94</v>
      </c>
      <c r="AW9" s="189">
        <v>1005292875.11</v>
      </c>
      <c r="AX9" s="189">
        <v>770050949.13</v>
      </c>
      <c r="AY9" s="189">
        <v>616714289.07000005</v>
      </c>
      <c r="AZ9" s="189">
        <v>365975456.14999998</v>
      </c>
      <c r="BA9" s="189">
        <v>864010470.38</v>
      </c>
      <c r="BB9" s="189">
        <v>525083962.75</v>
      </c>
      <c r="BC9" s="189">
        <v>473957767.24000001</v>
      </c>
      <c r="BD9" s="189">
        <v>265137290.88999999</v>
      </c>
      <c r="BE9" s="189">
        <v>805873049.33000004</v>
      </c>
      <c r="BF9" s="189">
        <v>410271794.06999999</v>
      </c>
      <c r="BG9" s="189">
        <v>288900281.58999997</v>
      </c>
      <c r="BH9" s="189">
        <v>207267783.87</v>
      </c>
      <c r="BI9" s="189">
        <v>693133050.20000005</v>
      </c>
      <c r="BJ9" s="189">
        <v>400176892.02999997</v>
      </c>
      <c r="BK9" s="189">
        <v>284300322.06</v>
      </c>
      <c r="BL9" s="189">
        <v>177334630.08000001</v>
      </c>
      <c r="BM9" s="189">
        <v>490557853.07999998</v>
      </c>
      <c r="BN9" s="189">
        <v>414199424</v>
      </c>
      <c r="BO9" s="189">
        <v>321007216.29000002</v>
      </c>
      <c r="BP9" s="189">
        <v>170323063.34999999</v>
      </c>
      <c r="BQ9" s="189">
        <v>345465316.55000001</v>
      </c>
      <c r="BR9" s="189">
        <v>0</v>
      </c>
      <c r="BS9" s="189">
        <v>214005459.25</v>
      </c>
      <c r="BT9" s="189">
        <v>152235661.08000001</v>
      </c>
      <c r="BU9" s="189">
        <v>587572449.04999995</v>
      </c>
      <c r="BV9" s="189">
        <v>461791453.66000003</v>
      </c>
      <c r="BW9" s="189">
        <v>449730853.39999998</v>
      </c>
      <c r="BX9" s="189">
        <v>311560399.13</v>
      </c>
      <c r="BY9" s="189">
        <v>342697922.81</v>
      </c>
      <c r="BZ9" s="189">
        <v>152190024.56</v>
      </c>
      <c r="CA9" s="189">
        <v>205458922.97999999</v>
      </c>
      <c r="CB9" s="189">
        <v>143092621.77000001</v>
      </c>
      <c r="CC9" s="189">
        <v>33040032.620000001</v>
      </c>
      <c r="CD9" s="189">
        <v>0</v>
      </c>
      <c r="CE9" s="189"/>
      <c r="CF9" s="189"/>
      <c r="CG9" s="189"/>
      <c r="CH9" s="189"/>
      <c r="CI9" s="189"/>
      <c r="CJ9" s="189"/>
      <c r="CK9" s="189"/>
    </row>
    <row r="10" spans="1:89" x14ac:dyDescent="0.25">
      <c r="A10" s="17" t="s">
        <v>391</v>
      </c>
      <c r="B10" s="189">
        <v>1673818880.4100001</v>
      </c>
      <c r="C10" s="189">
        <v>1181611988.78</v>
      </c>
      <c r="D10" s="189">
        <v>594986302.97000003</v>
      </c>
      <c r="E10" s="189">
        <v>2269024701.04</v>
      </c>
      <c r="F10" s="189">
        <v>1612942170.3900001</v>
      </c>
      <c r="G10" s="189">
        <v>1076103861.25</v>
      </c>
      <c r="H10" s="189">
        <v>583795810.88</v>
      </c>
      <c r="I10" s="189">
        <v>2143703443.8199999</v>
      </c>
      <c r="J10" s="189">
        <v>1614574317.9200001</v>
      </c>
      <c r="K10" s="189">
        <v>1107396572.5799999</v>
      </c>
      <c r="L10" s="189">
        <v>572834323.13</v>
      </c>
      <c r="M10" s="189">
        <v>2128805680.22</v>
      </c>
      <c r="N10" s="189">
        <v>1443131572.1199999</v>
      </c>
      <c r="O10" s="189">
        <v>1006746030.52</v>
      </c>
      <c r="P10" s="189">
        <v>538900979.45000005</v>
      </c>
      <c r="Q10" s="189">
        <v>2047028546.72</v>
      </c>
      <c r="R10" s="189">
        <v>1377206394.1400001</v>
      </c>
      <c r="S10" s="189">
        <v>977690587.13999999</v>
      </c>
      <c r="T10" s="189">
        <v>533715812.48000002</v>
      </c>
      <c r="U10" s="189">
        <v>2263637925.0300002</v>
      </c>
      <c r="V10" s="189">
        <v>1521231364.8</v>
      </c>
      <c r="W10" s="189">
        <v>1085694375.8</v>
      </c>
      <c r="X10" s="189">
        <v>577974320.34000003</v>
      </c>
      <c r="Y10" s="189">
        <v>2009184257.8499999</v>
      </c>
      <c r="Z10" s="189">
        <v>1408989421.49</v>
      </c>
      <c r="AA10" s="189">
        <v>922708225.65999997</v>
      </c>
      <c r="AB10" s="189">
        <v>532291967.25999999</v>
      </c>
      <c r="AC10" s="189">
        <v>1750685037.9300001</v>
      </c>
      <c r="AD10" s="189">
        <v>1257263895.1099999</v>
      </c>
      <c r="AE10" s="189">
        <v>818535719.35000002</v>
      </c>
      <c r="AF10" s="189">
        <v>431996771.19999999</v>
      </c>
      <c r="AG10" s="189">
        <v>1561852181.1700001</v>
      </c>
      <c r="AH10" s="189">
        <v>1057076554.55</v>
      </c>
      <c r="AI10" s="189">
        <v>670150753.64999998</v>
      </c>
      <c r="AJ10" s="189">
        <v>356750164.04000002</v>
      </c>
      <c r="AK10" s="189">
        <v>838973053.20000005</v>
      </c>
      <c r="AL10" s="189">
        <v>604128660.64999998</v>
      </c>
      <c r="AM10" s="189">
        <v>368919789.76999998</v>
      </c>
      <c r="AN10" s="189">
        <v>173037218.22999999</v>
      </c>
      <c r="AO10" s="189">
        <v>588986100.29999995</v>
      </c>
      <c r="AP10" s="189">
        <v>438226187.12</v>
      </c>
      <c r="AQ10" s="189">
        <v>294992672.13999999</v>
      </c>
      <c r="AR10" s="189">
        <v>155627050.02000001</v>
      </c>
      <c r="AS10" s="189">
        <v>497940571.16000003</v>
      </c>
      <c r="AT10" s="189">
        <v>399714055.94</v>
      </c>
      <c r="AU10" s="189">
        <v>278496902.70999998</v>
      </c>
      <c r="AV10" s="189">
        <v>143955668</v>
      </c>
      <c r="AW10" s="189">
        <v>471915102.69999999</v>
      </c>
      <c r="AX10" s="189">
        <v>342923580.26999998</v>
      </c>
      <c r="AY10" s="189">
        <v>240044224.87</v>
      </c>
      <c r="AZ10" s="189">
        <v>131751437.98</v>
      </c>
      <c r="BA10" s="189">
        <v>380204276.68000001</v>
      </c>
      <c r="BB10" s="189">
        <v>249813020.28999999</v>
      </c>
      <c r="BC10" s="189">
        <v>221542936.25999999</v>
      </c>
      <c r="BD10" s="189">
        <v>147819190.53</v>
      </c>
      <c r="BE10" s="189">
        <v>407299604.80000001</v>
      </c>
      <c r="BF10" s="189">
        <v>300916626.75</v>
      </c>
      <c r="BG10" s="189">
        <v>216306143.75999999</v>
      </c>
      <c r="BH10" s="189">
        <v>126463988.64</v>
      </c>
      <c r="BI10" s="189">
        <v>415151762.45999998</v>
      </c>
      <c r="BJ10" s="189">
        <v>332929994.25999999</v>
      </c>
      <c r="BK10" s="189">
        <v>220046772.38</v>
      </c>
      <c r="BL10" s="189">
        <v>107707797.45999999</v>
      </c>
      <c r="BM10" s="189">
        <v>401004011.82999998</v>
      </c>
      <c r="BN10" s="189">
        <v>315642991.91000003</v>
      </c>
      <c r="BO10" s="189">
        <v>221909407.99000001</v>
      </c>
      <c r="BP10" s="189">
        <v>106695265.43000001</v>
      </c>
      <c r="BQ10" s="189">
        <v>400197212.51999998</v>
      </c>
      <c r="BR10" s="189">
        <v>0</v>
      </c>
      <c r="BS10" s="189">
        <v>176020993.19999999</v>
      </c>
      <c r="BT10" s="189">
        <v>46574723.729999997</v>
      </c>
      <c r="BU10" s="189">
        <v>232381015.22999999</v>
      </c>
      <c r="BV10" s="189">
        <v>172626087.66</v>
      </c>
      <c r="BW10" s="189">
        <v>278627189.76999998</v>
      </c>
      <c r="BX10" s="189">
        <v>158734444.53</v>
      </c>
      <c r="BY10" s="189">
        <v>156961577.28</v>
      </c>
      <c r="BZ10" s="189">
        <v>40826189.950000003</v>
      </c>
      <c r="CA10" s="189">
        <v>65192867.909999996</v>
      </c>
      <c r="CB10" s="189">
        <v>39177380.969999999</v>
      </c>
      <c r="CC10" s="189">
        <v>30667940.870000001</v>
      </c>
      <c r="CD10" s="189">
        <v>0</v>
      </c>
      <c r="CE10" s="189"/>
      <c r="CF10" s="189"/>
      <c r="CG10" s="189"/>
      <c r="CH10" s="189"/>
      <c r="CI10" s="189"/>
      <c r="CJ10" s="189"/>
      <c r="CK10" s="189"/>
    </row>
    <row r="11" spans="1:89" x14ac:dyDescent="0.25">
      <c r="A11" s="17" t="s">
        <v>392</v>
      </c>
      <c r="B11" s="189">
        <v>3001320.83</v>
      </c>
      <c r="C11" s="189">
        <v>3001320.83</v>
      </c>
      <c r="D11" s="189">
        <v>0</v>
      </c>
      <c r="E11" s="189">
        <v>5629618.3300000001</v>
      </c>
      <c r="F11" s="189">
        <v>1189060.55</v>
      </c>
      <c r="G11" s="189">
        <v>1189060.55</v>
      </c>
      <c r="H11" s="189">
        <v>368604.9</v>
      </c>
      <c r="I11" s="189">
        <v>12198954.310000001</v>
      </c>
      <c r="J11" s="189">
        <v>-627474.68999999994</v>
      </c>
      <c r="K11" s="189">
        <v>-627474.68999999994</v>
      </c>
      <c r="L11" s="189">
        <v>-496.5</v>
      </c>
      <c r="M11" s="189">
        <v>25800010.27</v>
      </c>
      <c r="N11" s="189">
        <v>2103730.4</v>
      </c>
      <c r="O11" s="189">
        <v>2103730.4</v>
      </c>
      <c r="P11" s="189">
        <v>0</v>
      </c>
      <c r="Q11" s="189">
        <v>6161457.3200000003</v>
      </c>
      <c r="R11" s="189">
        <v>3040104.71</v>
      </c>
      <c r="S11" s="189">
        <v>3049704.71</v>
      </c>
      <c r="T11" s="189">
        <v>0</v>
      </c>
      <c r="U11" s="189">
        <v>5007462.71</v>
      </c>
      <c r="V11" s="189">
        <v>126600</v>
      </c>
      <c r="W11" s="189">
        <v>0</v>
      </c>
      <c r="X11" s="189">
        <v>0</v>
      </c>
      <c r="Y11" s="189">
        <v>2696852.96</v>
      </c>
      <c r="Z11" s="189">
        <v>0</v>
      </c>
      <c r="AA11" s="189">
        <v>0</v>
      </c>
      <c r="AB11" s="189">
        <v>0</v>
      </c>
      <c r="AC11" s="189">
        <v>12452121.74</v>
      </c>
      <c r="AD11" s="189">
        <v>-6703861.4500000002</v>
      </c>
      <c r="AE11" s="189">
        <v>-6703699.5499999998</v>
      </c>
      <c r="AF11" s="189">
        <v>0</v>
      </c>
      <c r="AG11" s="189">
        <v>15044946.109999999</v>
      </c>
      <c r="AH11" s="189">
        <v>10000</v>
      </c>
      <c r="AI11" s="189">
        <v>0</v>
      </c>
      <c r="AJ11" s="189">
        <v>0</v>
      </c>
      <c r="AK11" s="189">
        <v>8545391.5500000007</v>
      </c>
      <c r="AL11" s="189">
        <v>74132.27</v>
      </c>
      <c r="AM11" s="189">
        <v>151647.17000000001</v>
      </c>
      <c r="AN11" s="189">
        <v>0</v>
      </c>
      <c r="AO11" s="189">
        <v>-165194.47</v>
      </c>
      <c r="AP11" s="189">
        <v>-1307035.49</v>
      </c>
      <c r="AQ11" s="189">
        <v>-1307035.49</v>
      </c>
      <c r="AR11" s="189">
        <v>-560158.06999999995</v>
      </c>
      <c r="AS11" s="189">
        <v>-933744.61</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row>
    <row r="12" spans="1:89" s="7" customFormat="1" x14ac:dyDescent="0.25">
      <c r="A12" s="21" t="s">
        <v>393</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9">
        <v>74925289.900000006</v>
      </c>
      <c r="C13" s="189">
        <v>51777968.100000001</v>
      </c>
      <c r="D13" s="189">
        <v>14935320.23</v>
      </c>
      <c r="E13" s="189">
        <v>45130040.420000002</v>
      </c>
      <c r="F13" s="189">
        <v>66835309.93</v>
      </c>
      <c r="G13" s="189">
        <v>48125000.399999999</v>
      </c>
      <c r="H13" s="189">
        <v>19087948.350000001</v>
      </c>
      <c r="I13" s="189">
        <v>118914963.09</v>
      </c>
      <c r="J13" s="189">
        <v>88263186.109999999</v>
      </c>
      <c r="K13" s="189">
        <v>43962304.340000004</v>
      </c>
      <c r="L13" s="189">
        <v>32517529.260000002</v>
      </c>
      <c r="M13" s="189">
        <v>66157319.229999997</v>
      </c>
      <c r="N13" s="189">
        <v>45697498.869999997</v>
      </c>
      <c r="O13" s="189">
        <v>29909283.52</v>
      </c>
      <c r="P13" s="189">
        <v>16235602.84</v>
      </c>
      <c r="Q13" s="189">
        <v>59944583.859999999</v>
      </c>
      <c r="R13" s="189">
        <v>40517664.25</v>
      </c>
      <c r="S13" s="189">
        <v>27438357.48</v>
      </c>
      <c r="T13" s="189">
        <v>15209143.73</v>
      </c>
      <c r="U13" s="189">
        <v>65895607.939999998</v>
      </c>
      <c r="V13" s="189">
        <v>41110317.899999999</v>
      </c>
      <c r="W13" s="189">
        <v>26300977.050000001</v>
      </c>
      <c r="X13" s="189">
        <v>16077929.140000001</v>
      </c>
      <c r="Y13" s="189">
        <v>64928850.340000004</v>
      </c>
      <c r="Z13" s="189">
        <v>39528314.969999999</v>
      </c>
      <c r="AA13" s="189">
        <v>27168368.620000001</v>
      </c>
      <c r="AB13" s="189">
        <v>12849248.380000001</v>
      </c>
      <c r="AC13" s="189">
        <v>57448935.5</v>
      </c>
      <c r="AD13" s="189">
        <v>40815541.130000003</v>
      </c>
      <c r="AE13" s="189">
        <v>20326076.609999999</v>
      </c>
      <c r="AF13" s="189">
        <v>16632128.41</v>
      </c>
      <c r="AG13" s="189">
        <v>50741916.619999997</v>
      </c>
      <c r="AH13" s="189">
        <v>29781367.59</v>
      </c>
      <c r="AI13" s="189">
        <v>27472504.73</v>
      </c>
      <c r="AJ13" s="189">
        <v>13848487.300000001</v>
      </c>
      <c r="AK13" s="189">
        <v>20724800.289999999</v>
      </c>
      <c r="AL13" s="189">
        <v>16213906.050000001</v>
      </c>
      <c r="AM13" s="189">
        <v>16213906.050000001</v>
      </c>
      <c r="AN13" s="189">
        <v>1152099.1399999999</v>
      </c>
      <c r="AO13" s="189">
        <v>1447926.21</v>
      </c>
      <c r="AP13" s="189">
        <v>1223657.6000000001</v>
      </c>
      <c r="AQ13" s="189">
        <v>619534</v>
      </c>
      <c r="AR13" s="189">
        <v>211131</v>
      </c>
      <c r="AS13" s="189">
        <v>1887645.74</v>
      </c>
      <c r="AT13" s="189">
        <v>1694112.77</v>
      </c>
      <c r="AU13" s="189">
        <v>10548638.199999999</v>
      </c>
      <c r="AV13" s="189">
        <v>1135676.02</v>
      </c>
      <c r="AW13" s="189">
        <v>908060.24</v>
      </c>
      <c r="AX13" s="189">
        <v>660482.18000000005</v>
      </c>
      <c r="AY13" s="189">
        <v>657775.68999999994</v>
      </c>
      <c r="AZ13" s="189">
        <v>246324.35</v>
      </c>
      <c r="BA13" s="189">
        <v>1840586.09</v>
      </c>
      <c r="BB13" s="189">
        <v>1252289.04</v>
      </c>
      <c r="BC13" s="189">
        <v>1028211.8</v>
      </c>
      <c r="BD13" s="189">
        <v>308309.86</v>
      </c>
      <c r="BE13" s="189">
        <v>915684.86</v>
      </c>
      <c r="BF13" s="189">
        <v>586003.18000000005</v>
      </c>
      <c r="BG13" s="189">
        <v>446820.18</v>
      </c>
      <c r="BH13" s="189">
        <v>205955.1</v>
      </c>
      <c r="BI13" s="189">
        <v>2029578.75</v>
      </c>
      <c r="BJ13" s="189">
        <v>1674846.32</v>
      </c>
      <c r="BK13" s="189">
        <v>1524706.6</v>
      </c>
      <c r="BL13" s="189">
        <v>1338486.51</v>
      </c>
      <c r="BM13" s="189">
        <v>1072112.83</v>
      </c>
      <c r="BN13" s="189">
        <v>871631.53</v>
      </c>
      <c r="BO13" s="189">
        <v>607230.13</v>
      </c>
      <c r="BP13" s="189">
        <v>428925.72</v>
      </c>
      <c r="BQ13" s="189">
        <v>948009.23</v>
      </c>
      <c r="BR13" s="189">
        <v>0</v>
      </c>
      <c r="BS13" s="189">
        <v>617213.41</v>
      </c>
      <c r="BT13" s="189">
        <v>402953.81</v>
      </c>
      <c r="BU13" s="189">
        <v>270594.24</v>
      </c>
      <c r="BV13" s="189">
        <v>137255.32</v>
      </c>
      <c r="BW13" s="189">
        <v>207553.5</v>
      </c>
      <c r="BX13" s="189">
        <v>1780</v>
      </c>
      <c r="BY13" s="189">
        <v>100322.9</v>
      </c>
      <c r="BZ13" s="189">
        <v>45346.39</v>
      </c>
      <c r="CA13" s="189">
        <v>0</v>
      </c>
      <c r="CB13" s="189">
        <v>0</v>
      </c>
      <c r="CC13" s="189">
        <v>0</v>
      </c>
      <c r="CD13" s="189">
        <v>0</v>
      </c>
      <c r="CE13" s="189"/>
      <c r="CF13" s="189"/>
      <c r="CG13" s="189"/>
      <c r="CH13" s="189"/>
      <c r="CI13" s="189"/>
      <c r="CJ13" s="189"/>
      <c r="CK13" s="189"/>
    </row>
    <row r="14" spans="1:89" x14ac:dyDescent="0.25">
      <c r="A14" s="17" t="s">
        <v>395</v>
      </c>
      <c r="B14" s="189">
        <v>36430550.340000004</v>
      </c>
      <c r="C14" s="189">
        <v>26047446.829999998</v>
      </c>
      <c r="D14" s="189">
        <v>5187234.2699999996</v>
      </c>
      <c r="E14" s="189">
        <v>27977016.600000001</v>
      </c>
      <c r="F14" s="189">
        <v>20380614.289999999</v>
      </c>
      <c r="G14" s="189">
        <v>14085279.140000001</v>
      </c>
      <c r="H14" s="189">
        <v>5414437.6299999999</v>
      </c>
      <c r="I14" s="189">
        <v>18715363.77</v>
      </c>
      <c r="J14" s="189">
        <v>17255083.41</v>
      </c>
      <c r="K14" s="189">
        <v>13424376.279999999</v>
      </c>
      <c r="L14" s="189">
        <v>4826458.59</v>
      </c>
      <c r="M14" s="189">
        <v>24900730.73</v>
      </c>
      <c r="N14" s="189">
        <v>10418740.880000001</v>
      </c>
      <c r="O14" s="189">
        <v>8385597.25</v>
      </c>
      <c r="P14" s="189">
        <v>5972473.6699999999</v>
      </c>
      <c r="Q14" s="189">
        <v>76429810.819999993</v>
      </c>
      <c r="R14" s="189">
        <v>21948730.800000001</v>
      </c>
      <c r="S14" s="189">
        <v>17767257.829999998</v>
      </c>
      <c r="T14" s="189">
        <v>9220135.6999999993</v>
      </c>
      <c r="U14" s="189">
        <v>251249096.43000001</v>
      </c>
      <c r="V14" s="189">
        <v>240382588.22999999</v>
      </c>
      <c r="W14" s="189">
        <v>234744649.09999999</v>
      </c>
      <c r="X14" s="189">
        <v>205731103.80000001</v>
      </c>
      <c r="Y14" s="189">
        <v>28397993.760000002</v>
      </c>
      <c r="Z14" s="189">
        <v>20251085.850000001</v>
      </c>
      <c r="AA14" s="189">
        <v>4522204.21</v>
      </c>
      <c r="AB14" s="189">
        <v>2291113.5699999998</v>
      </c>
      <c r="AC14" s="189">
        <v>54436988.789999999</v>
      </c>
      <c r="AD14" s="189">
        <v>30022491.640000001</v>
      </c>
      <c r="AE14" s="189">
        <v>3461598.27</v>
      </c>
      <c r="AF14" s="189">
        <v>1367839.63</v>
      </c>
      <c r="AG14" s="189">
        <v>75244790.519999996</v>
      </c>
      <c r="AH14" s="189">
        <v>11748074.09</v>
      </c>
      <c r="AI14" s="189">
        <v>7167163.0999999996</v>
      </c>
      <c r="AJ14" s="189">
        <v>6657736.9000000004</v>
      </c>
      <c r="AK14" s="189">
        <v>1810404.58</v>
      </c>
      <c r="AL14" s="189">
        <v>1348659.93</v>
      </c>
      <c r="AM14" s="189">
        <v>1150390.1000000001</v>
      </c>
      <c r="AN14" s="189">
        <v>6214.34</v>
      </c>
      <c r="AO14" s="189">
        <v>33420578.859999999</v>
      </c>
      <c r="AP14" s="189">
        <v>31475324.5</v>
      </c>
      <c r="AQ14" s="189">
        <v>29553428.690000001</v>
      </c>
      <c r="AR14" s="189">
        <v>43256.94</v>
      </c>
      <c r="AS14" s="189">
        <v>6959120.1299999999</v>
      </c>
      <c r="AT14" s="189">
        <v>-2397785.54</v>
      </c>
      <c r="AU14" s="189">
        <v>-2397785.54</v>
      </c>
      <c r="AV14" s="189">
        <v>4925707.72</v>
      </c>
      <c r="AW14" s="189">
        <v>10215265.289999999</v>
      </c>
      <c r="AX14" s="189">
        <v>6687354.0899999999</v>
      </c>
      <c r="AY14" s="189">
        <v>7619476.1299999999</v>
      </c>
      <c r="AZ14" s="189">
        <v>0</v>
      </c>
      <c r="BA14" s="189">
        <v>2377295.59</v>
      </c>
      <c r="BB14" s="189">
        <v>2025861.95</v>
      </c>
      <c r="BC14" s="189">
        <v>2024807.86</v>
      </c>
      <c r="BD14" s="189">
        <v>1698668.03</v>
      </c>
      <c r="BE14" s="189">
        <v>12486840.279999999</v>
      </c>
      <c r="BF14" s="189">
        <v>7032167.0700000003</v>
      </c>
      <c r="BG14" s="189">
        <v>2328413.73</v>
      </c>
      <c r="BH14" s="189">
        <v>0</v>
      </c>
      <c r="BI14" s="189">
        <v>9239539.8300000001</v>
      </c>
      <c r="BJ14" s="189">
        <v>2857699.22</v>
      </c>
      <c r="BK14" s="189">
        <v>1740299.38</v>
      </c>
      <c r="BL14" s="189">
        <v>17909.78</v>
      </c>
      <c r="BM14" s="189">
        <v>5323122.9000000004</v>
      </c>
      <c r="BN14" s="189">
        <v>4947703.34</v>
      </c>
      <c r="BO14" s="189">
        <v>796621.27</v>
      </c>
      <c r="BP14" s="189">
        <v>45895</v>
      </c>
      <c r="BQ14" s="189">
        <v>3351208.92</v>
      </c>
      <c r="BR14" s="189">
        <v>1350000</v>
      </c>
      <c r="BS14" s="189">
        <v>2138411.16</v>
      </c>
      <c r="BT14" s="189">
        <v>986907.32</v>
      </c>
      <c r="BU14" s="189">
        <v>1258815.75</v>
      </c>
      <c r="BV14" s="189">
        <v>509057.7</v>
      </c>
      <c r="BW14" s="189">
        <v>231640.61</v>
      </c>
      <c r="BX14" s="189">
        <v>7101</v>
      </c>
      <c r="BY14" s="189">
        <v>1716473</v>
      </c>
      <c r="BZ14" s="189">
        <v>185006</v>
      </c>
      <c r="CA14" s="189">
        <v>0</v>
      </c>
      <c r="CB14" s="189">
        <v>0</v>
      </c>
      <c r="CC14" s="189">
        <v>0</v>
      </c>
      <c r="CD14" s="189">
        <v>0</v>
      </c>
      <c r="CE14" s="189"/>
      <c r="CF14" s="189"/>
      <c r="CG14" s="189"/>
      <c r="CH14" s="189"/>
      <c r="CI14" s="189"/>
      <c r="CJ14" s="189"/>
      <c r="CK14" s="189"/>
    </row>
    <row r="15" spans="1:89" s="2" customFormat="1" x14ac:dyDescent="0.25">
      <c r="A15" s="20" t="s">
        <v>398</v>
      </c>
      <c r="B15" s="28">
        <f>B6-(B8+B9+B10+B11+B12)+B13-B14</f>
        <v>12375670458.369999</v>
      </c>
      <c r="C15" s="28">
        <f t="shared" ref="C15:BN15" si="7">C6-(C8+C9+C10+C11+C12)+C13-C14</f>
        <v>9261454763.8700027</v>
      </c>
      <c r="D15" s="28">
        <f t="shared" si="7"/>
        <v>6629184258.6299982</v>
      </c>
      <c r="E15" s="28">
        <f t="shared" si="7"/>
        <v>12363339554.09</v>
      </c>
      <c r="F15" s="28">
        <f t="shared" si="7"/>
        <v>9032690135.7299995</v>
      </c>
      <c r="G15" s="28">
        <f t="shared" si="7"/>
        <v>6546608056.8099995</v>
      </c>
      <c r="H15" s="28">
        <f t="shared" si="7"/>
        <v>4736521196.750001</v>
      </c>
      <c r="I15" s="28">
        <f t="shared" si="7"/>
        <v>8568615588.8199997</v>
      </c>
      <c r="J15" s="28">
        <f t="shared" si="7"/>
        <v>6457249919.6099987</v>
      </c>
      <c r="K15" s="28">
        <f t="shared" si="7"/>
        <v>4971189886.8099995</v>
      </c>
      <c r="L15" s="28">
        <f t="shared" si="7"/>
        <v>3811455270.48</v>
      </c>
      <c r="M15" s="28">
        <f t="shared" si="7"/>
        <v>7521988022.3599997</v>
      </c>
      <c r="N15" s="28">
        <f t="shared" si="7"/>
        <v>5682032286.8999987</v>
      </c>
      <c r="O15" s="28">
        <f t="shared" si="7"/>
        <v>4116267654.2600007</v>
      </c>
      <c r="P15" s="28">
        <f t="shared" si="7"/>
        <v>2837181770.3000002</v>
      </c>
      <c r="Q15" s="28">
        <f t="shared" si="7"/>
        <v>7350268061.3200006</v>
      </c>
      <c r="R15" s="28">
        <f t="shared" si="7"/>
        <v>5967410600.8799992</v>
      </c>
      <c r="S15" s="28">
        <f t="shared" si="7"/>
        <v>5208408593.2600002</v>
      </c>
      <c r="T15" s="28">
        <f t="shared" si="7"/>
        <v>3423200720.5100012</v>
      </c>
      <c r="U15" s="28">
        <f t="shared" si="7"/>
        <v>10428841340.690001</v>
      </c>
      <c r="V15" s="28">
        <f t="shared" si="7"/>
        <v>9194578750.8899975</v>
      </c>
      <c r="W15" s="28">
        <f t="shared" si="7"/>
        <v>7556432001.5200005</v>
      </c>
      <c r="X15" s="28">
        <f t="shared" si="7"/>
        <v>4783776420.1000004</v>
      </c>
      <c r="Y15" s="28">
        <f t="shared" si="7"/>
        <v>12957347668.509996</v>
      </c>
      <c r="Z15" s="28">
        <f t="shared" si="7"/>
        <v>10098351844.860001</v>
      </c>
      <c r="AA15" s="28">
        <f t="shared" si="7"/>
        <v>6556426903.0100002</v>
      </c>
      <c r="AB15" s="28">
        <f t="shared" si="7"/>
        <v>4057064563.0700002</v>
      </c>
      <c r="AC15" s="28">
        <f t="shared" si="7"/>
        <v>8031676488.1999979</v>
      </c>
      <c r="AD15" s="28">
        <f t="shared" si="7"/>
        <v>6389154684.0999994</v>
      </c>
      <c r="AE15" s="28">
        <f t="shared" si="7"/>
        <v>4436870174.8800001</v>
      </c>
      <c r="AF15" s="28">
        <f t="shared" si="7"/>
        <v>2835324666.4299994</v>
      </c>
      <c r="AG15" s="28">
        <f t="shared" si="7"/>
        <v>5884228454.4300003</v>
      </c>
      <c r="AH15" s="28">
        <f t="shared" si="7"/>
        <v>4584123387.7000008</v>
      </c>
      <c r="AI15" s="28">
        <f t="shared" si="7"/>
        <v>3042919273.77</v>
      </c>
      <c r="AJ15" s="28">
        <f t="shared" si="7"/>
        <v>2076374357.8</v>
      </c>
      <c r="AK15" s="28">
        <f t="shared" si="7"/>
        <v>4477217421.1800003</v>
      </c>
      <c r="AL15" s="28">
        <f t="shared" si="7"/>
        <v>3102024746.4900007</v>
      </c>
      <c r="AM15" s="28">
        <f t="shared" si="7"/>
        <v>2119589699.8700004</v>
      </c>
      <c r="AN15" s="28">
        <f t="shared" si="7"/>
        <v>1649469646.1600003</v>
      </c>
      <c r="AO15" s="28">
        <f t="shared" si="7"/>
        <v>2237622268.4900002</v>
      </c>
      <c r="AP15" s="28">
        <f t="shared" si="7"/>
        <v>2015282016.3899996</v>
      </c>
      <c r="AQ15" s="28">
        <f t="shared" si="7"/>
        <v>1637826988.0300007</v>
      </c>
      <c r="AR15" s="28">
        <f t="shared" si="7"/>
        <v>1335910628.2199998</v>
      </c>
      <c r="AS15" s="28">
        <f t="shared" si="7"/>
        <v>2083106331.7599995</v>
      </c>
      <c r="AT15" s="28">
        <f t="shared" si="7"/>
        <v>1933521679.0500004</v>
      </c>
      <c r="AU15" s="28">
        <f t="shared" si="7"/>
        <v>1670479830.9299996</v>
      </c>
      <c r="AV15" s="28">
        <f t="shared" si="7"/>
        <v>1115416891.9000001</v>
      </c>
      <c r="AW15" s="28">
        <f t="shared" si="7"/>
        <v>1726773984.5200002</v>
      </c>
      <c r="AX15" s="28">
        <f t="shared" si="7"/>
        <v>1517156059.4099998</v>
      </c>
      <c r="AY15" s="28">
        <f t="shared" si="7"/>
        <v>1214412741.9199994</v>
      </c>
      <c r="AZ15" s="28">
        <f t="shared" si="7"/>
        <v>825398587.63999999</v>
      </c>
      <c r="BA15" s="28">
        <f t="shared" si="7"/>
        <v>1168913264.8699996</v>
      </c>
      <c r="BB15" s="28">
        <f t="shared" si="7"/>
        <v>1146486701.2999995</v>
      </c>
      <c r="BC15" s="28">
        <f t="shared" si="7"/>
        <v>920867011.11999977</v>
      </c>
      <c r="BD15" s="28">
        <f t="shared" si="7"/>
        <v>647497079.54000008</v>
      </c>
      <c r="BE15" s="28">
        <f t="shared" si="7"/>
        <v>1240972705.5299997</v>
      </c>
      <c r="BF15" s="28">
        <f t="shared" si="7"/>
        <v>1017956701.9300003</v>
      </c>
      <c r="BG15" s="28">
        <f t="shared" si="7"/>
        <v>802766749.17999995</v>
      </c>
      <c r="BH15" s="28">
        <f t="shared" si="7"/>
        <v>572967000.40999985</v>
      </c>
      <c r="BI15" s="28">
        <f t="shared" si="7"/>
        <v>1055732464.6899999</v>
      </c>
      <c r="BJ15" s="28">
        <f t="shared" si="7"/>
        <v>836691845.71000016</v>
      </c>
      <c r="BK15" s="28">
        <f t="shared" si="7"/>
        <v>626120879.14999998</v>
      </c>
      <c r="BL15" s="28">
        <f t="shared" si="7"/>
        <v>492586995.96999997</v>
      </c>
      <c r="BM15" s="28">
        <f t="shared" si="7"/>
        <v>838364695.9599998</v>
      </c>
      <c r="BN15" s="28">
        <f t="shared" si="7"/>
        <v>676667147.49000013</v>
      </c>
      <c r="BO15" s="28">
        <f t="shared" ref="BO15:CJ15" si="8">BO6-(BO8+BO9+BO10+BO11+BO12)+BO13-BO14</f>
        <v>485813806.44000018</v>
      </c>
      <c r="BP15" s="28">
        <f t="shared" si="8"/>
        <v>366396665.61999989</v>
      </c>
      <c r="BQ15" s="28">
        <f t="shared" si="8"/>
        <v>893134619.91999996</v>
      </c>
      <c r="BR15" s="28">
        <f t="shared" si="8"/>
        <v>3698760000</v>
      </c>
      <c r="BS15" s="28">
        <f t="shared" si="8"/>
        <v>631534808.33999991</v>
      </c>
      <c r="BT15" s="28">
        <f t="shared" si="8"/>
        <v>408883947.53000009</v>
      </c>
      <c r="BU15" s="28">
        <f t="shared" si="8"/>
        <v>987370951.11000013</v>
      </c>
      <c r="BV15" s="28">
        <f t="shared" si="8"/>
        <v>715865560.12</v>
      </c>
      <c r="BW15" s="28">
        <f t="shared" si="8"/>
        <v>769213825.49000013</v>
      </c>
      <c r="BX15" s="28">
        <f t="shared" si="8"/>
        <v>374136798.97000003</v>
      </c>
      <c r="BY15" s="28">
        <f t="shared" si="8"/>
        <v>628908889.02999997</v>
      </c>
      <c r="BZ15" s="28">
        <f t="shared" si="8"/>
        <v>293707157.80000001</v>
      </c>
      <c r="CA15" s="28">
        <f t="shared" si="8"/>
        <v>521078849.30999994</v>
      </c>
      <c r="CB15" s="28">
        <f t="shared" si="8"/>
        <v>403897356.88999999</v>
      </c>
      <c r="CC15" s="28">
        <f t="shared" si="8"/>
        <v>335872505.23000002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3020815268.2927532</v>
      </c>
      <c r="C16" s="26">
        <f t="shared" ref="C16:BN16" si="9">C15*C41</f>
        <v>2251383498.2465954</v>
      </c>
      <c r="D16" s="26">
        <f t="shared" si="9"/>
        <v>1624650394.617506</v>
      </c>
      <c r="E16" s="26">
        <f t="shared" si="9"/>
        <v>3067864721.8398466</v>
      </c>
      <c r="F16" s="26">
        <f t="shared" si="9"/>
        <v>2263888497.5313692</v>
      </c>
      <c r="G16" s="26">
        <f t="shared" si="9"/>
        <v>1690453421.2240207</v>
      </c>
      <c r="H16" s="26">
        <f t="shared" si="9"/>
        <v>1160912207.8352499</v>
      </c>
      <c r="I16" s="26">
        <f t="shared" si="9"/>
        <v>2086089160.1827226</v>
      </c>
      <c r="J16" s="26">
        <f t="shared" si="9"/>
        <v>1589832448.0673778</v>
      </c>
      <c r="K16" s="26">
        <f t="shared" si="9"/>
        <v>1210676701.5868964</v>
      </c>
      <c r="L16" s="26">
        <f t="shared" si="9"/>
        <v>938182522.14431965</v>
      </c>
      <c r="M16" s="26">
        <f t="shared" si="9"/>
        <v>1703457270.821748</v>
      </c>
      <c r="N16" s="26">
        <f t="shared" si="9"/>
        <v>1338963101.2567928</v>
      </c>
      <c r="O16" s="26">
        <f t="shared" si="9"/>
        <v>976943021.82692862</v>
      </c>
      <c r="P16" s="26">
        <f t="shared" si="9"/>
        <v>678907837.09287941</v>
      </c>
      <c r="Q16" s="26">
        <f t="shared" si="9"/>
        <v>1793683289.1104736</v>
      </c>
      <c r="R16" s="26">
        <f t="shared" si="9"/>
        <v>1440864900.6092775</v>
      </c>
      <c r="S16" s="26">
        <f t="shared" si="9"/>
        <v>1300421665.4944429</v>
      </c>
      <c r="T16" s="26">
        <f t="shared" si="9"/>
        <v>870440520.22791624</v>
      </c>
      <c r="U16" s="26">
        <f t="shared" si="9"/>
        <v>2710664810.405128</v>
      </c>
      <c r="V16" s="26">
        <f t="shared" si="9"/>
        <v>2273099187.7468376</v>
      </c>
      <c r="W16" s="26">
        <f t="shared" si="9"/>
        <v>1864744605.1088359</v>
      </c>
      <c r="X16" s="26">
        <f t="shared" si="9"/>
        <v>1176564789.0145862</v>
      </c>
      <c r="Y16" s="26">
        <f t="shared" si="9"/>
        <v>3206547909.1866488</v>
      </c>
      <c r="Z16" s="26">
        <f t="shared" si="9"/>
        <v>2451557856.5925164</v>
      </c>
      <c r="AA16" s="26">
        <f t="shared" si="9"/>
        <v>1614543782.1700058</v>
      </c>
      <c r="AB16" s="26">
        <f t="shared" si="9"/>
        <v>997242188.89561749</v>
      </c>
      <c r="AC16" s="26">
        <f t="shared" si="9"/>
        <v>1987649074.8319702</v>
      </c>
      <c r="AD16" s="26">
        <f t="shared" si="9"/>
        <v>1560478194.486721</v>
      </c>
      <c r="AE16" s="26">
        <f t="shared" si="9"/>
        <v>1084796336.4967377</v>
      </c>
      <c r="AF16" s="26">
        <f t="shared" si="9"/>
        <v>692867654.7152586</v>
      </c>
      <c r="AG16" s="26">
        <f t="shared" si="9"/>
        <v>1461355564.1612315</v>
      </c>
      <c r="AH16" s="26">
        <f t="shared" si="9"/>
        <v>1122946983.9612458</v>
      </c>
      <c r="AI16" s="26">
        <f t="shared" si="9"/>
        <v>749877418.8198632</v>
      </c>
      <c r="AJ16" s="26">
        <f t="shared" si="9"/>
        <v>506085135.98209482</v>
      </c>
      <c r="AK16" s="26">
        <f t="shared" si="9"/>
        <v>1107175163.5603404</v>
      </c>
      <c r="AL16" s="26">
        <f t="shared" si="9"/>
        <v>767214519.78717589</v>
      </c>
      <c r="AM16" s="26">
        <f t="shared" si="9"/>
        <v>528392704.51567972</v>
      </c>
      <c r="AN16" s="26">
        <f t="shared" si="9"/>
        <v>388573377.41956449</v>
      </c>
      <c r="AO16" s="26">
        <f t="shared" si="9"/>
        <v>531114726.18627715</v>
      </c>
      <c r="AP16" s="26">
        <f t="shared" si="9"/>
        <v>477425392.97303188</v>
      </c>
      <c r="AQ16" s="26">
        <f t="shared" si="9"/>
        <v>386142282.37647158</v>
      </c>
      <c r="AR16" s="26">
        <f t="shared" si="9"/>
        <v>331937839.25366741</v>
      </c>
      <c r="AS16" s="26">
        <f t="shared" si="9"/>
        <v>674714317.81006587</v>
      </c>
      <c r="AT16" s="26">
        <f t="shared" si="9"/>
        <v>634605448.06218302</v>
      </c>
      <c r="AU16" s="26">
        <f t="shared" si="9"/>
        <v>549743639.31327891</v>
      </c>
      <c r="AV16" s="26">
        <f t="shared" si="9"/>
        <v>373096398.17887235</v>
      </c>
      <c r="AW16" s="26">
        <f t="shared" si="9"/>
        <v>587486616.25836003</v>
      </c>
      <c r="AX16" s="26">
        <f t="shared" si="9"/>
        <v>516403432.20389962</v>
      </c>
      <c r="AY16" s="26">
        <f t="shared" si="9"/>
        <v>411338189.93165833</v>
      </c>
      <c r="AZ16" s="26">
        <f t="shared" si="9"/>
        <v>279920221.07481605</v>
      </c>
      <c r="BA16" s="26">
        <f t="shared" si="9"/>
        <v>389798178.99456769</v>
      </c>
      <c r="BB16" s="26">
        <f t="shared" si="9"/>
        <v>381540044.85216796</v>
      </c>
      <c r="BC16" s="26">
        <f t="shared" si="9"/>
        <v>334308437.16317999</v>
      </c>
      <c r="BD16" s="26">
        <f t="shared" si="9"/>
        <v>236307440.03370756</v>
      </c>
      <c r="BE16" s="26">
        <f t="shared" si="9"/>
        <v>432230678.23326081</v>
      </c>
      <c r="BF16" s="26">
        <f t="shared" si="9"/>
        <v>350491325.08090842</v>
      </c>
      <c r="BG16" s="26">
        <f t="shared" si="9"/>
        <v>274406031.85960144</v>
      </c>
      <c r="BH16" s="26">
        <f t="shared" si="9"/>
        <v>192427402.94491392</v>
      </c>
      <c r="BI16" s="26">
        <f t="shared" si="9"/>
        <v>373608406.77865762</v>
      </c>
      <c r="BJ16" s="26">
        <f t="shared" si="9"/>
        <v>304143540.44396186</v>
      </c>
      <c r="BK16" s="26">
        <f t="shared" si="9"/>
        <v>245278311.23968053</v>
      </c>
      <c r="BL16" s="26">
        <f t="shared" si="9"/>
        <v>206261030.97501355</v>
      </c>
      <c r="BM16" s="26">
        <f t="shared" si="9"/>
        <v>242318464.43207499</v>
      </c>
      <c r="BN16" s="26">
        <f t="shared" si="9"/>
        <v>184352354.64239997</v>
      </c>
      <c r="BO16" s="26">
        <f t="shared" ref="BO16:CK16" si="10">BO15*BO41</f>
        <v>123367723.22158799</v>
      </c>
      <c r="BP16" s="26">
        <f t="shared" si="10"/>
        <v>119013541.41104393</v>
      </c>
      <c r="BQ16" s="26">
        <f t="shared" si="10"/>
        <v>112037559.39286505</v>
      </c>
      <c r="BR16" s="26">
        <f t="shared" si="10"/>
        <v>160039625.27078146</v>
      </c>
      <c r="BS16" s="26">
        <f t="shared" si="10"/>
        <v>172074996.11291829</v>
      </c>
      <c r="BT16" s="26">
        <f t="shared" si="10"/>
        <v>135239961.73890468</v>
      </c>
      <c r="BU16" s="26">
        <f t="shared" si="10"/>
        <v>234901049.59846473</v>
      </c>
      <c r="BV16" s="26">
        <f t="shared" si="10"/>
        <v>292312496.9012211</v>
      </c>
      <c r="BW16" s="26">
        <f t="shared" si="10"/>
        <v>297592337.14220399</v>
      </c>
      <c r="BX16" s="26">
        <f t="shared" si="10"/>
        <v>64987356.907065503</v>
      </c>
      <c r="BY16" s="26">
        <f t="shared" si="10"/>
        <v>243977887.7379275</v>
      </c>
      <c r="BZ16" s="26">
        <f t="shared" si="10"/>
        <v>44057671.320452899</v>
      </c>
      <c r="CA16" s="26">
        <f t="shared" si="10"/>
        <v>172008962.44869408</v>
      </c>
      <c r="CB16" s="26">
        <f t="shared" si="10"/>
        <v>133397718.95321496</v>
      </c>
      <c r="CC16" s="26">
        <f t="shared" si="10"/>
        <v>110943325.85509187</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9354855190.0772457</v>
      </c>
      <c r="C17" s="27">
        <f t="shared" ref="C17:BN17" si="11">C15-C16</f>
        <v>7010071265.6234074</v>
      </c>
      <c r="D17" s="27">
        <f t="shared" si="11"/>
        <v>5004533864.0124922</v>
      </c>
      <c r="E17" s="27">
        <f t="shared" si="11"/>
        <v>9295474832.2501526</v>
      </c>
      <c r="F17" s="27">
        <f t="shared" si="11"/>
        <v>6768801638.1986303</v>
      </c>
      <c r="G17" s="27">
        <f t="shared" si="11"/>
        <v>4856154635.5859785</v>
      </c>
      <c r="H17" s="27">
        <f t="shared" si="11"/>
        <v>3575608988.9147511</v>
      </c>
      <c r="I17" s="27">
        <f t="shared" si="11"/>
        <v>6482526428.6372776</v>
      </c>
      <c r="J17" s="27">
        <f t="shared" si="11"/>
        <v>4867417471.5426207</v>
      </c>
      <c r="K17" s="27">
        <f t="shared" si="11"/>
        <v>3760513185.223103</v>
      </c>
      <c r="L17" s="27">
        <f t="shared" si="11"/>
        <v>2873272748.3356805</v>
      </c>
      <c r="M17" s="27">
        <f t="shared" si="11"/>
        <v>5818530751.5382519</v>
      </c>
      <c r="N17" s="27">
        <f t="shared" si="11"/>
        <v>4343069185.6432056</v>
      </c>
      <c r="O17" s="27">
        <f t="shared" si="11"/>
        <v>3139324632.4330721</v>
      </c>
      <c r="P17" s="27">
        <f t="shared" si="11"/>
        <v>2158273933.2071209</v>
      </c>
      <c r="Q17" s="27">
        <f t="shared" si="11"/>
        <v>5556584772.209527</v>
      </c>
      <c r="R17" s="27">
        <f t="shared" si="11"/>
        <v>4526545700.2707214</v>
      </c>
      <c r="S17" s="27">
        <f t="shared" si="11"/>
        <v>3907986927.7655573</v>
      </c>
      <c r="T17" s="27">
        <f t="shared" si="11"/>
        <v>2552760200.2820849</v>
      </c>
      <c r="U17" s="27">
        <f t="shared" si="11"/>
        <v>7718176530.2848721</v>
      </c>
      <c r="V17" s="27">
        <f t="shared" si="11"/>
        <v>6921479563.1431599</v>
      </c>
      <c r="W17" s="27">
        <f t="shared" si="11"/>
        <v>5691687396.4111643</v>
      </c>
      <c r="X17" s="27">
        <f t="shared" si="11"/>
        <v>3607211631.0854139</v>
      </c>
      <c r="Y17" s="27">
        <f t="shared" si="11"/>
        <v>9750799759.3233471</v>
      </c>
      <c r="Z17" s="27">
        <f t="shared" si="11"/>
        <v>7646793988.2674847</v>
      </c>
      <c r="AA17" s="27">
        <f t="shared" si="11"/>
        <v>4941883120.8399944</v>
      </c>
      <c r="AB17" s="27">
        <f t="shared" si="11"/>
        <v>3059822374.1743827</v>
      </c>
      <c r="AC17" s="27">
        <f t="shared" si="11"/>
        <v>6044027413.3680277</v>
      </c>
      <c r="AD17" s="27">
        <f t="shared" si="11"/>
        <v>4828676489.6132784</v>
      </c>
      <c r="AE17" s="27">
        <f t="shared" si="11"/>
        <v>3352073838.3832626</v>
      </c>
      <c r="AF17" s="27">
        <f t="shared" si="11"/>
        <v>2142457011.7147408</v>
      </c>
      <c r="AG17" s="27">
        <f t="shared" si="11"/>
        <v>4422872890.2687683</v>
      </c>
      <c r="AH17" s="27">
        <f t="shared" si="11"/>
        <v>3461176403.7387552</v>
      </c>
      <c r="AI17" s="27">
        <f t="shared" si="11"/>
        <v>2293041854.9501367</v>
      </c>
      <c r="AJ17" s="27">
        <f t="shared" si="11"/>
        <v>1570289221.8179052</v>
      </c>
      <c r="AK17" s="27">
        <f t="shared" si="11"/>
        <v>3370042257.6196599</v>
      </c>
      <c r="AL17" s="27">
        <f t="shared" si="11"/>
        <v>2334810226.7028246</v>
      </c>
      <c r="AM17" s="27">
        <f t="shared" si="11"/>
        <v>1591196995.3543205</v>
      </c>
      <c r="AN17" s="27">
        <f t="shared" si="11"/>
        <v>1260896268.7404358</v>
      </c>
      <c r="AO17" s="27">
        <f t="shared" si="11"/>
        <v>1706507542.3037231</v>
      </c>
      <c r="AP17" s="27">
        <f t="shared" si="11"/>
        <v>1537856623.4169679</v>
      </c>
      <c r="AQ17" s="27">
        <f t="shared" si="11"/>
        <v>1251684705.6535292</v>
      </c>
      <c r="AR17" s="27">
        <f t="shared" si="11"/>
        <v>1003972788.9663324</v>
      </c>
      <c r="AS17" s="27">
        <f t="shared" si="11"/>
        <v>1408392013.9499335</v>
      </c>
      <c r="AT17" s="27">
        <f t="shared" si="11"/>
        <v>1298916230.9878173</v>
      </c>
      <c r="AU17" s="27">
        <f t="shared" si="11"/>
        <v>1120736191.6167207</v>
      </c>
      <c r="AV17" s="27">
        <f t="shared" si="11"/>
        <v>742320493.72112775</v>
      </c>
      <c r="AW17" s="27">
        <f t="shared" si="11"/>
        <v>1139287368.2616401</v>
      </c>
      <c r="AX17" s="27">
        <f t="shared" si="11"/>
        <v>1000752627.2061002</v>
      </c>
      <c r="AY17" s="27">
        <f t="shared" si="11"/>
        <v>803074551.98834109</v>
      </c>
      <c r="AZ17" s="27">
        <f t="shared" si="11"/>
        <v>545478366.56518388</v>
      </c>
      <c r="BA17" s="27">
        <f t="shared" si="11"/>
        <v>779115085.87543201</v>
      </c>
      <c r="BB17" s="27">
        <f t="shared" si="11"/>
        <v>764946656.44783151</v>
      </c>
      <c r="BC17" s="27">
        <f t="shared" si="11"/>
        <v>586558573.95681977</v>
      </c>
      <c r="BD17" s="27">
        <f t="shared" si="11"/>
        <v>411189639.50629252</v>
      </c>
      <c r="BE17" s="27">
        <f t="shared" si="11"/>
        <v>808742027.29673886</v>
      </c>
      <c r="BF17" s="27">
        <f t="shared" si="11"/>
        <v>667465376.84909189</v>
      </c>
      <c r="BG17" s="27">
        <f t="shared" si="11"/>
        <v>528360717.32039851</v>
      </c>
      <c r="BH17" s="27">
        <f t="shared" si="11"/>
        <v>380539597.46508592</v>
      </c>
      <c r="BI17" s="27">
        <f t="shared" si="11"/>
        <v>682124057.91134238</v>
      </c>
      <c r="BJ17" s="27">
        <f t="shared" si="11"/>
        <v>532548305.2660383</v>
      </c>
      <c r="BK17" s="27">
        <f t="shared" si="11"/>
        <v>380842567.91031945</v>
      </c>
      <c r="BL17" s="27">
        <f t="shared" si="11"/>
        <v>286325964.99498641</v>
      </c>
      <c r="BM17" s="27">
        <f t="shared" si="11"/>
        <v>596046231.52792478</v>
      </c>
      <c r="BN17" s="27">
        <f t="shared" si="11"/>
        <v>492314792.84760016</v>
      </c>
      <c r="BO17" s="27">
        <f t="shared" ref="BO17:CJ17" si="12">BO15-BO16</f>
        <v>362446083.21841216</v>
      </c>
      <c r="BP17" s="27">
        <f t="shared" si="12"/>
        <v>247383124.20895594</v>
      </c>
      <c r="BQ17" s="27">
        <f t="shared" si="12"/>
        <v>781097060.5271349</v>
      </c>
      <c r="BR17" s="27">
        <f t="shared" si="12"/>
        <v>3538720374.7292185</v>
      </c>
      <c r="BS17" s="27">
        <f t="shared" si="12"/>
        <v>459459812.22708166</v>
      </c>
      <c r="BT17" s="27">
        <f t="shared" si="12"/>
        <v>273643985.79109538</v>
      </c>
      <c r="BU17" s="27">
        <f t="shared" si="12"/>
        <v>752469901.51153541</v>
      </c>
      <c r="BV17" s="27">
        <f t="shared" si="12"/>
        <v>423553063.21877891</v>
      </c>
      <c r="BW17" s="27">
        <f t="shared" si="12"/>
        <v>471621488.34779614</v>
      </c>
      <c r="BX17" s="27">
        <f t="shared" si="12"/>
        <v>309149442.06293452</v>
      </c>
      <c r="BY17" s="27">
        <f t="shared" si="12"/>
        <v>384931001.29207247</v>
      </c>
      <c r="BZ17" s="27">
        <f t="shared" si="12"/>
        <v>249649486.47954711</v>
      </c>
      <c r="CA17" s="27">
        <f t="shared" si="12"/>
        <v>349069886.86130583</v>
      </c>
      <c r="CB17" s="27">
        <f t="shared" si="12"/>
        <v>270499637.93678504</v>
      </c>
      <c r="CC17" s="27">
        <f t="shared" si="12"/>
        <v>224929179.37490815</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31.982096658267363</v>
      </c>
      <c r="C18" s="57">
        <f t="shared" ref="C18:D18" si="13">C17/C4*100</f>
        <v>32.724951967790453</v>
      </c>
      <c r="D18" s="57">
        <f t="shared" si="13"/>
        <v>36.009902729460919</v>
      </c>
      <c r="E18" s="57">
        <f>E17/E4</f>
        <v>0.30793197241517201</v>
      </c>
      <c r="F18" s="57">
        <f t="shared" ref="F18:BQ18" si="14">F17/F4</f>
        <v>0.30798643510689577</v>
      </c>
      <c r="G18" s="57">
        <f t="shared" si="14"/>
        <v>0.31087093973674695</v>
      </c>
      <c r="H18" s="57">
        <f t="shared" si="14"/>
        <v>0.35197132952781107</v>
      </c>
      <c r="I18" s="57">
        <f t="shared" si="14"/>
        <v>0.26412081124879605</v>
      </c>
      <c r="J18" s="57">
        <f t="shared" si="14"/>
        <v>0.27500087107317056</v>
      </c>
      <c r="K18" s="57">
        <f t="shared" si="14"/>
        <v>0.28369158858688376</v>
      </c>
      <c r="L18" s="57">
        <f t="shared" si="14"/>
        <v>0.32556249989664726</v>
      </c>
      <c r="M18" s="57">
        <f t="shared" si="14"/>
        <v>0.26863906715486641</v>
      </c>
      <c r="N18" s="57">
        <f t="shared" si="14"/>
        <v>0.28702473119303185</v>
      </c>
      <c r="O18" s="57">
        <f t="shared" si="14"/>
        <v>0.2799116136497935</v>
      </c>
      <c r="P18" s="57">
        <f t="shared" si="14"/>
        <v>0.32043571193896292</v>
      </c>
      <c r="Q18" s="57">
        <f t="shared" si="14"/>
        <v>0.26445456109825138</v>
      </c>
      <c r="R18" s="57">
        <f t="shared" si="14"/>
        <v>0.30040159405774469</v>
      </c>
      <c r="S18" s="57">
        <f t="shared" si="14"/>
        <v>0.3350890406936452</v>
      </c>
      <c r="T18" s="57">
        <f t="shared" si="14"/>
        <v>0.37988341775015505</v>
      </c>
      <c r="U18" s="57">
        <f t="shared" si="14"/>
        <v>0.31224179703640692</v>
      </c>
      <c r="V18" s="57">
        <f t="shared" si="14"/>
        <v>0.36113630091486376</v>
      </c>
      <c r="W18" s="57">
        <f t="shared" si="14"/>
        <v>0.366735327031537</v>
      </c>
      <c r="X18" s="57">
        <f t="shared" si="14"/>
        <v>0.41577856660444734</v>
      </c>
      <c r="Y18" s="57">
        <f t="shared" si="14"/>
        <v>0.35847150057268279</v>
      </c>
      <c r="Z18" s="57">
        <f t="shared" si="14"/>
        <v>0.36195094062447714</v>
      </c>
      <c r="AA18" s="57">
        <f t="shared" si="14"/>
        <v>0.32837066717422769</v>
      </c>
      <c r="AB18" s="57">
        <f t="shared" si="14"/>
        <v>0.37175943901320035</v>
      </c>
      <c r="AC18" s="57">
        <f t="shared" si="14"/>
        <v>0.29699512820920321</v>
      </c>
      <c r="AD18" s="57">
        <f t="shared" si="14"/>
        <v>0.30856579169444281</v>
      </c>
      <c r="AE18" s="57">
        <f t="shared" si="14"/>
        <v>0.31638768853235816</v>
      </c>
      <c r="AF18" s="57">
        <f t="shared" si="14"/>
        <v>0.34309190938403961</v>
      </c>
      <c r="AG18" s="57">
        <f t="shared" si="14"/>
        <v>0.28458833848434917</v>
      </c>
      <c r="AH18" s="57">
        <f t="shared" si="14"/>
        <v>0.30171407333238798</v>
      </c>
      <c r="AI18" s="57">
        <f t="shared" si="14"/>
        <v>0.30265003131491464</v>
      </c>
      <c r="AJ18" s="57">
        <f t="shared" si="14"/>
        <v>0.3494481507936274</v>
      </c>
      <c r="AK18" s="57">
        <f t="shared" si="14"/>
        <v>0.30281026803245048</v>
      </c>
      <c r="AL18" s="57">
        <f t="shared" si="14"/>
        <v>0.29077250955162948</v>
      </c>
      <c r="AM18" s="57">
        <f t="shared" si="14"/>
        <v>0.29792731467414307</v>
      </c>
      <c r="AN18" s="57">
        <f t="shared" si="14"/>
        <v>0.37764379781907803</v>
      </c>
      <c r="AO18" s="57">
        <f t="shared" si="14"/>
        <v>0.21511316765868252</v>
      </c>
      <c r="AP18" s="57">
        <f t="shared" si="14"/>
        <v>0.23376371910016475</v>
      </c>
      <c r="AQ18" s="57">
        <f t="shared" si="14"/>
        <v>0.27226650029790767</v>
      </c>
      <c r="AR18" s="57">
        <f t="shared" si="14"/>
        <v>0.32531587829364983</v>
      </c>
      <c r="AS18" s="57">
        <f t="shared" si="14"/>
        <v>0.19217865625741129</v>
      </c>
      <c r="AT18" s="57">
        <f t="shared" si="14"/>
        <v>0.21494334995366812</v>
      </c>
      <c r="AU18" s="57">
        <f t="shared" si="14"/>
        <v>0.25806286789072092</v>
      </c>
      <c r="AV18" s="57">
        <f t="shared" si="14"/>
        <v>0.2466301824199921</v>
      </c>
      <c r="AW18" s="57">
        <f t="shared" si="14"/>
        <v>0.15424662259292723</v>
      </c>
      <c r="AX18" s="57">
        <f t="shared" si="14"/>
        <v>0.16803773155178575</v>
      </c>
      <c r="AY18" s="57">
        <f t="shared" si="14"/>
        <v>0.18264097990919409</v>
      </c>
      <c r="AZ18" s="57">
        <f t="shared" si="14"/>
        <v>0.19977625424510168</v>
      </c>
      <c r="BA18" s="57">
        <f t="shared" si="14"/>
        <v>0.12138109545243717</v>
      </c>
      <c r="BB18" s="57">
        <f t="shared" si="14"/>
        <v>0.15398185895799874</v>
      </c>
      <c r="BC18" s="57">
        <f t="shared" si="14"/>
        <v>0.15407316672099775</v>
      </c>
      <c r="BD18" s="57">
        <f t="shared" si="14"/>
        <v>0.1665104460307556</v>
      </c>
      <c r="BE18" s="57">
        <f t="shared" si="14"/>
        <v>0.12842101023876681</v>
      </c>
      <c r="BF18" s="57">
        <f t="shared" si="14"/>
        <v>0.14579585482006291</v>
      </c>
      <c r="BG18" s="57">
        <f t="shared" si="14"/>
        <v>0.15282464822497735</v>
      </c>
      <c r="BH18" s="57">
        <f t="shared" si="14"/>
        <v>0.15532587773235318</v>
      </c>
      <c r="BI18" s="57">
        <f t="shared" si="14"/>
        <v>0.10770792668616946</v>
      </c>
      <c r="BJ18" s="57">
        <f t="shared" si="14"/>
        <v>0.1147488821743938</v>
      </c>
      <c r="BK18" s="57">
        <f t="shared" si="14"/>
        <v>0.11113601500367887</v>
      </c>
      <c r="BL18" s="57">
        <f t="shared" si="14"/>
        <v>0.12587649707484005</v>
      </c>
      <c r="BM18" s="57">
        <f t="shared" si="14"/>
        <v>0.10445008500487864</v>
      </c>
      <c r="BN18" s="57">
        <f t="shared" si="14"/>
        <v>0.10981014995220689</v>
      </c>
      <c r="BO18" s="57">
        <f t="shared" si="14"/>
        <v>0.10468061615555503</v>
      </c>
      <c r="BP18" s="57">
        <f t="shared" si="14"/>
        <v>0.10930655857045156</v>
      </c>
      <c r="BQ18" s="57">
        <f t="shared" si="14"/>
        <v>0.16471559604283911</v>
      </c>
      <c r="BR18" s="57">
        <f t="shared" ref="BR18:CK18" si="15">BR17/BR4</f>
        <v>0.95638247909635621</v>
      </c>
      <c r="BS18" s="57">
        <f t="shared" si="15"/>
        <v>0.16307392617158098</v>
      </c>
      <c r="BT18" s="57">
        <f t="shared" si="15"/>
        <v>0.13682885827256519</v>
      </c>
      <c r="BU18" s="57">
        <f t="shared" si="15"/>
        <v>0.19032331599847416</v>
      </c>
      <c r="BV18" s="57">
        <f t="shared" si="15"/>
        <v>0.15877179547777842</v>
      </c>
      <c r="BW18" s="57">
        <f t="shared" si="15"/>
        <v>0.1425358937417914</v>
      </c>
      <c r="BX18" s="57">
        <f t="shared" si="15"/>
        <v>0.16263377258180736</v>
      </c>
      <c r="BY18" s="57">
        <f t="shared" si="15"/>
        <v>0.13677455734825089</v>
      </c>
      <c r="BZ18" s="57">
        <f t="shared" si="15"/>
        <v>0.20624801515379701</v>
      </c>
      <c r="CA18" s="57">
        <f t="shared" si="15"/>
        <v>0.15834751873180886</v>
      </c>
      <c r="CB18" s="57">
        <f t="shared" si="15"/>
        <v>0.20653606180830911</v>
      </c>
      <c r="CC18" s="57">
        <f t="shared" si="15"/>
        <v>0.24590387623224838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9">
        <v>50098836.630000003</v>
      </c>
      <c r="C20" s="189">
        <v>50098836.630000003</v>
      </c>
      <c r="D20" s="189">
        <v>0</v>
      </c>
      <c r="E20" s="189">
        <v>68210911.069999993</v>
      </c>
      <c r="F20" s="189">
        <v>22396528.84</v>
      </c>
      <c r="G20" s="189">
        <v>22396528.84</v>
      </c>
      <c r="H20" s="189">
        <v>0</v>
      </c>
      <c r="I20" s="189">
        <v>33428752.969999999</v>
      </c>
      <c r="J20" s="189">
        <v>10147483.09</v>
      </c>
      <c r="K20" s="189">
        <v>10147483.09</v>
      </c>
      <c r="L20" s="189">
        <v>0</v>
      </c>
      <c r="M20" s="189">
        <v>34144563.939999998</v>
      </c>
      <c r="N20" s="189">
        <v>11944354.91</v>
      </c>
      <c r="O20" s="189">
        <v>11944354.91</v>
      </c>
      <c r="P20" s="189">
        <v>0</v>
      </c>
      <c r="Q20" s="189">
        <v>14487542.039999999</v>
      </c>
      <c r="R20" s="189">
        <v>-5764261.4800000004</v>
      </c>
      <c r="S20" s="189">
        <v>-5764261.4800000004</v>
      </c>
      <c r="T20" s="189">
        <v>0</v>
      </c>
      <c r="U20" s="189">
        <v>566442.73</v>
      </c>
      <c r="V20" s="189">
        <v>-6197824.0800000001</v>
      </c>
      <c r="W20" s="189">
        <v>-6197824.0800000001</v>
      </c>
      <c r="X20" s="189">
        <v>0</v>
      </c>
      <c r="Y20" s="189">
        <v>-396769.54</v>
      </c>
      <c r="Z20" s="189">
        <v>0</v>
      </c>
      <c r="AA20" s="189">
        <v>0</v>
      </c>
      <c r="AB20" s="189">
        <v>0</v>
      </c>
      <c r="AC20" s="189">
        <v>2110192.46</v>
      </c>
      <c r="AD20" s="189">
        <v>-4089468.16</v>
      </c>
      <c r="AE20" s="189">
        <v>-4089468.16</v>
      </c>
      <c r="AF20" s="189">
        <v>0</v>
      </c>
      <c r="AG20" s="189">
        <v>2545036.6</v>
      </c>
      <c r="AH20" s="189">
        <v>0</v>
      </c>
      <c r="AI20" s="189">
        <v>-4182065.41</v>
      </c>
      <c r="AJ20" s="189">
        <v>0</v>
      </c>
      <c r="AK20" s="189">
        <v>2508787.02</v>
      </c>
      <c r="AL20" s="189">
        <v>-2412569.77</v>
      </c>
      <c r="AM20" s="189">
        <v>0</v>
      </c>
      <c r="AN20" s="189">
        <v>0</v>
      </c>
      <c r="AO20" s="189">
        <v>0</v>
      </c>
      <c r="AP20" s="189">
        <v>0</v>
      </c>
      <c r="AQ20" s="189">
        <v>0</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401</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-7070987.5999999996</v>
      </c>
      <c r="V22" s="189">
        <v>-7070987.5999999996</v>
      </c>
      <c r="W22" s="189">
        <v>-7070987.5999999996</v>
      </c>
      <c r="X22" s="189">
        <v>-1174775.3600000001</v>
      </c>
      <c r="Y22" s="189">
        <v>772066.24</v>
      </c>
      <c r="Z22" s="189">
        <v>-2940276.48</v>
      </c>
      <c r="AA22" s="189">
        <v>-1937275.2</v>
      </c>
      <c r="AB22" s="189">
        <v>-526834.56000000006</v>
      </c>
      <c r="AC22" s="189">
        <v>-2456298.7200000002</v>
      </c>
      <c r="AD22" s="189">
        <v>-2934365.6</v>
      </c>
      <c r="AE22" s="189">
        <v>-101244.32</v>
      </c>
      <c r="AF22" s="189">
        <v>1762545.44</v>
      </c>
      <c r="AG22" s="189">
        <v>-6911424.3200000003</v>
      </c>
      <c r="AH22" s="189">
        <v>-6903412</v>
      </c>
      <c r="AI22" s="189">
        <v>-6884916.3200000003</v>
      </c>
      <c r="AJ22" s="189">
        <v>-1808206.56</v>
      </c>
      <c r="AK22" s="189">
        <v>15521684.640000001</v>
      </c>
      <c r="AL22" s="189">
        <v>0</v>
      </c>
      <c r="AM22" s="189">
        <v>0</v>
      </c>
      <c r="AN22" s="189">
        <v>0</v>
      </c>
      <c r="AO22" s="189">
        <v>0</v>
      </c>
      <c r="AP22" s="189">
        <v>0</v>
      </c>
      <c r="AQ22" s="189">
        <v>0</v>
      </c>
      <c r="AR22" s="189">
        <v>0</v>
      </c>
      <c r="AS22" s="189">
        <v>-186980</v>
      </c>
      <c r="AT22" s="189">
        <v>0</v>
      </c>
      <c r="AU22" s="189">
        <v>37074.449999999997</v>
      </c>
      <c r="AV22" s="189">
        <v>294032.84999999998</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c r="CF22" s="189"/>
      <c r="CG22" s="189"/>
      <c r="CH22" s="189"/>
      <c r="CI22" s="189"/>
      <c r="CJ22" s="189"/>
      <c r="CK22" s="189"/>
    </row>
    <row r="23" spans="1:89" s="7" customFormat="1" x14ac:dyDescent="0.25">
      <c r="A23" s="21" t="s">
        <v>402</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-9600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9">
        <v>0</v>
      </c>
      <c r="C26" s="189">
        <v>0</v>
      </c>
      <c r="D26" s="189">
        <v>0</v>
      </c>
      <c r="E26" s="189">
        <v>0</v>
      </c>
      <c r="F26" s="189">
        <v>0</v>
      </c>
      <c r="G26" s="189">
        <v>0</v>
      </c>
      <c r="H26" s="189">
        <v>0</v>
      </c>
      <c r="I26" s="189">
        <v>0</v>
      </c>
      <c r="J26" s="189">
        <v>0</v>
      </c>
      <c r="K26" s="189">
        <v>0</v>
      </c>
      <c r="L26" s="189">
        <v>0</v>
      </c>
      <c r="M26" s="189">
        <v>0</v>
      </c>
      <c r="N26" s="189">
        <v>0</v>
      </c>
      <c r="O26" s="189">
        <v>0</v>
      </c>
      <c r="P26" s="189">
        <v>0</v>
      </c>
      <c r="Q26" s="189">
        <v>0</v>
      </c>
      <c r="R26" s="189">
        <v>0</v>
      </c>
      <c r="S26" s="189">
        <v>0</v>
      </c>
      <c r="T26" s="189">
        <v>0</v>
      </c>
      <c r="U26" s="189">
        <v>0</v>
      </c>
      <c r="V26" s="189">
        <v>0</v>
      </c>
      <c r="W26" s="189">
        <v>0</v>
      </c>
      <c r="X26" s="189">
        <v>0</v>
      </c>
      <c r="Y26" s="189">
        <v>0</v>
      </c>
      <c r="Z26" s="189">
        <v>0</v>
      </c>
      <c r="AA26" s="189">
        <v>0</v>
      </c>
      <c r="AB26" s="189">
        <v>0</v>
      </c>
      <c r="AC26" s="189">
        <v>0</v>
      </c>
      <c r="AD26" s="189">
        <v>0</v>
      </c>
      <c r="AE26" s="189">
        <v>0</v>
      </c>
      <c r="AF26" s="189">
        <v>0</v>
      </c>
      <c r="AG26" s="189">
        <v>0</v>
      </c>
      <c r="AH26" s="189">
        <v>0</v>
      </c>
      <c r="AI26" s="189">
        <v>0</v>
      </c>
      <c r="AJ26" s="189">
        <v>0</v>
      </c>
      <c r="AK26" s="189">
        <v>0</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c r="CF26" s="189"/>
      <c r="CG26" s="189"/>
      <c r="CH26" s="189"/>
      <c r="CI26" s="189"/>
      <c r="CJ26" s="189"/>
      <c r="CK26" s="189"/>
    </row>
    <row r="27" spans="1:89" x14ac:dyDescent="0.25">
      <c r="A27" s="17" t="s">
        <v>406</v>
      </c>
      <c r="B27" s="26">
        <f>SUM(B22:B26)</f>
        <v>22532</v>
      </c>
      <c r="C27" s="26">
        <f t="shared" ref="C27:BN27" si="22">SUM(C22:C26)</f>
        <v>29142</v>
      </c>
      <c r="D27" s="26">
        <f t="shared" si="22"/>
        <v>35657</v>
      </c>
      <c r="E27" s="26">
        <f t="shared" si="22"/>
        <v>902787733.63999999</v>
      </c>
      <c r="F27" s="26">
        <f t="shared" si="22"/>
        <v>31730</v>
      </c>
      <c r="G27" s="26">
        <f t="shared" si="22"/>
        <v>23686</v>
      </c>
      <c r="H27" s="26">
        <f t="shared" si="22"/>
        <v>15806</v>
      </c>
      <c r="I27" s="26">
        <f t="shared" si="22"/>
        <v>765041574.17000008</v>
      </c>
      <c r="J27" s="26">
        <f t="shared" si="22"/>
        <v>0</v>
      </c>
      <c r="K27" s="26">
        <f t="shared" si="22"/>
        <v>0</v>
      </c>
      <c r="L27" s="26">
        <f t="shared" si="22"/>
        <v>0</v>
      </c>
      <c r="M27" s="26">
        <f t="shared" si="22"/>
        <v>746469768.09000003</v>
      </c>
      <c r="N27" s="26">
        <f t="shared" si="22"/>
        <v>0</v>
      </c>
      <c r="O27" s="26">
        <f t="shared" si="22"/>
        <v>0</v>
      </c>
      <c r="P27" s="26">
        <f t="shared" si="22"/>
        <v>0</v>
      </c>
      <c r="Q27" s="26">
        <f t="shared" si="22"/>
        <v>660266076.51999998</v>
      </c>
      <c r="R27" s="26">
        <f t="shared" si="22"/>
        <v>-9600</v>
      </c>
      <c r="S27" s="26">
        <f t="shared" si="22"/>
        <v>0</v>
      </c>
      <c r="T27" s="26">
        <f t="shared" si="22"/>
        <v>0</v>
      </c>
      <c r="U27" s="26">
        <f t="shared" si="22"/>
        <v>817889854.77999997</v>
      </c>
      <c r="V27" s="26">
        <f t="shared" si="22"/>
        <v>-3338566.3799999994</v>
      </c>
      <c r="W27" s="26">
        <f t="shared" si="22"/>
        <v>-3338566.3799999994</v>
      </c>
      <c r="X27" s="26">
        <f t="shared" si="22"/>
        <v>-1174775.3600000001</v>
      </c>
      <c r="Y27" s="26">
        <f t="shared" si="22"/>
        <v>781827308.91999996</v>
      </c>
      <c r="Z27" s="26">
        <f t="shared" si="22"/>
        <v>-3857869.65</v>
      </c>
      <c r="AA27" s="26">
        <f t="shared" si="22"/>
        <v>-2922166.77</v>
      </c>
      <c r="AB27" s="26">
        <f t="shared" si="22"/>
        <v>-536626.10000000009</v>
      </c>
      <c r="AC27" s="26">
        <f t="shared" si="22"/>
        <v>466545809.22999996</v>
      </c>
      <c r="AD27" s="26">
        <f t="shared" si="22"/>
        <v>-2649330.4</v>
      </c>
      <c r="AE27" s="26">
        <f t="shared" si="22"/>
        <v>31764.440000000235</v>
      </c>
      <c r="AF27" s="26">
        <f t="shared" si="22"/>
        <v>1772481.79</v>
      </c>
      <c r="AG27" s="26">
        <f t="shared" si="22"/>
        <v>183469439.5</v>
      </c>
      <c r="AH27" s="26">
        <f t="shared" si="22"/>
        <v>-10409137.42</v>
      </c>
      <c r="AI27" s="26">
        <f t="shared" si="22"/>
        <v>-6561221.4500000002</v>
      </c>
      <c r="AJ27" s="26">
        <f t="shared" si="22"/>
        <v>-1681508.02</v>
      </c>
      <c r="AK27" s="26">
        <f t="shared" si="22"/>
        <v>16130237.630000001</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3012602.46</v>
      </c>
      <c r="AT27" s="26">
        <f t="shared" si="22"/>
        <v>556604.28</v>
      </c>
      <c r="AU27" s="26">
        <f t="shared" si="22"/>
        <v>84993.239999999991</v>
      </c>
      <c r="AV27" s="26">
        <f t="shared" si="22"/>
        <v>959897.33</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5499.9048216525607</v>
      </c>
      <c r="C28" s="26">
        <f t="shared" ref="C28:BN28" si="24">SUM(C22:C25)*C41</f>
        <v>7084.1805719176764</v>
      </c>
      <c r="D28" s="26">
        <f t="shared" si="24"/>
        <v>8738.655747192699</v>
      </c>
      <c r="E28" s="26">
        <f t="shared" si="24"/>
        <v>224019620.84974554</v>
      </c>
      <c r="F28" s="26">
        <f t="shared" si="24"/>
        <v>7952.5790154723336</v>
      </c>
      <c r="G28" s="26">
        <f t="shared" si="24"/>
        <v>6116.1565481930957</v>
      </c>
      <c r="H28" s="26">
        <f t="shared" si="24"/>
        <v>3874.0201077606325</v>
      </c>
      <c r="I28" s="26">
        <f t="shared" si="24"/>
        <v>186254701.05666673</v>
      </c>
      <c r="J28" s="26">
        <f t="shared" si="24"/>
        <v>0</v>
      </c>
      <c r="K28" s="26">
        <f t="shared" si="24"/>
        <v>0</v>
      </c>
      <c r="L28" s="26">
        <f t="shared" si="24"/>
        <v>0</v>
      </c>
      <c r="M28" s="26">
        <f t="shared" si="24"/>
        <v>169048308.78773198</v>
      </c>
      <c r="N28" s="26">
        <f t="shared" si="24"/>
        <v>0</v>
      </c>
      <c r="O28" s="26">
        <f t="shared" si="24"/>
        <v>0</v>
      </c>
      <c r="P28" s="26">
        <f t="shared" si="24"/>
        <v>0</v>
      </c>
      <c r="Q28" s="26">
        <f t="shared" si="24"/>
        <v>161124494.7722052</v>
      </c>
      <c r="R28" s="26">
        <f t="shared" si="24"/>
        <v>-2317.9740713349352</v>
      </c>
      <c r="S28" s="26">
        <f t="shared" si="24"/>
        <v>0</v>
      </c>
      <c r="T28" s="26">
        <f t="shared" si="24"/>
        <v>0</v>
      </c>
      <c r="U28" s="26">
        <f t="shared" si="24"/>
        <v>212585960.00395396</v>
      </c>
      <c r="V28" s="26">
        <f t="shared" si="24"/>
        <v>-825365.98274089769</v>
      </c>
      <c r="W28" s="26">
        <f t="shared" si="24"/>
        <v>-823877.4126003437</v>
      </c>
      <c r="X28" s="26">
        <f t="shared" si="24"/>
        <v>-288934.7666354861</v>
      </c>
      <c r="Y28" s="26">
        <f t="shared" si="24"/>
        <v>193478386.69599682</v>
      </c>
      <c r="Z28" s="26">
        <f t="shared" si="24"/>
        <v>-936567.74842731177</v>
      </c>
      <c r="AA28" s="26">
        <f t="shared" si="24"/>
        <v>-719594.11105480802</v>
      </c>
      <c r="AB28" s="26">
        <f t="shared" si="24"/>
        <v>-131904.77456379717</v>
      </c>
      <c r="AC28" s="26">
        <f t="shared" si="24"/>
        <v>115459001.29881461</v>
      </c>
      <c r="AD28" s="26">
        <f t="shared" si="24"/>
        <v>-647068.74752604996</v>
      </c>
      <c r="AE28" s="26">
        <f t="shared" si="24"/>
        <v>7766.2736985092524</v>
      </c>
      <c r="AF28" s="26">
        <f t="shared" si="24"/>
        <v>433140.97866933775</v>
      </c>
      <c r="AG28" s="26">
        <f t="shared" si="24"/>
        <v>45564866.888370901</v>
      </c>
      <c r="AH28" s="26">
        <f t="shared" si="24"/>
        <v>-2549867.9862742168</v>
      </c>
      <c r="AI28" s="26">
        <f t="shared" si="24"/>
        <v>-1616905.1369988492</v>
      </c>
      <c r="AJ28" s="26">
        <f t="shared" si="24"/>
        <v>-409842.38307505217</v>
      </c>
      <c r="AK28" s="26">
        <f t="shared" si="24"/>
        <v>3988861.1175723411</v>
      </c>
      <c r="AL28" s="26">
        <f t="shared" si="24"/>
        <v>7700.9198497498419</v>
      </c>
      <c r="AM28" s="26">
        <f t="shared" si="24"/>
        <v>-601429.73221716308</v>
      </c>
      <c r="AN28" s="26">
        <f t="shared" si="24"/>
        <v>0</v>
      </c>
      <c r="AO28" s="26">
        <f t="shared" si="24"/>
        <v>374815.08563173888</v>
      </c>
      <c r="AP28" s="26">
        <f t="shared" si="24"/>
        <v>-220217.3569007357</v>
      </c>
      <c r="AQ28" s="26">
        <f t="shared" si="24"/>
        <v>-219159.95225349022</v>
      </c>
      <c r="AR28" s="26">
        <f t="shared" si="24"/>
        <v>0</v>
      </c>
      <c r="AS28" s="26">
        <f t="shared" si="24"/>
        <v>975776.40787758538</v>
      </c>
      <c r="AT28" s="26">
        <f t="shared" si="24"/>
        <v>182684.32794416809</v>
      </c>
      <c r="AU28" s="26">
        <f t="shared" si="24"/>
        <v>27970.701716652398</v>
      </c>
      <c r="AV28" s="26">
        <f t="shared" si="24"/>
        <v>321076.57598269905</v>
      </c>
      <c r="AW28" s="26">
        <f t="shared" si="24"/>
        <v>1718697.2972763656</v>
      </c>
      <c r="AX28" s="26">
        <f t="shared" si="24"/>
        <v>849632.05066164641</v>
      </c>
      <c r="AY28" s="26">
        <f t="shared" si="24"/>
        <v>620629.04752151505</v>
      </c>
      <c r="AZ28" s="26">
        <f t="shared" si="24"/>
        <v>33913.338993609235</v>
      </c>
      <c r="BA28" s="26">
        <f t="shared" si="24"/>
        <v>-1308210.8695670173</v>
      </c>
      <c r="BB28" s="26">
        <f t="shared" si="24"/>
        <v>-165518.38415458307</v>
      </c>
      <c r="BC28" s="26">
        <f t="shared" si="24"/>
        <v>-181479.75006978042</v>
      </c>
      <c r="BD28" s="26">
        <f t="shared" si="24"/>
        <v>0</v>
      </c>
      <c r="BE28" s="26">
        <f t="shared" si="24"/>
        <v>-44148.319368322111</v>
      </c>
      <c r="BF28" s="26">
        <f t="shared" si="24"/>
        <v>118533.70550847807</v>
      </c>
      <c r="BG28" s="26">
        <f t="shared" si="24"/>
        <v>117678.78393509459</v>
      </c>
      <c r="BH28" s="26">
        <f t="shared" si="24"/>
        <v>344699.13363629894</v>
      </c>
      <c r="BI28" s="26">
        <f t="shared" si="24"/>
        <v>-196203.02975014929</v>
      </c>
      <c r="BJ28" s="26">
        <f t="shared" si="24"/>
        <v>104418.94763339279</v>
      </c>
      <c r="BK28" s="26">
        <f t="shared" si="24"/>
        <v>20536.827379130609</v>
      </c>
      <c r="BL28" s="26">
        <f t="shared" si="24"/>
        <v>111156.47639969175</v>
      </c>
      <c r="BM28" s="26">
        <f t="shared" si="24"/>
        <v>51718.094302022648</v>
      </c>
      <c r="BN28" s="26">
        <f t="shared" si="24"/>
        <v>509773.74752213707</v>
      </c>
      <c r="BO28" s="26">
        <f t="shared" ref="BO28:CJ28" si="25">SUM(BO22:BO25)*BO41</f>
        <v>383887.08450907958</v>
      </c>
      <c r="BP28" s="26">
        <f t="shared" si="25"/>
        <v>-56528.445055999742</v>
      </c>
      <c r="BQ28" s="26">
        <f t="shared" si="25"/>
        <v>1549218.0426530126</v>
      </c>
      <c r="BR28" s="26">
        <f t="shared" si="25"/>
        <v>550374.7292185328</v>
      </c>
      <c r="BS28" s="26">
        <f t="shared" si="25"/>
        <v>2661037.193822111</v>
      </c>
      <c r="BT28" s="26">
        <f t="shared" si="25"/>
        <v>1769043.6200768771</v>
      </c>
      <c r="BU28" s="26">
        <f t="shared" si="25"/>
        <v>564693.06700981106</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17032.095178347437</v>
      </c>
      <c r="C29" s="28">
        <f t="shared" ref="C29:BN29" si="26">C27-C28</f>
        <v>22057.819428082323</v>
      </c>
      <c r="D29" s="28">
        <f t="shared" si="26"/>
        <v>26918.344252807299</v>
      </c>
      <c r="E29" s="28">
        <f t="shared" si="26"/>
        <v>678768112.79025447</v>
      </c>
      <c r="F29" s="28">
        <f t="shared" si="26"/>
        <v>23777.420984527667</v>
      </c>
      <c r="G29" s="28">
        <f t="shared" si="26"/>
        <v>17569.843451806904</v>
      </c>
      <c r="H29" s="28">
        <f t="shared" si="26"/>
        <v>11931.979892239367</v>
      </c>
      <c r="I29" s="28">
        <f t="shared" si="26"/>
        <v>578786873.11333334</v>
      </c>
      <c r="J29" s="28">
        <f t="shared" si="26"/>
        <v>0</v>
      </c>
      <c r="K29" s="28">
        <f t="shared" si="26"/>
        <v>0</v>
      </c>
      <c r="L29" s="28">
        <f t="shared" si="26"/>
        <v>0</v>
      </c>
      <c r="M29" s="28">
        <f t="shared" si="26"/>
        <v>577421459.30226803</v>
      </c>
      <c r="N29" s="28">
        <f t="shared" si="26"/>
        <v>0</v>
      </c>
      <c r="O29" s="28">
        <f t="shared" si="26"/>
        <v>0</v>
      </c>
      <c r="P29" s="28">
        <f t="shared" si="26"/>
        <v>0</v>
      </c>
      <c r="Q29" s="28">
        <f t="shared" si="26"/>
        <v>499141581.74779475</v>
      </c>
      <c r="R29" s="28">
        <f t="shared" si="26"/>
        <v>-7282.0259286650653</v>
      </c>
      <c r="S29" s="28">
        <f t="shared" si="26"/>
        <v>0</v>
      </c>
      <c r="T29" s="28">
        <f t="shared" si="26"/>
        <v>0</v>
      </c>
      <c r="U29" s="28">
        <f t="shared" si="26"/>
        <v>605303894.77604604</v>
      </c>
      <c r="V29" s="28">
        <f t="shared" si="26"/>
        <v>-2513200.3972591017</v>
      </c>
      <c r="W29" s="28">
        <f t="shared" si="26"/>
        <v>-2514688.9673996558</v>
      </c>
      <c r="X29" s="28">
        <f t="shared" si="26"/>
        <v>-885840.59336451394</v>
      </c>
      <c r="Y29" s="28">
        <f t="shared" si="26"/>
        <v>588348922.22400308</v>
      </c>
      <c r="Z29" s="28">
        <f t="shared" si="26"/>
        <v>-2921301.901572688</v>
      </c>
      <c r="AA29" s="28">
        <f t="shared" si="26"/>
        <v>-2202572.6589451921</v>
      </c>
      <c r="AB29" s="28">
        <f t="shared" si="26"/>
        <v>-404721.32543620293</v>
      </c>
      <c r="AC29" s="28">
        <f t="shared" si="26"/>
        <v>351086807.93118536</v>
      </c>
      <c r="AD29" s="28">
        <f t="shared" si="26"/>
        <v>-2002261.6524739498</v>
      </c>
      <c r="AE29" s="28">
        <f t="shared" si="26"/>
        <v>23998.166301490983</v>
      </c>
      <c r="AF29" s="28">
        <f t="shared" si="26"/>
        <v>1339340.8113306623</v>
      </c>
      <c r="AG29" s="28">
        <f t="shared" si="26"/>
        <v>137904572.6116291</v>
      </c>
      <c r="AH29" s="28">
        <f t="shared" si="26"/>
        <v>-7859269.4337257836</v>
      </c>
      <c r="AI29" s="28">
        <f t="shared" si="26"/>
        <v>-4944316.3130011512</v>
      </c>
      <c r="AJ29" s="28">
        <f t="shared" si="26"/>
        <v>-1271665.6369249478</v>
      </c>
      <c r="AK29" s="28">
        <f t="shared" si="26"/>
        <v>12141376.51242766</v>
      </c>
      <c r="AL29" s="28">
        <f t="shared" si="26"/>
        <v>23435.670150250007</v>
      </c>
      <c r="AM29" s="28">
        <f t="shared" si="26"/>
        <v>-1811140.0377828369</v>
      </c>
      <c r="AN29" s="28">
        <f t="shared" si="26"/>
        <v>0</v>
      </c>
      <c r="AO29" s="28">
        <f t="shared" si="26"/>
        <v>1204306.2243682612</v>
      </c>
      <c r="AP29" s="28">
        <f t="shared" si="26"/>
        <v>-709352.13309926423</v>
      </c>
      <c r="AQ29" s="28">
        <f t="shared" si="26"/>
        <v>-710409.53774650977</v>
      </c>
      <c r="AR29" s="28">
        <f t="shared" si="26"/>
        <v>0</v>
      </c>
      <c r="AS29" s="28">
        <f t="shared" si="26"/>
        <v>2036826.0521224146</v>
      </c>
      <c r="AT29" s="28">
        <f t="shared" si="26"/>
        <v>373919.95205583191</v>
      </c>
      <c r="AU29" s="28">
        <f t="shared" si="26"/>
        <v>57022.538283347589</v>
      </c>
      <c r="AV29" s="28">
        <f t="shared" si="26"/>
        <v>638820.7540173009</v>
      </c>
      <c r="AW29" s="28">
        <f t="shared" si="26"/>
        <v>3332995.2827236345</v>
      </c>
      <c r="AX29" s="28">
        <f t="shared" si="26"/>
        <v>1646525.6693383539</v>
      </c>
      <c r="AY29" s="28">
        <f t="shared" si="26"/>
        <v>1211682.762478485</v>
      </c>
      <c r="AZ29" s="28">
        <f t="shared" si="26"/>
        <v>66086.661006390757</v>
      </c>
      <c r="BA29" s="28">
        <f t="shared" si="26"/>
        <v>-2614806.5304329824</v>
      </c>
      <c r="BB29" s="28">
        <f t="shared" si="26"/>
        <v>-331846.51584541693</v>
      </c>
      <c r="BC29" s="28">
        <f t="shared" si="26"/>
        <v>-318414.04993021954</v>
      </c>
      <c r="BD29" s="28">
        <f t="shared" si="26"/>
        <v>0</v>
      </c>
      <c r="BE29" s="28">
        <f t="shared" si="26"/>
        <v>-82605.430631677882</v>
      </c>
      <c r="BF29" s="28">
        <f t="shared" si="26"/>
        <v>225732.10449152192</v>
      </c>
      <c r="BG29" s="28">
        <f t="shared" si="26"/>
        <v>226587.0260649054</v>
      </c>
      <c r="BH29" s="28">
        <f t="shared" si="26"/>
        <v>681668.34636370104</v>
      </c>
      <c r="BI29" s="28">
        <f t="shared" si="26"/>
        <v>-358222.15024985076</v>
      </c>
      <c r="BJ29" s="28">
        <f t="shared" si="26"/>
        <v>182835.1623666072</v>
      </c>
      <c r="BK29" s="28">
        <f t="shared" si="26"/>
        <v>31887.442620869388</v>
      </c>
      <c r="BL29" s="28">
        <f t="shared" si="26"/>
        <v>154304.40360030826</v>
      </c>
      <c r="BM29" s="28">
        <f t="shared" si="26"/>
        <v>127214.30569797734</v>
      </c>
      <c r="BN29" s="28">
        <f t="shared" si="26"/>
        <v>1361355.852477863</v>
      </c>
      <c r="BO29" s="28">
        <f t="shared" ref="BO29:CK29" si="27">BO27-BO28</f>
        <v>1127834.4654909205</v>
      </c>
      <c r="BP29" s="28">
        <f t="shared" si="27"/>
        <v>-117500.77494400027</v>
      </c>
      <c r="BQ29" s="28">
        <f t="shared" si="27"/>
        <v>10800749.907346986</v>
      </c>
      <c r="BR29" s="28">
        <f t="shared" si="27"/>
        <v>12169625.270781467</v>
      </c>
      <c r="BS29" s="28">
        <f t="shared" si="27"/>
        <v>7105271.9861778887</v>
      </c>
      <c r="BT29" s="28">
        <f t="shared" si="27"/>
        <v>3579475.6299231229</v>
      </c>
      <c r="BU29" s="28">
        <f t="shared" si="27"/>
        <v>1808908.6329901891</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12425791826.999998</v>
      </c>
      <c r="C31" s="26">
        <f t="shared" ref="C31:BN31" si="28">C15+C20+C27</f>
        <v>9311582742.5000019</v>
      </c>
      <c r="D31" s="26">
        <f t="shared" si="28"/>
        <v>6629219915.6299982</v>
      </c>
      <c r="E31" s="26">
        <f t="shared" si="28"/>
        <v>13334338198.799999</v>
      </c>
      <c r="F31" s="26">
        <f t="shared" si="28"/>
        <v>9055118394.5699997</v>
      </c>
      <c r="G31" s="26">
        <f t="shared" si="28"/>
        <v>6569028271.6499996</v>
      </c>
      <c r="H31" s="26">
        <f t="shared" si="28"/>
        <v>4736537002.750001</v>
      </c>
      <c r="I31" s="26">
        <f t="shared" si="28"/>
        <v>9367085915.9599991</v>
      </c>
      <c r="J31" s="26">
        <f t="shared" si="28"/>
        <v>6467397402.6999989</v>
      </c>
      <c r="K31" s="26">
        <f t="shared" si="28"/>
        <v>4981337369.8999996</v>
      </c>
      <c r="L31" s="26">
        <f t="shared" si="28"/>
        <v>3811455270.48</v>
      </c>
      <c r="M31" s="26">
        <f t="shared" si="28"/>
        <v>8302602354.3899994</v>
      </c>
      <c r="N31" s="26">
        <f t="shared" si="28"/>
        <v>5693976641.8099985</v>
      </c>
      <c r="O31" s="26">
        <f t="shared" si="28"/>
        <v>4128212009.1700006</v>
      </c>
      <c r="P31" s="26">
        <f t="shared" si="28"/>
        <v>2837181770.3000002</v>
      </c>
      <c r="Q31" s="26">
        <f t="shared" si="28"/>
        <v>8025021679.8800011</v>
      </c>
      <c r="R31" s="26">
        <f t="shared" si="28"/>
        <v>5961636739.3999996</v>
      </c>
      <c r="S31" s="26">
        <f t="shared" si="28"/>
        <v>5202644331.7800007</v>
      </c>
      <c r="T31" s="26">
        <f t="shared" si="28"/>
        <v>3423200720.5100012</v>
      </c>
      <c r="U31" s="26">
        <f t="shared" si="28"/>
        <v>11247297638.200001</v>
      </c>
      <c r="V31" s="26">
        <f t="shared" si="28"/>
        <v>9185042360.4299984</v>
      </c>
      <c r="W31" s="26">
        <f t="shared" si="28"/>
        <v>7546895611.0600004</v>
      </c>
      <c r="X31" s="26">
        <f t="shared" si="28"/>
        <v>4782601644.7400007</v>
      </c>
      <c r="Y31" s="26">
        <f t="shared" si="28"/>
        <v>13738778207.889996</v>
      </c>
      <c r="Z31" s="26">
        <f t="shared" si="28"/>
        <v>10094493975.210001</v>
      </c>
      <c r="AA31" s="26">
        <f t="shared" si="28"/>
        <v>6553504736.2399998</v>
      </c>
      <c r="AB31" s="26">
        <f t="shared" si="28"/>
        <v>4056527936.9700003</v>
      </c>
      <c r="AC31" s="26">
        <f t="shared" si="28"/>
        <v>8500332489.8899975</v>
      </c>
      <c r="AD31" s="26">
        <f t="shared" si="28"/>
        <v>6382415885.54</v>
      </c>
      <c r="AE31" s="26">
        <f t="shared" si="28"/>
        <v>4432812471.1599998</v>
      </c>
      <c r="AF31" s="26">
        <f t="shared" si="28"/>
        <v>2837097148.2199993</v>
      </c>
      <c r="AG31" s="26">
        <f t="shared" si="28"/>
        <v>6070242930.5300007</v>
      </c>
      <c r="AH31" s="26">
        <f t="shared" si="28"/>
        <v>4573714250.2800007</v>
      </c>
      <c r="AI31" s="26">
        <f t="shared" si="28"/>
        <v>3032175986.9100003</v>
      </c>
      <c r="AJ31" s="26">
        <f t="shared" si="28"/>
        <v>2074692849.78</v>
      </c>
      <c r="AK31" s="26">
        <f t="shared" si="28"/>
        <v>4495856445.8300009</v>
      </c>
      <c r="AL31" s="26">
        <f t="shared" si="28"/>
        <v>3099643313.3100009</v>
      </c>
      <c r="AM31" s="26">
        <f t="shared" si="28"/>
        <v>2117177130.1000004</v>
      </c>
      <c r="AN31" s="26">
        <f t="shared" si="28"/>
        <v>1649469646.1600003</v>
      </c>
      <c r="AO31" s="26">
        <f t="shared" si="28"/>
        <v>2239201389.8000002</v>
      </c>
      <c r="AP31" s="26">
        <f t="shared" si="28"/>
        <v>2014352446.8999996</v>
      </c>
      <c r="AQ31" s="26">
        <f t="shared" si="28"/>
        <v>1636897418.5400007</v>
      </c>
      <c r="AR31" s="26">
        <f t="shared" si="28"/>
        <v>1335910628.2199998</v>
      </c>
      <c r="AS31" s="26">
        <f t="shared" si="28"/>
        <v>2086118934.2199996</v>
      </c>
      <c r="AT31" s="26">
        <f t="shared" si="28"/>
        <v>1934078283.3300004</v>
      </c>
      <c r="AU31" s="26">
        <f t="shared" si="28"/>
        <v>1670564824.1699996</v>
      </c>
      <c r="AV31" s="26">
        <f t="shared" si="28"/>
        <v>1116376789.23</v>
      </c>
      <c r="AW31" s="26">
        <f t="shared" si="28"/>
        <v>1731825677.1000001</v>
      </c>
      <c r="AX31" s="26">
        <f t="shared" si="28"/>
        <v>1519652217.1299999</v>
      </c>
      <c r="AY31" s="26">
        <f t="shared" si="28"/>
        <v>1216245053.7299993</v>
      </c>
      <c r="AZ31" s="26">
        <f t="shared" si="28"/>
        <v>825498587.63999999</v>
      </c>
      <c r="BA31" s="26">
        <f t="shared" si="28"/>
        <v>1164990247.4699996</v>
      </c>
      <c r="BB31" s="26">
        <f t="shared" si="28"/>
        <v>1145989336.3999994</v>
      </c>
      <c r="BC31" s="26">
        <f t="shared" si="28"/>
        <v>920367117.31999981</v>
      </c>
      <c r="BD31" s="26">
        <f t="shared" si="28"/>
        <v>647497079.54000008</v>
      </c>
      <c r="BE31" s="26">
        <f t="shared" si="28"/>
        <v>1240845951.7799997</v>
      </c>
      <c r="BF31" s="26">
        <f t="shared" si="28"/>
        <v>1018300967.7400002</v>
      </c>
      <c r="BG31" s="26">
        <f t="shared" si="28"/>
        <v>803111014.98999989</v>
      </c>
      <c r="BH31" s="26">
        <f t="shared" si="28"/>
        <v>573993367.88999987</v>
      </c>
      <c r="BI31" s="26">
        <f t="shared" si="28"/>
        <v>1055178039.51</v>
      </c>
      <c r="BJ31" s="26">
        <f t="shared" si="28"/>
        <v>836979099.82000017</v>
      </c>
      <c r="BK31" s="26">
        <f t="shared" si="28"/>
        <v>626173303.41999996</v>
      </c>
      <c r="BL31" s="26">
        <f t="shared" si="28"/>
        <v>492852456.84999996</v>
      </c>
      <c r="BM31" s="26">
        <f t="shared" si="28"/>
        <v>838543628.35999978</v>
      </c>
      <c r="BN31" s="26">
        <f t="shared" si="28"/>
        <v>678538277.09000015</v>
      </c>
      <c r="BO31" s="26">
        <f t="shared" ref="BO31:CJ31" si="29">BO15+BO20+BO27</f>
        <v>487325527.99000019</v>
      </c>
      <c r="BP31" s="26">
        <f t="shared" si="29"/>
        <v>366222636.39999986</v>
      </c>
      <c r="BQ31" s="26">
        <f t="shared" si="29"/>
        <v>905484587.87</v>
      </c>
      <c r="BR31" s="26">
        <f t="shared" si="29"/>
        <v>3711480000</v>
      </c>
      <c r="BS31" s="26">
        <f t="shared" si="29"/>
        <v>641301117.51999986</v>
      </c>
      <c r="BT31" s="26">
        <f t="shared" si="29"/>
        <v>414232466.78000009</v>
      </c>
      <c r="BU31" s="26">
        <f t="shared" si="29"/>
        <v>989744552.81000018</v>
      </c>
      <c r="BV31" s="26">
        <f t="shared" si="29"/>
        <v>715865560.12</v>
      </c>
      <c r="BW31" s="26">
        <f t="shared" si="29"/>
        <v>769213825.49000013</v>
      </c>
      <c r="BX31" s="26">
        <f t="shared" si="29"/>
        <v>374136798.97000003</v>
      </c>
      <c r="BY31" s="26">
        <f t="shared" si="29"/>
        <v>628908889.02999997</v>
      </c>
      <c r="BZ31" s="26">
        <f t="shared" si="29"/>
        <v>293707157.80000001</v>
      </c>
      <c r="CA31" s="26">
        <f t="shared" si="29"/>
        <v>521078849.30999994</v>
      </c>
      <c r="CB31" s="26">
        <f t="shared" si="29"/>
        <v>403897356.88999999</v>
      </c>
      <c r="CC31" s="26">
        <f t="shared" si="29"/>
        <v>335872505.23000002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42.480922172707736</v>
      </c>
      <c r="C32" s="57">
        <f t="shared" ref="C32:D32" si="30">C31/C4*100</f>
        <v>43.469044243064495</v>
      </c>
      <c r="D32" s="57">
        <f t="shared" si="30"/>
        <v>47.700259568759208</v>
      </c>
      <c r="E32" s="57">
        <f>E31/E4</f>
        <v>0.44172773704487572</v>
      </c>
      <c r="F32" s="57">
        <f t="shared" ref="F32:BQ32" si="31">F31/F4</f>
        <v>0.41201586083953912</v>
      </c>
      <c r="G32" s="57">
        <f t="shared" si="31"/>
        <v>0.42052202724361498</v>
      </c>
      <c r="H32" s="57">
        <f t="shared" si="31"/>
        <v>0.46624931064444708</v>
      </c>
      <c r="I32" s="57">
        <f t="shared" si="31"/>
        <v>0.38164785880874641</v>
      </c>
      <c r="J32" s="57">
        <f t="shared" si="31"/>
        <v>0.36539703646073152</v>
      </c>
      <c r="K32" s="57">
        <f t="shared" si="31"/>
        <v>0.37579006963920547</v>
      </c>
      <c r="L32" s="57">
        <f t="shared" si="31"/>
        <v>0.43186533781747055</v>
      </c>
      <c r="M32" s="57">
        <f t="shared" si="31"/>
        <v>0.3833275867540053</v>
      </c>
      <c r="N32" s="57">
        <f t="shared" si="31"/>
        <v>0.37630349533399765</v>
      </c>
      <c r="O32" s="57">
        <f t="shared" si="31"/>
        <v>0.36808378242796019</v>
      </c>
      <c r="P32" s="57">
        <f t="shared" si="31"/>
        <v>0.42123214596554259</v>
      </c>
      <c r="Q32" s="57">
        <f t="shared" si="31"/>
        <v>0.38193488863353059</v>
      </c>
      <c r="R32" s="57">
        <f t="shared" si="31"/>
        <v>0.39564058297298688</v>
      </c>
      <c r="S32" s="57">
        <f t="shared" si="31"/>
        <v>0.44609900965128713</v>
      </c>
      <c r="T32" s="57">
        <f t="shared" si="31"/>
        <v>0.50941611719284641</v>
      </c>
      <c r="U32" s="57">
        <f t="shared" si="31"/>
        <v>0.45501374742788925</v>
      </c>
      <c r="V32" s="57">
        <f t="shared" si="31"/>
        <v>0.47924034038261171</v>
      </c>
      <c r="W32" s="57">
        <f t="shared" si="31"/>
        <v>0.48627288134975827</v>
      </c>
      <c r="X32" s="57">
        <f t="shared" si="31"/>
        <v>0.55125771921835565</v>
      </c>
      <c r="Y32" s="57">
        <f t="shared" si="31"/>
        <v>0.50508271749797129</v>
      </c>
      <c r="Z32" s="57">
        <f t="shared" si="31"/>
        <v>0.47780960165283459</v>
      </c>
      <c r="AA32" s="57">
        <f t="shared" si="31"/>
        <v>0.43545722752803756</v>
      </c>
      <c r="AB32" s="57">
        <f t="shared" si="31"/>
        <v>0.49285623993002303</v>
      </c>
      <c r="AC32" s="57">
        <f t="shared" si="31"/>
        <v>0.41769455447405529</v>
      </c>
      <c r="AD32" s="57">
        <f t="shared" si="31"/>
        <v>0.40785403927579428</v>
      </c>
      <c r="AE32" s="57">
        <f t="shared" si="31"/>
        <v>0.4183939134599004</v>
      </c>
      <c r="AF32" s="57">
        <f t="shared" si="31"/>
        <v>0.45433120588578485</v>
      </c>
      <c r="AG32" s="57">
        <f t="shared" si="31"/>
        <v>0.39058783570217448</v>
      </c>
      <c r="AH32" s="57">
        <f t="shared" si="31"/>
        <v>0.3986950665732451</v>
      </c>
      <c r="AI32" s="57">
        <f t="shared" si="31"/>
        <v>0.40020558517480675</v>
      </c>
      <c r="AJ32" s="57">
        <f t="shared" si="31"/>
        <v>0.46169684523533883</v>
      </c>
      <c r="AK32" s="57">
        <f t="shared" si="31"/>
        <v>0.40396867200080316</v>
      </c>
      <c r="AL32" s="57">
        <f t="shared" si="31"/>
        <v>0.38602326416860999</v>
      </c>
      <c r="AM32" s="57">
        <f t="shared" si="31"/>
        <v>0.39640905488245098</v>
      </c>
      <c r="AN32" s="57">
        <f t="shared" si="31"/>
        <v>0.49402317780304583</v>
      </c>
      <c r="AO32" s="57">
        <f t="shared" si="31"/>
        <v>0.28226169064295464</v>
      </c>
      <c r="AP32" s="57">
        <f t="shared" si="31"/>
        <v>0.30619403161239173</v>
      </c>
      <c r="AQ32" s="57">
        <f t="shared" si="31"/>
        <v>0.35605798287666307</v>
      </c>
      <c r="AR32" s="57">
        <f t="shared" si="31"/>
        <v>0.43287322536764944</v>
      </c>
      <c r="AS32" s="57">
        <f t="shared" si="31"/>
        <v>0.28465621048728429</v>
      </c>
      <c r="AT32" s="57">
        <f t="shared" si="31"/>
        <v>0.32004932679564696</v>
      </c>
      <c r="AU32" s="57">
        <f t="shared" si="31"/>
        <v>0.38466746478559616</v>
      </c>
      <c r="AV32" s="57">
        <f t="shared" si="31"/>
        <v>0.37090746315926959</v>
      </c>
      <c r="AW32" s="57">
        <f t="shared" si="31"/>
        <v>0.23446960710182976</v>
      </c>
      <c r="AX32" s="57">
        <f t="shared" si="31"/>
        <v>0.25516686578887893</v>
      </c>
      <c r="AY32" s="57">
        <f t="shared" si="31"/>
        <v>0.27660718157855713</v>
      </c>
      <c r="AZ32" s="57">
        <f t="shared" si="31"/>
        <v>0.30233099208277009</v>
      </c>
      <c r="BA32" s="57">
        <f t="shared" si="31"/>
        <v>0.18149795196228974</v>
      </c>
      <c r="BB32" s="57">
        <f t="shared" si="31"/>
        <v>0.23068480249896975</v>
      </c>
      <c r="BC32" s="57">
        <f t="shared" si="31"/>
        <v>0.24175569603353458</v>
      </c>
      <c r="BD32" s="57">
        <f t="shared" si="31"/>
        <v>0.26220268498804705</v>
      </c>
      <c r="BE32" s="57">
        <f t="shared" si="31"/>
        <v>0.19703525388795418</v>
      </c>
      <c r="BF32" s="57">
        <f t="shared" si="31"/>
        <v>0.22242960489816849</v>
      </c>
      <c r="BG32" s="57">
        <f t="shared" si="31"/>
        <v>0.23229425339171178</v>
      </c>
      <c r="BH32" s="57">
        <f t="shared" si="31"/>
        <v>0.23428842694417287</v>
      </c>
      <c r="BI32" s="57">
        <f t="shared" si="31"/>
        <v>0.16661344458132374</v>
      </c>
      <c r="BJ32" s="57">
        <f t="shared" si="31"/>
        <v>0.18034498496750773</v>
      </c>
      <c r="BK32" s="57">
        <f t="shared" si="31"/>
        <v>0.18272748770083752</v>
      </c>
      <c r="BL32" s="57">
        <f t="shared" si="31"/>
        <v>0.2166710268280875</v>
      </c>
      <c r="BM32" s="57">
        <f t="shared" si="31"/>
        <v>0.14694489895184906</v>
      </c>
      <c r="BN32" s="57">
        <f t="shared" si="31"/>
        <v>0.15134704672307153</v>
      </c>
      <c r="BO32" s="57">
        <f t="shared" si="31"/>
        <v>0.14074793162431098</v>
      </c>
      <c r="BP32" s="57">
        <f t="shared" si="31"/>
        <v>0.1618159532243168</v>
      </c>
      <c r="BQ32" s="57">
        <f t="shared" si="31"/>
        <v>0.19094609509598875</v>
      </c>
      <c r="BR32" s="57">
        <f t="shared" ref="BR32:CK32" si="32">BR31/BR4</f>
        <v>1.0030728816170329</v>
      </c>
      <c r="BS32" s="57">
        <f t="shared" si="32"/>
        <v>0.22761401173542001</v>
      </c>
      <c r="BT32" s="57">
        <f t="shared" si="32"/>
        <v>0.20712662595188705</v>
      </c>
      <c r="BU32" s="57">
        <f t="shared" si="32"/>
        <v>0.25033754161306931</v>
      </c>
      <c r="BV32" s="57">
        <f t="shared" si="32"/>
        <v>0.26834715687618399</v>
      </c>
      <c r="BW32" s="57">
        <f t="shared" si="32"/>
        <v>0.23247579426216763</v>
      </c>
      <c r="BX32" s="57">
        <f t="shared" si="32"/>
        <v>0.19682157170377648</v>
      </c>
      <c r="BY32" s="57">
        <f t="shared" si="32"/>
        <v>0.22346533436050894</v>
      </c>
      <c r="BZ32" s="57">
        <f t="shared" si="32"/>
        <v>0.24264627653330212</v>
      </c>
      <c r="CA32" s="57">
        <f t="shared" si="32"/>
        <v>0.23637542497227357</v>
      </c>
      <c r="CB32" s="57">
        <f t="shared" si="32"/>
        <v>0.30838994870056197</v>
      </c>
      <c r="CC32" s="57">
        <f t="shared" si="32"/>
        <v>0.36719269231952156</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9404971058.8024235</v>
      </c>
      <c r="C33" s="26">
        <f t="shared" ref="C33:BN33" si="33">C17+C20+C29</f>
        <v>7060192160.0728359</v>
      </c>
      <c r="D33" s="26">
        <f t="shared" si="33"/>
        <v>5004560782.3567448</v>
      </c>
      <c r="E33" s="26">
        <f t="shared" si="33"/>
        <v>10042453856.110407</v>
      </c>
      <c r="F33" s="26">
        <f t="shared" si="33"/>
        <v>6791221944.4596148</v>
      </c>
      <c r="G33" s="26">
        <f t="shared" si="33"/>
        <v>4878568734.2694302</v>
      </c>
      <c r="H33" s="26">
        <f t="shared" si="33"/>
        <v>3575620920.8946433</v>
      </c>
      <c r="I33" s="26">
        <f t="shared" si="33"/>
        <v>7094742054.7206116</v>
      </c>
      <c r="J33" s="26">
        <f t="shared" si="33"/>
        <v>4877564954.6326208</v>
      </c>
      <c r="K33" s="26">
        <f t="shared" si="33"/>
        <v>3770660668.3131032</v>
      </c>
      <c r="L33" s="26">
        <f t="shared" si="33"/>
        <v>2873272748.3356805</v>
      </c>
      <c r="M33" s="26">
        <f t="shared" si="33"/>
        <v>6430096774.7805195</v>
      </c>
      <c r="N33" s="26">
        <f t="shared" si="33"/>
        <v>4355013540.5532055</v>
      </c>
      <c r="O33" s="26">
        <f t="shared" si="33"/>
        <v>3151268987.3430719</v>
      </c>
      <c r="P33" s="26">
        <f t="shared" si="33"/>
        <v>2158273933.2071209</v>
      </c>
      <c r="Q33" s="26">
        <f t="shared" si="33"/>
        <v>6070213895.9973221</v>
      </c>
      <c r="R33" s="26">
        <f t="shared" si="33"/>
        <v>4520774156.7647934</v>
      </c>
      <c r="S33" s="26">
        <f t="shared" si="33"/>
        <v>3902222666.2855573</v>
      </c>
      <c r="T33" s="26">
        <f t="shared" si="33"/>
        <v>2552760200.2820849</v>
      </c>
      <c r="U33" s="26">
        <f t="shared" si="33"/>
        <v>8324046867.7909174</v>
      </c>
      <c r="V33" s="26">
        <f t="shared" si="33"/>
        <v>6912768538.6659012</v>
      </c>
      <c r="W33" s="26">
        <f t="shared" si="33"/>
        <v>5682974883.3637648</v>
      </c>
      <c r="X33" s="26">
        <f t="shared" si="33"/>
        <v>3606325790.4920492</v>
      </c>
      <c r="Y33" s="26">
        <f t="shared" si="33"/>
        <v>10338751912.007349</v>
      </c>
      <c r="Z33" s="26">
        <f t="shared" si="33"/>
        <v>7643872686.3659124</v>
      </c>
      <c r="AA33" s="26">
        <f t="shared" si="33"/>
        <v>4939680548.1810493</v>
      </c>
      <c r="AB33" s="26">
        <f t="shared" si="33"/>
        <v>3059417652.8489466</v>
      </c>
      <c r="AC33" s="26">
        <f t="shared" si="33"/>
        <v>6397224413.7592134</v>
      </c>
      <c r="AD33" s="26">
        <f t="shared" si="33"/>
        <v>4822584759.8008041</v>
      </c>
      <c r="AE33" s="26">
        <f t="shared" si="33"/>
        <v>3348008368.3895645</v>
      </c>
      <c r="AF33" s="26">
        <f t="shared" si="33"/>
        <v>2143796352.5260713</v>
      </c>
      <c r="AG33" s="26">
        <f t="shared" si="33"/>
        <v>4563322499.4803982</v>
      </c>
      <c r="AH33" s="26">
        <f t="shared" si="33"/>
        <v>3453317134.3050294</v>
      </c>
      <c r="AI33" s="26">
        <f t="shared" si="33"/>
        <v>2283915473.2271357</v>
      </c>
      <c r="AJ33" s="26">
        <f t="shared" si="33"/>
        <v>1569017556.1809802</v>
      </c>
      <c r="AK33" s="26">
        <f t="shared" si="33"/>
        <v>3384692421.1520877</v>
      </c>
      <c r="AL33" s="26">
        <f t="shared" si="33"/>
        <v>2332421092.6029749</v>
      </c>
      <c r="AM33" s="26">
        <f t="shared" si="33"/>
        <v>1589385855.3165376</v>
      </c>
      <c r="AN33" s="26">
        <f t="shared" si="33"/>
        <v>1260896268.7404358</v>
      </c>
      <c r="AO33" s="26">
        <f t="shared" si="33"/>
        <v>1707711848.5280914</v>
      </c>
      <c r="AP33" s="26">
        <f t="shared" si="33"/>
        <v>1537147271.2838686</v>
      </c>
      <c r="AQ33" s="26">
        <f t="shared" si="33"/>
        <v>1250974296.1157827</v>
      </c>
      <c r="AR33" s="26">
        <f t="shared" si="33"/>
        <v>1003972788.9663324</v>
      </c>
      <c r="AS33" s="26">
        <f t="shared" si="33"/>
        <v>1410428840.0020559</v>
      </c>
      <c r="AT33" s="26">
        <f t="shared" si="33"/>
        <v>1299290150.9398732</v>
      </c>
      <c r="AU33" s="26">
        <f t="shared" si="33"/>
        <v>1120793214.155004</v>
      </c>
      <c r="AV33" s="26">
        <f t="shared" si="33"/>
        <v>742959314.4751451</v>
      </c>
      <c r="AW33" s="26">
        <f t="shared" si="33"/>
        <v>1142620363.5443637</v>
      </c>
      <c r="AX33" s="26">
        <f t="shared" si="33"/>
        <v>1002399152.8754386</v>
      </c>
      <c r="AY33" s="26">
        <f t="shared" si="33"/>
        <v>804286234.75081956</v>
      </c>
      <c r="AZ33" s="26">
        <f t="shared" si="33"/>
        <v>545544453.22619021</v>
      </c>
      <c r="BA33" s="26">
        <f t="shared" si="33"/>
        <v>776500279.34499907</v>
      </c>
      <c r="BB33" s="26">
        <f t="shared" si="33"/>
        <v>764614809.93198609</v>
      </c>
      <c r="BC33" s="26">
        <f t="shared" si="33"/>
        <v>586240159.90688956</v>
      </c>
      <c r="BD33" s="26">
        <f t="shared" si="33"/>
        <v>411189639.50629252</v>
      </c>
      <c r="BE33" s="26">
        <f t="shared" si="33"/>
        <v>808659421.86610723</v>
      </c>
      <c r="BF33" s="26">
        <f t="shared" si="33"/>
        <v>667691108.95358336</v>
      </c>
      <c r="BG33" s="26">
        <f t="shared" si="33"/>
        <v>528587304.34646344</v>
      </c>
      <c r="BH33" s="26">
        <f t="shared" si="33"/>
        <v>381221265.81144965</v>
      </c>
      <c r="BI33" s="26">
        <f t="shared" si="33"/>
        <v>681765835.76109254</v>
      </c>
      <c r="BJ33" s="26">
        <f t="shared" si="33"/>
        <v>532731140.42840493</v>
      </c>
      <c r="BK33" s="26">
        <f t="shared" si="33"/>
        <v>380874455.35294032</v>
      </c>
      <c r="BL33" s="26">
        <f t="shared" si="33"/>
        <v>286480269.39858675</v>
      </c>
      <c r="BM33" s="26">
        <f t="shared" si="33"/>
        <v>596173445.83362269</v>
      </c>
      <c r="BN33" s="26">
        <f t="shared" si="33"/>
        <v>493676148.70007801</v>
      </c>
      <c r="BO33" s="26">
        <f t="shared" ref="BO33:CJ33" si="34">BO17+BO20+BO29</f>
        <v>363573917.6839031</v>
      </c>
      <c r="BP33" s="26">
        <f t="shared" si="34"/>
        <v>247265623.43401194</v>
      </c>
      <c r="BQ33" s="26">
        <f t="shared" si="34"/>
        <v>791897810.43448186</v>
      </c>
      <c r="BR33" s="26">
        <f t="shared" si="34"/>
        <v>3550890000</v>
      </c>
      <c r="BS33" s="26">
        <f t="shared" si="34"/>
        <v>466565084.21325952</v>
      </c>
      <c r="BT33" s="26">
        <f t="shared" si="34"/>
        <v>277223461.42101848</v>
      </c>
      <c r="BU33" s="26">
        <f t="shared" si="34"/>
        <v>754278810.14452565</v>
      </c>
      <c r="BV33" s="26">
        <f t="shared" si="34"/>
        <v>423553063.21877891</v>
      </c>
      <c r="BW33" s="26">
        <f t="shared" si="34"/>
        <v>471621488.34779614</v>
      </c>
      <c r="BX33" s="26">
        <f t="shared" si="34"/>
        <v>309149442.06293452</v>
      </c>
      <c r="BY33" s="26">
        <f t="shared" si="34"/>
        <v>384931001.29207247</v>
      </c>
      <c r="BZ33" s="26">
        <f t="shared" si="34"/>
        <v>249649486.47954711</v>
      </c>
      <c r="CA33" s="26">
        <f t="shared" si="34"/>
        <v>349069886.86130583</v>
      </c>
      <c r="CB33" s="26">
        <f t="shared" si="34"/>
        <v>270499637.93678504</v>
      </c>
      <c r="CC33" s="26">
        <f t="shared" si="34"/>
        <v>224929179.37490815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32.15343127811073</v>
      </c>
      <c r="C34" s="57">
        <f t="shared" ref="C34:D34" si="35">C33/C4*100</f>
        <v>32.958930168765896</v>
      </c>
      <c r="D34" s="57">
        <f t="shared" si="35"/>
        <v>36.010096419219948</v>
      </c>
      <c r="E34" s="57">
        <f>E33/E4</f>
        <v>0.33267720902987513</v>
      </c>
      <c r="F34" s="57">
        <f t="shared" ref="F34:BQ34" si="36">F33/F4</f>
        <v>0.30900657878496685</v>
      </c>
      <c r="G34" s="57">
        <f t="shared" si="36"/>
        <v>0.31230579765292943</v>
      </c>
      <c r="H34" s="57">
        <f t="shared" si="36"/>
        <v>0.35197250407313735</v>
      </c>
      <c r="I34" s="57">
        <f t="shared" si="36"/>
        <v>0.28906461820436774</v>
      </c>
      <c r="J34" s="57">
        <f t="shared" si="36"/>
        <v>0.27557418673907869</v>
      </c>
      <c r="K34" s="57">
        <f t="shared" si="36"/>
        <v>0.28445711059310164</v>
      </c>
      <c r="L34" s="57">
        <f t="shared" si="36"/>
        <v>0.32556249989664726</v>
      </c>
      <c r="M34" s="57">
        <f t="shared" si="36"/>
        <v>0.29687480792911264</v>
      </c>
      <c r="N34" s="57">
        <f t="shared" si="36"/>
        <v>0.28781410965116228</v>
      </c>
      <c r="O34" s="57">
        <f t="shared" si="36"/>
        <v>0.28097660821019127</v>
      </c>
      <c r="P34" s="57">
        <f t="shared" si="36"/>
        <v>0.32043571193896292</v>
      </c>
      <c r="Q34" s="57">
        <f t="shared" si="36"/>
        <v>0.28889971402346598</v>
      </c>
      <c r="R34" s="57">
        <f t="shared" si="36"/>
        <v>0.3000185689025473</v>
      </c>
      <c r="S34" s="57">
        <f t="shared" si="36"/>
        <v>0.33459478600821696</v>
      </c>
      <c r="T34" s="57">
        <f t="shared" si="36"/>
        <v>0.37988341775015505</v>
      </c>
      <c r="U34" s="57">
        <f t="shared" si="36"/>
        <v>0.33675251432975178</v>
      </c>
      <c r="V34" s="57">
        <f t="shared" si="36"/>
        <v>0.36068179301258696</v>
      </c>
      <c r="W34" s="57">
        <f t="shared" si="36"/>
        <v>0.36617394934172937</v>
      </c>
      <c r="X34" s="57">
        <f t="shared" si="36"/>
        <v>0.41567646182939749</v>
      </c>
      <c r="Y34" s="57">
        <f t="shared" si="36"/>
        <v>0.38008655735159452</v>
      </c>
      <c r="Z34" s="57">
        <f t="shared" si="36"/>
        <v>0.36181266463943756</v>
      </c>
      <c r="AA34" s="57">
        <f t="shared" si="36"/>
        <v>0.3282243140056415</v>
      </c>
      <c r="AB34" s="57">
        <f t="shared" si="36"/>
        <v>0.37171026655986755</v>
      </c>
      <c r="AC34" s="57">
        <f t="shared" si="36"/>
        <v>0.3143507391685903</v>
      </c>
      <c r="AD34" s="57">
        <f t="shared" si="36"/>
        <v>0.30817651329974854</v>
      </c>
      <c r="AE34" s="57">
        <f t="shared" si="36"/>
        <v>0.31600396647964701</v>
      </c>
      <c r="AF34" s="57">
        <f t="shared" si="36"/>
        <v>0.34330639069860641</v>
      </c>
      <c r="AG34" s="57">
        <f t="shared" si="36"/>
        <v>0.29362552357150301</v>
      </c>
      <c r="AH34" s="57">
        <f t="shared" si="36"/>
        <v>0.30102897326302869</v>
      </c>
      <c r="AI34" s="57">
        <f t="shared" si="36"/>
        <v>0.30144547427279378</v>
      </c>
      <c r="AJ34" s="57">
        <f t="shared" si="36"/>
        <v>0.34916515757232974</v>
      </c>
      <c r="AK34" s="57">
        <f t="shared" si="36"/>
        <v>0.30412663726667694</v>
      </c>
      <c r="AL34" s="57">
        <f t="shared" si="36"/>
        <v>0.29047497165757558</v>
      </c>
      <c r="AM34" s="57">
        <f t="shared" si="36"/>
        <v>0.29758820638677774</v>
      </c>
      <c r="AN34" s="57">
        <f t="shared" si="36"/>
        <v>0.37764379781907803</v>
      </c>
      <c r="AO34" s="57">
        <f t="shared" si="36"/>
        <v>0.21526497602772446</v>
      </c>
      <c r="AP34" s="57">
        <f t="shared" si="36"/>
        <v>0.23365589318826896</v>
      </c>
      <c r="AQ34" s="57">
        <f t="shared" si="36"/>
        <v>0.27211197199078141</v>
      </c>
      <c r="AR34" s="57">
        <f t="shared" si="36"/>
        <v>0.32531587829364983</v>
      </c>
      <c r="AS34" s="57">
        <f t="shared" si="36"/>
        <v>0.1924565863293301</v>
      </c>
      <c r="AT34" s="57">
        <f t="shared" si="36"/>
        <v>0.21500522585081377</v>
      </c>
      <c r="AU34" s="57">
        <f t="shared" si="36"/>
        <v>0.25807599800989961</v>
      </c>
      <c r="AV34" s="57">
        <f t="shared" si="36"/>
        <v>0.24684242562279957</v>
      </c>
      <c r="AW34" s="57">
        <f t="shared" si="36"/>
        <v>0.15469787245297151</v>
      </c>
      <c r="AX34" s="57">
        <f t="shared" si="36"/>
        <v>0.16831420191108906</v>
      </c>
      <c r="AY34" s="57">
        <f t="shared" si="36"/>
        <v>0.18291654950174341</v>
      </c>
      <c r="AZ34" s="57">
        <f t="shared" si="36"/>
        <v>0.19980045785499834</v>
      </c>
      <c r="BA34" s="57">
        <f t="shared" si="36"/>
        <v>0.1209737254928329</v>
      </c>
      <c r="BB34" s="57">
        <f t="shared" si="36"/>
        <v>0.15391505907990541</v>
      </c>
      <c r="BC34" s="57">
        <f t="shared" si="36"/>
        <v>0.15398952791120207</v>
      </c>
      <c r="BD34" s="57">
        <f t="shared" si="36"/>
        <v>0.1665104460307556</v>
      </c>
      <c r="BE34" s="57">
        <f t="shared" si="36"/>
        <v>0.12840789323421548</v>
      </c>
      <c r="BF34" s="57">
        <f t="shared" si="36"/>
        <v>0.14584516195459929</v>
      </c>
      <c r="BG34" s="57">
        <f t="shared" si="36"/>
        <v>0.15289018694013076</v>
      </c>
      <c r="BH34" s="57">
        <f t="shared" si="36"/>
        <v>0.1556041161467695</v>
      </c>
      <c r="BI34" s="57">
        <f t="shared" si="36"/>
        <v>0.10765136312614108</v>
      </c>
      <c r="BJ34" s="57">
        <f t="shared" si="36"/>
        <v>0.11478827790675514</v>
      </c>
      <c r="BK34" s="57">
        <f t="shared" si="36"/>
        <v>0.11114532027467572</v>
      </c>
      <c r="BL34" s="57">
        <f t="shared" si="36"/>
        <v>0.12594433338793437</v>
      </c>
      <c r="BM34" s="57">
        <f t="shared" si="36"/>
        <v>0.104472377814297</v>
      </c>
      <c r="BN34" s="57">
        <f t="shared" si="36"/>
        <v>0.1101137985373616</v>
      </c>
      <c r="BO34" s="57">
        <f t="shared" si="36"/>
        <v>0.10500635400246651</v>
      </c>
      <c r="BP34" s="57">
        <f t="shared" si="36"/>
        <v>0.10925464069860981</v>
      </c>
      <c r="BQ34" s="57">
        <f t="shared" si="36"/>
        <v>0.16699322842503969</v>
      </c>
      <c r="BR34" s="57">
        <f t="shared" ref="BR34:CK34" si="37">BR33/BR4</f>
        <v>0.95967146922659052</v>
      </c>
      <c r="BS34" s="57">
        <f t="shared" si="37"/>
        <v>0.16559576718676494</v>
      </c>
      <c r="BT34" s="57">
        <f t="shared" si="37"/>
        <v>0.13861868589198437</v>
      </c>
      <c r="BU34" s="57">
        <f t="shared" si="37"/>
        <v>0.19078084591253106</v>
      </c>
      <c r="BV34" s="57">
        <f t="shared" si="37"/>
        <v>0.15877179547777842</v>
      </c>
      <c r="BW34" s="57">
        <f t="shared" si="37"/>
        <v>0.1425358937417914</v>
      </c>
      <c r="BX34" s="57">
        <f t="shared" si="37"/>
        <v>0.16263377258180736</v>
      </c>
      <c r="BY34" s="57">
        <f t="shared" si="37"/>
        <v>0.13677455734825089</v>
      </c>
      <c r="BZ34" s="57">
        <f t="shared" si="37"/>
        <v>0.20624801515379701</v>
      </c>
      <c r="CA34" s="57">
        <f t="shared" si="37"/>
        <v>0.15834751873180886</v>
      </c>
      <c r="CB34" s="57">
        <f t="shared" si="37"/>
        <v>0.20653606180830911</v>
      </c>
      <c r="CC34" s="57">
        <f t="shared" si="37"/>
        <v>0.24590387623224838</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-794158345.63999999</v>
      </c>
      <c r="C35" s="26">
        <f t="shared" ref="C35:BN35" si="38">C23+C68</f>
        <v>-526590648.85000002</v>
      </c>
      <c r="D35" s="26">
        <f t="shared" si="38"/>
        <v>-264201124.21000001</v>
      </c>
      <c r="E35" s="26">
        <f t="shared" si="38"/>
        <v>12458027.439999938</v>
      </c>
      <c r="F35" s="26">
        <f t="shared" si="38"/>
        <v>-639689920.27999997</v>
      </c>
      <c r="G35" s="26">
        <f t="shared" si="38"/>
        <v>-427381651.64999998</v>
      </c>
      <c r="H35" s="26">
        <f t="shared" si="38"/>
        <v>-216693726.40000001</v>
      </c>
      <c r="I35" s="26">
        <f t="shared" si="38"/>
        <v>-668553.59999990463</v>
      </c>
      <c r="J35" s="26">
        <f t="shared" si="38"/>
        <v>-559238520.83000004</v>
      </c>
      <c r="K35" s="26">
        <f t="shared" si="38"/>
        <v>-341637035.05000001</v>
      </c>
      <c r="L35" s="26">
        <f t="shared" si="38"/>
        <v>-179087361.55000001</v>
      </c>
      <c r="M35" s="26">
        <f t="shared" si="38"/>
        <v>14255870.139999986</v>
      </c>
      <c r="N35" s="26">
        <f t="shared" si="38"/>
        <v>-555911422.89999998</v>
      </c>
      <c r="O35" s="26">
        <f t="shared" si="38"/>
        <v>-357654118.22000003</v>
      </c>
      <c r="P35" s="26">
        <f t="shared" si="38"/>
        <v>-173061007.16999999</v>
      </c>
      <c r="Q35" s="26">
        <f t="shared" si="38"/>
        <v>2630779.1700000763</v>
      </c>
      <c r="R35" s="26">
        <f t="shared" si="38"/>
        <v>-490454942.11000001</v>
      </c>
      <c r="S35" s="26">
        <f t="shared" si="38"/>
        <v>-344899041.82999998</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-193848540.49090436</v>
      </c>
      <c r="C36" s="26">
        <f t="shared" ref="C36:BN36" si="40">C35*C41</f>
        <v>-128009856.69949535</v>
      </c>
      <c r="D36" s="26">
        <f t="shared" si="40"/>
        <v>-64749212.566746749</v>
      </c>
      <c r="E36" s="26">
        <f t="shared" si="40"/>
        <v>3091360.7702576541</v>
      </c>
      <c r="F36" s="26">
        <f t="shared" si="40"/>
        <v>-160327281.32454768</v>
      </c>
      <c r="G36" s="26">
        <f t="shared" si="40"/>
        <v>-110357725.5474427</v>
      </c>
      <c r="H36" s="26">
        <f t="shared" si="40"/>
        <v>-53111214.30464261</v>
      </c>
      <c r="I36" s="26">
        <f t="shared" si="40"/>
        <v>-162764.03154094564</v>
      </c>
      <c r="J36" s="26">
        <f t="shared" si="40"/>
        <v>-137689505.23730657</v>
      </c>
      <c r="K36" s="26">
        <f t="shared" si="40"/>
        <v>-83201810.462258324</v>
      </c>
      <c r="L36" s="26">
        <f t="shared" si="40"/>
        <v>-44082016.085680388</v>
      </c>
      <c r="M36" s="26">
        <f t="shared" si="40"/>
        <v>3228437.1591241267</v>
      </c>
      <c r="N36" s="26">
        <f t="shared" si="40"/>
        <v>-130999762.98029096</v>
      </c>
      <c r="O36" s="26">
        <f t="shared" si="40"/>
        <v>-84884590.694942772</v>
      </c>
      <c r="P36" s="26">
        <f t="shared" si="40"/>
        <v>-41411683.697120503</v>
      </c>
      <c r="Q36" s="26">
        <f t="shared" si="40"/>
        <v>641988.10100561613</v>
      </c>
      <c r="R36" s="26">
        <f t="shared" si="40"/>
        <v>-118423108.2259434</v>
      </c>
      <c r="S36" s="26">
        <f t="shared" si="40"/>
        <v>-86113479.457892552</v>
      </c>
      <c r="T36" s="26">
        <f t="shared" si="40"/>
        <v>-62327208.482083879</v>
      </c>
      <c r="U36" s="26">
        <f t="shared" si="40"/>
        <v>-1466055.4264877129</v>
      </c>
      <c r="V36" s="26">
        <f t="shared" si="40"/>
        <v>-163019008.49521193</v>
      </c>
      <c r="W36" s="26">
        <f t="shared" si="40"/>
        <v>-116464583.18266258</v>
      </c>
      <c r="X36" s="26">
        <f t="shared" si="40"/>
        <v>-58699182.642049395</v>
      </c>
      <c r="Y36" s="26">
        <f t="shared" si="40"/>
        <v>-3004314.9635702763</v>
      </c>
      <c r="Z36" s="26">
        <f t="shared" si="40"/>
        <v>-150596212.13591105</v>
      </c>
      <c r="AA36" s="26">
        <f t="shared" si="40"/>
        <v>-98561890.641049445</v>
      </c>
      <c r="AB36" s="26">
        <f t="shared" si="40"/>
        <v>-34980302.408946298</v>
      </c>
      <c r="AC36" s="26">
        <f t="shared" si="40"/>
        <v>-1946166.7396766418</v>
      </c>
      <c r="AD36" s="26">
        <f t="shared" si="40"/>
        <v>-57421599.118473597</v>
      </c>
      <c r="AE36" s="26">
        <f t="shared" si="40"/>
        <v>-45885705.505786769</v>
      </c>
      <c r="AF36" s="26">
        <f t="shared" si="40"/>
        <v>-5721772.8260720149</v>
      </c>
      <c r="AG36" s="26">
        <f t="shared" si="40"/>
        <v>-633600.82825626375</v>
      </c>
      <c r="AH36" s="26">
        <f t="shared" si="40"/>
        <v>-25777703.135028444</v>
      </c>
      <c r="AI36" s="26">
        <f t="shared" si="40"/>
        <v>-19044769.099695545</v>
      </c>
      <c r="AJ36" s="26">
        <f t="shared" si="40"/>
        <v>-2922423.6109801987</v>
      </c>
      <c r="AK36" s="26">
        <f t="shared" si="40"/>
        <v>-27135770.830720454</v>
      </c>
      <c r="AL36" s="26">
        <f t="shared" si="40"/>
        <v>-16328153.621720225</v>
      </c>
      <c r="AM36" s="26">
        <f t="shared" si="40"/>
        <v>-10133120.986537339</v>
      </c>
      <c r="AN36" s="26">
        <f t="shared" si="40"/>
        <v>-2583704.7204354601</v>
      </c>
      <c r="AO36" s="26">
        <f t="shared" si="40"/>
        <v>-37966223.40809112</v>
      </c>
      <c r="AP36" s="26">
        <f t="shared" si="40"/>
        <v>-20781142.3238688</v>
      </c>
      <c r="AQ36" s="26">
        <f t="shared" si="40"/>
        <v>-17637595.175781947</v>
      </c>
      <c r="AR36" s="26">
        <f t="shared" si="40"/>
        <v>-3879844.9863326377</v>
      </c>
      <c r="AS36" s="26">
        <f t="shared" si="40"/>
        <v>-29872354.592056554</v>
      </c>
      <c r="AT36" s="26">
        <f t="shared" si="40"/>
        <v>-13462700.849872854</v>
      </c>
      <c r="AU36" s="26">
        <f t="shared" si="40"/>
        <v>-12007693.765004329</v>
      </c>
      <c r="AV36" s="26">
        <f t="shared" si="40"/>
        <v>-1129567.5751449375</v>
      </c>
      <c r="AW36" s="26">
        <f t="shared" si="40"/>
        <v>-17180313.714363601</v>
      </c>
      <c r="AX36" s="26">
        <f t="shared" si="40"/>
        <v>-8974937.3754387517</v>
      </c>
      <c r="AY36" s="26">
        <f t="shared" si="40"/>
        <v>-8263434.0108201867</v>
      </c>
      <c r="AZ36" s="26">
        <f t="shared" si="40"/>
        <v>-989492.47619036806</v>
      </c>
      <c r="BA36" s="26">
        <f t="shared" si="40"/>
        <v>-8412122.3349993285</v>
      </c>
      <c r="BB36" s="26">
        <f t="shared" si="40"/>
        <v>-2475313.0519866575</v>
      </c>
      <c r="BC36" s="26">
        <f t="shared" si="40"/>
        <v>-1995237.9168897145</v>
      </c>
      <c r="BD36" s="26">
        <f t="shared" si="40"/>
        <v>-2210881.4762924351</v>
      </c>
      <c r="BE36" s="26">
        <f t="shared" si="40"/>
        <v>-9214831.0161075834</v>
      </c>
      <c r="BF36" s="26">
        <f t="shared" si="40"/>
        <v>-4400404.7235831181</v>
      </c>
      <c r="BG36" s="26">
        <f t="shared" si="40"/>
        <v>-3796917.4764635409</v>
      </c>
      <c r="BH36" s="26">
        <f t="shared" si="40"/>
        <v>-582963.74144972768</v>
      </c>
      <c r="BI36" s="26">
        <f t="shared" si="40"/>
        <v>-10035735.181092523</v>
      </c>
      <c r="BJ36" s="26">
        <f t="shared" si="40"/>
        <v>-7118363.6784047447</v>
      </c>
      <c r="BK36" s="26">
        <f t="shared" si="40"/>
        <v>-4750668.28294037</v>
      </c>
      <c r="BL36" s="26">
        <f t="shared" si="40"/>
        <v>-1024101.6185867507</v>
      </c>
      <c r="BM36" s="26">
        <f t="shared" si="40"/>
        <v>-7715499.9536229754</v>
      </c>
      <c r="BN36" s="26">
        <f t="shared" si="40"/>
        <v>-5923124.4000778655</v>
      </c>
      <c r="BO36" s="26">
        <f t="shared" ref="BO36:CJ36" si="41">BO35*BO41</f>
        <v>-2957348.493902924</v>
      </c>
      <c r="BP36" s="26">
        <f t="shared" si="41"/>
        <v>-2444843.0240120743</v>
      </c>
      <c r="BQ36" s="26">
        <f t="shared" si="41"/>
        <v>-3188880.4144819318</v>
      </c>
      <c r="BR36" s="26">
        <f t="shared" si="41"/>
        <v>0</v>
      </c>
      <c r="BS36" s="26">
        <f t="shared" si="41"/>
        <v>-4490623.143259611</v>
      </c>
      <c r="BT36" s="26">
        <f t="shared" si="41"/>
        <v>-1803069.1010184216</v>
      </c>
      <c r="BU36" s="26">
        <f t="shared" si="41"/>
        <v>-3413617.6145254751</v>
      </c>
      <c r="BV36" s="26">
        <f t="shared" si="41"/>
        <v>-3037427.6587788975</v>
      </c>
      <c r="BW36" s="26">
        <f t="shared" si="41"/>
        <v>-5836669.6877960088</v>
      </c>
      <c r="BX36" s="26">
        <f t="shared" si="41"/>
        <v>-1666321.6329345054</v>
      </c>
      <c r="BY36" s="26">
        <f t="shared" si="41"/>
        <v>-16600472.832072476</v>
      </c>
      <c r="BZ36" s="26">
        <f t="shared" si="41"/>
        <v>-575165.1895470937</v>
      </c>
      <c r="CA36" s="26">
        <f t="shared" si="41"/>
        <v>3906777.3186940937</v>
      </c>
      <c r="CB36" s="26">
        <f t="shared" si="41"/>
        <v>5367900.4832149511</v>
      </c>
      <c r="CC36" s="26">
        <f t="shared" si="41"/>
        <v>4098448.9350918718</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-600309805.14909565</v>
      </c>
      <c r="C37" s="26">
        <f t="shared" ref="C37:BN37" si="42">C35-C36</f>
        <v>-398580792.15050471</v>
      </c>
      <c r="D37" s="26">
        <f t="shared" si="42"/>
        <v>-199451911.64325327</v>
      </c>
      <c r="E37" s="26">
        <f t="shared" si="42"/>
        <v>9366666.6697422843</v>
      </c>
      <c r="F37" s="26">
        <f t="shared" si="42"/>
        <v>-479362638.95545232</v>
      </c>
      <c r="G37" s="26">
        <f t="shared" si="42"/>
        <v>-317023926.1025573</v>
      </c>
      <c r="H37" s="26">
        <f t="shared" si="42"/>
        <v>-163582512.09535739</v>
      </c>
      <c r="I37" s="26">
        <f t="shared" si="42"/>
        <v>-505789.56845895899</v>
      </c>
      <c r="J37" s="26">
        <f t="shared" si="42"/>
        <v>-421549015.59269345</v>
      </c>
      <c r="K37" s="26">
        <f t="shared" si="42"/>
        <v>-258435224.58774167</v>
      </c>
      <c r="L37" s="26">
        <f t="shared" si="42"/>
        <v>-135005345.46431962</v>
      </c>
      <c r="M37" s="26">
        <f t="shared" si="42"/>
        <v>11027432.980875859</v>
      </c>
      <c r="N37" s="26">
        <f t="shared" si="42"/>
        <v>-424911659.91970903</v>
      </c>
      <c r="O37" s="26">
        <f t="shared" si="42"/>
        <v>-272769527.52505726</v>
      </c>
      <c r="P37" s="26">
        <f t="shared" si="42"/>
        <v>-131649323.47287948</v>
      </c>
      <c r="Q37" s="26">
        <f t="shared" si="42"/>
        <v>1988791.0689944602</v>
      </c>
      <c r="R37" s="26">
        <f t="shared" si="42"/>
        <v>-372031833.88405663</v>
      </c>
      <c r="S37" s="26">
        <f t="shared" si="42"/>
        <v>-258785562.37210745</v>
      </c>
      <c r="T37" s="26">
        <f t="shared" si="42"/>
        <v>-182788385.31791613</v>
      </c>
      <c r="U37" s="26">
        <f t="shared" si="42"/>
        <v>-4174354.0335122058</v>
      </c>
      <c r="V37" s="26">
        <f t="shared" si="42"/>
        <v>-496385173.9447881</v>
      </c>
      <c r="W37" s="26">
        <f t="shared" si="42"/>
        <v>-355480315.32733738</v>
      </c>
      <c r="X37" s="26">
        <f t="shared" si="42"/>
        <v>-179964908.2979506</v>
      </c>
      <c r="Y37" s="26">
        <f t="shared" si="42"/>
        <v>-9135829.0764298048</v>
      </c>
      <c r="Z37" s="26">
        <f t="shared" si="42"/>
        <v>-469733237.7940889</v>
      </c>
      <c r="AA37" s="26">
        <f t="shared" si="42"/>
        <v>-301683577.17895055</v>
      </c>
      <c r="AB37" s="26">
        <f t="shared" si="42"/>
        <v>-107329506.47105369</v>
      </c>
      <c r="AC37" s="26">
        <f t="shared" si="42"/>
        <v>-5917888.2603233587</v>
      </c>
      <c r="AD37" s="26">
        <f t="shared" si="42"/>
        <v>-177682922.22152641</v>
      </c>
      <c r="AE37" s="26">
        <f t="shared" si="42"/>
        <v>-141789078.56421322</v>
      </c>
      <c r="AF37" s="26">
        <f t="shared" si="42"/>
        <v>-17692631.813927986</v>
      </c>
      <c r="AG37" s="26">
        <f t="shared" si="42"/>
        <v>-1917627.7117437278</v>
      </c>
      <c r="AH37" s="26">
        <f t="shared" si="42"/>
        <v>-79452707.124971569</v>
      </c>
      <c r="AI37" s="26">
        <f t="shared" si="42"/>
        <v>-58236788.530304447</v>
      </c>
      <c r="AJ37" s="26">
        <f t="shared" si="42"/>
        <v>-9067743.689019803</v>
      </c>
      <c r="AK37" s="26">
        <f t="shared" si="42"/>
        <v>-82596410.579279542</v>
      </c>
      <c r="AL37" s="26">
        <f t="shared" si="42"/>
        <v>-49690326.598279774</v>
      </c>
      <c r="AM37" s="26">
        <f t="shared" si="42"/>
        <v>-30514788.583462663</v>
      </c>
      <c r="AN37" s="26">
        <f t="shared" si="42"/>
        <v>-8383959.9695645394</v>
      </c>
      <c r="AO37" s="26">
        <f t="shared" si="42"/>
        <v>-121988044.02190888</v>
      </c>
      <c r="AP37" s="26">
        <f t="shared" si="42"/>
        <v>-66939081.656131208</v>
      </c>
      <c r="AQ37" s="26">
        <f t="shared" si="42"/>
        <v>-57172470.184218049</v>
      </c>
      <c r="AR37" s="26">
        <f t="shared" si="42"/>
        <v>-11734904.343667362</v>
      </c>
      <c r="AS37" s="26">
        <f t="shared" si="42"/>
        <v>-62355258.417943448</v>
      </c>
      <c r="AT37" s="26">
        <f t="shared" si="42"/>
        <v>-27555579.140127148</v>
      </c>
      <c r="AU37" s="26">
        <f t="shared" si="42"/>
        <v>-24479513.754995674</v>
      </c>
      <c r="AV37" s="26">
        <f t="shared" si="42"/>
        <v>-2247411.5648550624</v>
      </c>
      <c r="AW37" s="26">
        <f t="shared" si="42"/>
        <v>-33317038.8156364</v>
      </c>
      <c r="AX37" s="26">
        <f t="shared" si="42"/>
        <v>-17392781.684561245</v>
      </c>
      <c r="AY37" s="26">
        <f t="shared" si="42"/>
        <v>-16133083.989179812</v>
      </c>
      <c r="AZ37" s="26">
        <f t="shared" si="42"/>
        <v>-1928216.3238096316</v>
      </c>
      <c r="BA37" s="26">
        <f t="shared" si="42"/>
        <v>-16813858.475000672</v>
      </c>
      <c r="BB37" s="26">
        <f t="shared" si="42"/>
        <v>-4962735.8080133423</v>
      </c>
      <c r="BC37" s="26">
        <f t="shared" si="42"/>
        <v>-3500730.9931102856</v>
      </c>
      <c r="BD37" s="26">
        <f t="shared" si="42"/>
        <v>-3847071.2437075647</v>
      </c>
      <c r="BE37" s="26">
        <f t="shared" si="42"/>
        <v>-17241768.093892418</v>
      </c>
      <c r="BF37" s="26">
        <f t="shared" si="42"/>
        <v>-8380001.4064168828</v>
      </c>
      <c r="BG37" s="26">
        <f t="shared" si="42"/>
        <v>-7310852.5635364577</v>
      </c>
      <c r="BH37" s="26">
        <f t="shared" si="42"/>
        <v>-1152854.4485502723</v>
      </c>
      <c r="BI37" s="26">
        <f t="shared" si="42"/>
        <v>-18322972.078907479</v>
      </c>
      <c r="BJ37" s="26">
        <f t="shared" si="42"/>
        <v>-12464090.171595257</v>
      </c>
      <c r="BK37" s="26">
        <f t="shared" si="42"/>
        <v>-7376341.9970596293</v>
      </c>
      <c r="BL37" s="26">
        <f t="shared" si="42"/>
        <v>-1421630.0714132492</v>
      </c>
      <c r="BM37" s="26">
        <f t="shared" si="42"/>
        <v>-18978308.906377025</v>
      </c>
      <c r="BN37" s="26">
        <f t="shared" si="42"/>
        <v>-15817762.499922134</v>
      </c>
      <c r="BO37" s="26">
        <f t="shared" ref="BO37:CJ37" si="43">BO35-BO36</f>
        <v>-8688491.2060970757</v>
      </c>
      <c r="BP37" s="26">
        <f t="shared" si="43"/>
        <v>-5081883.1059879251</v>
      </c>
      <c r="BQ37" s="26">
        <f t="shared" si="43"/>
        <v>-22232054.425518069</v>
      </c>
      <c r="BR37" s="26">
        <f t="shared" si="43"/>
        <v>0</v>
      </c>
      <c r="BS37" s="26">
        <f t="shared" si="43"/>
        <v>-11990474.57674039</v>
      </c>
      <c r="BT37" s="26">
        <f t="shared" si="43"/>
        <v>-3648322.6489815786</v>
      </c>
      <c r="BU37" s="26">
        <f t="shared" si="43"/>
        <v>-10935006.525474526</v>
      </c>
      <c r="BV37" s="26">
        <f t="shared" si="43"/>
        <v>-4401152.2012211028</v>
      </c>
      <c r="BW37" s="26">
        <f t="shared" si="43"/>
        <v>-9249898.2722039931</v>
      </c>
      <c r="BX37" s="26">
        <f t="shared" si="43"/>
        <v>-7926809.5770654958</v>
      </c>
      <c r="BY37" s="26">
        <f t="shared" si="43"/>
        <v>-26191048.247927524</v>
      </c>
      <c r="BZ37" s="26">
        <f t="shared" si="43"/>
        <v>-3259130.3604529062</v>
      </c>
      <c r="CA37" s="26">
        <f t="shared" si="43"/>
        <v>7928298.0213059057</v>
      </c>
      <c r="CB37" s="26">
        <f t="shared" si="43"/>
        <v>10884857.316785049</v>
      </c>
      <c r="CC37" s="26">
        <f t="shared" si="43"/>
        <v>8309294.3949081283</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13219950172.639997</v>
      </c>
      <c r="C38" s="28">
        <f t="shared" ref="C38:BN38" si="44">C31-C35</f>
        <v>9838173391.3500023</v>
      </c>
      <c r="D38" s="28">
        <f t="shared" si="44"/>
        <v>6893421039.8399982</v>
      </c>
      <c r="E38" s="28">
        <f t="shared" si="44"/>
        <v>13321880171.359999</v>
      </c>
      <c r="F38" s="28">
        <f t="shared" si="44"/>
        <v>9694808314.8500004</v>
      </c>
      <c r="G38" s="28">
        <f t="shared" si="44"/>
        <v>6996409923.2999992</v>
      </c>
      <c r="H38" s="28">
        <f t="shared" si="44"/>
        <v>4953230729.1500006</v>
      </c>
      <c r="I38" s="28">
        <f t="shared" si="44"/>
        <v>9367754469.5599995</v>
      </c>
      <c r="J38" s="28">
        <f t="shared" si="44"/>
        <v>7026635923.5299988</v>
      </c>
      <c r="K38" s="28">
        <f t="shared" si="44"/>
        <v>5322974404.9499998</v>
      </c>
      <c r="L38" s="28">
        <f t="shared" si="44"/>
        <v>3990542632.0300002</v>
      </c>
      <c r="M38" s="28">
        <f t="shared" si="44"/>
        <v>8288346484.249999</v>
      </c>
      <c r="N38" s="28">
        <f t="shared" si="44"/>
        <v>6249888064.7099981</v>
      </c>
      <c r="O38" s="28">
        <f t="shared" si="44"/>
        <v>4485866127.3900003</v>
      </c>
      <c r="P38" s="28">
        <f t="shared" si="44"/>
        <v>3010242777.4700003</v>
      </c>
      <c r="Q38" s="28">
        <f t="shared" si="44"/>
        <v>8022390900.710001</v>
      </c>
      <c r="R38" s="28">
        <f t="shared" si="44"/>
        <v>6452091681.5099993</v>
      </c>
      <c r="S38" s="28">
        <f t="shared" si="44"/>
        <v>5547543373.6100006</v>
      </c>
      <c r="T38" s="28">
        <f t="shared" si="44"/>
        <v>3668316314.3100014</v>
      </c>
      <c r="U38" s="28">
        <f t="shared" si="44"/>
        <v>11252938047.66</v>
      </c>
      <c r="V38" s="28">
        <f t="shared" si="44"/>
        <v>9844446542.8699989</v>
      </c>
      <c r="W38" s="28">
        <f t="shared" si="44"/>
        <v>8018840509.5700006</v>
      </c>
      <c r="X38" s="28">
        <f t="shared" si="44"/>
        <v>5021265735.6800003</v>
      </c>
      <c r="Y38" s="28">
        <f t="shared" si="44"/>
        <v>13750918351.929996</v>
      </c>
      <c r="Z38" s="28">
        <f t="shared" si="44"/>
        <v>10714823425.140001</v>
      </c>
      <c r="AA38" s="28">
        <f t="shared" si="44"/>
        <v>6953750204.0599995</v>
      </c>
      <c r="AB38" s="28">
        <f t="shared" si="44"/>
        <v>4198837745.8500004</v>
      </c>
      <c r="AC38" s="28">
        <f t="shared" si="44"/>
        <v>8508196544.8899975</v>
      </c>
      <c r="AD38" s="28">
        <f t="shared" si="44"/>
        <v>6617520406.8800001</v>
      </c>
      <c r="AE38" s="28">
        <f t="shared" si="44"/>
        <v>4620487255.2299995</v>
      </c>
      <c r="AF38" s="28">
        <f t="shared" si="44"/>
        <v>2860511552.8599992</v>
      </c>
      <c r="AG38" s="28">
        <f t="shared" si="44"/>
        <v>6072794159.0700006</v>
      </c>
      <c r="AH38" s="28">
        <f t="shared" si="44"/>
        <v>4678944660.5400009</v>
      </c>
      <c r="AI38" s="28">
        <f t="shared" si="44"/>
        <v>3109457544.5400004</v>
      </c>
      <c r="AJ38" s="28">
        <f t="shared" si="44"/>
        <v>2086683017.0799999</v>
      </c>
      <c r="AK38" s="28">
        <f t="shared" si="44"/>
        <v>4605588627.2400007</v>
      </c>
      <c r="AL38" s="28">
        <f t="shared" si="44"/>
        <v>3165661793.5300007</v>
      </c>
      <c r="AM38" s="28">
        <f t="shared" si="44"/>
        <v>2157825039.6700006</v>
      </c>
      <c r="AN38" s="28">
        <f t="shared" si="44"/>
        <v>1660437310.8500004</v>
      </c>
      <c r="AO38" s="28">
        <f t="shared" si="44"/>
        <v>2399155657.23</v>
      </c>
      <c r="AP38" s="28">
        <f t="shared" si="44"/>
        <v>2102072670.8799996</v>
      </c>
      <c r="AQ38" s="28">
        <f t="shared" si="44"/>
        <v>1711707483.9000006</v>
      </c>
      <c r="AR38" s="28">
        <f t="shared" si="44"/>
        <v>1351525377.5499997</v>
      </c>
      <c r="AS38" s="28">
        <f t="shared" si="44"/>
        <v>2178346547.2299995</v>
      </c>
      <c r="AT38" s="28">
        <f t="shared" si="44"/>
        <v>1975096563.3200004</v>
      </c>
      <c r="AU38" s="28">
        <f t="shared" si="44"/>
        <v>1707052031.6899996</v>
      </c>
      <c r="AV38" s="28">
        <f t="shared" si="44"/>
        <v>1119753768.3700001</v>
      </c>
      <c r="AW38" s="28">
        <f t="shared" si="44"/>
        <v>1782323029.6300001</v>
      </c>
      <c r="AX38" s="28">
        <f t="shared" si="44"/>
        <v>1546019936.1899998</v>
      </c>
      <c r="AY38" s="28">
        <f t="shared" si="44"/>
        <v>1240641571.7299993</v>
      </c>
      <c r="AZ38" s="28">
        <f t="shared" si="44"/>
        <v>828416296.43999994</v>
      </c>
      <c r="BA38" s="28">
        <f t="shared" si="44"/>
        <v>1190216228.2799995</v>
      </c>
      <c r="BB38" s="28">
        <f t="shared" si="44"/>
        <v>1153427385.2599993</v>
      </c>
      <c r="BC38" s="28">
        <f t="shared" si="44"/>
        <v>925863086.22999978</v>
      </c>
      <c r="BD38" s="28">
        <f t="shared" si="44"/>
        <v>653555032.26000011</v>
      </c>
      <c r="BE38" s="28">
        <f t="shared" si="44"/>
        <v>1267302550.8899996</v>
      </c>
      <c r="BF38" s="28">
        <f t="shared" si="44"/>
        <v>1031081373.8700002</v>
      </c>
      <c r="BG38" s="28">
        <f t="shared" si="44"/>
        <v>814218785.02999985</v>
      </c>
      <c r="BH38" s="28">
        <f t="shared" si="44"/>
        <v>575729186.07999992</v>
      </c>
      <c r="BI38" s="28">
        <f t="shared" si="44"/>
        <v>1083536746.77</v>
      </c>
      <c r="BJ38" s="28">
        <f t="shared" si="44"/>
        <v>856561553.6700002</v>
      </c>
      <c r="BK38" s="28">
        <f t="shared" si="44"/>
        <v>638300313.69999993</v>
      </c>
      <c r="BL38" s="28">
        <f t="shared" si="44"/>
        <v>495298188.53999996</v>
      </c>
      <c r="BM38" s="28">
        <f t="shared" si="44"/>
        <v>865237437.21999979</v>
      </c>
      <c r="BN38" s="28">
        <f t="shared" si="44"/>
        <v>700279163.99000013</v>
      </c>
      <c r="BO38" s="28">
        <f t="shared" ref="BO38:CJ38" si="45">BO31-BO35</f>
        <v>498971367.69000018</v>
      </c>
      <c r="BP38" s="28">
        <f t="shared" si="45"/>
        <v>373749362.52999985</v>
      </c>
      <c r="BQ38" s="28">
        <f t="shared" si="45"/>
        <v>930905522.71000004</v>
      </c>
      <c r="BR38" s="28">
        <f t="shared" si="45"/>
        <v>3711480000</v>
      </c>
      <c r="BS38" s="28">
        <f t="shared" si="45"/>
        <v>657782215.23999989</v>
      </c>
      <c r="BT38" s="28">
        <f t="shared" si="45"/>
        <v>419683858.53000009</v>
      </c>
      <c r="BU38" s="28">
        <f t="shared" si="45"/>
        <v>1004093176.9500002</v>
      </c>
      <c r="BV38" s="28">
        <f t="shared" si="45"/>
        <v>723304139.98000002</v>
      </c>
      <c r="BW38" s="28">
        <f t="shared" si="45"/>
        <v>784300393.45000017</v>
      </c>
      <c r="BX38" s="28">
        <f t="shared" si="45"/>
        <v>383729930.18000001</v>
      </c>
      <c r="BY38" s="28">
        <f t="shared" si="45"/>
        <v>671700410.11000001</v>
      </c>
      <c r="BZ38" s="28">
        <f t="shared" si="45"/>
        <v>297541453.35000002</v>
      </c>
      <c r="CA38" s="28">
        <f t="shared" si="45"/>
        <v>509243773.96999997</v>
      </c>
      <c r="CB38" s="28">
        <f t="shared" si="45"/>
        <v>387644599.08999997</v>
      </c>
      <c r="CC38" s="28">
        <f t="shared" si="45"/>
        <v>323464761.90000004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45.195966762512704</v>
      </c>
      <c r="C39" s="57">
        <f t="shared" ref="C39:D39" si="46">C38/C4*100</f>
        <v>45.927315070468325</v>
      </c>
      <c r="D39" s="57">
        <f t="shared" si="46"/>
        <v>49.601307107318249</v>
      </c>
      <c r="E39" s="57">
        <f>E38/E4</f>
        <v>0.44131503892764862</v>
      </c>
      <c r="F39" s="57">
        <f t="shared" ref="F39:BQ39" si="47">F38/F4</f>
        <v>0.44112231551964454</v>
      </c>
      <c r="G39" s="57">
        <f t="shared" si="47"/>
        <v>0.44788123337372343</v>
      </c>
      <c r="H39" s="57">
        <f t="shared" si="47"/>
        <v>0.48757993690078522</v>
      </c>
      <c r="I39" s="57">
        <f t="shared" si="47"/>
        <v>0.38167509802190497</v>
      </c>
      <c r="J39" s="57">
        <f t="shared" si="47"/>
        <v>0.39699306890813546</v>
      </c>
      <c r="K39" s="57">
        <f t="shared" si="47"/>
        <v>0.40156302891888357</v>
      </c>
      <c r="L39" s="57">
        <f t="shared" si="47"/>
        <v>0.4521572259300366</v>
      </c>
      <c r="M39" s="57">
        <f t="shared" si="47"/>
        <v>0.38266939934907013</v>
      </c>
      <c r="N39" s="57">
        <f t="shared" si="47"/>
        <v>0.41304256623170832</v>
      </c>
      <c r="O39" s="57">
        <f t="shared" si="47"/>
        <v>0.39997329787506603</v>
      </c>
      <c r="P39" s="57">
        <f t="shared" si="47"/>
        <v>0.44692625559090826</v>
      </c>
      <c r="Q39" s="57">
        <f t="shared" si="47"/>
        <v>0.38180968195006049</v>
      </c>
      <c r="R39" s="57">
        <f t="shared" si="47"/>
        <v>0.42818934226520639</v>
      </c>
      <c r="S39" s="57">
        <f t="shared" si="47"/>
        <v>0.47567226340038599</v>
      </c>
      <c r="T39" s="57">
        <f t="shared" si="47"/>
        <v>0.54589245739366643</v>
      </c>
      <c r="U39" s="57">
        <f t="shared" si="47"/>
        <v>0.45524193235977062</v>
      </c>
      <c r="V39" s="57">
        <f t="shared" si="47"/>
        <v>0.51364552573087718</v>
      </c>
      <c r="W39" s="57">
        <f t="shared" si="47"/>
        <v>0.51668194190446537</v>
      </c>
      <c r="X39" s="57">
        <f t="shared" si="47"/>
        <v>0.57876689355563393</v>
      </c>
      <c r="Y39" s="57">
        <f t="shared" si="47"/>
        <v>0.50552902916046094</v>
      </c>
      <c r="Z39" s="57">
        <f t="shared" si="47"/>
        <v>0.50717208065301733</v>
      </c>
      <c r="AA39" s="57">
        <f t="shared" si="47"/>
        <v>0.4620521242683665</v>
      </c>
      <c r="AB39" s="57">
        <f t="shared" si="47"/>
        <v>0.51014646408219455</v>
      </c>
      <c r="AC39" s="57">
        <f t="shared" si="47"/>
        <v>0.41808098323475279</v>
      </c>
      <c r="AD39" s="57">
        <f t="shared" si="47"/>
        <v>0.42287786887263484</v>
      </c>
      <c r="AE39" s="57">
        <f t="shared" si="47"/>
        <v>0.43610772108782397</v>
      </c>
      <c r="AF39" s="57">
        <f t="shared" si="47"/>
        <v>0.45808077600602659</v>
      </c>
      <c r="AG39" s="57">
        <f t="shared" si="47"/>
        <v>0.39075199368484903</v>
      </c>
      <c r="AH39" s="57">
        <f t="shared" si="47"/>
        <v>0.40786810256288353</v>
      </c>
      <c r="AI39" s="57">
        <f t="shared" si="47"/>
        <v>0.41040568936666572</v>
      </c>
      <c r="AJ39" s="57">
        <f t="shared" si="47"/>
        <v>0.46436510642727424</v>
      </c>
      <c r="AK39" s="57">
        <f t="shared" si="47"/>
        <v>0.41382849829509344</v>
      </c>
      <c r="AL39" s="57">
        <f t="shared" si="47"/>
        <v>0.39424507121348606</v>
      </c>
      <c r="AM39" s="57">
        <f t="shared" si="47"/>
        <v>0.40401975461395151</v>
      </c>
      <c r="AN39" s="57">
        <f t="shared" si="47"/>
        <v>0.49730804004700763</v>
      </c>
      <c r="AO39" s="57">
        <f t="shared" si="47"/>
        <v>0.3024246657804342</v>
      </c>
      <c r="AP39" s="57">
        <f t="shared" si="47"/>
        <v>0.31952804824672681</v>
      </c>
      <c r="AQ39" s="57">
        <f t="shared" si="47"/>
        <v>0.37233067087119304</v>
      </c>
      <c r="AR39" s="57">
        <f t="shared" si="47"/>
        <v>0.43793285043762176</v>
      </c>
      <c r="AS39" s="57">
        <f t="shared" si="47"/>
        <v>0.29724090179661772</v>
      </c>
      <c r="AT39" s="57">
        <f t="shared" si="47"/>
        <v>0.32683699046482995</v>
      </c>
      <c r="AU39" s="57">
        <f t="shared" si="47"/>
        <v>0.39306907926397933</v>
      </c>
      <c r="AV39" s="57">
        <f t="shared" si="47"/>
        <v>0.37202943808569483</v>
      </c>
      <c r="AW39" s="57">
        <f t="shared" si="47"/>
        <v>0.24130637743267411</v>
      </c>
      <c r="AX39" s="57">
        <f t="shared" si="47"/>
        <v>0.25959430527450583</v>
      </c>
      <c r="AY39" s="57">
        <f t="shared" si="47"/>
        <v>0.28215561284544277</v>
      </c>
      <c r="AZ39" s="57">
        <f t="shared" si="47"/>
        <v>0.30339957512981625</v>
      </c>
      <c r="BA39" s="57">
        <f t="shared" si="47"/>
        <v>0.18542799675296334</v>
      </c>
      <c r="BB39" s="57">
        <f t="shared" si="47"/>
        <v>0.23218206323058957</v>
      </c>
      <c r="BC39" s="57">
        <f t="shared" si="47"/>
        <v>0.24319933929741461</v>
      </c>
      <c r="BD39" s="57">
        <f t="shared" si="47"/>
        <v>0.26465584117809987</v>
      </c>
      <c r="BE39" s="57">
        <f t="shared" si="47"/>
        <v>0.20123632551588086</v>
      </c>
      <c r="BF39" s="57">
        <f t="shared" si="47"/>
        <v>0.22522125567332504</v>
      </c>
      <c r="BG39" s="57">
        <f t="shared" si="47"/>
        <v>0.23550709831617186</v>
      </c>
      <c r="BH39" s="57">
        <f t="shared" si="47"/>
        <v>0.23499694055416659</v>
      </c>
      <c r="BI39" s="57">
        <f t="shared" si="47"/>
        <v>0.17109130682214155</v>
      </c>
      <c r="BJ39" s="57">
        <f t="shared" si="47"/>
        <v>0.18456444199572344</v>
      </c>
      <c r="BK39" s="57">
        <f t="shared" si="47"/>
        <v>0.1862663452498319</v>
      </c>
      <c r="BL39" s="57">
        <f t="shared" si="47"/>
        <v>0.21774623542094956</v>
      </c>
      <c r="BM39" s="57">
        <f t="shared" si="47"/>
        <v>0.15162267469649843</v>
      </c>
      <c r="BN39" s="57">
        <f t="shared" si="47"/>
        <v>0.15619632219735533</v>
      </c>
      <c r="BO39" s="57">
        <f t="shared" si="47"/>
        <v>0.14411144893596087</v>
      </c>
      <c r="BP39" s="57">
        <f t="shared" si="47"/>
        <v>0.16514164705732728</v>
      </c>
      <c r="BQ39" s="57">
        <f t="shared" si="47"/>
        <v>0.19630679179520685</v>
      </c>
      <c r="BR39" s="57">
        <f t="shared" ref="BR39:CK39" si="48">BR38/BR4</f>
        <v>1.0030728816170329</v>
      </c>
      <c r="BS39" s="57">
        <f t="shared" si="48"/>
        <v>0.23346357080738858</v>
      </c>
      <c r="BT39" s="57">
        <f t="shared" si="48"/>
        <v>0.20985245859532187</v>
      </c>
      <c r="BU39" s="57">
        <f t="shared" si="48"/>
        <v>0.25396676016500724</v>
      </c>
      <c r="BV39" s="57">
        <f t="shared" si="48"/>
        <v>0.27113555998960215</v>
      </c>
      <c r="BW39" s="57">
        <f t="shared" si="48"/>
        <v>0.23703533512449806</v>
      </c>
      <c r="BX39" s="57">
        <f t="shared" si="48"/>
        <v>0.20186821551831383</v>
      </c>
      <c r="BY39" s="57">
        <f t="shared" si="48"/>
        <v>0.23867011478694816</v>
      </c>
      <c r="BZ39" s="57">
        <f t="shared" si="48"/>
        <v>0.24581398121338094</v>
      </c>
      <c r="CA39" s="57">
        <f t="shared" si="48"/>
        <v>0.23100671548276774</v>
      </c>
      <c r="CB39" s="57">
        <f t="shared" si="48"/>
        <v>0.29598039201819498</v>
      </c>
      <c r="CC39" s="57">
        <f t="shared" si="48"/>
        <v>0.35362792411727656</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3226898087.0100002</v>
      </c>
      <c r="C40" s="26">
        <f t="shared" ref="C40:BN40" si="49">C60</f>
        <v>2391579054.3600001</v>
      </c>
      <c r="D40" s="26">
        <f t="shared" si="49"/>
        <v>1689408345.8399999</v>
      </c>
      <c r="E40" s="26">
        <f t="shared" si="49"/>
        <v>3305718978.8800001</v>
      </c>
      <c r="F40" s="26">
        <f t="shared" si="49"/>
        <v>2429837036.3600001</v>
      </c>
      <c r="G40" s="26">
        <f t="shared" si="49"/>
        <v>1806600454.54</v>
      </c>
      <c r="H40" s="26">
        <f t="shared" si="49"/>
        <v>1214027296.1600001</v>
      </c>
      <c r="I40" s="26">
        <f t="shared" si="49"/>
        <v>2280645088.0700002</v>
      </c>
      <c r="J40" s="26">
        <f t="shared" si="49"/>
        <v>1730020354.03</v>
      </c>
      <c r="K40" s="26">
        <f t="shared" si="49"/>
        <v>1296349816.03</v>
      </c>
      <c r="L40" s="26">
        <f t="shared" si="49"/>
        <v>982264538.23000002</v>
      </c>
      <c r="M40" s="26">
        <f t="shared" si="49"/>
        <v>1877009646.8800001</v>
      </c>
      <c r="N40" s="26">
        <f t="shared" si="49"/>
        <v>1472777535.0599999</v>
      </c>
      <c r="O40" s="26">
        <f t="shared" si="49"/>
        <v>1064662451.0599999</v>
      </c>
      <c r="P40" s="26">
        <f t="shared" si="49"/>
        <v>720319520.78999996</v>
      </c>
      <c r="Q40" s="26">
        <f t="shared" si="49"/>
        <v>1957701185.49</v>
      </c>
      <c r="R40" s="26">
        <f t="shared" si="49"/>
        <v>1557893877.46</v>
      </c>
      <c r="S40" s="26">
        <f t="shared" si="49"/>
        <v>1385095939.4100001</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0.24409305972184275</v>
      </c>
      <c r="C41" s="57">
        <f t="shared" ref="C41:BN41" si="51">C40/C38</f>
        <v>0.2430917772259171</v>
      </c>
      <c r="D41" s="57">
        <f t="shared" si="51"/>
        <v>0.24507546196238325</v>
      </c>
      <c r="E41" s="57">
        <f t="shared" si="51"/>
        <v>0.24814207426867488</v>
      </c>
      <c r="F41" s="57">
        <f t="shared" si="51"/>
        <v>0.25063280855569914</v>
      </c>
      <c r="G41" s="57">
        <f t="shared" si="51"/>
        <v>0.258218211103314</v>
      </c>
      <c r="H41" s="57">
        <f t="shared" si="51"/>
        <v>0.24509807084402332</v>
      </c>
      <c r="I41" s="57">
        <f t="shared" si="51"/>
        <v>0.24345696671286918</v>
      </c>
      <c r="J41" s="57">
        <f t="shared" si="51"/>
        <v>0.24620890748540203</v>
      </c>
      <c r="K41" s="57">
        <f t="shared" si="51"/>
        <v>0.24353861533215035</v>
      </c>
      <c r="L41" s="57">
        <f t="shared" si="51"/>
        <v>0.24614811287715008</v>
      </c>
      <c r="M41" s="57">
        <f t="shared" si="51"/>
        <v>0.22646370424388068</v>
      </c>
      <c r="N41" s="57">
        <f t="shared" si="51"/>
        <v>0.23564862599316624</v>
      </c>
      <c r="O41" s="57">
        <f t="shared" si="51"/>
        <v>0.23733709852804941</v>
      </c>
      <c r="P41" s="57">
        <f t="shared" si="51"/>
        <v>0.23928951052758687</v>
      </c>
      <c r="Q41" s="57">
        <f t="shared" si="51"/>
        <v>0.24402964274861486</v>
      </c>
      <c r="R41" s="57">
        <f t="shared" si="51"/>
        <v>0.24145563243072241</v>
      </c>
      <c r="S41" s="57">
        <f t="shared" si="51"/>
        <v>0.24967735196068683</v>
      </c>
      <c r="T41" s="57">
        <f t="shared" si="51"/>
        <v>0.25427679861502095</v>
      </c>
      <c r="U41" s="57">
        <f t="shared" si="51"/>
        <v>0.25992003539539732</v>
      </c>
      <c r="V41" s="57">
        <f t="shared" si="51"/>
        <v>0.24722167804879705</v>
      </c>
      <c r="W41" s="57">
        <f t="shared" si="51"/>
        <v>0.24677580698585477</v>
      </c>
      <c r="X41" s="57">
        <f t="shared" si="51"/>
        <v>0.24594895030441061</v>
      </c>
      <c r="Y41" s="57">
        <f t="shared" si="51"/>
        <v>0.24746946606823425</v>
      </c>
      <c r="Z41" s="57">
        <f t="shared" si="51"/>
        <v>0.24276811644667978</v>
      </c>
      <c r="AA41" s="57">
        <f t="shared" si="51"/>
        <v>0.24625360826165579</v>
      </c>
      <c r="AB41" s="57">
        <f t="shared" si="51"/>
        <v>0.24580387454839997</v>
      </c>
      <c r="AC41" s="57">
        <f t="shared" si="51"/>
        <v>0.24747623709099717</v>
      </c>
      <c r="AD41" s="57">
        <f t="shared" si="51"/>
        <v>0.24423859988397445</v>
      </c>
      <c r="AE41" s="57">
        <f t="shared" si="51"/>
        <v>0.24449584814053688</v>
      </c>
      <c r="AF41" s="57">
        <f t="shared" si="51"/>
        <v>0.24436977638531213</v>
      </c>
      <c r="AG41" s="57">
        <f t="shared" si="51"/>
        <v>0.24835126227314225</v>
      </c>
      <c r="AH41" s="57">
        <f t="shared" si="51"/>
        <v>0.24496438882389324</v>
      </c>
      <c r="AI41" s="57">
        <f t="shared" si="51"/>
        <v>0.24643355651390933</v>
      </c>
      <c r="AJ41" s="57">
        <f t="shared" si="51"/>
        <v>0.24373501535547371</v>
      </c>
      <c r="AK41" s="57">
        <f t="shared" si="51"/>
        <v>0.247290908483184</v>
      </c>
      <c r="AL41" s="57">
        <f t="shared" si="51"/>
        <v>0.24732701460724757</v>
      </c>
      <c r="AM41" s="57">
        <f t="shared" si="51"/>
        <v>0.24929008880732312</v>
      </c>
      <c r="AN41" s="57">
        <f t="shared" si="51"/>
        <v>0.2355747365974096</v>
      </c>
      <c r="AO41" s="57">
        <f t="shared" si="51"/>
        <v>0.23735673963625942</v>
      </c>
      <c r="AP41" s="57">
        <f t="shared" si="51"/>
        <v>0.23690252237165799</v>
      </c>
      <c r="AQ41" s="57">
        <f t="shared" si="51"/>
        <v>0.23576500155302024</v>
      </c>
      <c r="AR41" s="57">
        <f t="shared" si="51"/>
        <v>0.24847308812562524</v>
      </c>
      <c r="AS41" s="57">
        <f t="shared" si="51"/>
        <v>0.32389816473746935</v>
      </c>
      <c r="AT41" s="57">
        <f t="shared" si="51"/>
        <v>0.32821222277372369</v>
      </c>
      <c r="AU41" s="57">
        <f t="shared" si="51"/>
        <v>0.32909325161215647</v>
      </c>
      <c r="AV41" s="57">
        <f t="shared" si="51"/>
        <v>0.33449053971501208</v>
      </c>
      <c r="AW41" s="57">
        <f t="shared" si="51"/>
        <v>0.34022206816004735</v>
      </c>
      <c r="AX41" s="57">
        <f t="shared" si="51"/>
        <v>0.34037594814387223</v>
      </c>
      <c r="AY41" s="57">
        <f t="shared" si="51"/>
        <v>0.33871366441802009</v>
      </c>
      <c r="AZ41" s="57">
        <f t="shared" si="51"/>
        <v>0.33913338993609238</v>
      </c>
      <c r="BA41" s="57">
        <f t="shared" si="51"/>
        <v>0.33347057537063624</v>
      </c>
      <c r="BB41" s="57">
        <f t="shared" si="51"/>
        <v>0.33279064154825372</v>
      </c>
      <c r="BC41" s="57">
        <f t="shared" si="51"/>
        <v>0.36303660911533697</v>
      </c>
      <c r="BD41" s="57">
        <f t="shared" si="51"/>
        <v>0.36495522142213666</v>
      </c>
      <c r="BE41" s="57">
        <f t="shared" si="51"/>
        <v>0.34829990724788901</v>
      </c>
      <c r="BF41" s="57">
        <f t="shared" si="51"/>
        <v>0.34430867679970334</v>
      </c>
      <c r="BG41" s="57">
        <f t="shared" si="51"/>
        <v>0.34182535853645934</v>
      </c>
      <c r="BH41" s="57">
        <f t="shared" si="51"/>
        <v>0.33584377949728</v>
      </c>
      <c r="BI41" s="57">
        <f t="shared" si="51"/>
        <v>0.35388549587547463</v>
      </c>
      <c r="BJ41" s="57">
        <f t="shared" si="51"/>
        <v>0.36350723627032799</v>
      </c>
      <c r="BK41" s="57">
        <f t="shared" si="51"/>
        <v>0.39174274394532549</v>
      </c>
      <c r="BL41" s="57">
        <f t="shared" si="51"/>
        <v>0.4187301586572445</v>
      </c>
      <c r="BM41" s="57">
        <f t="shared" si="51"/>
        <v>0.28903705702277871</v>
      </c>
      <c r="BN41" s="57">
        <f t="shared" si="51"/>
        <v>0.27244170982177668</v>
      </c>
      <c r="BO41" s="57">
        <f t="shared" ref="BO41:CJ41" si="52">BO40/BO38</f>
        <v>0.25394034007723154</v>
      </c>
      <c r="BP41" s="57">
        <f t="shared" si="52"/>
        <v>0.32482157338865131</v>
      </c>
      <c r="BQ41" s="57">
        <f t="shared" si="52"/>
        <v>0.12544308203269569</v>
      </c>
      <c r="BR41" s="57">
        <f t="shared" si="52"/>
        <v>4.3268453554916098E-2</v>
      </c>
      <c r="BS41" s="57">
        <f t="shared" si="52"/>
        <v>0.2724711193120461</v>
      </c>
      <c r="BT41" s="57">
        <f t="shared" si="52"/>
        <v>0.33075390353636236</v>
      </c>
      <c r="BU41" s="57">
        <f t="shared" si="52"/>
        <v>0.23790557068180859</v>
      </c>
      <c r="BV41" s="57">
        <f t="shared" si="52"/>
        <v>0.4083343482150768</v>
      </c>
      <c r="BW41" s="57">
        <f t="shared" si="52"/>
        <v>0.38687856000590398</v>
      </c>
      <c r="BX41" s="57">
        <f t="shared" si="52"/>
        <v>0.17369945187422337</v>
      </c>
      <c r="BY41" s="57">
        <f t="shared" si="52"/>
        <v>0.38793836753401234</v>
      </c>
      <c r="BZ41" s="57">
        <f t="shared" si="52"/>
        <v>0.15000543960339566</v>
      </c>
      <c r="CA41" s="57">
        <f t="shared" si="52"/>
        <v>0.33010160108487269</v>
      </c>
      <c r="CB41" s="57">
        <f t="shared" si="52"/>
        <v>0.33027628598605896</v>
      </c>
      <c r="CC41" s="57">
        <f t="shared" si="52"/>
        <v>0.33031380695814827</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9993052085.6299973</v>
      </c>
      <c r="C42" s="28">
        <f t="shared" ref="C42:BN42" si="53">C38-C40</f>
        <v>7446594336.9900017</v>
      </c>
      <c r="D42" s="28">
        <f t="shared" si="53"/>
        <v>5204012693.9999981</v>
      </c>
      <c r="E42" s="28">
        <f t="shared" si="53"/>
        <v>10016161192.48</v>
      </c>
      <c r="F42" s="28">
        <f t="shared" si="53"/>
        <v>7264971278.4899998</v>
      </c>
      <c r="G42" s="28">
        <f t="shared" si="53"/>
        <v>5189809468.7599993</v>
      </c>
      <c r="H42" s="28">
        <f t="shared" si="53"/>
        <v>3739203432.9900007</v>
      </c>
      <c r="I42" s="28">
        <f t="shared" si="53"/>
        <v>7087109381.4899998</v>
      </c>
      <c r="J42" s="28">
        <f t="shared" si="53"/>
        <v>5296615569.499999</v>
      </c>
      <c r="K42" s="28">
        <f t="shared" si="53"/>
        <v>4026624588.9200001</v>
      </c>
      <c r="L42" s="28">
        <f t="shared" si="53"/>
        <v>3008278093.8000002</v>
      </c>
      <c r="M42" s="28">
        <f t="shared" si="53"/>
        <v>6411336837.3699989</v>
      </c>
      <c r="N42" s="28">
        <f t="shared" si="53"/>
        <v>4777110529.6499977</v>
      </c>
      <c r="O42" s="28">
        <f t="shared" si="53"/>
        <v>3421203676.3300004</v>
      </c>
      <c r="P42" s="28">
        <f t="shared" si="53"/>
        <v>2289923256.6800003</v>
      </c>
      <c r="Q42" s="28">
        <f t="shared" si="53"/>
        <v>6064689715.2200012</v>
      </c>
      <c r="R42" s="28">
        <f t="shared" si="53"/>
        <v>4894197804.0499992</v>
      </c>
      <c r="S42" s="28">
        <f t="shared" si="53"/>
        <v>4162447434.2000008</v>
      </c>
      <c r="T42" s="28">
        <f t="shared" si="53"/>
        <v>2735548585.6000013</v>
      </c>
      <c r="U42" s="28">
        <f t="shared" si="53"/>
        <v>8328073992.0100002</v>
      </c>
      <c r="V42" s="28">
        <f t="shared" si="53"/>
        <v>7410685949.079999</v>
      </c>
      <c r="W42" s="28">
        <f t="shared" si="53"/>
        <v>6039984671.7300005</v>
      </c>
      <c r="X42" s="28">
        <f t="shared" si="53"/>
        <v>3786290698.79</v>
      </c>
      <c r="Y42" s="28">
        <f t="shared" si="53"/>
        <v>10347985929.429996</v>
      </c>
      <c r="Z42" s="28">
        <f t="shared" si="53"/>
        <v>8113605924.1600018</v>
      </c>
      <c r="AA42" s="28">
        <f t="shared" si="53"/>
        <v>5241364125.3599997</v>
      </c>
      <c r="AB42" s="28">
        <f t="shared" si="53"/>
        <v>3166747159.3200006</v>
      </c>
      <c r="AC42" s="28">
        <f t="shared" si="53"/>
        <v>6402620079.5299978</v>
      </c>
      <c r="AD42" s="28">
        <f t="shared" si="53"/>
        <v>5001266488</v>
      </c>
      <c r="AE42" s="28">
        <f t="shared" si="53"/>
        <v>3490797304.9399996</v>
      </c>
      <c r="AF42" s="28">
        <f t="shared" si="53"/>
        <v>2161488984.3399992</v>
      </c>
      <c r="AG42" s="28">
        <f t="shared" si="53"/>
        <v>4564608064.1400003</v>
      </c>
      <c r="AH42" s="28">
        <f t="shared" si="53"/>
        <v>3532769841.4300013</v>
      </c>
      <c r="AI42" s="28">
        <f t="shared" si="53"/>
        <v>2343182863.0100002</v>
      </c>
      <c r="AJ42" s="28">
        <f t="shared" si="53"/>
        <v>1578085299.8699999</v>
      </c>
      <c r="AK42" s="28">
        <f t="shared" si="53"/>
        <v>3466668431.5100007</v>
      </c>
      <c r="AL42" s="28">
        <f t="shared" si="53"/>
        <v>2382708112.8800006</v>
      </c>
      <c r="AM42" s="28">
        <f t="shared" si="53"/>
        <v>1619900643.9000006</v>
      </c>
      <c r="AN42" s="28">
        <f t="shared" si="53"/>
        <v>1269280228.7100005</v>
      </c>
      <c r="AO42" s="28">
        <f t="shared" si="53"/>
        <v>1829699892.5500002</v>
      </c>
      <c r="AP42" s="28">
        <f t="shared" si="53"/>
        <v>1604086352.9399996</v>
      </c>
      <c r="AQ42" s="28">
        <f t="shared" si="53"/>
        <v>1308146766.3000007</v>
      </c>
      <c r="AR42" s="28">
        <f t="shared" si="53"/>
        <v>1015707693.3099997</v>
      </c>
      <c r="AS42" s="28">
        <f t="shared" si="53"/>
        <v>1472784098.4199996</v>
      </c>
      <c r="AT42" s="28">
        <f t="shared" si="53"/>
        <v>1326845730.0800004</v>
      </c>
      <c r="AU42" s="28">
        <f t="shared" si="53"/>
        <v>1145272727.9099996</v>
      </c>
      <c r="AV42" s="28">
        <f t="shared" si="53"/>
        <v>745206726.0400002</v>
      </c>
      <c r="AW42" s="28">
        <f t="shared" si="53"/>
        <v>1175937402.3600001</v>
      </c>
      <c r="AX42" s="28">
        <f t="shared" si="53"/>
        <v>1019791934.5599998</v>
      </c>
      <c r="AY42" s="28">
        <f t="shared" si="53"/>
        <v>820419318.73999929</v>
      </c>
      <c r="AZ42" s="28">
        <f t="shared" si="53"/>
        <v>547472669.54999995</v>
      </c>
      <c r="BA42" s="28">
        <f t="shared" si="53"/>
        <v>793314137.81999946</v>
      </c>
      <c r="BB42" s="28">
        <f t="shared" si="53"/>
        <v>769577545.73999929</v>
      </c>
      <c r="BC42" s="28">
        <f t="shared" si="53"/>
        <v>589740890.89999986</v>
      </c>
      <c r="BD42" s="28">
        <f t="shared" si="53"/>
        <v>415036710.75000012</v>
      </c>
      <c r="BE42" s="28">
        <f t="shared" si="53"/>
        <v>825901189.95999956</v>
      </c>
      <c r="BF42" s="28">
        <f t="shared" si="53"/>
        <v>676071110.36000025</v>
      </c>
      <c r="BG42" s="28">
        <f t="shared" si="53"/>
        <v>535898156.90999985</v>
      </c>
      <c r="BH42" s="28">
        <f t="shared" si="53"/>
        <v>382374120.25999993</v>
      </c>
      <c r="BI42" s="28">
        <f t="shared" si="53"/>
        <v>700088807.83999991</v>
      </c>
      <c r="BJ42" s="28">
        <f t="shared" si="53"/>
        <v>545195230.60000014</v>
      </c>
      <c r="BK42" s="28">
        <f t="shared" si="53"/>
        <v>388250797.3499999</v>
      </c>
      <c r="BL42" s="28">
        <f t="shared" si="53"/>
        <v>287901899.46999997</v>
      </c>
      <c r="BM42" s="28">
        <f t="shared" si="53"/>
        <v>615151754.73999977</v>
      </c>
      <c r="BN42" s="28">
        <f t="shared" si="53"/>
        <v>509493911.20000017</v>
      </c>
      <c r="BO42" s="28">
        <f t="shared" ref="BO42:CK42" si="54">BO38-BO40</f>
        <v>372262408.89000016</v>
      </c>
      <c r="BP42" s="28">
        <f t="shared" si="54"/>
        <v>252347506.53999984</v>
      </c>
      <c r="BQ42" s="28">
        <f t="shared" si="54"/>
        <v>814129864.86000001</v>
      </c>
      <c r="BR42" s="28">
        <f t="shared" si="54"/>
        <v>3550890000</v>
      </c>
      <c r="BS42" s="28">
        <f t="shared" si="54"/>
        <v>478555558.7899999</v>
      </c>
      <c r="BT42" s="28">
        <f t="shared" si="54"/>
        <v>280871784.07000005</v>
      </c>
      <c r="BU42" s="28">
        <f t="shared" si="54"/>
        <v>765213816.6700002</v>
      </c>
      <c r="BV42" s="28">
        <f t="shared" si="54"/>
        <v>427954215.42000002</v>
      </c>
      <c r="BW42" s="28">
        <f t="shared" si="54"/>
        <v>480871386.62000018</v>
      </c>
      <c r="BX42" s="28">
        <f t="shared" si="54"/>
        <v>317076251.63999999</v>
      </c>
      <c r="BY42" s="28">
        <f t="shared" si="54"/>
        <v>411122049.54000002</v>
      </c>
      <c r="BZ42" s="28">
        <f t="shared" si="54"/>
        <v>252908616.84000003</v>
      </c>
      <c r="CA42" s="28">
        <f t="shared" si="54"/>
        <v>341141588.83999997</v>
      </c>
      <c r="CB42" s="28">
        <f t="shared" si="54"/>
        <v>259614780.61999997</v>
      </c>
      <c r="CC42" s="28">
        <f t="shared" si="54"/>
        <v>216619884.98000002</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34.163944948364275</v>
      </c>
      <c r="C43" s="57">
        <f t="shared" ref="C43:D43" si="55">C42/C4*100</f>
        <v>34.762762426773527</v>
      </c>
      <c r="D43" s="57">
        <f t="shared" si="55"/>
        <v>37.445243854054183</v>
      </c>
      <c r="E43" s="57">
        <f>E42/E4</f>
        <v>0.33180620976218089</v>
      </c>
      <c r="F43" s="57">
        <f t="shared" ref="F43:BQ43" si="56">F42/F4</f>
        <v>0.33056259066436278</v>
      </c>
      <c r="G43" s="57">
        <f t="shared" si="56"/>
        <v>0.33223014250521465</v>
      </c>
      <c r="H43" s="57">
        <f t="shared" si="56"/>
        <v>0.36807503498415217</v>
      </c>
      <c r="I43" s="57">
        <f t="shared" si="56"/>
        <v>0.288753636387655</v>
      </c>
      <c r="J43" s="57">
        <f t="shared" si="56"/>
        <v>0.29924983913298653</v>
      </c>
      <c r="K43" s="57">
        <f t="shared" si="56"/>
        <v>0.30376692488739443</v>
      </c>
      <c r="L43" s="57">
        <f t="shared" si="56"/>
        <v>0.34085957804359091</v>
      </c>
      <c r="M43" s="57">
        <f t="shared" si="56"/>
        <v>0.29600866967169881</v>
      </c>
      <c r="N43" s="57">
        <f t="shared" si="56"/>
        <v>0.31570965302251486</v>
      </c>
      <c r="O43" s="57">
        <f t="shared" si="56"/>
        <v>0.30504479586870259</v>
      </c>
      <c r="P43" s="57">
        <f t="shared" si="56"/>
        <v>0.33998149064863264</v>
      </c>
      <c r="Q43" s="57">
        <f t="shared" si="56"/>
        <v>0.288636801665825</v>
      </c>
      <c r="R43" s="57">
        <f t="shared" si="56"/>
        <v>0.32480061382846592</v>
      </c>
      <c r="S43" s="57">
        <f t="shared" si="56"/>
        <v>0.35690767227343129</v>
      </c>
      <c r="T43" s="57">
        <f t="shared" si="56"/>
        <v>0.40708467093951822</v>
      </c>
      <c r="U43" s="57">
        <f t="shared" si="56"/>
        <v>0.33691543318735001</v>
      </c>
      <c r="V43" s="57">
        <f t="shared" si="56"/>
        <v>0.38666121693743311</v>
      </c>
      <c r="W43" s="57">
        <f t="shared" si="56"/>
        <v>0.38917733873597238</v>
      </c>
      <c r="X43" s="57">
        <f t="shared" si="56"/>
        <v>0.4364197836146812</v>
      </c>
      <c r="Y43" s="57">
        <f t="shared" si="56"/>
        <v>0.38042603023212884</v>
      </c>
      <c r="Z43" s="57">
        <f t="shared" si="56"/>
        <v>0.38404686991854081</v>
      </c>
      <c r="AA43" s="57">
        <f t="shared" si="56"/>
        <v>0.34827012146231828</v>
      </c>
      <c r="AB43" s="57">
        <f t="shared" si="56"/>
        <v>0.38475048662362499</v>
      </c>
      <c r="AC43" s="57">
        <f t="shared" si="56"/>
        <v>0.31461587470451191</v>
      </c>
      <c r="AD43" s="57">
        <f t="shared" si="56"/>
        <v>0.31959477025726357</v>
      </c>
      <c r="AE43" s="57">
        <f t="shared" si="56"/>
        <v>0.32948119393981978</v>
      </c>
      <c r="AF43" s="57">
        <f t="shared" si="56"/>
        <v>0.34613967920702365</v>
      </c>
      <c r="AG43" s="57">
        <f t="shared" si="56"/>
        <v>0.29370824281746988</v>
      </c>
      <c r="AH43" s="57">
        <f t="shared" si="56"/>
        <v>0.30795494209780577</v>
      </c>
      <c r="AI43" s="57">
        <f t="shared" si="56"/>
        <v>0.30926795572249555</v>
      </c>
      <c r="AJ43" s="57">
        <f t="shared" si="56"/>
        <v>0.35118307008167637</v>
      </c>
      <c r="AK43" s="57">
        <f t="shared" si="56"/>
        <v>0.31149247299546801</v>
      </c>
      <c r="AL43" s="57">
        <f t="shared" si="56"/>
        <v>0.29673761472663279</v>
      </c>
      <c r="AM43" s="57">
        <f t="shared" si="56"/>
        <v>0.30330163410632666</v>
      </c>
      <c r="AN43" s="57">
        <f t="shared" si="56"/>
        <v>0.38015482950515983</v>
      </c>
      <c r="AO43" s="57">
        <f t="shared" si="56"/>
        <v>0.2306421331252049</v>
      </c>
      <c r="AP43" s="57">
        <f t="shared" si="56"/>
        <v>0.2438310476485844</v>
      </c>
      <c r="AQ43" s="57">
        <f t="shared" si="56"/>
        <v>0.28454812967500914</v>
      </c>
      <c r="AR43" s="57">
        <f t="shared" si="56"/>
        <v>0.32911832269772834</v>
      </c>
      <c r="AS43" s="57">
        <f t="shared" si="56"/>
        <v>0.20096511921978288</v>
      </c>
      <c r="AT43" s="57">
        <f t="shared" si="56"/>
        <v>0.21956509533969376</v>
      </c>
      <c r="AU43" s="57">
        <f t="shared" si="56"/>
        <v>0.26371269786079987</v>
      </c>
      <c r="AV43" s="57">
        <f t="shared" si="56"/>
        <v>0.24758911055053812</v>
      </c>
      <c r="AW43" s="57">
        <f t="shared" si="56"/>
        <v>0.15920862264232075</v>
      </c>
      <c r="AX43" s="57">
        <f t="shared" si="56"/>
        <v>0.17123464748394612</v>
      </c>
      <c r="AY43" s="57">
        <f t="shared" si="56"/>
        <v>0.18658565128245067</v>
      </c>
      <c r="AZ43" s="57">
        <f t="shared" si="56"/>
        <v>0.20050664871087151</v>
      </c>
      <c r="BA43" s="57">
        <f t="shared" si="56"/>
        <v>0.12359321598592816</v>
      </c>
      <c r="BB43" s="57">
        <f t="shared" si="56"/>
        <v>0.15491404545208445</v>
      </c>
      <c r="BC43" s="57">
        <f t="shared" si="56"/>
        <v>0.15490907581979091</v>
      </c>
      <c r="BD43" s="57">
        <f t="shared" si="56"/>
        <v>0.16806831006028461</v>
      </c>
      <c r="BE43" s="57">
        <f t="shared" si="56"/>
        <v>0.13114573200379354</v>
      </c>
      <c r="BF43" s="57">
        <f t="shared" si="56"/>
        <v>0.14767562314527483</v>
      </c>
      <c r="BG43" s="57">
        <f t="shared" si="56"/>
        <v>0.15500479999636524</v>
      </c>
      <c r="BH43" s="57">
        <f t="shared" si="56"/>
        <v>0.15607467986815765</v>
      </c>
      <c r="BI43" s="57">
        <f t="shared" si="56"/>
        <v>0.110544574867405</v>
      </c>
      <c r="BJ43" s="57">
        <f t="shared" si="56"/>
        <v>0.11747393177208273</v>
      </c>
      <c r="BK43" s="57">
        <f t="shared" si="56"/>
        <v>0.11329785605699541</v>
      </c>
      <c r="BL43" s="57">
        <f t="shared" si="56"/>
        <v>0.12656931971611765</v>
      </c>
      <c r="BM43" s="57">
        <f t="shared" si="56"/>
        <v>0.10779810302430037</v>
      </c>
      <c r="BN43" s="57">
        <f t="shared" si="56"/>
        <v>0.11364192911003471</v>
      </c>
      <c r="BO43" s="57">
        <f t="shared" si="56"/>
        <v>0.10751573858414036</v>
      </c>
      <c r="BP43" s="57">
        <f t="shared" si="56"/>
        <v>0.1115000774281729</v>
      </c>
      <c r="BQ43" s="57">
        <f t="shared" si="56"/>
        <v>0.17168146280846541</v>
      </c>
      <c r="BR43" s="57">
        <f t="shared" ref="BR43:CK43" si="57">BR42/BR4</f>
        <v>0.95967146922659052</v>
      </c>
      <c r="BS43" s="57">
        <f t="shared" si="57"/>
        <v>0.16985149035091229</v>
      </c>
      <c r="BT43" s="57">
        <f t="shared" si="57"/>
        <v>0.14044293874821628</v>
      </c>
      <c r="BU43" s="57">
        <f t="shared" si="57"/>
        <v>0.19354665315374117</v>
      </c>
      <c r="BV43" s="57">
        <f t="shared" si="57"/>
        <v>0.16042159782331808</v>
      </c>
      <c r="BW43" s="57">
        <f t="shared" si="57"/>
        <v>0.14533144600101539</v>
      </c>
      <c r="BX43" s="57">
        <f t="shared" si="57"/>
        <v>0.16680381713195511</v>
      </c>
      <c r="BY43" s="57">
        <f t="shared" si="57"/>
        <v>0.14608082007734416</v>
      </c>
      <c r="BZ43" s="57">
        <f t="shared" si="57"/>
        <v>0.20894054690080691</v>
      </c>
      <c r="CA43" s="57">
        <f t="shared" si="57"/>
        <v>0.15475102884054848</v>
      </c>
      <c r="CB43" s="57">
        <f t="shared" si="57"/>
        <v>0.19822508741772776</v>
      </c>
      <c r="CC43" s="57">
        <f t="shared" si="57"/>
        <v>0.23681973825539174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4883540332.6311998</v>
      </c>
      <c r="C45" s="26">
        <f t="shared" ref="C45:BN45" si="58">C70*C69</f>
        <v>4683778924.0728006</v>
      </c>
      <c r="D45" s="26">
        <f t="shared" si="58"/>
        <v>4791063578.9800005</v>
      </c>
      <c r="E45" s="26">
        <f t="shared" si="58"/>
        <v>4373946051.9344006</v>
      </c>
      <c r="F45" s="26">
        <f t="shared" si="58"/>
        <v>4148266526.8512001</v>
      </c>
      <c r="G45" s="26">
        <f t="shared" si="58"/>
        <v>3982253310.3128004</v>
      </c>
      <c r="H45" s="26">
        <f t="shared" si="58"/>
        <v>4155605143.5752001</v>
      </c>
      <c r="I45" s="26">
        <f t="shared" si="58"/>
        <v>3856468736.776</v>
      </c>
      <c r="J45" s="26">
        <f t="shared" si="58"/>
        <v>3715656736.8271999</v>
      </c>
      <c r="K45" s="26">
        <f t="shared" si="58"/>
        <v>3626805157.1455998</v>
      </c>
      <c r="L45" s="26">
        <f t="shared" si="58"/>
        <v>3788279307.6159997</v>
      </c>
      <c r="M45" s="26">
        <f t="shared" si="58"/>
        <v>3547612877.0040002</v>
      </c>
      <c r="N45" s="26">
        <f t="shared" si="58"/>
        <v>3416942972.4744</v>
      </c>
      <c r="O45" s="26">
        <f t="shared" si="58"/>
        <v>3306870424.2088003</v>
      </c>
      <c r="P45" s="26">
        <f t="shared" si="58"/>
        <v>3410160296.2208004</v>
      </c>
      <c r="Q45" s="26">
        <f t="shared" si="58"/>
        <v>3226646435.6864004</v>
      </c>
      <c r="R45" s="26">
        <f t="shared" si="58"/>
        <v>3123045062.9640002</v>
      </c>
      <c r="S45" s="26">
        <f t="shared" si="58"/>
        <v>3054916509.3376002</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5109511752.9987974</v>
      </c>
      <c r="C47" s="28">
        <f t="shared" ref="C47:BN47" si="62">C42-C45</f>
        <v>2762815412.917201</v>
      </c>
      <c r="D47" s="28">
        <f t="shared" si="62"/>
        <v>412949115.0199976</v>
      </c>
      <c r="E47" s="28">
        <f t="shared" si="62"/>
        <v>5642215140.545599</v>
      </c>
      <c r="F47" s="28">
        <f t="shared" si="62"/>
        <v>3116704751.6387997</v>
      </c>
      <c r="G47" s="28">
        <f t="shared" si="62"/>
        <v>1207556158.4471989</v>
      </c>
      <c r="H47" s="28">
        <f t="shared" si="62"/>
        <v>-416401710.58519936</v>
      </c>
      <c r="I47" s="28">
        <f t="shared" si="62"/>
        <v>3230640644.7139997</v>
      </c>
      <c r="J47" s="28">
        <f t="shared" si="62"/>
        <v>1580958832.6727991</v>
      </c>
      <c r="K47" s="28">
        <f t="shared" si="62"/>
        <v>399819431.77440023</v>
      </c>
      <c r="L47" s="28">
        <f t="shared" si="62"/>
        <v>-780001213.81599951</v>
      </c>
      <c r="M47" s="28">
        <f t="shared" si="62"/>
        <v>2863723960.3659987</v>
      </c>
      <c r="N47" s="28">
        <f t="shared" si="62"/>
        <v>1360167557.1755977</v>
      </c>
      <c r="O47" s="28">
        <f t="shared" si="62"/>
        <v>114333252.12120008</v>
      </c>
      <c r="P47" s="28">
        <f t="shared" si="62"/>
        <v>-1120237039.5408001</v>
      </c>
      <c r="Q47" s="28">
        <f t="shared" si="62"/>
        <v>2838043279.5336008</v>
      </c>
      <c r="R47" s="28">
        <f t="shared" si="62"/>
        <v>1771152741.085999</v>
      </c>
      <c r="S47" s="28">
        <f t="shared" si="62"/>
        <v>1107530924.8624005</v>
      </c>
      <c r="T47" s="28">
        <f t="shared" si="62"/>
        <v>-444838065.4151988</v>
      </c>
      <c r="U47" s="28">
        <f t="shared" si="62"/>
        <v>5366531227.8428001</v>
      </c>
      <c r="V47" s="28">
        <f t="shared" si="62"/>
        <v>4535785537.8623981</v>
      </c>
      <c r="W47" s="28">
        <f t="shared" si="62"/>
        <v>3280620362.7004004</v>
      </c>
      <c r="X47" s="28">
        <f t="shared" si="62"/>
        <v>964280037.51559973</v>
      </c>
      <c r="Y47" s="28">
        <f t="shared" si="62"/>
        <v>7826300285.1659966</v>
      </c>
      <c r="Z47" s="28">
        <f t="shared" si="62"/>
        <v>5743890502.345602</v>
      </c>
      <c r="AA47" s="28">
        <f t="shared" si="62"/>
        <v>3101428047.4495993</v>
      </c>
      <c r="AB47" s="28">
        <f t="shared" si="62"/>
        <v>1040511328.7680004</v>
      </c>
      <c r="AC47" s="28">
        <f t="shared" si="62"/>
        <v>4526884980.2939978</v>
      </c>
      <c r="AD47" s="28">
        <f t="shared" si="62"/>
        <v>3222980246.9223995</v>
      </c>
      <c r="AE47" s="28">
        <f t="shared" si="62"/>
        <v>1833348598.5071995</v>
      </c>
      <c r="AF47" s="28">
        <f t="shared" si="62"/>
        <v>516278013.61519909</v>
      </c>
      <c r="AG47" s="28">
        <f t="shared" si="62"/>
        <v>3095319940.8224001</v>
      </c>
      <c r="AH47" s="28">
        <f t="shared" si="62"/>
        <v>2131246323.7668011</v>
      </c>
      <c r="AI47" s="28">
        <f t="shared" si="62"/>
        <v>1036029997.2324002</v>
      </c>
      <c r="AJ47" s="28">
        <f t="shared" si="62"/>
        <v>283069471.69079995</v>
      </c>
      <c r="AK47" s="28">
        <f t="shared" si="62"/>
        <v>2300231459.9428005</v>
      </c>
      <c r="AL47" s="28">
        <f t="shared" si="62"/>
        <v>1290000380.5920005</v>
      </c>
      <c r="AM47" s="28">
        <f t="shared" si="62"/>
        <v>589017509.13040054</v>
      </c>
      <c r="AN47" s="28">
        <f t="shared" si="62"/>
        <v>251262860.27560043</v>
      </c>
      <c r="AO47" s="28">
        <f t="shared" si="62"/>
        <v>913224942.41240025</v>
      </c>
      <c r="AP47" s="28">
        <f t="shared" si="62"/>
        <v>705660485.97119951</v>
      </c>
      <c r="AQ47" s="28">
        <f t="shared" si="62"/>
        <v>433396066.26240075</v>
      </c>
      <c r="AR47" s="28">
        <f t="shared" si="62"/>
        <v>164352119.11159968</v>
      </c>
      <c r="AS47" s="28">
        <f t="shared" si="62"/>
        <v>702685139.68639958</v>
      </c>
      <c r="AT47" s="28">
        <f t="shared" si="62"/>
        <v>567998677.88080037</v>
      </c>
      <c r="AU47" s="28">
        <f t="shared" si="62"/>
        <v>400951515.88439965</v>
      </c>
      <c r="AV47" s="28">
        <f t="shared" si="62"/>
        <v>21074774.938400149</v>
      </c>
      <c r="AW47" s="28">
        <f t="shared" si="62"/>
        <v>512323921.1888001</v>
      </c>
      <c r="AX47" s="28">
        <f t="shared" si="62"/>
        <v>368617119.92319977</v>
      </c>
      <c r="AY47" s="28">
        <f t="shared" si="62"/>
        <v>185319289.60799932</v>
      </c>
      <c r="AZ47" s="28">
        <f t="shared" si="62"/>
        <v>-87310091.130000114</v>
      </c>
      <c r="BA47" s="28">
        <f t="shared" si="62"/>
        <v>202436619.53679943</v>
      </c>
      <c r="BB47" s="28">
        <f t="shared" si="62"/>
        <v>180720253.61279929</v>
      </c>
      <c r="BC47" s="28">
        <f t="shared" si="62"/>
        <v>15386813.647999883</v>
      </c>
      <c r="BD47" s="28">
        <f t="shared" si="62"/>
        <v>-145240536.39959991</v>
      </c>
      <c r="BE47" s="28">
        <f t="shared" si="62"/>
        <v>298944237.81839949</v>
      </c>
      <c r="BF47" s="28">
        <f t="shared" si="62"/>
        <v>161357807.86560023</v>
      </c>
      <c r="BG47" s="28">
        <f t="shared" si="62"/>
        <v>32480967.577199876</v>
      </c>
      <c r="BH47" s="28">
        <f t="shared" si="62"/>
        <v>-130368824.52880007</v>
      </c>
      <c r="BI47" s="28">
        <f t="shared" si="62"/>
        <v>218017392.90719992</v>
      </c>
      <c r="BJ47" s="28">
        <f t="shared" si="62"/>
        <v>75562818.532800138</v>
      </c>
      <c r="BK47" s="28">
        <f t="shared" si="62"/>
        <v>-68689573.382000089</v>
      </c>
      <c r="BL47" s="28">
        <f t="shared" si="62"/>
        <v>-161027039.81560004</v>
      </c>
      <c r="BM47" s="28">
        <f t="shared" si="62"/>
        <v>189383758.28319979</v>
      </c>
      <c r="BN47" s="28">
        <f t="shared" si="62"/>
        <v>92350460.598400116</v>
      </c>
      <c r="BO47" s="28">
        <f t="shared" ref="BO47:CJ47" si="63">BO42-BO45</f>
        <v>-33766559.197199881</v>
      </c>
      <c r="BP47" s="28">
        <f t="shared" si="63"/>
        <v>-144050947.02480018</v>
      </c>
      <c r="BQ47" s="28">
        <f t="shared" si="63"/>
        <v>437950414.236</v>
      </c>
      <c r="BR47" s="28">
        <f t="shared" si="63"/>
        <v>3550890000</v>
      </c>
      <c r="BS47" s="28">
        <f t="shared" si="63"/>
        <v>127703093.05879986</v>
      </c>
      <c r="BT47" s="28">
        <f t="shared" si="63"/>
        <v>-58218071.24999994</v>
      </c>
      <c r="BU47" s="28">
        <f t="shared" si="63"/>
        <v>509916520.75400019</v>
      </c>
      <c r="BV47" s="28">
        <f t="shared" si="63"/>
        <v>199929242.06800002</v>
      </c>
      <c r="BW47" s="28">
        <f t="shared" si="63"/>
        <v>287231437.3040002</v>
      </c>
      <c r="BX47" s="28">
        <f t="shared" si="63"/>
        <v>149900375.42399997</v>
      </c>
      <c r="BY47" s="28">
        <f t="shared" si="63"/>
        <v>269922832.12639999</v>
      </c>
      <c r="BZ47" s="28">
        <f t="shared" si="63"/>
        <v>103739134.48320001</v>
      </c>
      <c r="CA47" s="28">
        <f t="shared" si="63"/>
        <v>309750806.56559998</v>
      </c>
      <c r="CB47" s="28">
        <f t="shared" si="63"/>
        <v>238418110.28319997</v>
      </c>
      <c r="CC47" s="28">
        <f t="shared" si="63"/>
        <v>198542486.58400002</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572</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x14ac:dyDescent="0.25">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x14ac:dyDescent="0.25">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x14ac:dyDescent="0.25">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9963464943.2600002</v>
      </c>
      <c r="C59" s="189">
        <v>7463891285.8900003</v>
      </c>
      <c r="D59" s="189">
        <v>5213969088.0699997</v>
      </c>
      <c r="E59" s="189">
        <v>10085969230.030001</v>
      </c>
      <c r="F59" s="189">
        <v>7264975166.4899998</v>
      </c>
      <c r="G59" s="189">
        <v>5189809959.7600002</v>
      </c>
      <c r="H59" s="189">
        <v>3739205084.9899998</v>
      </c>
      <c r="I59" s="189">
        <v>7056765568.8599997</v>
      </c>
      <c r="J59" s="189">
        <v>5296615569.5</v>
      </c>
      <c r="K59" s="189">
        <v>4026624588.9200001</v>
      </c>
      <c r="L59" s="189">
        <v>3008278093.8000002</v>
      </c>
      <c r="M59" s="189">
        <v>6410484336.2700005</v>
      </c>
      <c r="N59" s="189">
        <v>4777110529.6499996</v>
      </c>
      <c r="O59" s="189">
        <v>3421203676.3299999</v>
      </c>
      <c r="P59" s="189">
        <v>2289923256.6799998</v>
      </c>
      <c r="Q59" s="189">
        <v>6058214963.0699997</v>
      </c>
      <c r="R59" s="189">
        <v>4894197804.0500002</v>
      </c>
      <c r="S59" s="189">
        <v>4162447434.1999998</v>
      </c>
      <c r="T59" s="189">
        <v>2735548585.5999999</v>
      </c>
      <c r="U59" s="189">
        <v>8322215360.9499998</v>
      </c>
      <c r="V59" s="189">
        <v>7410685949.0799999</v>
      </c>
      <c r="W59" s="189">
        <v>6039984671.7299995</v>
      </c>
      <c r="X59" s="189">
        <v>3786290698.79</v>
      </c>
      <c r="Y59" s="189">
        <v>10335733704.780001</v>
      </c>
      <c r="Z59" s="189">
        <v>8113605924.1599998</v>
      </c>
      <c r="AA59" s="189">
        <v>5241364125.3599997</v>
      </c>
      <c r="AB59" s="189">
        <v>3166747159.3200002</v>
      </c>
      <c r="AC59" s="189">
        <v>6394377214.9799995</v>
      </c>
      <c r="AD59" s="189">
        <v>5001266488</v>
      </c>
      <c r="AE59" s="189">
        <v>3490797304.9400001</v>
      </c>
      <c r="AF59" s="189">
        <v>2161488984.3400002</v>
      </c>
      <c r="AG59" s="189">
        <v>4562056835.6000004</v>
      </c>
      <c r="AH59" s="189">
        <v>3532769841.4299998</v>
      </c>
      <c r="AI59" s="189">
        <v>2343182863.0100002</v>
      </c>
      <c r="AJ59" s="189">
        <v>1578085299.8699999</v>
      </c>
      <c r="AK59" s="189">
        <v>3466668431.5100002</v>
      </c>
      <c r="AL59" s="189">
        <v>2382708112.8800001</v>
      </c>
      <c r="AM59" s="189">
        <v>1619900643.9000001</v>
      </c>
      <c r="AN59" s="189">
        <v>1269280228.71</v>
      </c>
      <c r="AO59" s="189">
        <v>1829699892.55</v>
      </c>
      <c r="AP59" s="189">
        <v>1604086352.9400001</v>
      </c>
      <c r="AQ59" s="189">
        <v>1308146766.3</v>
      </c>
      <c r="AR59" s="189">
        <v>1015707693.3099999</v>
      </c>
      <c r="AS59" s="189">
        <v>1472784098.4200001</v>
      </c>
      <c r="AT59" s="189">
        <v>1326845730.0799999</v>
      </c>
      <c r="AU59" s="189">
        <v>1145272727.9100001</v>
      </c>
      <c r="AV59" s="189">
        <v>745206726.03999996</v>
      </c>
      <c r="AW59" s="189">
        <v>1179340016.0999999</v>
      </c>
      <c r="AX59" s="189">
        <v>1023357815.7</v>
      </c>
      <c r="AY59" s="189">
        <v>822921865.61000001</v>
      </c>
      <c r="AZ59" s="189">
        <v>548815529.96000004</v>
      </c>
      <c r="BA59" s="189">
        <v>799007076.76999998</v>
      </c>
      <c r="BB59" s="189">
        <v>773754249.82000005</v>
      </c>
      <c r="BC59" s="189">
        <v>592464063.88</v>
      </c>
      <c r="BD59" s="189">
        <v>416503687.60000002</v>
      </c>
      <c r="BE59" s="189">
        <v>829759695.11000001</v>
      </c>
      <c r="BF59" s="189">
        <v>679164074.51999998</v>
      </c>
      <c r="BG59" s="189">
        <v>537962660</v>
      </c>
      <c r="BH59" s="189">
        <v>383394123.19999999</v>
      </c>
      <c r="BI59" s="189">
        <v>703792730.94000006</v>
      </c>
      <c r="BJ59" s="189">
        <v>548305195.13</v>
      </c>
      <c r="BK59" s="189">
        <v>389654678.44</v>
      </c>
      <c r="BL59" s="189">
        <v>289511785.36000001</v>
      </c>
      <c r="BM59" s="189">
        <v>618984667.90999997</v>
      </c>
      <c r="BN59" s="189">
        <v>511693618.56</v>
      </c>
      <c r="BO59" s="189">
        <v>373562587.13</v>
      </c>
      <c r="BP59" s="189">
        <v>253237536.75999999</v>
      </c>
      <c r="BQ59" s="189">
        <v>816316516.73000002</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3226898087.0100002</v>
      </c>
      <c r="C60" s="189">
        <v>2391579054.3600001</v>
      </c>
      <c r="D60" s="189">
        <v>1689408345.8399999</v>
      </c>
      <c r="E60" s="189">
        <v>3305718978.8800001</v>
      </c>
      <c r="F60" s="189">
        <v>2429837036.3600001</v>
      </c>
      <c r="G60" s="189">
        <v>1806600454.54</v>
      </c>
      <c r="H60" s="189">
        <v>1214027296.1600001</v>
      </c>
      <c r="I60" s="189">
        <v>2280645088.0700002</v>
      </c>
      <c r="J60" s="189">
        <v>1730020354.03</v>
      </c>
      <c r="K60" s="189">
        <v>1296349816.03</v>
      </c>
      <c r="L60" s="189">
        <v>982264538.23000002</v>
      </c>
      <c r="M60" s="189">
        <v>1877009646.8800001</v>
      </c>
      <c r="N60" s="189">
        <v>1472777535.0599999</v>
      </c>
      <c r="O60" s="189">
        <v>1064662451.0599999</v>
      </c>
      <c r="P60" s="189">
        <v>720319520.78999996</v>
      </c>
      <c r="Q60" s="189">
        <v>1957701185.49</v>
      </c>
      <c r="R60" s="189">
        <v>1557893877.46</v>
      </c>
      <c r="S60" s="189">
        <v>1385095939.4100001</v>
      </c>
      <c r="T60" s="189">
        <v>932767728.71000004</v>
      </c>
      <c r="U60" s="189">
        <v>2924864055.6500001</v>
      </c>
      <c r="V60" s="189">
        <v>2433760593.79</v>
      </c>
      <c r="W60" s="189">
        <v>1978855837.8399999</v>
      </c>
      <c r="X60" s="189">
        <v>1234975036.8900001</v>
      </c>
      <c r="Y60" s="189">
        <v>3402932422.5</v>
      </c>
      <c r="Z60" s="189">
        <v>2601217500.98</v>
      </c>
      <c r="AA60" s="189">
        <v>1712386078.7</v>
      </c>
      <c r="AB60" s="189">
        <v>1032090586.53</v>
      </c>
      <c r="AC60" s="189">
        <v>2105576465.3599999</v>
      </c>
      <c r="AD60" s="189">
        <v>1616253918.8800001</v>
      </c>
      <c r="AE60" s="189">
        <v>1129689950.29</v>
      </c>
      <c r="AF60" s="189">
        <v>699022568.51999998</v>
      </c>
      <c r="AG60" s="189">
        <v>1508186094.9300001</v>
      </c>
      <c r="AH60" s="189">
        <v>1146174819.1099999</v>
      </c>
      <c r="AI60" s="189">
        <v>766274681.52999997</v>
      </c>
      <c r="AJ60" s="189">
        <v>508597717.20999998</v>
      </c>
      <c r="AK60" s="189">
        <v>1138920195.73</v>
      </c>
      <c r="AL60" s="189">
        <v>782953680.64999998</v>
      </c>
      <c r="AM60" s="189">
        <v>537924395.76999998</v>
      </c>
      <c r="AN60" s="189">
        <v>391157082.13999999</v>
      </c>
      <c r="AO60" s="189">
        <v>569455764.67999995</v>
      </c>
      <c r="AP60" s="189">
        <v>497986317.94</v>
      </c>
      <c r="AQ60" s="189">
        <v>403560717.60000002</v>
      </c>
      <c r="AR60" s="189">
        <v>335817684.24000001</v>
      </c>
      <c r="AS60" s="189">
        <v>705562448.80999994</v>
      </c>
      <c r="AT60" s="189">
        <v>648250833.24000001</v>
      </c>
      <c r="AU60" s="189">
        <v>561779303.77999997</v>
      </c>
      <c r="AV60" s="189">
        <v>374547042.32999998</v>
      </c>
      <c r="AW60" s="189">
        <v>606385627.26999998</v>
      </c>
      <c r="AX60" s="189">
        <v>526228001.63</v>
      </c>
      <c r="AY60" s="189">
        <v>420222252.99000001</v>
      </c>
      <c r="AZ60" s="189">
        <v>280943626.88999999</v>
      </c>
      <c r="BA60" s="189">
        <v>396902090.45999998</v>
      </c>
      <c r="BB60" s="189">
        <v>383849839.51999998</v>
      </c>
      <c r="BC60" s="189">
        <v>336122195.32999998</v>
      </c>
      <c r="BD60" s="189">
        <v>238518321.50999999</v>
      </c>
      <c r="BE60" s="189">
        <v>441401360.93000001</v>
      </c>
      <c r="BF60" s="189">
        <v>355010263.50999999</v>
      </c>
      <c r="BG60" s="189">
        <v>278320628.12</v>
      </c>
      <c r="BH60" s="189">
        <v>193355065.81999999</v>
      </c>
      <c r="BI60" s="189">
        <v>383447938.93000001</v>
      </c>
      <c r="BJ60" s="189">
        <v>311366323.06999999</v>
      </c>
      <c r="BK60" s="189">
        <v>250049516.34999999</v>
      </c>
      <c r="BL60" s="189">
        <v>207396289.06999999</v>
      </c>
      <c r="BM60" s="189">
        <v>250085682.47999999</v>
      </c>
      <c r="BN60" s="189">
        <v>190785252.78999999</v>
      </c>
      <c r="BO60" s="189">
        <v>126708958.8</v>
      </c>
      <c r="BP60" s="189">
        <v>121401855.98999999</v>
      </c>
      <c r="BQ60" s="189">
        <v>116775657.84999999</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13190363030.27</v>
      </c>
      <c r="C61" s="189">
        <v>9855470340.25</v>
      </c>
      <c r="D61" s="189">
        <v>6903377433.9099998</v>
      </c>
      <c r="E61" s="189">
        <v>13391688208.91</v>
      </c>
      <c r="F61" s="189">
        <v>9694812202.8500004</v>
      </c>
      <c r="G61" s="189">
        <v>6996410414.3000002</v>
      </c>
      <c r="H61" s="189">
        <v>4953232381.1499996</v>
      </c>
      <c r="I61" s="189">
        <v>9337410656.9300003</v>
      </c>
      <c r="J61" s="189">
        <v>7026635923.5299997</v>
      </c>
      <c r="K61" s="189">
        <v>5322974404.9499998</v>
      </c>
      <c r="L61" s="189">
        <v>3990542632.0300002</v>
      </c>
      <c r="M61" s="189">
        <v>8287493983.1499996</v>
      </c>
      <c r="N61" s="189">
        <v>6249888064.71</v>
      </c>
      <c r="O61" s="189">
        <v>4485866127.3900003</v>
      </c>
      <c r="P61" s="189">
        <v>3010242777.4699998</v>
      </c>
      <c r="Q61" s="189">
        <v>8015916148.5600004</v>
      </c>
      <c r="R61" s="189">
        <v>6452091681.5100002</v>
      </c>
      <c r="S61" s="189">
        <v>5547543373.6099997</v>
      </c>
      <c r="T61" s="189">
        <v>3668316314.3099999</v>
      </c>
      <c r="U61" s="189">
        <v>11247079416.6</v>
      </c>
      <c r="V61" s="189">
        <v>9844446542.8700008</v>
      </c>
      <c r="W61" s="189">
        <v>8018840509.5699997</v>
      </c>
      <c r="X61" s="189">
        <v>5021265735.6800003</v>
      </c>
      <c r="Y61" s="189">
        <v>13738666127.280001</v>
      </c>
      <c r="Z61" s="189">
        <v>10714823425.139999</v>
      </c>
      <c r="AA61" s="189">
        <v>6953750204.0600004</v>
      </c>
      <c r="AB61" s="189">
        <v>4198837745.8499999</v>
      </c>
      <c r="AC61" s="189">
        <v>8499953680.3400002</v>
      </c>
      <c r="AD61" s="189">
        <v>6617520406.8800001</v>
      </c>
      <c r="AE61" s="189">
        <v>4620487255.2299995</v>
      </c>
      <c r="AF61" s="189">
        <v>2860511552.8600001</v>
      </c>
      <c r="AG61" s="189">
        <v>6070242930.5299997</v>
      </c>
      <c r="AH61" s="189">
        <v>4678944660.54</v>
      </c>
      <c r="AI61" s="189">
        <v>3109457544.54</v>
      </c>
      <c r="AJ61" s="189">
        <v>2086683017.0799999</v>
      </c>
      <c r="AK61" s="189">
        <v>4605588627.2399998</v>
      </c>
      <c r="AL61" s="189">
        <v>3165661793.5300002</v>
      </c>
      <c r="AM61" s="189">
        <v>2157825039.6700001</v>
      </c>
      <c r="AN61" s="189">
        <v>1660437310.8499999</v>
      </c>
      <c r="AO61" s="189">
        <v>2399155657.23</v>
      </c>
      <c r="AP61" s="189">
        <v>2102072670.8800001</v>
      </c>
      <c r="AQ61" s="189">
        <v>1711707483.9000001</v>
      </c>
      <c r="AR61" s="189">
        <v>1351525377.55</v>
      </c>
      <c r="AS61" s="189">
        <v>2178346547.23</v>
      </c>
      <c r="AT61" s="189">
        <v>1975096563.3199999</v>
      </c>
      <c r="AU61" s="189">
        <v>1707052031.6900001</v>
      </c>
      <c r="AV61" s="189">
        <v>1119753768.3699999</v>
      </c>
      <c r="AW61" s="189">
        <v>1785725643.3699999</v>
      </c>
      <c r="AX61" s="189">
        <v>1549585817.3299999</v>
      </c>
      <c r="AY61" s="189">
        <v>1243144118.5999999</v>
      </c>
      <c r="AZ61" s="189">
        <v>829759156.85000002</v>
      </c>
      <c r="BA61" s="189">
        <v>1195909167.23</v>
      </c>
      <c r="BB61" s="189">
        <v>1157604089.3399999</v>
      </c>
      <c r="BC61" s="189">
        <v>928586259.21000004</v>
      </c>
      <c r="BD61" s="189">
        <v>655022009.11000001</v>
      </c>
      <c r="BE61" s="189">
        <v>1271161056.04</v>
      </c>
      <c r="BF61" s="189">
        <v>1034174338.03</v>
      </c>
      <c r="BG61" s="189">
        <v>816283288.12</v>
      </c>
      <c r="BH61" s="189">
        <v>576749189.01999998</v>
      </c>
      <c r="BI61" s="189">
        <v>1087240669.8699999</v>
      </c>
      <c r="BJ61" s="189">
        <v>859671518.20000005</v>
      </c>
      <c r="BK61" s="189">
        <v>639704194.78999996</v>
      </c>
      <c r="BL61" s="189">
        <v>496908074.43000001</v>
      </c>
      <c r="BM61" s="189">
        <v>869070350.38999999</v>
      </c>
      <c r="BN61" s="189">
        <v>702478871.35000002</v>
      </c>
      <c r="BO61" s="189">
        <v>500271545.93000001</v>
      </c>
      <c r="BP61" s="189">
        <v>374639392.75</v>
      </c>
      <c r="BQ61" s="189">
        <v>933092174.58000004</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50098836.630000003</v>
      </c>
      <c r="C65" s="189">
        <v>50098836.630000003</v>
      </c>
      <c r="D65" s="189">
        <v>0</v>
      </c>
      <c r="E65" s="189">
        <v>68210911.069999993</v>
      </c>
      <c r="F65" s="189">
        <v>22396528.84</v>
      </c>
      <c r="G65" s="189">
        <v>22396528.84</v>
      </c>
      <c r="H65" s="189">
        <v>0</v>
      </c>
      <c r="I65" s="189">
        <v>33428752.969999999</v>
      </c>
      <c r="J65" s="189">
        <v>10147483.09</v>
      </c>
      <c r="K65" s="189">
        <v>10147483.09</v>
      </c>
      <c r="L65" s="189">
        <v>0</v>
      </c>
      <c r="M65" s="189">
        <v>34144563.939999998</v>
      </c>
      <c r="N65" s="189">
        <v>11944354.91</v>
      </c>
      <c r="O65" s="189">
        <v>11944354.91</v>
      </c>
      <c r="P65" s="189">
        <v>0</v>
      </c>
      <c r="Q65" s="189">
        <v>14487542.039999999</v>
      </c>
      <c r="R65" s="189">
        <v>-5773861.4800000004</v>
      </c>
      <c r="S65" s="189">
        <v>-5764261.4800000004</v>
      </c>
      <c r="T65" s="189">
        <v>0</v>
      </c>
      <c r="U65" s="189">
        <v>4298863.95</v>
      </c>
      <c r="V65" s="189">
        <v>-2465402.86</v>
      </c>
      <c r="W65" s="189">
        <v>-2465402.86</v>
      </c>
      <c r="X65" s="189">
        <v>0</v>
      </c>
      <c r="Y65" s="189">
        <v>3007200.68</v>
      </c>
      <c r="Z65" s="189">
        <v>-917593.17</v>
      </c>
      <c r="AA65" s="189">
        <v>-984891.57</v>
      </c>
      <c r="AB65" s="189">
        <v>-9791.5400000000009</v>
      </c>
      <c r="AC65" s="189">
        <v>2400112.7400000002</v>
      </c>
      <c r="AD65" s="189">
        <v>-3804432.96</v>
      </c>
      <c r="AE65" s="189">
        <v>-3956459.4</v>
      </c>
      <c r="AF65" s="189">
        <v>9936.35</v>
      </c>
      <c r="AG65" s="189">
        <v>3377150.17</v>
      </c>
      <c r="AH65" s="189">
        <v>-3505725.42</v>
      </c>
      <c r="AI65" s="189">
        <v>-3858370.54</v>
      </c>
      <c r="AJ65" s="189">
        <v>126698.54</v>
      </c>
      <c r="AK65" s="189">
        <v>3117340.01</v>
      </c>
      <c r="AL65" s="189">
        <v>-2381433.1800000002</v>
      </c>
      <c r="AM65" s="189">
        <v>-2412569.77</v>
      </c>
      <c r="AN65" s="189">
        <v>0</v>
      </c>
      <c r="AO65" s="189">
        <v>1579121.31</v>
      </c>
      <c r="AP65" s="189">
        <v>-929569.49</v>
      </c>
      <c r="AQ65" s="189">
        <v>-929569.49</v>
      </c>
      <c r="AR65" s="189">
        <v>0</v>
      </c>
      <c r="AS65" s="189">
        <v>3199582.46</v>
      </c>
      <c r="AT65" s="189">
        <v>556604.28</v>
      </c>
      <c r="AU65" s="189">
        <v>47918.79</v>
      </c>
      <c r="AV65" s="189">
        <v>665864.48</v>
      </c>
      <c r="AW65" s="189">
        <v>5051692.58</v>
      </c>
      <c r="AX65" s="189">
        <v>2496157.7200000002</v>
      </c>
      <c r="AY65" s="189">
        <v>1832311.81</v>
      </c>
      <c r="AZ65" s="189">
        <v>100000</v>
      </c>
      <c r="BA65" s="189">
        <v>-3923017.4</v>
      </c>
      <c r="BB65" s="189">
        <v>-497364.9</v>
      </c>
      <c r="BC65" s="189">
        <v>-499893.8</v>
      </c>
      <c r="BD65" s="189">
        <v>0</v>
      </c>
      <c r="BE65" s="189">
        <v>-126753.75</v>
      </c>
      <c r="BF65" s="189">
        <v>344265.81</v>
      </c>
      <c r="BG65" s="189">
        <v>344265.81</v>
      </c>
      <c r="BH65" s="189">
        <v>1026367.48</v>
      </c>
      <c r="BI65" s="189">
        <v>-554425.18000000005</v>
      </c>
      <c r="BJ65" s="189">
        <v>287254.11</v>
      </c>
      <c r="BK65" s="189">
        <v>52424.27</v>
      </c>
      <c r="BL65" s="189">
        <v>265460.88</v>
      </c>
      <c r="BM65" s="189">
        <v>178932.4</v>
      </c>
      <c r="BN65" s="189">
        <v>1871129.6000000001</v>
      </c>
      <c r="BO65" s="189">
        <v>1511721.55</v>
      </c>
      <c r="BP65" s="189">
        <v>-174029.22</v>
      </c>
      <c r="BQ65" s="189">
        <v>12349967.949999999</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50098836.630000003</v>
      </c>
      <c r="C66" s="189">
        <v>50098836.630000003</v>
      </c>
      <c r="D66" s="189">
        <v>0</v>
      </c>
      <c r="E66" s="189">
        <v>68210911.069999993</v>
      </c>
      <c r="F66" s="189">
        <v>22396528.84</v>
      </c>
      <c r="G66" s="189">
        <v>22396528.84</v>
      </c>
      <c r="H66" s="189">
        <v>0</v>
      </c>
      <c r="I66" s="189">
        <v>33428752.969999999</v>
      </c>
      <c r="J66" s="189">
        <v>10147483.09</v>
      </c>
      <c r="K66" s="189">
        <v>10147483.09</v>
      </c>
      <c r="L66" s="189">
        <v>0</v>
      </c>
      <c r="M66" s="189">
        <v>34144563.939999998</v>
      </c>
      <c r="N66" s="189">
        <v>11944354.91</v>
      </c>
      <c r="O66" s="189">
        <v>11944354.91</v>
      </c>
      <c r="P66" s="189">
        <v>0</v>
      </c>
      <c r="Q66" s="189">
        <v>14487542.039999999</v>
      </c>
      <c r="R66" s="189">
        <v>-5764261.4800000004</v>
      </c>
      <c r="S66" s="189">
        <v>-5764261.4800000004</v>
      </c>
      <c r="T66" s="189">
        <v>0</v>
      </c>
      <c r="U66" s="189">
        <v>566442.73</v>
      </c>
      <c r="V66" s="189">
        <v>-6197824.0800000001</v>
      </c>
      <c r="W66" s="189">
        <v>-6197824.0800000001</v>
      </c>
      <c r="X66" s="189">
        <v>0</v>
      </c>
      <c r="Y66" s="189">
        <v>-396769.54</v>
      </c>
      <c r="Z66" s="189">
        <v>0</v>
      </c>
      <c r="AA66" s="189">
        <v>0</v>
      </c>
      <c r="AB66" s="189">
        <v>0</v>
      </c>
      <c r="AC66" s="189">
        <v>2110192.46</v>
      </c>
      <c r="AD66" s="189">
        <v>-4089468.16</v>
      </c>
      <c r="AE66" s="189">
        <v>-4089468.16</v>
      </c>
      <c r="AF66" s="189">
        <v>0</v>
      </c>
      <c r="AG66" s="189">
        <v>2545036.6</v>
      </c>
      <c r="AH66" s="189">
        <v>0</v>
      </c>
      <c r="AI66" s="189">
        <v>-4182065.41</v>
      </c>
      <c r="AJ66" s="189">
        <v>0</v>
      </c>
      <c r="AK66" s="189">
        <v>2508787.02</v>
      </c>
      <c r="AL66" s="189">
        <v>-2412569.77</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-9600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-794183981.63999999</v>
      </c>
      <c r="C68" s="189">
        <v>-526618366.85000002</v>
      </c>
      <c r="D68" s="189">
        <v>-264236441.21000001</v>
      </c>
      <c r="E68" s="189">
        <v>-890505901.86000001</v>
      </c>
      <c r="F68" s="189">
        <v>-639724334.27999997</v>
      </c>
      <c r="G68" s="189">
        <v>-427404960.64999998</v>
      </c>
      <c r="H68" s="189">
        <v>-216710540.40000001</v>
      </c>
      <c r="I68" s="189">
        <v>-765864110.91999996</v>
      </c>
      <c r="J68" s="189">
        <v>-559238520.83000004</v>
      </c>
      <c r="K68" s="189">
        <v>-341637035.05000001</v>
      </c>
      <c r="L68" s="189">
        <v>-179087361.55000001</v>
      </c>
      <c r="M68" s="189">
        <v>-732111447.74000001</v>
      </c>
      <c r="N68" s="189">
        <v>-555911422.89999998</v>
      </c>
      <c r="O68" s="189">
        <v>-357654118.22000003</v>
      </c>
      <c r="P68" s="189">
        <v>-173061007.16999999</v>
      </c>
      <c r="Q68" s="189">
        <v>-657775551.16999996</v>
      </c>
      <c r="R68" s="189">
        <v>-490454942.11000001</v>
      </c>
      <c r="S68" s="189">
        <v>-344899041.82999998</v>
      </c>
      <c r="T68" s="189">
        <v>-245115593.80000001</v>
      </c>
      <c r="U68" s="189">
        <v>-826879677.55999994</v>
      </c>
      <c r="V68" s="189">
        <v>-659404182.44000006</v>
      </c>
      <c r="W68" s="189">
        <v>-471944898.50999999</v>
      </c>
      <c r="X68" s="189">
        <v>-238664090.94</v>
      </c>
      <c r="Y68" s="189">
        <v>-789586016.60000002</v>
      </c>
      <c r="Z68" s="189">
        <v>-620329449.92999995</v>
      </c>
      <c r="AA68" s="189">
        <v>-400245467.81999999</v>
      </c>
      <c r="AB68" s="189">
        <v>-142309808.88</v>
      </c>
      <c r="AC68" s="189">
        <v>-476587420.81</v>
      </c>
      <c r="AD68" s="189">
        <v>-235104521.34</v>
      </c>
      <c r="AE68" s="189">
        <v>-187674784.06999999</v>
      </c>
      <c r="AF68" s="189">
        <v>-23414404.640000001</v>
      </c>
      <c r="AG68" s="189">
        <v>-192470846.37</v>
      </c>
      <c r="AH68" s="189">
        <v>-105230410.26000001</v>
      </c>
      <c r="AI68" s="189">
        <v>-77281557.629999995</v>
      </c>
      <c r="AJ68" s="189">
        <v>-11990167.300000001</v>
      </c>
      <c r="AK68" s="189">
        <v>-109732181.41</v>
      </c>
      <c r="AL68" s="189">
        <v>-66018480.219999999</v>
      </c>
      <c r="AM68" s="189">
        <v>-40647909.57</v>
      </c>
      <c r="AN68" s="189">
        <v>-10967664.689999999</v>
      </c>
      <c r="AO68" s="189">
        <v>-159954267.43000001</v>
      </c>
      <c r="AP68" s="189">
        <v>-87720223.980000004</v>
      </c>
      <c r="AQ68" s="189">
        <v>-74810065.359999999</v>
      </c>
      <c r="AR68" s="189">
        <v>-15614749.33</v>
      </c>
      <c r="AS68" s="189">
        <v>-92227613.010000005</v>
      </c>
      <c r="AT68" s="189">
        <v>-41018279.990000002</v>
      </c>
      <c r="AU68" s="189">
        <v>-36487207.520000003</v>
      </c>
      <c r="AV68" s="189">
        <v>-3376979.14</v>
      </c>
      <c r="AW68" s="189">
        <v>-50497352.530000001</v>
      </c>
      <c r="AX68" s="189">
        <v>-26367719.059999999</v>
      </c>
      <c r="AY68" s="189">
        <v>-24396518</v>
      </c>
      <c r="AZ68" s="189">
        <v>-2917708.8</v>
      </c>
      <c r="BA68" s="189">
        <v>-25225980.809999999</v>
      </c>
      <c r="BB68" s="189">
        <v>-7438048.8600000003</v>
      </c>
      <c r="BC68" s="189">
        <v>-5495968.9100000001</v>
      </c>
      <c r="BD68" s="189">
        <v>-6057952.7199999997</v>
      </c>
      <c r="BE68" s="189">
        <v>-26456599.109999999</v>
      </c>
      <c r="BF68" s="189">
        <v>-12780406.130000001</v>
      </c>
      <c r="BG68" s="189">
        <v>-11107770.039999999</v>
      </c>
      <c r="BH68" s="189">
        <v>-1735818.19</v>
      </c>
      <c r="BI68" s="189">
        <v>-28358707.260000002</v>
      </c>
      <c r="BJ68" s="189">
        <v>-19582453.850000001</v>
      </c>
      <c r="BK68" s="189">
        <v>-12127010.279999999</v>
      </c>
      <c r="BL68" s="189">
        <v>-2445731.69</v>
      </c>
      <c r="BM68" s="189">
        <v>-26693808.859999999</v>
      </c>
      <c r="BN68" s="189">
        <v>-21740886.899999999</v>
      </c>
      <c r="BO68" s="189">
        <v>-11645839.699999999</v>
      </c>
      <c r="BP68" s="189">
        <v>-7526726.1299999999</v>
      </c>
      <c r="BQ68" s="189">
        <v>-25420934.84</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61044254157.889999</v>
      </c>
      <c r="C70" s="189">
        <v>58547236550.910004</v>
      </c>
      <c r="D70" s="189">
        <v>59888294737.25</v>
      </c>
      <c r="E70" s="189">
        <v>54674325649.18</v>
      </c>
      <c r="F70" s="189">
        <v>51853331585.639999</v>
      </c>
      <c r="G70" s="189">
        <v>49778166378.910004</v>
      </c>
      <c r="H70" s="189">
        <v>51945064294.690002</v>
      </c>
      <c r="I70" s="189">
        <v>48205859209.699997</v>
      </c>
      <c r="J70" s="189">
        <v>46445709210.339996</v>
      </c>
      <c r="K70" s="189">
        <v>45335064464.32</v>
      </c>
      <c r="L70" s="189">
        <v>47353491345.199997</v>
      </c>
      <c r="M70" s="189">
        <v>44345160962.550003</v>
      </c>
      <c r="N70" s="189">
        <v>42711787155.93</v>
      </c>
      <c r="O70" s="189">
        <v>41335880302.610001</v>
      </c>
      <c r="P70" s="189">
        <v>42627003702.760002</v>
      </c>
      <c r="Q70" s="189">
        <v>40333080446.080002</v>
      </c>
      <c r="R70" s="189">
        <v>39038063287.050003</v>
      </c>
      <c r="S70" s="189">
        <v>38186456366.720001</v>
      </c>
      <c r="T70" s="189">
        <v>39754833137.690002</v>
      </c>
      <c r="U70" s="189">
        <v>37019284552.089996</v>
      </c>
      <c r="V70" s="189">
        <v>35936255140.220001</v>
      </c>
      <c r="W70" s="189">
        <v>34492053862.870003</v>
      </c>
      <c r="X70" s="189">
        <v>35275133265.93</v>
      </c>
      <c r="Y70" s="189">
        <v>31521070553.299999</v>
      </c>
      <c r="Z70" s="189">
        <v>29621442772.68</v>
      </c>
      <c r="AA70" s="189">
        <v>26749200973.880001</v>
      </c>
      <c r="AB70" s="189">
        <v>26577947881.900002</v>
      </c>
      <c r="AC70" s="189">
        <v>23446688740.450001</v>
      </c>
      <c r="AD70" s="189">
        <v>22228578013.470001</v>
      </c>
      <c r="AE70" s="189">
        <v>20718108830.41</v>
      </c>
      <c r="AF70" s="189">
        <v>20565137134.060001</v>
      </c>
      <c r="AG70" s="189">
        <v>18366101541.470001</v>
      </c>
      <c r="AH70" s="189">
        <v>17519043970.790001</v>
      </c>
      <c r="AI70" s="189">
        <v>16339410822.219999</v>
      </c>
      <c r="AJ70" s="189">
        <v>16187697852.24</v>
      </c>
      <c r="AK70" s="189">
        <v>14580462144.59</v>
      </c>
      <c r="AL70" s="189">
        <v>13658846653.6</v>
      </c>
      <c r="AM70" s="189">
        <v>12886039184.620001</v>
      </c>
      <c r="AN70" s="189">
        <v>12725217105.43</v>
      </c>
      <c r="AO70" s="189">
        <v>11455936876.719999</v>
      </c>
      <c r="AP70" s="189">
        <v>11230323337.110001</v>
      </c>
      <c r="AQ70" s="189">
        <v>10934383750.469999</v>
      </c>
      <c r="AR70" s="189">
        <v>10641944677.48</v>
      </c>
      <c r="AS70" s="189">
        <v>9626236984.1700001</v>
      </c>
      <c r="AT70" s="189">
        <v>9485588152.4899998</v>
      </c>
      <c r="AU70" s="189">
        <v>9304015150.3199997</v>
      </c>
      <c r="AV70" s="189">
        <v>9051649388.7700005</v>
      </c>
      <c r="AW70" s="189">
        <v>8295168514.6400003</v>
      </c>
      <c r="AX70" s="189">
        <v>8139685182.96</v>
      </c>
      <c r="AY70" s="189">
        <v>7938750364.1499996</v>
      </c>
      <c r="AZ70" s="189">
        <v>7934784508.5</v>
      </c>
      <c r="BA70" s="189">
        <v>7385968978.54</v>
      </c>
      <c r="BB70" s="189">
        <v>7360716151.5900002</v>
      </c>
      <c r="BC70" s="189">
        <v>7179425965.6499996</v>
      </c>
      <c r="BD70" s="189">
        <v>7003465589.3699999</v>
      </c>
      <c r="BE70" s="189">
        <v>6586961901.7700005</v>
      </c>
      <c r="BF70" s="189">
        <v>6433916281.1800003</v>
      </c>
      <c r="BG70" s="189">
        <v>6292714866.6599998</v>
      </c>
      <c r="BH70" s="189">
        <v>6409286809.8599997</v>
      </c>
      <c r="BI70" s="189">
        <v>6025892686.6599998</v>
      </c>
      <c r="BJ70" s="189">
        <v>5870405150.8400002</v>
      </c>
      <c r="BK70" s="189">
        <v>5711754634.1499996</v>
      </c>
      <c r="BL70" s="189">
        <v>5611611741.0699997</v>
      </c>
      <c r="BM70" s="189">
        <v>5322099955.71</v>
      </c>
      <c r="BN70" s="189">
        <v>5214293132.5200005</v>
      </c>
      <c r="BO70" s="189">
        <v>5075362101.0900002</v>
      </c>
      <c r="BP70" s="189">
        <v>4954980669.5600004</v>
      </c>
      <c r="BQ70" s="189">
        <v>4702243132.8000002</v>
      </c>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E48" sqref="E48"/>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0.33203125" bestFit="1" customWidth="1"/>
    <col min="38" max="38" width="21.5546875" hidden="1" customWidth="1"/>
    <col min="39"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18.109375" hidden="1" customWidth="1"/>
  </cols>
  <sheetData>
    <row r="1" spans="1:74" s="6" customFormat="1" x14ac:dyDescent="0.25">
      <c r="A1" s="104">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92">
        <v>5270982.83</v>
      </c>
      <c r="C3" s="192">
        <v>4590653.97</v>
      </c>
      <c r="D3" s="192">
        <v>97938.49</v>
      </c>
      <c r="E3" s="192">
        <v>15177613.02</v>
      </c>
      <c r="F3" s="192">
        <v>16278927.949999999</v>
      </c>
      <c r="G3" s="192">
        <v>7622099.8399999999</v>
      </c>
      <c r="H3" s="192">
        <v>1579366.99</v>
      </c>
      <c r="I3" s="192">
        <v>5353619.6100000003</v>
      </c>
      <c r="J3" s="192">
        <v>485842.2</v>
      </c>
      <c r="K3" s="192">
        <v>455569.2</v>
      </c>
      <c r="L3" s="192">
        <v>18700.8</v>
      </c>
      <c r="M3" s="192">
        <v>1044231.7</v>
      </c>
      <c r="N3" s="192">
        <v>660682.53</v>
      </c>
      <c r="O3" s="192">
        <v>659241.1</v>
      </c>
      <c r="P3" s="192">
        <v>464000.1</v>
      </c>
      <c r="Q3" s="192">
        <v>30475856.719999999</v>
      </c>
      <c r="R3" s="192">
        <v>25915139.010000002</v>
      </c>
      <c r="S3" s="192">
        <v>25841495.82</v>
      </c>
      <c r="T3" s="192">
        <v>23558470.84</v>
      </c>
      <c r="U3" s="192">
        <v>3782193.81</v>
      </c>
      <c r="V3" s="192">
        <v>3391378.97</v>
      </c>
      <c r="W3" s="192">
        <v>3252166.77</v>
      </c>
      <c r="X3" s="192">
        <v>261460.28</v>
      </c>
      <c r="Y3" s="192">
        <v>685226.29</v>
      </c>
      <c r="Z3" s="192">
        <v>185350.6</v>
      </c>
      <c r="AA3" s="192">
        <v>185350.6</v>
      </c>
      <c r="AB3" s="192">
        <v>28460.6</v>
      </c>
      <c r="AC3" s="192">
        <v>5239472.51</v>
      </c>
      <c r="AD3" s="192">
        <v>203195</v>
      </c>
      <c r="AE3" s="192">
        <v>200000</v>
      </c>
      <c r="AF3" s="192">
        <v>0</v>
      </c>
      <c r="AG3" s="192">
        <v>1556299.86</v>
      </c>
      <c r="AH3" s="192">
        <v>13391400.119999999</v>
      </c>
      <c r="AI3" s="192">
        <v>13290787.810000001</v>
      </c>
      <c r="AJ3" s="192">
        <v>510426.18</v>
      </c>
      <c r="AK3" s="192">
        <v>310042.07</v>
      </c>
      <c r="AL3" s="192">
        <v>167266.07</v>
      </c>
      <c r="AM3" s="192">
        <v>167266.07</v>
      </c>
      <c r="AN3" s="192">
        <v>1649.81</v>
      </c>
      <c r="AO3" s="192">
        <v>3361413.55</v>
      </c>
      <c r="AP3" s="192">
        <v>2432381.64</v>
      </c>
      <c r="AQ3" s="192">
        <v>710417.99</v>
      </c>
      <c r="AR3" s="192">
        <v>5100</v>
      </c>
      <c r="AS3" s="192">
        <v>1461877.56</v>
      </c>
      <c r="AT3" s="192">
        <v>915725.99</v>
      </c>
      <c r="AU3" s="192">
        <v>888021.74</v>
      </c>
      <c r="AV3" s="192">
        <v>464588.74</v>
      </c>
      <c r="AW3" s="192">
        <v>573336.46</v>
      </c>
      <c r="AX3" s="192">
        <v>488804.96</v>
      </c>
      <c r="AY3" s="192">
        <v>270000</v>
      </c>
      <c r="AZ3" s="192">
        <v>0</v>
      </c>
      <c r="BA3" s="192">
        <v>863329.02</v>
      </c>
      <c r="BB3" s="192">
        <v>813805.81</v>
      </c>
      <c r="BC3" s="192">
        <v>727743.76</v>
      </c>
      <c r="BD3" s="192">
        <v>17650.599999999999</v>
      </c>
      <c r="BE3" s="192">
        <v>8589013.4800000004</v>
      </c>
      <c r="BF3" s="192">
        <v>7499124.0300000003</v>
      </c>
      <c r="BG3" s="192">
        <v>7168613.4299999997</v>
      </c>
      <c r="BH3" s="192">
        <v>21398</v>
      </c>
      <c r="BI3" s="192">
        <v>6970503.7599999998</v>
      </c>
      <c r="BJ3" s="192">
        <v>0</v>
      </c>
      <c r="BK3" s="192">
        <v>211614.42</v>
      </c>
      <c r="BL3" s="192">
        <v>50000</v>
      </c>
      <c r="BM3" s="192">
        <v>27193335.649999999</v>
      </c>
      <c r="BN3" s="192">
        <v>40285.5</v>
      </c>
      <c r="BO3" s="192">
        <v>371490.58</v>
      </c>
      <c r="BP3" s="192">
        <v>0</v>
      </c>
      <c r="BQ3" s="192">
        <v>3580</v>
      </c>
      <c r="BR3" s="192">
        <v>1500</v>
      </c>
      <c r="BS3" s="192">
        <v>52101.23</v>
      </c>
      <c r="BT3" s="192">
        <v>1680</v>
      </c>
      <c r="BU3" s="192">
        <v>25980.76</v>
      </c>
      <c r="BV3" s="192">
        <v>0</v>
      </c>
    </row>
    <row r="4" spans="1:74" s="192" customFormat="1" x14ac:dyDescent="0.25">
      <c r="A4" s="192" t="s">
        <v>304</v>
      </c>
      <c r="B4" s="192">
        <v>266963573.63999999</v>
      </c>
      <c r="C4" s="192">
        <v>220511645.30000001</v>
      </c>
      <c r="D4" s="192">
        <v>148455263.44</v>
      </c>
      <c r="E4" s="192">
        <v>216058886.55000001</v>
      </c>
      <c r="F4" s="192">
        <v>126545615.28</v>
      </c>
      <c r="G4" s="192">
        <v>89131857.5</v>
      </c>
      <c r="H4" s="192">
        <v>66866188.82</v>
      </c>
      <c r="I4" s="192">
        <v>307337776.30000001</v>
      </c>
      <c r="J4" s="192">
        <v>206243187.97999999</v>
      </c>
      <c r="K4" s="192">
        <v>167783179.62</v>
      </c>
      <c r="L4" s="192">
        <v>98697173.260000005</v>
      </c>
      <c r="M4" s="192">
        <v>395218520.86000001</v>
      </c>
      <c r="N4" s="192">
        <v>325684472.19999999</v>
      </c>
      <c r="O4" s="192">
        <v>228478960.53999999</v>
      </c>
      <c r="P4" s="192">
        <v>102048998.65000001</v>
      </c>
      <c r="Q4" s="192">
        <v>411004620.01999998</v>
      </c>
      <c r="R4" s="192">
        <v>292777427.69</v>
      </c>
      <c r="S4" s="192">
        <v>202670140.46000001</v>
      </c>
      <c r="T4" s="192">
        <v>88471907.120000005</v>
      </c>
      <c r="U4" s="192">
        <v>341534397.35000002</v>
      </c>
      <c r="V4" s="192">
        <v>286139179.36000001</v>
      </c>
      <c r="W4" s="192">
        <v>215862695.83000001</v>
      </c>
      <c r="X4" s="192">
        <v>144070201.88999999</v>
      </c>
      <c r="Y4" s="192">
        <v>355506717.47000003</v>
      </c>
      <c r="Z4" s="192">
        <v>228521903.88999999</v>
      </c>
      <c r="AA4" s="192">
        <v>204363119.03999999</v>
      </c>
      <c r="AB4" s="192">
        <v>146432254.69999999</v>
      </c>
      <c r="AC4" s="192">
        <v>536106369.48000002</v>
      </c>
      <c r="AD4" s="192">
        <v>351106948.10000002</v>
      </c>
      <c r="AE4" s="192">
        <v>288668171.64999998</v>
      </c>
      <c r="AF4" s="192">
        <v>103106550.39</v>
      </c>
      <c r="AG4" s="192">
        <v>462908343.55000001</v>
      </c>
      <c r="AH4" s="192">
        <v>328702496.94999999</v>
      </c>
      <c r="AI4" s="192">
        <v>247966835.41</v>
      </c>
      <c r="AJ4" s="192">
        <v>135287234.63999999</v>
      </c>
      <c r="AK4" s="192">
        <v>985162241.49000001</v>
      </c>
      <c r="AL4" s="192">
        <v>193936548.19</v>
      </c>
      <c r="AM4" s="192">
        <v>169537553.47</v>
      </c>
      <c r="AN4" s="192">
        <v>105598391.20999999</v>
      </c>
      <c r="AO4" s="192">
        <v>109368261.26000001</v>
      </c>
      <c r="AP4" s="192">
        <v>82119739.920000002</v>
      </c>
      <c r="AQ4" s="192">
        <v>74523182.519999996</v>
      </c>
      <c r="AR4" s="192">
        <v>4086163.05</v>
      </c>
      <c r="AS4" s="192">
        <v>248805213.50999999</v>
      </c>
      <c r="AT4" s="192">
        <v>180806493.18000001</v>
      </c>
      <c r="AU4" s="192">
        <v>102706016.8</v>
      </c>
      <c r="AV4" s="192">
        <v>39566827.240000002</v>
      </c>
      <c r="AW4" s="192">
        <v>251397575.99000001</v>
      </c>
      <c r="AX4" s="192">
        <v>231787598.30000001</v>
      </c>
      <c r="AY4" s="192">
        <v>193913936.41999999</v>
      </c>
      <c r="AZ4" s="192">
        <v>732516.47</v>
      </c>
      <c r="BA4" s="192">
        <v>117069771.09999999</v>
      </c>
      <c r="BB4" s="192">
        <v>72571280.939999998</v>
      </c>
      <c r="BC4" s="192">
        <v>69853888.430000007</v>
      </c>
      <c r="BD4" s="192">
        <v>48611645.549999997</v>
      </c>
      <c r="BE4" s="192">
        <v>683013865.38</v>
      </c>
      <c r="BF4" s="192">
        <v>111516381.05</v>
      </c>
      <c r="BG4" s="192">
        <v>99482044.859999999</v>
      </c>
      <c r="BH4" s="192">
        <v>66469318.329999998</v>
      </c>
      <c r="BI4" s="192">
        <v>1370837016.3299999</v>
      </c>
      <c r="BJ4" s="192">
        <v>869403485.79999995</v>
      </c>
      <c r="BK4" s="192">
        <v>102523951.22</v>
      </c>
      <c r="BL4" s="192">
        <v>18067034.449999999</v>
      </c>
      <c r="BM4" s="192">
        <v>1276551302.9200001</v>
      </c>
      <c r="BN4" s="192">
        <v>227870170.09</v>
      </c>
      <c r="BO4" s="192">
        <v>1825260201.4100001</v>
      </c>
      <c r="BP4" s="192">
        <v>1033022955.65</v>
      </c>
      <c r="BQ4" s="192">
        <v>508204018.88</v>
      </c>
      <c r="BR4" s="192">
        <v>378968057.27999997</v>
      </c>
      <c r="BS4" s="192">
        <v>94153230.329999998</v>
      </c>
      <c r="BT4" s="192">
        <v>6757461.4400000004</v>
      </c>
      <c r="BU4" s="192">
        <v>585117171</v>
      </c>
      <c r="BV4" s="192">
        <v>0</v>
      </c>
    </row>
    <row r="5" spans="1:74" s="47" customFormat="1" x14ac:dyDescent="0.25">
      <c r="A5" s="47" t="s">
        <v>295</v>
      </c>
      <c r="E5" s="47">
        <f>E4-E3</f>
        <v>200881273.53</v>
      </c>
      <c r="F5" s="47">
        <f t="shared" ref="F5:AR5" si="0">F4-F3</f>
        <v>110266687.33</v>
      </c>
      <c r="G5" s="47">
        <f t="shared" si="0"/>
        <v>81509757.659999996</v>
      </c>
      <c r="H5" s="47">
        <f t="shared" si="0"/>
        <v>65286821.829999998</v>
      </c>
      <c r="I5" s="47">
        <f t="shared" si="0"/>
        <v>301984156.69</v>
      </c>
      <c r="J5" s="47">
        <f t="shared" si="0"/>
        <v>205757345.78</v>
      </c>
      <c r="K5" s="47">
        <f t="shared" si="0"/>
        <v>167327610.42000002</v>
      </c>
      <c r="L5" s="47">
        <f t="shared" si="0"/>
        <v>98678472.460000008</v>
      </c>
      <c r="M5" s="47">
        <f t="shared" si="0"/>
        <v>394174289.16000003</v>
      </c>
      <c r="N5" s="47">
        <f t="shared" si="0"/>
        <v>325023789.67000002</v>
      </c>
      <c r="O5" s="47">
        <f t="shared" si="0"/>
        <v>227819719.44</v>
      </c>
      <c r="P5" s="47">
        <f t="shared" si="0"/>
        <v>101584998.55000001</v>
      </c>
      <c r="Q5" s="47">
        <f t="shared" si="0"/>
        <v>380528763.29999995</v>
      </c>
      <c r="R5" s="47">
        <f t="shared" si="0"/>
        <v>266862288.68000001</v>
      </c>
      <c r="S5" s="47">
        <f t="shared" si="0"/>
        <v>176828644.64000002</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5" customFormat="1" x14ac:dyDescent="0.25">
      <c r="A6" s="105" t="s">
        <v>305</v>
      </c>
      <c r="B6" s="192">
        <v>0</v>
      </c>
      <c r="C6" s="192">
        <v>222746598.50999999</v>
      </c>
      <c r="D6" s="192">
        <v>0</v>
      </c>
      <c r="E6" s="192">
        <v>475443742.99000001</v>
      </c>
      <c r="F6" s="192">
        <v>0</v>
      </c>
      <c r="G6" s="192">
        <v>240397528.90000001</v>
      </c>
      <c r="H6" s="192">
        <v>0</v>
      </c>
      <c r="I6" s="192">
        <v>514034686.83999997</v>
      </c>
      <c r="J6" s="192">
        <v>0</v>
      </c>
      <c r="K6" s="192">
        <v>264496743</v>
      </c>
      <c r="L6" s="192">
        <v>0</v>
      </c>
      <c r="M6" s="192">
        <v>571384638.39999998</v>
      </c>
      <c r="N6" s="192">
        <v>0</v>
      </c>
      <c r="O6" s="192">
        <v>282385154.77999997</v>
      </c>
      <c r="P6" s="192">
        <v>0</v>
      </c>
      <c r="Q6" s="192">
        <v>615601722.92999995</v>
      </c>
      <c r="R6" s="192">
        <v>0</v>
      </c>
      <c r="S6" s="192">
        <v>281305161.80000001</v>
      </c>
      <c r="T6" s="192">
        <v>0</v>
      </c>
      <c r="U6" s="192">
        <v>640477322.51999998</v>
      </c>
      <c r="V6" s="192">
        <v>0</v>
      </c>
      <c r="W6" s="192">
        <v>313438532.41000003</v>
      </c>
      <c r="X6" s="192">
        <v>0</v>
      </c>
      <c r="Y6" s="192">
        <v>660996817.02999997</v>
      </c>
      <c r="Z6" s="192">
        <v>0</v>
      </c>
      <c r="AA6" s="192">
        <v>330900138.69999999</v>
      </c>
      <c r="AB6" s="192">
        <v>0</v>
      </c>
      <c r="AC6" s="192">
        <v>700477452.44000006</v>
      </c>
      <c r="AD6" s="192">
        <v>0</v>
      </c>
      <c r="AE6" s="192">
        <v>353569837.38999999</v>
      </c>
      <c r="AF6" s="192">
        <v>0</v>
      </c>
      <c r="AG6" s="192">
        <v>722805104.55999994</v>
      </c>
      <c r="AH6" s="192">
        <v>0</v>
      </c>
      <c r="AI6" s="192">
        <v>360067389.06999999</v>
      </c>
      <c r="AJ6" s="192">
        <v>0</v>
      </c>
      <c r="AK6" s="192">
        <v>646335570.79999995</v>
      </c>
      <c r="AL6" s="192">
        <v>0</v>
      </c>
      <c r="AM6" s="192">
        <v>352652082.83999997</v>
      </c>
      <c r="AN6" s="192">
        <v>0</v>
      </c>
      <c r="AO6" s="192">
        <v>434466978.80000001</v>
      </c>
      <c r="AP6" s="192">
        <v>0</v>
      </c>
      <c r="AQ6" s="192">
        <v>220055249.78</v>
      </c>
      <c r="AR6" s="192">
        <v>0</v>
      </c>
      <c r="AS6" s="192">
        <v>466252820.24000001</v>
      </c>
      <c r="AT6" s="192">
        <v>0</v>
      </c>
      <c r="AU6" s="192">
        <v>0</v>
      </c>
      <c r="AV6" s="192">
        <v>0</v>
      </c>
      <c r="AW6" s="192">
        <v>467047308.91000003</v>
      </c>
      <c r="AX6" s="192">
        <v>322210774.50999999</v>
      </c>
      <c r="AY6" s="192">
        <v>214415246.97</v>
      </c>
      <c r="AZ6" s="192">
        <v>106891762.23999999</v>
      </c>
      <c r="BA6" s="192">
        <v>478234075.06999999</v>
      </c>
      <c r="BB6" s="192">
        <v>357766299.13</v>
      </c>
      <c r="BC6" s="192">
        <v>237335309.81999999</v>
      </c>
      <c r="BD6" s="192">
        <v>118623693.14</v>
      </c>
      <c r="BE6" s="192">
        <v>404552322.94</v>
      </c>
      <c r="BF6" s="192">
        <v>305788725.56</v>
      </c>
      <c r="BG6" s="192">
        <v>208996928.00999999</v>
      </c>
      <c r="BH6" s="192">
        <v>112312929.75</v>
      </c>
      <c r="BI6" s="192">
        <v>275750634.47000003</v>
      </c>
      <c r="BJ6" s="192">
        <v>202256946.52000001</v>
      </c>
      <c r="BK6" s="192">
        <v>113461866.70999999</v>
      </c>
      <c r="BL6" s="192">
        <v>56664861.82</v>
      </c>
      <c r="BM6" s="192">
        <v>233663769.53999999</v>
      </c>
      <c r="BN6" s="192">
        <v>102939387.53</v>
      </c>
      <c r="BO6" s="192">
        <v>165653982.56</v>
      </c>
      <c r="BP6" s="192">
        <v>49234570.869999997</v>
      </c>
      <c r="BQ6" s="192">
        <v>130519869.31</v>
      </c>
      <c r="BR6" s="192">
        <v>62414344.259999998</v>
      </c>
      <c r="BS6" s="192">
        <v>56928281.189999998</v>
      </c>
      <c r="BT6" s="192">
        <v>29633190.559999999</v>
      </c>
      <c r="BU6" s="192">
        <v>42460875.850000001</v>
      </c>
      <c r="BV6" s="192">
        <v>0</v>
      </c>
    </row>
    <row r="7" spans="1:74" s="192" customFormat="1" x14ac:dyDescent="0.25">
      <c r="A7" s="192" t="s">
        <v>306</v>
      </c>
      <c r="B7" s="192">
        <v>0</v>
      </c>
      <c r="C7" s="192">
        <v>7081526.21</v>
      </c>
      <c r="D7" s="192">
        <v>0</v>
      </c>
      <c r="E7" s="192">
        <v>13655637.59</v>
      </c>
      <c r="F7" s="192">
        <v>0</v>
      </c>
      <c r="G7" s="192">
        <v>6652366.8200000003</v>
      </c>
      <c r="H7" s="192">
        <v>0</v>
      </c>
      <c r="I7" s="192">
        <v>13017183.08</v>
      </c>
      <c r="J7" s="192">
        <v>0</v>
      </c>
      <c r="K7" s="192">
        <v>6602244.1799999997</v>
      </c>
      <c r="L7" s="192">
        <v>0</v>
      </c>
      <c r="M7" s="192">
        <v>12716890.33</v>
      </c>
      <c r="N7" s="192">
        <v>0</v>
      </c>
      <c r="O7" s="192">
        <v>6286429.4500000002</v>
      </c>
      <c r="P7" s="192">
        <v>0</v>
      </c>
      <c r="Q7" s="192">
        <v>9758275.0800000001</v>
      </c>
      <c r="R7" s="192">
        <v>0</v>
      </c>
      <c r="S7" s="192">
        <v>4226872.9000000004</v>
      </c>
      <c r="T7" s="192">
        <v>0</v>
      </c>
      <c r="U7" s="192">
        <v>8486946.6699999999</v>
      </c>
      <c r="V7" s="192">
        <v>0</v>
      </c>
      <c r="W7" s="192">
        <v>4060746.45</v>
      </c>
      <c r="X7" s="192">
        <v>0</v>
      </c>
      <c r="Y7" s="192">
        <v>9029127.9100000001</v>
      </c>
      <c r="Z7" s="192">
        <v>0</v>
      </c>
      <c r="AA7" s="192">
        <v>4484684.68</v>
      </c>
      <c r="AB7" s="192">
        <v>0</v>
      </c>
      <c r="AC7" s="192">
        <v>8175665.5899999999</v>
      </c>
      <c r="AD7" s="192">
        <v>0</v>
      </c>
      <c r="AE7" s="192">
        <v>3786462.11</v>
      </c>
      <c r="AF7" s="192">
        <v>0</v>
      </c>
      <c r="AG7" s="192">
        <v>9197284.1500000004</v>
      </c>
      <c r="AH7" s="192">
        <v>0</v>
      </c>
      <c r="AI7" s="192">
        <v>4877963.95</v>
      </c>
      <c r="AJ7" s="192">
        <v>0</v>
      </c>
      <c r="AK7" s="192">
        <v>7271245.3099999996</v>
      </c>
      <c r="AL7" s="192">
        <v>0</v>
      </c>
      <c r="AM7" s="192">
        <v>4907043.74</v>
      </c>
      <c r="AN7" s="192">
        <v>0</v>
      </c>
      <c r="AO7" s="192">
        <v>1586144.88</v>
      </c>
      <c r="AP7" s="192">
        <v>0</v>
      </c>
      <c r="AQ7" s="192">
        <v>845090.25</v>
      </c>
      <c r="AR7" s="192">
        <v>0</v>
      </c>
      <c r="AS7" s="192">
        <v>1586144.88</v>
      </c>
      <c r="AT7" s="192">
        <v>0</v>
      </c>
      <c r="AU7" s="192">
        <v>0</v>
      </c>
      <c r="AV7" s="192">
        <v>0</v>
      </c>
      <c r="AW7" s="192">
        <v>3799631.08</v>
      </c>
      <c r="AX7" s="192">
        <v>3384594.86</v>
      </c>
      <c r="AY7" s="192">
        <v>1952934.44</v>
      </c>
      <c r="AZ7" s="192">
        <v>567536.22</v>
      </c>
      <c r="BA7" s="192">
        <v>1586144.88</v>
      </c>
      <c r="BB7" s="192">
        <v>1189608.6599999999</v>
      </c>
      <c r="BC7" s="192">
        <v>793072.44</v>
      </c>
      <c r="BD7" s="192">
        <v>396536.22</v>
      </c>
      <c r="BE7" s="192">
        <v>2026799.88</v>
      </c>
      <c r="BF7" s="192">
        <v>1513263.66</v>
      </c>
      <c r="BG7" s="192">
        <v>968842.44</v>
      </c>
      <c r="BH7" s="192">
        <v>572304.69999999995</v>
      </c>
      <c r="BI7" s="192">
        <v>2294148.85</v>
      </c>
      <c r="BJ7" s="192">
        <v>1897612.63</v>
      </c>
      <c r="BK7" s="192">
        <v>1501076.41</v>
      </c>
      <c r="BL7" s="192">
        <v>397126.17</v>
      </c>
      <c r="BM7" s="192">
        <v>3779059.29</v>
      </c>
      <c r="BN7" s="192">
        <v>943096.31999999995</v>
      </c>
      <c r="BO7" s="192">
        <v>1696119.74</v>
      </c>
      <c r="BP7" s="192">
        <v>808679.94</v>
      </c>
      <c r="BQ7" s="192">
        <v>2290393.21</v>
      </c>
      <c r="BR7" s="192">
        <v>677235.94</v>
      </c>
      <c r="BS7" s="192">
        <v>16746446.949999999</v>
      </c>
      <c r="BT7" s="192">
        <v>1394056.95</v>
      </c>
      <c r="BU7" s="192">
        <v>2442875.52</v>
      </c>
      <c r="BV7" s="192">
        <v>0</v>
      </c>
    </row>
    <row r="8" spans="1:74" s="192" customFormat="1" x14ac:dyDescent="0.25">
      <c r="A8" s="192" t="s">
        <v>307</v>
      </c>
      <c r="B8" s="192">
        <v>0</v>
      </c>
      <c r="C8" s="192">
        <v>34005626.619999997</v>
      </c>
      <c r="D8" s="192">
        <v>0</v>
      </c>
      <c r="E8" s="192">
        <v>61315287.07</v>
      </c>
      <c r="F8" s="192">
        <v>0</v>
      </c>
      <c r="G8" s="192">
        <v>28987908.420000002</v>
      </c>
      <c r="H8" s="192">
        <v>0</v>
      </c>
      <c r="I8" s="192">
        <v>46386919.689999998</v>
      </c>
      <c r="J8" s="192">
        <v>0</v>
      </c>
      <c r="K8" s="192">
        <v>22006603.620000001</v>
      </c>
      <c r="L8" s="192">
        <v>0</v>
      </c>
      <c r="M8" s="192">
        <v>34520032.619999997</v>
      </c>
      <c r="N8" s="192">
        <v>0</v>
      </c>
      <c r="O8" s="192">
        <v>15251087.630000001</v>
      </c>
      <c r="P8" s="192">
        <v>0</v>
      </c>
      <c r="Q8" s="192">
        <v>27253805.43</v>
      </c>
      <c r="R8" s="192">
        <v>0</v>
      </c>
      <c r="S8" s="192">
        <v>14380864.119999999</v>
      </c>
      <c r="T8" s="192">
        <v>0</v>
      </c>
      <c r="U8" s="192">
        <v>32579186.390000001</v>
      </c>
      <c r="V8" s="192">
        <v>0</v>
      </c>
      <c r="W8" s="192">
        <v>16946915.23</v>
      </c>
      <c r="X8" s="192">
        <v>0</v>
      </c>
      <c r="Y8" s="192">
        <v>36112959.259999998</v>
      </c>
      <c r="Z8" s="192">
        <v>0</v>
      </c>
      <c r="AA8" s="192">
        <v>20521731.27</v>
      </c>
      <c r="AB8" s="192">
        <v>0</v>
      </c>
      <c r="AC8" s="192">
        <v>48417441.210000001</v>
      </c>
      <c r="AD8" s="192">
        <v>0</v>
      </c>
      <c r="AE8" s="192">
        <v>33027836.780000001</v>
      </c>
      <c r="AF8" s="192">
        <v>0</v>
      </c>
      <c r="AG8" s="192">
        <v>38118543.149999999</v>
      </c>
      <c r="AH8" s="192">
        <v>0</v>
      </c>
      <c r="AI8" s="192">
        <v>19325171.309999999</v>
      </c>
      <c r="AJ8" s="192">
        <v>0</v>
      </c>
      <c r="AK8" s="192">
        <v>29472070.109999999</v>
      </c>
      <c r="AL8" s="192">
        <v>0</v>
      </c>
      <c r="AM8" s="192">
        <v>17523174.57</v>
      </c>
      <c r="AN8" s="192">
        <v>0</v>
      </c>
      <c r="AO8" s="192">
        <v>0</v>
      </c>
      <c r="AP8" s="192">
        <v>0</v>
      </c>
      <c r="AQ8" s="192">
        <v>-3272209.09</v>
      </c>
      <c r="AR8" s="192">
        <v>0</v>
      </c>
      <c r="AS8" s="192">
        <v>820470.57</v>
      </c>
      <c r="AT8" s="192">
        <v>0</v>
      </c>
      <c r="AU8" s="192">
        <v>0</v>
      </c>
      <c r="AV8" s="192">
        <v>0</v>
      </c>
      <c r="AW8" s="192">
        <v>0</v>
      </c>
      <c r="AX8" s="192">
        <v>0</v>
      </c>
      <c r="AY8" s="192">
        <v>0</v>
      </c>
      <c r="AZ8" s="192">
        <v>0</v>
      </c>
      <c r="BA8" s="192">
        <v>0</v>
      </c>
      <c r="BB8" s="192">
        <v>0</v>
      </c>
      <c r="BC8" s="192">
        <v>0</v>
      </c>
      <c r="BD8" s="192">
        <v>0</v>
      </c>
      <c r="BE8" s="192">
        <v>0</v>
      </c>
      <c r="BF8" s="192">
        <v>0</v>
      </c>
      <c r="BG8" s="192">
        <v>0</v>
      </c>
      <c r="BH8" s="192">
        <v>0</v>
      </c>
      <c r="BI8" s="192">
        <v>0</v>
      </c>
      <c r="BJ8" s="192">
        <v>0</v>
      </c>
      <c r="BK8" s="192">
        <v>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92">
        <v>0</v>
      </c>
      <c r="C9" s="192">
        <v>261019.6</v>
      </c>
      <c r="D9" s="192">
        <v>0</v>
      </c>
      <c r="E9" s="192">
        <v>-3657328.2</v>
      </c>
      <c r="F9" s="192">
        <v>0</v>
      </c>
      <c r="G9" s="192">
        <v>-3245153.05</v>
      </c>
      <c r="H9" s="192">
        <v>0</v>
      </c>
      <c r="I9" s="192">
        <v>6305863.9199999999</v>
      </c>
      <c r="J9" s="192">
        <v>0</v>
      </c>
      <c r="K9" s="192">
        <v>3446982.34</v>
      </c>
      <c r="L9" s="192">
        <v>0</v>
      </c>
      <c r="M9" s="192">
        <v>1838674.34</v>
      </c>
      <c r="N9" s="192">
        <v>0</v>
      </c>
      <c r="O9" s="192">
        <v>275015.77</v>
      </c>
      <c r="P9" s="192">
        <v>0</v>
      </c>
      <c r="Q9" s="192">
        <v>20295106.23</v>
      </c>
      <c r="R9" s="192">
        <v>0</v>
      </c>
      <c r="S9" s="192">
        <v>2914020.37</v>
      </c>
      <c r="T9" s="192">
        <v>0</v>
      </c>
      <c r="U9" s="192">
        <v>1912291.32</v>
      </c>
      <c r="V9" s="192">
        <v>0</v>
      </c>
      <c r="W9" s="192">
        <v>68747.679999999993</v>
      </c>
      <c r="X9" s="192">
        <v>0</v>
      </c>
      <c r="Y9" s="192">
        <v>1095331.6000000001</v>
      </c>
      <c r="Z9" s="192">
        <v>0</v>
      </c>
      <c r="AA9" s="192">
        <v>714503.17</v>
      </c>
      <c r="AB9" s="192">
        <v>0</v>
      </c>
      <c r="AC9" s="192">
        <v>6136174.5300000003</v>
      </c>
      <c r="AD9" s="192">
        <v>0</v>
      </c>
      <c r="AE9" s="192">
        <v>1553017.11</v>
      </c>
      <c r="AF9" s="192">
        <v>0</v>
      </c>
      <c r="AG9" s="192">
        <v>810820.36</v>
      </c>
      <c r="AH9" s="192">
        <v>0</v>
      </c>
      <c r="AI9" s="192">
        <v>-257394.23</v>
      </c>
      <c r="AJ9" s="192">
        <v>0</v>
      </c>
      <c r="AK9" s="192">
        <v>415296.61</v>
      </c>
      <c r="AL9" s="192">
        <v>0</v>
      </c>
      <c r="AM9" s="192">
        <v>249641.93</v>
      </c>
      <c r="AN9" s="192">
        <v>0</v>
      </c>
      <c r="AO9" s="192">
        <v>-633994.59</v>
      </c>
      <c r="AP9" s="192">
        <v>0</v>
      </c>
      <c r="AQ9" s="192">
        <v>-661025</v>
      </c>
      <c r="AR9" s="192">
        <v>0</v>
      </c>
      <c r="AS9" s="192">
        <v>-598305.26</v>
      </c>
      <c r="AT9" s="192">
        <v>0</v>
      </c>
      <c r="AU9" s="192">
        <v>0</v>
      </c>
      <c r="AV9" s="192">
        <v>0</v>
      </c>
      <c r="AW9" s="192">
        <v>269102.78999999998</v>
      </c>
      <c r="AX9" s="192">
        <v>146154.56</v>
      </c>
      <c r="AY9" s="192">
        <v>-125360.21</v>
      </c>
      <c r="AZ9" s="192">
        <v>0</v>
      </c>
      <c r="BA9" s="192">
        <v>-191319.73</v>
      </c>
      <c r="BB9" s="192">
        <v>-54708.43</v>
      </c>
      <c r="BC9" s="192">
        <v>-7534.17</v>
      </c>
      <c r="BD9" s="192">
        <v>-12970.6</v>
      </c>
      <c r="BE9" s="192">
        <v>2450780.61</v>
      </c>
      <c r="BF9" s="192">
        <v>461041.96</v>
      </c>
      <c r="BG9" s="192">
        <v>260575.46</v>
      </c>
      <c r="BH9" s="192">
        <v>-14558</v>
      </c>
      <c r="BI9" s="192">
        <v>3395525.08</v>
      </c>
      <c r="BJ9" s="192">
        <v>-15527.85</v>
      </c>
      <c r="BK9" s="192">
        <v>13728.15</v>
      </c>
      <c r="BL9" s="192">
        <v>-38776.370000000003</v>
      </c>
      <c r="BM9" s="192">
        <v>925739.38</v>
      </c>
      <c r="BN9" s="192">
        <v>510508.23</v>
      </c>
      <c r="BO9" s="192">
        <v>-49398.94</v>
      </c>
      <c r="BP9" s="192">
        <v>1595890.7</v>
      </c>
      <c r="BQ9" s="192">
        <v>-3580</v>
      </c>
      <c r="BR9" s="192">
        <v>-1500</v>
      </c>
      <c r="BS9" s="192">
        <v>169771.53</v>
      </c>
      <c r="BT9" s="192">
        <v>-1680</v>
      </c>
      <c r="BU9" s="192">
        <v>0</v>
      </c>
      <c r="BV9" s="192">
        <v>0</v>
      </c>
    </row>
    <row r="10" spans="1:74" s="192" customFormat="1" x14ac:dyDescent="0.25">
      <c r="A10" s="192" t="s">
        <v>309</v>
      </c>
      <c r="B10" s="192">
        <v>0</v>
      </c>
      <c r="C10" s="192">
        <v>-805207.89</v>
      </c>
      <c r="D10" s="192">
        <v>0</v>
      </c>
      <c r="E10" s="192">
        <v>0</v>
      </c>
      <c r="F10" s="192">
        <v>0</v>
      </c>
      <c r="G10" s="192">
        <v>0</v>
      </c>
      <c r="H10" s="192">
        <v>0</v>
      </c>
      <c r="I10" s="192">
        <v>0</v>
      </c>
      <c r="J10" s="192">
        <v>0</v>
      </c>
      <c r="K10" s="192">
        <v>0</v>
      </c>
      <c r="L10" s="192">
        <v>0</v>
      </c>
      <c r="M10" s="192">
        <v>0</v>
      </c>
      <c r="N10" s="192">
        <v>0</v>
      </c>
      <c r="O10" s="192">
        <v>0</v>
      </c>
      <c r="P10" s="192">
        <v>0</v>
      </c>
      <c r="Q10" s="192">
        <v>0</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2625775.1800000002</v>
      </c>
      <c r="AP10" s="192">
        <v>0</v>
      </c>
      <c r="AQ10" s="192">
        <v>0</v>
      </c>
      <c r="AR10" s="192">
        <v>0</v>
      </c>
      <c r="AS10" s="192">
        <v>577470.38</v>
      </c>
      <c r="AT10" s="192">
        <v>0</v>
      </c>
      <c r="AU10" s="192">
        <v>0</v>
      </c>
      <c r="AV10" s="192">
        <v>0</v>
      </c>
      <c r="AW10" s="192">
        <v>0</v>
      </c>
      <c r="AX10" s="192">
        <v>0</v>
      </c>
      <c r="AY10" s="192">
        <v>1108956.43</v>
      </c>
      <c r="AZ10" s="192">
        <v>0</v>
      </c>
      <c r="BA10" s="192">
        <v>0</v>
      </c>
      <c r="BB10" s="192">
        <v>0</v>
      </c>
      <c r="BC10" s="192">
        <v>0</v>
      </c>
      <c r="BD10" s="192">
        <v>0</v>
      </c>
      <c r="BE10" s="192">
        <v>10234174.27</v>
      </c>
      <c r="BF10" s="192">
        <v>6735200.1100000003</v>
      </c>
      <c r="BG10" s="192">
        <v>2122271.27</v>
      </c>
      <c r="BH10" s="192">
        <v>0</v>
      </c>
      <c r="BI10" s="192">
        <v>5443986.7300000004</v>
      </c>
      <c r="BJ10" s="192">
        <v>2732944.24</v>
      </c>
      <c r="BK10" s="192">
        <v>1676945.26</v>
      </c>
      <c r="BL10" s="192">
        <v>15909.78</v>
      </c>
      <c r="BM10" s="192">
        <v>4369433.5199999996</v>
      </c>
      <c r="BN10" s="192">
        <v>256577.04</v>
      </c>
      <c r="BO10" s="192">
        <v>2074884.19</v>
      </c>
      <c r="BP10" s="192">
        <v>0</v>
      </c>
      <c r="BQ10" s="192">
        <v>1025342.66</v>
      </c>
      <c r="BR10" s="192">
        <v>43944</v>
      </c>
      <c r="BS10" s="192">
        <v>0</v>
      </c>
      <c r="BT10" s="192">
        <v>7101</v>
      </c>
      <c r="BU10" s="192">
        <v>0</v>
      </c>
      <c r="BV10" s="192">
        <v>0</v>
      </c>
    </row>
    <row r="11" spans="1:74" s="47" customFormat="1" x14ac:dyDescent="0.25">
      <c r="A11" s="135" t="s">
        <v>296</v>
      </c>
      <c r="E11" s="47">
        <f>E5-E6-E7-E8-E9-E10</f>
        <v>-345876065.92000002</v>
      </c>
      <c r="F11" s="47">
        <f t="shared" ref="F11:BQ11" si="1">F5-F6-F7-F8-F9-F10</f>
        <v>110266687.33</v>
      </c>
      <c r="G11" s="47">
        <f t="shared" si="1"/>
        <v>-191282893.43000001</v>
      </c>
      <c r="H11" s="47">
        <f t="shared" si="1"/>
        <v>65286821.829999998</v>
      </c>
      <c r="I11" s="47">
        <f t="shared" si="1"/>
        <v>-277760496.83999997</v>
      </c>
      <c r="J11" s="47">
        <f t="shared" si="1"/>
        <v>205757345.78</v>
      </c>
      <c r="K11" s="47">
        <f t="shared" si="1"/>
        <v>-129224962.72</v>
      </c>
      <c r="L11" s="47">
        <f t="shared" si="1"/>
        <v>98678472.460000008</v>
      </c>
      <c r="M11" s="47">
        <f t="shared" si="1"/>
        <v>-226285946.52999997</v>
      </c>
      <c r="N11" s="47">
        <f t="shared" si="1"/>
        <v>325023789.67000002</v>
      </c>
      <c r="O11" s="47">
        <f t="shared" si="1"/>
        <v>-76377968.189999968</v>
      </c>
      <c r="P11" s="47">
        <f t="shared" si="1"/>
        <v>101584998.55000001</v>
      </c>
      <c r="Q11" s="47">
        <f t="shared" si="1"/>
        <v>-292380146.37</v>
      </c>
      <c r="R11" s="47">
        <f t="shared" si="1"/>
        <v>266862288.68000001</v>
      </c>
      <c r="S11" s="47">
        <f t="shared" si="1"/>
        <v>-125998274.55000001</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7667044890.6100006</v>
      </c>
      <c r="F12" s="26">
        <f t="shared" si="3"/>
        <v>7715000448.5500002</v>
      </c>
      <c r="G12" s="26">
        <f t="shared" si="3"/>
        <v>7797508134.4400005</v>
      </c>
      <c r="H12" s="26">
        <f t="shared" si="3"/>
        <v>7860467227.0500002</v>
      </c>
      <c r="I12" s="26">
        <f t="shared" si="3"/>
        <v>7946402094.79</v>
      </c>
      <c r="J12" s="26">
        <f t="shared" si="3"/>
        <v>7787066965.4900007</v>
      </c>
      <c r="K12" s="26">
        <f t="shared" si="3"/>
        <v>7863601179.8200006</v>
      </c>
      <c r="L12" s="26">
        <f t="shared" si="3"/>
        <v>7849831916.2600002</v>
      </c>
      <c r="M12" s="26">
        <f t="shared" si="3"/>
        <v>7905968097.9200001</v>
      </c>
      <c r="N12" s="26">
        <f t="shared" si="3"/>
        <v>7848396657.2400007</v>
      </c>
      <c r="O12" s="26">
        <f t="shared" si="3"/>
        <v>7654091040.0799999</v>
      </c>
      <c r="P12" s="26">
        <f t="shared" si="3"/>
        <v>7740932584.29</v>
      </c>
      <c r="Q12" s="26">
        <f t="shared" si="3"/>
        <v>7185660413.8000002</v>
      </c>
      <c r="R12" s="192">
        <f t="shared" ref="R12" si="4">V34</f>
        <v>7206369226.2600002</v>
      </c>
      <c r="S12" s="192">
        <f t="shared" ref="S12" si="5">W34</f>
        <v>7305520980.6000004</v>
      </c>
      <c r="T12" s="192">
        <f t="shared" ref="T12" si="6">X34</f>
        <v>7309510343.54</v>
      </c>
      <c r="U12" s="192">
        <f t="shared" ref="U12" si="7">Y34</f>
        <v>7323681060.21</v>
      </c>
      <c r="V12" s="192">
        <f t="shared" ref="V12" si="8">Z34</f>
        <v>7096907237.8900003</v>
      </c>
      <c r="W12" s="192">
        <f t="shared" ref="W12" si="9">AA34</f>
        <v>7178823552.6900005</v>
      </c>
      <c r="X12" s="192">
        <f t="shared" ref="X12" si="10">AB34</f>
        <v>7177450438.9000006</v>
      </c>
      <c r="Y12" s="192">
        <f t="shared" ref="Y12" si="11">AC34</f>
        <v>7191077877.1500006</v>
      </c>
      <c r="Z12" s="192">
        <f t="shared" ref="Z12" si="12">AD34</f>
        <v>7214379651.8800001</v>
      </c>
      <c r="AA12" s="192">
        <f t="shared" ref="AA12" si="13">AE34</f>
        <v>7202577572.4200001</v>
      </c>
      <c r="AB12" s="192">
        <f t="shared" ref="AB12" si="14">AF34</f>
        <v>7220461628.0700006</v>
      </c>
      <c r="AC12" s="192">
        <f t="shared" ref="AC12" si="15">AG34</f>
        <v>7302164048.0600004</v>
      </c>
      <c r="AD12" s="192">
        <f t="shared" ref="AD12" si="16">AH34</f>
        <v>7390458786.0300007</v>
      </c>
      <c r="AE12" s="192">
        <f t="shared" ref="AE12" si="17">AI34</f>
        <v>7429552899.6000004</v>
      </c>
      <c r="AF12" s="192">
        <f t="shared" ref="AF12" si="18">AJ34</f>
        <v>7515825873.4499998</v>
      </c>
      <c r="AG12" s="192">
        <f t="shared" ref="AG12" si="19">AK34</f>
        <v>7564552230.4400005</v>
      </c>
      <c r="AH12" s="192">
        <f t="shared" ref="AH12" si="20">AL34</f>
        <v>7607103266.1599998</v>
      </c>
      <c r="AI12" s="192">
        <f t="shared" ref="AI12" si="21">AM34</f>
        <v>7706877443.3000002</v>
      </c>
      <c r="AJ12" s="192">
        <f t="shared" ref="AJ12" si="22">AN34</f>
        <v>4750016360.8599997</v>
      </c>
      <c r="AK12" s="192">
        <f t="shared" ref="AK12" si="23">AO34</f>
        <v>4754868668.1300001</v>
      </c>
      <c r="AL12" s="192">
        <f t="shared" ref="AL12" si="24">AP34</f>
        <v>4841679198.5100002</v>
      </c>
      <c r="AM12" s="192">
        <f t="shared" ref="AM12" si="25">AQ34</f>
        <v>4945499008.7600002</v>
      </c>
      <c r="AN12" s="192">
        <f t="shared" ref="AN12" si="26">AR34</f>
        <v>4983590367.6400003</v>
      </c>
      <c r="AO12" s="192">
        <f t="shared" ref="AO12" si="27">AS34</f>
        <v>5087759145.3900003</v>
      </c>
      <c r="AP12" s="192">
        <f t="shared" ref="AP12" si="28">AT34</f>
        <v>5119825755.0799999</v>
      </c>
      <c r="AQ12" s="192">
        <f t="shared" ref="AQ12" si="29">AU34</f>
        <v>5166324238.8199997</v>
      </c>
      <c r="AR12" s="192">
        <f t="shared" ref="AR12" si="30">AV34</f>
        <v>5229742144.5900002</v>
      </c>
      <c r="AS12" s="192">
        <f t="shared" ref="AS12" si="31">AW34</f>
        <v>5303368604.3599997</v>
      </c>
      <c r="AT12" s="192">
        <f t="shared" ref="AT12" si="32">AX34</f>
        <v>5412891640.3100004</v>
      </c>
      <c r="AU12" s="192">
        <f t="shared" ref="AU12" si="33">AY34</f>
        <v>5477269087.8599997</v>
      </c>
      <c r="AV12" s="192">
        <f t="shared" ref="AV12" si="34">AZ34</f>
        <v>5394582476.9899998</v>
      </c>
      <c r="AW12" s="192">
        <f t="shared" ref="AW12" si="35">BA34</f>
        <v>5501322858.9799995</v>
      </c>
      <c r="AX12" s="192">
        <f t="shared" ref="AX12" si="36">BB34</f>
        <v>5577867470.3299999</v>
      </c>
      <c r="AY12" s="192">
        <f t="shared" ref="AY12" si="37">BC34</f>
        <v>5696283898.6499996</v>
      </c>
      <c r="AZ12" s="192">
        <f t="shared" ref="AZ12" si="38">BD34</f>
        <v>5779603253.5100002</v>
      </c>
      <c r="BA12" s="192">
        <f t="shared" ref="BA12" si="39">BE34</f>
        <v>5840992847.29</v>
      </c>
      <c r="BB12" s="192">
        <f t="shared" ref="BB12" si="40">BF34</f>
        <v>5434316703.3800001</v>
      </c>
      <c r="BC12" s="192">
        <f t="shared" ref="BC12" si="41">BG34</f>
        <v>5519652065.3800001</v>
      </c>
      <c r="BD12" s="192">
        <f t="shared" ref="BD12" si="42">BH34</f>
        <v>5587811046.9799995</v>
      </c>
      <c r="BE12" s="192">
        <f t="shared" ref="BE12" si="43">BI34</f>
        <v>5587556850.7200003</v>
      </c>
      <c r="BF12" s="192">
        <f t="shared" ref="BF12" si="44">BJ34</f>
        <v>5175235607.8500004</v>
      </c>
      <c r="BG12" s="192">
        <f t="shared" ref="BG12" si="45">BK34</f>
        <v>4543535291.6599998</v>
      </c>
      <c r="BH12" s="192">
        <f t="shared" ref="BH12" si="46">BL34</f>
        <v>4478639735.0500002</v>
      </c>
      <c r="BI12" s="192">
        <f t="shared" ref="BI12" si="47">BM34</f>
        <v>4520776529.7700005</v>
      </c>
      <c r="BJ12" s="192">
        <f t="shared" ref="BJ12" si="48">BN34</f>
        <v>3620875395.5999999</v>
      </c>
      <c r="BK12" s="192">
        <f t="shared" ref="BK12" si="49">BO34</f>
        <v>3684993020.0500002</v>
      </c>
      <c r="BL12" s="192">
        <f t="shared" ref="BL12" si="50">BP34</f>
        <v>3523637936.8200002</v>
      </c>
      <c r="BM12" s="192">
        <f t="shared" ref="BM12" si="51">BQ34</f>
        <v>4841679198.5100002</v>
      </c>
      <c r="BN12" s="192">
        <f t="shared" ref="BN12" si="52">BR34</f>
        <v>4945499008.7600002</v>
      </c>
    </row>
    <row r="13" spans="1:74" s="219" customFormat="1" x14ac:dyDescent="0.25">
      <c r="A13" s="219" t="s">
        <v>351</v>
      </c>
      <c r="E13" s="219">
        <f>E11/E12</f>
        <v>-4.5112043930198201E-2</v>
      </c>
      <c r="F13" s="219">
        <f t="shared" ref="F13:AR13" si="53">F11/F12</f>
        <v>1.4292505627880311E-2</v>
      </c>
      <c r="G13" s="219">
        <f t="shared" si="53"/>
        <v>-2.4531284883839048E-2</v>
      </c>
      <c r="H13" s="219">
        <f t="shared" si="53"/>
        <v>8.3057177066180408E-3</v>
      </c>
      <c r="I13" s="219">
        <f t="shared" si="53"/>
        <v>-3.4954246403175543E-2</v>
      </c>
      <c r="J13" s="219">
        <f t="shared" si="53"/>
        <v>2.6422958309188335E-2</v>
      </c>
      <c r="K13" s="219">
        <f t="shared" si="53"/>
        <v>-1.6433305780006253E-2</v>
      </c>
      <c r="L13" s="219">
        <f t="shared" si="53"/>
        <v>1.257077521056205E-2</v>
      </c>
      <c r="M13" s="219">
        <f t="shared" si="53"/>
        <v>-2.8622167927737283E-2</v>
      </c>
      <c r="N13" s="219">
        <f t="shared" si="53"/>
        <v>4.1412762869237958E-2</v>
      </c>
      <c r="O13" s="219">
        <f t="shared" si="53"/>
        <v>-9.9787117490572307E-3</v>
      </c>
      <c r="P13" s="219">
        <f t="shared" si="53"/>
        <v>1.3123095627542842E-2</v>
      </c>
      <c r="Q13" s="219">
        <f t="shared" si="53"/>
        <v>-4.0689391027787285E-2</v>
      </c>
      <c r="R13" s="219">
        <f t="shared" si="53"/>
        <v>3.7031448195514904E-2</v>
      </c>
      <c r="S13" s="219">
        <f t="shared" si="53"/>
        <v>-1.724699373043917E-2</v>
      </c>
      <c r="T13" s="219">
        <f t="shared" si="53"/>
        <v>8.8806819101595776E-3</v>
      </c>
      <c r="U13" s="219">
        <f t="shared" si="53"/>
        <v>-4.7203522452421924E-2</v>
      </c>
      <c r="V13" s="219">
        <f t="shared" si="53"/>
        <v>3.9840988604222541E-2</v>
      </c>
      <c r="W13" s="219">
        <f t="shared" si="53"/>
        <v>-1.6981112826532814E-2</v>
      </c>
      <c r="X13" s="219">
        <f t="shared" si="53"/>
        <v>2.003618733897378E-2</v>
      </c>
      <c r="Y13" s="219">
        <f t="shared" si="53"/>
        <v>-4.9006943137107253E-2</v>
      </c>
      <c r="Z13" s="219">
        <f t="shared" si="53"/>
        <v>3.1650199228217442E-2</v>
      </c>
      <c r="AA13" s="219">
        <f t="shared" si="53"/>
        <v>-2.1165102055093931E-2</v>
      </c>
      <c r="AB13" s="219">
        <f t="shared" si="53"/>
        <v>2.0276237398845248E-2</v>
      </c>
      <c r="AC13" s="219">
        <f t="shared" si="53"/>
        <v>-3.1817942636022653E-2</v>
      </c>
      <c r="AD13" s="219">
        <f t="shared" si="53"/>
        <v>4.748064541856381E-2</v>
      </c>
      <c r="AE13" s="219">
        <f t="shared" si="53"/>
        <v>-1.3926676764838794E-2</v>
      </c>
      <c r="AF13" s="219">
        <f t="shared" si="53"/>
        <v>1.3718592224738552E-2</v>
      </c>
      <c r="AG13" s="219">
        <f t="shared" si="53"/>
        <v>-4.0925054001774389E-2</v>
      </c>
      <c r="AH13" s="219">
        <f t="shared" si="53"/>
        <v>4.144956178426723E-2</v>
      </c>
      <c r="AI13" s="219">
        <f t="shared" si="53"/>
        <v>-1.9377119150873055E-2</v>
      </c>
      <c r="AJ13" s="219">
        <f t="shared" si="53"/>
        <v>2.8373967207893654E-2</v>
      </c>
      <c r="AK13" s="219">
        <f t="shared" si="53"/>
        <v>6.3378830757173862E-2</v>
      </c>
      <c r="AL13" s="219">
        <f t="shared" si="53"/>
        <v>4.0021090653761492E-2</v>
      </c>
      <c r="AM13" s="219">
        <f t="shared" si="53"/>
        <v>-4.1646283886657046E-2</v>
      </c>
      <c r="AN13" s="219">
        <f t="shared" si="53"/>
        <v>2.1188888654587748E-2</v>
      </c>
      <c r="AO13" s="219">
        <f t="shared" si="53"/>
        <v>-6.5262141361557668E-2</v>
      </c>
      <c r="AP13" s="219">
        <f t="shared" si="53"/>
        <v>1.5564466857281717E-2</v>
      </c>
      <c r="AQ13" s="219">
        <f t="shared" si="53"/>
        <v>-2.7709128345900485E-2</v>
      </c>
      <c r="AR13" s="219">
        <f t="shared" si="53"/>
        <v>7.8035645681340682E-4</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-4911283.58</v>
      </c>
      <c r="J16" s="189">
        <v>0</v>
      </c>
      <c r="K16" s="189">
        <v>0</v>
      </c>
      <c r="L16" s="189">
        <v>0</v>
      </c>
      <c r="M16" s="189">
        <v>0</v>
      </c>
      <c r="N16" s="189">
        <v>0</v>
      </c>
      <c r="O16" s="189">
        <v>0</v>
      </c>
      <c r="P16" s="189">
        <v>0</v>
      </c>
      <c r="Q16" s="189">
        <v>72009699.129999995</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3269464666.25</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-4911283.58</v>
      </c>
      <c r="J17" s="47">
        <f t="shared" si="54"/>
        <v>0</v>
      </c>
      <c r="K17" s="47">
        <f t="shared" si="54"/>
        <v>0</v>
      </c>
      <c r="L17" s="47">
        <f t="shared" si="54"/>
        <v>0</v>
      </c>
      <c r="M17" s="47">
        <f t="shared" si="54"/>
        <v>0</v>
      </c>
      <c r="N17" s="47">
        <f t="shared" si="54"/>
        <v>0</v>
      </c>
      <c r="O17" s="47">
        <f t="shared" si="54"/>
        <v>0</v>
      </c>
      <c r="P17" s="47">
        <f t="shared" si="54"/>
        <v>0</v>
      </c>
      <c r="Q17" s="47">
        <f t="shared" si="54"/>
        <v>72009699.129999995</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200881273.53</v>
      </c>
      <c r="F19" s="192">
        <f t="shared" ref="F19:AS19" si="55">F5+F17</f>
        <v>110266687.33</v>
      </c>
      <c r="G19" s="192">
        <f t="shared" si="55"/>
        <v>81509757.659999996</v>
      </c>
      <c r="H19" s="192">
        <f t="shared" si="55"/>
        <v>65286821.829999998</v>
      </c>
      <c r="I19" s="192">
        <f t="shared" si="55"/>
        <v>297072873.11000001</v>
      </c>
      <c r="J19" s="192">
        <f t="shared" si="55"/>
        <v>205757345.78</v>
      </c>
      <c r="K19" s="192">
        <f t="shared" si="55"/>
        <v>167327610.42000002</v>
      </c>
      <c r="L19" s="192">
        <f t="shared" si="55"/>
        <v>98678472.460000008</v>
      </c>
      <c r="M19" s="192">
        <f t="shared" si="55"/>
        <v>394174289.16000003</v>
      </c>
      <c r="N19" s="192">
        <f t="shared" si="55"/>
        <v>325023789.67000002</v>
      </c>
      <c r="O19" s="192">
        <f t="shared" si="55"/>
        <v>227819719.44</v>
      </c>
      <c r="P19" s="192">
        <f t="shared" si="55"/>
        <v>101584998.55000001</v>
      </c>
      <c r="Q19" s="192">
        <f t="shared" si="55"/>
        <v>452538462.42999995</v>
      </c>
      <c r="R19" s="192">
        <f t="shared" si="55"/>
        <v>266862288.68000001</v>
      </c>
      <c r="S19" s="192">
        <f t="shared" si="55"/>
        <v>176828644.64000002</v>
      </c>
      <c r="T19" s="192">
        <f t="shared" si="55"/>
        <v>64913436.280000001</v>
      </c>
      <c r="U19" s="192">
        <f t="shared" si="55"/>
        <v>337752203.54000002</v>
      </c>
      <c r="V19" s="192">
        <f t="shared" si="55"/>
        <v>282747800.38999999</v>
      </c>
      <c r="W19" s="192">
        <f t="shared" si="55"/>
        <v>212610529.06</v>
      </c>
      <c r="X19" s="192">
        <f t="shared" si="55"/>
        <v>143808741.60999998</v>
      </c>
      <c r="Y19" s="192">
        <f t="shared" si="55"/>
        <v>354821491.18000001</v>
      </c>
      <c r="Z19" s="192">
        <f t="shared" si="55"/>
        <v>228336553.28999999</v>
      </c>
      <c r="AA19" s="192">
        <f t="shared" si="55"/>
        <v>204177768.44</v>
      </c>
      <c r="AB19" s="192">
        <f t="shared" si="55"/>
        <v>146403794.09999999</v>
      </c>
      <c r="AC19" s="192">
        <f t="shared" si="55"/>
        <v>530866896.97000003</v>
      </c>
      <c r="AD19" s="192">
        <f t="shared" si="55"/>
        <v>350903753.10000002</v>
      </c>
      <c r="AE19" s="192">
        <f t="shared" si="55"/>
        <v>288468171.64999998</v>
      </c>
      <c r="AF19" s="192">
        <f t="shared" si="55"/>
        <v>103106550.39</v>
      </c>
      <c r="AG19" s="192">
        <f t="shared" si="55"/>
        <v>461352043.69</v>
      </c>
      <c r="AH19" s="192">
        <f t="shared" si="55"/>
        <v>315311096.82999998</v>
      </c>
      <c r="AI19" s="192">
        <f t="shared" si="55"/>
        <v>234676047.59999999</v>
      </c>
      <c r="AJ19" s="192">
        <f t="shared" si="55"/>
        <v>134776808.45999998</v>
      </c>
      <c r="AK19" s="192">
        <f t="shared" si="55"/>
        <v>4254316865.6700001</v>
      </c>
      <c r="AL19" s="192">
        <f t="shared" si="55"/>
        <v>193769282.12</v>
      </c>
      <c r="AM19" s="192">
        <f t="shared" si="55"/>
        <v>169370287.40000001</v>
      </c>
      <c r="AN19" s="192">
        <f t="shared" si="55"/>
        <v>105596741.39999999</v>
      </c>
      <c r="AO19" s="192">
        <f t="shared" si="55"/>
        <v>106006847.71000001</v>
      </c>
      <c r="AP19" s="192">
        <f t="shared" si="55"/>
        <v>79687358.280000001</v>
      </c>
      <c r="AQ19" s="192">
        <f t="shared" si="55"/>
        <v>73812764.530000001</v>
      </c>
      <c r="AR19" s="192">
        <f t="shared" si="55"/>
        <v>4081063.05</v>
      </c>
      <c r="AS19" s="192">
        <f t="shared" si="55"/>
        <v>0</v>
      </c>
    </row>
    <row r="20" spans="1:74" s="192" customFormat="1" x14ac:dyDescent="0.25">
      <c r="A20" s="192" t="s">
        <v>300</v>
      </c>
      <c r="B20" s="192">
        <v>3876870034.4499998</v>
      </c>
      <c r="C20" s="192">
        <v>596647017.74000001</v>
      </c>
      <c r="D20" s="192">
        <v>2398028543.6900001</v>
      </c>
      <c r="E20" s="192">
        <v>9766175822.6599998</v>
      </c>
      <c r="F20" s="192">
        <v>6093165397.6400003</v>
      </c>
      <c r="G20" s="192">
        <v>3164691697.5500002</v>
      </c>
      <c r="H20" s="192">
        <v>1843612667.26</v>
      </c>
      <c r="I20" s="192">
        <v>11696760569.209999</v>
      </c>
      <c r="J20" s="192">
        <v>10562390293.709999</v>
      </c>
      <c r="K20" s="192">
        <v>4311242229.5799999</v>
      </c>
      <c r="L20" s="192">
        <v>759516944.14999998</v>
      </c>
      <c r="M20" s="192">
        <v>6691068449.7799997</v>
      </c>
      <c r="N20" s="192">
        <v>5709770665.1999998</v>
      </c>
      <c r="O20" s="192">
        <v>3116614507.29</v>
      </c>
      <c r="P20" s="192">
        <v>1932422884.71</v>
      </c>
      <c r="Q20" s="192">
        <v>794565645.34000003</v>
      </c>
      <c r="R20" s="192">
        <v>-753891432.66999996</v>
      </c>
      <c r="S20" s="192">
        <v>-1826814406.4000001</v>
      </c>
      <c r="T20" s="192">
        <v>-2201725478.6399999</v>
      </c>
      <c r="U20" s="192">
        <v>1458910756.8800001</v>
      </c>
      <c r="V20" s="192">
        <v>313978957.69999999</v>
      </c>
      <c r="W20" s="192">
        <v>1497787082.24</v>
      </c>
      <c r="X20" s="192">
        <v>1136711876.1900001</v>
      </c>
      <c r="Y20" s="192">
        <v>8749667084.4799995</v>
      </c>
      <c r="Z20" s="192">
        <v>6548229191.1899996</v>
      </c>
      <c r="AA20" s="192">
        <v>3947604599.0900002</v>
      </c>
      <c r="AB20" s="192">
        <v>1681643781.72</v>
      </c>
      <c r="AC20" s="192">
        <v>9533022924.4099998</v>
      </c>
      <c r="AD20" s="192">
        <v>6771939952.1899996</v>
      </c>
      <c r="AE20" s="192">
        <v>5409806169.54</v>
      </c>
      <c r="AF20" s="192">
        <v>2364903317.4000001</v>
      </c>
      <c r="AG20" s="192">
        <v>7703120285.2600002</v>
      </c>
      <c r="AH20" s="192">
        <v>4790789702.7799997</v>
      </c>
      <c r="AI20" s="192">
        <v>3138660150.8800001</v>
      </c>
      <c r="AJ20" s="192">
        <v>2138624515.8499999</v>
      </c>
      <c r="AK20" s="192">
        <v>6054009663</v>
      </c>
      <c r="AL20" s="192">
        <v>4845240857.8000002</v>
      </c>
      <c r="AM20" s="192">
        <v>1883351626.01</v>
      </c>
      <c r="AN20" s="192">
        <v>1227477879.51</v>
      </c>
      <c r="AO20" s="192">
        <v>1972636550.8099999</v>
      </c>
      <c r="AP20" s="192">
        <v>1857136349.6300001</v>
      </c>
      <c r="AQ20" s="192">
        <v>1196792212.5999999</v>
      </c>
      <c r="AR20" s="192">
        <v>1171946368.1099999</v>
      </c>
      <c r="AS20" s="192">
        <v>1665545943.71</v>
      </c>
      <c r="AT20" s="192">
        <v>2089846017.8800001</v>
      </c>
      <c r="AU20" s="192">
        <v>1599888081.8099999</v>
      </c>
      <c r="AV20" s="192">
        <v>1055798280.0700001</v>
      </c>
      <c r="AW20" s="192">
        <v>1336270367.45</v>
      </c>
      <c r="AX20" s="192">
        <v>1192408273.4000001</v>
      </c>
      <c r="AY20" s="192">
        <v>889923241.13999999</v>
      </c>
      <c r="AZ20" s="192">
        <v>788427165.83000004</v>
      </c>
      <c r="BA20" s="192">
        <v>1252717668.0899999</v>
      </c>
      <c r="BB20" s="192">
        <v>807940999.38999999</v>
      </c>
      <c r="BC20" s="192">
        <v>713289532.66999996</v>
      </c>
      <c r="BD20" s="192">
        <v>410809880.20999998</v>
      </c>
      <c r="BE20" s="192">
        <v>821693394.29999995</v>
      </c>
      <c r="BF20" s="192">
        <v>845972023.45000005</v>
      </c>
      <c r="BG20" s="192">
        <v>673455379.76999998</v>
      </c>
      <c r="BH20" s="192">
        <v>959479476.41999996</v>
      </c>
      <c r="BI20" s="192">
        <v>1044659243.4</v>
      </c>
      <c r="BJ20" s="192">
        <v>796479775.66999996</v>
      </c>
      <c r="BK20" s="192">
        <v>324143510.37</v>
      </c>
      <c r="BL20" s="192">
        <v>233531826.72</v>
      </c>
      <c r="BM20" s="192">
        <v>1053290717.92</v>
      </c>
      <c r="BN20" s="192">
        <v>513631576.39999998</v>
      </c>
      <c r="BO20" s="192">
        <v>1073187941.83</v>
      </c>
      <c r="BP20" s="192">
        <v>259841859.31999999</v>
      </c>
      <c r="BQ20" s="192">
        <v>1294995783.27</v>
      </c>
      <c r="BR20" s="192">
        <v>527169463.72000003</v>
      </c>
      <c r="BS20" s="192">
        <v>898446895.69000006</v>
      </c>
      <c r="BT20" s="192">
        <v>436278873.26999998</v>
      </c>
      <c r="BU20" s="192">
        <v>359005459.04000002</v>
      </c>
      <c r="BV20" s="192">
        <v>0</v>
      </c>
    </row>
    <row r="21" spans="1:74" s="220" customFormat="1" x14ac:dyDescent="0.25">
      <c r="A21" s="220" t="s">
        <v>667</v>
      </c>
      <c r="E21" s="220">
        <f>E20/E19</f>
        <v>48.616656251940277</v>
      </c>
      <c r="F21" s="220">
        <f t="shared" ref="F21:AS21" si="56">F20/F19</f>
        <v>55.258442465082084</v>
      </c>
      <c r="G21" s="220">
        <f t="shared" si="56"/>
        <v>38.825924507723535</v>
      </c>
      <c r="H21" s="220">
        <f t="shared" si="56"/>
        <v>28.238664642928601</v>
      </c>
      <c r="I21" s="220">
        <f t="shared" si="56"/>
        <v>39.37337141139416</v>
      </c>
      <c r="J21" s="220">
        <f t="shared" si="56"/>
        <v>51.334207552441526</v>
      </c>
      <c r="K21" s="220">
        <f t="shared" si="56"/>
        <v>25.765276984226233</v>
      </c>
      <c r="L21" s="220">
        <f t="shared" si="56"/>
        <v>7.6968859085032486</v>
      </c>
      <c r="M21" s="220">
        <f t="shared" si="56"/>
        <v>16.974898246252728</v>
      </c>
      <c r="N21" s="220">
        <f t="shared" si="56"/>
        <v>17.567239219618934</v>
      </c>
      <c r="O21" s="220">
        <f t="shared" si="56"/>
        <v>13.680178849095681</v>
      </c>
      <c r="P21" s="220">
        <f t="shared" si="56"/>
        <v>19.022719026361592</v>
      </c>
      <c r="Q21" s="220">
        <f t="shared" si="56"/>
        <v>1.755796935079095</v>
      </c>
      <c r="R21" s="220">
        <f t="shared" si="56"/>
        <v>-2.8250204867800055</v>
      </c>
      <c r="S21" s="220">
        <f t="shared" si="56"/>
        <v>-10.330986872173087</v>
      </c>
      <c r="T21" s="220">
        <f t="shared" si="56"/>
        <v>-33.917869778808139</v>
      </c>
      <c r="U21" s="220">
        <f t="shared" si="56"/>
        <v>4.3194707290998364</v>
      </c>
      <c r="V21" s="220">
        <f t="shared" si="56"/>
        <v>1.1104558807068428</v>
      </c>
      <c r="W21" s="220">
        <f t="shared" si="56"/>
        <v>7.0447455676915949</v>
      </c>
      <c r="X21" s="220">
        <f t="shared" si="56"/>
        <v>7.9043308735201174</v>
      </c>
      <c r="Y21" s="220">
        <f t="shared" si="56"/>
        <v>24.659349284007479</v>
      </c>
      <c r="Z21" s="220">
        <f t="shared" si="56"/>
        <v>28.677971603054672</v>
      </c>
      <c r="AA21" s="220">
        <f t="shared" si="56"/>
        <v>19.334154884987147</v>
      </c>
      <c r="AB21" s="220">
        <f t="shared" si="56"/>
        <v>11.486340173475053</v>
      </c>
      <c r="AC21" s="220">
        <f t="shared" si="56"/>
        <v>17.957463497575596</v>
      </c>
      <c r="AD21" s="220">
        <f t="shared" si="56"/>
        <v>19.298568032870662</v>
      </c>
      <c r="AE21" s="220">
        <f t="shared" si="56"/>
        <v>18.753563481879546</v>
      </c>
      <c r="AF21" s="220">
        <f t="shared" si="56"/>
        <v>22.936499266581659</v>
      </c>
      <c r="AG21" s="220">
        <f t="shared" si="56"/>
        <v>16.696837893355081</v>
      </c>
      <c r="AH21" s="220">
        <f t="shared" si="56"/>
        <v>15.193850615929811</v>
      </c>
      <c r="AI21" s="220">
        <f t="shared" si="56"/>
        <v>13.374437583122139</v>
      </c>
      <c r="AJ21" s="220">
        <f t="shared" si="56"/>
        <v>15.867897009037101</v>
      </c>
      <c r="AK21" s="220">
        <f t="shared" si="56"/>
        <v>1.4230274458051144</v>
      </c>
      <c r="AL21" s="220">
        <f t="shared" si="56"/>
        <v>25.005206216325739</v>
      </c>
      <c r="AM21" s="220">
        <f t="shared" si="56"/>
        <v>11.119728583574453</v>
      </c>
      <c r="AN21" s="220">
        <f t="shared" si="56"/>
        <v>11.624202255070724</v>
      </c>
      <c r="AO21" s="220">
        <f t="shared" si="56"/>
        <v>18.608576647864172</v>
      </c>
      <c r="AP21" s="220">
        <f t="shared" si="56"/>
        <v>23.305281913155174</v>
      </c>
      <c r="AQ21" s="220">
        <f t="shared" si="56"/>
        <v>16.213892274873178</v>
      </c>
      <c r="AR21" s="220">
        <f t="shared" si="56"/>
        <v>287.16693512245541</v>
      </c>
      <c r="AS21" s="220" t="e">
        <f t="shared" si="56"/>
        <v>#DIV/0!</v>
      </c>
    </row>
    <row r="22" spans="1:74" s="192" customFormat="1" x14ac:dyDescent="0.25">
      <c r="A22" s="192" t="s">
        <v>301</v>
      </c>
      <c r="E22" s="192">
        <f>I35</f>
        <v>35271136987.740005</v>
      </c>
      <c r="F22" s="192">
        <f t="shared" ref="F22:Y22" si="57">J35</f>
        <v>34215368026.389999</v>
      </c>
      <c r="G22" s="192">
        <f t="shared" si="57"/>
        <v>31154374222.149998</v>
      </c>
      <c r="H22" s="192">
        <f t="shared" si="57"/>
        <v>27457022528.27</v>
      </c>
      <c r="I22" s="192">
        <f t="shared" si="57"/>
        <v>26773901419.16</v>
      </c>
      <c r="J22" s="192">
        <f t="shared" si="57"/>
        <v>25763643116.34</v>
      </c>
      <c r="K22" s="192">
        <f t="shared" si="57"/>
        <v>23225293875.670002</v>
      </c>
      <c r="L22" s="192">
        <f t="shared" si="57"/>
        <v>24474208028.779999</v>
      </c>
      <c r="M22" s="192">
        <f t="shared" si="57"/>
        <v>22599705731.139999</v>
      </c>
      <c r="N22" s="192">
        <f t="shared" si="57"/>
        <v>21126333163.73</v>
      </c>
      <c r="O22" s="192">
        <f t="shared" si="57"/>
        <v>20387235252.57</v>
      </c>
      <c r="P22" s="192">
        <f t="shared" si="57"/>
        <v>23073039389.989998</v>
      </c>
      <c r="Q22" s="192">
        <f t="shared" si="57"/>
        <v>26118692258.639999</v>
      </c>
      <c r="R22" s="192">
        <f t="shared" si="57"/>
        <v>25031477832.98</v>
      </c>
      <c r="S22" s="192">
        <f t="shared" si="57"/>
        <v>26224171936.170002</v>
      </c>
      <c r="T22" s="192">
        <f t="shared" si="57"/>
        <v>29270548001.169998</v>
      </c>
      <c r="U22" s="192">
        <f t="shared" si="57"/>
        <v>28282678686.579998</v>
      </c>
      <c r="V22" s="192">
        <f t="shared" si="57"/>
        <v>26212779803.650002</v>
      </c>
      <c r="W22" s="192">
        <f t="shared" si="57"/>
        <v>23584755802.830002</v>
      </c>
      <c r="X22" s="192">
        <f t="shared" si="57"/>
        <v>23195331714.5</v>
      </c>
      <c r="Y22" s="192">
        <f t="shared" si="57"/>
        <v>21865067913.639999</v>
      </c>
      <c r="Z22" s="192">
        <f t="shared" ref="Z22" si="58">AD35</f>
        <v>19184803623.789997</v>
      </c>
      <c r="AA22" s="192">
        <f t="shared" ref="AA22" si="59">AE35</f>
        <v>18379973645.23</v>
      </c>
      <c r="AB22" s="192">
        <f t="shared" ref="AB22" si="60">AF35</f>
        <v>16253007648.639999</v>
      </c>
      <c r="AC22" s="192">
        <f t="shared" ref="AC22" si="61">AG35</f>
        <v>14218929799.84</v>
      </c>
      <c r="AD22" s="192">
        <f t="shared" ref="AD22" si="62">AH35</f>
        <v>11511333260.220001</v>
      </c>
      <c r="AE22" s="192">
        <f t="shared" ref="AE22" si="63">AI35</f>
        <v>10012132378.76</v>
      </c>
      <c r="AF22" s="192">
        <f t="shared" ref="AF22" si="64">AJ35</f>
        <v>9581517222.7000008</v>
      </c>
      <c r="AG22" s="192">
        <f t="shared" ref="AG22" si="65">AK35</f>
        <v>7596631543.4700003</v>
      </c>
      <c r="AH22" s="192">
        <f t="shared" ref="AH22" si="66">AL35</f>
        <v>6576202996.1300001</v>
      </c>
      <c r="AI22" s="192">
        <f t="shared" ref="AI22" si="67">AM35</f>
        <v>4868026612.3599997</v>
      </c>
      <c r="AJ22" s="192">
        <f t="shared" ref="AJ22" si="68">AN35</f>
        <v>7118454004.9499998</v>
      </c>
      <c r="AK22" s="192">
        <f t="shared" ref="AK22" si="69">AO35</f>
        <v>5986301716.8400002</v>
      </c>
      <c r="AL22" s="192">
        <f t="shared" ref="AL22" si="70">AP35</f>
        <v>5848815880.0900002</v>
      </c>
      <c r="AM22" s="192">
        <f t="shared" ref="AM22" si="71">AQ35</f>
        <v>5241667192.3999996</v>
      </c>
      <c r="AN22" s="192">
        <f t="shared" ref="AN22" si="72">AR35</f>
        <v>5243442422.5600004</v>
      </c>
      <c r="AO22" s="192">
        <f t="shared" ref="AO22" si="73">AS35</f>
        <v>4112072765.1799998</v>
      </c>
      <c r="AP22" s="192">
        <f t="shared" ref="AP22" si="74">AT35</f>
        <v>4726953237.1400003</v>
      </c>
      <c r="AQ22" s="192">
        <f t="shared" ref="AQ22" si="75">AU35</f>
        <v>4326616347.71</v>
      </c>
      <c r="AR22" s="192">
        <f t="shared" ref="AR22" si="76">AV35</f>
        <v>3831893890.9099998</v>
      </c>
      <c r="AS22" s="192">
        <f t="shared" ref="AS22" si="77">AW35</f>
        <v>2818848444.02</v>
      </c>
    </row>
    <row r="23" spans="1:74" s="192" customFormat="1" x14ac:dyDescent="0.25">
      <c r="A23" s="192" t="s">
        <v>302</v>
      </c>
      <c r="E23" s="192">
        <f>E20+E22-E19</f>
        <v>44836431536.87001</v>
      </c>
      <c r="F23" s="192">
        <f t="shared" ref="F23:AS23" si="78">F20+F22-F19</f>
        <v>40198266736.699997</v>
      </c>
      <c r="G23" s="192">
        <f t="shared" si="78"/>
        <v>34237556162.039997</v>
      </c>
      <c r="H23" s="192">
        <f t="shared" si="78"/>
        <v>29235348373.699997</v>
      </c>
      <c r="I23" s="192">
        <f t="shared" si="78"/>
        <v>38173589115.259995</v>
      </c>
      <c r="J23" s="192">
        <f t="shared" si="78"/>
        <v>36120276064.270004</v>
      </c>
      <c r="K23" s="192">
        <f t="shared" si="78"/>
        <v>27369208494.830002</v>
      </c>
      <c r="L23" s="192">
        <f t="shared" si="78"/>
        <v>25135046500.470001</v>
      </c>
      <c r="M23" s="192">
        <f t="shared" si="78"/>
        <v>28896599891.759998</v>
      </c>
      <c r="N23" s="192">
        <f t="shared" si="78"/>
        <v>26511080039.260002</v>
      </c>
      <c r="O23" s="192">
        <f t="shared" si="78"/>
        <v>23276030040.420002</v>
      </c>
      <c r="P23" s="192">
        <f t="shared" si="78"/>
        <v>24903877276.149998</v>
      </c>
      <c r="Q23" s="192">
        <f t="shared" si="78"/>
        <v>26460719441.549999</v>
      </c>
      <c r="R23" s="192">
        <f t="shared" si="78"/>
        <v>24010724111.630001</v>
      </c>
      <c r="S23" s="192">
        <f t="shared" si="78"/>
        <v>24220528885.130001</v>
      </c>
      <c r="T23" s="192">
        <f t="shared" si="78"/>
        <v>27003909086.25</v>
      </c>
      <c r="U23" s="192">
        <f t="shared" si="78"/>
        <v>29403837239.919998</v>
      </c>
      <c r="V23" s="192">
        <f t="shared" si="78"/>
        <v>26244010960.960003</v>
      </c>
      <c r="W23" s="192">
        <f t="shared" si="78"/>
        <v>24869932356.010002</v>
      </c>
      <c r="X23" s="192">
        <f t="shared" si="78"/>
        <v>24188234849.079998</v>
      </c>
      <c r="Y23" s="192">
        <f t="shared" si="78"/>
        <v>30259913506.939999</v>
      </c>
      <c r="Z23" s="192">
        <f t="shared" si="78"/>
        <v>25504696261.689995</v>
      </c>
      <c r="AA23" s="192">
        <f t="shared" si="78"/>
        <v>22123400475.880001</v>
      </c>
      <c r="AB23" s="192">
        <f t="shared" si="78"/>
        <v>17788247636.260002</v>
      </c>
      <c r="AC23" s="192">
        <f t="shared" si="78"/>
        <v>23221085827.279999</v>
      </c>
      <c r="AD23" s="192">
        <f t="shared" si="78"/>
        <v>17932369459.310001</v>
      </c>
      <c r="AE23" s="192">
        <f t="shared" si="78"/>
        <v>15133470376.65</v>
      </c>
      <c r="AF23" s="192">
        <f t="shared" si="78"/>
        <v>11843313989.710001</v>
      </c>
      <c r="AG23" s="192">
        <f t="shared" si="78"/>
        <v>14838399785.039999</v>
      </c>
      <c r="AH23" s="192">
        <f t="shared" si="78"/>
        <v>11051681602.08</v>
      </c>
      <c r="AI23" s="192">
        <f t="shared" si="78"/>
        <v>7772010715.6399994</v>
      </c>
      <c r="AJ23" s="192">
        <f t="shared" si="78"/>
        <v>9122301712.3400002</v>
      </c>
      <c r="AK23" s="192">
        <f t="shared" si="78"/>
        <v>7785994514.1700001</v>
      </c>
      <c r="AL23" s="192">
        <f t="shared" si="78"/>
        <v>10500287455.769999</v>
      </c>
      <c r="AM23" s="192">
        <f t="shared" si="78"/>
        <v>6955648531.0100002</v>
      </c>
      <c r="AN23" s="192">
        <f t="shared" si="78"/>
        <v>6365323560.670001</v>
      </c>
      <c r="AO23" s="192">
        <f t="shared" si="78"/>
        <v>5978702468.2799997</v>
      </c>
      <c r="AP23" s="192">
        <f t="shared" si="78"/>
        <v>6504402228.4900007</v>
      </c>
      <c r="AQ23" s="192">
        <f t="shared" si="78"/>
        <v>5449595795.7799997</v>
      </c>
      <c r="AR23" s="192">
        <f t="shared" si="78"/>
        <v>4999759195.9699993</v>
      </c>
      <c r="AS23" s="192">
        <f t="shared" si="78"/>
        <v>4484394387.7299995</v>
      </c>
    </row>
    <row r="24" spans="1:74" s="220" customFormat="1" x14ac:dyDescent="0.25">
      <c r="A24" s="220" t="s">
        <v>303</v>
      </c>
      <c r="B24" s="192">
        <v>-3595831122.1700001</v>
      </c>
      <c r="C24" s="192">
        <v>1453715334.72</v>
      </c>
      <c r="D24" s="192">
        <v>0</v>
      </c>
      <c r="E24" s="192">
        <v>-3639243140.5500002</v>
      </c>
      <c r="F24" s="192">
        <v>-3639243140.5500002</v>
      </c>
      <c r="G24" s="192">
        <v>-3288334398</v>
      </c>
      <c r="H24" s="192">
        <v>0</v>
      </c>
      <c r="I24" s="192">
        <v>-3193927561.71</v>
      </c>
      <c r="J24" s="192">
        <v>-3123845879.1399999</v>
      </c>
      <c r="K24" s="192">
        <v>2077260</v>
      </c>
      <c r="L24" s="192">
        <v>0</v>
      </c>
      <c r="M24" s="192">
        <v>-2354913014.8000002</v>
      </c>
      <c r="N24" s="192">
        <v>-2398403819.8000002</v>
      </c>
      <c r="O24" s="192">
        <v>-2418403819.8000002</v>
      </c>
      <c r="P24" s="192">
        <v>4000000</v>
      </c>
      <c r="Q24" s="192">
        <v>-2989275619.5599999</v>
      </c>
      <c r="R24" s="192">
        <v>-2992609610.5700002</v>
      </c>
      <c r="S24" s="192">
        <v>-2994919047.9699998</v>
      </c>
      <c r="T24" s="192">
        <v>0</v>
      </c>
      <c r="U24" s="192">
        <v>-3219033426.9200001</v>
      </c>
      <c r="V24" s="192">
        <v>-3318001362.1599998</v>
      </c>
      <c r="W24" s="192">
        <v>-3391501362.1599998</v>
      </c>
      <c r="X24" s="192">
        <v>-32227986.16</v>
      </c>
      <c r="Y24" s="192">
        <v>-2113851892.23</v>
      </c>
      <c r="Z24" s="192">
        <v>-2116322677.4300001</v>
      </c>
      <c r="AA24" s="192">
        <v>-2116322677.4300001</v>
      </c>
      <c r="AB24" s="192">
        <v>-215868531.93000001</v>
      </c>
      <c r="AC24" s="192">
        <v>-1503137193.9100001</v>
      </c>
      <c r="AD24" s="192">
        <v>-1427440016</v>
      </c>
      <c r="AE24" s="192">
        <v>-1044440016</v>
      </c>
      <c r="AF24" s="192">
        <v>-205650000</v>
      </c>
      <c r="AG24" s="192">
        <v>-647767438.72000003</v>
      </c>
      <c r="AH24" s="192">
        <v>-500767438.72000003</v>
      </c>
      <c r="AI24" s="192">
        <v>-500767438.72000003</v>
      </c>
      <c r="AJ24" s="192">
        <v>0</v>
      </c>
      <c r="AK24" s="192">
        <v>-178798336</v>
      </c>
      <c r="AL24" s="192">
        <v>-193030418.09</v>
      </c>
      <c r="AM24" s="192">
        <v>-193030418.09</v>
      </c>
      <c r="AN24" s="192">
        <v>0</v>
      </c>
      <c r="AO24" s="192">
        <v>-2500000</v>
      </c>
      <c r="AP24" s="192">
        <v>0</v>
      </c>
      <c r="AQ24" s="192">
        <v>0</v>
      </c>
      <c r="AR24" s="192">
        <v>0</v>
      </c>
      <c r="AS24" s="192">
        <v>-147684288</v>
      </c>
      <c r="AT24" s="192">
        <v>-11287580.49</v>
      </c>
      <c r="AU24" s="192">
        <v>-11287580.49</v>
      </c>
      <c r="AV24" s="192">
        <v>0</v>
      </c>
      <c r="AW24" s="192">
        <v>-271140480</v>
      </c>
      <c r="AX24" s="192">
        <v>-265331306.06</v>
      </c>
      <c r="AY24" s="192">
        <v>-220552618.06</v>
      </c>
      <c r="AZ24" s="192">
        <v>0</v>
      </c>
      <c r="BA24" s="192">
        <v>0</v>
      </c>
      <c r="BB24" s="192">
        <v>0</v>
      </c>
      <c r="BC24" s="192">
        <v>0</v>
      </c>
      <c r="BD24" s="192">
        <v>0</v>
      </c>
      <c r="BE24" s="192">
        <v>-268690480</v>
      </c>
      <c r="BF24" s="192">
        <v>-271140480</v>
      </c>
      <c r="BG24" s="192">
        <v>-271140480</v>
      </c>
      <c r="BH24" s="192">
        <v>0</v>
      </c>
      <c r="BI24" s="192">
        <v>-15606000</v>
      </c>
      <c r="BJ24" s="192">
        <v>0</v>
      </c>
      <c r="BK24" s="192">
        <v>0</v>
      </c>
      <c r="BL24" s="192">
        <v>0</v>
      </c>
      <c r="BM24" s="192">
        <v>-5320000</v>
      </c>
      <c r="BN24" s="192">
        <v>-6120000</v>
      </c>
      <c r="BO24" s="192">
        <v>562994338.32000005</v>
      </c>
      <c r="BP24" s="192">
        <v>613134338.32000005</v>
      </c>
      <c r="BQ24" s="192">
        <v>0</v>
      </c>
      <c r="BR24" s="192">
        <v>4623692.53</v>
      </c>
      <c r="BS24" s="192">
        <v>-400000000</v>
      </c>
      <c r="BT24" s="192">
        <v>-237866348.78</v>
      </c>
      <c r="BU24" s="192">
        <v>1108113819.7</v>
      </c>
      <c r="BV24" s="192">
        <v>0</v>
      </c>
    </row>
    <row r="25" spans="1:74" s="241" customFormat="1" ht="138.6" customHeight="1" x14ac:dyDescent="0.25">
      <c r="A25" s="274" t="s">
        <v>743</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631</v>
      </c>
      <c r="E26" s="26">
        <f>现金流量表!E15</f>
        <v>0</v>
      </c>
      <c r="F26" s="26">
        <f>现金流量表!F15</f>
        <v>0</v>
      </c>
      <c r="G26" s="26">
        <f>现金流量表!G15</f>
        <v>0</v>
      </c>
      <c r="H26" s="26">
        <f>现金流量表!H15</f>
        <v>0</v>
      </c>
      <c r="I26" s="26">
        <f>现金流量表!I15</f>
        <v>107813538</v>
      </c>
      <c r="J26" s="26">
        <f>现金流量表!J15</f>
        <v>76100000</v>
      </c>
      <c r="K26" s="26">
        <f>现金流量表!K15</f>
        <v>67000000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13338250.199999999</v>
      </c>
      <c r="V26" s="26">
        <f>现金流量表!V15</f>
        <v>13338250.199999999</v>
      </c>
      <c r="W26" s="26">
        <f>现金流量表!W15</f>
        <v>13338250.199999999</v>
      </c>
      <c r="X26" s="26">
        <f>现金流量表!X15</f>
        <v>0</v>
      </c>
      <c r="Y26" s="26">
        <f>现金流量表!Y15</f>
        <v>10000000</v>
      </c>
      <c r="Z26" s="26">
        <f>现金流量表!Z15</f>
        <v>10042500</v>
      </c>
      <c r="AA26" s="26">
        <f>现金流量表!AA15</f>
        <v>10042500</v>
      </c>
      <c r="AB26" s="26">
        <f>现金流量表!AB15</f>
        <v>10042500</v>
      </c>
      <c r="AC26" s="26">
        <f>现金流量表!AC15</f>
        <v>0</v>
      </c>
      <c r="AD26" s="26">
        <f>现金流量表!AD15</f>
        <v>2110860</v>
      </c>
      <c r="AE26" s="26">
        <f>现金流量表!AE15</f>
        <v>1843200</v>
      </c>
      <c r="AF26" s="26">
        <f>现金流量表!AF15</f>
        <v>623600</v>
      </c>
      <c r="AG26" s="26">
        <f>现金流量表!AG15</f>
        <v>0</v>
      </c>
      <c r="AH26" s="26">
        <f>现金流量表!AH15</f>
        <v>2274195</v>
      </c>
      <c r="AI26" s="26">
        <f>现金流量表!AI15</f>
        <v>1951530</v>
      </c>
      <c r="AJ26" s="26">
        <f>现金流量表!AJ15</f>
        <v>1191240</v>
      </c>
      <c r="AK26" s="26">
        <f>现金流量表!AK15</f>
        <v>0</v>
      </c>
      <c r="AL26" s="26">
        <f>现金流量表!AL15</f>
        <v>262407.36</v>
      </c>
      <c r="AM26" s="26">
        <f>现金流量表!AM15</f>
        <v>0</v>
      </c>
      <c r="AN26" s="26">
        <f>现金流量表!AN15</f>
        <v>0</v>
      </c>
      <c r="AO26" s="26">
        <f>现金流量表!AO15</f>
        <v>0</v>
      </c>
      <c r="AP26" s="26">
        <f>现金流量表!AP15</f>
        <v>0</v>
      </c>
      <c r="AQ26" s="26">
        <f>现金流量表!AQ15</f>
        <v>0</v>
      </c>
      <c r="AR26" s="26">
        <f>现金流量表!AR15</f>
        <v>0</v>
      </c>
      <c r="AS26" s="26">
        <f>现金流量表!AS15</f>
        <v>603890</v>
      </c>
      <c r="AT26" s="26">
        <f>现金流量表!AT15</f>
        <v>3309251.38</v>
      </c>
      <c r="AU26" s="26">
        <f>现金流量表!AU15</f>
        <v>3238466.38</v>
      </c>
      <c r="AV26" s="26">
        <f>现金流量表!AV15</f>
        <v>603890</v>
      </c>
      <c r="AW26" s="26">
        <f>现金流量表!AW15</f>
        <v>51060619.399999999</v>
      </c>
      <c r="AX26" s="26">
        <f>现金流量表!AX15</f>
        <v>6586928.1699999999</v>
      </c>
      <c r="AY26" s="26">
        <f>现金流量表!AY15</f>
        <v>5107374.3499999996</v>
      </c>
      <c r="AZ26" s="26">
        <f>现金流量表!AZ15</f>
        <v>100000</v>
      </c>
      <c r="BA26" s="26">
        <f>现金流量表!BA15</f>
        <v>6680</v>
      </c>
      <c r="BB26" s="26">
        <f>现金流量表!BB15</f>
        <v>0</v>
      </c>
      <c r="BC26" s="26">
        <f>现金流量表!BC15</f>
        <v>0</v>
      </c>
      <c r="BD26" s="26">
        <f>现金流量表!BD15</f>
        <v>0</v>
      </c>
      <c r="BE26" s="26">
        <f>现金流量表!BE15</f>
        <v>1520850</v>
      </c>
      <c r="BF26" s="26">
        <f>现金流量表!BF15</f>
        <v>1520850</v>
      </c>
      <c r="BG26" s="26">
        <f>现金流量表!BG15</f>
        <v>1520850</v>
      </c>
      <c r="BH26" s="26">
        <f>现金流量表!BH15</f>
        <v>1508200</v>
      </c>
      <c r="BI26" s="26">
        <f>现金流量表!BI15</f>
        <v>4172322.31</v>
      </c>
      <c r="BJ26" s="26">
        <f>现金流量表!BJ15</f>
        <v>27377971.170000002</v>
      </c>
      <c r="BK26" s="26">
        <f>现金流量表!BK15</f>
        <v>26308143.780000001</v>
      </c>
      <c r="BL26" s="26">
        <f>现金流量表!BL15</f>
        <v>6908625.8499999996</v>
      </c>
      <c r="BM26" s="26">
        <f>现金流量表!BM15</f>
        <v>16056985.48</v>
      </c>
      <c r="BN26" s="26">
        <f>现金流量表!BN15</f>
        <v>18909490.82</v>
      </c>
      <c r="BO26" s="26">
        <f>现金流量表!BO15</f>
        <v>0</v>
      </c>
      <c r="BP26" s="26">
        <f>现金流量表!BP15</f>
        <v>1501401</v>
      </c>
      <c r="BQ26" s="26">
        <f>现金流量表!BQ15</f>
        <v>4886949.13</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8000000</v>
      </c>
      <c r="J27" s="26">
        <f>现金流量表!J22</f>
        <v>8000000</v>
      </c>
      <c r="K27" s="26">
        <f>现金流量表!K22</f>
        <v>0</v>
      </c>
      <c r="L27" s="26">
        <f>现金流量表!L22</f>
        <v>0</v>
      </c>
      <c r="M27" s="26">
        <f>现金流量表!M22</f>
        <v>0</v>
      </c>
      <c r="N27" s="26">
        <f>现金流量表!N22</f>
        <v>0</v>
      </c>
      <c r="O27" s="26">
        <f>现金流量表!O22</f>
        <v>0</v>
      </c>
      <c r="P27" s="26">
        <f>现金流量表!P22</f>
        <v>0</v>
      </c>
      <c r="Q27" s="26">
        <f>现金流量表!Q22</f>
        <v>734000000</v>
      </c>
      <c r="R27" s="26">
        <f>现金流量表!R22</f>
        <v>933675708.13</v>
      </c>
      <c r="S27" s="26">
        <f>现金流量表!S22</f>
        <v>720000000</v>
      </c>
      <c r="T27" s="26">
        <f>现金流量表!T22</f>
        <v>720000000</v>
      </c>
      <c r="U27" s="26">
        <f>现金流量表!U22</f>
        <v>1200000</v>
      </c>
      <c r="V27" s="26">
        <f>现金流量表!V22</f>
        <v>1200000</v>
      </c>
      <c r="W27" s="26">
        <f>现金流量表!W22</f>
        <v>1200000</v>
      </c>
      <c r="X27" s="26">
        <f>现金流量表!X22</f>
        <v>1200000</v>
      </c>
      <c r="Y27" s="26">
        <f>现金流量表!Y22</f>
        <v>0</v>
      </c>
      <c r="Z27" s="26">
        <f>现金流量表!Z22</f>
        <v>300000</v>
      </c>
      <c r="AA27" s="26">
        <f>现金流量表!AA22</f>
        <v>300000</v>
      </c>
      <c r="AB27" s="26">
        <f>现金流量表!AB22</f>
        <v>0</v>
      </c>
      <c r="AC27" s="26">
        <f>现金流量表!AC22</f>
        <v>98000000</v>
      </c>
      <c r="AD27" s="26">
        <f>现金流量表!AD22</f>
        <v>100034460</v>
      </c>
      <c r="AE27" s="26">
        <f>现金流量表!AE22</f>
        <v>1766800</v>
      </c>
      <c r="AF27" s="26">
        <f>现金流量表!AF22</f>
        <v>579800</v>
      </c>
      <c r="AG27" s="26">
        <f>现金流量表!AG22</f>
        <v>0</v>
      </c>
      <c r="AH27" s="26">
        <f>现金流量表!AH22</f>
        <v>48165768.799999997</v>
      </c>
      <c r="AI27" s="26">
        <f>现金流量表!AI22</f>
        <v>5875003.7999999998</v>
      </c>
      <c r="AJ27" s="26">
        <f>现金流量表!AJ22</f>
        <v>5093463.8</v>
      </c>
      <c r="AK27" s="26">
        <f>现金流量表!AK22</f>
        <v>3204512.53</v>
      </c>
      <c r="AL27" s="26">
        <f>现金流量表!AL22</f>
        <v>3820565212.4200001</v>
      </c>
      <c r="AM27" s="26">
        <f>现金流量表!AM22</f>
        <v>2600000000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2185515</v>
      </c>
      <c r="AU27" s="26">
        <f>现金流量表!AU22</f>
        <v>2185515</v>
      </c>
      <c r="AV27" s="26">
        <f>现金流量表!AV22</f>
        <v>845785</v>
      </c>
      <c r="AW27" s="26">
        <f>现金流量表!AW22</f>
        <v>54526945.119999997</v>
      </c>
      <c r="AX27" s="26">
        <f>现金流量表!AX22</f>
        <v>17722174.899999999</v>
      </c>
      <c r="AY27" s="26">
        <f>现金流量表!AY22</f>
        <v>8487744.5399999991</v>
      </c>
      <c r="AZ27" s="26">
        <f>现金流量表!AZ22</f>
        <v>7646493.9000000004</v>
      </c>
      <c r="BA27" s="26">
        <f>现金流量表!BA22</f>
        <v>28079299.829999998</v>
      </c>
      <c r="BB27" s="26">
        <f>现金流量表!BB22</f>
        <v>27150000</v>
      </c>
      <c r="BC27" s="26">
        <f>现金流量表!BC22</f>
        <v>27150000</v>
      </c>
      <c r="BD27" s="26">
        <f>现金流量表!BD22</f>
        <v>10000000</v>
      </c>
      <c r="BE27" s="26">
        <f>现金流量表!BE22</f>
        <v>3593751</v>
      </c>
      <c r="BF27" s="26">
        <f>现金流量表!BF22</f>
        <v>8143751</v>
      </c>
      <c r="BG27" s="26">
        <f>现金流量表!BG22</f>
        <v>3587071</v>
      </c>
      <c r="BH27" s="26">
        <f>现金流量表!BH22</f>
        <v>1508200</v>
      </c>
      <c r="BI27" s="26">
        <f>现金流量表!BI22</f>
        <v>0</v>
      </c>
      <c r="BJ27" s="26">
        <f>现金流量表!BJ22</f>
        <v>23477549.02</v>
      </c>
      <c r="BK27" s="26">
        <f>现金流量表!BK22</f>
        <v>22647579.02</v>
      </c>
      <c r="BL27" s="26">
        <f>现金流量表!BL22</f>
        <v>3490556.9</v>
      </c>
      <c r="BM27" s="26">
        <f>现金流量表!BM22</f>
        <v>6519630.0999999996</v>
      </c>
      <c r="BN27" s="26">
        <f>现金流量表!BN22</f>
        <v>15487632.689999999</v>
      </c>
      <c r="BO27" s="26">
        <f>现金流量表!BO22</f>
        <v>10641505.18</v>
      </c>
      <c r="BP27" s="26">
        <f>现金流量表!BP22</f>
        <v>0</v>
      </c>
      <c r="BQ27" s="26">
        <f>现金流量表!BQ22</f>
        <v>16553209.27</v>
      </c>
      <c r="BR27" s="26">
        <f>现金流量表!BR22</f>
        <v>4900000</v>
      </c>
      <c r="BS27" s="26">
        <f>现金流量表!BS22</f>
        <v>214676351.40000001</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-99813538</v>
      </c>
      <c r="J28" s="26">
        <f t="shared" si="79"/>
        <v>-68100000</v>
      </c>
      <c r="K28" s="26">
        <f t="shared" si="79"/>
        <v>-67000000</v>
      </c>
      <c r="L28" s="26">
        <f t="shared" si="79"/>
        <v>0</v>
      </c>
      <c r="M28" s="26">
        <f t="shared" si="79"/>
        <v>0</v>
      </c>
      <c r="N28" s="26">
        <f t="shared" si="79"/>
        <v>0</v>
      </c>
      <c r="O28" s="26">
        <f t="shared" si="79"/>
        <v>0</v>
      </c>
      <c r="P28" s="26">
        <f t="shared" si="79"/>
        <v>0</v>
      </c>
      <c r="Q28" s="26">
        <f t="shared" si="79"/>
        <v>734000000</v>
      </c>
      <c r="R28" s="26">
        <f t="shared" si="79"/>
        <v>933675708.13</v>
      </c>
      <c r="S28" s="26">
        <f t="shared" si="79"/>
        <v>720000000</v>
      </c>
      <c r="T28" s="26">
        <f t="shared" si="79"/>
        <v>720000000</v>
      </c>
      <c r="U28" s="26">
        <f t="shared" si="79"/>
        <v>-12138250.199999999</v>
      </c>
      <c r="V28" s="26">
        <f t="shared" si="79"/>
        <v>-12138250.199999999</v>
      </c>
      <c r="W28" s="26">
        <f t="shared" si="79"/>
        <v>-12138250.199999999</v>
      </c>
      <c r="X28" s="26">
        <f t="shared" si="79"/>
        <v>1200000</v>
      </c>
      <c r="Y28" s="26">
        <f t="shared" si="79"/>
        <v>-10000000</v>
      </c>
      <c r="Z28" s="26">
        <f t="shared" si="79"/>
        <v>-9742500</v>
      </c>
      <c r="AA28" s="26">
        <f t="shared" si="79"/>
        <v>-9742500</v>
      </c>
      <c r="AB28" s="26">
        <f t="shared" si="79"/>
        <v>-10042500</v>
      </c>
      <c r="AC28" s="26">
        <f t="shared" si="79"/>
        <v>98000000</v>
      </c>
      <c r="AD28" s="26">
        <f t="shared" si="79"/>
        <v>97923600</v>
      </c>
      <c r="AE28" s="26">
        <f t="shared" si="79"/>
        <v>-76400</v>
      </c>
      <c r="AF28" s="26">
        <f t="shared" si="79"/>
        <v>-43800</v>
      </c>
      <c r="AG28" s="26">
        <f t="shared" si="79"/>
        <v>0</v>
      </c>
      <c r="AH28" s="26">
        <f t="shared" si="79"/>
        <v>45891573.799999997</v>
      </c>
      <c r="AI28" s="26">
        <f t="shared" si="79"/>
        <v>3923473.8</v>
      </c>
      <c r="AJ28" s="26">
        <f t="shared" si="79"/>
        <v>3902223.8</v>
      </c>
      <c r="AK28" s="26">
        <f t="shared" si="79"/>
        <v>3204512.53</v>
      </c>
      <c r="AL28" s="26">
        <f t="shared" si="79"/>
        <v>3820302805.0599999</v>
      </c>
      <c r="AM28" s="26">
        <f t="shared" si="79"/>
        <v>2600000000</v>
      </c>
      <c r="AN28" s="26">
        <f t="shared" si="79"/>
        <v>0</v>
      </c>
      <c r="AO28" s="26">
        <f t="shared" si="79"/>
        <v>0</v>
      </c>
      <c r="AP28" s="26">
        <f t="shared" si="79"/>
        <v>0</v>
      </c>
      <c r="AQ28" s="26">
        <f t="shared" si="79"/>
        <v>0</v>
      </c>
      <c r="AR28" s="26">
        <f t="shared" si="79"/>
        <v>0</v>
      </c>
      <c r="AS28" s="26">
        <f t="shared" si="79"/>
        <v>-603890</v>
      </c>
      <c r="AT28" s="26">
        <f t="shared" si="79"/>
        <v>-1123736.3799999999</v>
      </c>
      <c r="AU28" s="26">
        <f t="shared" si="79"/>
        <v>-1052951.3799999999</v>
      </c>
      <c r="AV28" s="26">
        <f t="shared" si="79"/>
        <v>241895</v>
      </c>
      <c r="AW28" s="26">
        <f t="shared" si="79"/>
        <v>3466325.7199999988</v>
      </c>
      <c r="AX28" s="26">
        <f t="shared" si="79"/>
        <v>11135246.729999999</v>
      </c>
      <c r="AY28" s="26">
        <f t="shared" si="79"/>
        <v>3380370.1899999995</v>
      </c>
      <c r="AZ28" s="26">
        <f t="shared" si="79"/>
        <v>7546493.9000000004</v>
      </c>
      <c r="BA28" s="26">
        <f t="shared" si="79"/>
        <v>28072619.829999998</v>
      </c>
      <c r="BB28" s="26">
        <f t="shared" si="79"/>
        <v>27150000</v>
      </c>
      <c r="BC28" s="26">
        <f t="shared" si="79"/>
        <v>27150000</v>
      </c>
      <c r="BD28" s="26">
        <f t="shared" si="79"/>
        <v>10000000</v>
      </c>
      <c r="BE28" s="26">
        <f t="shared" si="79"/>
        <v>2072901</v>
      </c>
      <c r="BF28" s="26">
        <f t="shared" si="79"/>
        <v>6622901</v>
      </c>
      <c r="BG28" s="26">
        <f t="shared" si="79"/>
        <v>2066221</v>
      </c>
      <c r="BH28" s="26">
        <f t="shared" si="79"/>
        <v>0</v>
      </c>
      <c r="BI28" s="26">
        <f t="shared" si="79"/>
        <v>-4172322.31</v>
      </c>
      <c r="BJ28" s="26">
        <f t="shared" si="79"/>
        <v>-3900422.1500000022</v>
      </c>
      <c r="BK28" s="26">
        <f t="shared" si="79"/>
        <v>-3660564.7600000016</v>
      </c>
      <c r="BL28" s="26">
        <f t="shared" si="79"/>
        <v>-3418068.9499999997</v>
      </c>
      <c r="BM28" s="26">
        <f t="shared" si="79"/>
        <v>-9537355.3800000008</v>
      </c>
      <c r="BN28" s="26">
        <f t="shared" si="79"/>
        <v>-3421858.1300000008</v>
      </c>
      <c r="BO28" s="26">
        <f t="shared" si="79"/>
        <v>10641505.18</v>
      </c>
      <c r="BP28" s="26">
        <f t="shared" si="79"/>
        <v>-1501401</v>
      </c>
      <c r="BQ28" s="26">
        <f t="shared" si="79"/>
        <v>11666260.140000001</v>
      </c>
      <c r="BR28" s="26">
        <f t="shared" ref="BR28:BV28" si="80">BR27-BR26</f>
        <v>4900000</v>
      </c>
      <c r="BS28" s="26">
        <f t="shared" si="80"/>
        <v>214676351.40000001</v>
      </c>
      <c r="BT28" s="26">
        <f t="shared" si="80"/>
        <v>0</v>
      </c>
      <c r="BU28" s="26">
        <f t="shared" si="80"/>
        <v>0</v>
      </c>
      <c r="BV28" s="26">
        <f t="shared" si="80"/>
        <v>0</v>
      </c>
    </row>
    <row r="29" spans="1:74" s="26" customFormat="1" ht="16.2" customHeight="1" x14ac:dyDescent="0.25">
      <c r="A29" s="180" t="s">
        <v>634</v>
      </c>
      <c r="E29" s="181">
        <f>POWER(E28/U28,1/5)-1</f>
        <v>-1</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8018730489.5</v>
      </c>
      <c r="C31" s="189">
        <v>8105151823.5900002</v>
      </c>
      <c r="D31" s="189">
        <v>7748209375.6499996</v>
      </c>
      <c r="E31" s="189">
        <v>7642925603.7799997</v>
      </c>
      <c r="F31" s="189">
        <v>7533851582.3900003</v>
      </c>
      <c r="G31" s="189">
        <v>7602929520.6000004</v>
      </c>
      <c r="H31" s="189">
        <v>7655597077.4799995</v>
      </c>
      <c r="I31" s="189">
        <v>7669866510.1400003</v>
      </c>
      <c r="J31" s="189">
        <v>7717822068.0799999</v>
      </c>
      <c r="K31" s="189">
        <v>7800329753.9700003</v>
      </c>
      <c r="L31" s="189">
        <v>7863288846.5799999</v>
      </c>
      <c r="M31" s="189">
        <v>7949223714.3199997</v>
      </c>
      <c r="N31" s="189">
        <v>7789888585.0200005</v>
      </c>
      <c r="O31" s="189">
        <v>7866422799.3500004</v>
      </c>
      <c r="P31" s="189">
        <v>7852653535.79</v>
      </c>
      <c r="Q31" s="189">
        <v>7908789717.4499998</v>
      </c>
      <c r="R31" s="189">
        <v>7851218276.7700005</v>
      </c>
      <c r="S31" s="189">
        <v>7655712659.6099997</v>
      </c>
      <c r="T31" s="189">
        <v>7742554203.8199997</v>
      </c>
      <c r="U31" s="189">
        <v>7187282033.3299999</v>
      </c>
      <c r="V31" s="189">
        <v>7207990845.79</v>
      </c>
      <c r="W31" s="189">
        <v>7307142600.1300001</v>
      </c>
      <c r="X31" s="189">
        <v>7311131963.0699997</v>
      </c>
      <c r="Y31" s="189">
        <v>7325302679.7399998</v>
      </c>
      <c r="Z31" s="189">
        <v>7098528857.4200001</v>
      </c>
      <c r="AA31" s="189">
        <v>7180445172.2200003</v>
      </c>
      <c r="AB31" s="189">
        <v>7179072058.4300003</v>
      </c>
      <c r="AC31" s="189">
        <v>7192699496.6800003</v>
      </c>
      <c r="AD31" s="189">
        <v>7216001271.4099998</v>
      </c>
      <c r="AE31" s="189">
        <v>7204199191.9499998</v>
      </c>
      <c r="AF31" s="189">
        <v>7222083247.6000004</v>
      </c>
      <c r="AG31" s="189">
        <v>7303785667.5900002</v>
      </c>
      <c r="AH31" s="189">
        <v>7392080405.5600004</v>
      </c>
      <c r="AI31" s="189">
        <v>7431174519.1300001</v>
      </c>
      <c r="AJ31" s="189">
        <v>7517447492.9799995</v>
      </c>
      <c r="AK31" s="189">
        <v>7566173849.9700003</v>
      </c>
      <c r="AL31" s="189">
        <v>7607103266.1599998</v>
      </c>
      <c r="AM31" s="189">
        <v>7706877443.3000002</v>
      </c>
      <c r="AN31" s="189">
        <v>4750016360.8599997</v>
      </c>
      <c r="AO31" s="189">
        <v>4754868668.1300001</v>
      </c>
      <c r="AP31" s="189">
        <v>4841679198.5100002</v>
      </c>
      <c r="AQ31" s="189">
        <v>4945499008.7600002</v>
      </c>
      <c r="AR31" s="189">
        <v>4983590367.6400003</v>
      </c>
      <c r="AS31" s="189">
        <v>5087759145.3900003</v>
      </c>
      <c r="AT31" s="189">
        <v>5119825755.0799999</v>
      </c>
      <c r="AU31" s="189">
        <v>5166324238.8199997</v>
      </c>
      <c r="AV31" s="189">
        <v>5229742144.5900002</v>
      </c>
      <c r="AW31" s="189">
        <v>5303368604.3599997</v>
      </c>
      <c r="AX31" s="189">
        <v>5412891640.3100004</v>
      </c>
      <c r="AY31" s="189">
        <v>5477269087.8599997</v>
      </c>
      <c r="AZ31" s="189">
        <v>5394582476.9899998</v>
      </c>
      <c r="BA31" s="189">
        <v>5501322858.9799995</v>
      </c>
      <c r="BB31" s="189">
        <v>5577867470.3299999</v>
      </c>
      <c r="BC31" s="189">
        <v>5696283898.6499996</v>
      </c>
      <c r="BD31" s="189">
        <v>5779603253.5100002</v>
      </c>
      <c r="BE31" s="189">
        <v>5840992847.29</v>
      </c>
      <c r="BF31" s="189">
        <v>5434316703.3800001</v>
      </c>
      <c r="BG31" s="189">
        <v>5519652065.3800001</v>
      </c>
      <c r="BH31" s="189">
        <v>5587811046.9799995</v>
      </c>
      <c r="BI31" s="189">
        <v>5587556850.7200003</v>
      </c>
      <c r="BJ31" s="189">
        <v>5175235607.8500004</v>
      </c>
      <c r="BK31" s="189">
        <v>4543535291.6599998</v>
      </c>
      <c r="BL31" s="189">
        <v>4478639735.0500002</v>
      </c>
      <c r="BM31" s="189">
        <v>4520776529.7700005</v>
      </c>
      <c r="BN31" s="189">
        <v>3620875395.5999999</v>
      </c>
      <c r="BO31" s="189">
        <v>3684993020.0500002</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1621619.53</v>
      </c>
      <c r="C32" s="189">
        <v>1621619.53</v>
      </c>
      <c r="D32" s="189">
        <v>1621619.53</v>
      </c>
      <c r="E32" s="189">
        <v>1621619.53</v>
      </c>
      <c r="F32" s="189">
        <v>1621619.53</v>
      </c>
      <c r="G32" s="189">
        <v>1621619.53</v>
      </c>
      <c r="H32" s="189">
        <v>1621619.53</v>
      </c>
      <c r="I32" s="189">
        <v>1621619.53</v>
      </c>
      <c r="J32" s="189">
        <v>1621619.53</v>
      </c>
      <c r="K32" s="189">
        <v>1621619.53</v>
      </c>
      <c r="L32" s="189">
        <v>1621619.53</v>
      </c>
      <c r="M32" s="189">
        <v>1621619.53</v>
      </c>
      <c r="N32" s="189">
        <v>1621619.53</v>
      </c>
      <c r="O32" s="189">
        <v>1621619.53</v>
      </c>
      <c r="P32" s="189">
        <v>1621619.53</v>
      </c>
      <c r="Q32" s="189">
        <v>1621619.53</v>
      </c>
      <c r="R32" s="189">
        <v>1621619.53</v>
      </c>
      <c r="S32" s="189">
        <v>1621619.53</v>
      </c>
      <c r="T32" s="189">
        <v>1621619.53</v>
      </c>
      <c r="U32" s="189">
        <v>1621619.53</v>
      </c>
      <c r="V32" s="189">
        <v>1621619.53</v>
      </c>
      <c r="W32" s="189">
        <v>1621619.53</v>
      </c>
      <c r="X32" s="189">
        <v>1621619.53</v>
      </c>
      <c r="Y32" s="189">
        <v>1621619.53</v>
      </c>
      <c r="Z32" s="189">
        <v>1621619.53</v>
      </c>
      <c r="AA32" s="189">
        <v>1621619.53</v>
      </c>
      <c r="AB32" s="189">
        <v>1621619.53</v>
      </c>
      <c r="AC32" s="189">
        <v>1621619.53</v>
      </c>
      <c r="AD32" s="189">
        <v>1621619.53</v>
      </c>
      <c r="AE32" s="189">
        <v>1621619.53</v>
      </c>
      <c r="AF32" s="189">
        <v>1621619.53</v>
      </c>
      <c r="AG32" s="189">
        <v>1621619.53</v>
      </c>
      <c r="AH32" s="189">
        <v>1621619.53</v>
      </c>
      <c r="AI32" s="189">
        <v>1621619.53</v>
      </c>
      <c r="AJ32" s="189">
        <v>1621619.53</v>
      </c>
      <c r="AK32" s="189">
        <v>1621619.53</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1200000</v>
      </c>
      <c r="C33" s="189">
        <v>1200000</v>
      </c>
      <c r="D33" s="189">
        <v>1200000</v>
      </c>
      <c r="E33" s="189">
        <v>1200000</v>
      </c>
      <c r="F33" s="189">
        <v>1200000</v>
      </c>
      <c r="G33" s="189">
        <v>1200000</v>
      </c>
      <c r="H33" s="189">
        <v>1200000</v>
      </c>
      <c r="I33" s="189">
        <v>1200000</v>
      </c>
      <c r="J33" s="189">
        <v>1200000</v>
      </c>
      <c r="K33" s="189">
        <v>1200000</v>
      </c>
      <c r="L33" s="189">
        <v>1200000</v>
      </c>
      <c r="M33" s="189">
        <v>1200000</v>
      </c>
      <c r="N33" s="189">
        <v>1200000</v>
      </c>
      <c r="O33" s="189">
        <v>1200000</v>
      </c>
      <c r="P33" s="189">
        <v>1200000</v>
      </c>
      <c r="Q33" s="189">
        <v>1200000</v>
      </c>
      <c r="R33" s="189">
        <v>1200000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7640103984.25</v>
      </c>
      <c r="F34" s="49">
        <f t="shared" ref="F34:BP34" si="81">F31-F32-F33</f>
        <v>7531029962.8600006</v>
      </c>
      <c r="G34" s="49">
        <f t="shared" si="81"/>
        <v>7600107901.0700006</v>
      </c>
      <c r="H34" s="49">
        <f t="shared" si="81"/>
        <v>7652775457.9499998</v>
      </c>
      <c r="I34" s="49">
        <f t="shared" si="81"/>
        <v>7667044890.6100006</v>
      </c>
      <c r="J34" s="49">
        <f t="shared" si="81"/>
        <v>7715000448.5500002</v>
      </c>
      <c r="K34" s="49">
        <f t="shared" si="81"/>
        <v>7797508134.4400005</v>
      </c>
      <c r="L34" s="49">
        <f t="shared" si="81"/>
        <v>7860467227.0500002</v>
      </c>
      <c r="M34" s="49">
        <f t="shared" si="81"/>
        <v>7946402094.79</v>
      </c>
      <c r="N34" s="49">
        <f t="shared" si="81"/>
        <v>7787066965.4900007</v>
      </c>
      <c r="O34" s="49">
        <f t="shared" si="81"/>
        <v>7863601179.8200006</v>
      </c>
      <c r="P34" s="49">
        <f t="shared" si="81"/>
        <v>7849831916.2600002</v>
      </c>
      <c r="Q34" s="49">
        <f t="shared" si="81"/>
        <v>7905968097.9200001</v>
      </c>
      <c r="R34" s="49">
        <f t="shared" si="81"/>
        <v>7848396657.2400007</v>
      </c>
      <c r="S34" s="49">
        <f t="shared" si="81"/>
        <v>7654091040.0799999</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6" customFormat="1" ht="15" thickBot="1" x14ac:dyDescent="0.3">
      <c r="A35" s="139" t="s">
        <v>317</v>
      </c>
      <c r="B35" s="33">
        <f>SUM(B22:B31)</f>
        <v>4422942740.3299999</v>
      </c>
      <c r="C35" s="33">
        <f>SUM(C22:C31)</f>
        <v>9558910439.3099995</v>
      </c>
      <c r="D35" s="33">
        <f>SUM(D22:D31)</f>
        <v>7748252565.6499996</v>
      </c>
      <c r="E35" s="33">
        <f>资产资本表!E17</f>
        <v>41206139837.209999</v>
      </c>
      <c r="F35" s="33">
        <f>资产资本表!F17</f>
        <v>37760386205.559998</v>
      </c>
      <c r="G35" s="33">
        <f>资产资本表!G17</f>
        <v>35291765880.580002</v>
      </c>
      <c r="H35" s="33">
        <f>资产资本表!H17</f>
        <v>37141435164.459999</v>
      </c>
      <c r="I35" s="33">
        <f>资产资本表!I17</f>
        <v>35271136987.740005</v>
      </c>
      <c r="J35" s="33">
        <f>资产资本表!J17</f>
        <v>34215368026.389999</v>
      </c>
      <c r="K35" s="33">
        <f>资产资本表!K17</f>
        <v>31154374222.149998</v>
      </c>
      <c r="L35" s="33">
        <f>资产资本表!L17</f>
        <v>27457022528.27</v>
      </c>
      <c r="M35" s="33">
        <f>资产资本表!M17</f>
        <v>26773901419.16</v>
      </c>
      <c r="N35" s="33">
        <f>资产资本表!N17</f>
        <v>25763643116.34</v>
      </c>
      <c r="O35" s="33">
        <f>资产资本表!O17</f>
        <v>23225293875.670002</v>
      </c>
      <c r="P35" s="33">
        <f>资产资本表!P17</f>
        <v>24474208028.779999</v>
      </c>
      <c r="Q35" s="33">
        <f>资产资本表!Q17</f>
        <v>22599705731.139999</v>
      </c>
      <c r="R35" s="33">
        <f>资产资本表!R17</f>
        <v>21126333163.73</v>
      </c>
      <c r="S35" s="33">
        <f>资产资本表!S17</f>
        <v>20387235252.57</v>
      </c>
      <c r="T35" s="33">
        <f>资产资本表!T17</f>
        <v>23073039389.989998</v>
      </c>
      <c r="U35" s="33">
        <f>资产资本表!U17</f>
        <v>26118692258.639999</v>
      </c>
      <c r="V35" s="33">
        <f>资产资本表!V17</f>
        <v>25031477832.98</v>
      </c>
      <c r="W35" s="33">
        <f>资产资本表!W17</f>
        <v>26224171936.170002</v>
      </c>
      <c r="X35" s="33">
        <f>资产资本表!X17</f>
        <v>29270548001.169998</v>
      </c>
      <c r="Y35" s="33">
        <f>资产资本表!Y17</f>
        <v>28282678686.579998</v>
      </c>
      <c r="Z35" s="33">
        <f>资产资本表!Z17</f>
        <v>26212779803.650002</v>
      </c>
      <c r="AA35" s="33">
        <f>资产资本表!AA17</f>
        <v>23584755802.830002</v>
      </c>
      <c r="AB35" s="33">
        <f>资产资本表!AB17</f>
        <v>23195331714.5</v>
      </c>
      <c r="AC35" s="33">
        <f>资产资本表!AC17</f>
        <v>21865067913.639999</v>
      </c>
      <c r="AD35" s="33">
        <f>资产资本表!AD17</f>
        <v>19184803623.789997</v>
      </c>
      <c r="AE35" s="33">
        <f>资产资本表!AE17</f>
        <v>18379973645.23</v>
      </c>
      <c r="AF35" s="33">
        <f>资产资本表!AF17</f>
        <v>16253007648.639999</v>
      </c>
      <c r="AG35" s="33">
        <f>资产资本表!AG17</f>
        <v>14218929799.84</v>
      </c>
      <c r="AH35" s="33">
        <f>资产资本表!AH17</f>
        <v>11511333260.220001</v>
      </c>
      <c r="AI35" s="33">
        <f>资产资本表!AI17</f>
        <v>10012132378.76</v>
      </c>
      <c r="AJ35" s="33">
        <f>资产资本表!AJ17</f>
        <v>9581517222.7000008</v>
      </c>
      <c r="AK35" s="33">
        <f>资产资本表!AK17</f>
        <v>7596631543.4700003</v>
      </c>
      <c r="AL35" s="33">
        <f>资产资本表!AL17</f>
        <v>6576202996.1300001</v>
      </c>
      <c r="AM35" s="33">
        <f>资产资本表!AM17</f>
        <v>4868026612.3599997</v>
      </c>
      <c r="AN35" s="33">
        <f>资产资本表!AN17</f>
        <v>7118454004.9499998</v>
      </c>
      <c r="AO35" s="33">
        <f>资产资本表!AO17</f>
        <v>5986301716.8400002</v>
      </c>
      <c r="AP35" s="33">
        <f>资产资本表!AP17</f>
        <v>5848815880.0900002</v>
      </c>
      <c r="AQ35" s="33">
        <f>资产资本表!AQ17</f>
        <v>5241667192.3999996</v>
      </c>
      <c r="AR35" s="33">
        <f>资产资本表!AR17</f>
        <v>5243442422.5600004</v>
      </c>
      <c r="AS35" s="33">
        <f>资产资本表!AS17</f>
        <v>4112072765.1799998</v>
      </c>
      <c r="AT35" s="33">
        <f>资产资本表!AT17</f>
        <v>4726953237.1400003</v>
      </c>
      <c r="AU35" s="33">
        <f>资产资本表!AU17</f>
        <v>4326616347.71</v>
      </c>
      <c r="AV35" s="33">
        <f>资产资本表!AV17</f>
        <v>3831893890.9099998</v>
      </c>
      <c r="AW35" s="33">
        <f>资产资本表!AW17</f>
        <v>2818848444.02</v>
      </c>
      <c r="AX35" s="33">
        <f>资产资本表!AX17</f>
        <v>2687335844.2000003</v>
      </c>
      <c r="AY35" s="33">
        <f>资产资本表!AY17</f>
        <v>2474238718.1799998</v>
      </c>
      <c r="AZ35" s="33">
        <f>资产资本表!AZ17</f>
        <v>2768007739.1600003</v>
      </c>
      <c r="BA35" s="33">
        <f>资产资本表!BA17</f>
        <v>1984530518.3200002</v>
      </c>
      <c r="BB35" s="33">
        <f>资产资本表!BB17</f>
        <v>1580387787.6900001</v>
      </c>
      <c r="BC35" s="33">
        <f>资产资本表!BC17</f>
        <v>1494680127.27</v>
      </c>
      <c r="BD35" s="33">
        <f>资产资本表!BD17</f>
        <v>1245188936.1499999</v>
      </c>
      <c r="BE35" s="33">
        <f>资产资本表!BE17</f>
        <v>889392003.33000004</v>
      </c>
      <c r="BF35" s="33">
        <f>资产资本表!BF17</f>
        <v>1473124496.9199998</v>
      </c>
      <c r="BG35" s="33">
        <f>资产资本表!BG17</f>
        <v>1316861678.8299999</v>
      </c>
      <c r="BH35" s="33">
        <f>资产资本表!BH17</f>
        <v>1900573868.25</v>
      </c>
      <c r="BI35" s="33">
        <f>资产资本表!BI17</f>
        <v>1006515944.6799999</v>
      </c>
      <c r="BJ35" s="33">
        <f>资产资本表!BJ17</f>
        <v>1275653227.9299998</v>
      </c>
      <c r="BK35" s="33">
        <f>资产资本表!BK17</f>
        <v>1563531490.1699998</v>
      </c>
      <c r="BL35" s="33">
        <f>资产资本表!BL17</f>
        <v>1557032356.6500001</v>
      </c>
      <c r="BM35" s="33">
        <f>资产资本表!BM17</f>
        <v>1341653639.02</v>
      </c>
      <c r="BN35" s="33">
        <f>资产资本表!BN17</f>
        <v>1622874814.46</v>
      </c>
      <c r="BO35" s="33">
        <f>资产资本表!BO17</f>
        <v>1823750155.4399998</v>
      </c>
      <c r="BP35" s="33">
        <f>资产资本表!BP17</f>
        <v>1790107708.29</v>
      </c>
      <c r="BQ35" s="33">
        <f>资产资本表!BQ17</f>
        <v>1543799068.79</v>
      </c>
      <c r="BR35" s="33">
        <f>资产资本表!BR17</f>
        <v>0</v>
      </c>
      <c r="BS35" s="33">
        <f>资产资本表!BS17</f>
        <v>1567029389.1900001</v>
      </c>
      <c r="BT35" s="33">
        <f>资产资本表!BT17</f>
        <v>2415608007.5899997</v>
      </c>
      <c r="BU35" s="33">
        <f>资产资本表!BU17</f>
        <v>1717159838.0200002</v>
      </c>
      <c r="BV35" s="33">
        <f>资产资本表!BV17</f>
        <v>599617487.89999998</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744</v>
      </c>
      <c r="B40" s="192">
        <v>1813717926.3599999</v>
      </c>
      <c r="C40" s="192">
        <v>1813717926.3599999</v>
      </c>
      <c r="D40" s="192">
        <v>0</v>
      </c>
      <c r="E40" s="192">
        <v>0</v>
      </c>
      <c r="F40" s="192">
        <v>0</v>
      </c>
      <c r="G40" s="192">
        <v>0</v>
      </c>
      <c r="H40" s="192">
        <v>0</v>
      </c>
      <c r="I40" s="192">
        <v>15952288.85</v>
      </c>
      <c r="J40" s="192">
        <v>15900000</v>
      </c>
      <c r="K40" s="192">
        <v>0</v>
      </c>
      <c r="L40" s="192">
        <v>0</v>
      </c>
      <c r="M40" s="192">
        <v>59000000</v>
      </c>
      <c r="N40" s="192">
        <v>59000000</v>
      </c>
      <c r="O40" s="192">
        <v>39000000</v>
      </c>
      <c r="P40" s="192">
        <v>4000000</v>
      </c>
      <c r="Q40" s="192">
        <v>6000000</v>
      </c>
      <c r="R40" s="192">
        <v>2666009</v>
      </c>
      <c r="S40" s="192">
        <v>0</v>
      </c>
      <c r="T40" s="192">
        <v>0</v>
      </c>
      <c r="U40" s="192">
        <v>172467935.24000001</v>
      </c>
      <c r="V40" s="192">
        <v>73500000</v>
      </c>
      <c r="W40" s="192">
        <v>0</v>
      </c>
      <c r="X40" s="192">
        <v>0</v>
      </c>
      <c r="Y40" s="192">
        <v>0</v>
      </c>
      <c r="Z40" s="192">
        <v>0</v>
      </c>
      <c r="AA40" s="192">
        <v>0</v>
      </c>
      <c r="AB40" s="192">
        <v>0</v>
      </c>
      <c r="AC40" s="192">
        <v>0</v>
      </c>
      <c r="AD40" s="192">
        <v>0</v>
      </c>
      <c r="AE40" s="192">
        <v>0</v>
      </c>
      <c r="AF40" s="192">
        <v>0</v>
      </c>
      <c r="AG40" s="192">
        <v>13000000</v>
      </c>
      <c r="AH40" s="192">
        <v>0</v>
      </c>
      <c r="AI40" s="192">
        <v>0</v>
      </c>
      <c r="AJ40" s="192">
        <v>0</v>
      </c>
      <c r="AK40" s="192">
        <v>11000000</v>
      </c>
      <c r="AL40" s="192">
        <v>0</v>
      </c>
      <c r="AM40" s="192">
        <v>0</v>
      </c>
      <c r="AN40" s="192">
        <v>0</v>
      </c>
      <c r="AO40" s="192">
        <v>0</v>
      </c>
      <c r="AP40" s="192">
        <v>0</v>
      </c>
      <c r="AQ40" s="192">
        <v>0</v>
      </c>
      <c r="AR40" s="192">
        <v>0</v>
      </c>
      <c r="AS40" s="192">
        <v>15000000</v>
      </c>
      <c r="AT40" s="192">
        <v>15000000</v>
      </c>
      <c r="AU40" s="192">
        <v>15000000</v>
      </c>
      <c r="AV40" s="192">
        <v>0</v>
      </c>
      <c r="AW40" s="192">
        <v>0</v>
      </c>
      <c r="AX40" s="192">
        <v>1000000</v>
      </c>
      <c r="AY40" s="192">
        <v>1000000</v>
      </c>
      <c r="AZ40" s="192">
        <v>0</v>
      </c>
      <c r="BA40" s="192">
        <v>0</v>
      </c>
      <c r="BB40" s="192">
        <v>0</v>
      </c>
      <c r="BC40" s="192">
        <v>0</v>
      </c>
      <c r="BD40" s="192">
        <v>0</v>
      </c>
      <c r="BE40" s="192">
        <v>2450000</v>
      </c>
      <c r="BF40" s="192">
        <v>0</v>
      </c>
      <c r="BG40" s="192">
        <v>0</v>
      </c>
      <c r="BH40" s="192">
        <v>0</v>
      </c>
      <c r="BI40" s="192">
        <v>0</v>
      </c>
      <c r="BJ40" s="192">
        <v>0</v>
      </c>
      <c r="BK40" s="192">
        <v>0</v>
      </c>
      <c r="BL40" s="192">
        <v>0</v>
      </c>
      <c r="BM40" s="192">
        <v>800000</v>
      </c>
      <c r="BN40" s="192">
        <v>0</v>
      </c>
      <c r="BO40" s="192">
        <v>615571049.24000001</v>
      </c>
      <c r="BP40" s="192">
        <v>614591049.24000001</v>
      </c>
      <c r="BQ40" s="192">
        <v>0</v>
      </c>
      <c r="BR40" s="192">
        <v>0</v>
      </c>
      <c r="BS40" s="192">
        <v>0</v>
      </c>
      <c r="BT40" s="192">
        <v>0</v>
      </c>
      <c r="BU40" s="192">
        <v>1165397962.47</v>
      </c>
      <c r="BV40" s="192">
        <v>0</v>
      </c>
    </row>
    <row r="41" spans="1:74" s="53" customFormat="1" ht="21.75" customHeight="1" x14ac:dyDescent="0.25">
      <c r="A41" s="140" t="s">
        <v>635</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x14ac:dyDescent="0.25">
      <c r="A42" s="17" t="s">
        <v>322</v>
      </c>
      <c r="E42" s="26">
        <f>E40-E41</f>
        <v>-3416370048</v>
      </c>
      <c r="F42" s="26">
        <f t="shared" ref="F42:Y42" si="82">F40-F41</f>
        <v>0</v>
      </c>
      <c r="G42" s="26">
        <f t="shared" si="82"/>
        <v>0</v>
      </c>
      <c r="H42" s="26">
        <f t="shared" si="82"/>
        <v>0</v>
      </c>
      <c r="I42" s="26">
        <f>I40-I41</f>
        <v>-3020821087.1500001</v>
      </c>
      <c r="J42" s="26">
        <f t="shared" si="82"/>
        <v>15900000</v>
      </c>
      <c r="K42" s="26">
        <f t="shared" si="82"/>
        <v>0</v>
      </c>
      <c r="L42" s="26">
        <f t="shared" si="82"/>
        <v>0</v>
      </c>
      <c r="M42" s="26">
        <f t="shared" si="82"/>
        <v>-2218580032</v>
      </c>
      <c r="N42" s="26">
        <f t="shared" si="82"/>
        <v>59000000</v>
      </c>
      <c r="O42" s="26">
        <f t="shared" si="82"/>
        <v>39000000</v>
      </c>
      <c r="P42" s="26">
        <f t="shared" si="82"/>
        <v>4000000</v>
      </c>
      <c r="Q42" s="26">
        <f t="shared" si="82"/>
        <v>-2651176704</v>
      </c>
      <c r="R42" s="26">
        <f t="shared" si="82"/>
        <v>2666009</v>
      </c>
      <c r="S42" s="26">
        <f t="shared" si="82"/>
        <v>0</v>
      </c>
      <c r="T42" s="26">
        <f t="shared" si="82"/>
        <v>0</v>
      </c>
      <c r="U42" s="26">
        <f t="shared" si="82"/>
        <v>-2864305440.7600002</v>
      </c>
      <c r="V42" s="26">
        <f t="shared" si="82"/>
        <v>73500000</v>
      </c>
      <c r="W42" s="26">
        <f t="shared" si="82"/>
        <v>0</v>
      </c>
      <c r="X42" s="26">
        <f t="shared" si="82"/>
        <v>0</v>
      </c>
      <c r="Y42" s="26">
        <f t="shared" si="82"/>
        <v>-1897983360</v>
      </c>
      <c r="Z42" s="26">
        <f t="shared" ref="Z42:BQ42" si="83">Z40-Z41</f>
        <v>0</v>
      </c>
      <c r="AA42" s="26">
        <f t="shared" si="83"/>
        <v>0</v>
      </c>
      <c r="AB42" s="26">
        <f t="shared" si="83"/>
        <v>0</v>
      </c>
      <c r="AC42" s="26">
        <f t="shared" si="83"/>
        <v>-113879</v>
      </c>
      <c r="AD42" s="26">
        <f t="shared" si="83"/>
        <v>0</v>
      </c>
      <c r="AE42" s="26">
        <f t="shared" si="83"/>
        <v>0</v>
      </c>
      <c r="AF42" s="26">
        <f t="shared" si="83"/>
        <v>0</v>
      </c>
      <c r="AG42" s="26">
        <f t="shared" si="83"/>
        <v>12943060.5</v>
      </c>
      <c r="AH42" s="26">
        <f t="shared" si="83"/>
        <v>0</v>
      </c>
      <c r="AI42" s="26">
        <f t="shared" si="83"/>
        <v>0</v>
      </c>
      <c r="AJ42" s="26">
        <f t="shared" si="83"/>
        <v>0</v>
      </c>
      <c r="AK42" s="26">
        <f t="shared" si="83"/>
        <v>10981020.17</v>
      </c>
      <c r="AL42" s="192">
        <f t="shared" si="83"/>
        <v>0</v>
      </c>
      <c r="AM42" s="192">
        <f t="shared" si="83"/>
        <v>0</v>
      </c>
      <c r="AN42" s="192">
        <f t="shared" si="83"/>
        <v>0</v>
      </c>
      <c r="AO42" s="192">
        <f t="shared" si="83"/>
        <v>0</v>
      </c>
      <c r="AP42" s="192">
        <f t="shared" si="83"/>
        <v>0</v>
      </c>
      <c r="AQ42" s="192">
        <f t="shared" si="83"/>
        <v>0</v>
      </c>
      <c r="AR42" s="192">
        <f t="shared" si="83"/>
        <v>0</v>
      </c>
      <c r="AS42" s="192">
        <f t="shared" si="83"/>
        <v>15000000</v>
      </c>
      <c r="AT42" s="192">
        <f t="shared" si="83"/>
        <v>15000000</v>
      </c>
      <c r="AU42" s="192">
        <f t="shared" si="83"/>
        <v>15000000</v>
      </c>
      <c r="AV42" s="192">
        <f t="shared" si="83"/>
        <v>0</v>
      </c>
      <c r="AW42" s="192">
        <f t="shared" si="83"/>
        <v>0</v>
      </c>
      <c r="AX42" s="192">
        <f t="shared" si="83"/>
        <v>1000000</v>
      </c>
      <c r="AY42" s="192">
        <f t="shared" si="83"/>
        <v>1000000</v>
      </c>
      <c r="AZ42" s="192">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15660240.74</v>
      </c>
      <c r="F45" s="192">
        <f>股权价值增加表!F53</f>
        <v>0</v>
      </c>
      <c r="G45" s="192">
        <f>股权价值增加表!G53</f>
        <v>0</v>
      </c>
      <c r="H45" s="192">
        <f>股权价值增加表!H53</f>
        <v>0</v>
      </c>
      <c r="I45" s="192">
        <f>股权价值增加表!I53</f>
        <v>29047315.350000001</v>
      </c>
      <c r="J45" s="192">
        <f>股权价值增加表!J53</f>
        <v>0</v>
      </c>
      <c r="K45" s="192">
        <f>股权价值增加表!K53</f>
        <v>0</v>
      </c>
      <c r="L45" s="192">
        <f>股权价值增加表!L53</f>
        <v>0</v>
      </c>
      <c r="M45" s="192">
        <f>股权价值增加表!M53</f>
        <v>14522441.789999999</v>
      </c>
      <c r="N45" s="192">
        <f>股权价值增加表!N53</f>
        <v>0</v>
      </c>
      <c r="O45" s="192">
        <f>股权价值增加表!O53</f>
        <v>0</v>
      </c>
      <c r="P45" s="192">
        <f>股权价值增加表!P53</f>
        <v>0</v>
      </c>
      <c r="Q45" s="192">
        <f>股权价值增加表!Q53</f>
        <v>8563830.6600000001</v>
      </c>
      <c r="R45" s="192">
        <f>股权价值增加表!R53</f>
        <v>0</v>
      </c>
      <c r="S45" s="192">
        <f>股权价值增加表!S53</f>
        <v>0</v>
      </c>
      <c r="T45" s="192">
        <f>股权价值增加表!T53</f>
        <v>0</v>
      </c>
      <c r="U45" s="192">
        <f>股权价值增加表!U53</f>
        <v>0</v>
      </c>
      <c r="V45" s="192">
        <f>股权价值增加表!V53</f>
        <v>0</v>
      </c>
      <c r="W45" s="192">
        <f>股权价值增加表!W53</f>
        <v>0</v>
      </c>
      <c r="X45" s="192">
        <f>股权价值增加表!X53</f>
        <v>0</v>
      </c>
      <c r="Y45" s="192">
        <f>股权价值增加表!Y53</f>
        <v>0</v>
      </c>
      <c r="Z45" s="192">
        <f>股权价值增加表!Z53</f>
        <v>0</v>
      </c>
      <c r="AA45" s="192">
        <f>股权价值增加表!AA53</f>
        <v>0</v>
      </c>
      <c r="AB45" s="192">
        <f>股权价值增加表!AB53</f>
        <v>0</v>
      </c>
      <c r="AC45" s="192">
        <f>股权价值增加表!AC53</f>
        <v>0</v>
      </c>
      <c r="AD45" s="192">
        <f>股权价值增加表!AD53</f>
        <v>0</v>
      </c>
      <c r="AE45" s="192">
        <f>股权价值增加表!AE53</f>
        <v>0</v>
      </c>
      <c r="AF45" s="192">
        <f>股权价值增加表!AF53</f>
        <v>0</v>
      </c>
      <c r="AG45" s="192">
        <f>股权价值增加表!AG53</f>
        <v>0</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2450000</v>
      </c>
      <c r="AM47" s="189">
        <v>2450000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599</v>
      </c>
      <c r="B48" s="189">
        <v>0</v>
      </c>
      <c r="C48" s="189">
        <v>0</v>
      </c>
      <c r="D48" s="189">
        <v>0</v>
      </c>
      <c r="E48" s="189">
        <v>0</v>
      </c>
      <c r="F48" s="189">
        <v>0</v>
      </c>
      <c r="G48" s="189">
        <v>0</v>
      </c>
      <c r="H48" s="189">
        <v>0</v>
      </c>
      <c r="I48" s="189">
        <v>0</v>
      </c>
      <c r="J48" s="189">
        <v>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600</v>
      </c>
      <c r="E49" s="192">
        <f>E44+E48-E45-E46-E47</f>
        <v>-15660240.74</v>
      </c>
      <c r="F49" s="192">
        <f t="shared" ref="F49:BQ49" si="85">F44+F48-F45-F46-F47</f>
        <v>0</v>
      </c>
      <c r="G49" s="192">
        <f t="shared" si="85"/>
        <v>0</v>
      </c>
      <c r="H49" s="192">
        <f t="shared" si="85"/>
        <v>0</v>
      </c>
      <c r="I49" s="192">
        <f t="shared" si="85"/>
        <v>-29047315.350000001</v>
      </c>
      <c r="J49" s="192">
        <f t="shared" si="85"/>
        <v>0</v>
      </c>
      <c r="K49" s="192">
        <f t="shared" si="85"/>
        <v>0</v>
      </c>
      <c r="L49" s="192">
        <f t="shared" si="85"/>
        <v>0</v>
      </c>
      <c r="M49" s="192">
        <f t="shared" si="85"/>
        <v>-14522441.789999999</v>
      </c>
      <c r="N49" s="192">
        <f t="shared" si="85"/>
        <v>0</v>
      </c>
      <c r="O49" s="192">
        <f t="shared" si="85"/>
        <v>0</v>
      </c>
      <c r="P49" s="192">
        <f t="shared" si="85"/>
        <v>0</v>
      </c>
      <c r="Q49" s="192">
        <f t="shared" si="85"/>
        <v>-8563830.6600000001</v>
      </c>
      <c r="R49" s="192">
        <f t="shared" si="85"/>
        <v>0</v>
      </c>
      <c r="S49" s="192">
        <f t="shared" si="85"/>
        <v>0</v>
      </c>
      <c r="T49" s="192">
        <f t="shared" si="85"/>
        <v>0</v>
      </c>
      <c r="U49" s="192">
        <f t="shared" si="85"/>
        <v>0</v>
      </c>
      <c r="V49" s="192">
        <f t="shared" si="85"/>
        <v>0</v>
      </c>
      <c r="W49" s="192">
        <f t="shared" si="85"/>
        <v>0</v>
      </c>
      <c r="X49" s="192">
        <f t="shared" si="85"/>
        <v>0</v>
      </c>
      <c r="Y49" s="192">
        <f t="shared" si="85"/>
        <v>0</v>
      </c>
      <c r="Z49" s="192">
        <f t="shared" si="85"/>
        <v>0</v>
      </c>
      <c r="AA49" s="192">
        <f t="shared" si="85"/>
        <v>0</v>
      </c>
      <c r="AB49" s="192">
        <f t="shared" si="85"/>
        <v>0</v>
      </c>
      <c r="AC49" s="192">
        <f t="shared" si="85"/>
        <v>0</v>
      </c>
      <c r="AD49" s="192">
        <f t="shared" si="85"/>
        <v>0</v>
      </c>
      <c r="AE49" s="192">
        <f t="shared" si="85"/>
        <v>0</v>
      </c>
      <c r="AF49" s="192">
        <f t="shared" si="85"/>
        <v>0</v>
      </c>
      <c r="AG49" s="192">
        <f t="shared" si="85"/>
        <v>0</v>
      </c>
      <c r="AH49" s="192">
        <f t="shared" si="85"/>
        <v>0</v>
      </c>
      <c r="AI49" s="192">
        <f t="shared" si="85"/>
        <v>0</v>
      </c>
      <c r="AJ49" s="192">
        <f t="shared" si="85"/>
        <v>0</v>
      </c>
      <c r="AK49" s="192">
        <f t="shared" si="85"/>
        <v>0</v>
      </c>
      <c r="AL49" s="192">
        <f t="shared" si="85"/>
        <v>-2450000</v>
      </c>
      <c r="AM49" s="192">
        <f t="shared" si="85"/>
        <v>-2450000</v>
      </c>
      <c r="AN49" s="192">
        <f t="shared" si="85"/>
        <v>0</v>
      </c>
      <c r="AO49" s="192">
        <f t="shared" si="85"/>
        <v>0</v>
      </c>
      <c r="AP49" s="192">
        <f t="shared" si="85"/>
        <v>0</v>
      </c>
      <c r="AQ49" s="192">
        <f t="shared" si="85"/>
        <v>0</v>
      </c>
      <c r="AR49" s="192">
        <f t="shared" si="85"/>
        <v>0</v>
      </c>
      <c r="AS49" s="192">
        <f t="shared" si="85"/>
        <v>0</v>
      </c>
      <c r="AT49" s="192">
        <f t="shared" si="85"/>
        <v>0</v>
      </c>
      <c r="AU49" s="192">
        <f t="shared" si="85"/>
        <v>0</v>
      </c>
      <c r="AV49" s="192">
        <f t="shared" si="85"/>
        <v>0</v>
      </c>
      <c r="AW49" s="192">
        <f t="shared" si="85"/>
        <v>0</v>
      </c>
      <c r="AX49" s="192">
        <f t="shared" si="85"/>
        <v>0</v>
      </c>
      <c r="AY49" s="192">
        <f t="shared" si="85"/>
        <v>0</v>
      </c>
      <c r="AZ49" s="192">
        <f t="shared" si="85"/>
        <v>0</v>
      </c>
      <c r="BA49" s="192">
        <f t="shared" si="85"/>
        <v>0</v>
      </c>
      <c r="BB49" s="192">
        <f t="shared" si="85"/>
        <v>0</v>
      </c>
      <c r="BC49" s="192">
        <f t="shared" si="85"/>
        <v>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6" t="s">
        <v>668</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5" hidden="1" customWidth="1"/>
  </cols>
  <sheetData>
    <row r="1" spans="1:74"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1000000</v>
      </c>
      <c r="O4" s="26">
        <f>资产资本表!O89</f>
        <v>1000000</v>
      </c>
      <c r="P4" s="26">
        <f>资产资本表!P89</f>
        <v>1000000</v>
      </c>
      <c r="Q4" s="26">
        <f>资产资本表!Q89</f>
        <v>1000000</v>
      </c>
      <c r="R4" s="26">
        <f>资产资本表!R89</f>
        <v>65516518.030000001</v>
      </c>
      <c r="S4" s="26">
        <f>资产资本表!S89</f>
        <v>65195268.039999999</v>
      </c>
      <c r="T4" s="26">
        <f>资产资本表!T89</f>
        <v>65654018.049999997</v>
      </c>
      <c r="U4" s="26">
        <f>资产资本表!U89</f>
        <v>67612768.060000002</v>
      </c>
      <c r="V4" s="26">
        <f>资产资本表!V89</f>
        <v>57924018.060000002</v>
      </c>
      <c r="W4" s="26">
        <f>资产资本表!W89</f>
        <v>58235268.060000002</v>
      </c>
      <c r="X4" s="26">
        <f>资产资本表!X89</f>
        <v>58546518.060000002</v>
      </c>
      <c r="Y4" s="26">
        <f>资产资本表!Y89</f>
        <v>57857768.060000002</v>
      </c>
      <c r="Z4" s="26">
        <f>资产资本表!Z89</f>
        <v>58139018.060000002</v>
      </c>
      <c r="AA4" s="26">
        <f>资产资本表!AA89</f>
        <v>50620268.060000002</v>
      </c>
      <c r="AB4" s="26">
        <f>资产资本表!AB89</f>
        <v>48501518.060000002</v>
      </c>
      <c r="AC4" s="26">
        <f>资产资本表!AC89</f>
        <v>48182768.060000002</v>
      </c>
      <c r="AD4" s="26">
        <f>资产资本表!AD89</f>
        <v>41877143.07</v>
      </c>
      <c r="AE4" s="26">
        <f>资产资本表!AE89</f>
        <v>24814643.07</v>
      </c>
      <c r="AF4" s="26">
        <f>资产资本表!AF89</f>
        <v>20910598.219999999</v>
      </c>
      <c r="AG4" s="26">
        <f>资产资本表!AG89</f>
        <v>16910598.219999999</v>
      </c>
      <c r="AH4" s="26">
        <f>资产资本表!AH89</f>
        <v>1000000</v>
      </c>
      <c r="AI4" s="26">
        <f>资产资本表!AI89</f>
        <v>1000000</v>
      </c>
      <c r="AJ4" s="26">
        <f>资产资本表!AJ89</f>
        <v>1000000</v>
      </c>
      <c r="AK4" s="26">
        <f>资产资本表!AK89</f>
        <v>1000000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2500000</v>
      </c>
      <c r="AT4" s="26">
        <f>资产资本表!AT89</f>
        <v>2500000</v>
      </c>
      <c r="AU4" s="26">
        <f>资产资本表!AU89</f>
        <v>2500000</v>
      </c>
      <c r="AV4" s="26">
        <f>资产资本表!AV89</f>
        <v>2500000</v>
      </c>
      <c r="AW4" s="26">
        <f>资产资本表!AW89</f>
        <v>2500000</v>
      </c>
      <c r="AX4" s="26">
        <f>资产资本表!AX89</f>
        <v>2500000</v>
      </c>
      <c r="AY4" s="26">
        <f>资产资本表!AY89</f>
        <v>2500000</v>
      </c>
      <c r="AZ4" s="26">
        <f>资产资本表!AZ89</f>
        <v>2500000</v>
      </c>
      <c r="BA4" s="26">
        <f>资产资本表!BA89</f>
        <v>2500000</v>
      </c>
      <c r="BB4" s="26">
        <f>资产资本表!BB89</f>
        <v>2500000</v>
      </c>
      <c r="BC4" s="26">
        <f>资产资本表!BC89</f>
        <v>2500000</v>
      </c>
      <c r="BD4" s="26">
        <f>资产资本表!BD89</f>
        <v>2500000</v>
      </c>
      <c r="BE4" s="26">
        <f>资产资本表!BE89</f>
        <v>2500000</v>
      </c>
      <c r="BF4" s="26">
        <f>资产资本表!BF89</f>
        <v>2500000</v>
      </c>
      <c r="BG4" s="26">
        <f>资产资本表!BG89</f>
        <v>2500000</v>
      </c>
      <c r="BH4" s="26">
        <f>资产资本表!BH89</f>
        <v>2500000</v>
      </c>
      <c r="BI4" s="26">
        <f>资产资本表!BI89</f>
        <v>2500000</v>
      </c>
      <c r="BJ4" s="26">
        <f>资产资本表!BJ89</f>
        <v>2500000</v>
      </c>
      <c r="BK4" s="26">
        <f>资产资本表!BK89</f>
        <v>2500000</v>
      </c>
      <c r="BL4" s="26">
        <f>资产资本表!BL89</f>
        <v>2500000</v>
      </c>
      <c r="BM4" s="26">
        <f>资产资本表!BM89</f>
        <v>22500000</v>
      </c>
      <c r="BN4" s="26">
        <f>资产资本表!BN89</f>
        <v>22500000</v>
      </c>
      <c r="BO4" s="26">
        <f>资产资本表!BO89</f>
        <v>74500000</v>
      </c>
      <c r="BP4" s="26">
        <f>资产资本表!BP89</f>
        <v>22500000</v>
      </c>
      <c r="BQ4" s="26">
        <f>资产资本表!BQ89</f>
        <v>22500000</v>
      </c>
      <c r="BR4" s="26">
        <f>资产资本表!BR89</f>
        <v>0</v>
      </c>
      <c r="BS4" s="26">
        <f>资产资本表!BS89</f>
        <v>22500000</v>
      </c>
      <c r="BT4" s="26">
        <f>资产资本表!BT89</f>
        <v>23500000</v>
      </c>
      <c r="BU4" s="26">
        <f>资产资本表!BU89</f>
        <v>47000000</v>
      </c>
      <c r="BV4" s="26">
        <f>资产资本表!BV89</f>
        <v>4321518.1899999995</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29.044883579999997</v>
      </c>
      <c r="N5" s="63">
        <f t="shared" si="0"/>
        <v>0</v>
      </c>
      <c r="O5" s="63">
        <f t="shared" si="0"/>
        <v>0</v>
      </c>
      <c r="P5" s="63">
        <f t="shared" si="0"/>
        <v>0</v>
      </c>
      <c r="Q5" s="63">
        <f t="shared" si="0"/>
        <v>0.24962790169057639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0.24814207426867488</v>
      </c>
      <c r="F6" s="63">
        <f>股权价值增加表!F41</f>
        <v>0.25063280855569914</v>
      </c>
      <c r="G6" s="63">
        <f>股权价值增加表!G41</f>
        <v>0.258218211103314</v>
      </c>
      <c r="H6" s="63">
        <f>股权价值增加表!H41</f>
        <v>0.24509807084402332</v>
      </c>
      <c r="I6" s="63">
        <f>股权价值增加表!I41</f>
        <v>0.24345696671286918</v>
      </c>
      <c r="J6" s="63">
        <f>股权价值增加表!J41</f>
        <v>0.24620890748540203</v>
      </c>
      <c r="K6" s="63">
        <f>股权价值增加表!K41</f>
        <v>0.24353861533215035</v>
      </c>
      <c r="L6" s="63">
        <f>股权价值增加表!L41</f>
        <v>0.24614811287715008</v>
      </c>
      <c r="M6" s="63">
        <f>股权价值增加表!M41</f>
        <v>0.22646370424388068</v>
      </c>
      <c r="N6" s="63">
        <f>股权价值增加表!N41</f>
        <v>0.23564862599316624</v>
      </c>
      <c r="O6" s="63">
        <f>股权价值增加表!O41</f>
        <v>0.23733709852804941</v>
      </c>
      <c r="P6" s="63">
        <f>股权价值增加表!P41</f>
        <v>0.23928951052758687</v>
      </c>
      <c r="Q6" s="63">
        <f>股权价值增加表!Q41</f>
        <v>0.24402964274861486</v>
      </c>
      <c r="R6" s="63">
        <f>股权价值增加表!R41</f>
        <v>0.24145563243072241</v>
      </c>
      <c r="S6" s="63">
        <f>股权价值增加表!S41</f>
        <v>0.24967735196068683</v>
      </c>
      <c r="T6" s="63">
        <f>股权价值增加表!T41</f>
        <v>0.25427679861502095</v>
      </c>
      <c r="U6" s="63">
        <f>股权价值增加表!U41</f>
        <v>0.25992003539539732</v>
      </c>
      <c r="V6" s="63">
        <f>股权价值增加表!V41</f>
        <v>0.24722167804879705</v>
      </c>
      <c r="W6" s="63">
        <f>股权价值增加表!W41</f>
        <v>0.24677580698585477</v>
      </c>
      <c r="X6" s="63">
        <f>股权价值增加表!X41</f>
        <v>0.24594895030441061</v>
      </c>
      <c r="Y6" s="63">
        <f>股权价值增加表!Y41</f>
        <v>0.24746946606823425</v>
      </c>
      <c r="Z6" s="63">
        <f>股权价值增加表!Z41</f>
        <v>0.24276811644667978</v>
      </c>
      <c r="AA6" s="63">
        <f>股权价值增加表!AA41</f>
        <v>0.24625360826165579</v>
      </c>
      <c r="AB6" s="63">
        <f>股权价值增加表!AB41</f>
        <v>0.24580387454839997</v>
      </c>
      <c r="AC6" s="63">
        <f>股权价值增加表!AC41</f>
        <v>0.24747623709099717</v>
      </c>
      <c r="AD6" s="63">
        <f>股权价值增加表!AD41</f>
        <v>0.24423859988397445</v>
      </c>
      <c r="AE6" s="63">
        <f>股权价值增加表!AE41</f>
        <v>0.24449584814053688</v>
      </c>
      <c r="AF6" s="63">
        <f>股权价值增加表!AF41</f>
        <v>0.24436977638531213</v>
      </c>
      <c r="AG6" s="63">
        <f>股权价值增加表!AG41</f>
        <v>0.24835126227314225</v>
      </c>
      <c r="AH6" s="63">
        <f>股权价值增加表!AH41</f>
        <v>0.24496438882389324</v>
      </c>
      <c r="AI6" s="63">
        <f>股权价值增加表!AI41</f>
        <v>0.24643355651390933</v>
      </c>
      <c r="AJ6" s="63">
        <f>股权价值增加表!AJ41</f>
        <v>0.24373501535547371</v>
      </c>
      <c r="AK6" s="63">
        <f>股权价值增加表!AK41</f>
        <v>0.247290908483184</v>
      </c>
      <c r="AL6" s="63">
        <f>股权价值增加表!AL41</f>
        <v>0.24732701460724757</v>
      </c>
      <c r="AM6" s="63">
        <f>股权价值增加表!AM41</f>
        <v>0.24929008880732312</v>
      </c>
      <c r="AN6" s="63">
        <f>股权价值增加表!AN41</f>
        <v>0.2355747365974096</v>
      </c>
      <c r="AO6" s="63">
        <f>股权价值增加表!AO41</f>
        <v>0.23735673963625942</v>
      </c>
      <c r="AP6" s="63">
        <f>股权价值增加表!AP41</f>
        <v>0.23690252237165799</v>
      </c>
      <c r="AQ6" s="63">
        <f>股权价值增加表!AQ41</f>
        <v>0.23576500155302024</v>
      </c>
      <c r="AR6" s="63">
        <f>股权价值增加表!AR41</f>
        <v>0.24847308812562524</v>
      </c>
      <c r="AS6" s="63">
        <f>股权价值增加表!AS41</f>
        <v>0.32389816473746935</v>
      </c>
      <c r="AT6" s="63">
        <f>股权价值增加表!AT41</f>
        <v>0.32821222277372369</v>
      </c>
      <c r="AU6" s="63">
        <f>股权价值增加表!AU41</f>
        <v>0.32909325161215647</v>
      </c>
      <c r="AV6" s="63">
        <f>股权价值增加表!AV41</f>
        <v>0.33449053971501208</v>
      </c>
      <c r="AW6" s="63">
        <f>股权价值增加表!AW41</f>
        <v>0.34022206816004735</v>
      </c>
      <c r="AX6" s="63">
        <f>股权价值增加表!AX41</f>
        <v>0.34037594814387223</v>
      </c>
      <c r="AY6" s="63">
        <f>股权价值增加表!AY41</f>
        <v>0.33871366441802009</v>
      </c>
      <c r="AZ6" s="63">
        <f>股权价值增加表!AZ41</f>
        <v>0.33913338993609238</v>
      </c>
      <c r="BA6" s="63">
        <f>股权价值增加表!BA41</f>
        <v>0.33347057537063624</v>
      </c>
      <c r="BB6" s="63">
        <f>股权价值增加表!BB41</f>
        <v>0.33279064154825372</v>
      </c>
      <c r="BC6" s="63">
        <f>股权价值增加表!BC41</f>
        <v>0.36303660911533697</v>
      </c>
      <c r="BD6" s="63">
        <f>股权价值增加表!BD41</f>
        <v>0.36495522142213666</v>
      </c>
      <c r="BE6" s="63">
        <f>股权价值增加表!BE41</f>
        <v>0.34829990724788901</v>
      </c>
      <c r="BF6" s="63">
        <f>股权价值增加表!BF41</f>
        <v>0.34430867679970334</v>
      </c>
      <c r="BG6" s="63">
        <f>股权价值增加表!BG41</f>
        <v>0.34182535853645934</v>
      </c>
      <c r="BH6" s="63">
        <f>股权价值增加表!BH41</f>
        <v>0.33584377949728</v>
      </c>
      <c r="BI6" s="63">
        <f>股权价值增加表!BI41</f>
        <v>0.35388549587547463</v>
      </c>
      <c r="BJ6" s="63">
        <f>股权价值增加表!BJ41</f>
        <v>0.36350723627032799</v>
      </c>
      <c r="BK6" s="63">
        <f>股权价值增加表!BK41</f>
        <v>0.39174274394532549</v>
      </c>
      <c r="BL6" s="63">
        <f>股权价值增加表!BL41</f>
        <v>0.4187301586572445</v>
      </c>
      <c r="BM6" s="63">
        <f>股权价值增加表!BM41</f>
        <v>0.28903705702277871</v>
      </c>
      <c r="BN6" s="63">
        <f>股权价值增加表!BN41</f>
        <v>0.27244170982177668</v>
      </c>
      <c r="BO6" s="63">
        <f>股权价值增加表!BO41</f>
        <v>0.25394034007723154</v>
      </c>
      <c r="BP6" s="63">
        <f>股权价值增加表!BP41</f>
        <v>0.32482157338865131</v>
      </c>
      <c r="BQ6" s="63">
        <f>股权价值增加表!BQ41</f>
        <v>0.12544308203269569</v>
      </c>
      <c r="BR6" s="63">
        <f>股权价值增加表!BR41</f>
        <v>4.3268453554916098E-2</v>
      </c>
      <c r="BS6" s="63">
        <f>股权价值增加表!BS41</f>
        <v>0.2724711193120461</v>
      </c>
      <c r="BT6" s="63">
        <f>股权价值增加表!BT41</f>
        <v>0.33075390353636236</v>
      </c>
      <c r="BU6" s="63">
        <f>股权价值增加表!BU41</f>
        <v>0.23790557068180859</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22.467271655140934</v>
      </c>
      <c r="N7" s="63">
        <f t="shared" si="2"/>
        <v>0</v>
      </c>
      <c r="O7" s="63">
        <f t="shared" si="2"/>
        <v>0</v>
      </c>
      <c r="P7" s="63">
        <f t="shared" si="2"/>
        <v>0</v>
      </c>
      <c r="Q7" s="63">
        <f t="shared" si="2"/>
        <v>0.1887112940209387</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54674325649.18</v>
      </c>
      <c r="F8" s="26">
        <f>资产资本表!F107</f>
        <v>51853331585.639999</v>
      </c>
      <c r="G8" s="26">
        <f>资产资本表!G107</f>
        <v>49778166378.909996</v>
      </c>
      <c r="H8" s="26">
        <f>资产资本表!H107</f>
        <v>51945064294.690002</v>
      </c>
      <c r="I8" s="26">
        <f>资产资本表!I107</f>
        <v>48205859209.700005</v>
      </c>
      <c r="J8" s="26">
        <f>资产资本表!J107</f>
        <v>46445709210.339996</v>
      </c>
      <c r="K8" s="26">
        <f>资产资本表!K107</f>
        <v>45335064464.32</v>
      </c>
      <c r="L8" s="26">
        <f>资产资本表!L107</f>
        <v>47353491345.200005</v>
      </c>
      <c r="M8" s="26">
        <f>资产资本表!M107</f>
        <v>44345160962.550003</v>
      </c>
      <c r="N8" s="26">
        <f>资产资本表!N107</f>
        <v>42711787155.93</v>
      </c>
      <c r="O8" s="26">
        <f>资产资本表!O107</f>
        <v>41335880302.610001</v>
      </c>
      <c r="P8" s="26">
        <f>资产资本表!P107</f>
        <v>42627003702.760002</v>
      </c>
      <c r="Q8" s="26">
        <f>资产资本表!Q107</f>
        <v>40333080446.080002</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0.18319679435552802</v>
      </c>
      <c r="F9" s="63">
        <f>股东权益回报率分析表!F14</f>
        <v>0.1401061620600271</v>
      </c>
      <c r="G9" s="63">
        <f>股东权益回报率分析表!G14</f>
        <v>0.10425875130183211</v>
      </c>
      <c r="H9" s="63">
        <f>股东权益回报率分析表!H14</f>
        <v>7.1983806041264919E-2</v>
      </c>
      <c r="I9" s="63">
        <f>股东权益回报率分析表!I14</f>
        <v>0.14701759283369289</v>
      </c>
      <c r="J9" s="63">
        <f>股东权益回报率分析表!J14</f>
        <v>0.11403885653921368</v>
      </c>
      <c r="K9" s="63">
        <f>股东权益回报率分析表!K14</f>
        <v>8.8819209512519162E-2</v>
      </c>
      <c r="L9" s="63">
        <f>股东权益回报率分析表!L14</f>
        <v>6.3528116055268119E-2</v>
      </c>
      <c r="M9" s="63">
        <f>股东权益回报率分析表!M14</f>
        <v>0.14457804861243928</v>
      </c>
      <c r="N9" s="63">
        <f>股东权益回报率分析表!N14</f>
        <v>0.11184525040382803</v>
      </c>
      <c r="O9" s="63">
        <f>股东权益回报率分析表!O14</f>
        <v>8.2765956628580176E-2</v>
      </c>
      <c r="P9" s="63">
        <f>股东权益回报率分析表!P14</f>
        <v>5.3720014492403406E-2</v>
      </c>
      <c r="Q9" s="63">
        <f>股东权益回报率分析表!Q14</f>
        <v>0.15036515059462638</v>
      </c>
      <c r="R9" s="63">
        <f>股东权益回报率分析表!R14</f>
        <v>0.12536989266251689</v>
      </c>
      <c r="S9" s="63">
        <f>股东权益回报率分析表!S14</f>
        <v>0.10900323911248358</v>
      </c>
      <c r="T9" s="63">
        <f>股东权益回报率分析表!T14</f>
        <v>6.8810465789794384E-2</v>
      </c>
      <c r="U9" s="63">
        <f>股东权益回报率分析表!U14</f>
        <v>0.2249658277509802</v>
      </c>
      <c r="V9" s="63">
        <f>股东权益回报率分析表!V14</f>
        <v>0.20621753491464753</v>
      </c>
      <c r="W9" s="63">
        <f>股东权益回报率分析表!W14</f>
        <v>0.1751123518403154</v>
      </c>
      <c r="X9" s="63">
        <f>股东权益回报率分析表!X14</f>
        <v>0.10733597149714912</v>
      </c>
      <c r="Y9" s="63">
        <f>股东权益回报率分析表!Y14</f>
        <v>0.32828789593082675</v>
      </c>
      <c r="Z9" s="63">
        <f>股东权益回报率分析表!Z14</f>
        <v>0.27390988300013597</v>
      </c>
      <c r="AA9" s="63">
        <f>股东权益回报率分析表!AA14</f>
        <v>0.19594469870251735</v>
      </c>
      <c r="AB9" s="63">
        <f>股东权益回报率分析表!AB14</f>
        <v>0.11914942317561712</v>
      </c>
      <c r="AC9" s="63">
        <f>股东权益回报率分析表!AC14</f>
        <v>0.27307139828594473</v>
      </c>
      <c r="AD9" s="63">
        <f>股东权益回报率分析表!AD14</f>
        <v>0.2249926416781744</v>
      </c>
      <c r="AE9" s="63">
        <f>股东权益回报率分析表!AE14</f>
        <v>0.16849015194940059</v>
      </c>
      <c r="AF9" s="63">
        <f>股东权益回报率分析表!AF14</f>
        <v>0.10510452569558308</v>
      </c>
      <c r="AG9" s="63">
        <f>股东权益回报率分析表!AG14</f>
        <v>0.24853440202501764</v>
      </c>
      <c r="AH9" s="63">
        <f>股东权益回报率分析表!AH14</f>
        <v>0.20165311801947006</v>
      </c>
      <c r="AI9" s="63">
        <f>股东权益回报率分析表!AI14</f>
        <v>0.14340681487875317</v>
      </c>
      <c r="AJ9" s="63">
        <f>股东权益回报率分析表!AJ14</f>
        <v>9.748670343829216E-2</v>
      </c>
      <c r="AK9" s="63">
        <f>股东权益回报率分析表!AK14</f>
        <v>0.23776121752054946</v>
      </c>
      <c r="AL9" s="63">
        <f>股东权益回报率分析表!AL14</f>
        <v>0.17444431241579256</v>
      </c>
      <c r="AM9" s="63">
        <f>股东权益回报率分析表!AM14</f>
        <v>0.12570974064966495</v>
      </c>
      <c r="AN9" s="63">
        <f>股东权益回报率分析表!AN14</f>
        <v>9.9745270999610974E-2</v>
      </c>
      <c r="AO9" s="63">
        <f>股东权益回报率分析表!AO14</f>
        <v>0.15971630362840039</v>
      </c>
      <c r="AP9" s="63">
        <f>股东权益回报率分析表!AP14</f>
        <v>0.14283527773767496</v>
      </c>
      <c r="AQ9" s="63">
        <f>股东权益回报率分析表!AQ14</f>
        <v>0.11963607608373648</v>
      </c>
      <c r="AR9" s="63">
        <f>股东权益回报率分析表!AR14</f>
        <v>9.5443805065007908E-2</v>
      </c>
      <c r="AS9" s="63">
        <f>股东权益回报率分析表!AS14</f>
        <v>0.15299686687975161</v>
      </c>
      <c r="AT9" s="63">
        <f>股东权益回报率分析表!AT14</f>
        <v>0.1398801749295534</v>
      </c>
      <c r="AU9" s="63">
        <f>股东权益回报率分析表!AU14</f>
        <v>0.12309446076843604</v>
      </c>
      <c r="AV9" s="63">
        <f>股东权益回报率分析表!AV14</f>
        <v>8.2328280077280366E-2</v>
      </c>
      <c r="AW9" s="63">
        <f>股东权益回报率分析表!AW14</f>
        <v>0.14176172554959052</v>
      </c>
      <c r="AX9" s="63">
        <f>股东权益回报率分析表!AX14</f>
        <v>0.1252864099332589</v>
      </c>
      <c r="AY9" s="63">
        <f>股东权益回报率分析表!AY14</f>
        <v>0.10334363484269118</v>
      </c>
      <c r="AZ9" s="63">
        <f>股东权益回报率分析表!AZ14</f>
        <v>6.8996539094858783E-2</v>
      </c>
      <c r="BA9" s="63">
        <f>股东权益回报率分析表!BA14</f>
        <v>0.10740826831590829</v>
      </c>
      <c r="BB9" s="63">
        <f>股东权益回报率分析表!BB14</f>
        <v>0.10455199329670678</v>
      </c>
      <c r="BC9" s="63">
        <f>股东权益回报率分析表!BC14</f>
        <v>8.2143181602765708E-2</v>
      </c>
      <c r="BD9" s="63">
        <f>股东权益回报率分析表!BD14</f>
        <v>5.9261619187499261E-2</v>
      </c>
      <c r="BE9" s="63">
        <f>股东权益回报率分析表!BE14</f>
        <v>0.12538423665970641</v>
      </c>
      <c r="BF9" s="63">
        <f>股东权益回报率分析表!BF14</f>
        <v>0.10507925201600647</v>
      </c>
      <c r="BG9" s="63">
        <f>股东权益回报率分析表!BG14</f>
        <v>8.5161677950687117E-2</v>
      </c>
      <c r="BH9" s="63">
        <f>股东权益回报率分析表!BH14</f>
        <v>5.9659386699899029E-2</v>
      </c>
      <c r="BI9" s="63">
        <f>股东权益回报率分析表!BI14</f>
        <v>0.11618009882416963</v>
      </c>
      <c r="BJ9" s="63">
        <f>股东权益回报率分析表!BJ14</f>
        <v>9.2871823424655414E-2</v>
      </c>
      <c r="BK9" s="63">
        <f>股东权益回报率分析表!BK14</f>
        <v>6.7973997872508019E-2</v>
      </c>
      <c r="BL9" s="63">
        <f>股东权益回报率分析表!BL14</f>
        <v>5.1304671947083776E-2</v>
      </c>
      <c r="BM9" s="63">
        <f>股东权益回报率分析表!BM14</f>
        <v>0.1155844046258494</v>
      </c>
      <c r="BN9" s="63">
        <f>股东权益回报率分析表!BN14</f>
        <v>9.7711022041019863E-2</v>
      </c>
      <c r="BO9" s="63">
        <f>股东权益回报率分析表!BO14</f>
        <v>7.3346965492383703E-2</v>
      </c>
      <c r="BP9" s="63">
        <f>股东权益回报率分析表!BP14</f>
        <v>5.0928050656231558E-2</v>
      </c>
      <c r="BQ9" s="63">
        <f>股东权益回报率分析表!BQ14</f>
        <v>0.17313648866455314</v>
      </c>
      <c r="BR9" s="63" t="e">
        <f>股东权益回报率分析表!BR14</f>
        <v>#DIV/0!</v>
      </c>
      <c r="BS9" s="63">
        <f>股东权益回报率分析表!BS14</f>
        <v>0.10911835726567473</v>
      </c>
      <c r="BT9" s="63">
        <f>股东权益回报率分析表!BT14</f>
        <v>6.626486275856068E-2</v>
      </c>
      <c r="BU9" s="63">
        <f>股东权益回报率分析表!BU14</f>
        <v>0.23978751954247954</v>
      </c>
      <c r="BV9" s="63">
        <f>股东权益回报率分析表!BV14</f>
        <v>0.1501429283394749</v>
      </c>
    </row>
    <row r="10" spans="1:74" s="26" customFormat="1" x14ac:dyDescent="0.25">
      <c r="A10" s="17" t="s">
        <v>332</v>
      </c>
      <c r="E10" s="26">
        <f>资产资本表!E70</f>
        <v>54674325649.179993</v>
      </c>
      <c r="F10" s="26">
        <f>资产资本表!F70</f>
        <v>51853331585.639999</v>
      </c>
      <c r="G10" s="26">
        <f>资产资本表!G70</f>
        <v>49979299121.460007</v>
      </c>
      <c r="H10" s="26">
        <f>资产资本表!H70</f>
        <v>51945064294.689995</v>
      </c>
      <c r="I10" s="26">
        <f>资产资本表!I70</f>
        <v>48205859209.699997</v>
      </c>
      <c r="J10" s="26">
        <f>资产资本表!J70</f>
        <v>46515855681.759995</v>
      </c>
      <c r="K10" s="26">
        <f>资产资本表!K70</f>
        <v>48371837840.32</v>
      </c>
      <c r="L10" s="26">
        <f>资产资本表!L70</f>
        <v>47353491345.199997</v>
      </c>
      <c r="M10" s="26">
        <f>资产资本表!M70</f>
        <v>44345160962.550003</v>
      </c>
      <c r="N10" s="26">
        <f>资产资本表!N70</f>
        <v>42712787155.93</v>
      </c>
      <c r="O10" s="26">
        <f>资产资本表!O70</f>
        <v>41336880302.610001</v>
      </c>
      <c r="P10" s="26">
        <f>资产资本表!P70</f>
        <v>42628003702.759995</v>
      </c>
      <c r="Q10" s="26">
        <f>资产资本表!Q70</f>
        <v>40334080446.080002</v>
      </c>
      <c r="R10" s="26">
        <f>资产资本表!R70</f>
        <v>39103579805.080002</v>
      </c>
      <c r="S10" s="26">
        <f>资产资本表!S70</f>
        <v>38252008206.360001</v>
      </c>
      <c r="T10" s="26">
        <f>资产资本表!T70</f>
        <v>39820487155.739998</v>
      </c>
      <c r="U10" s="26">
        <f>资产资本表!U70</f>
        <v>37086897320.149994</v>
      </c>
      <c r="V10" s="26">
        <f>资产资本表!V70</f>
        <v>35994179158.279999</v>
      </c>
      <c r="W10" s="26">
        <f>资产资本表!W70</f>
        <v>34550289130.93</v>
      </c>
      <c r="X10" s="26">
        <f>资产资本表!X70</f>
        <v>35656179783.989998</v>
      </c>
      <c r="Y10" s="26">
        <f>资产资本表!Y70</f>
        <v>31901428321.359997</v>
      </c>
      <c r="Z10" s="26">
        <f>资产资本表!Z70</f>
        <v>29679581790.739998</v>
      </c>
      <c r="AA10" s="26">
        <f>资产资本表!AA70</f>
        <v>26799821241.939999</v>
      </c>
      <c r="AB10" s="26">
        <f>资产资本表!AB70</f>
        <v>26626449399.960003</v>
      </c>
      <c r="AC10" s="26">
        <f>资产资本表!AC70</f>
        <v>23669871508.510002</v>
      </c>
      <c r="AD10" s="26">
        <f>资产资本表!AD70</f>
        <v>22331081146.789997</v>
      </c>
      <c r="AE10" s="26">
        <f>资产资本表!AE70</f>
        <v>21186549463.729996</v>
      </c>
      <c r="AF10" s="26">
        <f>资产资本表!AF70</f>
        <v>20729673722.529999</v>
      </c>
      <c r="AG10" s="26">
        <f>资产资本表!AG70</f>
        <v>18732288129.940002</v>
      </c>
      <c r="AH10" s="26">
        <f>资产资本表!AH70</f>
        <v>17603043970.790001</v>
      </c>
      <c r="AI10" s="26">
        <f>资产资本表!AI70</f>
        <v>16423410822.220001</v>
      </c>
      <c r="AJ10" s="26">
        <f>资产资本表!AJ70</f>
        <v>16203070282.960001</v>
      </c>
      <c r="AK10" s="26">
        <f>资产资本表!AK70</f>
        <v>14802088134.84</v>
      </c>
      <c r="AL10" s="26">
        <f>资产资本表!AL70</f>
        <v>13658846653.6</v>
      </c>
      <c r="AM10" s="26">
        <f>资产资本表!AM70</f>
        <v>12886039184.620001</v>
      </c>
      <c r="AN10" s="26">
        <f>资产资本表!AN70</f>
        <v>12725217105.43</v>
      </c>
      <c r="AO10" s="26">
        <f>资产资本表!AO70</f>
        <v>11455936876.720001</v>
      </c>
      <c r="AP10" s="26">
        <f>资产资本表!AP70</f>
        <v>11230323337.110001</v>
      </c>
      <c r="AQ10" s="26">
        <f>资产资本表!AQ70</f>
        <v>10934383750.470001</v>
      </c>
      <c r="AR10" s="26">
        <f>资产资本表!AR70</f>
        <v>10641944677.480003</v>
      </c>
      <c r="AS10" s="26">
        <f>资产资本表!AS70</f>
        <v>9628736984.1700001</v>
      </c>
      <c r="AT10" s="26">
        <f>资产资本表!AT70</f>
        <v>9588088152.4899998</v>
      </c>
      <c r="AU10" s="26">
        <f>资产资本表!AU70</f>
        <v>9406515150.3199997</v>
      </c>
      <c r="AV10" s="26">
        <f>资产资本表!AV70</f>
        <v>9054149388.7700005</v>
      </c>
      <c r="AW10" s="26">
        <f>资产资本表!AW70</f>
        <v>8454013513.0900002</v>
      </c>
      <c r="AX10" s="26">
        <f>资产资本表!AX70</f>
        <v>8302602924.9300003</v>
      </c>
      <c r="AY10" s="26">
        <f>资产资本表!AY70</f>
        <v>8137249006.1499996</v>
      </c>
      <c r="AZ10" s="26">
        <f>资产资本表!AZ70</f>
        <v>8087986067.2200003</v>
      </c>
      <c r="BA10" s="26">
        <f>资产资本表!BA70</f>
        <v>7524846522.0499992</v>
      </c>
      <c r="BB10" s="26">
        <f>资产资本表!BB70</f>
        <v>7491105713.3600006</v>
      </c>
      <c r="BC10" s="26">
        <f>资产资本表!BC70</f>
        <v>7302278404.539999</v>
      </c>
      <c r="BD10" s="26">
        <f>资产资本表!BD70</f>
        <v>7121037037.6599998</v>
      </c>
      <c r="BE10" s="26">
        <f>资产资本表!BE70</f>
        <v>6691200231.8800001</v>
      </c>
      <c r="BF10" s="26">
        <f>资产资本表!BF70</f>
        <v>6533206566.6700001</v>
      </c>
      <c r="BG10" s="26">
        <f>资产资本表!BG70</f>
        <v>6385670190.0599995</v>
      </c>
      <c r="BH10" s="26">
        <f>资产资本表!BH70</f>
        <v>6500576882.1899996</v>
      </c>
      <c r="BI10" s="26">
        <f>资产资本表!BI70</f>
        <v>6104836727.7099991</v>
      </c>
      <c r="BJ10" s="26">
        <f>资产资本表!BJ70</f>
        <v>5958708261.8600006</v>
      </c>
      <c r="BK10" s="26">
        <f>资产资本表!BK70</f>
        <v>5795670354.5</v>
      </c>
      <c r="BL10" s="26">
        <f>资产资本表!BL70</f>
        <v>5742317997.710001</v>
      </c>
      <c r="BM10" s="26">
        <f>资产资本表!BM70</f>
        <v>5416963620.2399998</v>
      </c>
      <c r="BN10" s="26">
        <f>资产资本表!BN70</f>
        <v>5395359334.4400005</v>
      </c>
      <c r="BO10" s="26">
        <f>资产资本表!BO70</f>
        <v>5283996593.54</v>
      </c>
      <c r="BP10" s="26">
        <f>资产资本表!BP70</f>
        <v>5093877620.5799999</v>
      </c>
      <c r="BQ10" s="26">
        <f>资产资本表!BQ70</f>
        <v>4784721787.4300003</v>
      </c>
      <c r="BR10" s="26">
        <f>资产资本表!BR70</f>
        <v>0</v>
      </c>
      <c r="BS10" s="26">
        <f>资产资本表!BS70</f>
        <v>4624765520.9300003</v>
      </c>
      <c r="BT10" s="26">
        <f>资产资本表!BT70</f>
        <v>4409353460.5100002</v>
      </c>
      <c r="BU10" s="26">
        <f>资产资本表!BU70</f>
        <v>3233521226.2400002</v>
      </c>
    </row>
    <row r="11" spans="1:74" s="63" customFormat="1" x14ac:dyDescent="0.25">
      <c r="A11" s="17" t="s">
        <v>348</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2.341219261457551E-5</v>
      </c>
      <c r="O11" s="63">
        <f t="shared" si="3"/>
        <v>2.41914724255778E-5</v>
      </c>
      <c r="P11" s="63">
        <f t="shared" si="3"/>
        <v>2.3458757463119342E-5</v>
      </c>
      <c r="Q11" s="63">
        <f t="shared" si="3"/>
        <v>2.4792929179006194E-5</v>
      </c>
      <c r="R11" s="63">
        <f t="shared" si="3"/>
        <v>1.6754608748503546E-3</v>
      </c>
      <c r="S11" s="63">
        <f t="shared" si="3"/>
        <v>1.7043619693974722E-3</v>
      </c>
      <c r="T11" s="63">
        <f t="shared" si="3"/>
        <v>1.6487497451556461E-3</v>
      </c>
      <c r="U11" s="63">
        <f t="shared" si="3"/>
        <v>1.8230904428682079E-3</v>
      </c>
      <c r="V11" s="63">
        <f t="shared" si="3"/>
        <v>1.609260703106639E-3</v>
      </c>
      <c r="W11" s="63">
        <f t="shared" si="3"/>
        <v>1.6855218733283135E-3</v>
      </c>
      <c r="X11" s="63">
        <f t="shared" si="3"/>
        <v>1.6419739415350382E-3</v>
      </c>
      <c r="Y11" s="63">
        <f t="shared" si="3"/>
        <v>1.8136419309244727E-3</v>
      </c>
      <c r="Z11" s="63">
        <f t="shared" si="3"/>
        <v>1.958889396417955E-3</v>
      </c>
      <c r="AA11" s="63">
        <f t="shared" si="3"/>
        <v>1.8888285710198147E-3</v>
      </c>
      <c r="AB11" s="63">
        <f t="shared" si="3"/>
        <v>1.8215540995140291E-3</v>
      </c>
      <c r="AC11" s="63">
        <f t="shared" si="3"/>
        <v>2.0356159534992368E-3</v>
      </c>
      <c r="AD11" s="63">
        <f t="shared" si="3"/>
        <v>1.8752850699313172E-3</v>
      </c>
      <c r="AE11" s="63">
        <f t="shared" si="3"/>
        <v>1.1712451389255748E-3</v>
      </c>
      <c r="AF11" s="63">
        <f t="shared" si="3"/>
        <v>1.0087278024676946E-3</v>
      </c>
      <c r="AG11" s="63">
        <f t="shared" si="3"/>
        <v>9.0275134050343917E-4</v>
      </c>
      <c r="AH11" s="63">
        <f t="shared" si="3"/>
        <v>5.6808356648962081E-5</v>
      </c>
      <c r="AI11" s="63">
        <f t="shared" si="3"/>
        <v>6.0888691808589063E-5</v>
      </c>
      <c r="AJ11" s="63">
        <f t="shared" si="3"/>
        <v>6.1716698288450463E-5</v>
      </c>
      <c r="AK11" s="63">
        <f t="shared" si="3"/>
        <v>6.7558035791333933E-5</v>
      </c>
      <c r="AL11" s="63">
        <f t="shared" si="3"/>
        <v>0</v>
      </c>
      <c r="AM11" s="63">
        <f t="shared" si="3"/>
        <v>0</v>
      </c>
      <c r="AN11" s="63">
        <f t="shared" si="3"/>
        <v>0</v>
      </c>
      <c r="AO11" s="63">
        <f t="shared" si="3"/>
        <v>0</v>
      </c>
      <c r="AP11" s="63">
        <f t="shared" si="3"/>
        <v>0</v>
      </c>
      <c r="AQ11" s="63">
        <f t="shared" si="3"/>
        <v>0</v>
      </c>
      <c r="AR11" s="63">
        <f t="shared" si="3"/>
        <v>0</v>
      </c>
      <c r="AS11" s="63">
        <f t="shared" si="3"/>
        <v>2.596394526208466E-4</v>
      </c>
      <c r="AT11" s="63">
        <f t="shared" si="3"/>
        <v>2.6074019765356005E-4</v>
      </c>
      <c r="AU11" s="63">
        <f t="shared" si="3"/>
        <v>2.6577323908471596E-4</v>
      </c>
      <c r="AV11" s="63">
        <f t="shared" si="3"/>
        <v>2.761164956147938E-4</v>
      </c>
      <c r="AW11" s="63">
        <f t="shared" si="3"/>
        <v>2.9571753062957107E-4</v>
      </c>
      <c r="AX11" s="63">
        <f t="shared" si="3"/>
        <v>3.0111038942899675E-4</v>
      </c>
      <c r="AY11" s="63">
        <f t="shared" si="3"/>
        <v>3.0722913826411615E-4</v>
      </c>
      <c r="AZ11" s="63">
        <f t="shared" si="3"/>
        <v>3.0910043355938905E-4</v>
      </c>
      <c r="BA11" s="63">
        <f t="shared" si="3"/>
        <v>3.3223268975310919E-4</v>
      </c>
      <c r="BB11" s="63">
        <f t="shared" si="3"/>
        <v>3.3372910430851067E-4</v>
      </c>
      <c r="BC11" s="63">
        <f t="shared" si="3"/>
        <v>3.4235889971624347E-4</v>
      </c>
      <c r="BD11" s="63">
        <f t="shared" si="3"/>
        <v>3.5107246132531136E-4</v>
      </c>
      <c r="BE11" s="63">
        <f t="shared" si="3"/>
        <v>3.7362504683223101E-4</v>
      </c>
      <c r="BF11" s="63">
        <f t="shared" si="3"/>
        <v>3.8266048600913279E-4</v>
      </c>
      <c r="BG11" s="63">
        <f t="shared" si="3"/>
        <v>3.915015848910465E-4</v>
      </c>
      <c r="BH11" s="63">
        <f t="shared" si="3"/>
        <v>3.8458125260381004E-4</v>
      </c>
      <c r="BI11" s="63">
        <f t="shared" si="3"/>
        <v>4.0951136148366433E-4</v>
      </c>
      <c r="BJ11" s="63">
        <f t="shared" si="3"/>
        <v>4.1955401911548349E-4</v>
      </c>
      <c r="BK11" s="63">
        <f t="shared" si="3"/>
        <v>4.3135648632239683E-4</v>
      </c>
      <c r="BL11" s="63">
        <f t="shared" si="3"/>
        <v>4.3536425551440791E-4</v>
      </c>
      <c r="BM11" s="63">
        <f t="shared" si="3"/>
        <v>4.1536184433527967E-3</v>
      </c>
      <c r="BN11" s="63">
        <f t="shared" si="3"/>
        <v>4.1702505070193513E-3</v>
      </c>
      <c r="BO11" s="63">
        <f t="shared" si="3"/>
        <v>1.4099176386881225E-2</v>
      </c>
      <c r="BP11" s="63">
        <f t="shared" si="3"/>
        <v>4.4170672473749185E-3</v>
      </c>
      <c r="BQ11" s="63">
        <f t="shared" si="3"/>
        <v>4.7024677712944607E-3</v>
      </c>
      <c r="BR11" s="63" t="e">
        <f>BR4/BR10</f>
        <v>#DIV/0!</v>
      </c>
      <c r="BS11" s="63">
        <f>BS4/BS10</f>
        <v>4.8651115171511319E-3</v>
      </c>
      <c r="BT11" s="63">
        <f>BT4/BT10</f>
        <v>5.3295795427753968E-3</v>
      </c>
      <c r="BU11" s="63">
        <f>BU4/BU10</f>
        <v>1.4535237813995268E-2</v>
      </c>
      <c r="BV11" s="63" t="e">
        <f>BV4/BV10*100</f>
        <v>#DIV/0!</v>
      </c>
    </row>
    <row r="12" spans="1:74" s="63" customFormat="1" x14ac:dyDescent="0.25">
      <c r="A12" s="17" t="s">
        <v>349</v>
      </c>
      <c r="E12" s="63">
        <f>E8/E10</f>
        <v>1.0000000000000002</v>
      </c>
      <c r="F12" s="63">
        <f t="shared" ref="F12:BQ12" si="4">F8/F10</f>
        <v>1</v>
      </c>
      <c r="G12" s="63">
        <f t="shared" si="4"/>
        <v>0.9959756790093991</v>
      </c>
      <c r="H12" s="63">
        <f t="shared" si="4"/>
        <v>1.0000000000000002</v>
      </c>
      <c r="I12" s="63">
        <f t="shared" si="4"/>
        <v>1.0000000000000002</v>
      </c>
      <c r="J12" s="63">
        <f t="shared" si="4"/>
        <v>0.99849198793848037</v>
      </c>
      <c r="K12" s="63">
        <f t="shared" si="4"/>
        <v>0.93722021921051102</v>
      </c>
      <c r="L12" s="63">
        <f t="shared" si="4"/>
        <v>1.0000000000000002</v>
      </c>
      <c r="M12" s="63">
        <f t="shared" si="4"/>
        <v>1</v>
      </c>
      <c r="N12" s="63">
        <f t="shared" si="4"/>
        <v>0.99997658780738541</v>
      </c>
      <c r="O12" s="63">
        <f t="shared" si="4"/>
        <v>0.99997580852757439</v>
      </c>
      <c r="P12" s="63">
        <f t="shared" si="4"/>
        <v>0.9999765412425371</v>
      </c>
      <c r="Q12" s="63">
        <f t="shared" si="4"/>
        <v>0.99997520707082099</v>
      </c>
      <c r="R12" s="63">
        <f t="shared" si="4"/>
        <v>0.99832453912514951</v>
      </c>
      <c r="S12" s="63">
        <f t="shared" si="4"/>
        <v>0.9982863163866752</v>
      </c>
      <c r="T12" s="63">
        <f t="shared" si="4"/>
        <v>0.99835125025484428</v>
      </c>
      <c r="U12" s="63">
        <f t="shared" si="4"/>
        <v>0.9981769095571319</v>
      </c>
      <c r="V12" s="63">
        <f t="shared" si="4"/>
        <v>0.99839073929689348</v>
      </c>
      <c r="W12" s="63">
        <f t="shared" si="4"/>
        <v>0.99831447812667173</v>
      </c>
      <c r="X12" s="63">
        <f t="shared" si="4"/>
        <v>0.98931331061351979</v>
      </c>
      <c r="Y12" s="63">
        <f t="shared" si="4"/>
        <v>0.98807709284272627</v>
      </c>
      <c r="Z12" s="63">
        <f t="shared" si="4"/>
        <v>0.99804111060358214</v>
      </c>
      <c r="AA12" s="63">
        <f t="shared" si="4"/>
        <v>0.99811117142898031</v>
      </c>
      <c r="AB12" s="63">
        <f t="shared" si="4"/>
        <v>0.99817844590048588</v>
      </c>
      <c r="AC12" s="63">
        <f t="shared" si="4"/>
        <v>0.99057101902814471</v>
      </c>
      <c r="AD12" s="63">
        <f t="shared" si="4"/>
        <v>0.99540984457285309</v>
      </c>
      <c r="AE12" s="63">
        <f t="shared" si="4"/>
        <v>0.97788971563670923</v>
      </c>
      <c r="AF12" s="63">
        <f t="shared" si="4"/>
        <v>0.99206275068906791</v>
      </c>
      <c r="AG12" s="63">
        <f t="shared" si="4"/>
        <v>0.98045158253333053</v>
      </c>
      <c r="AH12" s="63">
        <f t="shared" si="4"/>
        <v>0.99522809804148715</v>
      </c>
      <c r="AI12" s="63">
        <f t="shared" si="4"/>
        <v>0.99488534988807842</v>
      </c>
      <c r="AJ12" s="63">
        <f t="shared" si="4"/>
        <v>0.99905126433129354</v>
      </c>
      <c r="AK12" s="63">
        <f t="shared" si="4"/>
        <v>0.98502738341840068</v>
      </c>
      <c r="AL12" s="63">
        <f t="shared" si="4"/>
        <v>0.99999999999999989</v>
      </c>
      <c r="AM12" s="63">
        <f t="shared" si="4"/>
        <v>1</v>
      </c>
      <c r="AN12" s="63">
        <f t="shared" si="4"/>
        <v>1</v>
      </c>
      <c r="AO12" s="63">
        <f t="shared" si="4"/>
        <v>0.99999999999999989</v>
      </c>
      <c r="AP12" s="63">
        <f t="shared" si="4"/>
        <v>1</v>
      </c>
      <c r="AQ12" s="63">
        <f t="shared" si="4"/>
        <v>0.99999999999999978</v>
      </c>
      <c r="AR12" s="63">
        <f t="shared" si="4"/>
        <v>0.99999999999999978</v>
      </c>
      <c r="AS12" s="63">
        <f t="shared" si="4"/>
        <v>0.99974036054737914</v>
      </c>
      <c r="AT12" s="63">
        <f t="shared" si="4"/>
        <v>0.98930965189620401</v>
      </c>
      <c r="AU12" s="63">
        <f t="shared" si="4"/>
        <v>0.98910329719752665</v>
      </c>
      <c r="AV12" s="63">
        <f t="shared" si="4"/>
        <v>0.99972388350438524</v>
      </c>
      <c r="AW12" s="63">
        <f t="shared" si="4"/>
        <v>0.98121069972220309</v>
      </c>
      <c r="AX12" s="63">
        <f t="shared" si="4"/>
        <v>0.98037751010820817</v>
      </c>
      <c r="AY12" s="63">
        <f t="shared" si="4"/>
        <v>0.97560617330869703</v>
      </c>
      <c r="AZ12" s="63">
        <f t="shared" si="4"/>
        <v>0.98105813271106945</v>
      </c>
      <c r="BA12" s="63">
        <f t="shared" si="4"/>
        <v>0.98154413606934743</v>
      </c>
      <c r="BB12" s="63">
        <f t="shared" si="4"/>
        <v>0.9825940833357274</v>
      </c>
      <c r="BC12" s="63">
        <f t="shared" si="4"/>
        <v>0.9831761496776652</v>
      </c>
      <c r="BD12" s="63">
        <f t="shared" si="4"/>
        <v>0.98348956090689921</v>
      </c>
      <c r="BE12" s="63">
        <f t="shared" si="4"/>
        <v>0.98442157961237509</v>
      </c>
      <c r="BF12" s="63">
        <f t="shared" si="4"/>
        <v>0.98480221243936428</v>
      </c>
      <c r="BG12" s="63">
        <f t="shared" si="4"/>
        <v>0.98544313742593626</v>
      </c>
      <c r="BH12" s="63">
        <f t="shared" si="4"/>
        <v>0.98595661985321448</v>
      </c>
      <c r="BI12" s="63">
        <f t="shared" si="4"/>
        <v>0.98706860730743717</v>
      </c>
      <c r="BJ12" s="63">
        <f t="shared" si="4"/>
        <v>0.98518082994846323</v>
      </c>
      <c r="BK12" s="63">
        <f t="shared" si="4"/>
        <v>0.98552096388904442</v>
      </c>
      <c r="BL12" s="63">
        <f t="shared" si="4"/>
        <v>0.97723806715474026</v>
      </c>
      <c r="BM12" s="63">
        <f t="shared" si="4"/>
        <v>0.98248766815129607</v>
      </c>
      <c r="BN12" s="63">
        <f t="shared" si="4"/>
        <v>0.96644038131729104</v>
      </c>
      <c r="BO12" s="63">
        <f t="shared" si="4"/>
        <v>0.96051577839677871</v>
      </c>
      <c r="BP12" s="63">
        <f t="shared" si="4"/>
        <v>0.97273257008396985</v>
      </c>
      <c r="BQ12" s="63">
        <f t="shared" si="4"/>
        <v>0.98276207932367543</v>
      </c>
      <c r="BR12" s="63" t="e">
        <f>BR8/BR10</f>
        <v>#DIV/0!</v>
      </c>
      <c r="BS12" s="63">
        <f>BS8/BS10</f>
        <v>0.94829798436096346</v>
      </c>
      <c r="BT12" s="63">
        <f>BT8/BT10</f>
        <v>0.9612799766362452</v>
      </c>
      <c r="BU12" s="63">
        <f>BU8/BU10</f>
        <v>0.98691673122579326</v>
      </c>
      <c r="BV12" s="63" t="e">
        <f>BV8/BV10*100</f>
        <v>#DIV/0!</v>
      </c>
    </row>
    <row r="13" spans="1:74" s="63" customFormat="1" x14ac:dyDescent="0.25">
      <c r="A13" s="63" t="s">
        <v>350</v>
      </c>
      <c r="E13" s="63">
        <f>E5*E11*(1-E6)+E9*E12</f>
        <v>0.18319679435552805</v>
      </c>
      <c r="F13" s="63">
        <f t="shared" ref="F13:J13" si="5">F5*F11*(1-F6)+F9*F12</f>
        <v>0.1401061620600271</v>
      </c>
      <c r="G13" s="63">
        <f t="shared" si="5"/>
        <v>0.10383918062051431</v>
      </c>
      <c r="H13" s="63">
        <f t="shared" si="5"/>
        <v>7.1983806041264933E-2</v>
      </c>
      <c r="I13" s="63">
        <f t="shared" si="5"/>
        <v>0.14701759283369292</v>
      </c>
      <c r="J13" s="63">
        <f t="shared" si="5"/>
        <v>0.11386688456807065</v>
      </c>
      <c r="K13" s="63">
        <f t="shared" ref="K13" si="6">K5*K11*(1-K6)+K9*K12</f>
        <v>8.3243159009427511E-2</v>
      </c>
      <c r="L13" s="63">
        <f t="shared" ref="L13" si="7">L5*L11*(1-L6)+L9*L12</f>
        <v>6.3528116055268133E-2</v>
      </c>
      <c r="M13" s="63">
        <f t="shared" ref="M13" si="8">M5*M11*(1-M6)+M9*M12</f>
        <v>0.14457804861243928</v>
      </c>
      <c r="N13" s="63">
        <f t="shared" ref="N13:O13" si="9">N5*N11*(1-N6)+N9*N12</f>
        <v>0.11184263186128256</v>
      </c>
      <c r="O13" s="63">
        <f t="shared" si="9"/>
        <v>8.2763954398222622E-2</v>
      </c>
      <c r="P13" s="63">
        <f t="shared" ref="P13" si="10">P5*P11*(1-P6)+P9*P12</f>
        <v>5.3718754287612525E-2</v>
      </c>
      <c r="Q13" s="63">
        <f t="shared" ref="Q13" si="11">Q5*Q11*(1-Q6)+Q9*Q12</f>
        <v>0.15036610130784464</v>
      </c>
      <c r="R13" s="63">
        <f t="shared" ref="R13" si="12">R5*R11*(1-R6)+R9*R12</f>
        <v>0.12515984031247662</v>
      </c>
      <c r="S13" s="63">
        <f t="shared" ref="S13:T13" si="13">S5*S11*(1-S6)+S9*S12</f>
        <v>0.10881644204781719</v>
      </c>
      <c r="T13" s="63">
        <f t="shared" si="13"/>
        <v>6.869701455185942E-2</v>
      </c>
      <c r="U13" s="63">
        <f t="shared" ref="U13" si="14">U5*U11*(1-U6)+U9*U12</f>
        <v>0.22455569470043549</v>
      </c>
      <c r="V13" s="63">
        <f t="shared" ref="V13" si="15">V5*V11*(1-V6)+V9*V12</f>
        <v>0.20588567713941788</v>
      </c>
      <c r="W13" s="63">
        <f t="shared" ref="W13" si="16">W5*W11*(1-W6)+W9*W12</f>
        <v>0.17481719614099858</v>
      </c>
      <c r="X13" s="63">
        <f t="shared" ref="X13:Y13" si="17">X5*X11*(1-X6)+X9*X12</f>
        <v>0.10618890530976299</v>
      </c>
      <c r="Y13" s="63">
        <f t="shared" si="17"/>
        <v>0.32437374982678674</v>
      </c>
      <c r="Z13" s="63">
        <f t="shared" ref="Z13" si="18">Z5*Z11*(1-Z6)+Z9*Z12</f>
        <v>0.27337332383475293</v>
      </c>
      <c r="AA13" s="63">
        <f t="shared" ref="AA13" si="19">AA5*AA11*(1-AA6)+AA9*AA12</f>
        <v>0.19557459275726818</v>
      </c>
      <c r="AB13" s="63">
        <f t="shared" ref="AB13" si="20">AB5*AB11*(1-AB6)+AB9*AB12</f>
        <v>0.11893238605537683</v>
      </c>
      <c r="AC13" s="63">
        <f t="shared" ref="AC13:AD13" si="21">AC5*AC11*(1-AC6)+AC9*AC12</f>
        <v>0.27049661326754865</v>
      </c>
      <c r="AD13" s="63">
        <f t="shared" si="21"/>
        <v>0.22395989048290721</v>
      </c>
      <c r="AE13" s="63">
        <f t="shared" ref="AE13" si="22">AE5*AE11*(1-AE6)+AE9*AE12</f>
        <v>0.16476478677738526</v>
      </c>
      <c r="AF13" s="63">
        <f t="shared" ref="AF13" si="23">AF5*AF11*(1-AF6)+AF9*AF12</f>
        <v>0.10427028487142997</v>
      </c>
      <c r="AG13" s="63">
        <f t="shared" ref="AG13" si="24">AG5*AG11*(1-AG6)+AG9*AG12</f>
        <v>0.24367594777940355</v>
      </c>
      <c r="AH13" s="63">
        <f t="shared" ref="AH13:AI13" si="25">AH5*AH11*(1-AH6)+AH9*AH12</f>
        <v>0.20069084911065271</v>
      </c>
      <c r="AI13" s="63">
        <f t="shared" si="25"/>
        <v>0.14267333919698325</v>
      </c>
      <c r="AJ13" s="63">
        <f t="shared" ref="AJ13" si="26">AJ5*AJ11*(1-AJ6)+AJ9*AJ12</f>
        <v>9.7394214325515649E-2</v>
      </c>
      <c r="AK13" s="63">
        <f t="shared" ref="AK13" si="27">AK5*AK11*(1-AK6)+AK9*AK12</f>
        <v>0.23420130997264005</v>
      </c>
      <c r="AL13" s="63">
        <f t="shared" ref="AL13" si="28">AL5*AL11*(1-AL6)+AL9*AL12</f>
        <v>0.17444431241579253</v>
      </c>
      <c r="AM13" s="63">
        <f t="shared" ref="AM13:AN13" si="29">AM5*AM11*(1-AM6)+AM9*AM12</f>
        <v>0.12570974064966495</v>
      </c>
      <c r="AN13" s="63">
        <f t="shared" si="29"/>
        <v>9.9745270999610974E-2</v>
      </c>
      <c r="AO13" s="63">
        <f t="shared" ref="AO13" si="30">AO5*AO11*(1-AO6)+AO9*AO12</f>
        <v>0.15971630362840036</v>
      </c>
      <c r="AP13" s="63">
        <f t="shared" ref="AP13" si="31">AP5*AP11*(1-AP6)+AP9*AP12</f>
        <v>0.14283527773767496</v>
      </c>
      <c r="AQ13" s="63">
        <f t="shared" ref="AQ13" si="32">AQ5*AQ11*(1-AQ6)+AQ9*AQ12</f>
        <v>0.11963607608373646</v>
      </c>
      <c r="AR13" s="63">
        <f t="shared" ref="AR13:AS13" si="33">AR5*AR11*(1-AR6)+AR9*AR12</f>
        <v>9.5443805065007881E-2</v>
      </c>
      <c r="AS13" s="63">
        <f t="shared" si="33"/>
        <v>0.15295714285698225</v>
      </c>
      <c r="AT13" s="63">
        <f t="shared" ref="AT13" si="34">AT5*AT11*(1-AT6)+AT9*AT12</f>
        <v>0.1383848071667366</v>
      </c>
      <c r="AU13" s="63">
        <f t="shared" ref="AU13" si="35">AU5*AU11*(1-AU6)+AU9*AU12</f>
        <v>0.12175313701281168</v>
      </c>
      <c r="AV13" s="63">
        <f t="shared" ref="AV13" si="36">AV5*AV11*(1-AV6)+AV9*AV12</f>
        <v>8.2305547881095439E-2</v>
      </c>
      <c r="AW13" s="63">
        <f t="shared" ref="AW13:AX13" si="37">AW5*AW11*(1-AW6)+AW9*AW12</f>
        <v>0.13909812192034063</v>
      </c>
      <c r="AX13" s="63">
        <f t="shared" si="37"/>
        <v>0.12282797862076464</v>
      </c>
      <c r="AY13" s="63">
        <f t="shared" ref="AY13" si="38">AY5*AY11*(1-AY6)+AY9*AY12</f>
        <v>0.10082268812468928</v>
      </c>
      <c r="AZ13" s="63">
        <f t="shared" ref="AZ13" si="39">AZ5*AZ11*(1-AZ6)+AZ9*AZ12</f>
        <v>6.7689615807928455E-2</v>
      </c>
      <c r="BA13" s="63">
        <f t="shared" ref="BA13" si="40">BA5*BA11*(1-BA6)+BA9*BA12</f>
        <v>0.10542595593084286</v>
      </c>
      <c r="BB13" s="63">
        <f t="shared" ref="BB13:BC13" si="41">BB5*BB11*(1-BB6)+BB9*BB12</f>
        <v>0.10273217001430071</v>
      </c>
      <c r="BC13" s="63">
        <f t="shared" si="41"/>
        <v>8.0761217010480418E-2</v>
      </c>
      <c r="BD13" s="63">
        <f t="shared" ref="BD13" si="42">BD5*BD11*(1-BD6)+BD9*BD12</f>
        <v>5.828318383334552E-2</v>
      </c>
      <c r="BE13" s="63">
        <f t="shared" ref="BE13" si="43">BE5*BE11*(1-BE6)+BE9*BE12</f>
        <v>0.12343094831104005</v>
      </c>
      <c r="BF13" s="63">
        <f t="shared" ref="BF13" si="44">BF5*BF11*(1-BF6)+BF9*BF12</f>
        <v>0.1034822798668367</v>
      </c>
      <c r="BG13" s="63">
        <f t="shared" ref="BG13:BH13" si="45">BG5*BG11*(1-BG6)+BG9*BG12</f>
        <v>8.3921991108182284E-2</v>
      </c>
      <c r="BH13" s="63">
        <f t="shared" si="45"/>
        <v>5.8821567253148264E-2</v>
      </c>
      <c r="BI13" s="63">
        <f t="shared" ref="BI13" si="46">BI5*BI11*(1-BI6)+BI9*BI12</f>
        <v>0.11467772834321353</v>
      </c>
      <c r="BJ13" s="63">
        <f t="shared" ref="BJ13" si="47">BJ5*BJ11*(1-BJ6)+BJ9*BJ12</f>
        <v>9.1495540080329146E-2</v>
      </c>
      <c r="BK13" s="63">
        <f t="shared" ref="BK13" si="48">BK5*BK11*(1-BK6)+BK9*BK12</f>
        <v>6.6989799902705954E-2</v>
      </c>
      <c r="BL13" s="63">
        <f t="shared" ref="BL13:BM13" si="49">BL5*BL11*(1-BL6)+BL9*BL12</f>
        <v>5.0136878449576171E-2</v>
      </c>
      <c r="BM13" s="63">
        <f t="shared" si="49"/>
        <v>0.11356025217550665</v>
      </c>
      <c r="BN13" s="63">
        <f t="shared" ref="BN13" si="50">BN5*BN11*(1-BN6)+BN9*BN12</f>
        <v>9.4431877400225461E-2</v>
      </c>
      <c r="BO13" s="63">
        <f t="shared" ref="BO13" si="51">BO5*BO11*(1-BO6)+BO9*BO12</f>
        <v>7.0450917652958606E-2</v>
      </c>
      <c r="BP13" s="63">
        <f t="shared" ref="BP13" si="52">BP5*BP11*(1-BP6)+BP9*BP12</f>
        <v>4.9539373604202727E-2</v>
      </c>
      <c r="BQ13" s="63">
        <f t="shared" ref="BQ13:BR13" si="53">BQ5*BQ11*(1-BQ6)+BQ9*BQ12</f>
        <v>0.1701519756067762</v>
      </c>
      <c r="BR13" s="63" t="e">
        <f t="shared" si="53"/>
        <v>#DIV/0!</v>
      </c>
      <c r="BS13" s="63">
        <f t="shared" ref="BS13" si="54">BS5*BS11*(1-BS6)+BS9*BS12</f>
        <v>0.10347671825181884</v>
      </c>
      <c r="BT13" s="63">
        <f t="shared" ref="BT13" si="55">BT5*BT11*(1-BT6)+BT9*BT12</f>
        <v>6.3699085724353205E-2</v>
      </c>
      <c r="BU13" s="63">
        <f t="shared" ref="BU13" si="56">BU5*BU11*(1-BU6)+BU9*BU12</f>
        <v>0.23665031497560493</v>
      </c>
      <c r="BV13" s="63" t="e">
        <f t="shared" ref="BV13" si="57">BV5*BV11*(1-BV6)+BV9*BV12</f>
        <v>#DIV/0!</v>
      </c>
    </row>
    <row r="14" spans="1:74" s="16" customFormat="1" ht="56.4" customHeight="1" x14ac:dyDescent="0.25">
      <c r="A14" s="278" t="s">
        <v>669</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t="s">
        <v>334</v>
      </c>
      <c r="E16" s="45">
        <f>(股东权益回报率分析表!E14+股东权益回报率分析表!I14+股东权益回报率分析表!M14)/3</f>
        <v>0.15826414526722007</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9.5546875" hidden="1" customWidth="1"/>
    <col min="71"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21.44140625" hidden="1" customWidth="1"/>
    <col min="79" max="81" width="19" bestFit="1" customWidth="1"/>
    <col min="82" max="82" width="9.5546875" hidden="1" customWidth="1"/>
    <col min="83" max="90" width="8.5546875" bestFit="1" customWidth="1"/>
  </cols>
  <sheetData>
    <row r="1" spans="1:90"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89"/>
      <c r="CF1" s="189"/>
      <c r="CG1" s="189"/>
      <c r="CH1" s="189"/>
      <c r="CI1" s="189"/>
      <c r="CJ1" s="189"/>
      <c r="CK1" s="189"/>
      <c r="CL1" s="189"/>
    </row>
    <row r="2" spans="1:90" s="26" customFormat="1" x14ac:dyDescent="0.25">
      <c r="A2" s="41" t="s">
        <v>553</v>
      </c>
      <c r="E2" s="26">
        <f>资产资本表!E17</f>
        <v>41206139837.209999</v>
      </c>
      <c r="F2" s="26">
        <f>资产资本表!F17</f>
        <v>37760386205.559998</v>
      </c>
      <c r="G2" s="26">
        <f>资产资本表!G17</f>
        <v>35291765880.580002</v>
      </c>
      <c r="H2" s="26">
        <f>资产资本表!H17</f>
        <v>37141435164.459999</v>
      </c>
      <c r="I2" s="26">
        <f>资产资本表!I17</f>
        <v>35271136987.740005</v>
      </c>
      <c r="J2" s="26">
        <f>资产资本表!J17</f>
        <v>34215368026.389999</v>
      </c>
      <c r="K2" s="26">
        <f>资产资本表!K17</f>
        <v>31154374222.149998</v>
      </c>
      <c r="L2" s="26">
        <f>资产资本表!L17</f>
        <v>27457022528.27</v>
      </c>
      <c r="M2" s="26">
        <f>资产资本表!M17</f>
        <v>26773901419.16</v>
      </c>
      <c r="N2" s="26">
        <f>资产资本表!N17</f>
        <v>25763643116.34</v>
      </c>
      <c r="O2" s="26">
        <f>资产资本表!O17</f>
        <v>23225293875.670002</v>
      </c>
      <c r="P2" s="26">
        <f>资产资本表!P17</f>
        <v>24474208028.779999</v>
      </c>
      <c r="Q2" s="26">
        <f>资产资本表!Q17</f>
        <v>22599705731.139999</v>
      </c>
      <c r="R2" s="26">
        <f>资产资本表!R17</f>
        <v>21126333163.73</v>
      </c>
      <c r="S2" s="26">
        <f>资产资本表!S17</f>
        <v>20387235252.57</v>
      </c>
      <c r="T2" s="26">
        <f>资产资本表!T17</f>
        <v>23073039389.989998</v>
      </c>
      <c r="U2" s="26">
        <f>资产资本表!U17</f>
        <v>26118692258.639999</v>
      </c>
      <c r="V2" s="26">
        <f>资产资本表!V17</f>
        <v>25031477832.98</v>
      </c>
      <c r="W2" s="26">
        <f>资产资本表!W17</f>
        <v>26224171936.170002</v>
      </c>
      <c r="X2" s="26">
        <f>资产资本表!X17</f>
        <v>29270548001.169998</v>
      </c>
      <c r="Y2" s="26">
        <f>资产资本表!Y17</f>
        <v>28282678686.579998</v>
      </c>
      <c r="Z2" s="26">
        <f>资产资本表!Z17</f>
        <v>26212779803.650002</v>
      </c>
      <c r="AA2" s="26">
        <f>资产资本表!AA17</f>
        <v>23584755802.830002</v>
      </c>
      <c r="AB2" s="26">
        <f>资产资本表!AB17</f>
        <v>23195331714.5</v>
      </c>
      <c r="AC2" s="26">
        <f>资产资本表!AC17</f>
        <v>21865067913.639999</v>
      </c>
      <c r="AD2" s="26">
        <f>资产资本表!AD17</f>
        <v>19184803623.789997</v>
      </c>
      <c r="AE2" s="26">
        <f>资产资本表!AE17</f>
        <v>18379973645.23</v>
      </c>
      <c r="AF2" s="26">
        <f>资产资本表!AF17</f>
        <v>16253007648.639999</v>
      </c>
      <c r="AG2" s="26">
        <f>资产资本表!AG17</f>
        <v>14218929799.84</v>
      </c>
      <c r="AH2" s="26">
        <f>资产资本表!AH17</f>
        <v>11511333260.220001</v>
      </c>
      <c r="AI2" s="26">
        <f>资产资本表!AI17</f>
        <v>10012132378.76</v>
      </c>
      <c r="AJ2" s="26">
        <f>资产资本表!AJ17</f>
        <v>9581517222.7000008</v>
      </c>
      <c r="AK2" s="26">
        <f>资产资本表!AK17</f>
        <v>7596631543.4700003</v>
      </c>
      <c r="AL2" s="26">
        <f>资产资本表!AL17</f>
        <v>6576202996.1300001</v>
      </c>
      <c r="AM2" s="26">
        <f>资产资本表!AM17</f>
        <v>4868026612.3599997</v>
      </c>
      <c r="AN2" s="26">
        <f>资产资本表!AN17</f>
        <v>7118454004.9499998</v>
      </c>
      <c r="AO2" s="26">
        <f>资产资本表!AO17</f>
        <v>5986301716.8400002</v>
      </c>
      <c r="AP2" s="26">
        <f>资产资本表!AP17</f>
        <v>5848815880.0900002</v>
      </c>
      <c r="AQ2" s="26">
        <f>资产资本表!AQ17</f>
        <v>5241667192.3999996</v>
      </c>
      <c r="AR2" s="26">
        <f>资产资本表!AR17</f>
        <v>5243442422.5600004</v>
      </c>
      <c r="AS2" s="26">
        <f>资产资本表!AS17</f>
        <v>4112072765.1799998</v>
      </c>
      <c r="AT2" s="26">
        <f>资产资本表!AT17</f>
        <v>4726953237.1400003</v>
      </c>
      <c r="AU2" s="26">
        <f>资产资本表!AU17</f>
        <v>4326616347.71</v>
      </c>
      <c r="AV2" s="26">
        <f>资产资本表!AV17</f>
        <v>3831893890.9099998</v>
      </c>
      <c r="AW2" s="26">
        <f>资产资本表!AW17</f>
        <v>2818848444.02</v>
      </c>
      <c r="AX2" s="26">
        <f>资产资本表!AX17</f>
        <v>2687335844.2000003</v>
      </c>
      <c r="AY2" s="26">
        <f>资产资本表!AY17</f>
        <v>2474238718.1799998</v>
      </c>
      <c r="AZ2" s="26">
        <f>资产资本表!AZ17</f>
        <v>2768007739.1600003</v>
      </c>
      <c r="BA2" s="26">
        <f>资产资本表!BA17</f>
        <v>1984530518.3200002</v>
      </c>
      <c r="BB2" s="26">
        <f>资产资本表!BB17</f>
        <v>1580387787.6900001</v>
      </c>
      <c r="BC2" s="26">
        <f>资产资本表!BC17</f>
        <v>1494680127.27</v>
      </c>
      <c r="BD2" s="26">
        <f>资产资本表!BD17</f>
        <v>1245188936.1499999</v>
      </c>
      <c r="BE2" s="26">
        <f>资产资本表!BE17</f>
        <v>889392003.33000004</v>
      </c>
      <c r="BF2" s="26">
        <f>资产资本表!BF17</f>
        <v>1473124496.9199998</v>
      </c>
      <c r="BG2" s="26">
        <f>资产资本表!BG17</f>
        <v>1316861678.8299999</v>
      </c>
      <c r="BH2" s="26">
        <f>资产资本表!BH17</f>
        <v>1900573868.25</v>
      </c>
      <c r="BI2" s="26">
        <f>资产资本表!BI17</f>
        <v>1006515944.6799999</v>
      </c>
      <c r="BJ2" s="26">
        <f>资产资本表!BJ17</f>
        <v>1275653227.9299998</v>
      </c>
      <c r="BK2" s="26">
        <f>资产资本表!BK17</f>
        <v>1563531490.1699998</v>
      </c>
      <c r="BL2" s="26">
        <f>资产资本表!BL17</f>
        <v>1557032356.6500001</v>
      </c>
      <c r="BM2" s="26">
        <f>资产资本表!BM17</f>
        <v>1341653639.02</v>
      </c>
      <c r="BN2" s="26">
        <f>资产资本表!BN17</f>
        <v>1622874814.46</v>
      </c>
      <c r="BO2" s="26">
        <f>资产资本表!BO17</f>
        <v>1823750155.4399998</v>
      </c>
      <c r="BP2" s="26">
        <f>资产资本表!BP17</f>
        <v>1790107708.29</v>
      </c>
      <c r="BQ2" s="26">
        <f>资产资本表!BQ17</f>
        <v>1543799068.79</v>
      </c>
      <c r="BR2" s="26">
        <f>资产资本表!BR17</f>
        <v>0</v>
      </c>
      <c r="BS2" s="26">
        <f>资产资本表!BS17</f>
        <v>1567029389.1900001</v>
      </c>
      <c r="BT2" s="26">
        <f>资产资本表!BT17</f>
        <v>2415608007.5899997</v>
      </c>
      <c r="BU2" s="26">
        <f>资产资本表!BU17</f>
        <v>1717159838.0200002</v>
      </c>
      <c r="BV2" s="26">
        <f>资产资本表!BV17</f>
        <v>599617487.89999998</v>
      </c>
      <c r="BW2" s="26">
        <f>资产资本表!BW17</f>
        <v>931290888.92999995</v>
      </c>
      <c r="BX2" s="26">
        <f>资产资本表!BX17</f>
        <v>1244311406.3499999</v>
      </c>
      <c r="BY2" s="26">
        <f>资产资本表!BY17</f>
        <v>1052654663.3</v>
      </c>
      <c r="BZ2" s="26">
        <f>资产资本表!BZ17</f>
        <v>908361204.25999999</v>
      </c>
      <c r="CA2" s="26">
        <f>资产资本表!CA17</f>
        <v>170626574.80000001</v>
      </c>
      <c r="CB2" s="26">
        <f>资产资本表!CB17</f>
        <v>41123701.590000004</v>
      </c>
      <c r="CC2" s="26">
        <f>资产资本表!CC17</f>
        <v>38805248.43</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862854004.09000003</v>
      </c>
      <c r="F3" s="26">
        <f>资产资本表!F19</f>
        <v>817039621.86000001</v>
      </c>
      <c r="G3" s="26">
        <f>资产资本表!G19</f>
        <v>817039621.86000001</v>
      </c>
      <c r="H3" s="26">
        <f>资产资本表!H19</f>
        <v>794643093.01999998</v>
      </c>
      <c r="I3" s="26">
        <f>资产资本表!I19</f>
        <v>794643093.01999998</v>
      </c>
      <c r="J3" s="26">
        <f>资产资本表!J19</f>
        <v>776343407.57000005</v>
      </c>
      <c r="K3" s="26">
        <f>资产资本表!K19</f>
        <v>777443407.57000005</v>
      </c>
      <c r="L3" s="26">
        <f>资产资本表!L19</f>
        <v>866009462.48000002</v>
      </c>
      <c r="M3" s="26">
        <f>资产资本表!M19</f>
        <v>902009462.48000002</v>
      </c>
      <c r="N3" s="26">
        <f>资产资本表!N19</f>
        <v>879809253.45000005</v>
      </c>
      <c r="O3" s="26">
        <f>资产资本表!O19</f>
        <v>879809253.45000005</v>
      </c>
      <c r="P3" s="26">
        <f>资产资本表!P19</f>
        <v>867864898.53999996</v>
      </c>
      <c r="Q3" s="26">
        <f>资产资本表!Q19</f>
        <v>867864898.53999996</v>
      </c>
      <c r="R3" s="26">
        <f>资产资本表!R19</f>
        <v>847613095.01999998</v>
      </c>
      <c r="S3" s="26">
        <f>资产资本表!S19</f>
        <v>834813095.01999998</v>
      </c>
      <c r="T3" s="26">
        <f>资产资本表!T19</f>
        <v>840577356.5</v>
      </c>
      <c r="U3" s="26">
        <f>资产资本表!U19</f>
        <v>120577356.5</v>
      </c>
      <c r="V3" s="26">
        <f>资产资本表!V19</f>
        <v>113813089.69</v>
      </c>
      <c r="W3" s="26">
        <f>资产资本表!W19</f>
        <v>113939689.69</v>
      </c>
      <c r="X3" s="26">
        <f>资产资本表!X19</f>
        <v>120137513.77</v>
      </c>
      <c r="Y3" s="26">
        <f>资产资本表!Y19</f>
        <v>120351122.77</v>
      </c>
      <c r="Z3" s="26">
        <f>资产资本表!Z19</f>
        <v>116553819.92</v>
      </c>
      <c r="AA3" s="26">
        <f>资产资本表!AA19</f>
        <v>116553819.92</v>
      </c>
      <c r="AB3" s="26">
        <f>资产资本表!AB19</f>
        <v>120875383.31</v>
      </c>
      <c r="AC3" s="26">
        <f>资产资本表!AC19</f>
        <v>130875383.31</v>
      </c>
      <c r="AD3" s="26">
        <f>资产资本表!AD19</f>
        <v>126434622.69</v>
      </c>
      <c r="AE3" s="26">
        <f>资产资本表!AE19</f>
        <v>28434622.690000001</v>
      </c>
      <c r="AF3" s="26">
        <f>资产资本表!AF19</f>
        <v>32524090.850000001</v>
      </c>
      <c r="AG3" s="26">
        <f>资产资本表!AG19</f>
        <v>32524090.850000001</v>
      </c>
      <c r="AH3" s="26">
        <f>资产资本表!AH19</f>
        <v>67796988.840000004</v>
      </c>
      <c r="AI3" s="26">
        <f>资产资本表!AI19</f>
        <v>25796988.84</v>
      </c>
      <c r="AJ3" s="26">
        <f>资产资本表!AJ19</f>
        <v>29979154.25</v>
      </c>
      <c r="AK3" s="26">
        <f>资产资本表!AK19</f>
        <v>29979054.25</v>
      </c>
      <c r="AL3" s="26">
        <f>资产资本表!AL19</f>
        <v>25057697.460000001</v>
      </c>
      <c r="AM3" s="26">
        <f>资产资本表!AM19</f>
        <v>25057697.460000001</v>
      </c>
      <c r="AN3" s="26">
        <f>资产资本表!AN19</f>
        <v>27470267.23</v>
      </c>
      <c r="AO3" s="26">
        <f>资产资本表!AO19</f>
        <v>27470267.23</v>
      </c>
      <c r="AP3" s="26">
        <f>资产资本表!AP19</f>
        <v>24961576.43</v>
      </c>
      <c r="AQ3" s="26">
        <f>资产资本表!AQ19</f>
        <v>24961576.43</v>
      </c>
      <c r="AR3" s="26">
        <f>资产资本表!AR19</f>
        <v>26391145.920000002</v>
      </c>
      <c r="AS3" s="26">
        <f>资产资本表!AS19</f>
        <v>26391145.920000002</v>
      </c>
      <c r="AT3" s="26">
        <f>资产资本表!AT19</f>
        <v>23748167.739999998</v>
      </c>
      <c r="AU3" s="26">
        <f>资产资本表!AU19</f>
        <v>23748167.739999998</v>
      </c>
      <c r="AV3" s="26">
        <f>资产资本表!AV19</f>
        <v>26391145.920000002</v>
      </c>
      <c r="AW3" s="26">
        <f>资产资本表!AW19</f>
        <v>26391145.920000002</v>
      </c>
      <c r="AX3" s="26">
        <f>资产资本表!AX19</f>
        <v>26684924.460000001</v>
      </c>
      <c r="AY3" s="26">
        <f>资产资本表!AY19</f>
        <v>26747904.73</v>
      </c>
      <c r="AZ3" s="26">
        <f>资产资本表!AZ19</f>
        <v>27119534.640000001</v>
      </c>
      <c r="BA3" s="26">
        <f>资产资本表!BA19</f>
        <v>27119534.640000001</v>
      </c>
      <c r="BB3" s="26">
        <f>资产资本表!BB19</f>
        <v>30576600</v>
      </c>
      <c r="BC3" s="26">
        <f>资产资本表!BC19</f>
        <v>30576600</v>
      </c>
      <c r="BD3" s="26">
        <f>资产资本表!BD19</f>
        <v>13426600</v>
      </c>
      <c r="BE3" s="26">
        <f>资产资本表!BE19</f>
        <v>3426600</v>
      </c>
      <c r="BF3" s="26">
        <f>资产资本表!BF19</f>
        <v>7976600</v>
      </c>
      <c r="BG3" s="26">
        <f>资产资本表!BG19</f>
        <v>3426600</v>
      </c>
      <c r="BH3" s="26">
        <f>资产资本表!BH19</f>
        <v>3426600</v>
      </c>
      <c r="BI3" s="26">
        <f>资产资本表!BI19</f>
        <v>3426600</v>
      </c>
      <c r="BJ3" s="26">
        <f>资产资本表!BJ19</f>
        <v>3656600</v>
      </c>
      <c r="BK3" s="26">
        <f>资产资本表!BK19</f>
        <v>3656600</v>
      </c>
      <c r="BL3" s="26">
        <f>资产资本表!BL19</f>
        <v>3656600</v>
      </c>
      <c r="BM3" s="26">
        <f>资产资本表!BM19</f>
        <v>3656600</v>
      </c>
      <c r="BN3" s="26">
        <f>资产资本表!BN19</f>
        <v>3656600</v>
      </c>
      <c r="BO3" s="26">
        <f>资产资本表!BO19</f>
        <v>3656600</v>
      </c>
      <c r="BP3" s="26">
        <f>资产资本表!BP19</f>
        <v>3656600</v>
      </c>
      <c r="BQ3" s="26">
        <f>资产资本表!BQ19</f>
        <v>3656600</v>
      </c>
      <c r="BR3" s="26">
        <f>资产资本表!BR19</f>
        <v>0</v>
      </c>
      <c r="BS3" s="26">
        <f>资产资本表!BS19</f>
        <v>5656600</v>
      </c>
      <c r="BT3" s="26">
        <f>资产资本表!BT19</f>
        <v>5806600</v>
      </c>
      <c r="BU3" s="26">
        <f>资产资本表!BU19</f>
        <v>5806600</v>
      </c>
      <c r="BV3" s="26">
        <f>资产资本表!BV19</f>
        <v>5406600</v>
      </c>
      <c r="BW3" s="26">
        <f>资产资本表!BW19</f>
        <v>3506600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5826460208.1900024</v>
      </c>
      <c r="F4" s="26">
        <f>资产资本表!F50</f>
        <v>6560293797.6900005</v>
      </c>
      <c r="G4" s="26">
        <f>资产资本表!G50</f>
        <v>7085803720.2800026</v>
      </c>
      <c r="H4" s="26">
        <f>资产资本表!H50</f>
        <v>7149232052.7500019</v>
      </c>
      <c r="I4" s="26">
        <f>资产资本表!I50</f>
        <v>5266055711.8199997</v>
      </c>
      <c r="J4" s="26">
        <f>资产资本表!J50</f>
        <v>4583865587.289999</v>
      </c>
      <c r="K4" s="26">
        <f>资产资本表!K50</f>
        <v>9418333864.2000046</v>
      </c>
      <c r="L4" s="26">
        <f>资产资本表!L50</f>
        <v>12034379970.35</v>
      </c>
      <c r="M4" s="26">
        <f>资产资本表!M50</f>
        <v>9623235829.0699997</v>
      </c>
      <c r="N4" s="26">
        <f>资产资本表!N50</f>
        <v>9160455454.5700016</v>
      </c>
      <c r="O4" s="26">
        <f>资产资本表!O50</f>
        <v>10246363627.59</v>
      </c>
      <c r="P4" s="26">
        <f>资产资本表!P50</f>
        <v>10302342138.189999</v>
      </c>
      <c r="Q4" s="26">
        <f>资产资本表!Q50</f>
        <v>9826784997.4899998</v>
      </c>
      <c r="R4" s="26">
        <f>资产资本表!R50</f>
        <v>10127228364.58</v>
      </c>
      <c r="S4" s="26">
        <f>资产资本表!S50</f>
        <v>10209060294.179998</v>
      </c>
      <c r="T4" s="26">
        <f>资产资本表!T50</f>
        <v>9004893561.9300003</v>
      </c>
      <c r="U4" s="26">
        <f>资产资本表!U50</f>
        <v>3780923028.1800003</v>
      </c>
      <c r="V4" s="26">
        <f>资产资本表!V50</f>
        <v>3754710479.5099993</v>
      </c>
      <c r="W4" s="26">
        <f>资产资本表!W50</f>
        <v>1018974594.6299992</v>
      </c>
      <c r="X4" s="26">
        <f>资产资本表!X50</f>
        <v>-924062367.13000107</v>
      </c>
      <c r="Y4" s="26">
        <f>资产资本表!Y50</f>
        <v>-3704821538.0000019</v>
      </c>
      <c r="Z4" s="26">
        <f>资产资本表!Z50</f>
        <v>-3630923449.0500011</v>
      </c>
      <c r="AA4" s="26">
        <f>资产资本表!AA50</f>
        <v>-3964325561.5100021</v>
      </c>
      <c r="AB4" s="26">
        <f>资产资本表!AB50</f>
        <v>-3746547591.2099991</v>
      </c>
      <c r="AC4" s="26">
        <f>资产资本表!AC50</f>
        <v>-5386357411.4099998</v>
      </c>
      <c r="AD4" s="26">
        <f>资产资本表!AD50</f>
        <v>-4068304774.7299995</v>
      </c>
      <c r="AE4" s="26">
        <f>资产资本表!AE50</f>
        <v>-4395496119.4500017</v>
      </c>
      <c r="AF4" s="26">
        <f>资产资本表!AF50</f>
        <v>-2742823972.2699995</v>
      </c>
      <c r="AG4" s="26">
        <f>资产资本表!AG50</f>
        <v>-2788274772.4099998</v>
      </c>
      <c r="AH4" s="26">
        <f>资产资本表!AH50</f>
        <v>-1298215126.8300009</v>
      </c>
      <c r="AI4" s="26">
        <f>资产资本表!AI50</f>
        <v>-1017736883.5900002</v>
      </c>
      <c r="AJ4" s="26">
        <f>资产资本表!AJ50</f>
        <v>-892466063.19999981</v>
      </c>
      <c r="AK4" s="26">
        <f>资产资本表!AK50</f>
        <v>-356836837.43999958</v>
      </c>
      <c r="AL4" s="26">
        <f>资产资本表!AL50</f>
        <v>-524459608.69000053</v>
      </c>
      <c r="AM4" s="26">
        <f>资产资本表!AM50</f>
        <v>311135128.95999956</v>
      </c>
      <c r="AN4" s="26">
        <f>资产资本表!AN50</f>
        <v>856746739.61999989</v>
      </c>
      <c r="AO4" s="26">
        <f>资产资本表!AO50</f>
        <v>714766491.74999976</v>
      </c>
      <c r="AP4" s="26">
        <f>资产资本表!AP50</f>
        <v>539828258.50999999</v>
      </c>
      <c r="AQ4" s="26">
        <f>资产资本表!AQ50</f>
        <v>747217549.30999994</v>
      </c>
      <c r="AR4" s="26">
        <f>资产资本表!AR50</f>
        <v>414911887.28000021</v>
      </c>
      <c r="AS4" s="26">
        <f>资产资本表!AS50</f>
        <v>428905073.5999999</v>
      </c>
      <c r="AT4" s="26">
        <f>资产资本表!AT50</f>
        <v>-256023842.15000057</v>
      </c>
      <c r="AU4" s="26">
        <f>资产资本表!AU50</f>
        <v>-83740178.079999685</v>
      </c>
      <c r="AV4" s="26">
        <f>资产资本表!AV50</f>
        <v>-4674827</v>
      </c>
      <c r="AW4" s="26">
        <f>资产资本表!AW50</f>
        <v>331796464.71000004</v>
      </c>
      <c r="AX4" s="26">
        <f>资产资本表!AX50</f>
        <v>202375440.42000008</v>
      </c>
      <c r="AY4" s="26">
        <f>资产资本表!AY50</f>
        <v>185741200.1099999</v>
      </c>
      <c r="AZ4" s="26">
        <f>资产资本表!AZ50</f>
        <v>-74604148.930000305</v>
      </c>
      <c r="BA4" s="26">
        <f>资产资本表!BA50</f>
        <v>38993144.749999762</v>
      </c>
      <c r="BB4" s="26">
        <f>资产资本表!BB50</f>
        <v>332850455.34000015</v>
      </c>
      <c r="BC4" s="26">
        <f>资产资本表!BC50</f>
        <v>111314378.61999989</v>
      </c>
      <c r="BD4" s="26">
        <f>资产资本表!BD50</f>
        <v>96244848.000000238</v>
      </c>
      <c r="BE4" s="26">
        <f>资产资本表!BE50</f>
        <v>-39184618.739999771</v>
      </c>
      <c r="BF4" s="26">
        <f>资产资本表!BF50</f>
        <v>-374234633.62999988</v>
      </c>
      <c r="BG4" s="26">
        <f>资产资本表!BG50</f>
        <v>-450843554.1500001</v>
      </c>
      <c r="BH4" s="26">
        <f>资产资本表!BH50</f>
        <v>-987808033.03999996</v>
      </c>
      <c r="BI4" s="26">
        <f>资产资本表!BI50</f>
        <v>-489236067.6900003</v>
      </c>
      <c r="BJ4" s="26">
        <f>资产资本表!BJ50</f>
        <v>-492180573.92000008</v>
      </c>
      <c r="BK4" s="26">
        <f>资产资本表!BK50</f>
        <v>-311396427.33000016</v>
      </c>
      <c r="BL4" s="26">
        <f>资产资本表!BL50</f>
        <v>-293354093.99000001</v>
      </c>
      <c r="BM4" s="26">
        <f>资产资本表!BM50</f>
        <v>-445466548.54999995</v>
      </c>
      <c r="BN4" s="26">
        <f>资产资本表!BN50</f>
        <v>151609124.37999988</v>
      </c>
      <c r="BO4" s="26">
        <f>资产资本表!BO50</f>
        <v>-224746581.94999981</v>
      </c>
      <c r="BP4" s="26">
        <f>资产资本表!BP50</f>
        <v>-219868024.53000021</v>
      </c>
      <c r="BQ4" s="26">
        <f>资产资本表!BQ50</f>
        <v>-317610937.9599998</v>
      </c>
      <c r="BR4" s="26">
        <f>资产资本表!BR50</f>
        <v>0</v>
      </c>
      <c r="BS4" s="26">
        <f>资产资本表!BS50</f>
        <v>-483179393.38000011</v>
      </c>
      <c r="BT4" s="26">
        <f>资产资本表!BT50</f>
        <v>206810473.36000013</v>
      </c>
      <c r="BU4" s="26">
        <f>资产资本表!BU50</f>
        <v>-149453986.8900001</v>
      </c>
      <c r="BV4" s="26">
        <f>资产资本表!BV50</f>
        <v>766208832.10000026</v>
      </c>
      <c r="BW4" s="26">
        <f>资产资本表!BW50</f>
        <v>-16114514.109999657</v>
      </c>
      <c r="BX4" s="26">
        <f>资产资本表!BX50</f>
        <v>108087215.97000003</v>
      </c>
      <c r="BY4" s="26">
        <f>资产资本表!BY50</f>
        <v>87024710.430000067</v>
      </c>
      <c r="BZ4" s="26">
        <f>资产资本表!BZ50</f>
        <v>174841459.51999998</v>
      </c>
      <c r="CA4" s="26">
        <f>资产资本表!CA50</f>
        <v>7899410.3400000334</v>
      </c>
      <c r="CB4" s="26">
        <f>资产资本表!CB50</f>
        <v>122785628.63000005</v>
      </c>
      <c r="CC4" s="26">
        <f>资产资本表!CC50</f>
        <v>271673799.19000006</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22074761238.440002</v>
      </c>
      <c r="F5" s="26">
        <f>资产资本表!F33</f>
        <v>20790363095.57</v>
      </c>
      <c r="G5" s="26">
        <f>资产资本表!G33</f>
        <v>21539872141.260002</v>
      </c>
      <c r="H5" s="26">
        <f>资产资本表!H33</f>
        <v>23070783829.120003</v>
      </c>
      <c r="I5" s="26">
        <f>资产资本表!I33</f>
        <v>19234603085.32</v>
      </c>
      <c r="J5" s="26">
        <f>资产资本表!J33</f>
        <v>18413105118.57</v>
      </c>
      <c r="K5" s="26">
        <f>资产资本表!K33</f>
        <v>21009421332.730003</v>
      </c>
      <c r="L5" s="26">
        <f>资产资本表!L33</f>
        <v>25665164503.380001</v>
      </c>
      <c r="M5" s="26">
        <f>资产资本表!M33</f>
        <v>17824709807.029999</v>
      </c>
      <c r="N5" s="26">
        <f>资产资本表!N33</f>
        <v>14714862404.540001</v>
      </c>
      <c r="O5" s="26">
        <f>资产资本表!O33</f>
        <v>16299825605.73</v>
      </c>
      <c r="P5" s="26">
        <f>资产资本表!P33</f>
        <v>16339897433.939999</v>
      </c>
      <c r="Q5" s="26">
        <f>资产资本表!Q33</f>
        <v>15901575204.26</v>
      </c>
      <c r="R5" s="26">
        <f>资产资本表!R33</f>
        <v>15680885847.35</v>
      </c>
      <c r="S5" s="26">
        <f>资产资本表!S33</f>
        <v>16655373200.759998</v>
      </c>
      <c r="T5" s="26">
        <f>资产资本表!T33</f>
        <v>16501737970.82</v>
      </c>
      <c r="U5" s="26">
        <f>资产资本表!U33</f>
        <v>10823527846.33</v>
      </c>
      <c r="V5" s="26">
        <f>资产资本表!V33</f>
        <v>11645533129.73</v>
      </c>
      <c r="W5" s="26">
        <f>资产资本表!W33</f>
        <v>11522748116.33</v>
      </c>
      <c r="X5" s="26">
        <f>资产资本表!X33</f>
        <v>9919807772.0100002</v>
      </c>
      <c r="Y5" s="26">
        <f>资产资本表!Y33</f>
        <v>9639654775.5199986</v>
      </c>
      <c r="Z5" s="26">
        <f>资产资本表!Z33</f>
        <v>8559866524.8999996</v>
      </c>
      <c r="AA5" s="26">
        <f>资产资本表!AA33</f>
        <v>8901258452.7799988</v>
      </c>
      <c r="AB5" s="26">
        <f>资产资本表!AB33</f>
        <v>8488003753.3299999</v>
      </c>
      <c r="AC5" s="26">
        <f>资产资本表!AC33</f>
        <v>7848073368.9200001</v>
      </c>
      <c r="AD5" s="26">
        <f>资产资本表!AD33</f>
        <v>6915033640.8199997</v>
      </c>
      <c r="AE5" s="26">
        <f>资产资本表!AE33</f>
        <v>6815019058.8000002</v>
      </c>
      <c r="AF5" s="26">
        <f>资产资本表!AF33</f>
        <v>7540326132.6300001</v>
      </c>
      <c r="AG5" s="26">
        <f>资产资本表!AG33</f>
        <v>7150785057.7299995</v>
      </c>
      <c r="AH5" s="26">
        <f>资产资本表!AH33</f>
        <v>5783434698.1999998</v>
      </c>
      <c r="AI5" s="26">
        <f>资产资本表!AI33</f>
        <v>5802163329.1200008</v>
      </c>
      <c r="AJ5" s="26">
        <f>资产资本表!AJ33</f>
        <v>5719457535.9899998</v>
      </c>
      <c r="AK5" s="26">
        <f>资产资本表!AK33</f>
        <v>5686285142.29</v>
      </c>
      <c r="AL5" s="26">
        <f>资产资本表!AL33</f>
        <v>4729978816.0100002</v>
      </c>
      <c r="AM5" s="26">
        <f>资产资本表!AM33</f>
        <v>4035186066.6999998</v>
      </c>
      <c r="AN5" s="26">
        <f>资产资本表!AN33</f>
        <v>2503547992.7399998</v>
      </c>
      <c r="AO5" s="26">
        <f>资产资本表!AO33</f>
        <v>2755250343.27</v>
      </c>
      <c r="AP5" s="26">
        <f>资产资本表!AP33</f>
        <v>2488651969.79</v>
      </c>
      <c r="AQ5" s="26">
        <f>资产资本表!AQ33</f>
        <v>2299611040.77</v>
      </c>
      <c r="AR5" s="26">
        <f>资产资本表!AR33</f>
        <v>2235073704.46</v>
      </c>
      <c r="AS5" s="26">
        <f>资产资本表!AS33</f>
        <v>2371819216.5299997</v>
      </c>
      <c r="AT5" s="26">
        <f>资产资本表!AT33</f>
        <v>2162966920.1599998</v>
      </c>
      <c r="AU5" s="26">
        <f>资产资本表!AU33</f>
        <v>2085437100.3100002</v>
      </c>
      <c r="AV5" s="26">
        <f>资产资本表!AV33</f>
        <v>2276846842.6399999</v>
      </c>
      <c r="AW5" s="26">
        <f>资产资本表!AW33</f>
        <v>2211906910.5900002</v>
      </c>
      <c r="AX5" s="26">
        <f>资产资本表!AX33</f>
        <v>2151334762.9400001</v>
      </c>
      <c r="AY5" s="26">
        <f>资产资本表!AY33</f>
        <v>1966866450.4299998</v>
      </c>
      <c r="AZ5" s="26">
        <f>资产资本表!AZ33</f>
        <v>2194187227.6300001</v>
      </c>
      <c r="BA5" s="26">
        <f>资产资本表!BA33</f>
        <v>2128239731.5599999</v>
      </c>
      <c r="BB5" s="26">
        <f>资产资本表!BB33</f>
        <v>2368730212.3600001</v>
      </c>
      <c r="BC5" s="26">
        <f>资产资本表!BC33</f>
        <v>2327596049.04</v>
      </c>
      <c r="BD5" s="26">
        <f>资产资本表!BD33</f>
        <v>2116599993.3900001</v>
      </c>
      <c r="BE5" s="26">
        <f>资产资本表!BE33</f>
        <v>2080148777.3800001</v>
      </c>
      <c r="BF5" s="26">
        <f>资产资本表!BF33</f>
        <v>1892497627.95</v>
      </c>
      <c r="BG5" s="26">
        <f>资产资本表!BG33</f>
        <v>1826644721.0799999</v>
      </c>
      <c r="BH5" s="26">
        <f>资产资本表!BH33</f>
        <v>1542829533.5300002</v>
      </c>
      <c r="BI5" s="26">
        <f>资产资本表!BI33</f>
        <v>1668706869.1299999</v>
      </c>
      <c r="BJ5" s="26">
        <f>资产资本表!BJ33</f>
        <v>1573770245.4699998</v>
      </c>
      <c r="BK5" s="26">
        <f>资产资本表!BK33</f>
        <v>1207393148.8299999</v>
      </c>
      <c r="BL5" s="26">
        <f>资产资本表!BL33</f>
        <v>1487228509.21</v>
      </c>
      <c r="BM5" s="26">
        <f>资产资本表!BM33</f>
        <v>1399304811.96</v>
      </c>
      <c r="BN5" s="26">
        <f>资产资本表!BN33</f>
        <v>1886111716.55</v>
      </c>
      <c r="BO5" s="26">
        <f>资产资本表!BO33</f>
        <v>1330996221.0900002</v>
      </c>
      <c r="BP5" s="26">
        <f>资产资本表!BP33</f>
        <v>1404291696.6300001</v>
      </c>
      <c r="BQ5" s="26">
        <f>资产资本表!BQ33</f>
        <v>1585522220.8200002</v>
      </c>
      <c r="BR5" s="26">
        <f>资产资本表!BR33</f>
        <v>0</v>
      </c>
      <c r="BS5" s="26">
        <f>资产资本表!BS33</f>
        <v>1202085657.5799999</v>
      </c>
      <c r="BT5" s="26">
        <f>资产资本表!BT33</f>
        <v>1131473689.1200001</v>
      </c>
      <c r="BU5" s="26">
        <f>资产资本表!BU33</f>
        <v>1220980820.4099998</v>
      </c>
      <c r="BV5" s="26">
        <f>资产资本表!BV33</f>
        <v>1757749766.8200002</v>
      </c>
      <c r="BW5" s="26">
        <f>资产资本表!BW33</f>
        <v>1468466337.9200001</v>
      </c>
      <c r="BX5" s="26">
        <f>资产资本表!BX33</f>
        <v>714917386.47000003</v>
      </c>
      <c r="BY5" s="26">
        <f>资产资本表!BY33</f>
        <v>653739137.97000003</v>
      </c>
      <c r="BZ5" s="26">
        <f>资产资本表!BZ33</f>
        <v>832212993.00999999</v>
      </c>
      <c r="CA5" s="26">
        <f>资产资本表!CA33</f>
        <v>692060900.8900001</v>
      </c>
      <c r="CB5" s="26">
        <f>资产资本表!CB33</f>
        <v>561237926.99000001</v>
      </c>
      <c r="CC5" s="26">
        <f>资产资本表!CC33</f>
        <v>500023486.59000003</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16248301030.25</v>
      </c>
      <c r="F6" s="26">
        <f>资产资本表!F49</f>
        <v>14230069297.879999</v>
      </c>
      <c r="G6" s="26">
        <f>资产资本表!G49</f>
        <v>14454068420.98</v>
      </c>
      <c r="H6" s="26">
        <f>资产资本表!H49</f>
        <v>15921551776.370001</v>
      </c>
      <c r="I6" s="26">
        <f>资产资本表!I49</f>
        <v>13968547373.5</v>
      </c>
      <c r="J6" s="26">
        <f>资产资本表!J49</f>
        <v>13829239531.280001</v>
      </c>
      <c r="K6" s="26">
        <f>资产资本表!K49</f>
        <v>11591087468.529999</v>
      </c>
      <c r="L6" s="26">
        <f>资产资本表!L49</f>
        <v>13630784533.030001</v>
      </c>
      <c r="M6" s="26">
        <f>资产资本表!M49</f>
        <v>8201473977.9599991</v>
      </c>
      <c r="N6" s="26">
        <f>资产资本表!N49</f>
        <v>5554406949.9699993</v>
      </c>
      <c r="O6" s="26">
        <f>资产资本表!O49</f>
        <v>6053461978.1399994</v>
      </c>
      <c r="P6" s="26">
        <f>资产资本表!P49</f>
        <v>6037555295.75</v>
      </c>
      <c r="Q6" s="26">
        <f>资产资本表!Q49</f>
        <v>6074790206.7700005</v>
      </c>
      <c r="R6" s="26">
        <f>资产资本表!R49</f>
        <v>5553657482.7700005</v>
      </c>
      <c r="S6" s="26">
        <f>资产资本表!S49</f>
        <v>6446312906.5799999</v>
      </c>
      <c r="T6" s="26">
        <f>资产资本表!T49</f>
        <v>7496844408.8900003</v>
      </c>
      <c r="U6" s="26">
        <f>资产资本表!U49</f>
        <v>7042604818.1499996</v>
      </c>
      <c r="V6" s="26">
        <f>资产资本表!V49</f>
        <v>7890822650.2200003</v>
      </c>
      <c r="W6" s="26">
        <f>资产资本表!W49</f>
        <v>10503773521.700001</v>
      </c>
      <c r="X6" s="26">
        <f>资产资本表!X49</f>
        <v>10843870139.140001</v>
      </c>
      <c r="Y6" s="26">
        <f>资产资本表!Y49</f>
        <v>13344476313.52</v>
      </c>
      <c r="Z6" s="26">
        <f>资产资本表!Z49</f>
        <v>12190789973.950001</v>
      </c>
      <c r="AA6" s="26">
        <f>资产资本表!AA49</f>
        <v>12865584014.290001</v>
      </c>
      <c r="AB6" s="26">
        <f>资产资本表!AB49</f>
        <v>12234551344.539999</v>
      </c>
      <c r="AC6" s="26">
        <f>资产资本表!AC49</f>
        <v>13234430780.33</v>
      </c>
      <c r="AD6" s="26">
        <f>资产资本表!AD49</f>
        <v>10983338415.549999</v>
      </c>
      <c r="AE6" s="26">
        <f>资产资本表!AE49</f>
        <v>11210515178.250002</v>
      </c>
      <c r="AF6" s="26">
        <f>资产资本表!AF49</f>
        <v>10283150104.9</v>
      </c>
      <c r="AG6" s="26">
        <f>资产资本表!AG49</f>
        <v>9939059830.1399994</v>
      </c>
      <c r="AH6" s="26">
        <f>资产资本表!AH49</f>
        <v>7081649825.0300007</v>
      </c>
      <c r="AI6" s="26">
        <f>资产资本表!AI49</f>
        <v>6819900212.710001</v>
      </c>
      <c r="AJ6" s="26">
        <f>资产资本表!AJ49</f>
        <v>6611923599.1899996</v>
      </c>
      <c r="AK6" s="26">
        <f>资产资本表!AK49</f>
        <v>6043121979.7299995</v>
      </c>
      <c r="AL6" s="26">
        <f>资产资本表!AL49</f>
        <v>5254438424.7000008</v>
      </c>
      <c r="AM6" s="26">
        <f>资产资本表!AM49</f>
        <v>3724050937.7400002</v>
      </c>
      <c r="AN6" s="26">
        <f>资产资本表!AN49</f>
        <v>1646801253.1199999</v>
      </c>
      <c r="AO6" s="26">
        <f>资产资本表!AO49</f>
        <v>2040483851.5200002</v>
      </c>
      <c r="AP6" s="26">
        <f>资产资本表!AP49</f>
        <v>1948823711.28</v>
      </c>
      <c r="AQ6" s="26">
        <f>资产资本表!AQ49</f>
        <v>1552393491.46</v>
      </c>
      <c r="AR6" s="26">
        <f>资产资本表!AR49</f>
        <v>1820161817.1799998</v>
      </c>
      <c r="AS6" s="26">
        <f>资产资本表!AS49</f>
        <v>1942914142.9299998</v>
      </c>
      <c r="AT6" s="26">
        <f>资产资本表!AT49</f>
        <v>2418990762.3100004</v>
      </c>
      <c r="AU6" s="26">
        <f>资产资本表!AU49</f>
        <v>2169177278.3899999</v>
      </c>
      <c r="AV6" s="26">
        <f>资产资本表!AV49</f>
        <v>2281521669.6399999</v>
      </c>
      <c r="AW6" s="26">
        <f>资产资本表!AW49</f>
        <v>1880110445.8800001</v>
      </c>
      <c r="AX6" s="26">
        <f>资产资本表!AX49</f>
        <v>1948959322.52</v>
      </c>
      <c r="AY6" s="26">
        <f>资产资本表!AY49</f>
        <v>1781125250.3199999</v>
      </c>
      <c r="AZ6" s="26">
        <f>资产资本表!AZ49</f>
        <v>2268791376.5600004</v>
      </c>
      <c r="BA6" s="26">
        <f>资产资本表!BA49</f>
        <v>2089246586.8100002</v>
      </c>
      <c r="BB6" s="26">
        <f>资产资本表!BB49</f>
        <v>2035879757.02</v>
      </c>
      <c r="BC6" s="26">
        <f>资产资本表!BC49</f>
        <v>2216281670.4200001</v>
      </c>
      <c r="BD6" s="26">
        <f>资产资本表!BD49</f>
        <v>2020355145.3899999</v>
      </c>
      <c r="BE6" s="26">
        <f>资产资本表!BE49</f>
        <v>2119333396.1199999</v>
      </c>
      <c r="BF6" s="26">
        <f>资产资本表!BF49</f>
        <v>2266732261.5799999</v>
      </c>
      <c r="BG6" s="26">
        <f>资产资本表!BG49</f>
        <v>2277488275.23</v>
      </c>
      <c r="BH6" s="26">
        <f>资产资本表!BH49</f>
        <v>2530637566.5700002</v>
      </c>
      <c r="BI6" s="26">
        <f>资产资本表!BI49</f>
        <v>2157942936.8200002</v>
      </c>
      <c r="BJ6" s="26">
        <f>资产资本表!BJ49</f>
        <v>2065950819.3899999</v>
      </c>
      <c r="BK6" s="26">
        <f>资产资本表!BK49</f>
        <v>1518789576.1600001</v>
      </c>
      <c r="BL6" s="26">
        <f>资产资本表!BL49</f>
        <v>1780582603.2</v>
      </c>
      <c r="BM6" s="26">
        <f>资产资本表!BM49</f>
        <v>1844771360.51</v>
      </c>
      <c r="BN6" s="26">
        <f>资产资本表!BN49</f>
        <v>1734502592.1700001</v>
      </c>
      <c r="BO6" s="26">
        <f>资产资本表!BO49</f>
        <v>1555742803.04</v>
      </c>
      <c r="BP6" s="26">
        <f>资产资本表!BP49</f>
        <v>1624159721.1600003</v>
      </c>
      <c r="BQ6" s="26">
        <f>资产资本表!BQ49</f>
        <v>1903133158.78</v>
      </c>
      <c r="BR6" s="26">
        <f>资产资本表!BR49</f>
        <v>0</v>
      </c>
      <c r="BS6" s="26">
        <f>资产资本表!BS49</f>
        <v>1685265050.96</v>
      </c>
      <c r="BT6" s="26">
        <f>资产资本表!BT49</f>
        <v>924663215.75999999</v>
      </c>
      <c r="BU6" s="26">
        <f>资产资本表!BU49</f>
        <v>1370434807.3</v>
      </c>
      <c r="BV6" s="26">
        <f>资产资本表!BV49</f>
        <v>991540934.71999991</v>
      </c>
      <c r="BW6" s="26">
        <f>资产资本表!BW49</f>
        <v>1484580852.0299997</v>
      </c>
      <c r="BX6" s="26">
        <f>资产资本表!BX49</f>
        <v>606830170.5</v>
      </c>
      <c r="BY6" s="26">
        <f>资产资本表!BY49</f>
        <v>566714427.53999996</v>
      </c>
      <c r="BZ6" s="26">
        <f>资产资本表!BZ49</f>
        <v>657371533.49000001</v>
      </c>
      <c r="CA6" s="26">
        <f>资产资本表!CA49</f>
        <v>684161490.55000007</v>
      </c>
      <c r="CB6" s="26">
        <f>资产资本表!CB49</f>
        <v>438452298.35999995</v>
      </c>
      <c r="CC6" s="26">
        <f>资产资本表!CC49</f>
        <v>228349687.40000001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6778871599.6899986</v>
      </c>
      <c r="F7" s="26">
        <f>资产资本表!F68</f>
        <v>6715611960.5299997</v>
      </c>
      <c r="G7" s="26">
        <f>资产资本表!G68</f>
        <v>6784689898.7400007</v>
      </c>
      <c r="H7" s="26">
        <f>资产资本表!H68</f>
        <v>6859753984.4599991</v>
      </c>
      <c r="I7" s="26">
        <f>资产资本表!I68</f>
        <v>6874023417.1199999</v>
      </c>
      <c r="J7" s="26">
        <f>资产资本表!J68</f>
        <v>6940278660.5100002</v>
      </c>
      <c r="K7" s="26">
        <f>资产资本表!K68</f>
        <v>7021686346.3999996</v>
      </c>
      <c r="L7" s="26">
        <f>资产资本表!L68</f>
        <v>6996079384.1000004</v>
      </c>
      <c r="M7" s="26">
        <f>资产资本表!M68</f>
        <v>7046014251.8400002</v>
      </c>
      <c r="N7" s="26">
        <f>资产资本表!N68</f>
        <v>6908879331.5699997</v>
      </c>
      <c r="O7" s="26">
        <f>资产资本表!O68</f>
        <v>6985413545.8999987</v>
      </c>
      <c r="P7" s="26">
        <f>资产资本表!P68</f>
        <v>6983588637.25</v>
      </c>
      <c r="Q7" s="26">
        <f>资产资本表!Q68</f>
        <v>7039724818.9099989</v>
      </c>
      <c r="R7" s="26">
        <f>资产资本表!R68</f>
        <v>7002405181.75</v>
      </c>
      <c r="S7" s="26">
        <f>资产资本表!S68</f>
        <v>6820899564.5900002</v>
      </c>
      <c r="T7" s="26">
        <f>资产资本表!T68</f>
        <v>6901976847.3200006</v>
      </c>
      <c r="U7" s="26">
        <f>资产资本表!U68</f>
        <v>7066704676.829998</v>
      </c>
      <c r="V7" s="26">
        <f>资产资本表!V68</f>
        <v>7094177756.0999985</v>
      </c>
      <c r="W7" s="26">
        <f>资产资本表!W68</f>
        <v>7193202910.4400005</v>
      </c>
      <c r="X7" s="26">
        <f>资产资本表!X68</f>
        <v>7189556636.1800003</v>
      </c>
      <c r="Y7" s="26">
        <f>资产资本表!Y68</f>
        <v>7203220050.0099993</v>
      </c>
      <c r="Z7" s="26">
        <f>资产资本表!Z68</f>
        <v>6981171616.2199993</v>
      </c>
      <c r="AA7" s="26">
        <f>资产资本表!AA68</f>
        <v>7062837180.7000017</v>
      </c>
      <c r="AB7" s="26">
        <f>资产资本表!AB68</f>
        <v>7056789893.3599997</v>
      </c>
      <c r="AC7" s="26">
        <f>资产资本表!AC68</f>
        <v>7060285622.9699993</v>
      </c>
      <c r="AD7" s="26">
        <f>资产资本表!AD68</f>
        <v>7088147675.0400009</v>
      </c>
      <c r="AE7" s="26">
        <f>资产资本表!AE68</f>
        <v>7173637315.2600002</v>
      </c>
      <c r="AF7" s="26">
        <f>资产资本表!AF68</f>
        <v>7186965955.3099995</v>
      </c>
      <c r="AG7" s="26">
        <f>资产资本表!AG68</f>
        <v>7269109011.6599998</v>
      </c>
      <c r="AH7" s="26">
        <f>资产资本表!AH68</f>
        <v>7322128848.5600004</v>
      </c>
      <c r="AI7" s="26">
        <f>资产资本表!AI68</f>
        <v>7403218338.21</v>
      </c>
      <c r="AJ7" s="26">
        <f>资产资本表!AJ68</f>
        <v>7484039969.21</v>
      </c>
      <c r="AK7" s="26">
        <f>资产资本表!AK68</f>
        <v>7532314374.5600004</v>
      </c>
      <c r="AL7" s="26">
        <f>资产资本表!AL68</f>
        <v>7582045568.7000008</v>
      </c>
      <c r="AM7" s="26">
        <f>资产资本表!AM68</f>
        <v>7681819745.8400011</v>
      </c>
      <c r="AN7" s="26">
        <f>资产资本表!AN68</f>
        <v>4722546093.6300001</v>
      </c>
      <c r="AO7" s="26">
        <f>资产资本表!AO68</f>
        <v>4727398400.9000006</v>
      </c>
      <c r="AP7" s="26">
        <f>资产资本表!AP68</f>
        <v>4816717622.0800009</v>
      </c>
      <c r="AQ7" s="26">
        <f>资产资本表!AQ68</f>
        <v>4920537432.3300009</v>
      </c>
      <c r="AR7" s="26">
        <f>资产资本表!AR68</f>
        <v>4957199221.7200012</v>
      </c>
      <c r="AS7" s="26">
        <f>资产资本表!AS68</f>
        <v>5061367999.4700003</v>
      </c>
      <c r="AT7" s="26">
        <f>资产资本表!AT68</f>
        <v>5093410589.7600002</v>
      </c>
      <c r="AU7" s="26">
        <f>资产资本表!AU68</f>
        <v>5139890812.9499998</v>
      </c>
      <c r="AV7" s="26">
        <f>资产资本表!AV68</f>
        <v>5200539178.9399996</v>
      </c>
      <c r="AW7" s="26">
        <f>资产资本表!AW68</f>
        <v>5276977458.4399996</v>
      </c>
      <c r="AX7" s="26">
        <f>资产资本表!AX68</f>
        <v>5386206715.8500004</v>
      </c>
      <c r="AY7" s="26">
        <f>资产资本表!AY68</f>
        <v>5450521183.1300001</v>
      </c>
      <c r="AZ7" s="26">
        <f>资产资本表!AZ68</f>
        <v>5367462942.3500004</v>
      </c>
      <c r="BA7" s="26">
        <f>资产资本表!BA68</f>
        <v>5474203324.3399992</v>
      </c>
      <c r="BB7" s="26">
        <f>资产资本表!BB68</f>
        <v>5547290870.3299999</v>
      </c>
      <c r="BC7" s="26">
        <f>资产资本表!BC68</f>
        <v>5665707298.6499996</v>
      </c>
      <c r="BD7" s="26">
        <f>资产资本表!BD68</f>
        <v>5766176653.5100002</v>
      </c>
      <c r="BE7" s="26">
        <f>资产资本表!BE68</f>
        <v>5837566247.29</v>
      </c>
      <c r="BF7" s="26">
        <f>资产资本表!BF68</f>
        <v>5426340103.3800001</v>
      </c>
      <c r="BG7" s="26">
        <f>资产资本表!BG68</f>
        <v>5516225465.3800001</v>
      </c>
      <c r="BH7" s="26">
        <f>资产资本表!BH68</f>
        <v>5584384446.9799995</v>
      </c>
      <c r="BI7" s="26">
        <f>资产资本表!BI68</f>
        <v>5584130250.7199993</v>
      </c>
      <c r="BJ7" s="26">
        <f>资产资本表!BJ68</f>
        <v>5171579007.8500004</v>
      </c>
      <c r="BK7" s="26">
        <f>资产资本表!BK68</f>
        <v>4539878691.6599998</v>
      </c>
      <c r="BL7" s="26">
        <f>资产资本表!BL68</f>
        <v>4474983135.0500002</v>
      </c>
      <c r="BM7" s="26">
        <f>资产资本表!BM68</f>
        <v>4517119929.7700005</v>
      </c>
      <c r="BN7" s="26">
        <f>资产资本表!BN68</f>
        <v>3617218795.6000004</v>
      </c>
      <c r="BO7" s="26">
        <f>资产资本表!BO68</f>
        <v>3681336420.0500002</v>
      </c>
      <c r="BP7" s="26">
        <f>资产资本表!BP68</f>
        <v>3519981336.8200002</v>
      </c>
      <c r="BQ7" s="26">
        <f>资产资本表!BQ68</f>
        <v>3554877056.6000004</v>
      </c>
      <c r="BR7" s="26">
        <f>资产资本表!BR68</f>
        <v>0</v>
      </c>
      <c r="BS7" s="26">
        <f>资产资本表!BS68</f>
        <v>3535258925.1199999</v>
      </c>
      <c r="BT7" s="26">
        <f>资产资本表!BT68</f>
        <v>1781128379.5599999</v>
      </c>
      <c r="BU7" s="26">
        <f>资产资本表!BU68</f>
        <v>1660008775.1100001</v>
      </c>
      <c r="BV7" s="26">
        <f>资产资本表!BV68</f>
        <v>1679896127.0300002</v>
      </c>
      <c r="BW7" s="26">
        <f>资产资本表!BW68</f>
        <v>1351335368.26</v>
      </c>
      <c r="BX7" s="26">
        <f>资产资本表!BX68</f>
        <v>863141638.28999996</v>
      </c>
      <c r="BY7" s="26">
        <f>资产资本表!BY68</f>
        <v>889088276.57000005</v>
      </c>
      <c r="BZ7" s="26">
        <f>资产资本表!BZ68</f>
        <v>773080474.13999999</v>
      </c>
      <c r="CA7" s="26">
        <f>资产资本表!CA68</f>
        <v>288991911.69</v>
      </c>
      <c r="CB7" s="26">
        <f>资产资本表!CB68</f>
        <v>271521353.76999998</v>
      </c>
      <c r="CC7" s="26">
        <f>资产资本表!CC68</f>
        <v>207085363.92999998</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12605331807.880001</v>
      </c>
      <c r="F8" s="26">
        <f>资产资本表!F69</f>
        <v>13275905758.220001</v>
      </c>
      <c r="G8" s="26">
        <f>资产资本表!G69</f>
        <v>13870493619.020004</v>
      </c>
      <c r="H8" s="26">
        <f>资产资本表!H69</f>
        <v>14008986037.210001</v>
      </c>
      <c r="I8" s="26">
        <f>资产资本表!I69</f>
        <v>12140079128.939999</v>
      </c>
      <c r="J8" s="26">
        <f>资产资本表!J69</f>
        <v>11524144247.799999</v>
      </c>
      <c r="K8" s="26">
        <f>资产资本表!K69</f>
        <v>16440020210.600004</v>
      </c>
      <c r="L8" s="26">
        <f>资产资本表!L69</f>
        <v>19030459354.450001</v>
      </c>
      <c r="M8" s="26">
        <f>资产资本表!M69</f>
        <v>16669250080.91</v>
      </c>
      <c r="N8" s="26">
        <f>资产资本表!N69</f>
        <v>16069334786.140001</v>
      </c>
      <c r="O8" s="26">
        <f>资产资本表!O69</f>
        <v>17231777173.489998</v>
      </c>
      <c r="P8" s="26">
        <f>资产资本表!P69</f>
        <v>17285930775.439999</v>
      </c>
      <c r="Q8" s="26">
        <f>资产资本表!Q69</f>
        <v>16866509816.399998</v>
      </c>
      <c r="R8" s="26">
        <f>资产资本表!R69</f>
        <v>17129633546.33</v>
      </c>
      <c r="S8" s="26">
        <f>资产资本表!S69</f>
        <v>17029959858.769999</v>
      </c>
      <c r="T8" s="26">
        <f>资产资本表!T69</f>
        <v>15906870409.25</v>
      </c>
      <c r="U8" s="26">
        <f>资产资本表!U69</f>
        <v>10847627705.009998</v>
      </c>
      <c r="V8" s="26">
        <f>资产资本表!V69</f>
        <v>10848888235.609997</v>
      </c>
      <c r="W8" s="26">
        <f>资产资本表!W69</f>
        <v>8212177505.0699997</v>
      </c>
      <c r="X8" s="26">
        <f>资产资本表!X69</f>
        <v>6265494269.0499992</v>
      </c>
      <c r="Y8" s="26">
        <f>资产资本表!Y69</f>
        <v>3498398512.0099974</v>
      </c>
      <c r="Z8" s="26">
        <f>资产资本表!Z69</f>
        <v>3350248167.1699982</v>
      </c>
      <c r="AA8" s="26">
        <f>资产资本表!AA69</f>
        <v>3098511619.1899996</v>
      </c>
      <c r="AB8" s="26">
        <f>资产资本表!AB69</f>
        <v>3310242302.1500006</v>
      </c>
      <c r="AC8" s="26">
        <f>资产资本表!AC69</f>
        <v>1673928211.5599995</v>
      </c>
      <c r="AD8" s="26">
        <f>资产资本表!AD69</f>
        <v>3019842900.3100014</v>
      </c>
      <c r="AE8" s="26">
        <f>资产资本表!AE69</f>
        <v>2778141195.8099985</v>
      </c>
      <c r="AF8" s="26">
        <f>资产资本表!AF69</f>
        <v>4444141983.04</v>
      </c>
      <c r="AG8" s="26">
        <f>资产资本表!AG69</f>
        <v>4480834239.25</v>
      </c>
      <c r="AH8" s="26">
        <f>资产资本表!AH69</f>
        <v>6023913721.7299995</v>
      </c>
      <c r="AI8" s="26">
        <f>资产资本表!AI69</f>
        <v>6385481454.6199999</v>
      </c>
      <c r="AJ8" s="26">
        <f>资产资本表!AJ69</f>
        <v>6591573906.0100002</v>
      </c>
      <c r="AK8" s="26">
        <f>资产资本表!AK69</f>
        <v>7175477537.1200008</v>
      </c>
      <c r="AL8" s="26">
        <f>资产资本表!AL69</f>
        <v>7057585960.0100002</v>
      </c>
      <c r="AM8" s="26">
        <f>资产资本表!AM69</f>
        <v>7992954874.8000011</v>
      </c>
      <c r="AN8" s="26">
        <f>资产资本表!AN69</f>
        <v>5579292833.25</v>
      </c>
      <c r="AO8" s="26">
        <f>资产资本表!AO69</f>
        <v>5442164892.6500006</v>
      </c>
      <c r="AP8" s="26">
        <f>资产资本表!AP69</f>
        <v>5356545880.5900011</v>
      </c>
      <c r="AQ8" s="26">
        <f>资产资本表!AQ69</f>
        <v>5667754981.6400013</v>
      </c>
      <c r="AR8" s="26">
        <f>资产资本表!AR69</f>
        <v>5372111109.0000019</v>
      </c>
      <c r="AS8" s="26">
        <f>资产资本表!AS69</f>
        <v>5490273073.0699997</v>
      </c>
      <c r="AT8" s="26">
        <f>资产资本表!AT69</f>
        <v>4837386747.6099997</v>
      </c>
      <c r="AU8" s="26">
        <f>资产资本表!AU69</f>
        <v>5056150634.8699999</v>
      </c>
      <c r="AV8" s="26">
        <f>资产资本表!AV69</f>
        <v>5195864351.9399996</v>
      </c>
      <c r="AW8" s="26">
        <f>资产资本表!AW69</f>
        <v>5608773923.1499996</v>
      </c>
      <c r="AX8" s="26">
        <f>资产资本表!AX69</f>
        <v>5588582156.2700005</v>
      </c>
      <c r="AY8" s="26">
        <f>资产资本表!AY69</f>
        <v>5636262383.2399998</v>
      </c>
      <c r="AZ8" s="26">
        <f>资产资本表!AZ69</f>
        <v>5292858793.4200001</v>
      </c>
      <c r="BA8" s="26">
        <f>资产资本表!BA69</f>
        <v>5513196469.0899992</v>
      </c>
      <c r="BB8" s="26">
        <f>资产资本表!BB69</f>
        <v>5880141325.6700001</v>
      </c>
      <c r="BC8" s="26">
        <f>资产资本表!BC69</f>
        <v>5777021677.2699995</v>
      </c>
      <c r="BD8" s="26">
        <f>资产资本表!BD69</f>
        <v>5862421501.5100002</v>
      </c>
      <c r="BE8" s="26">
        <f>资产资本表!BE69</f>
        <v>5798381628.5500002</v>
      </c>
      <c r="BF8" s="26">
        <f>资产资本表!BF69</f>
        <v>5052105469.75</v>
      </c>
      <c r="BG8" s="26">
        <f>资产资本表!BG69</f>
        <v>5065381911.2299995</v>
      </c>
      <c r="BH8" s="26">
        <f>资产资本表!BH69</f>
        <v>4596576413.9399996</v>
      </c>
      <c r="BI8" s="26">
        <f>资产资本表!BI69</f>
        <v>5094894183.0299988</v>
      </c>
      <c r="BJ8" s="26">
        <f>资产资本表!BJ69</f>
        <v>4679398433.9300003</v>
      </c>
      <c r="BK8" s="26">
        <f>资产资本表!BK69</f>
        <v>4228482264.3299999</v>
      </c>
      <c r="BL8" s="26">
        <f>资产资本表!BL69</f>
        <v>4181629041.0600004</v>
      </c>
      <c r="BM8" s="26">
        <f>资产资本表!BM69</f>
        <v>4071653381.2200003</v>
      </c>
      <c r="BN8" s="26">
        <f>资产资本表!BN69</f>
        <v>3768827919.9800005</v>
      </c>
      <c r="BO8" s="26">
        <f>资产资本表!BO69</f>
        <v>3456589838.1000004</v>
      </c>
      <c r="BP8" s="26">
        <f>资产资本表!BP69</f>
        <v>3300113312.29</v>
      </c>
      <c r="BQ8" s="26">
        <f>资产资本表!BQ69</f>
        <v>3237266118.6400003</v>
      </c>
      <c r="BR8" s="26">
        <f>资产资本表!BR69</f>
        <v>0</v>
      </c>
      <c r="BS8" s="26">
        <f>资产资本表!BS69</f>
        <v>3052079531.7399998</v>
      </c>
      <c r="BT8" s="26">
        <f>资产资本表!BT69</f>
        <v>1987938852.9200001</v>
      </c>
      <c r="BU8" s="26">
        <f>资产资本表!BU69</f>
        <v>1510554788.22</v>
      </c>
      <c r="BV8" s="26">
        <f>资产资本表!BV69</f>
        <v>2446104959.1300006</v>
      </c>
      <c r="BW8" s="26">
        <f>资产资本表!BW69</f>
        <v>1335220854.1500003</v>
      </c>
      <c r="BX8" s="26">
        <f>资产资本表!BX69</f>
        <v>971228854.25999999</v>
      </c>
      <c r="BY8" s="26">
        <f>资产资本表!BY69</f>
        <v>976112987.00000012</v>
      </c>
      <c r="BZ8" s="26">
        <f>资产资本表!BZ69</f>
        <v>947921933.65999997</v>
      </c>
      <c r="CA8" s="26">
        <f>资产资本表!CA69</f>
        <v>296891322.03000003</v>
      </c>
      <c r="CB8" s="26">
        <f>资产资本表!CB69</f>
        <v>394306982.40000004</v>
      </c>
      <c r="CC8" s="26">
        <f>资产资本表!CC69</f>
        <v>478759163.12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54674325649.179993</v>
      </c>
      <c r="F9" s="48">
        <f>资产资本表!F70</f>
        <v>51853331585.639999</v>
      </c>
      <c r="G9" s="48">
        <f>资产资本表!G70</f>
        <v>49979299121.460007</v>
      </c>
      <c r="H9" s="48">
        <f>资产资本表!H70</f>
        <v>51945064294.689995</v>
      </c>
      <c r="I9" s="48">
        <f>资产资本表!I70</f>
        <v>48205859209.699997</v>
      </c>
      <c r="J9" s="48">
        <f>资产资本表!J70</f>
        <v>46515855681.759995</v>
      </c>
      <c r="K9" s="48">
        <f>资产资本表!K70</f>
        <v>48371837840.32</v>
      </c>
      <c r="L9" s="48">
        <f>资产资本表!L70</f>
        <v>47353491345.199997</v>
      </c>
      <c r="M9" s="48">
        <f>资产资本表!M70</f>
        <v>44345160962.550003</v>
      </c>
      <c r="N9" s="48">
        <f>资产资本表!N70</f>
        <v>42712787155.93</v>
      </c>
      <c r="O9" s="48">
        <f>资产资本表!O70</f>
        <v>41336880302.610001</v>
      </c>
      <c r="P9" s="48">
        <f>资产资本表!P70</f>
        <v>42628003702.759995</v>
      </c>
      <c r="Q9" s="48">
        <f>资产资本表!Q70</f>
        <v>40334080446.080002</v>
      </c>
      <c r="R9" s="48">
        <f>资产资本表!R70</f>
        <v>39103579805.080002</v>
      </c>
      <c r="S9" s="48">
        <f>资产资本表!S70</f>
        <v>38252008206.360001</v>
      </c>
      <c r="T9" s="48">
        <f>资产资本表!T70</f>
        <v>39820487155.739998</v>
      </c>
      <c r="U9" s="48">
        <f>资产资本表!U70</f>
        <v>37086897320.149994</v>
      </c>
      <c r="V9" s="48">
        <f>资产资本表!V70</f>
        <v>35994179158.279999</v>
      </c>
      <c r="W9" s="48">
        <f>资产资本表!W70</f>
        <v>34550289130.93</v>
      </c>
      <c r="X9" s="48">
        <f>资产资本表!X70</f>
        <v>35656179783.989998</v>
      </c>
      <c r="Y9" s="48">
        <f>资产资本表!Y70</f>
        <v>31901428321.359997</v>
      </c>
      <c r="Z9" s="48">
        <f>资产资本表!Z70</f>
        <v>29679581790.739998</v>
      </c>
      <c r="AA9" s="48">
        <f>资产资本表!AA70</f>
        <v>26799821241.939999</v>
      </c>
      <c r="AB9" s="48">
        <f>资产资本表!AB70</f>
        <v>26626449399.960003</v>
      </c>
      <c r="AC9" s="48">
        <f>资产资本表!AC70</f>
        <v>23669871508.510002</v>
      </c>
      <c r="AD9" s="48">
        <f>资产资本表!AD70</f>
        <v>22331081146.789997</v>
      </c>
      <c r="AE9" s="48">
        <f>资产资本表!AE70</f>
        <v>21186549463.729996</v>
      </c>
      <c r="AF9" s="48">
        <f>资产资本表!AF70</f>
        <v>20729673722.529999</v>
      </c>
      <c r="AG9" s="48">
        <f>资产资本表!AG70</f>
        <v>18732288129.940002</v>
      </c>
      <c r="AH9" s="48">
        <f>资产资本表!AH70</f>
        <v>17603043970.790001</v>
      </c>
      <c r="AI9" s="48">
        <f>资产资本表!AI70</f>
        <v>16423410822.220001</v>
      </c>
      <c r="AJ9" s="48">
        <f>资产资本表!AJ70</f>
        <v>16203070282.960001</v>
      </c>
      <c r="AK9" s="48">
        <f>资产资本表!AK70</f>
        <v>14802088134.84</v>
      </c>
      <c r="AL9" s="48">
        <f>资产资本表!AL70</f>
        <v>13658846653.6</v>
      </c>
      <c r="AM9" s="48">
        <f>资产资本表!AM70</f>
        <v>12886039184.620001</v>
      </c>
      <c r="AN9" s="48">
        <f>资产资本表!AN70</f>
        <v>12725217105.43</v>
      </c>
      <c r="AO9" s="48">
        <f>资产资本表!AO70</f>
        <v>11455936876.720001</v>
      </c>
      <c r="AP9" s="48">
        <f>资产资本表!AP70</f>
        <v>11230323337.110001</v>
      </c>
      <c r="AQ9" s="48">
        <f>资产资本表!AQ70</f>
        <v>10934383750.470001</v>
      </c>
      <c r="AR9" s="48">
        <f>资产资本表!AR70</f>
        <v>10641944677.480003</v>
      </c>
      <c r="AS9" s="48">
        <f>资产资本表!AS70</f>
        <v>9628736984.1700001</v>
      </c>
      <c r="AT9" s="48">
        <f>资产资本表!AT70</f>
        <v>9588088152.4899998</v>
      </c>
      <c r="AU9" s="48">
        <f>资产资本表!AU70</f>
        <v>9406515150.3199997</v>
      </c>
      <c r="AV9" s="48">
        <f>资产资本表!AV70</f>
        <v>9054149388.7700005</v>
      </c>
      <c r="AW9" s="48">
        <f>资产资本表!AW70</f>
        <v>8454013513.0900002</v>
      </c>
      <c r="AX9" s="48">
        <f>资产资本表!AX70</f>
        <v>8302602924.9300003</v>
      </c>
      <c r="AY9" s="48">
        <f>资产资本表!AY70</f>
        <v>8137249006.1499996</v>
      </c>
      <c r="AZ9" s="48">
        <f>资产资本表!AZ70</f>
        <v>8087986067.2200003</v>
      </c>
      <c r="BA9" s="48">
        <f>资产资本表!BA70</f>
        <v>7524846522.0499992</v>
      </c>
      <c r="BB9" s="48">
        <f>资产资本表!BB70</f>
        <v>7491105713.3600006</v>
      </c>
      <c r="BC9" s="48">
        <f>资产资本表!BC70</f>
        <v>7302278404.539999</v>
      </c>
      <c r="BD9" s="48">
        <f>资产资本表!BD70</f>
        <v>7121037037.6599998</v>
      </c>
      <c r="BE9" s="48">
        <f>资产资本表!BE70</f>
        <v>6691200231.8800001</v>
      </c>
      <c r="BF9" s="48">
        <f>资产资本表!BF70</f>
        <v>6533206566.6700001</v>
      </c>
      <c r="BG9" s="48">
        <f>资产资本表!BG70</f>
        <v>6385670190.0599995</v>
      </c>
      <c r="BH9" s="48">
        <f>资产资本表!BH70</f>
        <v>6500576882.1899996</v>
      </c>
      <c r="BI9" s="48">
        <f>资产资本表!BI70</f>
        <v>6104836727.7099991</v>
      </c>
      <c r="BJ9" s="48">
        <f>资产资本表!BJ70</f>
        <v>5958708261.8600006</v>
      </c>
      <c r="BK9" s="48">
        <f>资产资本表!BK70</f>
        <v>5795670354.5</v>
      </c>
      <c r="BL9" s="48">
        <f>资产资本表!BL70</f>
        <v>5742317997.710001</v>
      </c>
      <c r="BM9" s="48">
        <f>资产资本表!BM70</f>
        <v>5416963620.2399998</v>
      </c>
      <c r="BN9" s="48">
        <f>资产资本表!BN70</f>
        <v>5395359334.4400005</v>
      </c>
      <c r="BO9" s="48">
        <f>资产资本表!BO70</f>
        <v>5283996593.54</v>
      </c>
      <c r="BP9" s="48">
        <f>资产资本表!BP70</f>
        <v>5093877620.5799999</v>
      </c>
      <c r="BQ9" s="48">
        <f>资产资本表!BQ70</f>
        <v>4784721787.4300003</v>
      </c>
      <c r="BR9" s="48">
        <f>资产资本表!BR70</f>
        <v>0</v>
      </c>
      <c r="BS9" s="48">
        <f>资产资本表!BS70</f>
        <v>4624765520.9300003</v>
      </c>
      <c r="BT9" s="48">
        <f>资产资本表!BT70</f>
        <v>4409353460.5100002</v>
      </c>
      <c r="BU9" s="48">
        <f>资产资本表!BU70</f>
        <v>3233521226.2400002</v>
      </c>
      <c r="BV9" s="48">
        <f>资产资本表!BV70</f>
        <v>3051129047.0300007</v>
      </c>
      <c r="BW9" s="48">
        <f>资产资本表!BW70</f>
        <v>2270018343.0800004</v>
      </c>
      <c r="BX9" s="48">
        <f>资产资本表!BX70</f>
        <v>2215540260.6099997</v>
      </c>
      <c r="BY9" s="48">
        <f>资产资本表!BY70</f>
        <v>2028767650.3000002</v>
      </c>
      <c r="BZ9" s="48">
        <f>资产资本表!BZ70</f>
        <v>1856283137.9200001</v>
      </c>
      <c r="CA9" s="48">
        <f>资产资本表!CA70</f>
        <v>467517896.83000004</v>
      </c>
      <c r="CB9" s="48">
        <f>资产资本表!CB70</f>
        <v>435430683.99000001</v>
      </c>
      <c r="CC9" s="48">
        <f>资产资本表!CC70</f>
        <v>517564411.55000001</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40000000</v>
      </c>
      <c r="CB10" s="26">
        <f>资产资本表!CB72</f>
        <v>137500000</v>
      </c>
      <c r="CC10" s="26">
        <f>资产资本表!CC72</f>
        <v>177400000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1000000</v>
      </c>
      <c r="O11" s="26">
        <f>资产资本表!O81</f>
        <v>1000000</v>
      </c>
      <c r="P11" s="26">
        <f>资产资本表!P81</f>
        <v>1000000</v>
      </c>
      <c r="Q11" s="26">
        <f>资产资本表!Q81</f>
        <v>1000000</v>
      </c>
      <c r="R11" s="26">
        <f>资产资本表!R81</f>
        <v>65516518.030000001</v>
      </c>
      <c r="S11" s="26">
        <f>资产资本表!S81</f>
        <v>65195268.039999999</v>
      </c>
      <c r="T11" s="26">
        <f>资产资本表!T81</f>
        <v>65654018.049999997</v>
      </c>
      <c r="U11" s="26">
        <f>资产资本表!U81</f>
        <v>67612768.060000002</v>
      </c>
      <c r="V11" s="26">
        <f>资产资本表!V81</f>
        <v>57924018.060000002</v>
      </c>
      <c r="W11" s="26">
        <f>资产资本表!W81</f>
        <v>58235268.060000002</v>
      </c>
      <c r="X11" s="26">
        <f>资产资本表!X81</f>
        <v>58546518.060000002</v>
      </c>
      <c r="Y11" s="26">
        <f>资产资本表!Y81</f>
        <v>57857768.060000002</v>
      </c>
      <c r="Z11" s="26">
        <f>资产资本表!Z81</f>
        <v>58139018.060000002</v>
      </c>
      <c r="AA11" s="26">
        <f>资产资本表!AA81</f>
        <v>50620268.060000002</v>
      </c>
      <c r="AB11" s="26">
        <f>资产资本表!AB81</f>
        <v>48501518.060000002</v>
      </c>
      <c r="AC11" s="26">
        <f>资产资本表!AC81</f>
        <v>48182768.060000002</v>
      </c>
      <c r="AD11" s="26">
        <f>资产资本表!AD81</f>
        <v>41877143.07</v>
      </c>
      <c r="AE11" s="26">
        <f>资产资本表!AE81</f>
        <v>24814643.07</v>
      </c>
      <c r="AF11" s="26">
        <f>资产资本表!AF81</f>
        <v>20910598.219999999</v>
      </c>
      <c r="AG11" s="26">
        <f>资产资本表!AG81</f>
        <v>16910598.219999999</v>
      </c>
      <c r="AH11" s="26">
        <f>资产资本表!AH81</f>
        <v>1000000</v>
      </c>
      <c r="AI11" s="26">
        <f>资产资本表!AI81</f>
        <v>1000000</v>
      </c>
      <c r="AJ11" s="26">
        <f>资产资本表!AJ81</f>
        <v>1000000</v>
      </c>
      <c r="AK11" s="26">
        <f>资产资本表!AK81</f>
        <v>1000000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2500000</v>
      </c>
      <c r="AT11" s="26">
        <f>资产资本表!AT81</f>
        <v>2500000</v>
      </c>
      <c r="AU11" s="26">
        <f>资产资本表!AU81</f>
        <v>2500000</v>
      </c>
      <c r="AV11" s="26">
        <f>资产资本表!AV81</f>
        <v>2500000</v>
      </c>
      <c r="AW11" s="26">
        <f>资产资本表!AW81</f>
        <v>2500000</v>
      </c>
      <c r="AX11" s="26">
        <f>资产资本表!AX81</f>
        <v>2500000</v>
      </c>
      <c r="AY11" s="26">
        <f>资产资本表!AY81</f>
        <v>2500000</v>
      </c>
      <c r="AZ11" s="26">
        <f>资产资本表!AZ81</f>
        <v>2500000</v>
      </c>
      <c r="BA11" s="26">
        <f>资产资本表!BA81</f>
        <v>2500000</v>
      </c>
      <c r="BB11" s="26">
        <f>资产资本表!BB81</f>
        <v>2500000</v>
      </c>
      <c r="BC11" s="26">
        <f>资产资本表!BC81</f>
        <v>2500000</v>
      </c>
      <c r="BD11" s="26">
        <f>资产资本表!BD81</f>
        <v>2500000</v>
      </c>
      <c r="BE11" s="26">
        <f>资产资本表!BE81</f>
        <v>2500000</v>
      </c>
      <c r="BF11" s="26">
        <f>资产资本表!BF81</f>
        <v>2500000</v>
      </c>
      <c r="BG11" s="26">
        <f>资产资本表!BG81</f>
        <v>2500000</v>
      </c>
      <c r="BH11" s="26">
        <f>资产资本表!BH81</f>
        <v>2500000</v>
      </c>
      <c r="BI11" s="26">
        <f>资产资本表!BI81</f>
        <v>2500000</v>
      </c>
      <c r="BJ11" s="26">
        <f>资产资本表!BJ81</f>
        <v>2500000</v>
      </c>
      <c r="BK11" s="26">
        <f>资产资本表!BK81</f>
        <v>2500000</v>
      </c>
      <c r="BL11" s="26">
        <f>资产资本表!BL81</f>
        <v>2500000</v>
      </c>
      <c r="BM11" s="26">
        <f>资产资本表!BM81</f>
        <v>22500000</v>
      </c>
      <c r="BN11" s="26">
        <f>资产资本表!BN81</f>
        <v>22500000</v>
      </c>
      <c r="BO11" s="26">
        <f>资产资本表!BO81</f>
        <v>74500000</v>
      </c>
      <c r="BP11" s="26">
        <f>资产资本表!BP81</f>
        <v>22500000</v>
      </c>
      <c r="BQ11" s="26">
        <f>资产资本表!BQ81</f>
        <v>22500000</v>
      </c>
      <c r="BR11" s="26">
        <f>资产资本表!BR81</f>
        <v>0</v>
      </c>
      <c r="BS11" s="26">
        <f>资产资本表!BS81</f>
        <v>22500000</v>
      </c>
      <c r="BT11" s="26">
        <f>资产资本表!BT81</f>
        <v>23500000</v>
      </c>
      <c r="BU11" s="26">
        <f>资产资本表!BU81</f>
        <v>47000000</v>
      </c>
      <c r="BV11" s="26">
        <f>资产资本表!BV81</f>
        <v>4321518.1899999995</v>
      </c>
      <c r="BW11" s="26">
        <f>资产资本表!BW81</f>
        <v>7136405.5199999996</v>
      </c>
      <c r="BX11" s="26">
        <f>资产资本表!BX81</f>
        <v>0</v>
      </c>
      <c r="BY11" s="26">
        <f>资产资本表!BY81</f>
        <v>0</v>
      </c>
      <c r="BZ11" s="26">
        <f>资产资本表!BZ81</f>
        <v>0</v>
      </c>
      <c r="CA11" s="26">
        <f>资产资本表!CA81</f>
        <v>30000000</v>
      </c>
      <c r="CB11" s="26">
        <f>资产资本表!CB81</f>
        <v>30000000</v>
      </c>
      <c r="CC11" s="26">
        <f>资产资本表!CC81</f>
        <v>125350000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1000000</v>
      </c>
      <c r="O12" s="26">
        <f>资产资本表!O89</f>
        <v>1000000</v>
      </c>
      <c r="P12" s="26">
        <f>资产资本表!P89</f>
        <v>1000000</v>
      </c>
      <c r="Q12" s="26">
        <f>资产资本表!Q89</f>
        <v>1000000</v>
      </c>
      <c r="R12" s="26">
        <f>资产资本表!R89</f>
        <v>65516518.030000001</v>
      </c>
      <c r="S12" s="26">
        <f>资产资本表!S89</f>
        <v>65195268.039999999</v>
      </c>
      <c r="T12" s="26">
        <f>资产资本表!T89</f>
        <v>65654018.049999997</v>
      </c>
      <c r="U12" s="26">
        <f>资产资本表!U89</f>
        <v>67612768.060000002</v>
      </c>
      <c r="V12" s="26">
        <f>资产资本表!V89</f>
        <v>57924018.060000002</v>
      </c>
      <c r="W12" s="26">
        <f>资产资本表!W89</f>
        <v>58235268.060000002</v>
      </c>
      <c r="X12" s="26">
        <f>资产资本表!X89</f>
        <v>58546518.060000002</v>
      </c>
      <c r="Y12" s="26">
        <f>资产资本表!Y89</f>
        <v>57857768.060000002</v>
      </c>
      <c r="Z12" s="26">
        <f>资产资本表!Z89</f>
        <v>58139018.060000002</v>
      </c>
      <c r="AA12" s="26">
        <f>资产资本表!AA89</f>
        <v>50620268.060000002</v>
      </c>
      <c r="AB12" s="26">
        <f>资产资本表!AB89</f>
        <v>48501518.060000002</v>
      </c>
      <c r="AC12" s="26">
        <f>资产资本表!AC89</f>
        <v>48182768.060000002</v>
      </c>
      <c r="AD12" s="26">
        <f>资产资本表!AD89</f>
        <v>41877143.07</v>
      </c>
      <c r="AE12" s="26">
        <f>资产资本表!AE89</f>
        <v>24814643.07</v>
      </c>
      <c r="AF12" s="26">
        <f>资产资本表!AF89</f>
        <v>20910598.219999999</v>
      </c>
      <c r="AG12" s="26">
        <f>资产资本表!AG89</f>
        <v>16910598.219999999</v>
      </c>
      <c r="AH12" s="26">
        <f>资产资本表!AH89</f>
        <v>1000000</v>
      </c>
      <c r="AI12" s="26">
        <f>资产资本表!AI89</f>
        <v>1000000</v>
      </c>
      <c r="AJ12" s="26">
        <f>资产资本表!AJ89</f>
        <v>1000000</v>
      </c>
      <c r="AK12" s="26">
        <f>资产资本表!AK89</f>
        <v>1000000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2500000</v>
      </c>
      <c r="AT12" s="26">
        <f>资产资本表!AT89</f>
        <v>2500000</v>
      </c>
      <c r="AU12" s="26">
        <f>资产资本表!AU89</f>
        <v>2500000</v>
      </c>
      <c r="AV12" s="26">
        <f>资产资本表!AV89</f>
        <v>2500000</v>
      </c>
      <c r="AW12" s="26">
        <f>资产资本表!AW89</f>
        <v>2500000</v>
      </c>
      <c r="AX12" s="26">
        <f>资产资本表!AX89</f>
        <v>2500000</v>
      </c>
      <c r="AY12" s="26">
        <f>资产资本表!AY89</f>
        <v>2500000</v>
      </c>
      <c r="AZ12" s="26">
        <f>资产资本表!AZ89</f>
        <v>2500000</v>
      </c>
      <c r="BA12" s="26">
        <f>资产资本表!BA89</f>
        <v>2500000</v>
      </c>
      <c r="BB12" s="26">
        <f>资产资本表!BB89</f>
        <v>2500000</v>
      </c>
      <c r="BC12" s="26">
        <f>资产资本表!BC89</f>
        <v>2500000</v>
      </c>
      <c r="BD12" s="26">
        <f>资产资本表!BD89</f>
        <v>2500000</v>
      </c>
      <c r="BE12" s="26">
        <f>资产资本表!BE89</f>
        <v>2500000</v>
      </c>
      <c r="BF12" s="26">
        <f>资产资本表!BF89</f>
        <v>2500000</v>
      </c>
      <c r="BG12" s="26">
        <f>资产资本表!BG89</f>
        <v>2500000</v>
      </c>
      <c r="BH12" s="26">
        <f>资产资本表!BH89</f>
        <v>2500000</v>
      </c>
      <c r="BI12" s="26">
        <f>资产资本表!BI89</f>
        <v>2500000</v>
      </c>
      <c r="BJ12" s="26">
        <f>资产资本表!BJ89</f>
        <v>2500000</v>
      </c>
      <c r="BK12" s="26">
        <f>资产资本表!BK89</f>
        <v>2500000</v>
      </c>
      <c r="BL12" s="26">
        <f>资产资本表!BL89</f>
        <v>2500000</v>
      </c>
      <c r="BM12" s="26">
        <f>资产资本表!BM89</f>
        <v>22500000</v>
      </c>
      <c r="BN12" s="26">
        <f>资产资本表!BN89</f>
        <v>22500000</v>
      </c>
      <c r="BO12" s="26">
        <f>资产资本表!BO89</f>
        <v>74500000</v>
      </c>
      <c r="BP12" s="26">
        <f>资产资本表!BP89</f>
        <v>22500000</v>
      </c>
      <c r="BQ12" s="26">
        <f>资产资本表!BQ89</f>
        <v>22500000</v>
      </c>
      <c r="BR12" s="26">
        <f>资产资本表!BR89</f>
        <v>0</v>
      </c>
      <c r="BS12" s="26">
        <f>资产资本表!BS89</f>
        <v>22500000</v>
      </c>
      <c r="BT12" s="26">
        <f>资产资本表!BT89</f>
        <v>23500000</v>
      </c>
      <c r="BU12" s="26">
        <f>资产资本表!BU89</f>
        <v>47000000</v>
      </c>
      <c r="BV12" s="26">
        <f>资产资本表!BV89</f>
        <v>4321518.1899999995</v>
      </c>
      <c r="BW12" s="26">
        <f>资产资本表!BW89</f>
        <v>7136405.5199999996</v>
      </c>
      <c r="BX12" s="26">
        <f>资产资本表!BX89</f>
        <v>0</v>
      </c>
      <c r="BY12" s="26">
        <f>资产资本表!BY89</f>
        <v>0</v>
      </c>
      <c r="BZ12" s="26">
        <f>资产资本表!BZ89</f>
        <v>0</v>
      </c>
      <c r="CA12" s="26">
        <f>资产资本表!CA89</f>
        <v>70000000</v>
      </c>
      <c r="CB12" s="26">
        <f>资产资本表!CB89</f>
        <v>167500000</v>
      </c>
      <c r="CC12" s="26">
        <f>资产资本表!CC89</f>
        <v>302750000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54674325649.179993</v>
      </c>
      <c r="F13" s="26">
        <f t="shared" ref="F13:BQ13" si="0">F9-F12</f>
        <v>51853331585.639999</v>
      </c>
      <c r="G13" s="26">
        <f t="shared" si="0"/>
        <v>49979299121.460007</v>
      </c>
      <c r="H13" s="26">
        <f t="shared" si="0"/>
        <v>51945064294.689995</v>
      </c>
      <c r="I13" s="26">
        <f t="shared" si="0"/>
        <v>48205859209.699997</v>
      </c>
      <c r="J13" s="26">
        <f t="shared" si="0"/>
        <v>46515855681.759995</v>
      </c>
      <c r="K13" s="26">
        <f t="shared" si="0"/>
        <v>48371837840.32</v>
      </c>
      <c r="L13" s="26">
        <f t="shared" si="0"/>
        <v>47353491345.199997</v>
      </c>
      <c r="M13" s="26">
        <f t="shared" si="0"/>
        <v>44345160962.550003</v>
      </c>
      <c r="N13" s="26">
        <f t="shared" si="0"/>
        <v>42711787155.93</v>
      </c>
      <c r="O13" s="26">
        <f t="shared" si="0"/>
        <v>41335880302.610001</v>
      </c>
      <c r="P13" s="26">
        <f t="shared" si="0"/>
        <v>42627003702.759995</v>
      </c>
      <c r="Q13" s="26">
        <f t="shared" si="0"/>
        <v>40333080446.080002</v>
      </c>
      <c r="R13" s="26">
        <f t="shared" si="0"/>
        <v>39038063287.050003</v>
      </c>
      <c r="S13" s="26">
        <f t="shared" si="0"/>
        <v>38186812938.32</v>
      </c>
      <c r="T13" s="26">
        <f t="shared" si="0"/>
        <v>39754833137.689995</v>
      </c>
      <c r="U13" s="26">
        <f t="shared" si="0"/>
        <v>37019284552.089996</v>
      </c>
      <c r="V13" s="26">
        <f t="shared" si="0"/>
        <v>35936255140.220001</v>
      </c>
      <c r="W13" s="26">
        <f t="shared" si="0"/>
        <v>34492053862.870003</v>
      </c>
      <c r="X13" s="26">
        <f t="shared" si="0"/>
        <v>35597633265.93</v>
      </c>
      <c r="Y13" s="26">
        <f t="shared" si="0"/>
        <v>31843570553.299995</v>
      </c>
      <c r="Z13" s="26">
        <f t="shared" si="0"/>
        <v>29621442772.679996</v>
      </c>
      <c r="AA13" s="26">
        <f t="shared" si="0"/>
        <v>26749200973.879997</v>
      </c>
      <c r="AB13" s="26">
        <f t="shared" si="0"/>
        <v>26577947881.900002</v>
      </c>
      <c r="AC13" s="26">
        <f t="shared" si="0"/>
        <v>23621688740.450001</v>
      </c>
      <c r="AD13" s="26">
        <f t="shared" si="0"/>
        <v>22289204003.719997</v>
      </c>
      <c r="AE13" s="26">
        <f t="shared" si="0"/>
        <v>21161734820.659996</v>
      </c>
      <c r="AF13" s="26">
        <f t="shared" si="0"/>
        <v>20708763124.309998</v>
      </c>
      <c r="AG13" s="26">
        <f t="shared" si="0"/>
        <v>18715377531.720001</v>
      </c>
      <c r="AH13" s="26">
        <f t="shared" si="0"/>
        <v>17602043970.790001</v>
      </c>
      <c r="AI13" s="26">
        <f t="shared" si="0"/>
        <v>16422410822.220001</v>
      </c>
      <c r="AJ13" s="26">
        <f t="shared" si="0"/>
        <v>16202070282.960001</v>
      </c>
      <c r="AK13" s="26">
        <f t="shared" si="0"/>
        <v>14801088134.84</v>
      </c>
      <c r="AL13" s="26">
        <f t="shared" si="0"/>
        <v>13658846653.6</v>
      </c>
      <c r="AM13" s="26">
        <f t="shared" si="0"/>
        <v>12886039184.620001</v>
      </c>
      <c r="AN13" s="26">
        <f t="shared" si="0"/>
        <v>12725217105.43</v>
      </c>
      <c r="AO13" s="26">
        <f t="shared" si="0"/>
        <v>11455936876.720001</v>
      </c>
      <c r="AP13" s="26">
        <f t="shared" si="0"/>
        <v>11230323337.110001</v>
      </c>
      <c r="AQ13" s="26">
        <f t="shared" si="0"/>
        <v>10934383750.470001</v>
      </c>
      <c r="AR13" s="26">
        <f t="shared" si="0"/>
        <v>10641944677.480003</v>
      </c>
      <c r="AS13" s="26">
        <f t="shared" si="0"/>
        <v>9626236984.1700001</v>
      </c>
      <c r="AT13" s="26">
        <f t="shared" si="0"/>
        <v>9585588152.4899998</v>
      </c>
      <c r="AU13" s="26">
        <f t="shared" si="0"/>
        <v>9404015150.3199997</v>
      </c>
      <c r="AV13" s="26">
        <f t="shared" si="0"/>
        <v>9051649388.7700005</v>
      </c>
      <c r="AW13" s="26">
        <f t="shared" si="0"/>
        <v>8451513513.0900002</v>
      </c>
      <c r="AX13" s="26">
        <f t="shared" si="0"/>
        <v>8300102924.9300003</v>
      </c>
      <c r="AY13" s="26">
        <f t="shared" si="0"/>
        <v>8134749006.1499996</v>
      </c>
      <c r="AZ13" s="26">
        <f t="shared" si="0"/>
        <v>8085486067.2200003</v>
      </c>
      <c r="BA13" s="26">
        <f t="shared" si="0"/>
        <v>7522346522.0499992</v>
      </c>
      <c r="BB13" s="26">
        <f t="shared" si="0"/>
        <v>7488605713.3600006</v>
      </c>
      <c r="BC13" s="26">
        <f t="shared" si="0"/>
        <v>7299778404.539999</v>
      </c>
      <c r="BD13" s="26">
        <f t="shared" si="0"/>
        <v>7118537037.6599998</v>
      </c>
      <c r="BE13" s="26">
        <f t="shared" si="0"/>
        <v>6688700231.8800001</v>
      </c>
      <c r="BF13" s="26">
        <f t="shared" si="0"/>
        <v>6530706566.6700001</v>
      </c>
      <c r="BG13" s="26">
        <f t="shared" si="0"/>
        <v>6383170190.0599995</v>
      </c>
      <c r="BH13" s="26">
        <f t="shared" si="0"/>
        <v>6498076882.1899996</v>
      </c>
      <c r="BI13" s="26">
        <f t="shared" si="0"/>
        <v>6102336727.7099991</v>
      </c>
      <c r="BJ13" s="26">
        <f t="shared" si="0"/>
        <v>5956208261.8600006</v>
      </c>
      <c r="BK13" s="26">
        <f t="shared" si="0"/>
        <v>5793170354.5</v>
      </c>
      <c r="BL13" s="26">
        <f t="shared" si="0"/>
        <v>5739817997.710001</v>
      </c>
      <c r="BM13" s="26">
        <f t="shared" si="0"/>
        <v>5394463620.2399998</v>
      </c>
      <c r="BN13" s="26">
        <f t="shared" si="0"/>
        <v>5372859334.4400005</v>
      </c>
      <c r="BO13" s="26">
        <f t="shared" si="0"/>
        <v>5209496593.54</v>
      </c>
      <c r="BP13" s="26">
        <f t="shared" si="0"/>
        <v>5071377620.5799999</v>
      </c>
      <c r="BQ13" s="26">
        <f t="shared" si="0"/>
        <v>4762221787.4300003</v>
      </c>
      <c r="BR13" s="26">
        <f t="shared" ref="BR13:CL13" si="1">BR9-BR12</f>
        <v>0</v>
      </c>
      <c r="BS13" s="26">
        <f t="shared" si="1"/>
        <v>4602265520.9300003</v>
      </c>
      <c r="BT13" s="26">
        <f t="shared" si="1"/>
        <v>4385853460.5100002</v>
      </c>
      <c r="BU13" s="26">
        <f t="shared" si="1"/>
        <v>3186521226.2400002</v>
      </c>
      <c r="BV13" s="26">
        <f t="shared" si="1"/>
        <v>3046807528.8400006</v>
      </c>
      <c r="BW13" s="26">
        <f t="shared" si="1"/>
        <v>2262881937.5600004</v>
      </c>
      <c r="BX13" s="26">
        <f t="shared" si="1"/>
        <v>2215540260.6099997</v>
      </c>
      <c r="BY13" s="26">
        <f t="shared" si="1"/>
        <v>2028767650.3000002</v>
      </c>
      <c r="BZ13" s="26">
        <f t="shared" si="1"/>
        <v>1856283137.9200001</v>
      </c>
      <c r="CA13" s="26">
        <f t="shared" si="1"/>
        <v>397517896.83000004</v>
      </c>
      <c r="CB13" s="26">
        <f t="shared" si="1"/>
        <v>267930683.99000001</v>
      </c>
      <c r="CC13" s="26">
        <f t="shared" si="1"/>
        <v>214814411.55000001</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54674325649.179993</v>
      </c>
      <c r="F14" s="48">
        <f t="shared" ref="F14:BQ14" si="2">F9</f>
        <v>51853331585.639999</v>
      </c>
      <c r="G14" s="48">
        <f t="shared" si="2"/>
        <v>49979299121.460007</v>
      </c>
      <c r="H14" s="48">
        <f t="shared" si="2"/>
        <v>51945064294.689995</v>
      </c>
      <c r="I14" s="48">
        <f t="shared" si="2"/>
        <v>48205859209.699997</v>
      </c>
      <c r="J14" s="48">
        <f t="shared" si="2"/>
        <v>46515855681.759995</v>
      </c>
      <c r="K14" s="48">
        <f t="shared" si="2"/>
        <v>48371837840.32</v>
      </c>
      <c r="L14" s="48">
        <f t="shared" si="2"/>
        <v>47353491345.199997</v>
      </c>
      <c r="M14" s="48">
        <f t="shared" si="2"/>
        <v>44345160962.550003</v>
      </c>
      <c r="N14" s="48">
        <f t="shared" si="2"/>
        <v>42712787155.93</v>
      </c>
      <c r="O14" s="48">
        <f t="shared" si="2"/>
        <v>41336880302.610001</v>
      </c>
      <c r="P14" s="48">
        <f t="shared" si="2"/>
        <v>42628003702.759995</v>
      </c>
      <c r="Q14" s="48">
        <f t="shared" si="2"/>
        <v>40334080446.080002</v>
      </c>
      <c r="R14" s="48">
        <f t="shared" si="2"/>
        <v>39103579805.080002</v>
      </c>
      <c r="S14" s="48">
        <f t="shared" si="2"/>
        <v>38252008206.360001</v>
      </c>
      <c r="T14" s="48">
        <f t="shared" si="2"/>
        <v>39820487155.739998</v>
      </c>
      <c r="U14" s="48">
        <f t="shared" si="2"/>
        <v>37086897320.149994</v>
      </c>
      <c r="V14" s="48">
        <f t="shared" si="2"/>
        <v>35994179158.279999</v>
      </c>
      <c r="W14" s="48">
        <f t="shared" si="2"/>
        <v>34550289130.93</v>
      </c>
      <c r="X14" s="48">
        <f t="shared" si="2"/>
        <v>35656179783.989998</v>
      </c>
      <c r="Y14" s="48">
        <f t="shared" si="2"/>
        <v>31901428321.359997</v>
      </c>
      <c r="Z14" s="48">
        <f t="shared" si="2"/>
        <v>29679581790.739998</v>
      </c>
      <c r="AA14" s="48">
        <f t="shared" si="2"/>
        <v>26799821241.939999</v>
      </c>
      <c r="AB14" s="48">
        <f t="shared" si="2"/>
        <v>26626449399.960003</v>
      </c>
      <c r="AC14" s="48">
        <f t="shared" si="2"/>
        <v>23669871508.510002</v>
      </c>
      <c r="AD14" s="48">
        <f t="shared" si="2"/>
        <v>22331081146.789997</v>
      </c>
      <c r="AE14" s="48">
        <f t="shared" si="2"/>
        <v>21186549463.729996</v>
      </c>
      <c r="AF14" s="48">
        <f t="shared" si="2"/>
        <v>20729673722.529999</v>
      </c>
      <c r="AG14" s="48">
        <f t="shared" si="2"/>
        <v>18732288129.940002</v>
      </c>
      <c r="AH14" s="48">
        <f t="shared" si="2"/>
        <v>17603043970.790001</v>
      </c>
      <c r="AI14" s="48">
        <f t="shared" si="2"/>
        <v>16423410822.220001</v>
      </c>
      <c r="AJ14" s="48">
        <f t="shared" si="2"/>
        <v>16203070282.960001</v>
      </c>
      <c r="AK14" s="48">
        <f t="shared" si="2"/>
        <v>14802088134.84</v>
      </c>
      <c r="AL14" s="48">
        <f t="shared" si="2"/>
        <v>13658846653.6</v>
      </c>
      <c r="AM14" s="48">
        <f t="shared" si="2"/>
        <v>12886039184.620001</v>
      </c>
      <c r="AN14" s="48">
        <f t="shared" si="2"/>
        <v>12725217105.43</v>
      </c>
      <c r="AO14" s="48">
        <f t="shared" si="2"/>
        <v>11455936876.720001</v>
      </c>
      <c r="AP14" s="48">
        <f t="shared" si="2"/>
        <v>11230323337.110001</v>
      </c>
      <c r="AQ14" s="48">
        <f t="shared" si="2"/>
        <v>10934383750.470001</v>
      </c>
      <c r="AR14" s="48">
        <f t="shared" si="2"/>
        <v>10641944677.480003</v>
      </c>
      <c r="AS14" s="48">
        <f t="shared" si="2"/>
        <v>9628736984.1700001</v>
      </c>
      <c r="AT14" s="48">
        <f t="shared" si="2"/>
        <v>9588088152.4899998</v>
      </c>
      <c r="AU14" s="48">
        <f t="shared" si="2"/>
        <v>9406515150.3199997</v>
      </c>
      <c r="AV14" s="48">
        <f t="shared" si="2"/>
        <v>9054149388.7700005</v>
      </c>
      <c r="AW14" s="48">
        <f t="shared" si="2"/>
        <v>8454013513.0900002</v>
      </c>
      <c r="AX14" s="48">
        <f t="shared" si="2"/>
        <v>8302602924.9300003</v>
      </c>
      <c r="AY14" s="48">
        <f t="shared" si="2"/>
        <v>8137249006.1499996</v>
      </c>
      <c r="AZ14" s="48">
        <f t="shared" si="2"/>
        <v>8087986067.2200003</v>
      </c>
      <c r="BA14" s="48">
        <f t="shared" si="2"/>
        <v>7524846522.0499992</v>
      </c>
      <c r="BB14" s="48">
        <f t="shared" si="2"/>
        <v>7491105713.3600006</v>
      </c>
      <c r="BC14" s="48">
        <f t="shared" si="2"/>
        <v>7302278404.539999</v>
      </c>
      <c r="BD14" s="48">
        <f t="shared" si="2"/>
        <v>7121037037.6599998</v>
      </c>
      <c r="BE14" s="48">
        <f t="shared" si="2"/>
        <v>6691200231.8800001</v>
      </c>
      <c r="BF14" s="48">
        <f t="shared" si="2"/>
        <v>6533206566.6700001</v>
      </c>
      <c r="BG14" s="48">
        <f t="shared" si="2"/>
        <v>6385670190.0599995</v>
      </c>
      <c r="BH14" s="48">
        <f t="shared" si="2"/>
        <v>6500576882.1899996</v>
      </c>
      <c r="BI14" s="48">
        <f t="shared" si="2"/>
        <v>6104836727.7099991</v>
      </c>
      <c r="BJ14" s="48">
        <f t="shared" si="2"/>
        <v>5958708261.8600006</v>
      </c>
      <c r="BK14" s="48">
        <f t="shared" si="2"/>
        <v>5795670354.5</v>
      </c>
      <c r="BL14" s="48">
        <f t="shared" si="2"/>
        <v>5742317997.710001</v>
      </c>
      <c r="BM14" s="48">
        <f t="shared" si="2"/>
        <v>5416963620.2399998</v>
      </c>
      <c r="BN14" s="48">
        <f t="shared" si="2"/>
        <v>5395359334.4400005</v>
      </c>
      <c r="BO14" s="48">
        <f t="shared" si="2"/>
        <v>5283996593.54</v>
      </c>
      <c r="BP14" s="48">
        <f t="shared" si="2"/>
        <v>5093877620.5799999</v>
      </c>
      <c r="BQ14" s="48">
        <f t="shared" si="2"/>
        <v>4784721787.4300003</v>
      </c>
      <c r="BR14" s="48">
        <f t="shared" ref="BR14:CL14" si="3">BR9</f>
        <v>0</v>
      </c>
      <c r="BS14" s="48">
        <f t="shared" si="3"/>
        <v>4624765520.9300003</v>
      </c>
      <c r="BT14" s="48">
        <f t="shared" si="3"/>
        <v>4409353460.5100002</v>
      </c>
      <c r="BU14" s="48">
        <f t="shared" si="3"/>
        <v>3233521226.2400002</v>
      </c>
      <c r="BV14" s="48">
        <f t="shared" si="3"/>
        <v>3051129047.0300007</v>
      </c>
      <c r="BW14" s="48">
        <f t="shared" si="3"/>
        <v>2270018343.0800004</v>
      </c>
      <c r="BX14" s="48">
        <f t="shared" si="3"/>
        <v>2215540260.6099997</v>
      </c>
      <c r="BY14" s="48">
        <f t="shared" si="3"/>
        <v>2028767650.3000002</v>
      </c>
      <c r="BZ14" s="48">
        <f t="shared" si="3"/>
        <v>1856283137.9200001</v>
      </c>
      <c r="CA14" s="48">
        <f t="shared" si="3"/>
        <v>467517896.83000004</v>
      </c>
      <c r="CB14" s="48">
        <f t="shared" si="3"/>
        <v>435430683.99000001</v>
      </c>
      <c r="CC14" s="48">
        <f t="shared" si="3"/>
        <v>517564411.55000001</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41206139837.209991</v>
      </c>
      <c r="F15" s="58">
        <f t="shared" ref="F15:BQ15" si="4">F11+F13-F3-F4-F7</f>
        <v>37760386205.559998</v>
      </c>
      <c r="G15" s="58">
        <f t="shared" si="4"/>
        <v>35291765880.580009</v>
      </c>
      <c r="H15" s="58">
        <f t="shared" si="4"/>
        <v>37141435164.459999</v>
      </c>
      <c r="I15" s="58">
        <f t="shared" si="4"/>
        <v>35271136987.739998</v>
      </c>
      <c r="J15" s="58">
        <f t="shared" si="4"/>
        <v>34215368026.389992</v>
      </c>
      <c r="K15" s="58">
        <f t="shared" si="4"/>
        <v>31154374222.149994</v>
      </c>
      <c r="L15" s="58">
        <f t="shared" si="4"/>
        <v>27457022528.269997</v>
      </c>
      <c r="M15" s="58">
        <f t="shared" si="4"/>
        <v>26773901419.16</v>
      </c>
      <c r="N15" s="58">
        <f t="shared" si="4"/>
        <v>25763643116.340004</v>
      </c>
      <c r="O15" s="58">
        <f t="shared" si="4"/>
        <v>23225293875.670006</v>
      </c>
      <c r="P15" s="58">
        <f t="shared" si="4"/>
        <v>24474208028.779995</v>
      </c>
      <c r="Q15" s="58">
        <f t="shared" si="4"/>
        <v>22599705731.140003</v>
      </c>
      <c r="R15" s="58">
        <f t="shared" si="4"/>
        <v>21126333163.730003</v>
      </c>
      <c r="S15" s="58">
        <f t="shared" si="4"/>
        <v>20387235252.570004</v>
      </c>
      <c r="T15" s="58">
        <f t="shared" si="4"/>
        <v>23073039389.989998</v>
      </c>
      <c r="U15" s="58">
        <f t="shared" si="4"/>
        <v>26118692258.639996</v>
      </c>
      <c r="V15" s="58">
        <f t="shared" si="4"/>
        <v>25031477832.98</v>
      </c>
      <c r="W15" s="58">
        <f t="shared" si="4"/>
        <v>26224171936.169998</v>
      </c>
      <c r="X15" s="58">
        <f t="shared" si="4"/>
        <v>29270548001.170006</v>
      </c>
      <c r="Y15" s="58">
        <f t="shared" si="4"/>
        <v>28282678686.579998</v>
      </c>
      <c r="Z15" s="58">
        <f t="shared" si="4"/>
        <v>26212779803.650002</v>
      </c>
      <c r="AA15" s="58">
        <f t="shared" si="4"/>
        <v>23584755802.830002</v>
      </c>
      <c r="AB15" s="58">
        <f t="shared" si="4"/>
        <v>23195331714.5</v>
      </c>
      <c r="AC15" s="58">
        <f t="shared" si="4"/>
        <v>21865067913.639999</v>
      </c>
      <c r="AD15" s="58">
        <f t="shared" si="4"/>
        <v>19184803623.789997</v>
      </c>
      <c r="AE15" s="58">
        <f t="shared" si="4"/>
        <v>18379973645.229996</v>
      </c>
      <c r="AF15" s="58">
        <f t="shared" si="4"/>
        <v>16253007648.640001</v>
      </c>
      <c r="AG15" s="58">
        <f t="shared" si="4"/>
        <v>14218929799.840004</v>
      </c>
      <c r="AH15" s="58">
        <f t="shared" si="4"/>
        <v>11511333260.220001</v>
      </c>
      <c r="AI15" s="58">
        <f t="shared" si="4"/>
        <v>10012132378.760002</v>
      </c>
      <c r="AJ15" s="58">
        <f t="shared" si="4"/>
        <v>9581517222.7000008</v>
      </c>
      <c r="AK15" s="58">
        <f t="shared" si="4"/>
        <v>7596631543.4699984</v>
      </c>
      <c r="AL15" s="58">
        <f t="shared" si="4"/>
        <v>6576202996.1300011</v>
      </c>
      <c r="AM15" s="58">
        <f t="shared" si="4"/>
        <v>4868026612.3600016</v>
      </c>
      <c r="AN15" s="58">
        <f t="shared" si="4"/>
        <v>7118454004.9500017</v>
      </c>
      <c r="AO15" s="58">
        <f t="shared" si="4"/>
        <v>5986301716.8400011</v>
      </c>
      <c r="AP15" s="58">
        <f t="shared" si="4"/>
        <v>5848815880.0899992</v>
      </c>
      <c r="AQ15" s="58">
        <f t="shared" si="4"/>
        <v>5241667192.4000006</v>
      </c>
      <c r="AR15" s="58">
        <f t="shared" si="4"/>
        <v>5243442422.5600014</v>
      </c>
      <c r="AS15" s="58">
        <f t="shared" si="4"/>
        <v>4112072765.1799994</v>
      </c>
      <c r="AT15" s="58">
        <f t="shared" si="4"/>
        <v>4726953237.1400013</v>
      </c>
      <c r="AU15" s="58">
        <f t="shared" si="4"/>
        <v>4326616347.71</v>
      </c>
      <c r="AV15" s="58">
        <f t="shared" si="4"/>
        <v>3831893890.9100008</v>
      </c>
      <c r="AW15" s="58">
        <f t="shared" si="4"/>
        <v>2818848444.0200005</v>
      </c>
      <c r="AX15" s="58">
        <f t="shared" si="4"/>
        <v>2687335844.1999998</v>
      </c>
      <c r="AY15" s="58">
        <f t="shared" si="4"/>
        <v>2474238718.1800003</v>
      </c>
      <c r="AZ15" s="58">
        <f t="shared" si="4"/>
        <v>2768007739.1599998</v>
      </c>
      <c r="BA15" s="58">
        <f t="shared" si="4"/>
        <v>1984530518.3199997</v>
      </c>
      <c r="BB15" s="58">
        <f t="shared" si="4"/>
        <v>1580387787.6900005</v>
      </c>
      <c r="BC15" s="58">
        <f t="shared" si="4"/>
        <v>1494680127.2699995</v>
      </c>
      <c r="BD15" s="58">
        <f t="shared" si="4"/>
        <v>1245188936.1499996</v>
      </c>
      <c r="BE15" s="58">
        <f t="shared" si="4"/>
        <v>889392003.32999992</v>
      </c>
      <c r="BF15" s="58">
        <f t="shared" si="4"/>
        <v>1473124496.9200001</v>
      </c>
      <c r="BG15" s="58">
        <f t="shared" si="4"/>
        <v>1316861678.829999</v>
      </c>
      <c r="BH15" s="58">
        <f t="shared" si="4"/>
        <v>1900573868.25</v>
      </c>
      <c r="BI15" s="58">
        <f t="shared" si="4"/>
        <v>1006515944.6800003</v>
      </c>
      <c r="BJ15" s="58">
        <f t="shared" si="4"/>
        <v>1275653227.9300003</v>
      </c>
      <c r="BK15" s="58">
        <f t="shared" si="4"/>
        <v>1563531490.1700001</v>
      </c>
      <c r="BL15" s="58">
        <f t="shared" si="4"/>
        <v>1557032356.6500006</v>
      </c>
      <c r="BM15" s="58">
        <f t="shared" si="4"/>
        <v>1341653639.0199995</v>
      </c>
      <c r="BN15" s="58">
        <f t="shared" si="4"/>
        <v>1622874814.46</v>
      </c>
      <c r="BO15" s="58">
        <f t="shared" si="4"/>
        <v>1823750155.4399996</v>
      </c>
      <c r="BP15" s="58">
        <f t="shared" si="4"/>
        <v>1790107708.2900004</v>
      </c>
      <c r="BQ15" s="58">
        <f t="shared" si="4"/>
        <v>1543799068.79</v>
      </c>
      <c r="BR15" s="58">
        <f t="shared" ref="BR15:CL15" si="5">BR11+BR13-BR3-BR4-BR7</f>
        <v>0</v>
      </c>
      <c r="BS15" s="58">
        <f t="shared" si="5"/>
        <v>1567029389.1900005</v>
      </c>
      <c r="BT15" s="58">
        <f t="shared" si="5"/>
        <v>2415608007.5900002</v>
      </c>
      <c r="BU15" s="58">
        <f t="shared" si="5"/>
        <v>1717159838.02</v>
      </c>
      <c r="BV15" s="58">
        <f t="shared" si="5"/>
        <v>599617487.9000001</v>
      </c>
      <c r="BW15" s="58">
        <f t="shared" si="5"/>
        <v>931290888.93000007</v>
      </c>
      <c r="BX15" s="58">
        <f t="shared" si="5"/>
        <v>1244311406.3499997</v>
      </c>
      <c r="BY15" s="58">
        <f t="shared" si="5"/>
        <v>1052654663.3000001</v>
      </c>
      <c r="BZ15" s="58">
        <f t="shared" si="5"/>
        <v>908361204.26000011</v>
      </c>
      <c r="CA15" s="58">
        <f t="shared" si="5"/>
        <v>130626574.80000001</v>
      </c>
      <c r="CB15" s="58">
        <f t="shared" si="5"/>
        <v>-96376298.410000026</v>
      </c>
      <c r="CC15" s="58">
        <f t="shared" si="5"/>
        <v>-138594751.57000002</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-41206139837.209999</v>
      </c>
      <c r="F16" s="58">
        <f t="shared" ref="F16:BQ16" si="6">F10-F2</f>
        <v>-37760386205.559998</v>
      </c>
      <c r="G16" s="58">
        <f t="shared" si="6"/>
        <v>-35291765880.580002</v>
      </c>
      <c r="H16" s="58">
        <f t="shared" si="6"/>
        <v>-37141435164.459999</v>
      </c>
      <c r="I16" s="58">
        <f t="shared" si="6"/>
        <v>-35271136987.740005</v>
      </c>
      <c r="J16" s="58">
        <f t="shared" si="6"/>
        <v>-34215368026.389999</v>
      </c>
      <c r="K16" s="58">
        <f t="shared" si="6"/>
        <v>-31154374222.149998</v>
      </c>
      <c r="L16" s="58">
        <f t="shared" si="6"/>
        <v>-27457022528.27</v>
      </c>
      <c r="M16" s="58">
        <f t="shared" si="6"/>
        <v>-26773901419.16</v>
      </c>
      <c r="N16" s="58">
        <f t="shared" si="6"/>
        <v>-25763643116.34</v>
      </c>
      <c r="O16" s="58">
        <f t="shared" si="6"/>
        <v>-23225293875.670002</v>
      </c>
      <c r="P16" s="58">
        <f t="shared" si="6"/>
        <v>-24474208028.779999</v>
      </c>
      <c r="Q16" s="58">
        <f t="shared" si="6"/>
        <v>-22599705731.139999</v>
      </c>
      <c r="R16" s="58">
        <f t="shared" si="6"/>
        <v>-21126333163.73</v>
      </c>
      <c r="S16" s="58">
        <f t="shared" si="6"/>
        <v>-20387235252.57</v>
      </c>
      <c r="T16" s="58">
        <f t="shared" si="6"/>
        <v>-23073039389.989998</v>
      </c>
      <c r="U16" s="58">
        <f t="shared" si="6"/>
        <v>-26118692258.639999</v>
      </c>
      <c r="V16" s="58">
        <f t="shared" si="6"/>
        <v>-25031477832.98</v>
      </c>
      <c r="W16" s="58">
        <f t="shared" si="6"/>
        <v>-26224171936.170002</v>
      </c>
      <c r="X16" s="58">
        <f t="shared" si="6"/>
        <v>-29270548001.169998</v>
      </c>
      <c r="Y16" s="58">
        <f t="shared" si="6"/>
        <v>-28282678686.579998</v>
      </c>
      <c r="Z16" s="58">
        <f t="shared" si="6"/>
        <v>-26212779803.650002</v>
      </c>
      <c r="AA16" s="58">
        <f t="shared" si="6"/>
        <v>-23584755802.830002</v>
      </c>
      <c r="AB16" s="58">
        <f t="shared" si="6"/>
        <v>-23195331714.5</v>
      </c>
      <c r="AC16" s="58">
        <f t="shared" si="6"/>
        <v>-21865067913.639999</v>
      </c>
      <c r="AD16" s="58">
        <f t="shared" si="6"/>
        <v>-19184803623.789997</v>
      </c>
      <c r="AE16" s="58">
        <f t="shared" si="6"/>
        <v>-18379973645.23</v>
      </c>
      <c r="AF16" s="58">
        <f t="shared" si="6"/>
        <v>-16253007648.639999</v>
      </c>
      <c r="AG16" s="58">
        <f t="shared" si="6"/>
        <v>-14218929799.84</v>
      </c>
      <c r="AH16" s="58">
        <f t="shared" si="6"/>
        <v>-11511333260.220001</v>
      </c>
      <c r="AI16" s="58">
        <f t="shared" si="6"/>
        <v>-10012132378.76</v>
      </c>
      <c r="AJ16" s="58">
        <f t="shared" si="6"/>
        <v>-9581517222.7000008</v>
      </c>
      <c r="AK16" s="58">
        <f t="shared" si="6"/>
        <v>-7596631543.4700003</v>
      </c>
      <c r="AL16" s="58">
        <f t="shared" si="6"/>
        <v>-6576202996.1300001</v>
      </c>
      <c r="AM16" s="58">
        <f t="shared" si="6"/>
        <v>-4868026612.3599997</v>
      </c>
      <c r="AN16" s="58">
        <f t="shared" si="6"/>
        <v>-7118454004.9499998</v>
      </c>
      <c r="AO16" s="58">
        <f t="shared" si="6"/>
        <v>-5986301716.8400002</v>
      </c>
      <c r="AP16" s="58">
        <f t="shared" si="6"/>
        <v>-5848815880.0900002</v>
      </c>
      <c r="AQ16" s="58">
        <f t="shared" si="6"/>
        <v>-5241667192.3999996</v>
      </c>
      <c r="AR16" s="58">
        <f t="shared" si="6"/>
        <v>-5243442422.5600004</v>
      </c>
      <c r="AS16" s="58">
        <f t="shared" si="6"/>
        <v>-4112072765.1799998</v>
      </c>
      <c r="AT16" s="58">
        <f t="shared" si="6"/>
        <v>-4726953237.1400003</v>
      </c>
      <c r="AU16" s="58">
        <f t="shared" si="6"/>
        <v>-4326616347.71</v>
      </c>
      <c r="AV16" s="58">
        <f t="shared" si="6"/>
        <v>-3831893890.9099998</v>
      </c>
      <c r="AW16" s="58">
        <f t="shared" si="6"/>
        <v>-2818848444.02</v>
      </c>
      <c r="AX16" s="58">
        <f t="shared" si="6"/>
        <v>-2687335844.2000003</v>
      </c>
      <c r="AY16" s="58">
        <f t="shared" si="6"/>
        <v>-2474238718.1799998</v>
      </c>
      <c r="AZ16" s="58">
        <f t="shared" si="6"/>
        <v>-2768007739.1600003</v>
      </c>
      <c r="BA16" s="58">
        <f t="shared" si="6"/>
        <v>-1984530518.3200002</v>
      </c>
      <c r="BB16" s="58">
        <f t="shared" si="6"/>
        <v>-1580387787.6900001</v>
      </c>
      <c r="BC16" s="58">
        <f t="shared" si="6"/>
        <v>-1494680127.27</v>
      </c>
      <c r="BD16" s="58">
        <f t="shared" si="6"/>
        <v>-1245188936.1499999</v>
      </c>
      <c r="BE16" s="58">
        <f t="shared" si="6"/>
        <v>-889392003.33000004</v>
      </c>
      <c r="BF16" s="58">
        <f t="shared" si="6"/>
        <v>-1473124496.9199998</v>
      </c>
      <c r="BG16" s="58">
        <f t="shared" si="6"/>
        <v>-1316861678.8299999</v>
      </c>
      <c r="BH16" s="58">
        <f t="shared" si="6"/>
        <v>-1900573868.25</v>
      </c>
      <c r="BI16" s="58">
        <f t="shared" si="6"/>
        <v>-1006515944.6799999</v>
      </c>
      <c r="BJ16" s="58">
        <f t="shared" si="6"/>
        <v>-1275653227.9299998</v>
      </c>
      <c r="BK16" s="58">
        <f t="shared" si="6"/>
        <v>-1563531490.1699998</v>
      </c>
      <c r="BL16" s="58">
        <f t="shared" si="6"/>
        <v>-1557032356.6500001</v>
      </c>
      <c r="BM16" s="58">
        <f t="shared" si="6"/>
        <v>-1341653639.02</v>
      </c>
      <c r="BN16" s="58">
        <f t="shared" si="6"/>
        <v>-1622874814.46</v>
      </c>
      <c r="BO16" s="58">
        <f t="shared" si="6"/>
        <v>-1823750155.4399998</v>
      </c>
      <c r="BP16" s="58">
        <f t="shared" si="6"/>
        <v>-1790107708.29</v>
      </c>
      <c r="BQ16" s="58">
        <f t="shared" si="6"/>
        <v>-1543799068.79</v>
      </c>
      <c r="BR16" s="58">
        <f t="shared" ref="BR16:CL16" si="7">BR10-BR2</f>
        <v>0</v>
      </c>
      <c r="BS16" s="58">
        <f t="shared" si="7"/>
        <v>-1567029389.1900001</v>
      </c>
      <c r="BT16" s="58">
        <f t="shared" si="7"/>
        <v>-2415608007.5899997</v>
      </c>
      <c r="BU16" s="58">
        <f t="shared" si="7"/>
        <v>-1717159838.0200002</v>
      </c>
      <c r="BV16" s="58">
        <f t="shared" si="7"/>
        <v>-599617487.89999998</v>
      </c>
      <c r="BW16" s="58">
        <f t="shared" si="7"/>
        <v>-931290888.92999995</v>
      </c>
      <c r="BX16" s="58">
        <f t="shared" si="7"/>
        <v>-1244311406.3499999</v>
      </c>
      <c r="BY16" s="58">
        <f t="shared" si="7"/>
        <v>-1052654663.3</v>
      </c>
      <c r="BZ16" s="58">
        <f t="shared" si="7"/>
        <v>-908361204.25999999</v>
      </c>
      <c r="CA16" s="58">
        <f t="shared" si="7"/>
        <v>-130626574.80000001</v>
      </c>
      <c r="CB16" s="58">
        <f t="shared" si="7"/>
        <v>96376298.409999996</v>
      </c>
      <c r="CC16" s="58">
        <f t="shared" si="7"/>
        <v>138594751.56999999</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8.0722425563446407</v>
      </c>
      <c r="F17" s="59">
        <f t="shared" ref="F17:BQ17" si="8">(F11+F13-F7-F3)/F4</f>
        <v>6.7558986487550481</v>
      </c>
      <c r="G17" s="59">
        <f t="shared" si="8"/>
        <v>5.9806299008216692</v>
      </c>
      <c r="H17" s="59">
        <f t="shared" si="8"/>
        <v>6.1951643044197011</v>
      </c>
      <c r="I17" s="59">
        <f t="shared" si="8"/>
        <v>7.6978283022284915</v>
      </c>
      <c r="J17" s="59">
        <f t="shared" si="8"/>
        <v>8.4643043900024715</v>
      </c>
      <c r="K17" s="59">
        <f t="shared" si="8"/>
        <v>4.307843475433673</v>
      </c>
      <c r="L17" s="59">
        <f t="shared" si="8"/>
        <v>3.2815485796458073</v>
      </c>
      <c r="M17" s="59">
        <f t="shared" si="8"/>
        <v>3.7822139969053907</v>
      </c>
      <c r="N17" s="59">
        <f t="shared" si="8"/>
        <v>3.8124849516611032</v>
      </c>
      <c r="O17" s="59">
        <f t="shared" si="8"/>
        <v>3.2666864772524882</v>
      </c>
      <c r="P17" s="59">
        <f t="shared" si="8"/>
        <v>3.3755965100456105</v>
      </c>
      <c r="Q17" s="59">
        <f t="shared" si="8"/>
        <v>3.2998066750124804</v>
      </c>
      <c r="R17" s="59">
        <f t="shared" si="8"/>
        <v>3.0860923051384317</v>
      </c>
      <c r="S17" s="59">
        <f t="shared" si="8"/>
        <v>2.9969747131567437</v>
      </c>
      <c r="T17" s="59">
        <f t="shared" si="8"/>
        <v>3.5622778582898431</v>
      </c>
      <c r="U17" s="59">
        <f t="shared" si="8"/>
        <v>7.9080200956147451</v>
      </c>
      <c r="V17" s="59">
        <f t="shared" si="8"/>
        <v>7.6666865446964323</v>
      </c>
      <c r="W17" s="59">
        <f t="shared" si="8"/>
        <v>26.735844715237757</v>
      </c>
      <c r="X17" s="59">
        <f t="shared" si="8"/>
        <v>-30.675944224500697</v>
      </c>
      <c r="Y17" s="59">
        <f t="shared" si="8"/>
        <v>-6.6340191818923682</v>
      </c>
      <c r="Z17" s="59">
        <f t="shared" si="8"/>
        <v>-6.2193149129895149</v>
      </c>
      <c r="AA17" s="59">
        <f t="shared" si="8"/>
        <v>-4.9492479709074715</v>
      </c>
      <c r="AB17" s="59">
        <f t="shared" si="8"/>
        <v>-5.1911215992344433</v>
      </c>
      <c r="AC17" s="59">
        <f t="shared" si="8"/>
        <v>-3.05934219428568</v>
      </c>
      <c r="AD17" s="59">
        <f t="shared" si="8"/>
        <v>-3.7156751241831998</v>
      </c>
      <c r="AE17" s="59">
        <f t="shared" si="8"/>
        <v>-3.1815470076060128</v>
      </c>
      <c r="AF17" s="59">
        <f t="shared" si="8"/>
        <v>-4.9256473667133589</v>
      </c>
      <c r="AG17" s="59">
        <f t="shared" si="8"/>
        <v>-4.0995439691010445</v>
      </c>
      <c r="AH17" s="59">
        <f t="shared" si="8"/>
        <v>-7.8670460098000312</v>
      </c>
      <c r="AI17" s="59">
        <f t="shared" si="8"/>
        <v>-8.8376432457108773</v>
      </c>
      <c r="AJ17" s="59">
        <f t="shared" si="8"/>
        <v>-9.73600175713662</v>
      </c>
      <c r="AK17" s="59">
        <f t="shared" si="8"/>
        <v>-20.288809748369481</v>
      </c>
      <c r="AL17" s="59">
        <f t="shared" si="8"/>
        <v>-11.539007555903291</v>
      </c>
      <c r="AM17" s="59">
        <f t="shared" si="8"/>
        <v>16.646020520511033</v>
      </c>
      <c r="AN17" s="59">
        <f t="shared" si="8"/>
        <v>9.3087027656589729</v>
      </c>
      <c r="AO17" s="59">
        <f t="shared" si="8"/>
        <v>9.3751851631760594</v>
      </c>
      <c r="AP17" s="59">
        <f t="shared" si="8"/>
        <v>11.834586348320359</v>
      </c>
      <c r="AQ17" s="59">
        <f t="shared" si="8"/>
        <v>8.0149144613108874</v>
      </c>
      <c r="AR17" s="59">
        <f t="shared" si="8"/>
        <v>13.637484206427432</v>
      </c>
      <c r="AS17" s="59">
        <f t="shared" si="8"/>
        <v>10.587372633915145</v>
      </c>
      <c r="AT17" s="59">
        <f t="shared" si="8"/>
        <v>-17.462941566084883</v>
      </c>
      <c r="AU17" s="59">
        <f t="shared" si="8"/>
        <v>-50.667150069547787</v>
      </c>
      <c r="AV17" s="59">
        <f t="shared" si="8"/>
        <v>-818.68678004768958</v>
      </c>
      <c r="AW17" s="59">
        <f t="shared" si="8"/>
        <v>9.4957157288693761</v>
      </c>
      <c r="AX17" s="59">
        <f t="shared" si="8"/>
        <v>14.278962302060144</v>
      </c>
      <c r="AY17" s="59">
        <f t="shared" si="8"/>
        <v>14.320893354380734</v>
      </c>
      <c r="AZ17" s="59">
        <f t="shared" si="8"/>
        <v>-36.102597896494615</v>
      </c>
      <c r="BA17" s="59">
        <f t="shared" si="8"/>
        <v>51.894343891563459</v>
      </c>
      <c r="BB17" s="59">
        <f t="shared" si="8"/>
        <v>5.7480415373794989</v>
      </c>
      <c r="BC17" s="59">
        <f t="shared" si="8"/>
        <v>14.427556671474335</v>
      </c>
      <c r="BD17" s="59">
        <f t="shared" si="8"/>
        <v>13.937720428941779</v>
      </c>
      <c r="BE17" s="59">
        <f t="shared" si="8"/>
        <v>-21.69747752890871</v>
      </c>
      <c r="BF17" s="59">
        <f t="shared" si="8"/>
        <v>-2.9363660242532652</v>
      </c>
      <c r="BG17" s="59">
        <f t="shared" si="8"/>
        <v>-1.9208839002095759</v>
      </c>
      <c r="BH17" s="59">
        <f t="shared" si="8"/>
        <v>-0.9240315979218594</v>
      </c>
      <c r="BI17" s="59">
        <f t="shared" si="8"/>
        <v>-1.0573216309100275</v>
      </c>
      <c r="BJ17" s="59">
        <f t="shared" si="8"/>
        <v>-1.5918398561934046</v>
      </c>
      <c r="BK17" s="59">
        <f t="shared" si="8"/>
        <v>-4.0210322050774812</v>
      </c>
      <c r="BL17" s="59">
        <f t="shared" si="8"/>
        <v>-4.3076892006936767</v>
      </c>
      <c r="BM17" s="59">
        <f t="shared" si="8"/>
        <v>-2.011794361186269</v>
      </c>
      <c r="BN17" s="59">
        <f t="shared" si="8"/>
        <v>11.70433472323443</v>
      </c>
      <c r="BO17" s="59">
        <f t="shared" si="8"/>
        <v>-7.1146958481697213</v>
      </c>
      <c r="BP17" s="59">
        <f t="shared" si="8"/>
        <v>-7.1417373541087423</v>
      </c>
      <c r="BQ17" s="59">
        <f t="shared" si="8"/>
        <v>-3.8606609038899888</v>
      </c>
      <c r="BR17" s="59" t="e">
        <f t="shared" ref="BR17:CL17" si="9">(BR11+BR13-BR7-BR3)/BR4</f>
        <v>#DIV/0!</v>
      </c>
      <c r="BS17" s="59">
        <f t="shared" si="9"/>
        <v>-2.2431627065635191</v>
      </c>
      <c r="BT17" s="59">
        <f t="shared" si="9"/>
        <v>12.680298238015689</v>
      </c>
      <c r="BU17" s="59">
        <f t="shared" si="9"/>
        <v>-10.489555238722739</v>
      </c>
      <c r="BV17" s="59">
        <f t="shared" si="9"/>
        <v>1.7825771027157022</v>
      </c>
      <c r="BW17" s="59">
        <f t="shared" si="9"/>
        <v>-56.792055197748681</v>
      </c>
      <c r="BX17" s="59">
        <f t="shared" si="9"/>
        <v>12.51210524929574</v>
      </c>
      <c r="BY17" s="59">
        <f t="shared" si="9"/>
        <v>13.096043274360817</v>
      </c>
      <c r="BZ17" s="59">
        <f t="shared" si="9"/>
        <v>6.1953421502758248</v>
      </c>
      <c r="CA17" s="59">
        <f t="shared" si="9"/>
        <v>17.536243741960043</v>
      </c>
      <c r="CB17" s="59">
        <f t="shared" si="9"/>
        <v>0.21508486387752607</v>
      </c>
      <c r="CC17" s="59">
        <f t="shared" si="9"/>
        <v>0.48984866415818318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745</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8.0718501910189477E-2</v>
      </c>
      <c r="F20" s="115"/>
      <c r="G20" s="115"/>
      <c r="H20" s="115"/>
      <c r="I20" s="115">
        <f>POWER(E9/Y9,1/6)-1</f>
        <v>9.3945160053412025E-2</v>
      </c>
      <c r="M20" s="115">
        <f>POWER(E9/AC9,1/7)-1</f>
        <v>0.12704453222719869</v>
      </c>
    </row>
    <row r="21" spans="1:90" s="63" customFormat="1" ht="14.25" customHeight="1" x14ac:dyDescent="0.25">
      <c r="A21" s="113" t="s">
        <v>574</v>
      </c>
      <c r="B21" s="115"/>
      <c r="C21" s="115"/>
      <c r="D21" s="115"/>
      <c r="E21" s="115">
        <f>POWER(E4/U4,1/5)-1</f>
        <v>9.0338606403500776E-2</v>
      </c>
      <c r="F21" s="115"/>
      <c r="G21" s="115"/>
      <c r="H21" s="115"/>
      <c r="I21" s="115" t="e">
        <f>POWER(E4/Y4,1/6)-1</f>
        <v>#NUM!</v>
      </c>
      <c r="M21" s="115">
        <f>POWER(E4/AC4,1/7)-1</f>
        <v>-2.0112832230396949</v>
      </c>
    </row>
    <row r="22" spans="1:90" s="63" customFormat="1" ht="14.25" customHeight="1" x14ac:dyDescent="0.25">
      <c r="A22" s="113" t="s">
        <v>577</v>
      </c>
      <c r="B22" s="115"/>
      <c r="C22" s="115"/>
      <c r="D22" s="115"/>
      <c r="E22" s="115">
        <f>POWER(E5/U5,1/5)-1</f>
        <v>0.15320212827294166</v>
      </c>
      <c r="F22" s="115"/>
      <c r="G22" s="115"/>
      <c r="H22" s="115"/>
      <c r="I22" s="115">
        <f>POWER(E5/Y5,1/6)-1</f>
        <v>0.14808071619346763</v>
      </c>
      <c r="M22" s="115">
        <f>POWER(E5/AC5,1/7)-1</f>
        <v>0.15920928611929952</v>
      </c>
    </row>
    <row r="23" spans="1:90" s="63" customFormat="1" ht="14.25" customHeight="1" x14ac:dyDescent="0.25">
      <c r="A23" s="113" t="s">
        <v>578</v>
      </c>
      <c r="B23" s="115"/>
      <c r="C23" s="115"/>
      <c r="D23" s="115"/>
      <c r="E23" s="115">
        <f>POWER(E6/U6,1/5)-1</f>
        <v>0.18199306217482891</v>
      </c>
      <c r="F23" s="115"/>
      <c r="G23" s="115"/>
      <c r="H23" s="115"/>
      <c r="I23" s="115">
        <f>POWER(E6/Y6,1/6)-1</f>
        <v>3.335862868707995E-2</v>
      </c>
      <c r="M23" s="115">
        <f>POWER(E6/AC6,1/7)-1</f>
        <v>2.9743254408877595E-2</v>
      </c>
    </row>
    <row r="24" spans="1:90" s="63" customFormat="1" ht="14.25" customHeight="1" x14ac:dyDescent="0.25">
      <c r="A24" s="113" t="s">
        <v>579</v>
      </c>
      <c r="B24" s="115"/>
      <c r="C24" s="115"/>
      <c r="D24" s="115"/>
      <c r="E24" s="115">
        <f>POWER(E7/U7,1/5)-1</f>
        <v>-8.2822346192683582E-3</v>
      </c>
      <c r="F24" s="115"/>
      <c r="G24" s="115"/>
      <c r="H24" s="115"/>
      <c r="I24" s="115">
        <f>POWER(E7/Y7,1/6)-1</f>
        <v>-1.0068552274409726E-2</v>
      </c>
      <c r="M24" s="115">
        <f>POWER(E7/AC7,1/7)-1</f>
        <v>-5.7938434074081835E-3</v>
      </c>
    </row>
    <row r="25" spans="1:90" s="107" customFormat="1" x14ac:dyDescent="0.25">
      <c r="A25" s="142" t="s">
        <v>555</v>
      </c>
      <c r="B25" s="108"/>
      <c r="C25" s="108"/>
      <c r="D25" s="108"/>
      <c r="E25" s="108">
        <f>(E2-I2)/I2</f>
        <v>0.16826797649117345</v>
      </c>
      <c r="F25" s="108">
        <f t="shared" ref="F25:BQ25" si="10">(F2-J2)/J2</f>
        <v>0.10360894485880608</v>
      </c>
      <c r="G25" s="108">
        <f t="shared" si="10"/>
        <v>0.13280291329005159</v>
      </c>
      <c r="H25" s="108">
        <f t="shared" si="10"/>
        <v>0.35271168336693604</v>
      </c>
      <c r="I25" s="108">
        <f t="shared" si="10"/>
        <v>0.31737009244753528</v>
      </c>
      <c r="J25" s="107">
        <f t="shared" si="10"/>
        <v>0.32804851673673768</v>
      </c>
      <c r="K25" s="107">
        <f t="shared" si="10"/>
        <v>0.34139849376830578</v>
      </c>
      <c r="L25" s="107">
        <f t="shared" si="10"/>
        <v>0.12187583336639189</v>
      </c>
      <c r="M25" s="108">
        <f t="shared" si="10"/>
        <v>0.18470132919776922</v>
      </c>
      <c r="N25" s="108">
        <f t="shared" si="10"/>
        <v>0.21950377837321067</v>
      </c>
      <c r="O25" s="108">
        <f t="shared" si="10"/>
        <v>0.13920762614157006</v>
      </c>
      <c r="P25" s="108">
        <f t="shared" si="10"/>
        <v>6.0727527704819144E-2</v>
      </c>
      <c r="Q25" s="108">
        <f t="shared" si="10"/>
        <v>-0.13473057887635734</v>
      </c>
      <c r="R25" s="108">
        <f t="shared" si="10"/>
        <v>-0.1560093533153209</v>
      </c>
      <c r="S25" s="108">
        <f t="shared" si="10"/>
        <v>-0.2225784935290688</v>
      </c>
      <c r="T25" s="108">
        <f t="shared" si="10"/>
        <v>-0.21173189551942365</v>
      </c>
      <c r="U25" s="108">
        <f t="shared" si="10"/>
        <v>-7.6512781972338434E-2</v>
      </c>
      <c r="V25" s="107">
        <f t="shared" si="10"/>
        <v>-4.5065879296995105E-2</v>
      </c>
      <c r="W25" s="107">
        <f t="shared" si="10"/>
        <v>0.11191195513770336</v>
      </c>
      <c r="X25" s="107">
        <f t="shared" si="10"/>
        <v>0.2619154733998576</v>
      </c>
      <c r="Y25" s="107">
        <f t="shared" si="10"/>
        <v>0.29350975712892829</v>
      </c>
      <c r="Z25" s="107">
        <f t="shared" si="10"/>
        <v>0.36633036843520284</v>
      </c>
      <c r="AA25" s="107">
        <f t="shared" si="10"/>
        <v>0.28317680199453149</v>
      </c>
      <c r="AB25" s="107">
        <f t="shared" si="10"/>
        <v>0.42714088468671291</v>
      </c>
      <c r="AC25" s="107">
        <f t="shared" si="10"/>
        <v>0.53774357292952091</v>
      </c>
      <c r="AD25" s="107">
        <f t="shared" si="10"/>
        <v>0.666601356255352</v>
      </c>
      <c r="AE25" s="107">
        <f t="shared" si="10"/>
        <v>0.83577013865914884</v>
      </c>
      <c r="AF25" s="107">
        <f t="shared" si="10"/>
        <v>0.69628747419399006</v>
      </c>
      <c r="AG25" s="107">
        <f t="shared" si="10"/>
        <v>0.87174140518404775</v>
      </c>
      <c r="AH25" s="107">
        <f t="shared" si="10"/>
        <v>0.75045284748573815</v>
      </c>
      <c r="AI25" s="107">
        <f t="shared" si="10"/>
        <v>1.0567127454354976</v>
      </c>
      <c r="AJ25" s="107">
        <f t="shared" si="10"/>
        <v>0.34601097598400532</v>
      </c>
      <c r="AK25" s="107">
        <f t="shared" si="10"/>
        <v>0.26900244972618048</v>
      </c>
      <c r="AL25" s="107">
        <f t="shared" si="10"/>
        <v>0.12436485110022084</v>
      </c>
      <c r="AM25" s="107">
        <f t="shared" si="10"/>
        <v>-7.1282774416076833E-2</v>
      </c>
      <c r="AN25" s="107">
        <f t="shared" si="10"/>
        <v>0.35759171767057651</v>
      </c>
      <c r="AO25" s="107">
        <f t="shared" si="10"/>
        <v>0.45578691299689555</v>
      </c>
      <c r="AP25" s="107">
        <f t="shared" si="10"/>
        <v>0.23733313757695909</v>
      </c>
      <c r="AQ25" s="107">
        <f t="shared" si="10"/>
        <v>0.21149340989623899</v>
      </c>
      <c r="AR25" s="107">
        <f t="shared" si="10"/>
        <v>0.36836837653528692</v>
      </c>
      <c r="AS25" s="107">
        <f t="shared" si="10"/>
        <v>0.45877752807302907</v>
      </c>
      <c r="AT25" s="107">
        <f t="shared" si="10"/>
        <v>0.75897376107346148</v>
      </c>
      <c r="AU25" s="107">
        <f t="shared" si="10"/>
        <v>0.74866568691179969</v>
      </c>
      <c r="AV25" s="107">
        <f t="shared" si="10"/>
        <v>0.38435085881401981</v>
      </c>
      <c r="AW25" s="107">
        <f t="shared" si="10"/>
        <v>0.4204107308998653</v>
      </c>
      <c r="AX25" s="107">
        <f t="shared" si="10"/>
        <v>0.70042812601582372</v>
      </c>
      <c r="AY25" s="107">
        <f t="shared" si="10"/>
        <v>0.6553633603861061</v>
      </c>
      <c r="AZ25" s="107">
        <f t="shared" si="10"/>
        <v>1.2229620411809989</v>
      </c>
      <c r="BA25" s="107">
        <f t="shared" si="10"/>
        <v>1.2313338897692563</v>
      </c>
      <c r="BB25" s="107">
        <f t="shared" si="10"/>
        <v>7.2813459415185675E-2</v>
      </c>
      <c r="BC25" s="107">
        <f t="shared" si="10"/>
        <v>0.13503198650141257</v>
      </c>
      <c r="BD25" s="107">
        <f t="shared" si="10"/>
        <v>-0.34483528530436014</v>
      </c>
      <c r="BE25" s="107">
        <f t="shared" si="10"/>
        <v>-0.11636570882862361</v>
      </c>
      <c r="BF25" s="107">
        <f t="shared" si="10"/>
        <v>0.15480011704312172</v>
      </c>
      <c r="BG25" s="107">
        <f t="shared" si="10"/>
        <v>-0.15776453041772762</v>
      </c>
      <c r="BH25" s="107">
        <f t="shared" si="10"/>
        <v>0.22063864641781714</v>
      </c>
      <c r="BI25" s="107">
        <f t="shared" si="10"/>
        <v>-0.24979449583187405</v>
      </c>
      <c r="BJ25" s="107">
        <f t="shared" si="10"/>
        <v>-0.21395463373774501</v>
      </c>
      <c r="BK25" s="107">
        <f t="shared" si="10"/>
        <v>-0.14268328613642769</v>
      </c>
      <c r="BL25" s="107">
        <f t="shared" si="10"/>
        <v>-0.13020185911754162</v>
      </c>
      <c r="BM25" s="107">
        <f t="shared" si="10"/>
        <v>-0.13094024595340487</v>
      </c>
      <c r="BN25" s="107" t="e">
        <f t="shared" si="10"/>
        <v>#DIV/0!</v>
      </c>
      <c r="BO25" s="107">
        <f t="shared" si="10"/>
        <v>0.16382638897583096</v>
      </c>
      <c r="BP25" s="107">
        <f t="shared" si="10"/>
        <v>-0.25894114332070289</v>
      </c>
      <c r="BQ25" s="107">
        <f t="shared" si="10"/>
        <v>-0.10095785225788695</v>
      </c>
      <c r="BR25" s="107">
        <f t="shared" ref="BR25:CK25" si="11">(BR2-BV2)/BV2</f>
        <v>-1</v>
      </c>
      <c r="BS25" s="107">
        <f t="shared" si="11"/>
        <v>0.68264224187828937</v>
      </c>
      <c r="BT25" s="107">
        <f t="shared" si="11"/>
        <v>0.94132111564887277</v>
      </c>
      <c r="BU25" s="107">
        <f t="shared" si="11"/>
        <v>0.63126607223381526</v>
      </c>
      <c r="BV25" s="107">
        <f t="shared" si="11"/>
        <v>-0.33989091003894129</v>
      </c>
      <c r="BW25" s="107">
        <f t="shared" si="11"/>
        <v>4.4580647242178584</v>
      </c>
      <c r="BX25" s="107">
        <f t="shared" si="11"/>
        <v>29.257767619162415</v>
      </c>
      <c r="BY25" s="107">
        <f t="shared" si="11"/>
        <v>26.126605443561647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563</v>
      </c>
      <c r="E26" s="108">
        <f>E2/E9</f>
        <v>0.75366525966156128</v>
      </c>
      <c r="F26" s="108">
        <f t="shared" ref="F26:BQ26" si="12">F2/F9</f>
        <v>0.72821523807386701</v>
      </c>
      <c r="G26" s="108">
        <f t="shared" si="12"/>
        <v>0.70612766687291328</v>
      </c>
      <c r="H26" s="108">
        <f t="shared" si="12"/>
        <v>0.7150137490205537</v>
      </c>
      <c r="I26" s="108">
        <f t="shared" si="12"/>
        <v>0.73167738457491771</v>
      </c>
      <c r="J26" s="108">
        <f t="shared" si="12"/>
        <v>0.73556355193110379</v>
      </c>
      <c r="K26" s="108">
        <f t="shared" si="12"/>
        <v>0.64406017247046776</v>
      </c>
      <c r="L26" s="108">
        <f t="shared" si="12"/>
        <v>0.57983100608384586</v>
      </c>
      <c r="M26" s="108">
        <f t="shared" si="12"/>
        <v>0.60376151169618864</v>
      </c>
      <c r="N26" s="108">
        <f t="shared" si="12"/>
        <v>0.60318337509293452</v>
      </c>
      <c r="O26" s="108">
        <f t="shared" si="12"/>
        <v>0.56185405636921182</v>
      </c>
      <c r="P26" s="108">
        <f t="shared" si="12"/>
        <v>0.57413451024907813</v>
      </c>
      <c r="Q26" s="108">
        <f t="shared" si="12"/>
        <v>0.56031290365853437</v>
      </c>
      <c r="R26" s="108">
        <f t="shared" si="12"/>
        <v>0.54026596206891131</v>
      </c>
      <c r="S26" s="108">
        <f t="shared" si="12"/>
        <v>0.53297163230191658</v>
      </c>
      <c r="T26" s="108">
        <f t="shared" si="12"/>
        <v>0.57942634653740277</v>
      </c>
      <c r="U26" s="108">
        <f t="shared" si="12"/>
        <v>0.70425660127813483</v>
      </c>
      <c r="V26" s="108">
        <f t="shared" si="12"/>
        <v>0.69543127300964802</v>
      </c>
      <c r="W26" s="108">
        <f t="shared" si="12"/>
        <v>0.75901454360605281</v>
      </c>
      <c r="X26" s="108">
        <f t="shared" si="12"/>
        <v>0.82091093825796735</v>
      </c>
      <c r="Y26" s="108">
        <f t="shared" si="12"/>
        <v>0.88656465164109843</v>
      </c>
      <c r="Z26" s="108">
        <f t="shared" si="12"/>
        <v>0.88319235723962808</v>
      </c>
      <c r="AA26" s="108">
        <f t="shared" si="12"/>
        <v>0.8800340714930357</v>
      </c>
      <c r="AB26" s="108">
        <f t="shared" si="12"/>
        <v>0.87113874501550492</v>
      </c>
      <c r="AC26" s="108">
        <f t="shared" si="12"/>
        <v>0.92375101849534236</v>
      </c>
      <c r="AD26" s="108">
        <f t="shared" si="12"/>
        <v>0.85910769378703977</v>
      </c>
      <c r="AE26" s="108">
        <f t="shared" si="12"/>
        <v>0.86753030155737854</v>
      </c>
      <c r="AF26" s="108">
        <f t="shared" si="12"/>
        <v>0.78404551206107287</v>
      </c>
      <c r="AG26" s="108">
        <f t="shared" si="12"/>
        <v>0.75905995579438812</v>
      </c>
      <c r="AH26" s="108">
        <f t="shared" si="12"/>
        <v>0.65393992535163725</v>
      </c>
      <c r="AI26" s="108">
        <f t="shared" si="12"/>
        <v>0.6096256427571134</v>
      </c>
      <c r="AJ26" s="108">
        <f t="shared" si="12"/>
        <v>0.59133960757896775</v>
      </c>
      <c r="AK26" s="108">
        <f t="shared" si="12"/>
        <v>0.5132135057073226</v>
      </c>
      <c r="AL26" s="108">
        <f t="shared" si="12"/>
        <v>0.48146107522165793</v>
      </c>
      <c r="AM26" s="108">
        <f t="shared" si="12"/>
        <v>0.37777524517930866</v>
      </c>
      <c r="AN26" s="108">
        <f t="shared" si="12"/>
        <v>0.55939745043033262</v>
      </c>
      <c r="AO26" s="108">
        <f t="shared" si="12"/>
        <v>0.52255016601959181</v>
      </c>
      <c r="AP26" s="108">
        <f t="shared" si="12"/>
        <v>0.52080565309841986</v>
      </c>
      <c r="AQ26" s="108">
        <f t="shared" si="12"/>
        <v>0.4793747239916189</v>
      </c>
      <c r="AR26" s="108">
        <f t="shared" si="12"/>
        <v>0.49271468528265644</v>
      </c>
      <c r="AS26" s="108">
        <f t="shared" si="12"/>
        <v>0.42706252875537049</v>
      </c>
      <c r="AT26" s="108">
        <f t="shared" si="12"/>
        <v>0.49300268854040769</v>
      </c>
      <c r="AU26" s="108">
        <f t="shared" si="12"/>
        <v>0.4599595364031081</v>
      </c>
      <c r="AV26" s="108">
        <f t="shared" si="12"/>
        <v>0.4232196450903225</v>
      </c>
      <c r="AW26" s="108">
        <f t="shared" si="12"/>
        <v>0.33343316043384125</v>
      </c>
      <c r="AX26" s="108">
        <f t="shared" si="12"/>
        <v>0.32367389702942556</v>
      </c>
      <c r="AY26" s="108">
        <f t="shared" si="12"/>
        <v>0.30406329169846108</v>
      </c>
      <c r="AZ26" s="108">
        <f t="shared" si="12"/>
        <v>0.34223695690804012</v>
      </c>
      <c r="BA26" s="108">
        <f t="shared" si="12"/>
        <v>0.26373036479943424</v>
      </c>
      <c r="BB26" s="108">
        <f t="shared" si="12"/>
        <v>0.21096856033835698</v>
      </c>
      <c r="BC26" s="108">
        <f t="shared" si="12"/>
        <v>0.20468681751995679</v>
      </c>
      <c r="BD26" s="108">
        <f t="shared" si="12"/>
        <v>0.17486061785169058</v>
      </c>
      <c r="BE26" s="108">
        <f t="shared" si="12"/>
        <v>0.1329196515585532</v>
      </c>
      <c r="BF26" s="108">
        <f t="shared" si="12"/>
        <v>0.22548261437734654</v>
      </c>
      <c r="BG26" s="108">
        <f t="shared" si="12"/>
        <v>0.2062213737376917</v>
      </c>
      <c r="BH26" s="108">
        <f t="shared" si="12"/>
        <v>0.29237003156706143</v>
      </c>
      <c r="BI26" s="108">
        <f t="shared" si="12"/>
        <v>0.16487188594436936</v>
      </c>
      <c r="BJ26" s="108">
        <f t="shared" si="12"/>
        <v>0.21408217551026854</v>
      </c>
      <c r="BK26" s="108">
        <f t="shared" si="12"/>
        <v>0.26977577994166091</v>
      </c>
      <c r="BL26" s="108">
        <f t="shared" si="12"/>
        <v>0.27115049310590855</v>
      </c>
      <c r="BM26" s="108">
        <f t="shared" si="12"/>
        <v>0.2476763244277719</v>
      </c>
      <c r="BN26" s="108">
        <f t="shared" si="12"/>
        <v>0.30079086745914446</v>
      </c>
      <c r="BO26" s="108">
        <f t="shared" si="12"/>
        <v>0.34514597486108201</v>
      </c>
      <c r="BP26" s="108">
        <f t="shared" si="12"/>
        <v>0.35142338344716151</v>
      </c>
      <c r="BQ26" s="108">
        <f t="shared" si="12"/>
        <v>0.32265179405952776</v>
      </c>
      <c r="BR26" s="108" t="e">
        <f t="shared" ref="BR26:CK26" si="13">BR2/BR9</f>
        <v>#DIV/0!</v>
      </c>
      <c r="BS26" s="108">
        <f t="shared" si="13"/>
        <v>0.33883434351389213</v>
      </c>
      <c r="BT26" s="108">
        <f t="shared" si="13"/>
        <v>0.54783723491983394</v>
      </c>
      <c r="BU26" s="108">
        <f t="shared" si="13"/>
        <v>0.53104950234600634</v>
      </c>
      <c r="BV26" s="108">
        <f t="shared" si="13"/>
        <v>0.19652314885982078</v>
      </c>
      <c r="BW26" s="108">
        <f t="shared" si="13"/>
        <v>0.41025698834944579</v>
      </c>
      <c r="BX26" s="108">
        <f t="shared" si="13"/>
        <v>0.561628885050099</v>
      </c>
      <c r="BY26" s="108">
        <f t="shared" si="13"/>
        <v>0.51886408142615081</v>
      </c>
      <c r="BZ26" s="108">
        <f t="shared" si="13"/>
        <v>0.48934410150265961</v>
      </c>
      <c r="CA26" s="108">
        <f t="shared" si="13"/>
        <v>0.36496265909162329</v>
      </c>
      <c r="CB26" s="108">
        <f t="shared" si="13"/>
        <v>9.444373835387411E-2</v>
      </c>
      <c r="CC26" s="108">
        <f t="shared" si="13"/>
        <v>7.4976655202752804E-2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556</v>
      </c>
      <c r="E27" s="109">
        <f>(E3-I3)/I3</f>
        <v>8.5838424406066385E-2</v>
      </c>
      <c r="F27" s="109">
        <f t="shared" ref="F27:BQ27" si="14">(F3-J3)/J3</f>
        <v>5.2420377236642578E-2</v>
      </c>
      <c r="G27" s="109">
        <f t="shared" si="14"/>
        <v>5.0931313976618632E-2</v>
      </c>
      <c r="H27" s="109">
        <f t="shared" si="14"/>
        <v>-8.2408302162920305E-2</v>
      </c>
      <c r="I27" s="109">
        <f t="shared" si="14"/>
        <v>-0.11903020303667894</v>
      </c>
      <c r="J27" s="109">
        <f t="shared" si="14"/>
        <v>-0.11760031560736478</v>
      </c>
      <c r="K27" s="109">
        <f t="shared" si="14"/>
        <v>-0.11635004460181833</v>
      </c>
      <c r="L27" s="109">
        <f t="shared" si="14"/>
        <v>-2.1379319098183639E-3</v>
      </c>
      <c r="M27" s="109">
        <f t="shared" si="14"/>
        <v>3.9343178872012337E-2</v>
      </c>
      <c r="N27" s="109">
        <f t="shared" si="14"/>
        <v>3.7984498610466107E-2</v>
      </c>
      <c r="O27" s="109">
        <f t="shared" si="14"/>
        <v>5.389967969886969E-2</v>
      </c>
      <c r="P27" s="109">
        <f t="shared" si="14"/>
        <v>3.2462856427182336E-2</v>
      </c>
      <c r="Q27" s="109">
        <f t="shared" si="14"/>
        <v>6.1975777520052029</v>
      </c>
      <c r="R27" s="109">
        <f t="shared" si="14"/>
        <v>6.4474130992199408</v>
      </c>
      <c r="S27" s="109">
        <f t="shared" si="14"/>
        <v>6.3267980393075263</v>
      </c>
      <c r="T27" s="109">
        <f t="shared" si="14"/>
        <v>5.9967933422466402</v>
      </c>
      <c r="U27" s="109">
        <f t="shared" si="14"/>
        <v>1.8797808013171075E-3</v>
      </c>
      <c r="V27" s="109">
        <f t="shared" si="14"/>
        <v>-2.3514718195261054E-2</v>
      </c>
      <c r="W27" s="109">
        <f t="shared" si="14"/>
        <v>-2.2428524708965232E-2</v>
      </c>
      <c r="X27" s="109">
        <f t="shared" si="14"/>
        <v>-6.1043822140993591E-3</v>
      </c>
      <c r="Y27" s="109">
        <f t="shared" si="14"/>
        <v>-8.0414362684780485E-2</v>
      </c>
      <c r="Z27" s="109">
        <f t="shared" si="14"/>
        <v>-7.8149501772361366E-2</v>
      </c>
      <c r="AA27" s="109">
        <f t="shared" si="14"/>
        <v>3.0990106037520979</v>
      </c>
      <c r="AB27" s="109">
        <f t="shared" si="14"/>
        <v>2.7164876911540174</v>
      </c>
      <c r="AC27" s="109">
        <f t="shared" si="14"/>
        <v>3.02395208873302</v>
      </c>
      <c r="AD27" s="109">
        <f t="shared" si="14"/>
        <v>0.86490026848218926</v>
      </c>
      <c r="AE27" s="109">
        <f t="shared" si="14"/>
        <v>0.1022458034292037</v>
      </c>
      <c r="AF27" s="109">
        <f t="shared" si="14"/>
        <v>8.4890206667521367E-2</v>
      </c>
      <c r="AG27" s="109">
        <f t="shared" si="14"/>
        <v>8.4893825494845337E-2</v>
      </c>
      <c r="AH27" s="109">
        <f t="shared" si="14"/>
        <v>1.7056352223992413</v>
      </c>
      <c r="AI27" s="109">
        <f t="shared" si="14"/>
        <v>2.9503563971914878E-2</v>
      </c>
      <c r="AJ27" s="109">
        <f t="shared" si="14"/>
        <v>9.1331001587784677E-2</v>
      </c>
      <c r="AK27" s="109">
        <f t="shared" si="14"/>
        <v>9.1327361288286946E-2</v>
      </c>
      <c r="AL27" s="109">
        <f t="shared" si="14"/>
        <v>3.8507595972375529E-3</v>
      </c>
      <c r="AM27" s="109">
        <f t="shared" si="14"/>
        <v>3.8507595972375529E-3</v>
      </c>
      <c r="AN27" s="109">
        <f t="shared" si="14"/>
        <v>4.0889520798799726E-2</v>
      </c>
      <c r="AO27" s="109">
        <f t="shared" si="14"/>
        <v>4.0889520798799726E-2</v>
      </c>
      <c r="AP27" s="109">
        <f t="shared" si="14"/>
        <v>5.1094834064027941E-2</v>
      </c>
      <c r="AQ27" s="109">
        <f t="shared" si="14"/>
        <v>5.1094834064027941E-2</v>
      </c>
      <c r="AR27" s="109">
        <f t="shared" si="14"/>
        <v>0</v>
      </c>
      <c r="AS27" s="109">
        <f t="shared" si="14"/>
        <v>0</v>
      </c>
      <c r="AT27" s="109">
        <f t="shared" si="14"/>
        <v>-0.11005302729644686</v>
      </c>
      <c r="AU27" s="109">
        <f t="shared" si="14"/>
        <v>-0.11214848491050394</v>
      </c>
      <c r="AV27" s="109">
        <f t="shared" si="14"/>
        <v>-2.6858452022464306E-2</v>
      </c>
      <c r="AW27" s="109">
        <f t="shared" si="14"/>
        <v>-2.6858452022464306E-2</v>
      </c>
      <c r="AX27" s="109">
        <f t="shared" si="14"/>
        <v>-0.12727626812660658</v>
      </c>
      <c r="AY27" s="109">
        <f t="shared" si="14"/>
        <v>-0.12521651426254063</v>
      </c>
      <c r="AZ27" s="109">
        <f t="shared" si="14"/>
        <v>1.0198363427822383</v>
      </c>
      <c r="BA27" s="109">
        <f t="shared" si="14"/>
        <v>6.9144150586587285</v>
      </c>
      <c r="BB27" s="109">
        <f t="shared" si="14"/>
        <v>2.833287365544217</v>
      </c>
      <c r="BC27" s="109">
        <f t="shared" si="14"/>
        <v>7.9233059008930136</v>
      </c>
      <c r="BD27" s="109">
        <f t="shared" si="14"/>
        <v>2.9183447148777213</v>
      </c>
      <c r="BE27" s="109">
        <f t="shared" si="14"/>
        <v>0</v>
      </c>
      <c r="BF27" s="109">
        <f t="shared" si="14"/>
        <v>1.1814253678280369</v>
      </c>
      <c r="BG27" s="109">
        <f t="shared" si="14"/>
        <v>-6.2899961713066777E-2</v>
      </c>
      <c r="BH27" s="109">
        <f t="shared" si="14"/>
        <v>-6.2899961713066777E-2</v>
      </c>
      <c r="BI27" s="109">
        <f t="shared" si="14"/>
        <v>-6.2899961713066777E-2</v>
      </c>
      <c r="BJ27" s="109">
        <f t="shared" si="14"/>
        <v>0</v>
      </c>
      <c r="BK27" s="109">
        <f t="shared" si="14"/>
        <v>0</v>
      </c>
      <c r="BL27" s="109">
        <f t="shared" si="14"/>
        <v>0</v>
      </c>
      <c r="BM27" s="109">
        <f t="shared" si="14"/>
        <v>0</v>
      </c>
      <c r="BN27" s="109" t="e">
        <f t="shared" si="14"/>
        <v>#DIV/0!</v>
      </c>
      <c r="BO27" s="109">
        <f t="shared" si="14"/>
        <v>-0.35356928190078846</v>
      </c>
      <c r="BP27" s="109">
        <f t="shared" si="14"/>
        <v>-0.37026831536527399</v>
      </c>
      <c r="BQ27" s="109">
        <f t="shared" si="14"/>
        <v>-0.37026831536527399</v>
      </c>
      <c r="BR27" s="109">
        <f t="shared" ref="BR27:CL27" si="15">(BR3-BV3)/BV3</f>
        <v>-1</v>
      </c>
      <c r="BS27" s="109">
        <f t="shared" si="15"/>
        <v>0.61312952717732272</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564</v>
      </c>
      <c r="E28" s="109">
        <f>E3/E9</f>
        <v>1.5781703639593792E-2</v>
      </c>
      <c r="F28" s="109">
        <f t="shared" ref="F28:BQ28" si="16">F3/F9</f>
        <v>1.575674304573068E-2</v>
      </c>
      <c r="G28" s="109">
        <f t="shared" si="16"/>
        <v>1.6347560614534132E-2</v>
      </c>
      <c r="H28" s="109">
        <f t="shared" si="16"/>
        <v>1.5297759350376455E-2</v>
      </c>
      <c r="I28" s="109">
        <f t="shared" si="16"/>
        <v>1.6484367378729381E-2</v>
      </c>
      <c r="J28" s="109">
        <f t="shared" si="16"/>
        <v>1.6689866201352571E-2</v>
      </c>
      <c r="K28" s="109">
        <f t="shared" si="16"/>
        <v>1.6072232155751744E-2</v>
      </c>
      <c r="L28" s="109">
        <f t="shared" si="16"/>
        <v>1.8288186105791401E-2</v>
      </c>
      <c r="M28" s="109">
        <f t="shared" si="16"/>
        <v>2.0340651446541312E-2</v>
      </c>
      <c r="N28" s="109">
        <f t="shared" si="16"/>
        <v>2.0598263705857284E-2</v>
      </c>
      <c r="O28" s="109">
        <f t="shared" si="16"/>
        <v>2.1283881294603867E-2</v>
      </c>
      <c r="P28" s="109">
        <f t="shared" si="16"/>
        <v>2.0359032165604536E-2</v>
      </c>
      <c r="Q28" s="109">
        <f t="shared" si="16"/>
        <v>2.1516912966447616E-2</v>
      </c>
      <c r="R28" s="109">
        <f t="shared" si="16"/>
        <v>2.1676099713762918E-2</v>
      </c>
      <c r="S28" s="109">
        <f t="shared" si="16"/>
        <v>2.1824033146610043E-2</v>
      </c>
      <c r="T28" s="109">
        <f t="shared" si="16"/>
        <v>2.1109168082561577E-2</v>
      </c>
      <c r="U28" s="109">
        <f t="shared" si="16"/>
        <v>3.2512117543596212E-3</v>
      </c>
      <c r="V28" s="109">
        <f t="shared" si="16"/>
        <v>3.161985975274526E-3</v>
      </c>
      <c r="W28" s="109">
        <f t="shared" si="16"/>
        <v>3.2977926540128217E-3</v>
      </c>
      <c r="X28" s="109">
        <f t="shared" si="16"/>
        <v>3.3693321746134735E-3</v>
      </c>
      <c r="Y28" s="109">
        <f t="shared" si="16"/>
        <v>3.7725935515375468E-3</v>
      </c>
      <c r="Z28" s="109">
        <f t="shared" si="16"/>
        <v>3.9270708307744652E-3</v>
      </c>
      <c r="AA28" s="109">
        <f t="shared" si="16"/>
        <v>4.3490521398553495E-3</v>
      </c>
      <c r="AB28" s="109">
        <f t="shared" si="16"/>
        <v>4.5396733711773668E-3</v>
      </c>
      <c r="AC28" s="109">
        <f t="shared" si="16"/>
        <v>5.5291970327319487E-3</v>
      </c>
      <c r="AD28" s="109">
        <f t="shared" si="16"/>
        <v>5.661822724072384E-3</v>
      </c>
      <c r="AE28" s="109">
        <f t="shared" si="16"/>
        <v>1.3421072996656789E-3</v>
      </c>
      <c r="AF28" s="109">
        <f t="shared" si="16"/>
        <v>1.568962989255893E-3</v>
      </c>
      <c r="AG28" s="109">
        <f t="shared" si="16"/>
        <v>1.7362583056800425E-3</v>
      </c>
      <c r="AH28" s="109">
        <f t="shared" si="16"/>
        <v>3.8514355217484221E-3</v>
      </c>
      <c r="AI28" s="109">
        <f t="shared" si="16"/>
        <v>1.5707449030683716E-3</v>
      </c>
      <c r="AJ28" s="109">
        <f t="shared" si="16"/>
        <v>1.8502144177901672E-3</v>
      </c>
      <c r="AK28" s="109">
        <f t="shared" si="16"/>
        <v>2.0253260200118416E-3</v>
      </c>
      <c r="AL28" s="109">
        <f t="shared" si="16"/>
        <v>1.8345397745127812E-3</v>
      </c>
      <c r="AM28" s="109">
        <f t="shared" si="16"/>
        <v>1.9445616376758622E-3</v>
      </c>
      <c r="AN28" s="109">
        <f t="shared" si="16"/>
        <v>2.1587268022545654E-3</v>
      </c>
      <c r="AO28" s="109">
        <f t="shared" si="16"/>
        <v>2.3979066509892582E-3</v>
      </c>
      <c r="AP28" s="109">
        <f t="shared" si="16"/>
        <v>2.2226943678029117E-3</v>
      </c>
      <c r="AQ28" s="109">
        <f t="shared" si="16"/>
        <v>2.28285169056071E-3</v>
      </c>
      <c r="AR28" s="109">
        <f t="shared" si="16"/>
        <v>2.4799176015120375E-3</v>
      </c>
      <c r="AS28" s="109">
        <f t="shared" si="16"/>
        <v>2.7408730722822757E-3</v>
      </c>
      <c r="AT28" s="109">
        <f t="shared" si="16"/>
        <v>2.4768407801749994E-3</v>
      </c>
      <c r="AU28" s="109">
        <f t="shared" si="16"/>
        <v>2.5246509850347832E-3</v>
      </c>
      <c r="AV28" s="109">
        <f t="shared" si="16"/>
        <v>2.9148122906756256E-3</v>
      </c>
      <c r="AW28" s="109">
        <f t="shared" si="16"/>
        <v>3.1217298007788323E-3</v>
      </c>
      <c r="AX28" s="109">
        <f t="shared" si="16"/>
        <v>3.2140431984135848E-3</v>
      </c>
      <c r="AY28" s="109">
        <f t="shared" si="16"/>
        <v>3.2870942882274306E-3</v>
      </c>
      <c r="AZ28" s="109">
        <f t="shared" si="16"/>
        <v>3.3530639660611481E-3</v>
      </c>
      <c r="BA28" s="109">
        <f t="shared" si="16"/>
        <v>3.6039983753199268E-3</v>
      </c>
      <c r="BB28" s="109">
        <f t="shared" si="16"/>
        <v>4.0817205323198432E-3</v>
      </c>
      <c r="BC28" s="109">
        <f t="shared" si="16"/>
        <v>4.1872684532254763E-3</v>
      </c>
      <c r="BD28" s="109">
        <f t="shared" si="16"/>
        <v>1.8854838036921702E-3</v>
      </c>
      <c r="BE28" s="109">
        <f t="shared" si="16"/>
        <v>5.1210543419012906E-4</v>
      </c>
      <c r="BF28" s="109">
        <f t="shared" si="16"/>
        <v>1.2209318530801794E-3</v>
      </c>
      <c r="BG28" s="109">
        <f t="shared" si="16"/>
        <v>5.3660773231506398E-4</v>
      </c>
      <c r="BH28" s="109">
        <f t="shared" si="16"/>
        <v>5.2712244806888612E-4</v>
      </c>
      <c r="BI28" s="109">
        <f t="shared" si="16"/>
        <v>5.6129265250396971E-4</v>
      </c>
      <c r="BJ28" s="109">
        <f t="shared" si="16"/>
        <v>6.1365649051907075E-4</v>
      </c>
      <c r="BK28" s="109">
        <f t="shared" si="16"/>
        <v>6.3091925115459047E-4</v>
      </c>
      <c r="BL28" s="109">
        <f t="shared" si="16"/>
        <v>6.3678117468559357E-4</v>
      </c>
      <c r="BM28" s="109">
        <f t="shared" si="16"/>
        <v>6.7502760888728166E-4</v>
      </c>
      <c r="BN28" s="109">
        <f t="shared" si="16"/>
        <v>6.7773057795408702E-4</v>
      </c>
      <c r="BO28" s="109">
        <f t="shared" si="16"/>
        <v>6.9201407216469655E-4</v>
      </c>
      <c r="BP28" s="109">
        <f t="shared" si="16"/>
        <v>7.1784213763338343E-4</v>
      </c>
      <c r="BQ28" s="109">
        <f t="shared" si="16"/>
        <v>7.6422416233401437E-4</v>
      </c>
      <c r="BR28" s="109" t="e">
        <f t="shared" ref="BR28:CK28" si="17">BR3/BR9</f>
        <v>#DIV/0!</v>
      </c>
      <c r="BS28" s="109">
        <f t="shared" si="17"/>
        <v>1.2231106581296486E-3</v>
      </c>
      <c r="BT28" s="109">
        <f t="shared" si="17"/>
        <v>1.3168824073650901E-3</v>
      </c>
      <c r="BU28" s="109">
        <f t="shared" si="17"/>
        <v>1.7957513168243601E-3</v>
      </c>
      <c r="BV28" s="109">
        <f t="shared" si="17"/>
        <v>1.7719997799709056E-3</v>
      </c>
      <c r="BW28" s="109">
        <f t="shared" si="17"/>
        <v>1.5447452267025226E-3</v>
      </c>
      <c r="BX28" s="109">
        <f t="shared" si="17"/>
        <v>0</v>
      </c>
      <c r="BY28" s="109">
        <f t="shared" si="17"/>
        <v>0</v>
      </c>
      <c r="BZ28" s="109">
        <f t="shared" si="17"/>
        <v>0</v>
      </c>
      <c r="CA28" s="109">
        <f t="shared" si="17"/>
        <v>0</v>
      </c>
      <c r="CB28" s="109">
        <f t="shared" si="17"/>
        <v>0</v>
      </c>
      <c r="CC28" s="109">
        <f t="shared" si="17"/>
        <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573</v>
      </c>
      <c r="E29" s="108">
        <f>(E4-I4)/I4</f>
        <v>0.1064182619853677</v>
      </c>
      <c r="F29" s="108">
        <f t="shared" ref="F29:BQ29" si="18">(F4-J4)/J4</f>
        <v>0.43117062940941825</v>
      </c>
      <c r="G29" s="108">
        <f t="shared" si="18"/>
        <v>-0.24765846884937623</v>
      </c>
      <c r="H29" s="108">
        <f t="shared" si="18"/>
        <v>-0.40593266372142994</v>
      </c>
      <c r="I29" s="108">
        <f t="shared" si="18"/>
        <v>-0.45277702787743929</v>
      </c>
      <c r="J29" s="108">
        <f t="shared" si="18"/>
        <v>-0.49960287345721621</v>
      </c>
      <c r="K29" s="108">
        <f t="shared" si="18"/>
        <v>-8.0812061086763587E-2</v>
      </c>
      <c r="L29" s="108">
        <f t="shared" si="18"/>
        <v>0.16812078350023624</v>
      </c>
      <c r="M29" s="108">
        <f t="shared" si="18"/>
        <v>-2.0713709363946751E-2</v>
      </c>
      <c r="N29" s="108">
        <f t="shared" si="18"/>
        <v>-9.5462734245362571E-2</v>
      </c>
      <c r="O29" s="108">
        <f t="shared" si="18"/>
        <v>3.6539438826967956E-3</v>
      </c>
      <c r="P29" s="108">
        <f t="shared" si="18"/>
        <v>0.14408261100888781</v>
      </c>
      <c r="Q29" s="108">
        <f t="shared" si="18"/>
        <v>1.5990439171199575</v>
      </c>
      <c r="R29" s="108">
        <f t="shared" si="18"/>
        <v>1.6972061946841859</v>
      </c>
      <c r="S29" s="108">
        <f t="shared" si="18"/>
        <v>9.0189546903149438</v>
      </c>
      <c r="T29" s="108">
        <f t="shared" si="18"/>
        <v>-10.744898052604228</v>
      </c>
      <c r="U29" s="108">
        <f t="shared" si="18"/>
        <v>-2.0205412027001657</v>
      </c>
      <c r="V29" s="108">
        <f t="shared" si="18"/>
        <v>-2.0340924374190226</v>
      </c>
      <c r="W29" s="108">
        <f t="shared" si="18"/>
        <v>-1.2570360528719731</v>
      </c>
      <c r="X29" s="108">
        <f t="shared" si="18"/>
        <v>-0.7533562981295101</v>
      </c>
      <c r="Y29" s="108">
        <f t="shared" si="18"/>
        <v>-0.31218423601968481</v>
      </c>
      <c r="Z29" s="108">
        <f t="shared" si="18"/>
        <v>-0.10750947873835878</v>
      </c>
      <c r="AA29" s="108">
        <f t="shared" si="18"/>
        <v>-9.8093718256757542E-2</v>
      </c>
      <c r="AB29" s="108">
        <f t="shared" si="18"/>
        <v>0.36594532827759407</v>
      </c>
      <c r="AC29" s="108">
        <f t="shared" si="18"/>
        <v>0.93178859727457553</v>
      </c>
      <c r="AD29" s="108">
        <f t="shared" si="18"/>
        <v>2.133767809857555</v>
      </c>
      <c r="AE29" s="108">
        <f t="shared" si="18"/>
        <v>3.3188924272304816</v>
      </c>
      <c r="AF29" s="108">
        <f t="shared" si="18"/>
        <v>2.0733089866021475</v>
      </c>
      <c r="AG29" s="108">
        <f t="shared" si="18"/>
        <v>6.8138647131094894</v>
      </c>
      <c r="AH29" s="108">
        <f t="shared" si="18"/>
        <v>1.4753386253570473</v>
      </c>
      <c r="AI29" s="108">
        <f t="shared" si="18"/>
        <v>-4.271044600434184</v>
      </c>
      <c r="AJ29" s="108">
        <f t="shared" si="18"/>
        <v>-2.0416918115099483</v>
      </c>
      <c r="AK29" s="108">
        <f t="shared" si="18"/>
        <v>-1.499235542738353</v>
      </c>
      <c r="AL29" s="108">
        <f t="shared" si="18"/>
        <v>-1.9715304829309621</v>
      </c>
      <c r="AM29" s="108">
        <f t="shared" si="18"/>
        <v>-0.58360837583738523</v>
      </c>
      <c r="AN29" s="108">
        <f t="shared" si="18"/>
        <v>1.0648883916932239</v>
      </c>
      <c r="AO29" s="108">
        <f t="shared" si="18"/>
        <v>0.66649110897810537</v>
      </c>
      <c r="AP29" s="108">
        <f t="shared" si="18"/>
        <v>-3.108507762311147</v>
      </c>
      <c r="AQ29" s="108">
        <f t="shared" si="18"/>
        <v>-9.9230470539023568</v>
      </c>
      <c r="AR29" s="108">
        <f t="shared" si="18"/>
        <v>-89.754490226055466</v>
      </c>
      <c r="AS29" s="108">
        <f t="shared" si="18"/>
        <v>0.29267523683495444</v>
      </c>
      <c r="AT29" s="108">
        <f t="shared" si="18"/>
        <v>-2.2650934402843608</v>
      </c>
      <c r="AU29" s="108">
        <f t="shared" si="18"/>
        <v>-1.4508433133327823</v>
      </c>
      <c r="AV29" s="108">
        <f t="shared" si="18"/>
        <v>-0.93733824368955265</v>
      </c>
      <c r="AW29" s="108">
        <f t="shared" si="18"/>
        <v>7.5090973512722918</v>
      </c>
      <c r="AX29" s="108">
        <f t="shared" si="18"/>
        <v>-0.39199289899340062</v>
      </c>
      <c r="AY29" s="108">
        <f t="shared" si="18"/>
        <v>0.66861821817354794</v>
      </c>
      <c r="AZ29" s="108">
        <f t="shared" si="18"/>
        <v>-1.7751495324715991</v>
      </c>
      <c r="BA29" s="108">
        <f t="shared" si="18"/>
        <v>-1.99511354209491</v>
      </c>
      <c r="BB29" s="108">
        <f t="shared" si="18"/>
        <v>-1.8894164928334356</v>
      </c>
      <c r="BC29" s="108">
        <f t="shared" si="18"/>
        <v>-1.2469024511836859</v>
      </c>
      <c r="BD29" s="108">
        <f t="shared" si="18"/>
        <v>-1.0974327448054908</v>
      </c>
      <c r="BE29" s="108">
        <f t="shared" si="18"/>
        <v>-0.9199065209459808</v>
      </c>
      <c r="BF29" s="108">
        <f t="shared" si="18"/>
        <v>-0.23963956836128877</v>
      </c>
      <c r="BG29" s="108">
        <f t="shared" si="18"/>
        <v>0.44781222448715452</v>
      </c>
      <c r="BH29" s="108">
        <f t="shared" si="18"/>
        <v>2.3672890655948127</v>
      </c>
      <c r="BI29" s="108">
        <f t="shared" si="18"/>
        <v>9.8255456627373616E-2</v>
      </c>
      <c r="BJ29" s="108">
        <f t="shared" si="18"/>
        <v>-4.2463783161650399</v>
      </c>
      <c r="BK29" s="108">
        <f t="shared" si="18"/>
        <v>0.38554466380840291</v>
      </c>
      <c r="BL29" s="108">
        <f t="shared" si="18"/>
        <v>0.33422808804093695</v>
      </c>
      <c r="BM29" s="108">
        <f t="shared" si="18"/>
        <v>0.40255417968666557</v>
      </c>
      <c r="BN29" s="108" t="e">
        <f t="shared" si="18"/>
        <v>#DIV/0!</v>
      </c>
      <c r="BO29" s="108">
        <f t="shared" si="18"/>
        <v>-0.53485892604437679</v>
      </c>
      <c r="BP29" s="108">
        <f t="shared" si="18"/>
        <v>-2.0631377655002532</v>
      </c>
      <c r="BQ29" s="108">
        <f t="shared" si="18"/>
        <v>1.1251419555221716</v>
      </c>
      <c r="BR29" s="108">
        <f t="shared" ref="BR29:CK29" si="19">(BR4-BV4)/BV4</f>
        <v>-1</v>
      </c>
      <c r="BS29" s="108">
        <f t="shared" si="19"/>
        <v>28.984111843631034</v>
      </c>
      <c r="BT29" s="108">
        <f t="shared" si="19"/>
        <v>0.91336664104107446</v>
      </c>
      <c r="BU29" s="108">
        <f t="shared" si="19"/>
        <v>-2.7173741360531865</v>
      </c>
      <c r="BV29" s="108">
        <f t="shared" si="19"/>
        <v>3.382306314552094</v>
      </c>
      <c r="BW29" s="108">
        <f t="shared" si="19"/>
        <v>-3.0399641766172119</v>
      </c>
      <c r="BX29" s="108">
        <f t="shared" si="19"/>
        <v>-0.11970792367152308</v>
      </c>
      <c r="BY29" s="108">
        <f t="shared" si="19"/>
        <v>-0.67967205269898801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557</v>
      </c>
      <c r="E30" s="108">
        <f>(E5-I5)/I5</f>
        <v>0.14765878664206145</v>
      </c>
      <c r="F30" s="108">
        <f t="shared" ref="F30:BQ30" si="20">(F5-J5)/J5</f>
        <v>0.12910684871952888</v>
      </c>
      <c r="G30" s="108">
        <f t="shared" si="20"/>
        <v>2.5248235071740122E-2</v>
      </c>
      <c r="H30" s="108">
        <f t="shared" si="20"/>
        <v>-0.10108568265433594</v>
      </c>
      <c r="I30" s="108">
        <f t="shared" si="20"/>
        <v>7.909768481806892E-2</v>
      </c>
      <c r="J30" s="108">
        <f t="shared" si="20"/>
        <v>0.2513270333325695</v>
      </c>
      <c r="K30" s="108">
        <f t="shared" si="20"/>
        <v>0.28893534451953917</v>
      </c>
      <c r="L30" s="108">
        <f t="shared" si="20"/>
        <v>0.57070536134885785</v>
      </c>
      <c r="M30" s="108">
        <f t="shared" si="20"/>
        <v>0.12093988036196532</v>
      </c>
      <c r="N30" s="108">
        <f t="shared" si="20"/>
        <v>-6.1605157528345451E-2</v>
      </c>
      <c r="O30" s="108">
        <f t="shared" si="20"/>
        <v>-2.1347320816190108E-2</v>
      </c>
      <c r="P30" s="108">
        <f t="shared" si="20"/>
        <v>-9.8074843489930254E-3</v>
      </c>
      <c r="Q30" s="108">
        <f t="shared" si="20"/>
        <v>0.46916748679607684</v>
      </c>
      <c r="R30" s="108">
        <f t="shared" si="20"/>
        <v>0.34651506913995272</v>
      </c>
      <c r="S30" s="108">
        <f t="shared" si="20"/>
        <v>0.44543411281863043</v>
      </c>
      <c r="T30" s="108">
        <f t="shared" si="20"/>
        <v>0.66351388555953206</v>
      </c>
      <c r="U30" s="108">
        <f t="shared" si="20"/>
        <v>0.12281280796657357</v>
      </c>
      <c r="V30" s="108">
        <f t="shared" si="20"/>
        <v>0.3604806915918643</v>
      </c>
      <c r="W30" s="108">
        <f t="shared" si="20"/>
        <v>0.29450775724091799</v>
      </c>
      <c r="X30" s="108">
        <f t="shared" si="20"/>
        <v>0.1686856015017992</v>
      </c>
      <c r="Y30" s="108">
        <f t="shared" si="20"/>
        <v>0.22828295842582624</v>
      </c>
      <c r="Z30" s="108">
        <f t="shared" si="20"/>
        <v>0.23786332352317408</v>
      </c>
      <c r="AA30" s="108">
        <f t="shared" si="20"/>
        <v>0.3061237798427151</v>
      </c>
      <c r="AB30" s="108">
        <f t="shared" si="20"/>
        <v>0.12568125092083493</v>
      </c>
      <c r="AC30" s="108">
        <f t="shared" si="20"/>
        <v>9.7512134060893332E-2</v>
      </c>
      <c r="AD30" s="108">
        <f t="shared" si="20"/>
        <v>0.19566209383710889</v>
      </c>
      <c r="AE30" s="108">
        <f t="shared" si="20"/>
        <v>0.17456518753904443</v>
      </c>
      <c r="AF30" s="108">
        <f t="shared" si="20"/>
        <v>0.31836386321291571</v>
      </c>
      <c r="AG30" s="108">
        <f t="shared" si="20"/>
        <v>0.25754950354990663</v>
      </c>
      <c r="AH30" s="108">
        <f t="shared" si="20"/>
        <v>0.22271894297375483</v>
      </c>
      <c r="AI30" s="108">
        <f t="shared" si="20"/>
        <v>0.43789238791286916</v>
      </c>
      <c r="AJ30" s="108">
        <f t="shared" si="20"/>
        <v>1.2845408007259165</v>
      </c>
      <c r="AK30" s="108">
        <f t="shared" si="20"/>
        <v>1.0637998126665233</v>
      </c>
      <c r="AL30" s="108">
        <f t="shared" si="20"/>
        <v>0.90061883840235413</v>
      </c>
      <c r="AM30" s="108">
        <f t="shared" si="20"/>
        <v>0.75472547102959686</v>
      </c>
      <c r="AN30" s="108">
        <f t="shared" si="20"/>
        <v>0.12011876285970796</v>
      </c>
      <c r="AO30" s="108">
        <f t="shared" si="20"/>
        <v>0.16166119410271271</v>
      </c>
      <c r="AP30" s="108">
        <f t="shared" si="20"/>
        <v>0.15057329198816799</v>
      </c>
      <c r="AQ30" s="108">
        <f t="shared" si="20"/>
        <v>0.10269978434169165</v>
      </c>
      <c r="AR30" s="108">
        <f t="shared" si="20"/>
        <v>-1.8346924965565073E-2</v>
      </c>
      <c r="AS30" s="108">
        <f t="shared" si="20"/>
        <v>7.2296128365250623E-2</v>
      </c>
      <c r="AT30" s="108">
        <f t="shared" si="20"/>
        <v>5.4069489418296576E-3</v>
      </c>
      <c r="AU30" s="108">
        <f t="shared" si="20"/>
        <v>6.0284037004179024E-2</v>
      </c>
      <c r="AV30" s="108">
        <f t="shared" si="20"/>
        <v>3.7672088310933521E-2</v>
      </c>
      <c r="AW30" s="108">
        <f t="shared" si="20"/>
        <v>3.9312854557353914E-2</v>
      </c>
      <c r="AX30" s="108">
        <f t="shared" si="20"/>
        <v>-9.1777209698949147E-2</v>
      </c>
      <c r="AY30" s="108">
        <f t="shared" si="20"/>
        <v>-0.15497946852022731</v>
      </c>
      <c r="AZ30" s="108">
        <f t="shared" si="20"/>
        <v>3.6656540906311888E-2</v>
      </c>
      <c r="BA30" s="108">
        <f t="shared" si="20"/>
        <v>2.3118997401989486E-2</v>
      </c>
      <c r="BB30" s="108">
        <f t="shared" si="20"/>
        <v>0.2516423679356824</v>
      </c>
      <c r="BC30" s="108">
        <f t="shared" si="20"/>
        <v>0.27424672251745463</v>
      </c>
      <c r="BD30" s="108">
        <f t="shared" si="20"/>
        <v>0.37189491605544439</v>
      </c>
      <c r="BE30" s="108">
        <f t="shared" si="20"/>
        <v>0.2465633214924742</v>
      </c>
      <c r="BF30" s="108">
        <f t="shared" si="20"/>
        <v>0.20252472265086807</v>
      </c>
      <c r="BG30" s="108">
        <f t="shared" si="20"/>
        <v>0.51288312580709383</v>
      </c>
      <c r="BH30" s="108">
        <f t="shared" si="20"/>
        <v>3.7385663316483117E-2</v>
      </c>
      <c r="BI30" s="108">
        <f t="shared" si="20"/>
        <v>0.19252564192404195</v>
      </c>
      <c r="BJ30" s="108">
        <f t="shared" si="20"/>
        <v>-0.16560072679646076</v>
      </c>
      <c r="BK30" s="108">
        <f t="shared" si="20"/>
        <v>-9.286508128383511E-2</v>
      </c>
      <c r="BL30" s="108">
        <f t="shared" si="20"/>
        <v>5.9059533556333449E-2</v>
      </c>
      <c r="BM30" s="108">
        <f t="shared" si="20"/>
        <v>-0.11744862759709053</v>
      </c>
      <c r="BN30" s="108" t="e">
        <f t="shared" si="20"/>
        <v>#DIV/0!</v>
      </c>
      <c r="BO30" s="108">
        <f t="shared" si="20"/>
        <v>0.10723908291986348</v>
      </c>
      <c r="BP30" s="108">
        <f t="shared" si="20"/>
        <v>0.24111741186150187</v>
      </c>
      <c r="BQ30" s="108">
        <f t="shared" si="20"/>
        <v>0.29856439537485036</v>
      </c>
      <c r="BR30" s="108">
        <f t="shared" ref="BR30:CK30" si="21">(BR5-BV5)/BV5</f>
        <v>-1</v>
      </c>
      <c r="BS30" s="108">
        <f t="shared" si="21"/>
        <v>-0.18140060378729103</v>
      </c>
      <c r="BT30" s="108">
        <f t="shared" si="21"/>
        <v>0.58266355040937301</v>
      </c>
      <c r="BU30" s="108">
        <f t="shared" si="21"/>
        <v>0.86768811823230696</v>
      </c>
      <c r="BV30" s="108">
        <f t="shared" si="21"/>
        <v>1.1121392979728193</v>
      </c>
      <c r="BW30" s="108">
        <f t="shared" si="21"/>
        <v>1.1218744420202493</v>
      </c>
      <c r="BX30" s="108">
        <f t="shared" si="21"/>
        <v>0.27382229904562072</v>
      </c>
      <c r="BY30" s="108">
        <f t="shared" si="21"/>
        <v>0.30741686241238686</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558</v>
      </c>
      <c r="E31" s="108">
        <f>(E6-I6)/I6</f>
        <v>0.16320620861944202</v>
      </c>
      <c r="F31" s="108">
        <f t="shared" ref="F31:BQ31" si="22">(F6-J6)/J6</f>
        <v>2.8984223296832191E-2</v>
      </c>
      <c r="G31" s="108">
        <f t="shared" si="22"/>
        <v>0.24699847708189962</v>
      </c>
      <c r="H31" s="108">
        <f t="shared" si="22"/>
        <v>0.16805835627355362</v>
      </c>
      <c r="I31" s="108">
        <f t="shared" si="22"/>
        <v>0.70317523545620997</v>
      </c>
      <c r="J31" s="108">
        <f t="shared" si="22"/>
        <v>1.4897778747296677</v>
      </c>
      <c r="K31" s="108">
        <f t="shared" si="22"/>
        <v>0.91478653213437755</v>
      </c>
      <c r="L31" s="108">
        <f t="shared" si="22"/>
        <v>1.2576662018524423</v>
      </c>
      <c r="M31" s="108">
        <f t="shared" si="22"/>
        <v>0.35008349240109282</v>
      </c>
      <c r="N31" s="108">
        <f t="shared" si="22"/>
        <v>1.3495020215489477E-4</v>
      </c>
      <c r="O31" s="108">
        <f t="shared" si="22"/>
        <v>-6.0941957694762607E-2</v>
      </c>
      <c r="P31" s="108">
        <f t="shared" si="22"/>
        <v>-0.19465378145096998</v>
      </c>
      <c r="Q31" s="108">
        <f t="shared" si="22"/>
        <v>-0.1374228195916623</v>
      </c>
      <c r="R31" s="108">
        <f t="shared" si="22"/>
        <v>-0.29618777040754279</v>
      </c>
      <c r="S31" s="108">
        <f t="shared" si="22"/>
        <v>-0.38628599586021106</v>
      </c>
      <c r="T31" s="108">
        <f t="shared" si="22"/>
        <v>-0.30865601370208262</v>
      </c>
      <c r="U31" s="108">
        <f t="shared" si="22"/>
        <v>-0.4722456953207852</v>
      </c>
      <c r="V31" s="108">
        <f t="shared" si="22"/>
        <v>-0.3527226154267627</v>
      </c>
      <c r="W31" s="108">
        <f t="shared" si="22"/>
        <v>-0.18357584777859295</v>
      </c>
      <c r="X31" s="108">
        <f t="shared" si="22"/>
        <v>-0.11366834518379189</v>
      </c>
      <c r="Y31" s="108">
        <f t="shared" si="22"/>
        <v>8.3150937895688296E-3</v>
      </c>
      <c r="Z31" s="108">
        <f t="shared" si="22"/>
        <v>0.10993484063920991</v>
      </c>
      <c r="AA31" s="108">
        <f t="shared" si="22"/>
        <v>0.14763539495946346</v>
      </c>
      <c r="AB31" s="108">
        <f t="shared" si="22"/>
        <v>0.18976687296533207</v>
      </c>
      <c r="AC31" s="108">
        <f t="shared" si="22"/>
        <v>0.33155761274289286</v>
      </c>
      <c r="AD31" s="108">
        <f t="shared" si="22"/>
        <v>0.55095757159998648</v>
      </c>
      <c r="AE31" s="108">
        <f t="shared" si="22"/>
        <v>0.6437946052872402</v>
      </c>
      <c r="AF31" s="108">
        <f t="shared" si="22"/>
        <v>0.55524333435427886</v>
      </c>
      <c r="AG31" s="108">
        <f t="shared" si="22"/>
        <v>0.64468959314040952</v>
      </c>
      <c r="AH31" s="108">
        <f t="shared" si="22"/>
        <v>0.34774627707894845</v>
      </c>
      <c r="AI31" s="108">
        <f t="shared" si="22"/>
        <v>0.83131227975328559</v>
      </c>
      <c r="AJ31" s="108">
        <f t="shared" si="22"/>
        <v>3.0150100606634642</v>
      </c>
      <c r="AK31" s="108">
        <f t="shared" si="22"/>
        <v>1.9616122544799108</v>
      </c>
      <c r="AL31" s="108">
        <f t="shared" si="22"/>
        <v>1.6962102289123175</v>
      </c>
      <c r="AM31" s="108">
        <f t="shared" si="22"/>
        <v>1.3989091414172272</v>
      </c>
      <c r="AN31" s="108">
        <f t="shared" si="22"/>
        <v>-9.5244588928137003E-2</v>
      </c>
      <c r="AO31" s="108">
        <f t="shared" si="22"/>
        <v>5.0218229634615238E-2</v>
      </c>
      <c r="AP31" s="108">
        <f t="shared" si="22"/>
        <v>-0.19436496342012374</v>
      </c>
      <c r="AQ31" s="108">
        <f t="shared" si="22"/>
        <v>-0.28433996293183894</v>
      </c>
      <c r="AR31" s="108">
        <f t="shared" si="22"/>
        <v>-0.20221585383092056</v>
      </c>
      <c r="AS31" s="108">
        <f t="shared" si="22"/>
        <v>3.3404259408071083E-2</v>
      </c>
      <c r="AT31" s="108">
        <f t="shared" si="22"/>
        <v>0.2411704720354301</v>
      </c>
      <c r="AU31" s="108">
        <f t="shared" si="22"/>
        <v>0.21786902858194945</v>
      </c>
      <c r="AV31" s="108">
        <f t="shared" si="22"/>
        <v>5.6110461329862086E-3</v>
      </c>
      <c r="AW31" s="108">
        <f t="shared" si="22"/>
        <v>-0.10010122416871957</v>
      </c>
      <c r="AX31" s="108">
        <f t="shared" si="22"/>
        <v>-4.2694286929415209E-2</v>
      </c>
      <c r="AY31" s="108">
        <f t="shared" si="22"/>
        <v>-0.19634526870293301</v>
      </c>
      <c r="AZ31" s="108">
        <f t="shared" si="22"/>
        <v>0.12296661393264281</v>
      </c>
      <c r="BA31" s="108">
        <f t="shared" si="22"/>
        <v>-1.4196355026104701E-2</v>
      </c>
      <c r="BB31" s="108">
        <f t="shared" si="22"/>
        <v>-0.10184374593896098</v>
      </c>
      <c r="BC31" s="108">
        <f t="shared" si="22"/>
        <v>-2.6874608082809462E-2</v>
      </c>
      <c r="BD31" s="108">
        <f t="shared" si="22"/>
        <v>-0.20164184232498839</v>
      </c>
      <c r="BE31" s="108">
        <f t="shared" si="22"/>
        <v>-1.7891826535921421E-2</v>
      </c>
      <c r="BF31" s="108">
        <f t="shared" si="22"/>
        <v>9.7185973792582106E-2</v>
      </c>
      <c r="BG31" s="108">
        <f t="shared" si="22"/>
        <v>0.49954168173068447</v>
      </c>
      <c r="BH31" s="108">
        <f t="shared" si="22"/>
        <v>0.4212413184437655</v>
      </c>
      <c r="BI31" s="108">
        <f t="shared" si="22"/>
        <v>0.16976172929279523</v>
      </c>
      <c r="BJ31" s="108">
        <f t="shared" si="22"/>
        <v>0.19109122622026861</v>
      </c>
      <c r="BK31" s="108">
        <f t="shared" si="22"/>
        <v>-2.3752786648147371E-2</v>
      </c>
      <c r="BL31" s="108">
        <f t="shared" si="22"/>
        <v>9.6310036508158225E-2</v>
      </c>
      <c r="BM31" s="108">
        <f t="shared" si="22"/>
        <v>-3.0666166474348389E-2</v>
      </c>
      <c r="BN31" s="108" t="e">
        <f t="shared" si="22"/>
        <v>#DIV/0!</v>
      </c>
      <c r="BO31" s="108">
        <f t="shared" si="22"/>
        <v>-7.6855713495167177E-2</v>
      </c>
      <c r="BP31" s="108">
        <f t="shared" si="22"/>
        <v>0.75648786874804963</v>
      </c>
      <c r="BQ31" s="108">
        <f t="shared" si="22"/>
        <v>0.38870754642426986</v>
      </c>
      <c r="BR31" s="108">
        <f t="shared" ref="BR31:CK31" si="23">(BR6-BV6)/BV6</f>
        <v>-1</v>
      </c>
      <c r="BS31" s="108">
        <f t="shared" si="23"/>
        <v>0.13517902959315883</v>
      </c>
      <c r="BT31" s="108">
        <f t="shared" si="23"/>
        <v>0.52375946469194212</v>
      </c>
      <c r="BU31" s="108">
        <f t="shared" si="23"/>
        <v>1.4182105496216111</v>
      </c>
      <c r="BV31" s="108">
        <f t="shared" si="23"/>
        <v>0.50834175835982298</v>
      </c>
      <c r="BW31" s="108">
        <f t="shared" si="23"/>
        <v>1.1699275281286869</v>
      </c>
      <c r="BX31" s="108">
        <f t="shared" si="23"/>
        <v>0.38402780135902048</v>
      </c>
      <c r="BY31" s="108">
        <f t="shared" si="23"/>
        <v>1.4817832421521413</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560</v>
      </c>
      <c r="E32" s="109">
        <f>(E7-I7)/I7</f>
        <v>-1.3842230620428535E-2</v>
      </c>
      <c r="F32" s="109">
        <f t="shared" ref="F32:BQ32" si="24">(F7-J7)/J7</f>
        <v>-3.2371423536398908E-2</v>
      </c>
      <c r="G32" s="109">
        <f t="shared" si="24"/>
        <v>-3.3752069797521836E-2</v>
      </c>
      <c r="H32" s="109">
        <f t="shared" si="24"/>
        <v>-1.948597094964763E-2</v>
      </c>
      <c r="I32" s="109">
        <f t="shared" si="24"/>
        <v>-2.4409663190091687E-2</v>
      </c>
      <c r="J32" s="109">
        <f t="shared" si="24"/>
        <v>4.5447788900468801E-3</v>
      </c>
      <c r="K32" s="109">
        <f t="shared" si="24"/>
        <v>5.1926489765650053E-3</v>
      </c>
      <c r="L32" s="109">
        <f t="shared" si="24"/>
        <v>1.7885857112739378E-3</v>
      </c>
      <c r="M32" s="109">
        <f t="shared" si="24"/>
        <v>8.9342028158638845E-4</v>
      </c>
      <c r="N32" s="109">
        <f t="shared" si="24"/>
        <v>-1.335624656850075E-2</v>
      </c>
      <c r="O32" s="109">
        <f t="shared" si="24"/>
        <v>2.4119103316526745E-2</v>
      </c>
      <c r="P32" s="109">
        <f t="shared" si="24"/>
        <v>1.1824407953742812E-2</v>
      </c>
      <c r="Q32" s="109">
        <f t="shared" si="24"/>
        <v>-3.8178838870201411E-3</v>
      </c>
      <c r="R32" s="109">
        <f t="shared" si="24"/>
        <v>-1.2936322926372534E-2</v>
      </c>
      <c r="S32" s="109">
        <f t="shared" si="24"/>
        <v>-5.1757659346666055E-2</v>
      </c>
      <c r="T32" s="109">
        <f t="shared" si="24"/>
        <v>-3.9999655529912942E-2</v>
      </c>
      <c r="U32" s="109">
        <f t="shared" si="24"/>
        <v>-1.8951992613332944E-2</v>
      </c>
      <c r="V32" s="109">
        <f t="shared" si="24"/>
        <v>1.6187274298978926E-2</v>
      </c>
      <c r="W32" s="109">
        <f t="shared" si="24"/>
        <v>1.8457983159549232E-2</v>
      </c>
      <c r="X32" s="109">
        <f t="shared" si="24"/>
        <v>1.8814042195719315E-2</v>
      </c>
      <c r="Y32" s="109">
        <f t="shared" si="24"/>
        <v>2.0244850516383608E-2</v>
      </c>
      <c r="Z32" s="109">
        <f t="shared" si="24"/>
        <v>-1.5092244649008092E-2</v>
      </c>
      <c r="AA32" s="109">
        <f t="shared" si="24"/>
        <v>-1.544546088555394E-2</v>
      </c>
      <c r="AB32" s="109">
        <f t="shared" si="24"/>
        <v>-1.8112797912145508E-2</v>
      </c>
      <c r="AC32" s="109">
        <f t="shared" si="24"/>
        <v>-2.8727508193237685E-2</v>
      </c>
      <c r="AD32" s="109">
        <f t="shared" si="24"/>
        <v>-3.1955347735517545E-2</v>
      </c>
      <c r="AE32" s="109">
        <f t="shared" si="24"/>
        <v>-3.1010975559787348E-2</v>
      </c>
      <c r="AF32" s="109">
        <f t="shared" si="24"/>
        <v>-3.9694338234722057E-2</v>
      </c>
      <c r="AG32" s="109">
        <f t="shared" si="24"/>
        <v>-3.4943491443873209E-2</v>
      </c>
      <c r="AH32" s="109">
        <f t="shared" si="24"/>
        <v>-3.4280553682370582E-2</v>
      </c>
      <c r="AI32" s="109">
        <f t="shared" si="24"/>
        <v>-3.6267631478970122E-2</v>
      </c>
      <c r="AJ32" s="109">
        <f t="shared" si="24"/>
        <v>0.58474683376935954</v>
      </c>
      <c r="AK32" s="109">
        <f t="shared" si="24"/>
        <v>0.59333183620107011</v>
      </c>
      <c r="AL32" s="109">
        <f t="shared" si="24"/>
        <v>0.57411045520784543</v>
      </c>
      <c r="AM32" s="109">
        <f t="shared" si="24"/>
        <v>0.56117494307983795</v>
      </c>
      <c r="AN32" s="109">
        <f t="shared" si="24"/>
        <v>-4.7335827670969298E-2</v>
      </c>
      <c r="AO32" s="109">
        <f t="shared" si="24"/>
        <v>-6.5984057789311351E-2</v>
      </c>
      <c r="AP32" s="109">
        <f t="shared" si="24"/>
        <v>-5.4323711549246423E-2</v>
      </c>
      <c r="AQ32" s="109">
        <f t="shared" si="24"/>
        <v>-4.2676661548400247E-2</v>
      </c>
      <c r="AR32" s="109">
        <f t="shared" si="24"/>
        <v>-4.6791293911489604E-2</v>
      </c>
      <c r="AS32" s="109">
        <f t="shared" si="24"/>
        <v>-4.085851430446296E-2</v>
      </c>
      <c r="AT32" s="109">
        <f t="shared" si="24"/>
        <v>-5.436035814005958E-2</v>
      </c>
      <c r="AU32" s="109">
        <f t="shared" si="24"/>
        <v>-5.6990948157661987E-2</v>
      </c>
      <c r="AV32" s="109">
        <f t="shared" si="24"/>
        <v>-3.109919252407874E-2</v>
      </c>
      <c r="AW32" s="109">
        <f t="shared" si="24"/>
        <v>-3.6028231728820241E-2</v>
      </c>
      <c r="AX32" s="109">
        <f t="shared" si="24"/>
        <v>-2.9038346509206375E-2</v>
      </c>
      <c r="AY32" s="109">
        <f t="shared" si="24"/>
        <v>-3.7980450485197693E-2</v>
      </c>
      <c r="AZ32" s="109">
        <f t="shared" si="24"/>
        <v>-6.9146981634233134E-2</v>
      </c>
      <c r="BA32" s="109">
        <f t="shared" si="24"/>
        <v>-6.2245618731725127E-2</v>
      </c>
      <c r="BB32" s="109">
        <f t="shared" si="24"/>
        <v>2.2289566198525058E-2</v>
      </c>
      <c r="BC32" s="109">
        <f t="shared" si="24"/>
        <v>2.7098572059491052E-2</v>
      </c>
      <c r="BD32" s="109">
        <f t="shared" si="24"/>
        <v>3.2553669657953581E-2</v>
      </c>
      <c r="BE32" s="109">
        <f t="shared" si="24"/>
        <v>4.5385043899598056E-2</v>
      </c>
      <c r="BF32" s="109">
        <f t="shared" si="24"/>
        <v>4.9261762247718707E-2</v>
      </c>
      <c r="BG32" s="109">
        <f t="shared" si="24"/>
        <v>0.21506010182906463</v>
      </c>
      <c r="BH32" s="109">
        <f t="shared" si="24"/>
        <v>0.24791184200018301</v>
      </c>
      <c r="BI32" s="109">
        <f t="shared" si="24"/>
        <v>0.23621474247736612</v>
      </c>
      <c r="BJ32" s="109">
        <f t="shared" si="24"/>
        <v>0.42971141644534472</v>
      </c>
      <c r="BK32" s="109">
        <f t="shared" si="24"/>
        <v>0.23321483658326964</v>
      </c>
      <c r="BL32" s="109">
        <f t="shared" si="24"/>
        <v>0.27130876753248978</v>
      </c>
      <c r="BM32" s="109">
        <f t="shared" si="24"/>
        <v>0.2706824618262102</v>
      </c>
      <c r="BN32" s="109" t="e">
        <f t="shared" si="24"/>
        <v>#DIV/0!</v>
      </c>
      <c r="BO32" s="109">
        <f t="shared" si="24"/>
        <v>4.1320168628113114E-2</v>
      </c>
      <c r="BP32" s="109">
        <f t="shared" si="24"/>
        <v>0.97626480899122881</v>
      </c>
      <c r="BQ32" s="109">
        <f t="shared" si="24"/>
        <v>1.1414808824516227</v>
      </c>
      <c r="BR32" s="109">
        <f t="shared" ref="BR32:CK32" si="25">(BR7-BV7)/BV7</f>
        <v>-1</v>
      </c>
      <c r="BS32" s="109">
        <f t="shared" si="25"/>
        <v>1.6161225467457814</v>
      </c>
      <c r="BT32" s="109">
        <f t="shared" si="25"/>
        <v>1.063541255046687</v>
      </c>
      <c r="BU32" s="109">
        <f t="shared" si="25"/>
        <v>0.86709106267166447</v>
      </c>
      <c r="BV32" s="109">
        <f t="shared" si="25"/>
        <v>1.1729899838678135</v>
      </c>
      <c r="BW32" s="109">
        <f t="shared" si="25"/>
        <v>3.6760317974212713</v>
      </c>
      <c r="BX32" s="109">
        <f t="shared" si="25"/>
        <v>2.1789088640930578</v>
      </c>
      <c r="BY32" s="109">
        <f t="shared" si="25"/>
        <v>3.2933419325111459</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567</v>
      </c>
      <c r="E33" s="109">
        <f>E7/E9</f>
        <v>0.12398637786932939</v>
      </c>
      <c r="F33" s="109">
        <f t="shared" ref="F33:BQ33" si="26">F7/F9</f>
        <v>0.12951167755612036</v>
      </c>
      <c r="G33" s="109">
        <f t="shared" si="26"/>
        <v>0.13575000086039232</v>
      </c>
      <c r="H33" s="109">
        <f t="shared" si="26"/>
        <v>0.1320578591556624</v>
      </c>
      <c r="I33" s="109">
        <f t="shared" si="26"/>
        <v>0.14259725954094823</v>
      </c>
      <c r="J33" s="109">
        <f t="shared" si="26"/>
        <v>0.1492024291242148</v>
      </c>
      <c r="K33" s="109">
        <f t="shared" si="26"/>
        <v>0.14516062775161134</v>
      </c>
      <c r="L33" s="109">
        <f t="shared" si="26"/>
        <v>0.14774157481017838</v>
      </c>
      <c r="M33" s="109">
        <f t="shared" si="26"/>
        <v>0.15889026218194224</v>
      </c>
      <c r="N33" s="109">
        <f t="shared" si="26"/>
        <v>0.16175201366157652</v>
      </c>
      <c r="O33" s="109">
        <f t="shared" si="26"/>
        <v>0.16898743917689749</v>
      </c>
      <c r="P33" s="109">
        <f t="shared" si="26"/>
        <v>0.16382631206344389</v>
      </c>
      <c r="Q33" s="109">
        <f t="shared" si="26"/>
        <v>0.17453539887492781</v>
      </c>
      <c r="R33" s="109">
        <f t="shared" si="26"/>
        <v>0.17907325151955289</v>
      </c>
      <c r="S33" s="109">
        <f t="shared" si="26"/>
        <v>0.17831480971647176</v>
      </c>
      <c r="T33" s="109">
        <f t="shared" si="26"/>
        <v>0.17332728302207881</v>
      </c>
      <c r="U33" s="109">
        <f t="shared" si="26"/>
        <v>0.19054450998764266</v>
      </c>
      <c r="V33" s="109">
        <f t="shared" si="26"/>
        <v>0.19709236109828257</v>
      </c>
      <c r="W33" s="109">
        <f t="shared" si="26"/>
        <v>0.20819515817019674</v>
      </c>
      <c r="X33" s="109">
        <f t="shared" si="26"/>
        <v>0.20163564015369329</v>
      </c>
      <c r="Y33" s="109">
        <f t="shared" si="26"/>
        <v>0.225796161145142</v>
      </c>
      <c r="Z33" s="109">
        <f t="shared" si="26"/>
        <v>0.23521799146098879</v>
      </c>
      <c r="AA33" s="109">
        <f t="shared" si="26"/>
        <v>0.26354045860750425</v>
      </c>
      <c r="AB33" s="109">
        <f t="shared" si="26"/>
        <v>0.26502932431428877</v>
      </c>
      <c r="AC33" s="109">
        <f t="shared" si="26"/>
        <v>0.29828153568267674</v>
      </c>
      <c r="AD33" s="109">
        <f t="shared" si="26"/>
        <v>0.31741175576977804</v>
      </c>
      <c r="AE33" s="109">
        <f t="shared" si="26"/>
        <v>0.33859394270599863</v>
      </c>
      <c r="AF33" s="109">
        <f t="shared" si="26"/>
        <v>0.34669942477188448</v>
      </c>
      <c r="AG33" s="109">
        <f t="shared" si="26"/>
        <v>0.38805238106719653</v>
      </c>
      <c r="AH33" s="109">
        <f t="shared" si="26"/>
        <v>0.41595810705865055</v>
      </c>
      <c r="AI33" s="109">
        <f t="shared" si="26"/>
        <v>0.4507722797869636</v>
      </c>
      <c r="AJ33" s="109">
        <f t="shared" si="26"/>
        <v>0.46189023675843766</v>
      </c>
      <c r="AK33" s="109">
        <f t="shared" si="26"/>
        <v>0.50886836410810354</v>
      </c>
      <c r="AL33" s="109">
        <f t="shared" si="26"/>
        <v>0.55510144897202107</v>
      </c>
      <c r="AM33" s="109">
        <f t="shared" si="26"/>
        <v>0.59613506026029761</v>
      </c>
      <c r="AN33" s="109">
        <f t="shared" si="26"/>
        <v>0.37111713336622243</v>
      </c>
      <c r="AO33" s="109">
        <f t="shared" si="26"/>
        <v>0.41265925709722684</v>
      </c>
      <c r="AP33" s="109">
        <f t="shared" si="26"/>
        <v>0.42890284433426917</v>
      </c>
      <c r="AQ33" s="109">
        <f t="shared" si="26"/>
        <v>0.45000592119500998</v>
      </c>
      <c r="AR33" s="109">
        <f t="shared" si="26"/>
        <v>0.46581704490629422</v>
      </c>
      <c r="AS33" s="109">
        <f t="shared" si="26"/>
        <v>0.52565232675802409</v>
      </c>
      <c r="AT33" s="109">
        <f t="shared" si="26"/>
        <v>0.53122275356190329</v>
      </c>
      <c r="AU33" s="109">
        <f t="shared" si="26"/>
        <v>0.54641817195979814</v>
      </c>
      <c r="AV33" s="109">
        <f t="shared" si="26"/>
        <v>0.57438186135853997</v>
      </c>
      <c r="AW33" s="109">
        <f t="shared" si="26"/>
        <v>0.62419789727911468</v>
      </c>
      <c r="AX33" s="109">
        <f t="shared" si="26"/>
        <v>0.64873712070186851</v>
      </c>
      <c r="AY33" s="109">
        <f t="shared" si="26"/>
        <v>0.66982357047333629</v>
      </c>
      <c r="AZ33" s="109">
        <f t="shared" si="26"/>
        <v>0.66363404903773571</v>
      </c>
      <c r="BA33" s="109">
        <f t="shared" si="26"/>
        <v>0.72748371788035593</v>
      </c>
      <c r="BB33" s="109">
        <f t="shared" si="26"/>
        <v>0.74051696539760381</v>
      </c>
      <c r="BC33" s="109">
        <f t="shared" si="26"/>
        <v>0.7758821267520416</v>
      </c>
      <c r="BD33" s="109">
        <f t="shared" si="26"/>
        <v>0.80973833207372115</v>
      </c>
      <c r="BE33" s="109">
        <f t="shared" si="26"/>
        <v>0.87242438501199093</v>
      </c>
      <c r="BF33" s="109">
        <f t="shared" si="26"/>
        <v>0.83057837648409549</v>
      </c>
      <c r="BG33" s="109">
        <f t="shared" si="26"/>
        <v>0.86384440492504821</v>
      </c>
      <c r="BH33" s="109">
        <f t="shared" si="26"/>
        <v>0.85905982625632127</v>
      </c>
      <c r="BI33" s="109">
        <f t="shared" si="26"/>
        <v>0.91470591266978518</v>
      </c>
      <c r="BJ33" s="109">
        <f t="shared" si="26"/>
        <v>0.86790270316669282</v>
      </c>
      <c r="BK33" s="109">
        <f t="shared" si="26"/>
        <v>0.78332244830575104</v>
      </c>
      <c r="BL33" s="109">
        <f t="shared" si="26"/>
        <v>0.77929908041222973</v>
      </c>
      <c r="BM33" s="109">
        <f t="shared" si="26"/>
        <v>0.8338841178279629</v>
      </c>
      <c r="BN33" s="109">
        <f t="shared" si="26"/>
        <v>0.67043148961559229</v>
      </c>
      <c r="BO33" s="109">
        <f t="shared" si="26"/>
        <v>0.69669545672127287</v>
      </c>
      <c r="BP33" s="109">
        <f t="shared" si="26"/>
        <v>0.69102196774393798</v>
      </c>
      <c r="BQ33" s="109">
        <f t="shared" si="26"/>
        <v>0.74296421287002734</v>
      </c>
      <c r="BR33" s="109" t="e">
        <f t="shared" ref="BR33:CK33" si="27">BR7/BR9</f>
        <v>#DIV/0!</v>
      </c>
      <c r="BS33" s="109">
        <f t="shared" si="27"/>
        <v>0.7644190627872286</v>
      </c>
      <c r="BT33" s="109">
        <f t="shared" si="27"/>
        <v>0.40394320743658158</v>
      </c>
      <c r="BU33" s="109">
        <f t="shared" si="27"/>
        <v>0.51337494296899666</v>
      </c>
      <c r="BV33" s="109">
        <f t="shared" si="27"/>
        <v>0.55058180140405</v>
      </c>
      <c r="BW33" s="109">
        <f t="shared" si="27"/>
        <v>0.59529711395480822</v>
      </c>
      <c r="BX33" s="109">
        <f t="shared" si="27"/>
        <v>0.38958517416079502</v>
      </c>
      <c r="BY33" s="109">
        <f t="shared" si="27"/>
        <v>0.43824056265808842</v>
      </c>
      <c r="BZ33" s="109">
        <f t="shared" si="27"/>
        <v>0.41646689470349396</v>
      </c>
      <c r="CA33" s="109">
        <f t="shared" si="27"/>
        <v>0.61814085332242141</v>
      </c>
      <c r="CB33" s="109">
        <f t="shared" si="27"/>
        <v>0.62356963749535776</v>
      </c>
      <c r="CC33" s="109">
        <f t="shared" si="27"/>
        <v>0.40011515341601922</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561</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f t="shared" si="29"/>
        <v>-1</v>
      </c>
      <c r="BX34" s="108">
        <f t="shared" si="29"/>
        <v>-1</v>
      </c>
      <c r="BY34" s="108">
        <f t="shared" si="29"/>
        <v>-1</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565</v>
      </c>
      <c r="E35" s="108" t="e">
        <f>E10/E12</f>
        <v>#DIV/0!</v>
      </c>
      <c r="F35" s="108" t="e">
        <f t="shared" ref="F35:BQ35" si="30">F10/F12</f>
        <v>#DIV/0!</v>
      </c>
      <c r="G35" s="108" t="e">
        <f t="shared" si="30"/>
        <v>#DIV/0!</v>
      </c>
      <c r="H35" s="108" t="e">
        <f t="shared" si="30"/>
        <v>#DIV/0!</v>
      </c>
      <c r="I35" s="108" t="e">
        <f t="shared" si="30"/>
        <v>#DIV/0!</v>
      </c>
      <c r="J35" s="108" t="e">
        <f t="shared" si="30"/>
        <v>#DIV/0!</v>
      </c>
      <c r="K35" s="108" t="e">
        <f t="shared" si="30"/>
        <v>#DIV/0!</v>
      </c>
      <c r="L35" s="108" t="e">
        <f t="shared" si="30"/>
        <v>#DIV/0!</v>
      </c>
      <c r="M35" s="108" t="e">
        <f t="shared" si="30"/>
        <v>#DIV/0!</v>
      </c>
      <c r="N35" s="108">
        <f t="shared" si="30"/>
        <v>0</v>
      </c>
      <c r="O35" s="108">
        <f t="shared" si="30"/>
        <v>0</v>
      </c>
      <c r="P35" s="108">
        <f t="shared" si="30"/>
        <v>0</v>
      </c>
      <c r="Q35" s="108">
        <f t="shared" si="30"/>
        <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v>
      </c>
      <c r="AC35" s="108">
        <f t="shared" si="30"/>
        <v>0</v>
      </c>
      <c r="AD35" s="108">
        <f t="shared" si="30"/>
        <v>0</v>
      </c>
      <c r="AE35" s="108">
        <f t="shared" si="30"/>
        <v>0</v>
      </c>
      <c r="AF35" s="108">
        <f t="shared" si="30"/>
        <v>0</v>
      </c>
      <c r="AG35" s="108">
        <f t="shared" si="30"/>
        <v>0</v>
      </c>
      <c r="AH35" s="108">
        <f t="shared" si="30"/>
        <v>0</v>
      </c>
      <c r="AI35" s="108">
        <f t="shared" si="30"/>
        <v>0</v>
      </c>
      <c r="AJ35" s="108">
        <f t="shared" si="30"/>
        <v>0</v>
      </c>
      <c r="AK35" s="108">
        <f t="shared" si="30"/>
        <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f t="shared" si="30"/>
        <v>0</v>
      </c>
      <c r="AT35" s="108">
        <f t="shared" si="30"/>
        <v>0</v>
      </c>
      <c r="AU35" s="108">
        <f t="shared" si="30"/>
        <v>0</v>
      </c>
      <c r="AV35" s="108">
        <f t="shared" si="30"/>
        <v>0</v>
      </c>
      <c r="AW35" s="108">
        <f t="shared" si="30"/>
        <v>0</v>
      </c>
      <c r="AX35" s="108">
        <f t="shared" si="30"/>
        <v>0</v>
      </c>
      <c r="AY35" s="108">
        <f t="shared" si="30"/>
        <v>0</v>
      </c>
      <c r="AZ35" s="108">
        <f t="shared" si="30"/>
        <v>0</v>
      </c>
      <c r="BA35" s="108">
        <f t="shared" si="30"/>
        <v>0</v>
      </c>
      <c r="BB35" s="108">
        <f t="shared" si="30"/>
        <v>0</v>
      </c>
      <c r="BC35" s="108">
        <f t="shared" si="30"/>
        <v>0</v>
      </c>
      <c r="BD35" s="108">
        <f t="shared" si="30"/>
        <v>0</v>
      </c>
      <c r="BE35" s="108">
        <f t="shared" si="30"/>
        <v>0</v>
      </c>
      <c r="BF35" s="108">
        <f t="shared" si="30"/>
        <v>0</v>
      </c>
      <c r="BG35" s="108">
        <f t="shared" si="30"/>
        <v>0</v>
      </c>
      <c r="BH35" s="108">
        <f t="shared" si="30"/>
        <v>0</v>
      </c>
      <c r="BI35" s="108">
        <f t="shared" si="30"/>
        <v>0</v>
      </c>
      <c r="BJ35" s="108">
        <f t="shared" si="30"/>
        <v>0</v>
      </c>
      <c r="BK35" s="108">
        <f t="shared" si="30"/>
        <v>0</v>
      </c>
      <c r="BL35" s="108">
        <f t="shared" si="30"/>
        <v>0</v>
      </c>
      <c r="BM35" s="108">
        <f t="shared" si="30"/>
        <v>0</v>
      </c>
      <c r="BN35" s="108">
        <f t="shared" si="30"/>
        <v>0</v>
      </c>
      <c r="BO35" s="108">
        <f t="shared" si="30"/>
        <v>0</v>
      </c>
      <c r="BP35" s="108">
        <f t="shared" si="30"/>
        <v>0</v>
      </c>
      <c r="BQ35" s="108">
        <f t="shared" si="30"/>
        <v>0</v>
      </c>
      <c r="BR35" s="108" t="e">
        <f t="shared" ref="BR35:CK35" si="31">BR10/BR12</f>
        <v>#DIV/0!</v>
      </c>
      <c r="BS35" s="108">
        <f t="shared" si="31"/>
        <v>0</v>
      </c>
      <c r="BT35" s="108">
        <f t="shared" si="31"/>
        <v>0</v>
      </c>
      <c r="BU35" s="108">
        <f t="shared" si="31"/>
        <v>0</v>
      </c>
      <c r="BV35" s="108">
        <f t="shared" si="31"/>
        <v>0</v>
      </c>
      <c r="BW35" s="108">
        <f t="shared" si="31"/>
        <v>0</v>
      </c>
      <c r="BX35" s="108" t="e">
        <f t="shared" si="31"/>
        <v>#DIV/0!</v>
      </c>
      <c r="BY35" s="108" t="e">
        <f t="shared" si="31"/>
        <v>#DIV/0!</v>
      </c>
      <c r="BZ35" s="108" t="e">
        <f t="shared" si="31"/>
        <v>#DIV/0!</v>
      </c>
      <c r="CA35" s="108">
        <f t="shared" si="31"/>
        <v>0.5714285714285714</v>
      </c>
      <c r="CB35" s="108">
        <f t="shared" si="31"/>
        <v>0.82089552238805974</v>
      </c>
      <c r="CC35" s="108">
        <f t="shared" si="31"/>
        <v>0.58596201486374899</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562</v>
      </c>
      <c r="E36" s="108" t="e">
        <f>(E11-I11)/I11</f>
        <v>#DIV/0!</v>
      </c>
      <c r="F36" s="108" t="e">
        <f t="shared" ref="F36:BQ36" si="32">(F11-J11)/J11</f>
        <v>#DIV/0!</v>
      </c>
      <c r="G36" s="108" t="e">
        <f t="shared" si="32"/>
        <v>#DIV/0!</v>
      </c>
      <c r="H36" s="108" t="e">
        <f t="shared" si="32"/>
        <v>#DIV/0!</v>
      </c>
      <c r="I36" s="108" t="e">
        <f t="shared" si="32"/>
        <v>#DIV/0!</v>
      </c>
      <c r="J36" s="108">
        <f t="shared" si="32"/>
        <v>-1</v>
      </c>
      <c r="K36" s="108">
        <f t="shared" si="32"/>
        <v>-1</v>
      </c>
      <c r="L36" s="108">
        <f t="shared" si="32"/>
        <v>-1</v>
      </c>
      <c r="M36" s="108">
        <f t="shared" si="32"/>
        <v>-1</v>
      </c>
      <c r="N36" s="108">
        <f t="shared" si="32"/>
        <v>-0.98473667358906192</v>
      </c>
      <c r="O36" s="108">
        <f t="shared" si="32"/>
        <v>-0.98466146347636063</v>
      </c>
      <c r="P36" s="108">
        <f t="shared" si="32"/>
        <v>-0.98476863976187368</v>
      </c>
      <c r="Q36" s="108">
        <f t="shared" si="32"/>
        <v>-0.98520989409703519</v>
      </c>
      <c r="R36" s="108">
        <f t="shared" si="32"/>
        <v>0.13107688700282127</v>
      </c>
      <c r="S36" s="108">
        <f t="shared" si="32"/>
        <v>0.11951520464933868</v>
      </c>
      <c r="T36" s="108">
        <f t="shared" si="32"/>
        <v>0.12139919205299353</v>
      </c>
      <c r="U36" s="108">
        <f t="shared" si="32"/>
        <v>0.16860311635049269</v>
      </c>
      <c r="V36" s="108">
        <f t="shared" si="32"/>
        <v>-3.6980328731750856E-3</v>
      </c>
      <c r="W36" s="108">
        <f t="shared" si="32"/>
        <v>0.15043381419817792</v>
      </c>
      <c r="X36" s="108">
        <f t="shared" si="32"/>
        <v>0.20710691957257057</v>
      </c>
      <c r="Y36" s="108">
        <f t="shared" si="32"/>
        <v>0.20079792817116948</v>
      </c>
      <c r="Z36" s="108">
        <f t="shared" si="32"/>
        <v>0.38832340980895863</v>
      </c>
      <c r="AA36" s="108">
        <f t="shared" si="32"/>
        <v>1.0399353686935784</v>
      </c>
      <c r="AB36" s="108">
        <f t="shared" si="32"/>
        <v>1.3194706124481217</v>
      </c>
      <c r="AC36" s="108">
        <f t="shared" si="32"/>
        <v>1.8492645519195599</v>
      </c>
      <c r="AD36" s="108">
        <f t="shared" si="32"/>
        <v>40.877143070000002</v>
      </c>
      <c r="AE36" s="108">
        <f t="shared" si="32"/>
        <v>23.814643069999999</v>
      </c>
      <c r="AF36" s="108">
        <f t="shared" si="32"/>
        <v>19.910598219999997</v>
      </c>
      <c r="AG36" s="108">
        <f t="shared" si="32"/>
        <v>15.910598219999999</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f t="shared" si="32"/>
        <v>-1</v>
      </c>
      <c r="AP36" s="108">
        <f t="shared" si="32"/>
        <v>-1</v>
      </c>
      <c r="AQ36" s="108">
        <f t="shared" si="32"/>
        <v>-1</v>
      </c>
      <c r="AR36" s="108">
        <f t="shared" si="32"/>
        <v>-1</v>
      </c>
      <c r="AS36" s="108">
        <f t="shared" si="32"/>
        <v>0</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v>
      </c>
      <c r="BG36" s="108">
        <f t="shared" si="32"/>
        <v>0</v>
      </c>
      <c r="BH36" s="108">
        <f t="shared" si="32"/>
        <v>0</v>
      </c>
      <c r="BI36" s="108">
        <f t="shared" si="32"/>
        <v>-0.88888888888888884</v>
      </c>
      <c r="BJ36" s="108">
        <f t="shared" si="32"/>
        <v>-0.88888888888888884</v>
      </c>
      <c r="BK36" s="108">
        <f t="shared" si="32"/>
        <v>-0.96644295302013428</v>
      </c>
      <c r="BL36" s="108">
        <f t="shared" si="32"/>
        <v>-0.88888888888888884</v>
      </c>
      <c r="BM36" s="108">
        <f t="shared" si="32"/>
        <v>0</v>
      </c>
      <c r="BN36" s="108" t="e">
        <f t="shared" si="32"/>
        <v>#DIV/0!</v>
      </c>
      <c r="BO36" s="108">
        <f t="shared" si="32"/>
        <v>2.3111111111111109</v>
      </c>
      <c r="BP36" s="108">
        <f t="shared" si="32"/>
        <v>-4.2553191489361701E-2</v>
      </c>
      <c r="BQ36" s="108">
        <f t="shared" si="32"/>
        <v>-0.52127659574468088</v>
      </c>
      <c r="BR36" s="108">
        <f t="shared" ref="BR36:CK36" si="33">(BR11-BV11)/BV11</f>
        <v>-1</v>
      </c>
      <c r="BS36" s="108">
        <f t="shared" si="33"/>
        <v>2.1528477378342705</v>
      </c>
      <c r="BT36" s="108" t="e">
        <f t="shared" si="33"/>
        <v>#DIV/0!</v>
      </c>
      <c r="BU36" s="108" t="e">
        <f t="shared" si="33"/>
        <v>#DIV/0!</v>
      </c>
      <c r="BV36" s="108" t="e">
        <f t="shared" si="33"/>
        <v>#DIV/0!</v>
      </c>
      <c r="BW36" s="108">
        <f t="shared" si="33"/>
        <v>-0.76211981600000001</v>
      </c>
      <c r="BX36" s="108">
        <f t="shared" si="33"/>
        <v>-1</v>
      </c>
      <c r="BY36" s="108">
        <f t="shared" si="33"/>
        <v>-1</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566</v>
      </c>
      <c r="B37" s="108"/>
      <c r="C37" s="108"/>
      <c r="D37" s="108"/>
      <c r="E37" s="108" t="e">
        <f>E11/E12</f>
        <v>#DIV/0!</v>
      </c>
      <c r="F37" s="108" t="e">
        <f t="shared" ref="F37:BQ37" si="34">F11/F12</f>
        <v>#DIV/0!</v>
      </c>
      <c r="G37" s="108" t="e">
        <f t="shared" si="34"/>
        <v>#DIV/0!</v>
      </c>
      <c r="H37" s="108" t="e">
        <f t="shared" si="34"/>
        <v>#DIV/0!</v>
      </c>
      <c r="I37" s="108" t="e">
        <f t="shared" si="34"/>
        <v>#DIV/0!</v>
      </c>
      <c r="J37" s="108" t="e">
        <f t="shared" si="34"/>
        <v>#DIV/0!</v>
      </c>
      <c r="K37" s="108" t="e">
        <f t="shared" si="34"/>
        <v>#DIV/0!</v>
      </c>
      <c r="L37" s="108" t="e">
        <f t="shared" si="34"/>
        <v>#DIV/0!</v>
      </c>
      <c r="M37" s="108" t="e">
        <f t="shared" si="34"/>
        <v>#DIV/0!</v>
      </c>
      <c r="N37" s="108">
        <f t="shared" si="34"/>
        <v>1</v>
      </c>
      <c r="O37" s="110">
        <f t="shared" si="34"/>
        <v>1</v>
      </c>
      <c r="P37" s="110">
        <f t="shared" si="34"/>
        <v>1</v>
      </c>
      <c r="Q37" s="110">
        <f t="shared" si="34"/>
        <v>1</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1</v>
      </c>
      <c r="AC37" s="110">
        <f t="shared" si="34"/>
        <v>1</v>
      </c>
      <c r="AD37" s="110">
        <f t="shared" si="34"/>
        <v>1</v>
      </c>
      <c r="AE37" s="110">
        <f t="shared" si="34"/>
        <v>1</v>
      </c>
      <c r="AF37" s="110">
        <f t="shared" si="34"/>
        <v>1</v>
      </c>
      <c r="AG37" s="110">
        <f t="shared" si="34"/>
        <v>1</v>
      </c>
      <c r="AH37" s="110">
        <f t="shared" si="34"/>
        <v>1</v>
      </c>
      <c r="AI37" s="110">
        <f t="shared" si="34"/>
        <v>1</v>
      </c>
      <c r="AJ37" s="110">
        <f t="shared" si="34"/>
        <v>1</v>
      </c>
      <c r="AK37" s="110">
        <f t="shared" si="34"/>
        <v>1</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f t="shared" si="34"/>
        <v>1</v>
      </c>
      <c r="AT37" s="110">
        <f t="shared" si="34"/>
        <v>1</v>
      </c>
      <c r="AU37" s="110">
        <f t="shared" si="34"/>
        <v>1</v>
      </c>
      <c r="AV37" s="110">
        <f t="shared" si="34"/>
        <v>1</v>
      </c>
      <c r="AW37" s="110">
        <f t="shared" si="34"/>
        <v>1</v>
      </c>
      <c r="AX37" s="110">
        <f t="shared" si="34"/>
        <v>1</v>
      </c>
      <c r="AY37" s="110">
        <f t="shared" si="34"/>
        <v>1</v>
      </c>
      <c r="AZ37" s="110">
        <f t="shared" si="34"/>
        <v>1</v>
      </c>
      <c r="BA37" s="110">
        <f t="shared" si="34"/>
        <v>1</v>
      </c>
      <c r="BB37" s="110">
        <f t="shared" si="34"/>
        <v>1</v>
      </c>
      <c r="BC37" s="110">
        <f t="shared" si="34"/>
        <v>1</v>
      </c>
      <c r="BD37" s="110">
        <f t="shared" si="34"/>
        <v>1</v>
      </c>
      <c r="BE37" s="110">
        <f t="shared" si="34"/>
        <v>1</v>
      </c>
      <c r="BF37" s="110">
        <f t="shared" si="34"/>
        <v>1</v>
      </c>
      <c r="BG37" s="110">
        <f t="shared" si="34"/>
        <v>1</v>
      </c>
      <c r="BH37" s="110">
        <f t="shared" si="34"/>
        <v>1</v>
      </c>
      <c r="BI37" s="110">
        <f t="shared" si="34"/>
        <v>1</v>
      </c>
      <c r="BJ37" s="110">
        <f t="shared" si="34"/>
        <v>1</v>
      </c>
      <c r="BK37" s="110">
        <f t="shared" si="34"/>
        <v>1</v>
      </c>
      <c r="BL37" s="110">
        <f t="shared" si="34"/>
        <v>1</v>
      </c>
      <c r="BM37" s="110">
        <f t="shared" si="34"/>
        <v>1</v>
      </c>
      <c r="BN37" s="110">
        <f t="shared" si="34"/>
        <v>1</v>
      </c>
      <c r="BO37" s="110">
        <f t="shared" si="34"/>
        <v>1</v>
      </c>
      <c r="BP37" s="110">
        <f t="shared" si="34"/>
        <v>1</v>
      </c>
      <c r="BQ37" s="110">
        <f t="shared" si="34"/>
        <v>1</v>
      </c>
      <c r="BR37" s="110" t="e">
        <f t="shared" ref="BR37:CK37" si="35">BR11/BR12</f>
        <v>#DIV/0!</v>
      </c>
      <c r="BS37" s="110">
        <f t="shared" si="35"/>
        <v>1</v>
      </c>
      <c r="BT37" s="110">
        <f t="shared" si="35"/>
        <v>1</v>
      </c>
      <c r="BU37" s="110">
        <f t="shared" si="35"/>
        <v>1</v>
      </c>
      <c r="BV37" s="110">
        <f t="shared" si="35"/>
        <v>1</v>
      </c>
      <c r="BW37" s="110">
        <f t="shared" si="35"/>
        <v>1</v>
      </c>
      <c r="BX37" s="110" t="e">
        <f t="shared" si="35"/>
        <v>#DIV/0!</v>
      </c>
      <c r="BY37" s="110" t="e">
        <f t="shared" si="35"/>
        <v>#DIV/0!</v>
      </c>
      <c r="BZ37" s="110" t="e">
        <f t="shared" si="35"/>
        <v>#DIV/0!</v>
      </c>
      <c r="CA37" s="110">
        <f t="shared" si="35"/>
        <v>0.42857142857142855</v>
      </c>
      <c r="CB37" s="110">
        <f t="shared" si="35"/>
        <v>0.17910447761194029</v>
      </c>
      <c r="CC37" s="110">
        <f t="shared" si="35"/>
        <v>0.41403798513625101</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636</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553</v>
      </c>
      <c r="B39" s="222"/>
      <c r="C39" s="222"/>
      <c r="D39" s="222"/>
      <c r="E39" s="223">
        <f>E2/E9</f>
        <v>0.75366525966156128</v>
      </c>
      <c r="F39" s="223">
        <f t="shared" ref="F39:U39" si="37">F2/F9</f>
        <v>0.72821523807386701</v>
      </c>
      <c r="G39" s="223">
        <f t="shared" si="37"/>
        <v>0.70612766687291328</v>
      </c>
      <c r="H39" s="223">
        <f t="shared" si="37"/>
        <v>0.7150137490205537</v>
      </c>
      <c r="I39" s="223">
        <f t="shared" si="37"/>
        <v>0.73167738457491771</v>
      </c>
      <c r="J39" s="223">
        <f t="shared" si="37"/>
        <v>0.73556355193110379</v>
      </c>
      <c r="K39" s="223">
        <f t="shared" si="37"/>
        <v>0.64406017247046776</v>
      </c>
      <c r="L39" s="223">
        <f t="shared" si="37"/>
        <v>0.57983100608384586</v>
      </c>
      <c r="M39" s="223">
        <f t="shared" si="37"/>
        <v>0.60376151169618864</v>
      </c>
      <c r="N39" s="223">
        <f t="shared" si="37"/>
        <v>0.60318337509293452</v>
      </c>
      <c r="O39" s="223">
        <f t="shared" si="37"/>
        <v>0.56185405636921182</v>
      </c>
      <c r="P39" s="223">
        <f t="shared" si="37"/>
        <v>0.57413451024907813</v>
      </c>
      <c r="Q39" s="223">
        <f t="shared" si="37"/>
        <v>0.56031290365853437</v>
      </c>
      <c r="R39" s="223">
        <f t="shared" si="37"/>
        <v>0.54026596206891131</v>
      </c>
      <c r="S39" s="223">
        <f t="shared" si="37"/>
        <v>0.53297163230191658</v>
      </c>
      <c r="T39" s="223">
        <f t="shared" si="37"/>
        <v>0.57942634653740277</v>
      </c>
      <c r="U39" s="223">
        <f t="shared" si="37"/>
        <v>0.70425660127813483</v>
      </c>
    </row>
    <row r="40" spans="1:89" s="224" customFormat="1" x14ac:dyDescent="0.25">
      <c r="A40" s="221" t="s">
        <v>554</v>
      </c>
      <c r="B40" s="222"/>
      <c r="C40" s="222"/>
      <c r="D40" s="222"/>
      <c r="E40" s="223">
        <f>E3/E9</f>
        <v>1.5781703639593792E-2</v>
      </c>
      <c r="F40" s="223">
        <f t="shared" ref="F40:U40" si="38">F3/F9</f>
        <v>1.575674304573068E-2</v>
      </c>
      <c r="G40" s="223">
        <f t="shared" si="38"/>
        <v>1.6347560614534132E-2</v>
      </c>
      <c r="H40" s="223">
        <f t="shared" si="38"/>
        <v>1.5297759350376455E-2</v>
      </c>
      <c r="I40" s="223">
        <f t="shared" si="38"/>
        <v>1.6484367378729381E-2</v>
      </c>
      <c r="J40" s="223">
        <f t="shared" si="38"/>
        <v>1.6689866201352571E-2</v>
      </c>
      <c r="K40" s="223">
        <f t="shared" si="38"/>
        <v>1.6072232155751744E-2</v>
      </c>
      <c r="L40" s="223">
        <f t="shared" si="38"/>
        <v>1.8288186105791401E-2</v>
      </c>
      <c r="M40" s="223">
        <f t="shared" si="38"/>
        <v>2.0340651446541312E-2</v>
      </c>
      <c r="N40" s="223">
        <f t="shared" si="38"/>
        <v>2.0598263705857284E-2</v>
      </c>
      <c r="O40" s="223">
        <f t="shared" si="38"/>
        <v>2.1283881294603867E-2</v>
      </c>
      <c r="P40" s="223">
        <f t="shared" si="38"/>
        <v>2.0359032165604536E-2</v>
      </c>
      <c r="Q40" s="223">
        <f t="shared" si="38"/>
        <v>2.1516912966447616E-2</v>
      </c>
      <c r="R40" s="223">
        <f t="shared" si="38"/>
        <v>2.1676099713762918E-2</v>
      </c>
      <c r="S40" s="223">
        <f t="shared" si="38"/>
        <v>2.1824033146610043E-2</v>
      </c>
      <c r="T40" s="223">
        <f t="shared" si="38"/>
        <v>2.1109168082561577E-2</v>
      </c>
      <c r="U40" s="223">
        <f t="shared" si="38"/>
        <v>3.2512117543596212E-3</v>
      </c>
    </row>
    <row r="41" spans="1:89" x14ac:dyDescent="0.25">
      <c r="A41" s="183" t="s">
        <v>559</v>
      </c>
      <c r="B41" s="64"/>
      <c r="C41" s="64"/>
      <c r="D41" s="64"/>
      <c r="E41" s="90">
        <f>E4/E9</f>
        <v>0.10656665882951567</v>
      </c>
      <c r="F41" s="90">
        <f t="shared" ref="F41:U41" si="39">F4/F9</f>
        <v>0.12651634132428197</v>
      </c>
      <c r="G41" s="90">
        <f t="shared" si="39"/>
        <v>0.14177477165216018</v>
      </c>
      <c r="H41" s="90">
        <f t="shared" si="39"/>
        <v>0.13763063247340751</v>
      </c>
      <c r="I41" s="90">
        <f t="shared" si="39"/>
        <v>0.1092409885054048</v>
      </c>
      <c r="J41" s="90">
        <f t="shared" si="39"/>
        <v>9.8544152743328867E-2</v>
      </c>
      <c r="K41" s="90">
        <f t="shared" si="39"/>
        <v>0.19470696762216919</v>
      </c>
      <c r="L41" s="90">
        <f t="shared" si="39"/>
        <v>0.25413923300018448</v>
      </c>
      <c r="M41" s="90">
        <f t="shared" si="39"/>
        <v>0.21700757467532777</v>
      </c>
      <c r="N41" s="213">
        <f t="shared" si="39"/>
        <v>0.21446634753963173</v>
      </c>
      <c r="O41" s="213">
        <f t="shared" si="39"/>
        <v>0.24787462315928682</v>
      </c>
      <c r="P41" s="213">
        <f t="shared" si="39"/>
        <v>0.24168014552187353</v>
      </c>
      <c r="Q41" s="213">
        <f t="shared" si="39"/>
        <v>0.2436347845000901</v>
      </c>
      <c r="R41" s="213">
        <f t="shared" si="39"/>
        <v>0.2589846866977728</v>
      </c>
      <c r="S41" s="213">
        <f t="shared" si="39"/>
        <v>0.2668895248350015</v>
      </c>
      <c r="T41" s="213">
        <f t="shared" si="39"/>
        <v>0.22613720235795692</v>
      </c>
      <c r="U41" s="213">
        <f t="shared" si="39"/>
        <v>0.10194767697986305</v>
      </c>
    </row>
    <row r="42" spans="1:89" x14ac:dyDescent="0.25">
      <c r="A42" s="183" t="s">
        <v>335</v>
      </c>
      <c r="B42" s="64"/>
      <c r="C42" s="64"/>
      <c r="D42" s="64"/>
      <c r="E42" s="90">
        <f>E5/E9</f>
        <v>0.40375004129147557</v>
      </c>
      <c r="F42" s="90">
        <f t="shared" ref="F42:U42" si="40">F5/F9</f>
        <v>0.40094556048405533</v>
      </c>
      <c r="G42" s="90">
        <f t="shared" si="40"/>
        <v>0.43097587440979651</v>
      </c>
      <c r="H42" s="90">
        <f t="shared" si="40"/>
        <v>0.44413813212814485</v>
      </c>
      <c r="I42" s="90">
        <f t="shared" si="40"/>
        <v>0.39900965153733031</v>
      </c>
      <c r="J42" s="90">
        <f t="shared" si="40"/>
        <v>0.3958457787930198</v>
      </c>
      <c r="K42" s="90">
        <f t="shared" si="40"/>
        <v>0.4343316746013266</v>
      </c>
      <c r="L42" s="90">
        <f t="shared" si="40"/>
        <v>0.54199096569848926</v>
      </c>
      <c r="M42" s="90">
        <f t="shared" si="40"/>
        <v>0.40195388674049848</v>
      </c>
      <c r="N42" s="213">
        <f t="shared" si="40"/>
        <v>0.34450719291206622</v>
      </c>
      <c r="O42" s="213">
        <f t="shared" si="40"/>
        <v>0.39431678168274426</v>
      </c>
      <c r="P42" s="213">
        <f t="shared" si="40"/>
        <v>0.38331369087504452</v>
      </c>
      <c r="Q42" s="213">
        <f t="shared" si="40"/>
        <v>0.39424662787385911</v>
      </c>
      <c r="R42" s="213">
        <f t="shared" si="40"/>
        <v>0.40100895942301618</v>
      </c>
      <c r="S42" s="213">
        <f t="shared" si="40"/>
        <v>0.43541173344176948</v>
      </c>
      <c r="T42" s="213">
        <f t="shared" si="40"/>
        <v>0.41440321677333691</v>
      </c>
      <c r="U42" s="213">
        <f t="shared" si="40"/>
        <v>0.29184236559064697</v>
      </c>
    </row>
    <row r="43" spans="1:89" x14ac:dyDescent="0.25">
      <c r="A43" s="183" t="s">
        <v>336</v>
      </c>
      <c r="B43" s="64"/>
      <c r="C43" s="64"/>
      <c r="D43" s="64"/>
      <c r="E43" s="90">
        <f>E6/E9</f>
        <v>0.29718338246195986</v>
      </c>
      <c r="F43" s="90">
        <f t="shared" ref="F43:U43" si="41">F6/F9</f>
        <v>0.27442921915977336</v>
      </c>
      <c r="G43" s="90">
        <f t="shared" si="41"/>
        <v>0.28920110275763633</v>
      </c>
      <c r="H43" s="90">
        <f t="shared" si="41"/>
        <v>0.30650749965473728</v>
      </c>
      <c r="I43" s="90">
        <f t="shared" si="41"/>
        <v>0.2897686630319255</v>
      </c>
      <c r="J43" s="90">
        <f t="shared" si="41"/>
        <v>0.2973016260496909</v>
      </c>
      <c r="K43" s="90">
        <f t="shared" si="41"/>
        <v>0.23962470697915741</v>
      </c>
      <c r="L43" s="90">
        <f t="shared" si="41"/>
        <v>0.28785173269830483</v>
      </c>
      <c r="M43" s="90">
        <f t="shared" si="41"/>
        <v>0.1849463120651707</v>
      </c>
      <c r="N43" s="213">
        <f t="shared" si="41"/>
        <v>0.13004084537243449</v>
      </c>
      <c r="O43" s="213">
        <f t="shared" si="41"/>
        <v>0.14644215852345746</v>
      </c>
      <c r="P43" s="213">
        <f t="shared" si="41"/>
        <v>0.14163354535317102</v>
      </c>
      <c r="Q43" s="213">
        <f t="shared" si="41"/>
        <v>0.15061184337376901</v>
      </c>
      <c r="R43" s="213">
        <f t="shared" si="41"/>
        <v>0.14202427272524334</v>
      </c>
      <c r="S43" s="213">
        <f t="shared" si="41"/>
        <v>0.16852220860676795</v>
      </c>
      <c r="T43" s="213">
        <f t="shared" si="41"/>
        <v>0.18826601441537999</v>
      </c>
      <c r="U43" s="213">
        <f t="shared" si="41"/>
        <v>0.18989468861078393</v>
      </c>
    </row>
    <row r="44" spans="1:89" x14ac:dyDescent="0.25">
      <c r="A44" s="183" t="s">
        <v>337</v>
      </c>
      <c r="B44" s="64"/>
      <c r="C44" s="64"/>
      <c r="D44" s="64"/>
      <c r="E44" s="90">
        <f>E7/E9</f>
        <v>0.12398637786932939</v>
      </c>
      <c r="F44" s="90">
        <f t="shared" ref="F44:U44" si="42">F7/F9</f>
        <v>0.12951167755612036</v>
      </c>
      <c r="G44" s="90">
        <f t="shared" si="42"/>
        <v>0.13575000086039232</v>
      </c>
      <c r="H44" s="90">
        <f t="shared" si="42"/>
        <v>0.1320578591556624</v>
      </c>
      <c r="I44" s="90">
        <f t="shared" si="42"/>
        <v>0.14259725954094823</v>
      </c>
      <c r="J44" s="90">
        <f t="shared" si="42"/>
        <v>0.1492024291242148</v>
      </c>
      <c r="K44" s="90">
        <f t="shared" si="42"/>
        <v>0.14516062775161134</v>
      </c>
      <c r="L44" s="90">
        <f t="shared" si="42"/>
        <v>0.14774157481017838</v>
      </c>
      <c r="M44" s="90">
        <f t="shared" si="42"/>
        <v>0.15889026218194224</v>
      </c>
      <c r="N44" s="213">
        <f t="shared" si="42"/>
        <v>0.16175201366157652</v>
      </c>
      <c r="O44" s="213">
        <f t="shared" si="42"/>
        <v>0.16898743917689749</v>
      </c>
      <c r="P44" s="213">
        <f t="shared" si="42"/>
        <v>0.16382631206344389</v>
      </c>
      <c r="Q44" s="213">
        <f t="shared" si="42"/>
        <v>0.17453539887492781</v>
      </c>
      <c r="R44" s="213">
        <f t="shared" si="42"/>
        <v>0.17907325151955289</v>
      </c>
      <c r="S44" s="213">
        <f t="shared" si="42"/>
        <v>0.17831480971647176</v>
      </c>
      <c r="T44" s="213">
        <f t="shared" si="42"/>
        <v>0.17332728302207881</v>
      </c>
      <c r="U44" s="213">
        <f t="shared" si="42"/>
        <v>0.19054450998764266</v>
      </c>
    </row>
    <row r="45" spans="1:89" s="224" customFormat="1" x14ac:dyDescent="0.25">
      <c r="A45" s="221" t="s">
        <v>338</v>
      </c>
      <c r="B45" s="222"/>
      <c r="C45" s="222"/>
      <c r="D45" s="222"/>
      <c r="E45" s="223">
        <f>E8/E9</f>
        <v>0.23055303669884508</v>
      </c>
      <c r="F45" s="223">
        <f t="shared" ref="F45:U45" si="43">F8/F9</f>
        <v>0.25602801888040233</v>
      </c>
      <c r="G45" s="223">
        <f t="shared" si="43"/>
        <v>0.27752477251255253</v>
      </c>
      <c r="H45" s="223">
        <f t="shared" si="43"/>
        <v>0.26968849162906994</v>
      </c>
      <c r="I45" s="223">
        <f t="shared" si="43"/>
        <v>0.25183824804635302</v>
      </c>
      <c r="J45" s="223">
        <f t="shared" si="43"/>
        <v>0.24774658186754367</v>
      </c>
      <c r="K45" s="223">
        <f t="shared" si="43"/>
        <v>0.33986759537378053</v>
      </c>
      <c r="L45" s="223">
        <f t="shared" si="43"/>
        <v>0.40188080781036284</v>
      </c>
      <c r="M45" s="223">
        <f t="shared" si="43"/>
        <v>0.37589783685727002</v>
      </c>
      <c r="N45" s="223">
        <f t="shared" si="43"/>
        <v>0.37621836120120827</v>
      </c>
      <c r="O45" s="223">
        <f t="shared" si="43"/>
        <v>0.41686206233618428</v>
      </c>
      <c r="P45" s="223">
        <f t="shared" si="43"/>
        <v>0.40550645758531739</v>
      </c>
      <c r="Q45" s="223">
        <f t="shared" si="43"/>
        <v>0.41817018337501788</v>
      </c>
      <c r="R45" s="223">
        <f t="shared" si="43"/>
        <v>0.43805793821732569</v>
      </c>
      <c r="S45" s="223">
        <f t="shared" si="43"/>
        <v>0.44520433455147329</v>
      </c>
      <c r="T45" s="223">
        <f t="shared" si="43"/>
        <v>0.39946448538003571</v>
      </c>
      <c r="U45" s="223">
        <f t="shared" si="43"/>
        <v>0.29249218696750573</v>
      </c>
    </row>
    <row r="46" spans="1:89" x14ac:dyDescent="0.25">
      <c r="A46" s="184"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340</v>
      </c>
      <c r="B47" s="64"/>
      <c r="C47" s="64"/>
      <c r="D47" s="64"/>
      <c r="E47" s="90">
        <f>E10/E14</f>
        <v>0</v>
      </c>
      <c r="F47" s="90">
        <f t="shared" ref="F47:U47" si="45">F10/F14</f>
        <v>0</v>
      </c>
      <c r="G47" s="90">
        <f t="shared" si="45"/>
        <v>0</v>
      </c>
      <c r="H47" s="90">
        <f t="shared" si="45"/>
        <v>0</v>
      </c>
      <c r="I47" s="90">
        <f t="shared" si="45"/>
        <v>0</v>
      </c>
      <c r="J47" s="90">
        <f t="shared" si="45"/>
        <v>0</v>
      </c>
      <c r="K47" s="90">
        <f t="shared" si="45"/>
        <v>0</v>
      </c>
      <c r="L47" s="90">
        <f t="shared" si="45"/>
        <v>0</v>
      </c>
      <c r="M47" s="90">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2.341219261457551E-5</v>
      </c>
      <c r="O48" s="213">
        <f t="shared" si="46"/>
        <v>2.41914724255778E-5</v>
      </c>
      <c r="P48" s="213">
        <f t="shared" si="46"/>
        <v>2.3458757463119342E-5</v>
      </c>
      <c r="Q48" s="213">
        <f t="shared" si="46"/>
        <v>2.4792929179006194E-5</v>
      </c>
      <c r="R48" s="213">
        <f t="shared" si="46"/>
        <v>1.6754608748503546E-3</v>
      </c>
      <c r="S48" s="213">
        <f t="shared" si="46"/>
        <v>1.7043619693974722E-3</v>
      </c>
      <c r="T48" s="213">
        <f t="shared" si="46"/>
        <v>1.6487497451556461E-3</v>
      </c>
      <c r="U48" s="213">
        <f t="shared" si="46"/>
        <v>1.8230904428682079E-3</v>
      </c>
    </row>
    <row r="49" spans="1:21" x14ac:dyDescent="0.25">
      <c r="A49" s="183" t="s">
        <v>342</v>
      </c>
      <c r="B49" s="64"/>
      <c r="C49" s="64"/>
      <c r="D49" s="64"/>
      <c r="E49" s="90">
        <f>E12/E14</f>
        <v>0</v>
      </c>
      <c r="F49" s="90">
        <f t="shared" ref="F49:U49" si="47">F12/F14</f>
        <v>0</v>
      </c>
      <c r="G49" s="90">
        <f t="shared" si="47"/>
        <v>0</v>
      </c>
      <c r="H49" s="90">
        <f t="shared" si="47"/>
        <v>0</v>
      </c>
      <c r="I49" s="90">
        <f t="shared" si="47"/>
        <v>0</v>
      </c>
      <c r="J49" s="90">
        <f t="shared" si="47"/>
        <v>0</v>
      </c>
      <c r="K49" s="90">
        <f t="shared" si="47"/>
        <v>0</v>
      </c>
      <c r="L49" s="90">
        <f t="shared" si="47"/>
        <v>0</v>
      </c>
      <c r="M49" s="90">
        <f t="shared" si="47"/>
        <v>0</v>
      </c>
      <c r="N49" s="213">
        <f t="shared" si="47"/>
        <v>2.341219261457551E-5</v>
      </c>
      <c r="O49" s="213">
        <f t="shared" si="47"/>
        <v>2.41914724255778E-5</v>
      </c>
      <c r="P49" s="213">
        <f t="shared" si="47"/>
        <v>2.3458757463119342E-5</v>
      </c>
      <c r="Q49" s="213">
        <f t="shared" si="47"/>
        <v>2.4792929179006194E-5</v>
      </c>
      <c r="R49" s="213">
        <f t="shared" si="47"/>
        <v>1.6754608748503546E-3</v>
      </c>
      <c r="S49" s="213">
        <f t="shared" si="47"/>
        <v>1.7043619693974722E-3</v>
      </c>
      <c r="T49" s="213">
        <f t="shared" si="47"/>
        <v>1.6487497451556461E-3</v>
      </c>
      <c r="U49" s="213">
        <f t="shared" si="47"/>
        <v>1.8230904428682079E-3</v>
      </c>
    </row>
    <row r="50" spans="1:21" x14ac:dyDescent="0.25">
      <c r="A50" s="183" t="s">
        <v>346</v>
      </c>
      <c r="B50" s="64"/>
      <c r="C50" s="64"/>
      <c r="D50" s="64"/>
      <c r="E50" s="90">
        <f>E13/E14</f>
        <v>1</v>
      </c>
      <c r="F50" s="90">
        <f t="shared" ref="F50:U50" si="48">F13/F14</f>
        <v>1</v>
      </c>
      <c r="G50" s="90">
        <f t="shared" si="48"/>
        <v>1</v>
      </c>
      <c r="H50" s="90">
        <f t="shared" si="48"/>
        <v>1</v>
      </c>
      <c r="I50" s="90">
        <f t="shared" si="48"/>
        <v>1</v>
      </c>
      <c r="J50" s="90">
        <f t="shared" si="48"/>
        <v>1</v>
      </c>
      <c r="K50" s="90">
        <f t="shared" si="48"/>
        <v>1</v>
      </c>
      <c r="L50" s="90">
        <f t="shared" si="48"/>
        <v>1</v>
      </c>
      <c r="M50" s="90">
        <f t="shared" si="48"/>
        <v>1</v>
      </c>
      <c r="N50" s="213">
        <f t="shared" si="48"/>
        <v>0.99997658780738541</v>
      </c>
      <c r="O50" s="213">
        <f t="shared" si="48"/>
        <v>0.99997580852757439</v>
      </c>
      <c r="P50" s="213">
        <f t="shared" si="48"/>
        <v>0.99997654124253688</v>
      </c>
      <c r="Q50" s="213">
        <f t="shared" si="48"/>
        <v>0.99997520707082099</v>
      </c>
      <c r="R50" s="213">
        <f t="shared" si="48"/>
        <v>0.99832453912514962</v>
      </c>
      <c r="S50" s="213">
        <f t="shared" si="48"/>
        <v>0.99829563803060251</v>
      </c>
      <c r="T50" s="213">
        <f t="shared" si="48"/>
        <v>0.99835125025484428</v>
      </c>
      <c r="U50" s="213">
        <f t="shared" si="48"/>
        <v>0.9981769095571319</v>
      </c>
    </row>
    <row r="51" spans="1:21" x14ac:dyDescent="0.25">
      <c r="A51" s="184"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642</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646</v>
      </c>
      <c r="B55" s="64"/>
      <c r="C55" s="64"/>
      <c r="D55" s="64"/>
      <c r="E55" s="213">
        <f>E2/E9</f>
        <v>0.75366525966156128</v>
      </c>
      <c r="F55" s="213">
        <f t="shared" ref="F55:U55" si="51">F2/F9</f>
        <v>0.72821523807386701</v>
      </c>
      <c r="G55" s="213">
        <f t="shared" si="51"/>
        <v>0.70612766687291328</v>
      </c>
      <c r="H55" s="213">
        <f t="shared" si="51"/>
        <v>0.7150137490205537</v>
      </c>
      <c r="I55" s="213">
        <f t="shared" si="51"/>
        <v>0.73167738457491771</v>
      </c>
      <c r="J55" s="213">
        <f t="shared" si="51"/>
        <v>0.73556355193110379</v>
      </c>
      <c r="K55" s="213">
        <f t="shared" si="51"/>
        <v>0.64406017247046776</v>
      </c>
      <c r="L55" s="213">
        <f t="shared" si="51"/>
        <v>0.57983100608384586</v>
      </c>
      <c r="M55" s="213">
        <f t="shared" si="51"/>
        <v>0.60376151169618864</v>
      </c>
      <c r="N55" s="213">
        <f t="shared" si="51"/>
        <v>0.60318337509293452</v>
      </c>
      <c r="O55" s="213">
        <f t="shared" si="51"/>
        <v>0.56185405636921182</v>
      </c>
      <c r="P55" s="213">
        <f t="shared" si="51"/>
        <v>0.57413451024907813</v>
      </c>
      <c r="Q55" s="213">
        <f t="shared" si="51"/>
        <v>0.56031290365853437</v>
      </c>
      <c r="R55" s="213">
        <f t="shared" si="51"/>
        <v>0.54026596206891131</v>
      </c>
      <c r="S55" s="213">
        <f t="shared" si="51"/>
        <v>0.53297163230191658</v>
      </c>
      <c r="T55" s="213">
        <f t="shared" si="51"/>
        <v>0.57942634653740277</v>
      </c>
      <c r="U55" s="213">
        <f t="shared" si="51"/>
        <v>0.70425660127813483</v>
      </c>
    </row>
    <row r="56" spans="1:21" x14ac:dyDescent="0.25">
      <c r="A56" s="183" t="s">
        <v>647</v>
      </c>
      <c r="B56" s="64"/>
      <c r="C56" s="64"/>
      <c r="D56" s="64"/>
      <c r="E56" s="213">
        <f>E4/E9</f>
        <v>0.10656665882951567</v>
      </c>
      <c r="F56" s="213">
        <f t="shared" ref="F56:U56" si="52">F4/F9</f>
        <v>0.12651634132428197</v>
      </c>
      <c r="G56" s="213">
        <f t="shared" si="52"/>
        <v>0.14177477165216018</v>
      </c>
      <c r="H56" s="213">
        <f t="shared" si="52"/>
        <v>0.13763063247340751</v>
      </c>
      <c r="I56" s="213">
        <f t="shared" si="52"/>
        <v>0.1092409885054048</v>
      </c>
      <c r="J56" s="213">
        <f t="shared" si="52"/>
        <v>9.8544152743328867E-2</v>
      </c>
      <c r="K56" s="213">
        <f t="shared" si="52"/>
        <v>0.19470696762216919</v>
      </c>
      <c r="L56" s="213">
        <f t="shared" si="52"/>
        <v>0.25413923300018448</v>
      </c>
      <c r="M56" s="213">
        <f t="shared" si="52"/>
        <v>0.21700757467532777</v>
      </c>
      <c r="N56" s="213">
        <f t="shared" si="52"/>
        <v>0.21446634753963173</v>
      </c>
      <c r="O56" s="213">
        <f t="shared" si="52"/>
        <v>0.24787462315928682</v>
      </c>
      <c r="P56" s="213">
        <f t="shared" si="52"/>
        <v>0.24168014552187353</v>
      </c>
      <c r="Q56" s="213">
        <f t="shared" si="52"/>
        <v>0.2436347845000901</v>
      </c>
      <c r="R56" s="213">
        <f t="shared" si="52"/>
        <v>0.2589846866977728</v>
      </c>
      <c r="S56" s="213">
        <f t="shared" si="52"/>
        <v>0.2668895248350015</v>
      </c>
      <c r="T56" s="213">
        <f t="shared" si="52"/>
        <v>0.22613720235795692</v>
      </c>
      <c r="U56" s="213">
        <f t="shared" si="52"/>
        <v>0.10194767697986305</v>
      </c>
    </row>
    <row r="57" spans="1:21" x14ac:dyDescent="0.25">
      <c r="A57" s="183" t="s">
        <v>648</v>
      </c>
      <c r="B57" s="64"/>
      <c r="C57" s="64"/>
      <c r="D57" s="64"/>
      <c r="E57" s="213">
        <f>E5/E9</f>
        <v>0.40375004129147557</v>
      </c>
      <c r="F57" s="213">
        <f t="shared" ref="F57:U57" si="53">F5/F9</f>
        <v>0.40094556048405533</v>
      </c>
      <c r="G57" s="213">
        <f t="shared" si="53"/>
        <v>0.43097587440979651</v>
      </c>
      <c r="H57" s="213">
        <f t="shared" si="53"/>
        <v>0.44413813212814485</v>
      </c>
      <c r="I57" s="213">
        <f t="shared" si="53"/>
        <v>0.39900965153733031</v>
      </c>
      <c r="J57" s="213">
        <f t="shared" si="53"/>
        <v>0.3958457787930198</v>
      </c>
      <c r="K57" s="213">
        <f t="shared" si="53"/>
        <v>0.4343316746013266</v>
      </c>
      <c r="L57" s="213">
        <f t="shared" si="53"/>
        <v>0.54199096569848926</v>
      </c>
      <c r="M57" s="213">
        <f t="shared" si="53"/>
        <v>0.40195388674049848</v>
      </c>
      <c r="N57" s="213">
        <f t="shared" si="53"/>
        <v>0.34450719291206622</v>
      </c>
      <c r="O57" s="213">
        <f t="shared" si="53"/>
        <v>0.39431678168274426</v>
      </c>
      <c r="P57" s="213">
        <f t="shared" si="53"/>
        <v>0.38331369087504452</v>
      </c>
      <c r="Q57" s="213">
        <f t="shared" si="53"/>
        <v>0.39424662787385911</v>
      </c>
      <c r="R57" s="213">
        <f t="shared" si="53"/>
        <v>0.40100895942301618</v>
      </c>
      <c r="S57" s="213">
        <f t="shared" si="53"/>
        <v>0.43541173344176948</v>
      </c>
      <c r="T57" s="213">
        <f t="shared" si="53"/>
        <v>0.41440321677333691</v>
      </c>
      <c r="U57" s="213">
        <f t="shared" si="53"/>
        <v>0.29184236559064697</v>
      </c>
    </row>
    <row r="58" spans="1:21" x14ac:dyDescent="0.25">
      <c r="A58" s="183" t="s">
        <v>649</v>
      </c>
      <c r="B58" s="64"/>
      <c r="C58" s="64"/>
      <c r="D58" s="64"/>
      <c r="E58" s="213">
        <f>E6/E9</f>
        <v>0.29718338246195986</v>
      </c>
      <c r="F58" s="213">
        <f t="shared" ref="F58:U58" si="54">F6/F9</f>
        <v>0.27442921915977336</v>
      </c>
      <c r="G58" s="213">
        <f t="shared" si="54"/>
        <v>0.28920110275763633</v>
      </c>
      <c r="H58" s="213">
        <f t="shared" si="54"/>
        <v>0.30650749965473728</v>
      </c>
      <c r="I58" s="213">
        <f t="shared" si="54"/>
        <v>0.2897686630319255</v>
      </c>
      <c r="J58" s="213">
        <f t="shared" si="54"/>
        <v>0.2973016260496909</v>
      </c>
      <c r="K58" s="213">
        <f t="shared" si="54"/>
        <v>0.23962470697915741</v>
      </c>
      <c r="L58" s="213">
        <f t="shared" si="54"/>
        <v>0.28785173269830483</v>
      </c>
      <c r="M58" s="213">
        <f t="shared" si="54"/>
        <v>0.1849463120651707</v>
      </c>
      <c r="N58" s="213">
        <f t="shared" si="54"/>
        <v>0.13004084537243449</v>
      </c>
      <c r="O58" s="213">
        <f t="shared" si="54"/>
        <v>0.14644215852345746</v>
      </c>
      <c r="P58" s="213">
        <f t="shared" si="54"/>
        <v>0.14163354535317102</v>
      </c>
      <c r="Q58" s="213">
        <f t="shared" si="54"/>
        <v>0.15061184337376901</v>
      </c>
      <c r="R58" s="213">
        <f t="shared" si="54"/>
        <v>0.14202427272524334</v>
      </c>
      <c r="S58" s="213">
        <f t="shared" si="54"/>
        <v>0.16852220860676795</v>
      </c>
      <c r="T58" s="213">
        <f t="shared" si="54"/>
        <v>0.18826601441537999</v>
      </c>
      <c r="U58" s="213">
        <f t="shared" si="54"/>
        <v>0.18989468861078393</v>
      </c>
    </row>
    <row r="59" spans="1:21" s="224" customFormat="1" x14ac:dyDescent="0.25">
      <c r="A59" s="226" t="s">
        <v>643</v>
      </c>
      <c r="B59" s="222"/>
      <c r="C59" s="222"/>
      <c r="D59" s="222"/>
      <c r="E59" s="223">
        <f>E55+E56</f>
        <v>0.86023191849107694</v>
      </c>
      <c r="F59" s="223">
        <f t="shared" ref="F59:U59" si="55">F55+F56</f>
        <v>0.85473157939814892</v>
      </c>
      <c r="G59" s="223">
        <f t="shared" si="55"/>
        <v>0.84790243852507352</v>
      </c>
      <c r="H59" s="223">
        <f t="shared" si="55"/>
        <v>0.85264438149396127</v>
      </c>
      <c r="I59" s="223">
        <f t="shared" si="55"/>
        <v>0.84091837308032247</v>
      </c>
      <c r="J59" s="223">
        <f t="shared" si="55"/>
        <v>0.83410770467443263</v>
      </c>
      <c r="K59" s="223">
        <f t="shared" si="55"/>
        <v>0.83876714009263698</v>
      </c>
      <c r="L59" s="223">
        <f t="shared" si="55"/>
        <v>0.83397023908403034</v>
      </c>
      <c r="M59" s="223">
        <f t="shared" si="55"/>
        <v>0.82076908637151647</v>
      </c>
      <c r="N59" s="223">
        <f t="shared" si="55"/>
        <v>0.8176497226325663</v>
      </c>
      <c r="O59" s="223">
        <f t="shared" si="55"/>
        <v>0.80972867952849858</v>
      </c>
      <c r="P59" s="223">
        <f t="shared" si="55"/>
        <v>0.81581465577095169</v>
      </c>
      <c r="Q59" s="223">
        <f t="shared" si="55"/>
        <v>0.8039476881586245</v>
      </c>
      <c r="R59" s="223">
        <f t="shared" si="55"/>
        <v>0.79925064876668417</v>
      </c>
      <c r="S59" s="223">
        <f t="shared" si="55"/>
        <v>0.79986115713691808</v>
      </c>
      <c r="T59" s="223">
        <f t="shared" si="55"/>
        <v>0.80556354889535964</v>
      </c>
      <c r="U59" s="223">
        <f t="shared" si="55"/>
        <v>0.8062042782579979</v>
      </c>
    </row>
    <row r="60" spans="1:21" x14ac:dyDescent="0.25">
      <c r="A60" s="183" t="s">
        <v>650</v>
      </c>
      <c r="B60" s="64"/>
      <c r="C60" s="64"/>
      <c r="D60" s="64"/>
      <c r="E60" s="213">
        <f>E3/E9</f>
        <v>1.5781703639593792E-2</v>
      </c>
      <c r="F60" s="213">
        <f t="shared" ref="F60:U60" si="56">F3/F9</f>
        <v>1.575674304573068E-2</v>
      </c>
      <c r="G60" s="213">
        <f t="shared" si="56"/>
        <v>1.6347560614534132E-2</v>
      </c>
      <c r="H60" s="213">
        <f t="shared" si="56"/>
        <v>1.5297759350376455E-2</v>
      </c>
      <c r="I60" s="213">
        <f t="shared" si="56"/>
        <v>1.6484367378729381E-2</v>
      </c>
      <c r="J60" s="213">
        <f t="shared" si="56"/>
        <v>1.6689866201352571E-2</v>
      </c>
      <c r="K60" s="213">
        <f t="shared" si="56"/>
        <v>1.6072232155751744E-2</v>
      </c>
      <c r="L60" s="213">
        <f t="shared" si="56"/>
        <v>1.8288186105791401E-2</v>
      </c>
      <c r="M60" s="213">
        <f t="shared" si="56"/>
        <v>2.0340651446541312E-2</v>
      </c>
      <c r="N60" s="213">
        <f t="shared" si="56"/>
        <v>2.0598263705857284E-2</v>
      </c>
      <c r="O60" s="213">
        <f t="shared" si="56"/>
        <v>2.1283881294603867E-2</v>
      </c>
      <c r="P60" s="213">
        <f t="shared" si="56"/>
        <v>2.0359032165604536E-2</v>
      </c>
      <c r="Q60" s="213">
        <f t="shared" si="56"/>
        <v>2.1516912966447616E-2</v>
      </c>
      <c r="R60" s="213">
        <f t="shared" si="56"/>
        <v>2.1676099713762918E-2</v>
      </c>
      <c r="S60" s="213">
        <f t="shared" si="56"/>
        <v>2.1824033146610043E-2</v>
      </c>
      <c r="T60" s="213">
        <f t="shared" si="56"/>
        <v>2.1109168082561577E-2</v>
      </c>
      <c r="U60" s="213">
        <f t="shared" si="56"/>
        <v>3.2512117543596212E-3</v>
      </c>
    </row>
    <row r="61" spans="1:21" x14ac:dyDescent="0.25">
      <c r="A61" s="183" t="s">
        <v>651</v>
      </c>
      <c r="B61" s="64"/>
      <c r="C61" s="64"/>
      <c r="D61" s="64"/>
      <c r="E61" s="213">
        <f>E7/E9</f>
        <v>0.12398637786932939</v>
      </c>
      <c r="F61" s="213">
        <f t="shared" ref="F61:U61" si="57">F7/F9</f>
        <v>0.12951167755612036</v>
      </c>
      <c r="G61" s="213">
        <f t="shared" si="57"/>
        <v>0.13575000086039232</v>
      </c>
      <c r="H61" s="213">
        <f t="shared" si="57"/>
        <v>0.1320578591556624</v>
      </c>
      <c r="I61" s="213">
        <f t="shared" si="57"/>
        <v>0.14259725954094823</v>
      </c>
      <c r="J61" s="213">
        <f t="shared" si="57"/>
        <v>0.1492024291242148</v>
      </c>
      <c r="K61" s="213">
        <f t="shared" si="57"/>
        <v>0.14516062775161134</v>
      </c>
      <c r="L61" s="213">
        <f t="shared" si="57"/>
        <v>0.14774157481017838</v>
      </c>
      <c r="M61" s="213">
        <f t="shared" si="57"/>
        <v>0.15889026218194224</v>
      </c>
      <c r="N61" s="213">
        <f t="shared" si="57"/>
        <v>0.16175201366157652</v>
      </c>
      <c r="O61" s="213">
        <f t="shared" si="57"/>
        <v>0.16898743917689749</v>
      </c>
      <c r="P61" s="213">
        <f t="shared" si="57"/>
        <v>0.16382631206344389</v>
      </c>
      <c r="Q61" s="213">
        <f t="shared" si="57"/>
        <v>0.17453539887492781</v>
      </c>
      <c r="R61" s="213">
        <f t="shared" si="57"/>
        <v>0.17907325151955289</v>
      </c>
      <c r="S61" s="213">
        <f t="shared" si="57"/>
        <v>0.17831480971647176</v>
      </c>
      <c r="T61" s="213">
        <f t="shared" si="57"/>
        <v>0.17332728302207881</v>
      </c>
      <c r="U61" s="213">
        <f t="shared" si="57"/>
        <v>0.19054450998764266</v>
      </c>
    </row>
    <row r="62" spans="1:21" s="224" customFormat="1" x14ac:dyDescent="0.25">
      <c r="A62" s="226" t="s">
        <v>644</v>
      </c>
      <c r="B62" s="222"/>
      <c r="C62" s="222"/>
      <c r="D62" s="222"/>
      <c r="E62" s="223">
        <f>E60+E61</f>
        <v>0.1397680815089232</v>
      </c>
      <c r="F62" s="223">
        <f t="shared" ref="F62:M62" si="58">F60+F61</f>
        <v>0.14526842060185105</v>
      </c>
      <c r="G62" s="223">
        <f t="shared" si="58"/>
        <v>0.15209756147492645</v>
      </c>
      <c r="H62" s="223">
        <f t="shared" si="58"/>
        <v>0.14735561850603884</v>
      </c>
      <c r="I62" s="223">
        <f t="shared" si="58"/>
        <v>0.15908162691967762</v>
      </c>
      <c r="J62" s="223">
        <f t="shared" si="58"/>
        <v>0.16589229532556737</v>
      </c>
      <c r="K62" s="223">
        <f t="shared" si="58"/>
        <v>0.16123285990736308</v>
      </c>
      <c r="L62" s="223">
        <f t="shared" si="58"/>
        <v>0.16602976091596977</v>
      </c>
      <c r="M62" s="223">
        <f t="shared" si="58"/>
        <v>0.17923091362848356</v>
      </c>
      <c r="N62" s="223">
        <f t="shared" ref="N62" si="59">N60+N61</f>
        <v>0.18235027736743381</v>
      </c>
      <c r="O62" s="223">
        <f t="shared" ref="O62" si="60">O60+O61</f>
        <v>0.19027132047150136</v>
      </c>
      <c r="P62" s="223">
        <f t="shared" ref="P62" si="61">P60+P61</f>
        <v>0.18418534422904842</v>
      </c>
      <c r="Q62" s="223">
        <f t="shared" ref="Q62" si="62">Q60+Q61</f>
        <v>0.19605231184137542</v>
      </c>
      <c r="R62" s="223">
        <f t="shared" ref="R62" si="63">R60+R61</f>
        <v>0.2007493512333158</v>
      </c>
      <c r="S62" s="223">
        <f t="shared" ref="S62" si="64">S60+S61</f>
        <v>0.20013884286308181</v>
      </c>
      <c r="T62" s="223">
        <f t="shared" ref="T62" si="65">T60+T61</f>
        <v>0.19443645110464039</v>
      </c>
      <c r="U62" s="223">
        <f t="shared" ref="U62" si="66">U60+U61</f>
        <v>0.1937957217420023</v>
      </c>
    </row>
    <row r="63" spans="1:21" x14ac:dyDescent="0.25">
      <c r="A63" s="225" t="s">
        <v>645</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701</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652</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653</v>
      </c>
      <c r="E67" s="192">
        <f>E10</f>
        <v>0</v>
      </c>
      <c r="F67" s="192">
        <f t="shared" ref="F67:U67" si="68">F10</f>
        <v>0</v>
      </c>
      <c r="G67" s="192">
        <f t="shared" si="68"/>
        <v>0</v>
      </c>
      <c r="H67" s="192">
        <f t="shared" si="68"/>
        <v>0</v>
      </c>
      <c r="I67" s="192">
        <f t="shared" si="68"/>
        <v>0</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654</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1000000</v>
      </c>
      <c r="O68" s="192">
        <f t="shared" si="69"/>
        <v>1000000</v>
      </c>
      <c r="P68" s="192">
        <f t="shared" si="69"/>
        <v>1000000</v>
      </c>
      <c r="Q68" s="192">
        <f t="shared" si="69"/>
        <v>1000000</v>
      </c>
      <c r="R68" s="192">
        <f t="shared" si="69"/>
        <v>65516518.030000001</v>
      </c>
      <c r="S68" s="192">
        <f t="shared" si="69"/>
        <v>65195268.039999999</v>
      </c>
      <c r="T68" s="192">
        <f t="shared" si="69"/>
        <v>65654018.049999997</v>
      </c>
      <c r="U68" s="192">
        <f t="shared" si="69"/>
        <v>67612768.060000002</v>
      </c>
    </row>
    <row r="69" spans="1:21" x14ac:dyDescent="0.25">
      <c r="A69" s="17" t="s">
        <v>655</v>
      </c>
      <c r="E69" s="192">
        <f>E12</f>
        <v>0</v>
      </c>
      <c r="F69" s="192">
        <f t="shared" ref="F69:U69" si="70">F12</f>
        <v>0</v>
      </c>
      <c r="G69" s="192">
        <f t="shared" si="70"/>
        <v>0</v>
      </c>
      <c r="H69" s="192">
        <f t="shared" si="70"/>
        <v>0</v>
      </c>
      <c r="I69" s="192">
        <f t="shared" si="70"/>
        <v>0</v>
      </c>
      <c r="J69" s="192">
        <f t="shared" si="70"/>
        <v>0</v>
      </c>
      <c r="K69" s="192">
        <f t="shared" si="70"/>
        <v>0</v>
      </c>
      <c r="L69" s="192">
        <f t="shared" si="70"/>
        <v>0</v>
      </c>
      <c r="M69" s="192">
        <f t="shared" si="70"/>
        <v>0</v>
      </c>
      <c r="N69" s="192">
        <f t="shared" si="70"/>
        <v>1000000</v>
      </c>
      <c r="O69" s="192">
        <f t="shared" si="70"/>
        <v>1000000</v>
      </c>
      <c r="P69" s="192">
        <f t="shared" si="70"/>
        <v>1000000</v>
      </c>
      <c r="Q69" s="192">
        <f t="shared" si="70"/>
        <v>1000000</v>
      </c>
      <c r="R69" s="192">
        <f t="shared" si="70"/>
        <v>65516518.030000001</v>
      </c>
      <c r="S69" s="192">
        <f t="shared" si="70"/>
        <v>65195268.039999999</v>
      </c>
      <c r="T69" s="192">
        <f t="shared" si="70"/>
        <v>65654018.049999997</v>
      </c>
      <c r="U69" s="192">
        <f t="shared" si="70"/>
        <v>67612768.060000002</v>
      </c>
    </row>
    <row r="70" spans="1:21" s="233" customFormat="1" x14ac:dyDescent="0.25">
      <c r="A70" s="233" t="s">
        <v>658</v>
      </c>
      <c r="E70" s="233">
        <f>E69/E74</f>
        <v>0</v>
      </c>
      <c r="F70" s="233">
        <f t="shared" ref="F70:U70" si="71">F69/F74</f>
        <v>0</v>
      </c>
      <c r="G70" s="233">
        <f t="shared" si="71"/>
        <v>0</v>
      </c>
      <c r="H70" s="233">
        <f t="shared" si="71"/>
        <v>0</v>
      </c>
      <c r="I70" s="233">
        <f t="shared" si="71"/>
        <v>0</v>
      </c>
      <c r="J70" s="233">
        <f t="shared" si="71"/>
        <v>0</v>
      </c>
      <c r="K70" s="233">
        <f t="shared" si="71"/>
        <v>0</v>
      </c>
      <c r="L70" s="233">
        <f t="shared" si="71"/>
        <v>0</v>
      </c>
      <c r="M70" s="233">
        <f t="shared" si="71"/>
        <v>0</v>
      </c>
      <c r="N70" s="233">
        <f t="shared" si="71"/>
        <v>2.341219261457551E-5</v>
      </c>
      <c r="O70" s="233">
        <f t="shared" si="71"/>
        <v>2.41914724255778E-5</v>
      </c>
      <c r="P70" s="233">
        <f t="shared" si="71"/>
        <v>2.3458757463119342E-5</v>
      </c>
      <c r="Q70" s="233">
        <f t="shared" si="71"/>
        <v>2.4792929179006194E-5</v>
      </c>
      <c r="R70" s="233">
        <f t="shared" si="71"/>
        <v>1.6754608748503546E-3</v>
      </c>
      <c r="S70" s="233">
        <f t="shared" si="71"/>
        <v>1.7043619693974722E-3</v>
      </c>
      <c r="T70" s="233">
        <f t="shared" si="71"/>
        <v>1.6487497451556461E-3</v>
      </c>
      <c r="U70" s="233">
        <f t="shared" si="71"/>
        <v>1.8230904428682079E-3</v>
      </c>
    </row>
    <row r="71" spans="1:21" x14ac:dyDescent="0.25">
      <c r="A71" s="17" t="s">
        <v>656</v>
      </c>
      <c r="E71" s="192">
        <f>E13</f>
        <v>54674325649.179993</v>
      </c>
      <c r="F71" s="192">
        <f t="shared" ref="F71:U71" si="72">F13</f>
        <v>51853331585.639999</v>
      </c>
      <c r="G71" s="192">
        <f t="shared" si="72"/>
        <v>49979299121.460007</v>
      </c>
      <c r="H71" s="192">
        <f t="shared" si="72"/>
        <v>51945064294.689995</v>
      </c>
      <c r="I71" s="192">
        <f t="shared" si="72"/>
        <v>48205859209.699997</v>
      </c>
      <c r="J71" s="192">
        <f t="shared" si="72"/>
        <v>46515855681.759995</v>
      </c>
      <c r="K71" s="192">
        <f t="shared" si="72"/>
        <v>48371837840.32</v>
      </c>
      <c r="L71" s="192">
        <f t="shared" si="72"/>
        <v>47353491345.199997</v>
      </c>
      <c r="M71" s="192">
        <f t="shared" si="72"/>
        <v>44345160962.550003</v>
      </c>
      <c r="N71" s="192">
        <f t="shared" si="72"/>
        <v>42711787155.93</v>
      </c>
      <c r="O71" s="192">
        <f t="shared" si="72"/>
        <v>41335880302.610001</v>
      </c>
      <c r="P71" s="192">
        <f t="shared" si="72"/>
        <v>42627003702.759995</v>
      </c>
      <c r="Q71" s="192">
        <f t="shared" si="72"/>
        <v>40333080446.080002</v>
      </c>
      <c r="R71" s="192">
        <f t="shared" si="72"/>
        <v>39038063287.050003</v>
      </c>
      <c r="S71" s="192">
        <f t="shared" si="72"/>
        <v>38186812938.32</v>
      </c>
      <c r="T71" s="192">
        <f t="shared" si="72"/>
        <v>39754833137.689995</v>
      </c>
      <c r="U71" s="192">
        <f t="shared" si="72"/>
        <v>37019284552.089996</v>
      </c>
    </row>
    <row r="72" spans="1:21" s="233" customFormat="1" x14ac:dyDescent="0.25">
      <c r="A72" s="233" t="s">
        <v>659</v>
      </c>
      <c r="E72" s="233">
        <f>E71/E74</f>
        <v>1</v>
      </c>
      <c r="F72" s="233">
        <f t="shared" ref="F72:U72" si="73">F71/F74</f>
        <v>1</v>
      </c>
      <c r="G72" s="233">
        <f t="shared" si="73"/>
        <v>1</v>
      </c>
      <c r="H72" s="233">
        <f t="shared" si="73"/>
        <v>1</v>
      </c>
      <c r="I72" s="233">
        <f t="shared" si="73"/>
        <v>1</v>
      </c>
      <c r="J72" s="233">
        <f t="shared" si="73"/>
        <v>1</v>
      </c>
      <c r="K72" s="233">
        <f t="shared" si="73"/>
        <v>1</v>
      </c>
      <c r="L72" s="233">
        <f t="shared" si="73"/>
        <v>1</v>
      </c>
      <c r="M72" s="233">
        <f t="shared" si="73"/>
        <v>1</v>
      </c>
      <c r="N72" s="233">
        <f t="shared" si="73"/>
        <v>0.99997658780738541</v>
      </c>
      <c r="O72" s="233">
        <f t="shared" si="73"/>
        <v>0.99997580852757439</v>
      </c>
      <c r="P72" s="233">
        <f t="shared" si="73"/>
        <v>0.99997654124253688</v>
      </c>
      <c r="Q72" s="233">
        <f t="shared" si="73"/>
        <v>0.99997520707082099</v>
      </c>
      <c r="R72" s="233">
        <f t="shared" si="73"/>
        <v>0.99832453912514962</v>
      </c>
      <c r="S72" s="233">
        <f t="shared" si="73"/>
        <v>0.99829563803060251</v>
      </c>
      <c r="T72" s="233">
        <f t="shared" si="73"/>
        <v>0.99835125025484428</v>
      </c>
      <c r="U72" s="233">
        <f t="shared" si="73"/>
        <v>0.9981769095571319</v>
      </c>
    </row>
    <row r="73" spans="1:21" s="235" customFormat="1" x14ac:dyDescent="0.25">
      <c r="A73" s="234" t="s">
        <v>660</v>
      </c>
      <c r="E73" s="236">
        <f>E74/E71</f>
        <v>1</v>
      </c>
      <c r="F73" s="236">
        <f t="shared" ref="F73:U73" si="74">F74/F71</f>
        <v>1</v>
      </c>
      <c r="G73" s="236">
        <f t="shared" si="74"/>
        <v>1</v>
      </c>
      <c r="H73" s="236">
        <f t="shared" si="74"/>
        <v>1</v>
      </c>
      <c r="I73" s="236">
        <f t="shared" si="74"/>
        <v>1</v>
      </c>
      <c r="J73" s="236">
        <f t="shared" si="74"/>
        <v>1</v>
      </c>
      <c r="K73" s="236">
        <f t="shared" si="74"/>
        <v>1</v>
      </c>
      <c r="L73" s="236">
        <f t="shared" si="74"/>
        <v>1</v>
      </c>
      <c r="M73" s="236">
        <f t="shared" si="74"/>
        <v>1</v>
      </c>
      <c r="N73" s="236">
        <f t="shared" si="74"/>
        <v>1.0000234127407581</v>
      </c>
      <c r="O73" s="236">
        <f t="shared" si="74"/>
        <v>1.0000241920576671</v>
      </c>
      <c r="P73" s="236">
        <f t="shared" si="74"/>
        <v>1.0000234593077892</v>
      </c>
      <c r="Q73" s="236">
        <f t="shared" si="74"/>
        <v>1.0000247935438835</v>
      </c>
      <c r="R73" s="236">
        <f t="shared" si="74"/>
        <v>1.0016782727551889</v>
      </c>
      <c r="S73" s="236">
        <f t="shared" si="74"/>
        <v>1.0017072717784883</v>
      </c>
      <c r="T73" s="236">
        <f t="shared" si="74"/>
        <v>1.0016514726102008</v>
      </c>
      <c r="U73" s="236">
        <f t="shared" si="74"/>
        <v>1.0018264201720284</v>
      </c>
    </row>
    <row r="74" spans="1:21" x14ac:dyDescent="0.25">
      <c r="A74" s="17" t="s">
        <v>657</v>
      </c>
      <c r="E74" s="192">
        <f>E14</f>
        <v>54674325649.179993</v>
      </c>
      <c r="F74" s="192">
        <f t="shared" ref="F74:U74" si="75">F14</f>
        <v>51853331585.639999</v>
      </c>
      <c r="G74" s="192">
        <f t="shared" si="75"/>
        <v>49979299121.460007</v>
      </c>
      <c r="H74" s="192">
        <f t="shared" si="75"/>
        <v>51945064294.689995</v>
      </c>
      <c r="I74" s="192">
        <f t="shared" si="75"/>
        <v>48205859209.699997</v>
      </c>
      <c r="J74" s="192">
        <f t="shared" si="75"/>
        <v>46515855681.759995</v>
      </c>
      <c r="K74" s="192">
        <f t="shared" si="75"/>
        <v>48371837840.32</v>
      </c>
      <c r="L74" s="192">
        <f t="shared" si="75"/>
        <v>47353491345.199997</v>
      </c>
      <c r="M74" s="192">
        <f t="shared" si="75"/>
        <v>44345160962.550003</v>
      </c>
      <c r="N74" s="192">
        <f t="shared" si="75"/>
        <v>42712787155.93</v>
      </c>
      <c r="O74" s="192">
        <f t="shared" si="75"/>
        <v>41336880302.610001</v>
      </c>
      <c r="P74" s="192">
        <f t="shared" si="75"/>
        <v>42628003702.759995</v>
      </c>
      <c r="Q74" s="192">
        <f t="shared" si="75"/>
        <v>40334080446.080002</v>
      </c>
      <c r="R74" s="192">
        <f t="shared" si="75"/>
        <v>39103579805.080002</v>
      </c>
      <c r="S74" s="192">
        <f t="shared" si="75"/>
        <v>38252008206.360001</v>
      </c>
      <c r="T74" s="192">
        <f t="shared" si="75"/>
        <v>39820487155.739998</v>
      </c>
      <c r="U74" s="192">
        <f t="shared" si="75"/>
        <v>37086897320.149994</v>
      </c>
    </row>
    <row r="75" spans="1:21" ht="83.4" customHeight="1" x14ac:dyDescent="0.25">
      <c r="A75" s="278" t="s">
        <v>702</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661</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653</v>
      </c>
      <c r="B78" s="64"/>
      <c r="C78" s="64"/>
      <c r="D78" s="64"/>
      <c r="E78" s="89">
        <f>E10</f>
        <v>0</v>
      </c>
      <c r="F78" s="89">
        <f t="shared" ref="F78:U78" si="77">F10</f>
        <v>0</v>
      </c>
      <c r="G78" s="89">
        <f t="shared" si="77"/>
        <v>0</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3" t="s">
        <v>662</v>
      </c>
      <c r="B79" s="64"/>
      <c r="C79" s="64"/>
      <c r="D79" s="64"/>
      <c r="E79" s="89">
        <f>E78</f>
        <v>0</v>
      </c>
      <c r="F79" s="89">
        <f t="shared" ref="F79:U79" si="78">F78</f>
        <v>0</v>
      </c>
      <c r="G79" s="89">
        <f t="shared" si="78"/>
        <v>0</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19" customFormat="1" x14ac:dyDescent="0.25">
      <c r="A80" s="223" t="s">
        <v>663</v>
      </c>
      <c r="B80" s="223"/>
      <c r="C80" s="223"/>
      <c r="D80" s="223"/>
      <c r="E80" s="223">
        <f>E79/E85</f>
        <v>0</v>
      </c>
      <c r="F80" s="223">
        <f t="shared" ref="F80:U80" si="79">F79/F85</f>
        <v>0</v>
      </c>
      <c r="G80" s="223">
        <f t="shared" si="79"/>
        <v>0</v>
      </c>
      <c r="H80" s="223">
        <f t="shared" si="79"/>
        <v>0</v>
      </c>
      <c r="I80" s="223">
        <f t="shared" si="79"/>
        <v>0</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1000000</v>
      </c>
      <c r="O81" s="89">
        <f t="shared" si="80"/>
        <v>1000000</v>
      </c>
      <c r="P81" s="89">
        <f t="shared" si="80"/>
        <v>1000000</v>
      </c>
      <c r="Q81" s="89">
        <f t="shared" si="80"/>
        <v>1000000</v>
      </c>
      <c r="R81" s="89">
        <f t="shared" si="80"/>
        <v>65516518.030000001</v>
      </c>
      <c r="S81" s="89">
        <f t="shared" si="80"/>
        <v>65195268.039999999</v>
      </c>
      <c r="T81" s="89">
        <f t="shared" si="80"/>
        <v>65654018.049999997</v>
      </c>
      <c r="U81" s="89">
        <f t="shared" si="80"/>
        <v>67612768.060000002</v>
      </c>
    </row>
    <row r="82" spans="1:21" x14ac:dyDescent="0.25">
      <c r="A82" s="183" t="s">
        <v>656</v>
      </c>
      <c r="B82" s="64"/>
      <c r="C82" s="64"/>
      <c r="D82" s="64"/>
      <c r="E82" s="89">
        <f>E13</f>
        <v>54674325649.179993</v>
      </c>
      <c r="F82" s="89">
        <f t="shared" ref="F82:U82" si="81">F13</f>
        <v>51853331585.639999</v>
      </c>
      <c r="G82" s="89">
        <f t="shared" si="81"/>
        <v>49979299121.460007</v>
      </c>
      <c r="H82" s="89">
        <f t="shared" si="81"/>
        <v>51945064294.689995</v>
      </c>
      <c r="I82" s="89">
        <f t="shared" si="81"/>
        <v>48205859209.699997</v>
      </c>
      <c r="J82" s="89">
        <f t="shared" si="81"/>
        <v>46515855681.759995</v>
      </c>
      <c r="K82" s="89">
        <f t="shared" si="81"/>
        <v>48371837840.32</v>
      </c>
      <c r="L82" s="89">
        <f t="shared" si="81"/>
        <v>47353491345.199997</v>
      </c>
      <c r="M82" s="89">
        <f t="shared" si="81"/>
        <v>44345160962.550003</v>
      </c>
      <c r="N82" s="89">
        <f t="shared" si="81"/>
        <v>42711787155.93</v>
      </c>
      <c r="O82" s="89">
        <f t="shared" si="81"/>
        <v>41335880302.610001</v>
      </c>
      <c r="P82" s="89">
        <f t="shared" si="81"/>
        <v>42627003702.759995</v>
      </c>
      <c r="Q82" s="89">
        <f t="shared" si="81"/>
        <v>40333080446.080002</v>
      </c>
      <c r="R82" s="89">
        <f t="shared" si="81"/>
        <v>39038063287.050003</v>
      </c>
      <c r="S82" s="89">
        <f t="shared" si="81"/>
        <v>38186812938.32</v>
      </c>
      <c r="T82" s="89">
        <f t="shared" si="81"/>
        <v>39754833137.689995</v>
      </c>
      <c r="U82" s="89">
        <f t="shared" si="81"/>
        <v>37019284552.089996</v>
      </c>
    </row>
    <row r="83" spans="1:21" x14ac:dyDescent="0.25">
      <c r="A83" s="183" t="s">
        <v>664</v>
      </c>
      <c r="B83" s="64"/>
      <c r="C83" s="64"/>
      <c r="D83" s="64"/>
      <c r="E83" s="89">
        <f>E81+E82</f>
        <v>54674325649.179993</v>
      </c>
      <c r="F83" s="89">
        <f t="shared" ref="F83:U83" si="82">F81+F82</f>
        <v>51853331585.639999</v>
      </c>
      <c r="G83" s="89">
        <f t="shared" si="82"/>
        <v>49979299121.460007</v>
      </c>
      <c r="H83" s="89">
        <f t="shared" si="82"/>
        <v>51945064294.689995</v>
      </c>
      <c r="I83" s="89">
        <f t="shared" si="82"/>
        <v>48205859209.699997</v>
      </c>
      <c r="J83" s="89">
        <f t="shared" si="82"/>
        <v>46515855681.759995</v>
      </c>
      <c r="K83" s="89">
        <f t="shared" si="82"/>
        <v>48371837840.32</v>
      </c>
      <c r="L83" s="89">
        <f t="shared" si="82"/>
        <v>47353491345.199997</v>
      </c>
      <c r="M83" s="89">
        <f t="shared" si="82"/>
        <v>44345160962.550003</v>
      </c>
      <c r="N83" s="89">
        <f t="shared" si="82"/>
        <v>42712787155.93</v>
      </c>
      <c r="O83" s="89">
        <f t="shared" si="82"/>
        <v>41336880302.610001</v>
      </c>
      <c r="P83" s="89">
        <f t="shared" si="82"/>
        <v>42628003702.759995</v>
      </c>
      <c r="Q83" s="89">
        <f t="shared" si="82"/>
        <v>40334080446.080002</v>
      </c>
      <c r="R83" s="89">
        <f t="shared" si="82"/>
        <v>39103579805.080002</v>
      </c>
      <c r="S83" s="89">
        <f t="shared" si="82"/>
        <v>38252008206.360001</v>
      </c>
      <c r="T83" s="89">
        <f t="shared" si="82"/>
        <v>39820487155.739998</v>
      </c>
      <c r="U83" s="89">
        <f t="shared" si="82"/>
        <v>37086897320.149994</v>
      </c>
    </row>
    <row r="84" spans="1:21" s="219" customFormat="1" x14ac:dyDescent="0.25">
      <c r="A84" s="223" t="s">
        <v>665</v>
      </c>
      <c r="B84" s="223"/>
      <c r="C84" s="223"/>
      <c r="D84" s="223"/>
      <c r="E84" s="223">
        <f>E83/E85</f>
        <v>1</v>
      </c>
      <c r="F84" s="223">
        <f t="shared" ref="F84:U84" si="83">F83/F85</f>
        <v>1</v>
      </c>
      <c r="G84" s="223">
        <f t="shared" si="83"/>
        <v>1</v>
      </c>
      <c r="H84" s="223">
        <f t="shared" si="83"/>
        <v>1</v>
      </c>
      <c r="I84" s="223">
        <f t="shared" si="83"/>
        <v>1</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657</v>
      </c>
      <c r="B85" s="64"/>
      <c r="C85" s="64"/>
      <c r="D85" s="64"/>
      <c r="E85" s="89">
        <f>E14</f>
        <v>54674325649.179993</v>
      </c>
      <c r="F85" s="89">
        <f t="shared" ref="F85:U85" si="84">F14</f>
        <v>51853331585.639999</v>
      </c>
      <c r="G85" s="89">
        <f t="shared" si="84"/>
        <v>49979299121.460007</v>
      </c>
      <c r="H85" s="89">
        <f t="shared" si="84"/>
        <v>51945064294.689995</v>
      </c>
      <c r="I85" s="89">
        <f t="shared" si="84"/>
        <v>48205859209.699997</v>
      </c>
      <c r="J85" s="89">
        <f t="shared" si="84"/>
        <v>46515855681.759995</v>
      </c>
      <c r="K85" s="89">
        <f t="shared" si="84"/>
        <v>48371837840.32</v>
      </c>
      <c r="L85" s="89">
        <f t="shared" si="84"/>
        <v>47353491345.199997</v>
      </c>
      <c r="M85" s="89">
        <f t="shared" si="84"/>
        <v>44345160962.550003</v>
      </c>
      <c r="N85" s="89">
        <f t="shared" si="84"/>
        <v>42712787155.93</v>
      </c>
      <c r="O85" s="89">
        <f t="shared" si="84"/>
        <v>41336880302.610001</v>
      </c>
      <c r="P85" s="89">
        <f t="shared" si="84"/>
        <v>42628003702.759995</v>
      </c>
      <c r="Q85" s="89">
        <f t="shared" si="84"/>
        <v>40334080446.080002</v>
      </c>
      <c r="R85" s="89">
        <f t="shared" si="84"/>
        <v>39103579805.080002</v>
      </c>
      <c r="S85" s="89">
        <f t="shared" si="84"/>
        <v>38252008206.360001</v>
      </c>
      <c r="T85" s="89">
        <f t="shared" si="84"/>
        <v>39820487155.739998</v>
      </c>
      <c r="U85" s="89">
        <f t="shared" si="84"/>
        <v>37086897320.149994</v>
      </c>
    </row>
    <row r="87" spans="1:21" s="56" customFormat="1" ht="85.8" customHeight="1" x14ac:dyDescent="0.25">
      <c r="A87" s="276" t="s">
        <v>703</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1" width="20.44140625" hidden="1" customWidth="1"/>
    <col min="32" max="32" width="19.33203125" hidden="1" customWidth="1"/>
    <col min="33" max="33" width="20.44140625" bestFit="1" customWidth="1"/>
    <col min="34" max="34" width="20.44140625" hidden="1" customWidth="1"/>
    <col min="35" max="36" width="19.332031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352</v>
      </c>
      <c r="E2" s="26">
        <f>股权价值增加表!E4</f>
        <v>30186780409.139999</v>
      </c>
      <c r="F2" s="26">
        <f>股权价值增加表!F4</f>
        <v>21977596629.700001</v>
      </c>
      <c r="G2" s="26">
        <f>股权价值增加表!G4</f>
        <v>15621127660.559999</v>
      </c>
      <c r="H2" s="26">
        <f>股权价值增加表!H4</f>
        <v>10158807519.1</v>
      </c>
      <c r="I2" s="26">
        <f>股权价值增加表!I4</f>
        <v>24543792660.59</v>
      </c>
      <c r="J2" s="26">
        <f>股权价值增加表!J4</f>
        <v>17699643832.209999</v>
      </c>
      <c r="K2" s="26">
        <f>股权价值增加表!K4</f>
        <v>13255638646.02</v>
      </c>
      <c r="L2" s="26">
        <f>股权价值增加表!L4</f>
        <v>8825564213.4699993</v>
      </c>
      <c r="M2" s="26">
        <f>股权价值增加表!M4</f>
        <v>21659287359.66</v>
      </c>
      <c r="N2" s="26">
        <f>股权价值增加表!N4</f>
        <v>15131341357.209999</v>
      </c>
      <c r="O2" s="26">
        <f>股权价值增加表!O4</f>
        <v>11215414006.940001</v>
      </c>
      <c r="P2" s="26">
        <f>股权价值增加表!P4</f>
        <v>6735435074.1599998</v>
      </c>
      <c r="Q2" s="26">
        <f>股权价值增加表!Q4</f>
        <v>21011491536.139999</v>
      </c>
      <c r="R2" s="26">
        <f>股权价值增加表!R4</f>
        <v>15068314515.67</v>
      </c>
      <c r="S2" s="26">
        <f>股权价值增加表!S4</f>
        <v>11662532799.27</v>
      </c>
      <c r="T2" s="26">
        <f>股权价值增加表!T4</f>
        <v>6719851620.2700005</v>
      </c>
      <c r="U2" s="26">
        <f>股权价值增加表!U4</f>
        <v>24718588617.990002</v>
      </c>
      <c r="V2" s="26">
        <f>股权价值增加表!V4</f>
        <v>19165837235.439999</v>
      </c>
      <c r="W2" s="26">
        <f>股权价值增加表!W4</f>
        <v>15519877625.32</v>
      </c>
      <c r="X2" s="26">
        <f>股权价值增加表!X4</f>
        <v>8675799862.7600002</v>
      </c>
      <c r="Y2" s="26">
        <f>股权价值增加表!Y4</f>
        <v>27201045951.34</v>
      </c>
      <c r="Z2" s="26">
        <f>股权价值增加表!Z4</f>
        <v>21126603442.650002</v>
      </c>
      <c r="AA2" s="26">
        <f>股权价值增加表!AA4</f>
        <v>15049709413.35</v>
      </c>
      <c r="AB2" s="26">
        <f>股权价值增加表!AB4</f>
        <v>8230651472.6199999</v>
      </c>
      <c r="AC2" s="26">
        <f>股权价值增加表!AC4</f>
        <v>20350594468.709999</v>
      </c>
      <c r="AD2" s="26">
        <f>股权价值增加表!AD4</f>
        <v>15648774490.190001</v>
      </c>
      <c r="AE2" s="26">
        <f>股权价值增加表!AE4</f>
        <v>10594830203.200001</v>
      </c>
      <c r="AF2" s="26">
        <f>股权价值增加表!AF4</f>
        <v>6244557079.6499996</v>
      </c>
      <c r="AG2" s="26">
        <f>股权价值增加表!AG4</f>
        <v>15541300510.85</v>
      </c>
      <c r="AH2" s="26">
        <f>股权价值增加表!AH4</f>
        <v>11471710170.860001</v>
      </c>
      <c r="AI2" s="26">
        <f>股权价值增加表!AI4</f>
        <v>7576545903.4899998</v>
      </c>
      <c r="AJ2" s="26">
        <f>股权价值增加表!AJ4</f>
        <v>4493625787.5500002</v>
      </c>
      <c r="AK2" s="26">
        <f>股权价值增加表!AK4</f>
        <v>11129220549.610001</v>
      </c>
      <c r="AL2" s="26">
        <f>股权价值增加表!AL4</f>
        <v>8029680076.3699999</v>
      </c>
      <c r="AM2" s="26">
        <f>股权价值增加表!AM4</f>
        <v>5340889931.8100004</v>
      </c>
      <c r="AN2" s="26">
        <f>股权价值增加表!AN4</f>
        <v>3338850726.5900002</v>
      </c>
      <c r="AO2" s="26">
        <f>股权价值增加表!AO4</f>
        <v>7933068723.21</v>
      </c>
      <c r="AP2" s="26">
        <f>股权价值增加表!AP4</f>
        <v>6578679657.1199999</v>
      </c>
      <c r="AQ2" s="26">
        <f>股权价值增加表!AQ4</f>
        <v>4597277683.0200005</v>
      </c>
      <c r="AR2" s="26">
        <f>股权价值增加表!AR4</f>
        <v>3086147513.71</v>
      </c>
      <c r="AS2" s="26">
        <f>股权价值增加表!AS4</f>
        <v>7328555841.6199999</v>
      </c>
      <c r="AT2" s="26">
        <f>股权价值增加表!AT4</f>
        <v>6043063119.9700003</v>
      </c>
      <c r="AU2" s="26">
        <f>股权价值增加表!AU4</f>
        <v>4342880480.1599998</v>
      </c>
      <c r="AV2" s="26">
        <f>股权价值增加表!AV4</f>
        <v>3009852591.5900002</v>
      </c>
      <c r="AW2" s="26">
        <f>股权价值增加表!AW4</f>
        <v>7386141421.5100002</v>
      </c>
      <c r="AX2" s="26">
        <f>股权价值增加表!AX4</f>
        <v>5955523309.9399996</v>
      </c>
      <c r="AY2" s="26">
        <f>股权价值增加表!AY4</f>
        <v>4397011844.6999998</v>
      </c>
      <c r="AZ2" s="26">
        <f>股权价值增加表!AZ4</f>
        <v>2730446461.8499999</v>
      </c>
      <c r="BA2" s="26">
        <f>股权价值增加表!BA4</f>
        <v>6418751478.3199997</v>
      </c>
      <c r="BB2" s="26">
        <f>股权价值增加表!BB4</f>
        <v>4967771279.1899996</v>
      </c>
      <c r="BC2" s="26">
        <f>股权价值增加表!BC4</f>
        <v>3807013164.1999998</v>
      </c>
      <c r="BD2" s="26">
        <f>股权价值增加表!BD4</f>
        <v>2469452513.6900001</v>
      </c>
      <c r="BE2" s="26">
        <f>股权价值增加表!BE4</f>
        <v>6297583438.9799995</v>
      </c>
      <c r="BF2" s="26">
        <f>股权价值增加表!BF4</f>
        <v>4578081987.8100004</v>
      </c>
      <c r="BG2" s="26">
        <f>股权价值增加表!BG4</f>
        <v>3457300399.23</v>
      </c>
      <c r="BH2" s="26">
        <f>股权价值增加表!BH4</f>
        <v>2449943325.7399998</v>
      </c>
      <c r="BI2" s="26">
        <f>股权价值增加表!BI4</f>
        <v>6333090598.79</v>
      </c>
      <c r="BJ2" s="26">
        <f>股权价值增加表!BJ4</f>
        <v>4640989046.4700003</v>
      </c>
      <c r="BK2" s="26">
        <f>股权价值增加表!BK4</f>
        <v>3426815041.8899999</v>
      </c>
      <c r="BL2" s="26">
        <f>股权价值增加表!BL4</f>
        <v>2274657872.1900001</v>
      </c>
      <c r="BM2" s="26">
        <f>股权价值增加表!BM4</f>
        <v>5706517438.4499998</v>
      </c>
      <c r="BN2" s="26">
        <f>股权价值增加表!BN4</f>
        <v>4483326842.3900003</v>
      </c>
      <c r="BO2" s="26">
        <f>股权价值增加表!BO4</f>
        <v>3462399215.1500001</v>
      </c>
      <c r="BP2" s="26">
        <f>股权价值增加表!BP4</f>
        <v>2263204765.0599999</v>
      </c>
      <c r="BQ2" s="26">
        <f>股权价值增加表!BQ4</f>
        <v>4742095340.6499996</v>
      </c>
      <c r="BR2" s="26">
        <f>股权价值增加表!BR4</f>
        <v>3700110000</v>
      </c>
      <c r="BS2" s="26">
        <f>股权价值增加表!BS4</f>
        <v>2817494022.5799999</v>
      </c>
      <c r="BT2" s="26">
        <f>股权价值增加表!BT4</f>
        <v>1999899650.1600001</v>
      </c>
      <c r="BU2" s="26">
        <f>股权价值增加表!BU4</f>
        <v>3953640138.96</v>
      </c>
      <c r="BV2" s="26">
        <f>股权价值增加表!BV4</f>
        <v>2667684533.9200001</v>
      </c>
      <c r="BW2" s="26">
        <f>股权价值增加表!BW4</f>
        <v>3308791041.8000002</v>
      </c>
      <c r="BX2" s="26">
        <f>股权价值增加表!BX4</f>
        <v>1900893259.47</v>
      </c>
      <c r="BY2" s="26">
        <f>股权价值增加表!BY4</f>
        <v>2814346533.1199999</v>
      </c>
      <c r="BZ2" s="26">
        <f>股权价值增加表!BZ4</f>
        <v>1210433401.23</v>
      </c>
      <c r="CA2" s="26">
        <f>股权价值增加表!CA4</f>
        <v>2204454415.5599999</v>
      </c>
      <c r="CB2" s="26">
        <f>股权价值增加表!CB4</f>
        <v>1309696890.55</v>
      </c>
      <c r="CC2" s="26">
        <f>股权价值增加表!CC4</f>
        <v>914703675.36000001</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0.22991506759307628</v>
      </c>
      <c r="F3" s="66">
        <f t="shared" ref="F3:BQ3" si="0">(F2-J2)/J2</f>
        <v>0.24169711198961744</v>
      </c>
      <c r="G3" s="66">
        <f t="shared" si="0"/>
        <v>0.17845153128478167</v>
      </c>
      <c r="H3" s="66">
        <f t="shared" si="0"/>
        <v>0.15106607049497653</v>
      </c>
      <c r="I3" s="66">
        <f t="shared" si="0"/>
        <v>0.13317637155054027</v>
      </c>
      <c r="J3" s="66">
        <f t="shared" si="0"/>
        <v>0.16973395909650921</v>
      </c>
      <c r="K3" s="66">
        <f t="shared" si="0"/>
        <v>0.18191255693436967</v>
      </c>
      <c r="L3" s="66">
        <f t="shared" si="0"/>
        <v>0.31031835602255686</v>
      </c>
      <c r="M3" s="66">
        <f t="shared" si="0"/>
        <v>3.0830549197603817E-2</v>
      </c>
      <c r="N3" s="66">
        <f t="shared" si="0"/>
        <v>4.1827399789442594E-3</v>
      </c>
      <c r="O3" s="66">
        <f t="shared" si="0"/>
        <v>-3.8338052293236564E-2</v>
      </c>
      <c r="P3" s="66">
        <f t="shared" si="0"/>
        <v>2.3190175573211918E-3</v>
      </c>
      <c r="Q3" s="66">
        <f t="shared" si="0"/>
        <v>-0.14997203679954466</v>
      </c>
      <c r="R3" s="66">
        <f t="shared" si="0"/>
        <v>-0.21379304589904236</v>
      </c>
      <c r="S3" s="66">
        <f t="shared" si="0"/>
        <v>-0.24854221915750871</v>
      </c>
      <c r="T3" s="66">
        <f t="shared" si="0"/>
        <v>-0.22544875094292011</v>
      </c>
      <c r="U3" s="66">
        <f t="shared" si="0"/>
        <v>-9.1263304278477772E-2</v>
      </c>
      <c r="V3" s="66">
        <f t="shared" si="0"/>
        <v>-9.2810290709184409E-2</v>
      </c>
      <c r="W3" s="66">
        <f t="shared" si="0"/>
        <v>3.1241015959612598E-2</v>
      </c>
      <c r="X3" s="66">
        <f t="shared" si="0"/>
        <v>5.4084223055832992E-2</v>
      </c>
      <c r="Y3" s="66">
        <f t="shared" si="0"/>
        <v>0.33662168902057843</v>
      </c>
      <c r="Z3" s="66">
        <f t="shared" si="0"/>
        <v>0.35004843068663144</v>
      </c>
      <c r="AA3" s="66">
        <f t="shared" si="0"/>
        <v>0.42047669709746494</v>
      </c>
      <c r="AB3" s="66">
        <f t="shared" si="0"/>
        <v>0.31805208402087642</v>
      </c>
      <c r="AC3" s="66">
        <f t="shared" si="0"/>
        <v>0.30945247822101113</v>
      </c>
      <c r="AD3" s="66">
        <f t="shared" si="0"/>
        <v>0.36411871090854603</v>
      </c>
      <c r="AE3" s="66">
        <f t="shared" si="0"/>
        <v>0.39837207325830132</v>
      </c>
      <c r="AF3" s="66">
        <f t="shared" si="0"/>
        <v>0.38964777551150659</v>
      </c>
      <c r="AG3" s="66">
        <f t="shared" si="0"/>
        <v>0.39644105726654966</v>
      </c>
      <c r="AH3" s="66">
        <f t="shared" si="0"/>
        <v>0.42866341644411432</v>
      </c>
      <c r="AI3" s="66">
        <f t="shared" si="0"/>
        <v>0.41859240692540295</v>
      </c>
      <c r="AJ3" s="66">
        <f t="shared" si="0"/>
        <v>0.34586004452477659</v>
      </c>
      <c r="AK3" s="66">
        <f t="shared" si="0"/>
        <v>0.40288971870985185</v>
      </c>
      <c r="AL3" s="66">
        <f t="shared" si="0"/>
        <v>0.220561038821765</v>
      </c>
      <c r="AM3" s="66">
        <f t="shared" si="0"/>
        <v>0.16175056197638973</v>
      </c>
      <c r="AN3" s="66">
        <f t="shared" si="0"/>
        <v>8.18830635144248E-2</v>
      </c>
      <c r="AO3" s="66">
        <f t="shared" si="0"/>
        <v>8.248731327895166E-2</v>
      </c>
      <c r="AP3" s="66">
        <f t="shared" si="0"/>
        <v>8.8633285225830735E-2</v>
      </c>
      <c r="AQ3" s="66">
        <f t="shared" si="0"/>
        <v>5.8577988508361656E-2</v>
      </c>
      <c r="AR3" s="66">
        <f t="shared" si="0"/>
        <v>2.5348391590066521E-2</v>
      </c>
      <c r="AS3" s="66">
        <f t="shared" si="0"/>
        <v>-7.796436136776233E-3</v>
      </c>
      <c r="AT3" s="66">
        <f t="shared" si="0"/>
        <v>1.4698928284588081E-2</v>
      </c>
      <c r="AU3" s="66">
        <f t="shared" si="0"/>
        <v>-1.2310943534356853E-2</v>
      </c>
      <c r="AV3" s="66">
        <f t="shared" si="0"/>
        <v>0.10232983273756999</v>
      </c>
      <c r="AW3" s="66">
        <f t="shared" si="0"/>
        <v>0.1507131015209828</v>
      </c>
      <c r="AX3" s="66">
        <f t="shared" si="0"/>
        <v>0.19883202652418691</v>
      </c>
      <c r="AY3" s="66">
        <f t="shared" si="0"/>
        <v>0.15497679021658478</v>
      </c>
      <c r="AZ3" s="66">
        <f t="shared" si="0"/>
        <v>0.10568899248441407</v>
      </c>
      <c r="BA3" s="66">
        <f t="shared" si="0"/>
        <v>1.9240402372441671E-2</v>
      </c>
      <c r="BB3" s="66">
        <f t="shared" si="0"/>
        <v>8.5120644937687825E-2</v>
      </c>
      <c r="BC3" s="66">
        <f t="shared" si="0"/>
        <v>0.10115197541060847</v>
      </c>
      <c r="BD3" s="66">
        <f t="shared" si="0"/>
        <v>7.9631180627852197E-3</v>
      </c>
      <c r="BE3" s="66">
        <f t="shared" si="0"/>
        <v>-5.6066085359310061E-3</v>
      </c>
      <c r="BF3" s="66">
        <f t="shared" si="0"/>
        <v>-1.3554666479518588E-2</v>
      </c>
      <c r="BG3" s="66">
        <f t="shared" si="0"/>
        <v>8.8961198568763399E-3</v>
      </c>
      <c r="BH3" s="66">
        <f t="shared" si="0"/>
        <v>7.7060139765651001E-2</v>
      </c>
      <c r="BI3" s="66">
        <f t="shared" si="0"/>
        <v>0.10979956989497776</v>
      </c>
      <c r="BJ3" s="66">
        <f t="shared" si="0"/>
        <v>3.5166341786482903E-2</v>
      </c>
      <c r="BK3" s="66">
        <f t="shared" si="0"/>
        <v>-1.0277316695399791E-2</v>
      </c>
      <c r="BL3" s="66">
        <f t="shared" si="0"/>
        <v>5.0605704383520425E-3</v>
      </c>
      <c r="BM3" s="66">
        <f t="shared" si="0"/>
        <v>0.20337467480521104</v>
      </c>
      <c r="BN3" s="66">
        <f t="shared" si="0"/>
        <v>0.21167393466410467</v>
      </c>
      <c r="BO3" s="66">
        <f t="shared" si="0"/>
        <v>0.22889318926733898</v>
      </c>
      <c r="BP3" s="66">
        <f t="shared" si="0"/>
        <v>0.13165916343799269</v>
      </c>
      <c r="BQ3" s="66">
        <f t="shared" si="0"/>
        <v>0.199425130759979</v>
      </c>
      <c r="BR3" s="66">
        <f t="shared" ref="BR3:CJ3" si="1">(BR2-BV2)/BV2</f>
        <v>0.38701182728038441</v>
      </c>
      <c r="BS3" s="66">
        <f t="shared" si="1"/>
        <v>-0.14848233479039283</v>
      </c>
      <c r="BT3" s="66">
        <f t="shared" si="1"/>
        <v>5.2084140020363191E-2</v>
      </c>
      <c r="BU3" s="66">
        <f t="shared" si="1"/>
        <v>0.40481639074381259</v>
      </c>
      <c r="BV3" s="66">
        <f t="shared" si="1"/>
        <v>1.2039085597019981</v>
      </c>
      <c r="BW3" s="66">
        <f t="shared" si="1"/>
        <v>0.50095688912644831</v>
      </c>
      <c r="BX3" s="66">
        <f t="shared" si="1"/>
        <v>0.45139938346477287</v>
      </c>
      <c r="BY3" s="66">
        <f t="shared" si="1"/>
        <v>2.0767849839592665</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8450087271.3599997</v>
      </c>
      <c r="F4" s="26">
        <f>股权价值增加表!F5</f>
        <v>6350106683.5200005</v>
      </c>
      <c r="G4" s="26">
        <f>股权价值增加表!G5</f>
        <v>4428529135.8999996</v>
      </c>
      <c r="H4" s="26">
        <f>股权价值增加表!H5</f>
        <v>2993353291.3099999</v>
      </c>
      <c r="I4" s="26">
        <f>股权价值增加表!I5</f>
        <v>7314252452.3800001</v>
      </c>
      <c r="J4" s="26">
        <f>股权价值增加表!J5</f>
        <v>5287169637.4300003</v>
      </c>
      <c r="K4" s="26">
        <f>股权价值增加表!K5</f>
        <v>3976153298.8800001</v>
      </c>
      <c r="L4" s="26">
        <f>股权价值增加表!L5</f>
        <v>2661635000.4699998</v>
      </c>
      <c r="M4" s="26">
        <f>股权价值增加表!M5</f>
        <v>6671963269.6700001</v>
      </c>
      <c r="N4" s="26">
        <f>股权价值增加表!N5</f>
        <v>4656198301.6999998</v>
      </c>
      <c r="O4" s="26">
        <f>股权价值增加表!O5</f>
        <v>3376312811.8299999</v>
      </c>
      <c r="P4" s="26">
        <f>股权价值增加表!P5</f>
        <v>2055823734.03</v>
      </c>
      <c r="Q4" s="26">
        <f>股权价值增加表!Q5</f>
        <v>5772029404.0299997</v>
      </c>
      <c r="R4" s="26">
        <f>股权价值增加表!R5</f>
        <v>3787920585.1700001</v>
      </c>
      <c r="S4" s="26">
        <f>股权价值增加表!S5</f>
        <v>2857248428.6700001</v>
      </c>
      <c r="T4" s="26">
        <f>股权价值增加表!T5</f>
        <v>1682004658.98</v>
      </c>
      <c r="U4" s="26">
        <f>股权价值增加表!U5</f>
        <v>6610410852.2399998</v>
      </c>
      <c r="V4" s="26">
        <f>股权价值增加表!V5</f>
        <v>5339450953.04</v>
      </c>
      <c r="W4" s="26">
        <f>股权价值增加表!W5</f>
        <v>4376697218.3699999</v>
      </c>
      <c r="X4" s="26">
        <f>股权价值增加表!X5</f>
        <v>2033064547.8699999</v>
      </c>
      <c r="Y4" s="26">
        <f>股权价值增加表!Y5</f>
        <v>8015724440.8500004</v>
      </c>
      <c r="Z4" s="26">
        <f>股权价值增加表!Z5</f>
        <v>6475620512.3999996</v>
      </c>
      <c r="AA4" s="26">
        <f>股权价值增加表!AA5</f>
        <v>5252285371.5299997</v>
      </c>
      <c r="AB4" s="26">
        <f>股权价值增加表!AB5</f>
        <v>2519558542.4099998</v>
      </c>
      <c r="AC4" s="26">
        <f>股权价值增加表!AC5</f>
        <v>6895411289.1300001</v>
      </c>
      <c r="AD4" s="26">
        <f>股权价值增加表!AD5</f>
        <v>5318811654.6899996</v>
      </c>
      <c r="AE4" s="26">
        <f>股权价值增加表!AE5</f>
        <v>3589356918.8899999</v>
      </c>
      <c r="AF4" s="26">
        <f>股权价值增加表!AF5</f>
        <v>2138107423.97</v>
      </c>
      <c r="AG4" s="26">
        <f>股权价值增加表!AG5</f>
        <v>4863189610.8299999</v>
      </c>
      <c r="AH4" s="26">
        <f>股权价值增加表!AH5</f>
        <v>3862012275.1300001</v>
      </c>
      <c r="AI4" s="26">
        <f>股权价值增加表!AI5</f>
        <v>2470927606.6300001</v>
      </c>
      <c r="AJ4" s="26">
        <f>股权价值增加表!AJ5</f>
        <v>1354048502.05</v>
      </c>
      <c r="AK4" s="26">
        <f>股权价值增加表!AK5</f>
        <v>3860659982.3200002</v>
      </c>
      <c r="AL4" s="26">
        <f>股权价值增加表!AL5</f>
        <v>3030912031.6799998</v>
      </c>
      <c r="AM4" s="26">
        <f>股权价值增加表!AM5</f>
        <v>2029592156.77</v>
      </c>
      <c r="AN4" s="26">
        <f>股权价值增加表!AN5</f>
        <v>1086953253.6500001</v>
      </c>
      <c r="AO4" s="26">
        <f>股权价值增加表!AO5</f>
        <v>3618072871.25</v>
      </c>
      <c r="AP4" s="26">
        <f>股权价值增加表!AP5</f>
        <v>2994697567.3200002</v>
      </c>
      <c r="AQ4" s="26">
        <f>股权价值增加表!AQ5</f>
        <v>1909931131.78</v>
      </c>
      <c r="AR4" s="26">
        <f>股权价值增加表!AR5</f>
        <v>1210862958.6400001</v>
      </c>
      <c r="AS4" s="26">
        <f>股权价值增加表!AS5</f>
        <v>3377979573</v>
      </c>
      <c r="AT4" s="26">
        <f>股权价值增加表!AT5</f>
        <v>2691916727.7199998</v>
      </c>
      <c r="AU4" s="26">
        <f>股权价值增加表!AU5</f>
        <v>1726068014.1400001</v>
      </c>
      <c r="AV4" s="26">
        <f>股权价值增加表!AV5</f>
        <v>1260355739.48</v>
      </c>
      <c r="AW4" s="26">
        <f>股权价值增加表!AW5</f>
        <v>3486534076.8200002</v>
      </c>
      <c r="AX4" s="26">
        <f>股权价值增加表!AX5</f>
        <v>2763275003.6700001</v>
      </c>
      <c r="AY4" s="26">
        <f>股权价值增加表!AY5</f>
        <v>1904934120.6800001</v>
      </c>
      <c r="AZ4" s="26">
        <f>股权价值增加表!AZ5</f>
        <v>1128853611.54</v>
      </c>
      <c r="BA4" s="26">
        <f>股权价值增加表!BA5</f>
        <v>3209547722.3400002</v>
      </c>
      <c r="BB4" s="26">
        <f>股权价值增加表!BB5</f>
        <v>2434453784.54</v>
      </c>
      <c r="BC4" s="26">
        <f>股权价值增加表!BC5</f>
        <v>1840642005.9300001</v>
      </c>
      <c r="BD4" s="26">
        <f>股权价值增加表!BD5</f>
        <v>1190452153.4400001</v>
      </c>
      <c r="BE4" s="26">
        <f>股权价值增加表!BE5</f>
        <v>3219308815.7399998</v>
      </c>
      <c r="BF4" s="26">
        <f>股权价值增加表!BF5</f>
        <v>2411915899.25</v>
      </c>
      <c r="BG4" s="26">
        <f>股权价值增加表!BG5</f>
        <v>1846629284.01</v>
      </c>
      <c r="BH4" s="26">
        <f>股权价值增加表!BH5</f>
        <v>1345869096.0899999</v>
      </c>
      <c r="BI4" s="26">
        <f>股权价值增加表!BI5</f>
        <v>3485512930.8499999</v>
      </c>
      <c r="BJ4" s="26">
        <f>股权价值增加表!BJ5</f>
        <v>2527189390.6100001</v>
      </c>
      <c r="BK4" s="26">
        <f>股权价值增加表!BK5</f>
        <v>1905502286.49</v>
      </c>
      <c r="BL4" s="26">
        <f>股权价值增加表!BL5</f>
        <v>1263173219.8800001</v>
      </c>
      <c r="BM4" s="26">
        <f>股权价值增加表!BM5</f>
        <v>3200544107.3400002</v>
      </c>
      <c r="BN4" s="26">
        <f>股权价值增加表!BN5</f>
        <v>2439984867.3400002</v>
      </c>
      <c r="BO4" s="26">
        <f>股权价值增加表!BO5</f>
        <v>1936175378.28</v>
      </c>
      <c r="BP4" s="26">
        <f>股权价值增加表!BP5</f>
        <v>1318965800.5</v>
      </c>
      <c r="BQ4" s="26">
        <f>股权价值增加表!BQ5</f>
        <v>2643927861.4899998</v>
      </c>
      <c r="BR4" s="26">
        <f>股权价值增加表!BR5</f>
        <v>0</v>
      </c>
      <c r="BS4" s="26">
        <f>股权价值增加表!BS5</f>
        <v>1570152121.23</v>
      </c>
      <c r="BT4" s="26">
        <f>股权价值增加表!BT5</f>
        <v>1238131319.3099999</v>
      </c>
      <c r="BU4" s="26">
        <f>股权价值增加表!BU5</f>
        <v>1930789417.8299999</v>
      </c>
      <c r="BV4" s="26">
        <f>股权价值增加表!BV5</f>
        <v>1153309650.4000001</v>
      </c>
      <c r="BW4" s="26">
        <f>股权价值增加表!BW5</f>
        <v>1576612800.96</v>
      </c>
      <c r="BX4" s="26">
        <f>股权价值增加表!BX5</f>
        <v>924155194.89999998</v>
      </c>
      <c r="BY4" s="26">
        <f>股权价值增加表!BY5</f>
        <v>1486186561.3499999</v>
      </c>
      <c r="BZ4" s="26">
        <f>股权价值增加表!BZ5</f>
        <v>596587847.75999999</v>
      </c>
      <c r="CA4" s="26">
        <f>股权价值增加表!CA5</f>
        <v>1142349023.22</v>
      </c>
      <c r="CB4" s="26">
        <f>股权价值增加表!CB5</f>
        <v>564890120.15999997</v>
      </c>
      <c r="CC4" s="26">
        <f>股权价值增加表!CC5</f>
        <v>391634546.25999999</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0.27992674796155037</v>
      </c>
      <c r="F5" s="66">
        <f t="shared" si="2"/>
        <v>0.28893544596858317</v>
      </c>
      <c r="G5" s="66">
        <f t="shared" si="2"/>
        <v>0.28349612346367842</v>
      </c>
      <c r="H5" s="66">
        <f t="shared" si="2"/>
        <v>0.29465597076055144</v>
      </c>
      <c r="I5" s="66">
        <f t="shared" si="2"/>
        <v>0.29800823994591941</v>
      </c>
      <c r="J5" s="66">
        <f t="shared" si="2"/>
        <v>0.29871615991550932</v>
      </c>
      <c r="K5" s="66">
        <f t="shared" si="2"/>
        <v>0.29995939124923554</v>
      </c>
      <c r="L5" s="66">
        <f t="shared" si="2"/>
        <v>0.30158241853905327</v>
      </c>
      <c r="M5" s="66">
        <f t="shared" si="2"/>
        <v>0.30804168017533218</v>
      </c>
      <c r="N5" s="66">
        <f t="shared" si="2"/>
        <v>0.30771880640187577</v>
      </c>
      <c r="O5" s="66">
        <f t="shared" si="2"/>
        <v>0.30104219155358569</v>
      </c>
      <c r="P5" s="66">
        <f t="shared" si="2"/>
        <v>0.30522508366490181</v>
      </c>
      <c r="Q5" s="66">
        <f t="shared" si="2"/>
        <v>0.27470821831482284</v>
      </c>
      <c r="R5" s="66">
        <f t="shared" si="2"/>
        <v>0.25138316440308078</v>
      </c>
      <c r="S5" s="66">
        <f t="shared" si="2"/>
        <v>0.24499381719628222</v>
      </c>
      <c r="T5" s="66">
        <f t="shared" si="2"/>
        <v>0.25030383913631976</v>
      </c>
      <c r="U5" s="66">
        <f t="shared" si="2"/>
        <v>0.26742671090164882</v>
      </c>
      <c r="V5" s="66">
        <f t="shared" si="2"/>
        <v>0.27859210570601611</v>
      </c>
      <c r="W5" s="66">
        <f t="shared" si="2"/>
        <v>0.28200591035779887</v>
      </c>
      <c r="X5" s="66">
        <f t="shared" si="2"/>
        <v>0.23433741903115185</v>
      </c>
      <c r="Y5" s="66">
        <f t="shared" si="2"/>
        <v>0.29468441967964554</v>
      </c>
      <c r="Z5" s="66">
        <f t="shared" si="2"/>
        <v>0.30651498382021669</v>
      </c>
      <c r="AA5" s="66">
        <f t="shared" si="2"/>
        <v>0.3489957996711156</v>
      </c>
      <c r="AB5" s="66">
        <f t="shared" si="2"/>
        <v>0.3061189689287096</v>
      </c>
      <c r="AC5" s="66">
        <f t="shared" si="2"/>
        <v>0.33883095158384785</v>
      </c>
      <c r="AD5" s="66">
        <f t="shared" si="2"/>
        <v>0.33988678525748384</v>
      </c>
      <c r="AE5" s="66">
        <f t="shared" si="2"/>
        <v>0.33878380776747996</v>
      </c>
      <c r="AF5" s="66">
        <f t="shared" si="2"/>
        <v>0.34239536875045085</v>
      </c>
      <c r="AG5" s="66">
        <f t="shared" si="2"/>
        <v>0.31292037673647799</v>
      </c>
      <c r="AH5" s="66">
        <f t="shared" si="2"/>
        <v>0.33665532144807286</v>
      </c>
      <c r="AI5" s="66">
        <f t="shared" si="2"/>
        <v>0.32612850738379501</v>
      </c>
      <c r="AJ5" s="66">
        <f t="shared" si="2"/>
        <v>0.30132649358598457</v>
      </c>
      <c r="AK5" s="66">
        <f t="shared" ref="AK5:BP5" si="3">AK4/AK2</f>
        <v>0.34689401338670467</v>
      </c>
      <c r="AL5" s="66">
        <f t="shared" si="3"/>
        <v>0.37746361036219428</v>
      </c>
      <c r="AM5" s="66">
        <f t="shared" si="3"/>
        <v>0.38001010743207386</v>
      </c>
      <c r="AN5" s="66">
        <f t="shared" si="3"/>
        <v>0.32554712464193203</v>
      </c>
      <c r="AO5" s="66">
        <f t="shared" si="3"/>
        <v>0.45607481763828711</v>
      </c>
      <c r="AP5" s="66">
        <f t="shared" si="3"/>
        <v>0.45521255379548492</v>
      </c>
      <c r="AQ5" s="66">
        <f t="shared" si="3"/>
        <v>0.41544828558742747</v>
      </c>
      <c r="AR5" s="66">
        <f t="shared" si="3"/>
        <v>0.39235420642105534</v>
      </c>
      <c r="AS5" s="66">
        <f t="shared" si="3"/>
        <v>0.46093386555314658</v>
      </c>
      <c r="AT5" s="66">
        <f t="shared" si="3"/>
        <v>0.44545566946409182</v>
      </c>
      <c r="AU5" s="66">
        <f t="shared" si="3"/>
        <v>0.39744773590370797</v>
      </c>
      <c r="AV5" s="66">
        <f t="shared" si="3"/>
        <v>0.41874334410981834</v>
      </c>
      <c r="AW5" s="66">
        <f t="shared" si="3"/>
        <v>0.47203727600807621</v>
      </c>
      <c r="AX5" s="66">
        <f t="shared" si="3"/>
        <v>0.46398525534405799</v>
      </c>
      <c r="AY5" s="66">
        <f t="shared" si="3"/>
        <v>0.43323379330354528</v>
      </c>
      <c r="AZ5" s="66">
        <f t="shared" si="3"/>
        <v>0.41343187911296786</v>
      </c>
      <c r="BA5" s="66">
        <f t="shared" si="3"/>
        <v>0.50002679386802573</v>
      </c>
      <c r="BB5" s="66">
        <f t="shared" si="3"/>
        <v>0.49004949055080899</v>
      </c>
      <c r="BC5" s="66">
        <f t="shared" si="3"/>
        <v>0.48348716606468312</v>
      </c>
      <c r="BD5" s="66">
        <f t="shared" si="3"/>
        <v>0.48207128780182817</v>
      </c>
      <c r="BE5" s="66">
        <f t="shared" si="3"/>
        <v>0.51119748502473539</v>
      </c>
      <c r="BF5" s="66">
        <f t="shared" si="3"/>
        <v>0.52683982193245493</v>
      </c>
      <c r="BG5" s="66">
        <f t="shared" si="3"/>
        <v>0.53412462637648606</v>
      </c>
      <c r="BH5" s="66">
        <f t="shared" si="3"/>
        <v>0.5493470326230846</v>
      </c>
      <c r="BI5" s="66">
        <f t="shared" si="3"/>
        <v>0.55036524055347347</v>
      </c>
      <c r="BJ5" s="66">
        <f t="shared" si="3"/>
        <v>0.54453681430948753</v>
      </c>
      <c r="BK5" s="66">
        <f t="shared" si="3"/>
        <v>0.55605635647001639</v>
      </c>
      <c r="BL5" s="66">
        <f t="shared" si="3"/>
        <v>0.55532448871699525</v>
      </c>
      <c r="BM5" s="66">
        <f t="shared" si="3"/>
        <v>0.56085767578225953</v>
      </c>
      <c r="BN5" s="66">
        <f t="shared" si="3"/>
        <v>0.5442353308417901</v>
      </c>
      <c r="BO5" s="66">
        <f t="shared" si="3"/>
        <v>0.55920050172380831</v>
      </c>
      <c r="BP5" s="66">
        <f t="shared" si="3"/>
        <v>0.5827867724841207</v>
      </c>
      <c r="BQ5" s="66">
        <f t="shared" ref="BQ5:CK5" si="4">BQ4/BQ2</f>
        <v>0.55754422287249839</v>
      </c>
      <c r="BR5" s="66">
        <f t="shared" si="4"/>
        <v>0</v>
      </c>
      <c r="BS5" s="66">
        <f t="shared" si="4"/>
        <v>0.55728676215334083</v>
      </c>
      <c r="BT5" s="66">
        <f t="shared" si="4"/>
        <v>0.61909672278353789</v>
      </c>
      <c r="BU5" s="66">
        <f t="shared" si="4"/>
        <v>0.48835739975512582</v>
      </c>
      <c r="BV5" s="66">
        <f t="shared" si="4"/>
        <v>0.43232609993254401</v>
      </c>
      <c r="BW5" s="66">
        <f t="shared" si="4"/>
        <v>0.47649210271746689</v>
      </c>
      <c r="BX5" s="66">
        <f t="shared" si="4"/>
        <v>0.4861689052217848</v>
      </c>
      <c r="BY5" s="66">
        <f t="shared" si="4"/>
        <v>0.52807518330104342</v>
      </c>
      <c r="BZ5" s="66">
        <f t="shared" si="4"/>
        <v>0.49287127003746617</v>
      </c>
      <c r="CA5" s="66">
        <f t="shared" si="4"/>
        <v>0.51820033798694265</v>
      </c>
      <c r="CB5" s="66">
        <f t="shared" si="4"/>
        <v>0.43131363007419027</v>
      </c>
      <c r="CC5" s="66">
        <f t="shared" si="4"/>
        <v>0.42815455628935167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0.15529062284559345</v>
      </c>
      <c r="F6" s="66">
        <f t="shared" ref="F6:BQ6" si="5">(F4-J4)/J4</f>
        <v>0.20104084396404481</v>
      </c>
      <c r="G6" s="66">
        <f t="shared" si="5"/>
        <v>0.11377223236021217</v>
      </c>
      <c r="H6" s="66">
        <f t="shared" si="5"/>
        <v>0.12462951936739046</v>
      </c>
      <c r="I6" s="66">
        <f t="shared" si="5"/>
        <v>9.62668942782966E-2</v>
      </c>
      <c r="J6" s="66">
        <f t="shared" si="5"/>
        <v>0.13551212702853097</v>
      </c>
      <c r="K6" s="66">
        <f t="shared" si="5"/>
        <v>0.17766140771917394</v>
      </c>
      <c r="L6" s="66">
        <f t="shared" si="5"/>
        <v>0.29468054892645745</v>
      </c>
      <c r="M6" s="66">
        <f t="shared" si="5"/>
        <v>0.1559129038760044</v>
      </c>
      <c r="N6" s="66">
        <f t="shared" si="5"/>
        <v>0.2292227878085337</v>
      </c>
      <c r="O6" s="66">
        <f t="shared" si="5"/>
        <v>0.18166582154762628</v>
      </c>
      <c r="P6" s="66">
        <f t="shared" si="5"/>
        <v>0.22224615910201523</v>
      </c>
      <c r="Q6" s="66">
        <f t="shared" si="5"/>
        <v>-0.12682743432292209</v>
      </c>
      <c r="R6" s="66">
        <f t="shared" si="5"/>
        <v>-0.29057863467902834</v>
      </c>
      <c r="S6" s="66">
        <f t="shared" si="5"/>
        <v>-0.3471679017050861</v>
      </c>
      <c r="T6" s="66">
        <f t="shared" si="5"/>
        <v>-0.17267523023693376</v>
      </c>
      <c r="U6" s="66">
        <f t="shared" si="5"/>
        <v>-0.17531959824469451</v>
      </c>
      <c r="V6" s="66">
        <f t="shared" si="5"/>
        <v>-0.17545338816324671</v>
      </c>
      <c r="W6" s="66">
        <f t="shared" si="5"/>
        <v>-0.16670612718534361</v>
      </c>
      <c r="X6" s="66">
        <f t="shared" si="5"/>
        <v>-0.19308699772249005</v>
      </c>
      <c r="Y6" s="66">
        <f t="shared" si="5"/>
        <v>0.16247227391440361</v>
      </c>
      <c r="Z6" s="66">
        <f t="shared" si="5"/>
        <v>0.21749385629964052</v>
      </c>
      <c r="AA6" s="66">
        <f t="shared" si="5"/>
        <v>0.46329425861450874</v>
      </c>
      <c r="AB6" s="66">
        <f t="shared" si="5"/>
        <v>0.17840596509025169</v>
      </c>
      <c r="AC6" s="66">
        <f t="shared" si="5"/>
        <v>0.41787835575532106</v>
      </c>
      <c r="AD6" s="66">
        <f t="shared" si="5"/>
        <v>0.37721251921990895</v>
      </c>
      <c r="AE6" s="66">
        <f t="shared" si="5"/>
        <v>0.45263540269614821</v>
      </c>
      <c r="AF6" s="66">
        <f t="shared" si="5"/>
        <v>0.57904788545827712</v>
      </c>
      <c r="AG6" s="66">
        <f t="shared" si="5"/>
        <v>0.25967830192275726</v>
      </c>
      <c r="AH6" s="66">
        <f t="shared" si="5"/>
        <v>0.27420797263763902</v>
      </c>
      <c r="AI6" s="66">
        <f t="shared" si="5"/>
        <v>0.21745031305322182</v>
      </c>
      <c r="AJ6" s="66">
        <f t="shared" si="5"/>
        <v>0.24572836734522971</v>
      </c>
      <c r="AK6" s="66">
        <f t="shared" si="5"/>
        <v>6.7048707890228113E-2</v>
      </c>
      <c r="AL6" s="66">
        <f t="shared" si="5"/>
        <v>1.2092861982189581E-2</v>
      </c>
      <c r="AM6" s="66">
        <f t="shared" si="5"/>
        <v>6.2652010325879887E-2</v>
      </c>
      <c r="AN6" s="66">
        <f t="shared" si="5"/>
        <v>-0.1023317330056666</v>
      </c>
      <c r="AO6" s="66">
        <f t="shared" si="5"/>
        <v>7.1076006548130774E-2</v>
      </c>
      <c r="AP6" s="66">
        <f t="shared" si="5"/>
        <v>0.11247778821763546</v>
      </c>
      <c r="AQ6" s="66">
        <f t="shared" si="5"/>
        <v>0.10652136308290738</v>
      </c>
      <c r="AR6" s="66">
        <f t="shared" si="5"/>
        <v>-3.926889789101904E-2</v>
      </c>
      <c r="AS6" s="66">
        <f t="shared" si="5"/>
        <v>-3.1135362921509323E-2</v>
      </c>
      <c r="AT6" s="66">
        <f t="shared" si="5"/>
        <v>-2.5823805395853442E-2</v>
      </c>
      <c r="AU6" s="66">
        <f t="shared" si="5"/>
        <v>-9.3896216461360107E-2</v>
      </c>
      <c r="AV6" s="66">
        <f t="shared" si="5"/>
        <v>0.11649174578145945</v>
      </c>
      <c r="AW6" s="66">
        <f t="shared" si="5"/>
        <v>8.6300743420028123E-2</v>
      </c>
      <c r="AX6" s="66">
        <f t="shared" si="5"/>
        <v>0.13506981369627119</v>
      </c>
      <c r="AY6" s="66">
        <f t="shared" si="5"/>
        <v>3.4929179353111559E-2</v>
      </c>
      <c r="AZ6" s="66">
        <f t="shared" si="5"/>
        <v>-5.174381996118143E-2</v>
      </c>
      <c r="BA6" s="66">
        <f t="shared" si="5"/>
        <v>-3.0320463051805436E-3</v>
      </c>
      <c r="BB6" s="66">
        <f t="shared" si="5"/>
        <v>9.3443910283141519E-3</v>
      </c>
      <c r="BC6" s="66">
        <f t="shared" si="5"/>
        <v>-3.2422739809467361E-3</v>
      </c>
      <c r="BD6" s="66">
        <f t="shared" si="5"/>
        <v>-0.11547701266156939</v>
      </c>
      <c r="BE6" s="66">
        <f t="shared" si="5"/>
        <v>-7.637444484966574E-2</v>
      </c>
      <c r="BF6" s="66">
        <f t="shared" si="5"/>
        <v>-4.561331722438737E-2</v>
      </c>
      <c r="BG6" s="66">
        <f t="shared" si="5"/>
        <v>-3.0896316891041938E-2</v>
      </c>
      <c r="BH6" s="66">
        <f t="shared" si="5"/>
        <v>6.5466774396828811E-2</v>
      </c>
      <c r="BI6" s="66">
        <f t="shared" si="5"/>
        <v>8.9037617965165239E-2</v>
      </c>
      <c r="BJ6" s="66">
        <f t="shared" si="5"/>
        <v>3.573978037210853E-2</v>
      </c>
      <c r="BK6" s="66">
        <f t="shared" si="5"/>
        <v>-1.5842104043926216E-2</v>
      </c>
      <c r="BL6" s="66">
        <f t="shared" si="5"/>
        <v>-4.2300248117767544E-2</v>
      </c>
      <c r="BM6" s="66">
        <f t="shared" si="5"/>
        <v>0.21052626055247828</v>
      </c>
      <c r="BN6" s="66" t="e">
        <f t="shared" si="5"/>
        <v>#DIV/0!</v>
      </c>
      <c r="BO6" s="66">
        <f t="shared" si="5"/>
        <v>0.2331132455900328</v>
      </c>
      <c r="BP6" s="66">
        <f t="shared" si="5"/>
        <v>6.528748601161985E-2</v>
      </c>
      <c r="BQ6" s="66">
        <f t="shared" si="5"/>
        <v>0.36935071068573128</v>
      </c>
      <c r="BR6" s="66">
        <f t="shared" ref="BR6:CJ6" si="6">(BR4-BV4)/BV4</f>
        <v>-1</v>
      </c>
      <c r="BS6" s="66">
        <f t="shared" si="6"/>
        <v>-4.0978227032446449E-3</v>
      </c>
      <c r="BT6" s="66">
        <f t="shared" si="6"/>
        <v>0.33974393710352335</v>
      </c>
      <c r="BU6" s="66">
        <f t="shared" si="6"/>
        <v>0.29915682730715742</v>
      </c>
      <c r="BV6" s="66">
        <f t="shared" si="6"/>
        <v>0.93317657195049419</v>
      </c>
      <c r="BW6" s="66">
        <f t="shared" si="6"/>
        <v>0.38014982191337421</v>
      </c>
      <c r="BX6" s="66">
        <f t="shared" si="6"/>
        <v>0.63599107493372597</v>
      </c>
      <c r="BY6" s="66">
        <f t="shared" si="6"/>
        <v>2.7948300923467158</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21736693137.779999</v>
      </c>
      <c r="F7" s="27">
        <f>股权价值增加表!F6</f>
        <v>15627489946.18</v>
      </c>
      <c r="G7" s="27">
        <f>股权价值增加表!G6</f>
        <v>11192598524.66</v>
      </c>
      <c r="H7" s="27">
        <f>股权价值增加表!H6</f>
        <v>7165454227.7900009</v>
      </c>
      <c r="I7" s="27">
        <f>股权价值增加表!I6</f>
        <v>17229540208.209999</v>
      </c>
      <c r="J7" s="27">
        <f>股权价值增加表!J6</f>
        <v>12412474194.779999</v>
      </c>
      <c r="K7" s="27">
        <f>股权价值增加表!K6</f>
        <v>9279485347.1399994</v>
      </c>
      <c r="L7" s="27">
        <f>股权价值增加表!L6</f>
        <v>6163929213</v>
      </c>
      <c r="M7" s="27">
        <f>股权价值增加表!M6</f>
        <v>14987324089.99</v>
      </c>
      <c r="N7" s="27">
        <f>股权价值增加表!N6</f>
        <v>10475143055.509998</v>
      </c>
      <c r="O7" s="27">
        <f>股权价值增加表!O6</f>
        <v>7839101195.1100006</v>
      </c>
      <c r="P7" s="27">
        <f>股权价值增加表!P6</f>
        <v>4679611340.1300001</v>
      </c>
      <c r="Q7" s="27">
        <f>股权价值增加表!Q6</f>
        <v>15239462132.110001</v>
      </c>
      <c r="R7" s="27">
        <f>股权价值增加表!R6</f>
        <v>11280393930.5</v>
      </c>
      <c r="S7" s="27">
        <f>股权价值增加表!S6</f>
        <v>8805284370.6000004</v>
      </c>
      <c r="T7" s="27">
        <f>股权价值增加表!T6</f>
        <v>5037846961.2900009</v>
      </c>
      <c r="U7" s="27">
        <f>股权价值增加表!U6</f>
        <v>18108177765.75</v>
      </c>
      <c r="V7" s="27">
        <f>股权价值增加表!V6</f>
        <v>13826386282.399998</v>
      </c>
      <c r="W7" s="27">
        <f>股权价值增加表!W6</f>
        <v>11143180406.950001</v>
      </c>
      <c r="X7" s="27">
        <f>股权价值增加表!X6</f>
        <v>6642735314.8900003</v>
      </c>
      <c r="Y7" s="27">
        <f>股权价值增加表!Y6</f>
        <v>19185321510.489998</v>
      </c>
      <c r="Z7" s="27">
        <f>股权价值增加表!Z6</f>
        <v>14650982930.250002</v>
      </c>
      <c r="AA7" s="27">
        <f>股权价值增加表!AA6</f>
        <v>9797424041.8199997</v>
      </c>
      <c r="AB7" s="27">
        <f>股权价值增加表!AB6</f>
        <v>5711092930.21</v>
      </c>
      <c r="AC7" s="27">
        <f>股权价值增加表!AC6</f>
        <v>13455183179.579998</v>
      </c>
      <c r="AD7" s="27">
        <f>股权价值增加表!AD6</f>
        <v>10329962835.5</v>
      </c>
      <c r="AE7" s="27">
        <f>股权价值增加表!AE6</f>
        <v>7005473284.3100014</v>
      </c>
      <c r="AF7" s="27">
        <f>股权价值增加表!AF6</f>
        <v>4106449655.6799994</v>
      </c>
      <c r="AG7" s="27">
        <f>股权价值增加表!AG6</f>
        <v>10678110900.02</v>
      </c>
      <c r="AH7" s="27">
        <f>股权价值增加表!AH6</f>
        <v>7609697895.7300005</v>
      </c>
      <c r="AI7" s="27">
        <f>股权价值增加表!AI6</f>
        <v>5105618296.8599997</v>
      </c>
      <c r="AJ7" s="27">
        <f>股权价值增加表!AJ6</f>
        <v>3139577285.5</v>
      </c>
      <c r="AK7" s="27">
        <f>股权价值增加表!AK6</f>
        <v>7268560567.2900009</v>
      </c>
      <c r="AL7" s="27">
        <f>股权价值增加表!AL6</f>
        <v>4998768044.6900005</v>
      </c>
      <c r="AM7" s="27">
        <f>股权价值增加表!AM6</f>
        <v>3311297775.0400004</v>
      </c>
      <c r="AN7" s="27">
        <f>股权价值增加表!AN6</f>
        <v>2251897472.9400001</v>
      </c>
      <c r="AO7" s="27">
        <f>股权价值增加表!AO6</f>
        <v>4314995851.96</v>
      </c>
      <c r="AP7" s="27">
        <f>股权价值增加表!AP6</f>
        <v>3583982089.7999997</v>
      </c>
      <c r="AQ7" s="27">
        <f>股权价值增加表!AQ6</f>
        <v>2687346551.2400007</v>
      </c>
      <c r="AR7" s="27">
        <f>股权价值增加表!AR6</f>
        <v>1875284555.0699999</v>
      </c>
      <c r="AS7" s="27">
        <f>股权价值增加表!AS6</f>
        <v>3950576268.6199999</v>
      </c>
      <c r="AT7" s="27">
        <f>股权价值增加表!AT6</f>
        <v>3351146392.2500005</v>
      </c>
      <c r="AU7" s="27">
        <f>股权价值增加表!AU6</f>
        <v>2616812466.0199995</v>
      </c>
      <c r="AV7" s="27">
        <f>股权价值增加表!AV6</f>
        <v>1749496852.1100001</v>
      </c>
      <c r="AW7" s="27">
        <f>股权价值增加表!AW6</f>
        <v>3899607344.6900001</v>
      </c>
      <c r="AX7" s="27">
        <f>股权价值增加表!AX6</f>
        <v>3192248306.2699995</v>
      </c>
      <c r="AY7" s="27">
        <f>股权价值增加表!AY6</f>
        <v>2492077724.0199995</v>
      </c>
      <c r="AZ7" s="27">
        <f>股权价值增加表!AZ6</f>
        <v>1601592850.3099999</v>
      </c>
      <c r="BA7" s="27">
        <f>股权价值增加表!BA6</f>
        <v>3209203755.9799995</v>
      </c>
      <c r="BB7" s="27">
        <f>股权价值增加表!BB6</f>
        <v>2533317494.6499996</v>
      </c>
      <c r="BC7" s="27">
        <f>股权价值增加表!BC6</f>
        <v>1966371158.2699997</v>
      </c>
      <c r="BD7" s="27">
        <f>股权价值增加表!BD6</f>
        <v>1279000360.25</v>
      </c>
      <c r="BE7" s="27">
        <f>股权价值增加表!BE6</f>
        <v>3078274623.2399998</v>
      </c>
      <c r="BF7" s="27">
        <f>股权价值增加表!BF6</f>
        <v>2166166088.5600004</v>
      </c>
      <c r="BG7" s="27">
        <f>股权价值增加表!BG6</f>
        <v>1610671115.22</v>
      </c>
      <c r="BH7" s="27">
        <f>股权价值增加表!BH6</f>
        <v>1104074229.6499999</v>
      </c>
      <c r="BI7" s="27">
        <f>股权价值增加表!BI6</f>
        <v>2847577667.9400001</v>
      </c>
      <c r="BJ7" s="27">
        <f>股权价值增加表!BJ6</f>
        <v>2113799655.8600001</v>
      </c>
      <c r="BK7" s="27">
        <f>股权价值增加表!BK6</f>
        <v>1521312755.3999999</v>
      </c>
      <c r="BL7" s="27">
        <f>股权价值增加表!BL6</f>
        <v>1011484652.3099999</v>
      </c>
      <c r="BM7" s="27">
        <f>股权价值增加表!BM6</f>
        <v>2505973331.1099997</v>
      </c>
      <c r="BN7" s="27">
        <f>股权价值增加表!BN6</f>
        <v>2043341975.0500002</v>
      </c>
      <c r="BO7" s="27">
        <f>股权价值增加表!BO6</f>
        <v>1526223836.8700001</v>
      </c>
      <c r="BP7" s="27">
        <f>股权价值增加表!BP6</f>
        <v>944238964.55999994</v>
      </c>
      <c r="BQ7" s="27">
        <f>股权价值增加表!BQ6</f>
        <v>2098167479.1599998</v>
      </c>
      <c r="BR7" s="27">
        <f>股权价值增加表!BR6</f>
        <v>3700110000</v>
      </c>
      <c r="BS7" s="27">
        <f>股权价值增加表!BS6</f>
        <v>1247341901.3499999</v>
      </c>
      <c r="BT7" s="27">
        <f>股权价值增加表!BT6</f>
        <v>761768330.85000014</v>
      </c>
      <c r="BU7" s="27">
        <f>股权价值增加表!BU6</f>
        <v>2022850721.1300001</v>
      </c>
      <c r="BV7" s="27">
        <f>股权价值增加表!BV6</f>
        <v>1514374883.52</v>
      </c>
      <c r="BW7" s="27">
        <f>股权价值增加表!BW6</f>
        <v>1732178240.8400002</v>
      </c>
      <c r="BX7" s="27">
        <f>股权价值增加表!BX6</f>
        <v>976738064.57000005</v>
      </c>
      <c r="BY7" s="27">
        <f>股权价值增加表!BY6</f>
        <v>1328159971.77</v>
      </c>
      <c r="BZ7" s="27">
        <f>股权价值增加表!BZ6</f>
        <v>613845553.47000003</v>
      </c>
      <c r="CA7" s="27">
        <f>股权价值增加表!CA6</f>
        <v>1062105392.3399999</v>
      </c>
      <c r="CB7" s="27">
        <f>股权价值增加表!CB6</f>
        <v>744806770.38999999</v>
      </c>
      <c r="CC7" s="27">
        <f>股权价值增加表!CC6</f>
        <v>523069129.10000002</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0.72007325203844963</v>
      </c>
      <c r="F8" s="66">
        <f t="shared" ref="F8:BQ8" si="7">F7/F2</f>
        <v>0.71106455403141677</v>
      </c>
      <c r="G8" s="66">
        <f t="shared" si="7"/>
        <v>0.71650387653632153</v>
      </c>
      <c r="H8" s="66">
        <f t="shared" si="7"/>
        <v>0.70534402923944861</v>
      </c>
      <c r="I8" s="66">
        <f t="shared" si="7"/>
        <v>0.70199176005408059</v>
      </c>
      <c r="J8" s="66">
        <f t="shared" si="7"/>
        <v>0.70128384008449063</v>
      </c>
      <c r="K8" s="66">
        <f t="shared" si="7"/>
        <v>0.70004060875076435</v>
      </c>
      <c r="L8" s="66">
        <f t="shared" si="7"/>
        <v>0.69841758146094679</v>
      </c>
      <c r="M8" s="66">
        <f t="shared" si="7"/>
        <v>0.69195831982466782</v>
      </c>
      <c r="N8" s="66">
        <f t="shared" si="7"/>
        <v>0.69228119359812412</v>
      </c>
      <c r="O8" s="66">
        <f t="shared" si="7"/>
        <v>0.69895780844641431</v>
      </c>
      <c r="P8" s="66">
        <f t="shared" si="7"/>
        <v>0.69477491633509825</v>
      </c>
      <c r="Q8" s="66">
        <f t="shared" si="7"/>
        <v>0.72529178168517716</v>
      </c>
      <c r="R8" s="66">
        <f t="shared" si="7"/>
        <v>0.74861683559691927</v>
      </c>
      <c r="S8" s="66">
        <f t="shared" si="7"/>
        <v>0.75500618280371778</v>
      </c>
      <c r="T8" s="66">
        <f t="shared" si="7"/>
        <v>0.74969616086368029</v>
      </c>
      <c r="U8" s="66">
        <f t="shared" si="7"/>
        <v>0.73257328909835107</v>
      </c>
      <c r="V8" s="66">
        <f t="shared" si="7"/>
        <v>0.72140789429398378</v>
      </c>
      <c r="W8" s="66">
        <f t="shared" si="7"/>
        <v>0.71799408964220124</v>
      </c>
      <c r="X8" s="66">
        <f t="shared" si="7"/>
        <v>0.76566258096884821</v>
      </c>
      <c r="Y8" s="66">
        <f t="shared" si="7"/>
        <v>0.70531558032035435</v>
      </c>
      <c r="Z8" s="66">
        <f t="shared" si="7"/>
        <v>0.69348501617978331</v>
      </c>
      <c r="AA8" s="66">
        <f t="shared" si="7"/>
        <v>0.65100420032888429</v>
      </c>
      <c r="AB8" s="66">
        <f t="shared" si="7"/>
        <v>0.6938810310712904</v>
      </c>
      <c r="AC8" s="66">
        <f t="shared" si="7"/>
        <v>0.66116904841615209</v>
      </c>
      <c r="AD8" s="66">
        <f t="shared" si="7"/>
        <v>0.66011321474251616</v>
      </c>
      <c r="AE8" s="66">
        <f t="shared" si="7"/>
        <v>0.66121619223252004</v>
      </c>
      <c r="AF8" s="66">
        <f t="shared" si="7"/>
        <v>0.65760463124954915</v>
      </c>
      <c r="AG8" s="66">
        <f t="shared" si="7"/>
        <v>0.68707962326352201</v>
      </c>
      <c r="AH8" s="66">
        <f t="shared" si="7"/>
        <v>0.66334467855192714</v>
      </c>
      <c r="AI8" s="66">
        <f t="shared" si="7"/>
        <v>0.67387149261620505</v>
      </c>
      <c r="AJ8" s="66">
        <f t="shared" si="7"/>
        <v>0.69867350641401538</v>
      </c>
      <c r="AK8" s="66">
        <f t="shared" si="7"/>
        <v>0.65310598661329533</v>
      </c>
      <c r="AL8" s="66">
        <f t="shared" si="7"/>
        <v>0.62253638963780578</v>
      </c>
      <c r="AM8" s="66">
        <f t="shared" si="7"/>
        <v>0.61998989256792614</v>
      </c>
      <c r="AN8" s="66">
        <f t="shared" si="7"/>
        <v>0.67445287535806797</v>
      </c>
      <c r="AO8" s="66">
        <f t="shared" si="7"/>
        <v>0.54392518236171283</v>
      </c>
      <c r="AP8" s="66">
        <f t="shared" si="7"/>
        <v>0.54478744620451514</v>
      </c>
      <c r="AQ8" s="66">
        <f t="shared" si="7"/>
        <v>0.58455171441257259</v>
      </c>
      <c r="AR8" s="66">
        <f t="shared" si="7"/>
        <v>0.60764579357894466</v>
      </c>
      <c r="AS8" s="66">
        <f t="shared" si="7"/>
        <v>0.53906613444685347</v>
      </c>
      <c r="AT8" s="66">
        <f t="shared" si="7"/>
        <v>0.55454433053590824</v>
      </c>
      <c r="AU8" s="66">
        <f t="shared" si="7"/>
        <v>0.60255226409629192</v>
      </c>
      <c r="AV8" s="66">
        <f t="shared" si="7"/>
        <v>0.58125665589018161</v>
      </c>
      <c r="AW8" s="66">
        <f t="shared" si="7"/>
        <v>0.52796272399192379</v>
      </c>
      <c r="AX8" s="66">
        <f t="shared" si="7"/>
        <v>0.53601474465594201</v>
      </c>
      <c r="AY8" s="66">
        <f t="shared" si="7"/>
        <v>0.56676620669645461</v>
      </c>
      <c r="AZ8" s="66">
        <f t="shared" si="7"/>
        <v>0.58656812088703214</v>
      </c>
      <c r="BA8" s="66">
        <f t="shared" si="7"/>
        <v>0.49997320613197421</v>
      </c>
      <c r="BB8" s="66">
        <f t="shared" si="7"/>
        <v>0.50995050944919107</v>
      </c>
      <c r="BC8" s="66">
        <f t="shared" si="7"/>
        <v>0.51651283393531688</v>
      </c>
      <c r="BD8" s="66">
        <f t="shared" si="7"/>
        <v>0.51792871219817183</v>
      </c>
      <c r="BE8" s="66">
        <f t="shared" si="7"/>
        <v>0.48880251497526461</v>
      </c>
      <c r="BF8" s="66">
        <f t="shared" si="7"/>
        <v>0.47316017806754507</v>
      </c>
      <c r="BG8" s="66">
        <f t="shared" si="7"/>
        <v>0.46587537362351389</v>
      </c>
      <c r="BH8" s="66">
        <f t="shared" si="7"/>
        <v>0.45065296737691546</v>
      </c>
      <c r="BI8" s="66">
        <f t="shared" si="7"/>
        <v>0.44963475944652648</v>
      </c>
      <c r="BJ8" s="66">
        <f t="shared" si="7"/>
        <v>0.45546318569051247</v>
      </c>
      <c r="BK8" s="66">
        <f t="shared" si="7"/>
        <v>0.44394364352998356</v>
      </c>
      <c r="BL8" s="66">
        <f t="shared" si="7"/>
        <v>0.44467551128300475</v>
      </c>
      <c r="BM8" s="66">
        <f t="shared" si="7"/>
        <v>0.43914232421774047</v>
      </c>
      <c r="BN8" s="66">
        <f t="shared" si="7"/>
        <v>0.45576466915820985</v>
      </c>
      <c r="BO8" s="66">
        <f t="shared" si="7"/>
        <v>0.44079949827619175</v>
      </c>
      <c r="BP8" s="66">
        <f t="shared" si="7"/>
        <v>0.4172132275158793</v>
      </c>
      <c r="BQ8" s="66">
        <f t="shared" si="7"/>
        <v>0.44245577712750156</v>
      </c>
      <c r="BR8" s="66">
        <f t="shared" ref="BR8:CJ8" si="8">BR7/BR2</f>
        <v>1</v>
      </c>
      <c r="BS8" s="66">
        <f t="shared" si="8"/>
        <v>0.44271323784665911</v>
      </c>
      <c r="BT8" s="66">
        <f t="shared" si="8"/>
        <v>0.38090327721646211</v>
      </c>
      <c r="BU8" s="66">
        <f t="shared" si="8"/>
        <v>0.51164260024487418</v>
      </c>
      <c r="BV8" s="66">
        <f t="shared" si="8"/>
        <v>0.56767390006745599</v>
      </c>
      <c r="BW8" s="66">
        <f t="shared" si="8"/>
        <v>0.52350789728253311</v>
      </c>
      <c r="BX8" s="66">
        <f t="shared" si="8"/>
        <v>0.5138310947782152</v>
      </c>
      <c r="BY8" s="66">
        <f t="shared" si="8"/>
        <v>0.47192481669895664</v>
      </c>
      <c r="BZ8" s="66">
        <f t="shared" si="8"/>
        <v>0.50712872996253378</v>
      </c>
      <c r="CA8" s="66">
        <f t="shared" si="8"/>
        <v>0.48179966201305741</v>
      </c>
      <c r="CB8" s="66">
        <f t="shared" si="8"/>
        <v>0.56868636992580968</v>
      </c>
      <c r="CC8" s="66">
        <f t="shared" si="8"/>
        <v>0.57184544371064827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0.26159449846620453</v>
      </c>
      <c r="F9" s="66">
        <f t="shared" ref="F9:BQ9" si="9">(F7-J7)/J7</f>
        <v>0.25901489912076187</v>
      </c>
      <c r="G9" s="66">
        <f t="shared" si="9"/>
        <v>0.20616587083782992</v>
      </c>
      <c r="H9" s="66">
        <f t="shared" si="9"/>
        <v>0.16248158928849155</v>
      </c>
      <c r="I9" s="66">
        <f t="shared" si="9"/>
        <v>0.14960750196344727</v>
      </c>
      <c r="J9" s="66">
        <f t="shared" si="9"/>
        <v>0.1849455543474369</v>
      </c>
      <c r="K9" s="66">
        <f t="shared" si="9"/>
        <v>0.18374353336942564</v>
      </c>
      <c r="L9" s="66">
        <f t="shared" si="9"/>
        <v>0.31718828017643991</v>
      </c>
      <c r="M9" s="66">
        <f t="shared" si="9"/>
        <v>-1.6545074880873811E-2</v>
      </c>
      <c r="N9" s="66">
        <f t="shared" si="9"/>
        <v>-7.1384995945288687E-2</v>
      </c>
      <c r="O9" s="66">
        <f t="shared" si="9"/>
        <v>-0.10972765158113379</v>
      </c>
      <c r="P9" s="66">
        <f t="shared" si="9"/>
        <v>-7.1108873277141049E-2</v>
      </c>
      <c r="Q9" s="66">
        <f t="shared" si="9"/>
        <v>-0.15842100021051916</v>
      </c>
      <c r="R9" s="66">
        <f t="shared" si="9"/>
        <v>-0.18414011440869868</v>
      </c>
      <c r="S9" s="66">
        <f t="shared" si="9"/>
        <v>-0.20980509611886519</v>
      </c>
      <c r="T9" s="66">
        <f t="shared" si="9"/>
        <v>-0.24160052712059255</v>
      </c>
      <c r="U9" s="66">
        <f t="shared" si="9"/>
        <v>-5.6144159176641673E-2</v>
      </c>
      <c r="V9" s="66">
        <f t="shared" si="9"/>
        <v>-5.6282684361569552E-2</v>
      </c>
      <c r="W9" s="66">
        <f t="shared" si="9"/>
        <v>0.13735818306788417</v>
      </c>
      <c r="X9" s="66">
        <f t="shared" si="9"/>
        <v>0.16312856331786976</v>
      </c>
      <c r="Y9" s="66">
        <f t="shared" si="9"/>
        <v>0.42586847421046153</v>
      </c>
      <c r="Z9" s="66">
        <f t="shared" si="9"/>
        <v>0.41829967479654073</v>
      </c>
      <c r="AA9" s="66">
        <f t="shared" si="9"/>
        <v>0.39853849186222245</v>
      </c>
      <c r="AB9" s="66">
        <f t="shared" si="9"/>
        <v>0.39076170635879448</v>
      </c>
      <c r="AC9" s="66">
        <f t="shared" si="9"/>
        <v>0.2600714963125918</v>
      </c>
      <c r="AD9" s="66">
        <f t="shared" si="9"/>
        <v>0.35747344730944064</v>
      </c>
      <c r="AE9" s="66">
        <f t="shared" si="9"/>
        <v>0.37211065868720139</v>
      </c>
      <c r="AF9" s="66">
        <f t="shared" si="9"/>
        <v>0.30796259567982509</v>
      </c>
      <c r="AG9" s="66">
        <f t="shared" si="9"/>
        <v>0.46908191809994249</v>
      </c>
      <c r="AH9" s="66">
        <f t="shared" si="9"/>
        <v>0.52231466387272973</v>
      </c>
      <c r="AI9" s="66">
        <f t="shared" si="9"/>
        <v>0.54187833403123153</v>
      </c>
      <c r="AJ9" s="66">
        <f t="shared" si="9"/>
        <v>0.39419193068371611</v>
      </c>
      <c r="AK9" s="66">
        <f t="shared" si="9"/>
        <v>0.68448842517158004</v>
      </c>
      <c r="AL9" s="66">
        <f t="shared" si="9"/>
        <v>0.39475251813240825</v>
      </c>
      <c r="AM9" s="66">
        <f t="shared" si="9"/>
        <v>0.23218115412472384</v>
      </c>
      <c r="AN9" s="66">
        <f t="shared" si="9"/>
        <v>0.20082974439894646</v>
      </c>
      <c r="AO9" s="66">
        <f t="shared" si="9"/>
        <v>9.2244664717559752E-2</v>
      </c>
      <c r="AP9" s="66">
        <f t="shared" si="9"/>
        <v>6.9479416980548714E-2</v>
      </c>
      <c r="AQ9" s="66">
        <f t="shared" si="9"/>
        <v>2.6954199483495641E-2</v>
      </c>
      <c r="AR9" s="66">
        <f t="shared" si="9"/>
        <v>7.1899359411988731E-2</v>
      </c>
      <c r="AS9" s="66">
        <f t="shared" si="9"/>
        <v>1.3070270779801194E-2</v>
      </c>
      <c r="AT9" s="66">
        <f t="shared" si="9"/>
        <v>4.9776230021926562E-2</v>
      </c>
      <c r="AU9" s="66">
        <f t="shared" si="9"/>
        <v>5.0052508715012684E-2</v>
      </c>
      <c r="AV9" s="66">
        <f t="shared" si="9"/>
        <v>9.2348065721804581E-2</v>
      </c>
      <c r="AW9" s="66">
        <f t="shared" si="9"/>
        <v>0.21513236341678496</v>
      </c>
      <c r="AX9" s="66">
        <f t="shared" si="9"/>
        <v>0.26010589395587663</v>
      </c>
      <c r="AY9" s="66">
        <f t="shared" si="9"/>
        <v>0.26734859466333555</v>
      </c>
      <c r="AZ9" s="66">
        <f t="shared" si="9"/>
        <v>0.25222236059178621</v>
      </c>
      <c r="BA9" s="66">
        <f t="shared" si="9"/>
        <v>4.253328528635042E-2</v>
      </c>
      <c r="BB9" s="66">
        <f t="shared" si="9"/>
        <v>0.16949365426271168</v>
      </c>
      <c r="BC9" s="66">
        <f t="shared" si="9"/>
        <v>0.2208396485718408</v>
      </c>
      <c r="BD9" s="66">
        <f t="shared" si="9"/>
        <v>0.15843692924111913</v>
      </c>
      <c r="BE9" s="66">
        <f t="shared" si="9"/>
        <v>8.1015158215821712E-2</v>
      </c>
      <c r="BF9" s="66">
        <f t="shared" si="9"/>
        <v>2.477360262351589E-2</v>
      </c>
      <c r="BG9" s="66">
        <f t="shared" si="9"/>
        <v>5.8737665547611291E-2</v>
      </c>
      <c r="BH9" s="66">
        <f t="shared" si="9"/>
        <v>9.1538291884653386E-2</v>
      </c>
      <c r="BI9" s="66">
        <f t="shared" si="9"/>
        <v>0.13631603041788543</v>
      </c>
      <c r="BJ9" s="66">
        <f t="shared" si="9"/>
        <v>3.4481590291941151E-2</v>
      </c>
      <c r="BK9" s="66">
        <f t="shared" si="9"/>
        <v>-3.2177989567192039E-3</v>
      </c>
      <c r="BL9" s="66">
        <f t="shared" si="9"/>
        <v>7.1216810864541472E-2</v>
      </c>
      <c r="BM9" s="66">
        <f t="shared" si="9"/>
        <v>0.19436286950423265</v>
      </c>
      <c r="BN9" s="66">
        <f t="shared" si="9"/>
        <v>-0.44776183004018794</v>
      </c>
      <c r="BO9" s="66">
        <f t="shared" si="9"/>
        <v>0.22358098867533105</v>
      </c>
      <c r="BP9" s="66">
        <f t="shared" si="9"/>
        <v>0.23953559936837293</v>
      </c>
      <c r="BQ9" s="66">
        <f t="shared" si="9"/>
        <v>3.7232978807218389E-2</v>
      </c>
      <c r="BR9" s="66">
        <f t="shared" ref="BR9:CK9" si="10">(BR7-BV7)/BV7</f>
        <v>1.4433249918933522</v>
      </c>
      <c r="BS9" s="66">
        <f t="shared" si="10"/>
        <v>-0.27989979787235081</v>
      </c>
      <c r="BT9" s="66">
        <f t="shared" si="10"/>
        <v>-0.22008944006358383</v>
      </c>
      <c r="BU9" s="66">
        <f t="shared" si="10"/>
        <v>0.52304749738407341</v>
      </c>
      <c r="BV9" s="66">
        <f t="shared" si="10"/>
        <v>1.4670291654951457</v>
      </c>
      <c r="BW9" s="66">
        <f t="shared" si="10"/>
        <v>0.63089110867210185</v>
      </c>
      <c r="BX9" s="66">
        <f t="shared" si="10"/>
        <v>0.31139794024503142</v>
      </c>
      <c r="BY9" s="66">
        <f t="shared" si="10"/>
        <v>1.5391671920215411</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3494696079.6799998</v>
      </c>
      <c r="F10" s="27">
        <f>股权价值增加表!F8</f>
        <v>2330495982.27</v>
      </c>
      <c r="G10" s="27">
        <f>股权价值增加表!G8</f>
        <v>1428602683.29</v>
      </c>
      <c r="H10" s="27">
        <f>股权价值增加表!H8</f>
        <v>761977874.67999995</v>
      </c>
      <c r="I10" s="27">
        <f>股权价值增加表!I8</f>
        <v>1941174540.51</v>
      </c>
      <c r="J10" s="27">
        <f>股权价值增加表!J8</f>
        <v>1369574668.29</v>
      </c>
      <c r="K10" s="27">
        <f>股权价值增加表!K8</f>
        <v>1036442502.02</v>
      </c>
      <c r="L10" s="27">
        <f>股权价值增加表!L8</f>
        <v>681549806.35000002</v>
      </c>
      <c r="M10" s="27">
        <f>股权价值增加表!M8</f>
        <v>1784675660.3199999</v>
      </c>
      <c r="N10" s="27">
        <f>股权价值增加表!N8</f>
        <v>1185882023.5999999</v>
      </c>
      <c r="O10" s="27">
        <f>股权价值增加表!O8</f>
        <v>885174940.63999999</v>
      </c>
      <c r="P10" s="27">
        <f>股权价值增加表!P8</f>
        <v>496842872.54000002</v>
      </c>
      <c r="Q10" s="27">
        <f>股权价值增加表!Q8</f>
        <v>1517236398.1900001</v>
      </c>
      <c r="R10" s="27">
        <f>股权价值增加表!R8</f>
        <v>1056567930.21</v>
      </c>
      <c r="S10" s="27">
        <f>股权价值增加表!S8</f>
        <v>834773708.13</v>
      </c>
      <c r="T10" s="27">
        <f>股权价值增加表!T8</f>
        <v>448817685.83999997</v>
      </c>
      <c r="U10" s="27">
        <f>股权价值增加表!U8</f>
        <v>1849030035.48</v>
      </c>
      <c r="V10" s="27">
        <f>股权价值增加表!V8</f>
        <v>1359146268.04</v>
      </c>
      <c r="W10" s="27">
        <f>股权价值增加表!W8</f>
        <v>1097569220.4100001</v>
      </c>
      <c r="X10" s="27">
        <f>股权价值增加表!X8</f>
        <v>587146311.77999997</v>
      </c>
      <c r="Y10" s="27">
        <f>股权价值增加表!Y8</f>
        <v>2005704155.21</v>
      </c>
      <c r="Z10" s="27">
        <f>股权价值增加表!Z8</f>
        <v>1558027610.6700001</v>
      </c>
      <c r="AA10" s="27">
        <f>股权价值增加表!AA8</f>
        <v>1125809503.8199999</v>
      </c>
      <c r="AB10" s="27">
        <f>股权价值增加表!AB8</f>
        <v>649332785.17999995</v>
      </c>
      <c r="AC10" s="27">
        <f>股权价值增加表!AC8</f>
        <v>1601644134.96</v>
      </c>
      <c r="AD10" s="27">
        <f>股权价值增加表!AD8</f>
        <v>1220745003.9000001</v>
      </c>
      <c r="AE10" s="27">
        <f>股权价值增加表!AE8</f>
        <v>818818580.22000003</v>
      </c>
      <c r="AF10" s="27">
        <f>股权价值增加表!AF8</f>
        <v>467757266.18000001</v>
      </c>
      <c r="AG10" s="27">
        <f>股权价值增加表!AG8</f>
        <v>1392170702.8499999</v>
      </c>
      <c r="AH10" s="27">
        <f>股权价值增加表!AH8</f>
        <v>949959547.03999996</v>
      </c>
      <c r="AI10" s="27">
        <f>股权价值增加表!AI8</f>
        <v>639437722.14999998</v>
      </c>
      <c r="AJ10" s="27">
        <f>股权价值增加表!AJ8</f>
        <v>362049254.75</v>
      </c>
      <c r="AK10" s="27">
        <f>股权价值增加表!AK8</f>
        <v>798585260.89999998</v>
      </c>
      <c r="AL10" s="27">
        <f>股权价值增加表!AL8</f>
        <v>534455603.97000003</v>
      </c>
      <c r="AM10" s="27">
        <f>股权价值增加表!AM8</f>
        <v>353016371.48000002</v>
      </c>
      <c r="AN10" s="27">
        <f>股权价值增加表!AN8</f>
        <v>229195199.34999999</v>
      </c>
      <c r="AO10" s="27">
        <f>股权价值增加表!AO8</f>
        <v>565747370.87</v>
      </c>
      <c r="AP10" s="27">
        <f>股权价值增加表!AP8</f>
        <v>459472285.37</v>
      </c>
      <c r="AQ10" s="27">
        <f>股权价值增加表!AQ8</f>
        <v>314631402.13999999</v>
      </c>
      <c r="AR10" s="27">
        <f>股权价值增加表!AR8</f>
        <v>193215185.18000001</v>
      </c>
      <c r="AS10" s="27">
        <f>股权价值增加表!AS8</f>
        <v>582633454.80999994</v>
      </c>
      <c r="AT10" s="27">
        <f>股权价值增加表!AT8</f>
        <v>449601518.04000002</v>
      </c>
      <c r="AU10" s="27">
        <f>股权价值增加表!AU8</f>
        <v>315913759.26999998</v>
      </c>
      <c r="AV10" s="27">
        <f>股权价值增加表!AV8</f>
        <v>203169122.56999999</v>
      </c>
      <c r="AW10" s="27">
        <f>股权价值增加表!AW8</f>
        <v>686318177.30999994</v>
      </c>
      <c r="AX10" s="27">
        <f>股权价值增加表!AX8</f>
        <v>556090845.54999995</v>
      </c>
      <c r="AY10" s="27">
        <f>股权价值增加表!AY8</f>
        <v>413944767.72000003</v>
      </c>
      <c r="AZ10" s="27">
        <f>股权价值增加表!AZ8</f>
        <v>278713692.88999999</v>
      </c>
      <c r="BA10" s="27">
        <f>股权价值增加表!BA8</f>
        <v>795539034.54999995</v>
      </c>
      <c r="BB10" s="27">
        <f>股权价值增加表!BB8</f>
        <v>611160237.39999998</v>
      </c>
      <c r="BC10" s="27">
        <f>股权价值增加表!BC8</f>
        <v>349006847.58999997</v>
      </c>
      <c r="BD10" s="27">
        <f>股权价值增加表!BD8</f>
        <v>217156441.12</v>
      </c>
      <c r="BE10" s="27">
        <f>股权价值增加表!BE8</f>
        <v>612558108.15999997</v>
      </c>
      <c r="BF10" s="27">
        <f>股权价值增加表!BF8</f>
        <v>430574801.92000002</v>
      </c>
      <c r="BG10" s="27">
        <f>股权价值增加表!BG8</f>
        <v>300816347.13999999</v>
      </c>
      <c r="BH10" s="27">
        <f>股权价值增加表!BH8</f>
        <v>197581411.83000001</v>
      </c>
      <c r="BI10" s="27">
        <f>股权价值增加表!BI8</f>
        <v>676350429.50999999</v>
      </c>
      <c r="BJ10" s="27">
        <f>股权价值增加表!BJ8</f>
        <v>542818070.96000004</v>
      </c>
      <c r="BK10" s="27">
        <f>股权价值增加表!BK8</f>
        <v>390629189.02999997</v>
      </c>
      <c r="BL10" s="27">
        <f>股权价值增加表!BL8</f>
        <v>235175805.53</v>
      </c>
      <c r="BM10" s="27">
        <f>股权价值增加表!BM8</f>
        <v>771795760.16999996</v>
      </c>
      <c r="BN10" s="27">
        <f>股权价值增加表!BN8</f>
        <v>632756339.84000003</v>
      </c>
      <c r="BO10" s="27">
        <f>股权价值增加表!BO8</f>
        <v>497304015.00999999</v>
      </c>
      <c r="BP10" s="27">
        <f>股权价值增加表!BP8</f>
        <v>301207000.88</v>
      </c>
      <c r="BQ10" s="27">
        <f>股权价值增加表!BQ8</f>
        <v>456967130.48000002</v>
      </c>
      <c r="BR10" s="27">
        <f>股权价值增加表!BR8</f>
        <v>0</v>
      </c>
      <c r="BS10" s="27">
        <f>股权价值增加表!BS8</f>
        <v>224259442.81</v>
      </c>
      <c r="BT10" s="27">
        <f>股权价值增加表!BT8</f>
        <v>153490045</v>
      </c>
      <c r="BU10" s="27">
        <f>股权价值增加表!BU8</f>
        <v>214538084.22999999</v>
      </c>
      <c r="BV10" s="27">
        <f>股权价值增加表!BV8</f>
        <v>163719979.69999999</v>
      </c>
      <c r="BW10" s="27">
        <f>股权价值增加表!BW8</f>
        <v>234582285.06999999</v>
      </c>
      <c r="BX10" s="27">
        <f>股权价值增加表!BX8</f>
        <v>132301100.94</v>
      </c>
      <c r="BY10" s="27">
        <f>股权价值增加表!BY8</f>
        <v>197975432.55000001</v>
      </c>
      <c r="BZ10" s="27">
        <f>股权价值增加表!BZ8</f>
        <v>126982521.55</v>
      </c>
      <c r="CA10" s="27">
        <f>股权价值增加表!CA8</f>
        <v>270374752.13999999</v>
      </c>
      <c r="CB10" s="27">
        <f>股权价值增加表!CB8</f>
        <v>158639410.75999999</v>
      </c>
      <c r="CC10" s="27">
        <f>股权价值增加表!CC8</f>
        <v>123488650.38</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0.11576908939324547</v>
      </c>
      <c r="F11" s="57">
        <f t="shared" ref="F11:BQ11" si="11">F10/F2</f>
        <v>0.10603961941501025</v>
      </c>
      <c r="G11" s="57">
        <f t="shared" si="11"/>
        <v>9.1453236560950446E-2</v>
      </c>
      <c r="H11" s="57">
        <f t="shared" si="11"/>
        <v>7.5006625851250092E-2</v>
      </c>
      <c r="I11" s="57">
        <f t="shared" si="11"/>
        <v>7.9090243604728064E-2</v>
      </c>
      <c r="J11" s="57">
        <f t="shared" si="11"/>
        <v>7.7378656953403402E-2</v>
      </c>
      <c r="K11" s="57">
        <f t="shared" si="11"/>
        <v>7.8188801739189795E-2</v>
      </c>
      <c r="L11" s="57">
        <f t="shared" si="11"/>
        <v>7.7224502577386042E-2</v>
      </c>
      <c r="M11" s="57">
        <f t="shared" si="11"/>
        <v>8.2397709152883927E-2</v>
      </c>
      <c r="N11" s="57">
        <f t="shared" si="11"/>
        <v>7.8372564309041493E-2</v>
      </c>
      <c r="O11" s="57">
        <f t="shared" si="11"/>
        <v>7.8924856460248494E-2</v>
      </c>
      <c r="P11" s="57">
        <f t="shared" si="11"/>
        <v>7.3765520277391E-2</v>
      </c>
      <c r="Q11" s="57">
        <f t="shared" si="11"/>
        <v>7.2209837915615679E-2</v>
      </c>
      <c r="R11" s="57">
        <f t="shared" si="11"/>
        <v>7.0118521159831304E-2</v>
      </c>
      <c r="S11" s="57">
        <f t="shared" si="11"/>
        <v>7.157739425026538E-2</v>
      </c>
      <c r="T11" s="57">
        <f t="shared" si="11"/>
        <v>6.6789820847557149E-2</v>
      </c>
      <c r="U11" s="57">
        <f t="shared" si="11"/>
        <v>7.4803220525879455E-2</v>
      </c>
      <c r="V11" s="57">
        <f t="shared" si="11"/>
        <v>7.0915048027579544E-2</v>
      </c>
      <c r="W11" s="57">
        <f t="shared" si="11"/>
        <v>7.0720223890126818E-2</v>
      </c>
      <c r="X11" s="57">
        <f t="shared" si="11"/>
        <v>6.7676331988738764E-2</v>
      </c>
      <c r="Y11" s="57">
        <f t="shared" si="11"/>
        <v>7.3736287891208591E-2</v>
      </c>
      <c r="Z11" s="57">
        <f t="shared" si="11"/>
        <v>7.3747188699754843E-2</v>
      </c>
      <c r="AA11" s="57">
        <f t="shared" si="11"/>
        <v>7.4806062555688876E-2</v>
      </c>
      <c r="AB11" s="57">
        <f t="shared" si="11"/>
        <v>7.8892027847378018E-2</v>
      </c>
      <c r="AC11" s="57">
        <f t="shared" si="11"/>
        <v>7.8702572419818179E-2</v>
      </c>
      <c r="AD11" s="57">
        <f t="shared" si="11"/>
        <v>7.8008984324316785E-2</v>
      </c>
      <c r="AE11" s="57">
        <f t="shared" si="11"/>
        <v>7.728472892115712E-2</v>
      </c>
      <c r="AF11" s="57">
        <f t="shared" si="11"/>
        <v>7.4906396116442786E-2</v>
      </c>
      <c r="AG11" s="57">
        <f t="shared" si="11"/>
        <v>8.9578777649789998E-2</v>
      </c>
      <c r="AH11" s="57">
        <f t="shared" si="11"/>
        <v>8.2808886634274534E-2</v>
      </c>
      <c r="AI11" s="57">
        <f t="shared" si="11"/>
        <v>8.4396997034684965E-2</v>
      </c>
      <c r="AJ11" s="57">
        <f t="shared" si="11"/>
        <v>8.0569515991538609E-2</v>
      </c>
      <c r="AK11" s="57">
        <f t="shared" si="11"/>
        <v>7.1755722455152951E-2</v>
      </c>
      <c r="AL11" s="57">
        <f t="shared" si="11"/>
        <v>6.6560012215531858E-2</v>
      </c>
      <c r="AM11" s="57">
        <f t="shared" si="11"/>
        <v>6.6096919424880302E-2</v>
      </c>
      <c r="AN11" s="57">
        <f t="shared" si="11"/>
        <v>6.8644937470468834E-2</v>
      </c>
      <c r="AO11" s="57">
        <f t="shared" si="11"/>
        <v>7.131507246556143E-2</v>
      </c>
      <c r="AP11" s="57">
        <f t="shared" si="11"/>
        <v>6.9842629420741056E-2</v>
      </c>
      <c r="AQ11" s="57">
        <f t="shared" si="11"/>
        <v>6.8438633433453008E-2</v>
      </c>
      <c r="AR11" s="57">
        <f t="shared" si="11"/>
        <v>6.260724230505986E-2</v>
      </c>
      <c r="AS11" s="57">
        <f t="shared" si="11"/>
        <v>7.9501810097582198E-2</v>
      </c>
      <c r="AT11" s="57">
        <f t="shared" si="11"/>
        <v>7.4399606476761734E-2</v>
      </c>
      <c r="AU11" s="57">
        <f t="shared" si="11"/>
        <v>7.2742908931806738E-2</v>
      </c>
      <c r="AV11" s="57">
        <f t="shared" si="11"/>
        <v>6.7501353102037739E-2</v>
      </c>
      <c r="AW11" s="57">
        <f t="shared" si="11"/>
        <v>9.2919717907281985E-2</v>
      </c>
      <c r="AX11" s="57">
        <f t="shared" si="11"/>
        <v>9.3373968433951515E-2</v>
      </c>
      <c r="AY11" s="57">
        <f t="shared" si="11"/>
        <v>9.4142290796635941E-2</v>
      </c>
      <c r="AZ11" s="57">
        <f t="shared" si="11"/>
        <v>0.10207623433903881</v>
      </c>
      <c r="BA11" s="57">
        <f t="shared" si="11"/>
        <v>0.12393984051836494</v>
      </c>
      <c r="BB11" s="57">
        <f t="shared" si="11"/>
        <v>0.12302503538360371</v>
      </c>
      <c r="BC11" s="57">
        <f t="shared" si="11"/>
        <v>9.1674715199819845E-2</v>
      </c>
      <c r="BD11" s="57">
        <f t="shared" si="11"/>
        <v>8.7937079136424526E-2</v>
      </c>
      <c r="BE11" s="57">
        <f t="shared" si="11"/>
        <v>9.7268756197569986E-2</v>
      </c>
      <c r="BF11" s="57">
        <f t="shared" si="11"/>
        <v>9.4051352305722341E-2</v>
      </c>
      <c r="BG11" s="57">
        <f t="shared" si="11"/>
        <v>8.7009027970782332E-2</v>
      </c>
      <c r="BH11" s="57">
        <f t="shared" si="11"/>
        <v>8.0647339778899166E-2</v>
      </c>
      <c r="BI11" s="57">
        <f t="shared" si="11"/>
        <v>0.10679626620835386</v>
      </c>
      <c r="BJ11" s="57">
        <f t="shared" si="11"/>
        <v>0.11696172206501433</v>
      </c>
      <c r="BK11" s="57">
        <f t="shared" si="11"/>
        <v>0.11399190917947975</v>
      </c>
      <c r="BL11" s="57">
        <f t="shared" si="11"/>
        <v>0.10338952877496999</v>
      </c>
      <c r="BM11" s="57">
        <f t="shared" si="11"/>
        <v>0.13524812085383456</v>
      </c>
      <c r="BN11" s="57">
        <f t="shared" si="11"/>
        <v>0.14113544742205014</v>
      </c>
      <c r="BO11" s="57">
        <f t="shared" si="11"/>
        <v>0.14362988901857623</v>
      </c>
      <c r="BP11" s="57">
        <f t="shared" si="11"/>
        <v>0.13308870921894453</v>
      </c>
      <c r="BQ11" s="57">
        <f t="shared" si="11"/>
        <v>9.6363969438320804E-2</v>
      </c>
      <c r="BR11" s="57">
        <f t="shared" ref="BR11:CJ11" si="12">BR10/BR2</f>
        <v>0</v>
      </c>
      <c r="BS11" s="57">
        <f t="shared" si="12"/>
        <v>7.9595357084251764E-2</v>
      </c>
      <c r="BT11" s="57">
        <f t="shared" si="12"/>
        <v>7.6748873368581355E-2</v>
      </c>
      <c r="BU11" s="57">
        <f t="shared" si="12"/>
        <v>5.4263432353363845E-2</v>
      </c>
      <c r="BV11" s="57">
        <f t="shared" si="12"/>
        <v>6.1371566846932776E-2</v>
      </c>
      <c r="BW11" s="57">
        <f t="shared" si="12"/>
        <v>7.0896675585287477E-2</v>
      </c>
      <c r="BX11" s="57">
        <f t="shared" si="12"/>
        <v>6.9599437149294591E-2</v>
      </c>
      <c r="BY11" s="57">
        <f t="shared" si="12"/>
        <v>7.0345080188303377E-2</v>
      </c>
      <c r="BZ11" s="57">
        <f t="shared" si="12"/>
        <v>0.10490665692219399</v>
      </c>
      <c r="CA11" s="57">
        <f t="shared" si="12"/>
        <v>0.12264928239458124</v>
      </c>
      <c r="CB11" s="57">
        <f t="shared" si="12"/>
        <v>0.12112681331432362</v>
      </c>
      <c r="CC11" s="57">
        <f t="shared" si="12"/>
        <v>0.13500399496197341</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3625397914.0599999</v>
      </c>
      <c r="F12" s="27">
        <f>股权价值增加表!F9</f>
        <v>2696626088.8800001</v>
      </c>
      <c r="G12" s="27">
        <f>股权价值增加表!G9</f>
        <v>2174133716.02</v>
      </c>
      <c r="H12" s="27">
        <f>股权价值增加表!H9</f>
        <v>1096463607.3</v>
      </c>
      <c r="I12" s="27">
        <f>股权价值增加表!I9</f>
        <v>4694545075.8500004</v>
      </c>
      <c r="J12" s="27">
        <f>股权价值增加表!J9</f>
        <v>3042710866.3499999</v>
      </c>
      <c r="K12" s="27">
        <f>股权价值增加表!K9</f>
        <v>2195621788.48</v>
      </c>
      <c r="L12" s="27">
        <f>股权价值增加表!L9</f>
        <v>1125781380.21</v>
      </c>
      <c r="M12" s="27">
        <f>股权价值增加表!M9</f>
        <v>3568061356.21</v>
      </c>
      <c r="N12" s="27">
        <f>股权价值增加表!N9</f>
        <v>2197272200.48</v>
      </c>
      <c r="O12" s="27">
        <f>股权价值增加表!O9</f>
        <v>1850332525.5599999</v>
      </c>
      <c r="P12" s="27">
        <f>股权价值增加表!P9</f>
        <v>816948847.00999999</v>
      </c>
      <c r="Q12" s="27">
        <f>股权价值增加表!Q9</f>
        <v>4308897447.5699997</v>
      </c>
      <c r="R12" s="27">
        <f>股权价值增加表!R9</f>
        <v>2894737834.0100002</v>
      </c>
      <c r="S12" s="27">
        <f>股权价值增加表!S9</f>
        <v>1791032877.01</v>
      </c>
      <c r="T12" s="27">
        <f>股权价值增加表!T9</f>
        <v>638101750.49000001</v>
      </c>
      <c r="U12" s="27">
        <f>股权价值增加表!U9</f>
        <v>3382176991.3499999</v>
      </c>
      <c r="V12" s="27">
        <f>股权价值增加表!V9</f>
        <v>1552031028.3399999</v>
      </c>
      <c r="W12" s="27">
        <f>股权价值增加表!W9</f>
        <v>1195041137.1700001</v>
      </c>
      <c r="X12" s="27">
        <f>股权价值增加表!X9</f>
        <v>504185088.00999999</v>
      </c>
      <c r="Y12" s="27">
        <f>股权价值增加表!Y9</f>
        <v>2258966257.29</v>
      </c>
      <c r="Z12" s="27">
        <f>股权价值增加表!Z9</f>
        <v>1604891282.3499999</v>
      </c>
      <c r="AA12" s="27">
        <f>股权价值增加表!AA9</f>
        <v>1215125573.74</v>
      </c>
      <c r="AB12" s="27">
        <f>股权价值增加表!AB9</f>
        <v>482961749.50999999</v>
      </c>
      <c r="AC12" s="27">
        <f>股权价值增加表!AC9</f>
        <v>2069991386.1500001</v>
      </c>
      <c r="AD12" s="27">
        <f>股权价值增加表!AD9</f>
        <v>1480296163.3299999</v>
      </c>
      <c r="AE12" s="27">
        <f>股权价值增加表!AE9</f>
        <v>954816987.75</v>
      </c>
      <c r="AF12" s="27">
        <f>股权价值增加表!AF9</f>
        <v>386635240.64999998</v>
      </c>
      <c r="AG12" s="27">
        <f>股权价值增加表!AG9</f>
        <v>1803233837.6800001</v>
      </c>
      <c r="AH12" s="27">
        <f>股权价值增加表!AH9</f>
        <v>1036561699.9400001</v>
      </c>
      <c r="AI12" s="27">
        <f>股权价值增加表!AI9</f>
        <v>773415888.91999996</v>
      </c>
      <c r="AJ12" s="27">
        <f>股权价值增加表!AJ9</f>
        <v>351594259.31</v>
      </c>
      <c r="AK12" s="27">
        <f>股权价值增加表!AK9</f>
        <v>1164153836.1700001</v>
      </c>
      <c r="AL12" s="27">
        <f>股权价值增加表!AL9</f>
        <v>772950147.42999995</v>
      </c>
      <c r="AM12" s="27">
        <f>股权价值增加表!AM9</f>
        <v>484683782.69999999</v>
      </c>
      <c r="AN12" s="27">
        <f>股权价值增加表!AN9</f>
        <v>201341294</v>
      </c>
      <c r="AO12" s="27">
        <f>股权价值增加表!AO9</f>
        <v>890832654.12</v>
      </c>
      <c r="AP12" s="27">
        <f>股权价值增加表!AP9</f>
        <v>642056969.50999999</v>
      </c>
      <c r="AQ12" s="27">
        <f>股权价值增加表!AQ9</f>
        <v>412268629.73000002</v>
      </c>
      <c r="AR12" s="27">
        <f>股权价值增加表!AR9</f>
        <v>191259723.78</v>
      </c>
      <c r="AS12" s="27">
        <f>股权价值增加表!AS9</f>
        <v>782758181.11000001</v>
      </c>
      <c r="AT12" s="27">
        <f>股权价值增加表!AT9</f>
        <v>572401037.52999997</v>
      </c>
      <c r="AU12" s="27">
        <f>股权价值增加表!AU9</f>
        <v>364868396.85000002</v>
      </c>
      <c r="AV12" s="27">
        <f>股权价值增加表!AV9</f>
        <v>283165137.94</v>
      </c>
      <c r="AW12" s="27">
        <f>股权价值增加表!AW9</f>
        <v>1005292875.11</v>
      </c>
      <c r="AX12" s="27">
        <f>股权价值增加表!AX9</f>
        <v>770050949.13</v>
      </c>
      <c r="AY12" s="27">
        <f>股权价值增加表!AY9</f>
        <v>616714289.07000005</v>
      </c>
      <c r="AZ12" s="27">
        <f>股权价值增加表!AZ9</f>
        <v>365975456.14999998</v>
      </c>
      <c r="BA12" s="27">
        <f>股权价值增加表!BA9</f>
        <v>864010470.38</v>
      </c>
      <c r="BB12" s="27">
        <f>股权价值增加表!BB9</f>
        <v>525083962.75</v>
      </c>
      <c r="BC12" s="27">
        <f>股权价值增加表!BC9</f>
        <v>473957767.24000001</v>
      </c>
      <c r="BD12" s="27">
        <f>股权价值增加表!BD9</f>
        <v>265137290.88999999</v>
      </c>
      <c r="BE12" s="27">
        <f>股权价值增加表!BE9</f>
        <v>805873049.33000004</v>
      </c>
      <c r="BF12" s="27">
        <f>股权价值增加表!BF9</f>
        <v>410271794.06999999</v>
      </c>
      <c r="BG12" s="27">
        <f>股权价值增加表!BG9</f>
        <v>288900281.58999997</v>
      </c>
      <c r="BH12" s="27">
        <f>股权价值增加表!BH9</f>
        <v>207267783.87</v>
      </c>
      <c r="BI12" s="27">
        <f>股权价值增加表!BI9</f>
        <v>693133050.20000005</v>
      </c>
      <c r="BJ12" s="27">
        <f>股权价值增加表!BJ9</f>
        <v>400176892.02999997</v>
      </c>
      <c r="BK12" s="27">
        <f>股权价值增加表!BK9</f>
        <v>284300322.06</v>
      </c>
      <c r="BL12" s="27">
        <f>股权价值增加表!BL9</f>
        <v>177334630.08000001</v>
      </c>
      <c r="BM12" s="27">
        <f>股权价值增加表!BM9</f>
        <v>490557853.07999998</v>
      </c>
      <c r="BN12" s="27">
        <f>股权价值增加表!BN9</f>
        <v>414199424</v>
      </c>
      <c r="BO12" s="27">
        <f>股权价值增加表!BO9</f>
        <v>321007216.29000002</v>
      </c>
      <c r="BP12" s="27">
        <f>股权价值增加表!BP9</f>
        <v>170323063.34999999</v>
      </c>
      <c r="BQ12" s="27">
        <f>股权价值增加表!BQ9</f>
        <v>345465316.55000001</v>
      </c>
      <c r="BR12" s="27">
        <f>股权价值增加表!BR9</f>
        <v>0</v>
      </c>
      <c r="BS12" s="27">
        <f>股权价值增加表!BS9</f>
        <v>214005459.25</v>
      </c>
      <c r="BT12" s="27">
        <f>股权价值增加表!BT9</f>
        <v>152235661.08000001</v>
      </c>
      <c r="BU12" s="27">
        <f>股权价值增加表!BU9</f>
        <v>587572449.04999995</v>
      </c>
      <c r="BV12" s="27">
        <f>股权价值增加表!BV9</f>
        <v>461791453.66000003</v>
      </c>
      <c r="BW12" s="27">
        <f>股权价值增加表!BW9</f>
        <v>449730853.39999998</v>
      </c>
      <c r="BX12" s="27">
        <f>股权价值增加表!BX9</f>
        <v>311560399.13</v>
      </c>
      <c r="BY12" s="27">
        <f>股权价值增加表!BY9</f>
        <v>342697922.81</v>
      </c>
      <c r="BZ12" s="27">
        <f>股权价值增加表!BZ9</f>
        <v>152190024.56</v>
      </c>
      <c r="CA12" s="27">
        <f>股权价值增加表!CA9</f>
        <v>205458922.97999999</v>
      </c>
      <c r="CB12" s="27">
        <f>股权价值增加表!CB9</f>
        <v>143092621.77000001</v>
      </c>
      <c r="CC12" s="27">
        <f>股权价值增加表!CC9</f>
        <v>33040032.620000001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0.12009885999509562</v>
      </c>
      <c r="F13" s="57">
        <f t="shared" ref="F13:BQ13" si="13">F12/F2</f>
        <v>0.12269886167788902</v>
      </c>
      <c r="G13" s="57">
        <f t="shared" si="13"/>
        <v>0.13917905053098195</v>
      </c>
      <c r="H13" s="57">
        <f t="shared" si="13"/>
        <v>0.10793231442159847</v>
      </c>
      <c r="I13" s="57">
        <f t="shared" si="13"/>
        <v>0.19127219418651778</v>
      </c>
      <c r="J13" s="57">
        <f t="shared" si="13"/>
        <v>0.17190802793516344</v>
      </c>
      <c r="K13" s="57">
        <f t="shared" si="13"/>
        <v>0.16563681668700544</v>
      </c>
      <c r="L13" s="57">
        <f t="shared" si="13"/>
        <v>0.12755913990085513</v>
      </c>
      <c r="M13" s="57">
        <f t="shared" si="13"/>
        <v>0.1647358612017607</v>
      </c>
      <c r="N13" s="57">
        <f t="shared" si="13"/>
        <v>0.14521331246241512</v>
      </c>
      <c r="O13" s="57">
        <f t="shared" si="13"/>
        <v>0.16498120572410704</v>
      </c>
      <c r="P13" s="57">
        <f t="shared" si="13"/>
        <v>0.12129117688984399</v>
      </c>
      <c r="Q13" s="57">
        <f t="shared" si="13"/>
        <v>0.20507337330901274</v>
      </c>
      <c r="R13" s="57">
        <f t="shared" si="13"/>
        <v>0.19210760639484092</v>
      </c>
      <c r="S13" s="57">
        <f t="shared" si="13"/>
        <v>0.15357151896902765</v>
      </c>
      <c r="T13" s="57">
        <f t="shared" si="13"/>
        <v>9.4957714328871054E-2</v>
      </c>
      <c r="U13" s="57">
        <f t="shared" si="13"/>
        <v>0.13682726969647763</v>
      </c>
      <c r="V13" s="57">
        <f t="shared" si="13"/>
        <v>8.0979036254680434E-2</v>
      </c>
      <c r="W13" s="57">
        <f t="shared" si="13"/>
        <v>7.7000680419048076E-2</v>
      </c>
      <c r="X13" s="57">
        <f t="shared" si="13"/>
        <v>5.8113960209497668E-2</v>
      </c>
      <c r="Y13" s="57">
        <f t="shared" si="13"/>
        <v>8.3047036548927894E-2</v>
      </c>
      <c r="Z13" s="57">
        <f t="shared" si="13"/>
        <v>7.5965418989693098E-2</v>
      </c>
      <c r="AA13" s="57">
        <f t="shared" si="13"/>
        <v>8.0740799730133678E-2</v>
      </c>
      <c r="AB13" s="57">
        <f t="shared" si="13"/>
        <v>5.8678435251038823E-2</v>
      </c>
      <c r="AC13" s="57">
        <f t="shared" si="13"/>
        <v>0.10171650706974235</v>
      </c>
      <c r="AD13" s="57">
        <f t="shared" si="13"/>
        <v>9.4595021754449657E-2</v>
      </c>
      <c r="AE13" s="57">
        <f t="shared" si="13"/>
        <v>9.012102784446821E-2</v>
      </c>
      <c r="AF13" s="57">
        <f t="shared" si="13"/>
        <v>6.1915558736740775E-2</v>
      </c>
      <c r="AG13" s="57">
        <f t="shared" si="13"/>
        <v>0.11602850330453945</v>
      </c>
      <c r="AH13" s="57">
        <f t="shared" si="13"/>
        <v>9.0358079527935981E-2</v>
      </c>
      <c r="AI13" s="57">
        <f t="shared" si="13"/>
        <v>0.10208027493949978</v>
      </c>
      <c r="AJ13" s="57">
        <f t="shared" si="13"/>
        <v>7.8242888022434787E-2</v>
      </c>
      <c r="AK13" s="57">
        <f t="shared" si="13"/>
        <v>0.10460335752900461</v>
      </c>
      <c r="AL13" s="57">
        <f t="shared" si="13"/>
        <v>9.626163683714653E-2</v>
      </c>
      <c r="AM13" s="57">
        <f t="shared" si="13"/>
        <v>9.0749629535193041E-2</v>
      </c>
      <c r="AN13" s="57">
        <f t="shared" si="13"/>
        <v>6.030257429496759E-2</v>
      </c>
      <c r="AO13" s="57">
        <f t="shared" si="13"/>
        <v>0.11229357581558144</v>
      </c>
      <c r="AP13" s="57">
        <f t="shared" si="13"/>
        <v>9.7596630779112639E-2</v>
      </c>
      <c r="AQ13" s="57">
        <f t="shared" si="13"/>
        <v>8.9676686542714212E-2</v>
      </c>
      <c r="AR13" s="57">
        <f t="shared" si="13"/>
        <v>6.1973616922179418E-2</v>
      </c>
      <c r="AS13" s="57">
        <f t="shared" si="13"/>
        <v>0.10680933570357688</v>
      </c>
      <c r="AT13" s="57">
        <f t="shared" si="13"/>
        <v>9.4720347308376543E-2</v>
      </c>
      <c r="AU13" s="57">
        <f t="shared" si="13"/>
        <v>8.4015297799896527E-2</v>
      </c>
      <c r="AV13" s="57">
        <f t="shared" si="13"/>
        <v>9.4079403998457517E-2</v>
      </c>
      <c r="AW13" s="57">
        <f t="shared" si="13"/>
        <v>0.13610528390133111</v>
      </c>
      <c r="AX13" s="57">
        <f t="shared" si="13"/>
        <v>0.1293002997477577</v>
      </c>
      <c r="AY13" s="57">
        <f t="shared" si="13"/>
        <v>0.14025759103045521</v>
      </c>
      <c r="AZ13" s="57">
        <f t="shared" si="13"/>
        <v>0.13403502367229542</v>
      </c>
      <c r="BA13" s="57">
        <f t="shared" si="13"/>
        <v>0.13460724773319005</v>
      </c>
      <c r="BB13" s="57">
        <f t="shared" si="13"/>
        <v>0.10569809543156253</v>
      </c>
      <c r="BC13" s="57">
        <f t="shared" si="13"/>
        <v>0.12449596226694341</v>
      </c>
      <c r="BD13" s="57">
        <f t="shared" si="13"/>
        <v>0.10736683107698895</v>
      </c>
      <c r="BE13" s="57">
        <f t="shared" si="13"/>
        <v>0.12796544216340305</v>
      </c>
      <c r="BF13" s="57">
        <f t="shared" si="13"/>
        <v>8.9616523942215406E-2</v>
      </c>
      <c r="BG13" s="57">
        <f t="shared" si="13"/>
        <v>8.3562389213949415E-2</v>
      </c>
      <c r="BH13" s="57">
        <f t="shared" si="13"/>
        <v>8.4601052478385494E-2</v>
      </c>
      <c r="BI13" s="57">
        <f t="shared" si="13"/>
        <v>0.10944625525054545</v>
      </c>
      <c r="BJ13" s="57">
        <f t="shared" si="13"/>
        <v>8.6226640059489046E-2</v>
      </c>
      <c r="BK13" s="57">
        <f t="shared" si="13"/>
        <v>8.2963427726522154E-2</v>
      </c>
      <c r="BL13" s="57">
        <f t="shared" si="13"/>
        <v>7.7961012180379194E-2</v>
      </c>
      <c r="BM13" s="57">
        <f t="shared" si="13"/>
        <v>8.5964488564367725E-2</v>
      </c>
      <c r="BN13" s="57">
        <f t="shared" si="13"/>
        <v>9.2386622381337685E-2</v>
      </c>
      <c r="BO13" s="57">
        <f t="shared" si="13"/>
        <v>9.2712363983161641E-2</v>
      </c>
      <c r="BP13" s="57">
        <f t="shared" si="13"/>
        <v>7.5257469398923152E-2</v>
      </c>
      <c r="BQ13" s="57">
        <f t="shared" si="13"/>
        <v>7.2850774126917289E-2</v>
      </c>
      <c r="BR13" s="57">
        <f t="shared" ref="BR13:CJ13" si="14">BR12/BR2</f>
        <v>0</v>
      </c>
      <c r="BS13" s="57">
        <f t="shared" si="14"/>
        <v>7.5955958569890292E-2</v>
      </c>
      <c r="BT13" s="57">
        <f t="shared" si="14"/>
        <v>7.6121649937695893E-2</v>
      </c>
      <c r="BU13" s="57">
        <f t="shared" si="14"/>
        <v>0.14861556145688062</v>
      </c>
      <c r="BV13" s="57">
        <f t="shared" si="14"/>
        <v>0.17310572063085194</v>
      </c>
      <c r="BW13" s="57">
        <f t="shared" si="14"/>
        <v>0.13591999244393022</v>
      </c>
      <c r="BX13" s="57">
        <f t="shared" si="14"/>
        <v>0.16390210106635242</v>
      </c>
      <c r="BY13" s="57">
        <f t="shared" si="14"/>
        <v>0.12176820401362699</v>
      </c>
      <c r="BZ13" s="57">
        <f t="shared" si="14"/>
        <v>0.12573184481306435</v>
      </c>
      <c r="CA13" s="57">
        <f t="shared" si="14"/>
        <v>9.3201710831388201E-2</v>
      </c>
      <c r="CB13" s="57">
        <f t="shared" si="14"/>
        <v>0.10925628884245808</v>
      </c>
      <c r="CC13" s="57">
        <f t="shared" si="14"/>
        <v>3.61210231357127E-2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2269024701.04</v>
      </c>
      <c r="F14" s="26">
        <f>股权价值增加表!F10</f>
        <v>1612942170.3900001</v>
      </c>
      <c r="G14" s="26">
        <f>股权价值增加表!G10</f>
        <v>1076103861.25</v>
      </c>
      <c r="H14" s="26">
        <f>股权价值增加表!H10</f>
        <v>583795810.88</v>
      </c>
      <c r="I14" s="26">
        <f>股权价值增加表!I10</f>
        <v>2143703443.8199999</v>
      </c>
      <c r="J14" s="26">
        <f>股权价值增加表!J10</f>
        <v>1614574317.9200001</v>
      </c>
      <c r="K14" s="26">
        <f>股权价值增加表!K10</f>
        <v>1107396572.5799999</v>
      </c>
      <c r="L14" s="26">
        <f>股权价值增加表!L10</f>
        <v>572834323.13</v>
      </c>
      <c r="M14" s="26">
        <f>股权价值增加表!M10</f>
        <v>2128805680.22</v>
      </c>
      <c r="N14" s="26">
        <f>股权价值增加表!N10</f>
        <v>1443131572.1199999</v>
      </c>
      <c r="O14" s="26">
        <f>股权价值增加表!O10</f>
        <v>1006746030.52</v>
      </c>
      <c r="P14" s="26">
        <f>股权价值增加表!P10</f>
        <v>538900979.45000005</v>
      </c>
      <c r="Q14" s="26">
        <f>股权价值增加表!Q10</f>
        <v>2047028546.72</v>
      </c>
      <c r="R14" s="26">
        <f>股权价值增加表!R10</f>
        <v>1377206394.1400001</v>
      </c>
      <c r="S14" s="26">
        <f>股权价值增加表!S10</f>
        <v>977690587.13999999</v>
      </c>
      <c r="T14" s="26">
        <f>股权价值增加表!T10</f>
        <v>533715812.48000002</v>
      </c>
      <c r="U14" s="26">
        <f>股权价值增加表!U10</f>
        <v>2263637925.0300002</v>
      </c>
      <c r="V14" s="26">
        <f>股权价值增加表!V10</f>
        <v>1521231364.8</v>
      </c>
      <c r="W14" s="26">
        <f>股权价值增加表!W10</f>
        <v>1085694375.8</v>
      </c>
      <c r="X14" s="26">
        <f>股权价值增加表!X10</f>
        <v>577974320.34000003</v>
      </c>
      <c r="Y14" s="26">
        <f>股权价值增加表!Y10</f>
        <v>2009184257.8499999</v>
      </c>
      <c r="Z14" s="26">
        <f>股权价值增加表!Z10</f>
        <v>1408989421.49</v>
      </c>
      <c r="AA14" s="26">
        <f>股权价值增加表!AA10</f>
        <v>922708225.65999997</v>
      </c>
      <c r="AB14" s="26">
        <f>股权价值增加表!AB10</f>
        <v>532291967.25999999</v>
      </c>
      <c r="AC14" s="26">
        <f>股权价值增加表!AC10</f>
        <v>1750685037.9300001</v>
      </c>
      <c r="AD14" s="26">
        <f>股权价值增加表!AD10</f>
        <v>1257263895.1099999</v>
      </c>
      <c r="AE14" s="26">
        <f>股权价值增加表!AE10</f>
        <v>818535719.35000002</v>
      </c>
      <c r="AF14" s="26">
        <f>股权价值增加表!AF10</f>
        <v>431996771.19999999</v>
      </c>
      <c r="AG14" s="26">
        <f>股权价值增加表!AG10</f>
        <v>1561852181.1700001</v>
      </c>
      <c r="AH14" s="26">
        <f>股权价值增加表!AH10</f>
        <v>1057076554.55</v>
      </c>
      <c r="AI14" s="26">
        <f>股权价值增加表!AI10</f>
        <v>670150753.64999998</v>
      </c>
      <c r="AJ14" s="26">
        <f>股权价值增加表!AJ10</f>
        <v>356750164.04000002</v>
      </c>
      <c r="AK14" s="26">
        <f>股权价值增加表!AK10</f>
        <v>838973053.20000005</v>
      </c>
      <c r="AL14" s="26">
        <f>股权价值增加表!AL10</f>
        <v>604128660.64999998</v>
      </c>
      <c r="AM14" s="26">
        <f>股权价值增加表!AM10</f>
        <v>368919789.76999998</v>
      </c>
      <c r="AN14" s="26">
        <f>股权价值增加表!AN10</f>
        <v>173037218.22999999</v>
      </c>
      <c r="AO14" s="26">
        <f>股权价值增加表!AO10</f>
        <v>588986100.29999995</v>
      </c>
      <c r="AP14" s="26">
        <f>股权价值增加表!AP10</f>
        <v>438226187.12</v>
      </c>
      <c r="AQ14" s="26">
        <f>股权价值增加表!AQ10</f>
        <v>294992672.13999999</v>
      </c>
      <c r="AR14" s="26">
        <f>股权价值增加表!AR10</f>
        <v>155627050.02000001</v>
      </c>
      <c r="AS14" s="26">
        <f>股权价值增加表!AS10</f>
        <v>497940571.16000003</v>
      </c>
      <c r="AT14" s="26">
        <f>股权价值增加表!AT10</f>
        <v>399714055.94</v>
      </c>
      <c r="AU14" s="26">
        <f>股权价值增加表!AU10</f>
        <v>278496902.70999998</v>
      </c>
      <c r="AV14" s="26">
        <f>股权价值增加表!AV10</f>
        <v>143955668</v>
      </c>
      <c r="AW14" s="26">
        <f>股权价值增加表!AW10</f>
        <v>471915102.69999999</v>
      </c>
      <c r="AX14" s="26">
        <f>股权价值增加表!AX10</f>
        <v>342923580.26999998</v>
      </c>
      <c r="AY14" s="26">
        <f>股权价值增加表!AY10</f>
        <v>240044224.87</v>
      </c>
      <c r="AZ14" s="26">
        <f>股权价值增加表!AZ10</f>
        <v>131751437.98</v>
      </c>
      <c r="BA14" s="26">
        <f>股权价值增加表!BA10</f>
        <v>380204276.68000001</v>
      </c>
      <c r="BB14" s="26">
        <f>股权价值增加表!BB10</f>
        <v>249813020.28999999</v>
      </c>
      <c r="BC14" s="26">
        <f>股权价值增加表!BC10</f>
        <v>221542936.25999999</v>
      </c>
      <c r="BD14" s="26">
        <f>股权价值增加表!BD10</f>
        <v>147819190.53</v>
      </c>
      <c r="BE14" s="26">
        <f>股权价值增加表!BE10</f>
        <v>407299604.80000001</v>
      </c>
      <c r="BF14" s="26">
        <f>股权价值增加表!BF10</f>
        <v>300916626.75</v>
      </c>
      <c r="BG14" s="26">
        <f>股权价值增加表!BG10</f>
        <v>216306143.75999999</v>
      </c>
      <c r="BH14" s="26">
        <f>股权价值增加表!BH10</f>
        <v>126463988.64</v>
      </c>
      <c r="BI14" s="26">
        <f>股权价值增加表!BI10</f>
        <v>415151762.45999998</v>
      </c>
      <c r="BJ14" s="26">
        <f>股权价值增加表!BJ10</f>
        <v>332929994.25999999</v>
      </c>
      <c r="BK14" s="26">
        <f>股权价值增加表!BK10</f>
        <v>220046772.38</v>
      </c>
      <c r="BL14" s="26">
        <f>股权价值增加表!BL10</f>
        <v>107707797.45999999</v>
      </c>
      <c r="BM14" s="26">
        <f>股权价值增加表!BM10</f>
        <v>401004011.82999998</v>
      </c>
      <c r="BN14" s="26">
        <f>股权价值增加表!BN10</f>
        <v>315642991.91000003</v>
      </c>
      <c r="BO14" s="26">
        <f>股权价值增加表!BO10</f>
        <v>221909407.99000001</v>
      </c>
      <c r="BP14" s="26">
        <f>股权价值增加表!BP10</f>
        <v>106695265.43000001</v>
      </c>
      <c r="BQ14" s="26">
        <f>股权价值增加表!BQ10</f>
        <v>400197212.51999998</v>
      </c>
      <c r="BR14" s="26">
        <f>股权价值增加表!BR10</f>
        <v>0</v>
      </c>
      <c r="BS14" s="26">
        <f>股权价值增加表!BS10</f>
        <v>176020993.19999999</v>
      </c>
      <c r="BT14" s="26">
        <f>股权价值增加表!BT10</f>
        <v>46574723.729999997</v>
      </c>
      <c r="BU14" s="26">
        <f>股权价值增加表!BU10</f>
        <v>232381015.22999999</v>
      </c>
      <c r="BV14" s="26">
        <f>股权价值增加表!BV10</f>
        <v>172626087.66</v>
      </c>
      <c r="BW14" s="26">
        <f>股权价值增加表!BW10</f>
        <v>278627189.76999998</v>
      </c>
      <c r="BX14" s="26">
        <f>股权价值增加表!BX10</f>
        <v>158734444.53</v>
      </c>
      <c r="BY14" s="26">
        <f>股权价值增加表!BY10</f>
        <v>156961577.28</v>
      </c>
      <c r="BZ14" s="26">
        <f>股权价值增加表!BZ10</f>
        <v>40826189.950000003</v>
      </c>
      <c r="CA14" s="26">
        <f>股权价值增加表!CA10</f>
        <v>65192867.909999996</v>
      </c>
      <c r="CB14" s="26">
        <f>股权价值增加表!CB10</f>
        <v>39177380.969999999</v>
      </c>
      <c r="CC14" s="26">
        <f>股权价值增加表!CC10</f>
        <v>30667940.870000001</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7.516617109497975E-2</v>
      </c>
      <c r="F15" s="57">
        <f t="shared" ref="F15:BQ15" si="15">F14/F2</f>
        <v>7.3390289100597486E-2</v>
      </c>
      <c r="G15" s="57">
        <f t="shared" si="15"/>
        <v>6.8887719544532738E-2</v>
      </c>
      <c r="H15" s="57">
        <f t="shared" si="15"/>
        <v>5.746696251330493E-2</v>
      </c>
      <c r="I15" s="57">
        <f t="shared" si="15"/>
        <v>8.7341979842510131E-2</v>
      </c>
      <c r="J15" s="57">
        <f t="shared" si="15"/>
        <v>9.1220723604719139E-2</v>
      </c>
      <c r="K15" s="57">
        <f t="shared" si="15"/>
        <v>8.3541548027374388E-2</v>
      </c>
      <c r="L15" s="57">
        <f t="shared" si="15"/>
        <v>6.4906255200739782E-2</v>
      </c>
      <c r="M15" s="57">
        <f t="shared" si="15"/>
        <v>9.8286044451529789E-2</v>
      </c>
      <c r="N15" s="57">
        <f t="shared" si="15"/>
        <v>9.5373670982074291E-2</v>
      </c>
      <c r="O15" s="57">
        <f t="shared" si="15"/>
        <v>8.9764499990551777E-2</v>
      </c>
      <c r="P15" s="57">
        <f t="shared" si="15"/>
        <v>8.0009824683405228E-2</v>
      </c>
      <c r="Q15" s="57">
        <f t="shared" si="15"/>
        <v>9.7424237741480096E-2</v>
      </c>
      <c r="R15" s="57">
        <f t="shared" si="15"/>
        <v>9.1397507843880024E-2</v>
      </c>
      <c r="S15" s="57">
        <f t="shared" si="15"/>
        <v>8.3831754556882979E-2</v>
      </c>
      <c r="T15" s="57">
        <f t="shared" si="15"/>
        <v>7.9423749606327698E-2</v>
      </c>
      <c r="U15" s="57">
        <f t="shared" si="15"/>
        <v>9.1576341999661817E-2</v>
      </c>
      <c r="V15" s="57">
        <f t="shared" si="15"/>
        <v>7.9372027744608803E-2</v>
      </c>
      <c r="W15" s="57">
        <f t="shared" si="15"/>
        <v>6.9955086116706047E-2</v>
      </c>
      <c r="X15" s="57">
        <f t="shared" si="15"/>
        <v>6.6619139385740878E-2</v>
      </c>
      <c r="Y15" s="57">
        <f t="shared" si="15"/>
        <v>7.3864227921390718E-2</v>
      </c>
      <c r="Z15" s="57">
        <f t="shared" si="15"/>
        <v>6.6692661947048135E-2</v>
      </c>
      <c r="AA15" s="57">
        <f t="shared" si="15"/>
        <v>6.1310700447245986E-2</v>
      </c>
      <c r="AB15" s="57">
        <f t="shared" si="15"/>
        <v>6.4671911941687352E-2</v>
      </c>
      <c r="AC15" s="57">
        <f t="shared" si="15"/>
        <v>8.6026235775164259E-2</v>
      </c>
      <c r="AD15" s="57">
        <f t="shared" si="15"/>
        <v>8.0342642543552611E-2</v>
      </c>
      <c r="AE15" s="57">
        <f t="shared" si="15"/>
        <v>7.725803091235707E-2</v>
      </c>
      <c r="AF15" s="57">
        <f t="shared" si="15"/>
        <v>6.9179729753421182E-2</v>
      </c>
      <c r="AG15" s="57">
        <f t="shared" si="15"/>
        <v>0.10049687798518592</v>
      </c>
      <c r="AH15" s="57">
        <f t="shared" si="15"/>
        <v>9.2146379119230654E-2</v>
      </c>
      <c r="AI15" s="57">
        <f t="shared" si="15"/>
        <v>8.8450695367833385E-2</v>
      </c>
      <c r="AJ15" s="57">
        <f t="shared" si="15"/>
        <v>7.9390269885936851E-2</v>
      </c>
      <c r="AK15" s="57">
        <f t="shared" si="15"/>
        <v>7.5384709060276472E-2</v>
      </c>
      <c r="AL15" s="57">
        <f t="shared" si="15"/>
        <v>7.523695276824903E-2</v>
      </c>
      <c r="AM15" s="57">
        <f t="shared" si="15"/>
        <v>6.9074591403342198E-2</v>
      </c>
      <c r="AN15" s="57">
        <f t="shared" si="15"/>
        <v>5.1825383163123483E-2</v>
      </c>
      <c r="AO15" s="57">
        <f t="shared" si="15"/>
        <v>7.4244421780538333E-2</v>
      </c>
      <c r="AP15" s="57">
        <f t="shared" si="15"/>
        <v>6.6613091069986183E-2</v>
      </c>
      <c r="AQ15" s="57">
        <f t="shared" si="15"/>
        <v>6.4166816207242058E-2</v>
      </c>
      <c r="AR15" s="57">
        <f t="shared" si="15"/>
        <v>5.0427612202150883E-2</v>
      </c>
      <c r="AS15" s="57">
        <f t="shared" si="15"/>
        <v>6.7945251686849228E-2</v>
      </c>
      <c r="AT15" s="57">
        <f t="shared" si="15"/>
        <v>6.6144279482883234E-2</v>
      </c>
      <c r="AU15" s="57">
        <f t="shared" si="15"/>
        <v>6.4127231680052965E-2</v>
      </c>
      <c r="AV15" s="57">
        <f t="shared" si="15"/>
        <v>4.7828145604949128E-2</v>
      </c>
      <c r="AW15" s="57">
        <f t="shared" si="15"/>
        <v>6.389196682934932E-2</v>
      </c>
      <c r="AX15" s="57">
        <f t="shared" si="15"/>
        <v>5.7580763674897756E-2</v>
      </c>
      <c r="AY15" s="57">
        <f t="shared" si="15"/>
        <v>5.4592580904538772E-2</v>
      </c>
      <c r="AZ15" s="57">
        <f t="shared" si="15"/>
        <v>4.8252708786215313E-2</v>
      </c>
      <c r="BA15" s="57">
        <f t="shared" si="15"/>
        <v>5.9233369287497652E-2</v>
      </c>
      <c r="BB15" s="57">
        <f t="shared" si="15"/>
        <v>5.0286739515659075E-2</v>
      </c>
      <c r="BC15" s="57">
        <f t="shared" si="15"/>
        <v>5.8193372784555289E-2</v>
      </c>
      <c r="BD15" s="57">
        <f t="shared" si="15"/>
        <v>5.98590941557001E-2</v>
      </c>
      <c r="BE15" s="57">
        <f t="shared" si="15"/>
        <v>6.4675539236042121E-2</v>
      </c>
      <c r="BF15" s="57">
        <f t="shared" si="15"/>
        <v>6.5729846593234192E-2</v>
      </c>
      <c r="BG15" s="57">
        <f t="shared" si="15"/>
        <v>6.2565041732611681E-2</v>
      </c>
      <c r="BH15" s="57">
        <f t="shared" si="15"/>
        <v>5.1619148619204018E-2</v>
      </c>
      <c r="BI15" s="57">
        <f t="shared" si="15"/>
        <v>6.555279069263889E-2</v>
      </c>
      <c r="BJ15" s="57">
        <f t="shared" si="15"/>
        <v>7.1736862751966862E-2</v>
      </c>
      <c r="BK15" s="57">
        <f t="shared" si="15"/>
        <v>6.4213203715435152E-2</v>
      </c>
      <c r="BL15" s="57">
        <f t="shared" si="15"/>
        <v>4.7351207747256006E-2</v>
      </c>
      <c r="BM15" s="57">
        <f t="shared" si="15"/>
        <v>7.0271232175349391E-2</v>
      </c>
      <c r="BN15" s="57">
        <f t="shared" si="15"/>
        <v>7.0403743248336328E-2</v>
      </c>
      <c r="BO15" s="57">
        <f t="shared" si="15"/>
        <v>6.4091225246071554E-2</v>
      </c>
      <c r="BP15" s="57">
        <f t="shared" si="15"/>
        <v>4.714344326116307E-2</v>
      </c>
      <c r="BQ15" s="57">
        <f t="shared" si="15"/>
        <v>8.4392485551575788E-2</v>
      </c>
      <c r="BR15" s="57">
        <f t="shared" ref="BR15:CK15" si="16">BR14/BR2</f>
        <v>0</v>
      </c>
      <c r="BS15" s="57">
        <f t="shared" si="16"/>
        <v>6.2474309364751117E-2</v>
      </c>
      <c r="BT15" s="57">
        <f t="shared" si="16"/>
        <v>2.3288530365147986E-2</v>
      </c>
      <c r="BU15" s="57">
        <f t="shared" si="16"/>
        <v>5.8776471065251662E-2</v>
      </c>
      <c r="BV15" s="57">
        <f t="shared" si="16"/>
        <v>6.4710083019575204E-2</v>
      </c>
      <c r="BW15" s="57">
        <f t="shared" si="16"/>
        <v>8.4208155259760761E-2</v>
      </c>
      <c r="BX15" s="57">
        <f t="shared" si="16"/>
        <v>8.3505185648487038E-2</v>
      </c>
      <c r="BY15" s="57">
        <f t="shared" si="16"/>
        <v>5.5771944013586539E-2</v>
      </c>
      <c r="BZ15" s="57">
        <f t="shared" si="16"/>
        <v>3.3728571855761627E-2</v>
      </c>
      <c r="CA15" s="57">
        <f t="shared" si="16"/>
        <v>2.9573243814814371E-2</v>
      </c>
      <c r="CB15" s="57">
        <f t="shared" si="16"/>
        <v>2.9913319068466043E-2</v>
      </c>
      <c r="CC15" s="57">
        <f t="shared" si="16"/>
        <v>3.3527733293440651E-2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5629618.3300000001</v>
      </c>
      <c r="F16" s="26">
        <f>股权价值增加表!F11</f>
        <v>1189060.55</v>
      </c>
      <c r="G16" s="26">
        <f>股权价值增加表!G11</f>
        <v>1189060.55</v>
      </c>
      <c r="H16" s="26">
        <f>股权价值增加表!H11</f>
        <v>368604.9</v>
      </c>
      <c r="I16" s="26">
        <f>股权价值增加表!I11</f>
        <v>12198954.310000001</v>
      </c>
      <c r="J16" s="26">
        <f>股权价值增加表!J11</f>
        <v>-627474.68999999994</v>
      </c>
      <c r="K16" s="26">
        <f>股权价值增加表!K11</f>
        <v>-627474.68999999994</v>
      </c>
      <c r="L16" s="26">
        <f>股权价值增加表!L11</f>
        <v>-496.5</v>
      </c>
      <c r="M16" s="26">
        <f>股权价值增加表!M11</f>
        <v>25800010.27</v>
      </c>
      <c r="N16" s="26">
        <f>股权价值增加表!N11</f>
        <v>2103730.4</v>
      </c>
      <c r="O16" s="26">
        <f>股权价值增加表!O11</f>
        <v>2103730.4</v>
      </c>
      <c r="P16" s="26">
        <f>股权价值增加表!P11</f>
        <v>0</v>
      </c>
      <c r="Q16" s="26">
        <f>股权价值增加表!Q11</f>
        <v>6161457.3200000003</v>
      </c>
      <c r="R16" s="26">
        <f>股权价值增加表!R11</f>
        <v>3040104.71</v>
      </c>
      <c r="S16" s="26">
        <f>股权价值增加表!S11</f>
        <v>3049704.71</v>
      </c>
      <c r="T16" s="26">
        <f>股权价值增加表!T11</f>
        <v>0</v>
      </c>
      <c r="U16" s="26">
        <f>股权价值增加表!U11</f>
        <v>5007462.71</v>
      </c>
      <c r="V16" s="26">
        <f>股权价值增加表!V11</f>
        <v>126600</v>
      </c>
      <c r="W16" s="26">
        <f>股权价值增加表!W11</f>
        <v>0</v>
      </c>
      <c r="X16" s="26">
        <f>股权价值增加表!X11</f>
        <v>0</v>
      </c>
      <c r="Y16" s="26">
        <f>股权价值增加表!Y11</f>
        <v>2696852.96</v>
      </c>
      <c r="Z16" s="26">
        <f>股权价值增加表!Z11</f>
        <v>0</v>
      </c>
      <c r="AA16" s="26">
        <f>股权价值增加表!AA11</f>
        <v>0</v>
      </c>
      <c r="AB16" s="26">
        <f>股权价值增加表!AB11</f>
        <v>0</v>
      </c>
      <c r="AC16" s="26">
        <f>股权价值增加表!AC11</f>
        <v>12452121.74</v>
      </c>
      <c r="AD16" s="26">
        <f>股权价值增加表!AD11</f>
        <v>-6703861.4500000002</v>
      </c>
      <c r="AE16" s="26">
        <f>股权价值增加表!AE11</f>
        <v>-6703699.5499999998</v>
      </c>
      <c r="AF16" s="26">
        <f>股权价值增加表!AF11</f>
        <v>0</v>
      </c>
      <c r="AG16" s="26">
        <f>股权价值增加表!AG11</f>
        <v>15044946.109999999</v>
      </c>
      <c r="AH16" s="26">
        <f>股权价值增加表!AH11</f>
        <v>10000</v>
      </c>
      <c r="AI16" s="26">
        <f>股权价值增加表!AI11</f>
        <v>0</v>
      </c>
      <c r="AJ16" s="26">
        <f>股权价值增加表!AJ11</f>
        <v>0</v>
      </c>
      <c r="AK16" s="26">
        <f>股权价值增加表!AK11</f>
        <v>8545391.5500000007</v>
      </c>
      <c r="AL16" s="26">
        <f>股权价值增加表!AL11</f>
        <v>74132.27</v>
      </c>
      <c r="AM16" s="26">
        <f>股权价值增加表!AM11</f>
        <v>151647.17000000001</v>
      </c>
      <c r="AN16" s="26">
        <f>股权价值增加表!AN11</f>
        <v>0</v>
      </c>
      <c r="AO16" s="26">
        <f>股权价值增加表!AO11</f>
        <v>-165194.47</v>
      </c>
      <c r="AP16" s="26">
        <f>股权价值增加表!AP11</f>
        <v>-1307035.49</v>
      </c>
      <c r="AQ16" s="26">
        <f>股权价值增加表!AQ11</f>
        <v>-1307035.49</v>
      </c>
      <c r="AR16" s="26">
        <f>股权价值增加表!AR11</f>
        <v>-560158.06999999995</v>
      </c>
      <c r="AS16" s="26">
        <f>股权价值增加表!AS11</f>
        <v>-933744.61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1.8649283738438882E-4</v>
      </c>
      <c r="F17" s="57">
        <f t="shared" ref="F17:BQ17" si="17">F16/F2</f>
        <v>5.4103302105068758E-5</v>
      </c>
      <c r="G17" s="57">
        <f t="shared" si="17"/>
        <v>7.6118739686259853E-5</v>
      </c>
      <c r="H17" s="57">
        <f t="shared" si="17"/>
        <v>3.6284268533188612E-5</v>
      </c>
      <c r="I17" s="57">
        <f t="shared" si="17"/>
        <v>4.970280868444541E-4</v>
      </c>
      <c r="J17" s="57">
        <f t="shared" si="17"/>
        <v>-3.5451260824701731E-5</v>
      </c>
      <c r="K17" s="57">
        <f t="shared" si="17"/>
        <v>-4.7336435969337388E-5</v>
      </c>
      <c r="L17" s="57">
        <f t="shared" si="17"/>
        <v>-5.6257026518737225E-8</v>
      </c>
      <c r="M17" s="57">
        <f t="shared" si="17"/>
        <v>1.1911753993370999E-3</v>
      </c>
      <c r="N17" s="57">
        <f t="shared" si="17"/>
        <v>1.3903132249392974E-4</v>
      </c>
      <c r="O17" s="57">
        <f t="shared" si="17"/>
        <v>1.8757492132686585E-4</v>
      </c>
      <c r="P17" s="57">
        <f t="shared" si="17"/>
        <v>0</v>
      </c>
      <c r="Q17" s="57">
        <f t="shared" si="17"/>
        <v>2.9324226266384872E-4</v>
      </c>
      <c r="R17" s="57">
        <f t="shared" si="17"/>
        <v>2.0175479525852093E-4</v>
      </c>
      <c r="S17" s="57">
        <f t="shared" si="17"/>
        <v>2.61495917095375E-4</v>
      </c>
      <c r="T17" s="57">
        <f t="shared" si="17"/>
        <v>0</v>
      </c>
      <c r="U17" s="57">
        <f t="shared" si="17"/>
        <v>2.0257882791720587E-4</v>
      </c>
      <c r="V17" s="57">
        <f t="shared" si="17"/>
        <v>6.6055032422951489E-6</v>
      </c>
      <c r="W17" s="57">
        <f t="shared" si="17"/>
        <v>0</v>
      </c>
      <c r="X17" s="57">
        <f t="shared" si="17"/>
        <v>0</v>
      </c>
      <c r="Y17" s="57">
        <f t="shared" si="17"/>
        <v>9.9145193343829689E-5</v>
      </c>
      <c r="Z17" s="57">
        <f t="shared" si="17"/>
        <v>0</v>
      </c>
      <c r="AA17" s="57">
        <f t="shared" si="17"/>
        <v>0</v>
      </c>
      <c r="AB17" s="57">
        <f t="shared" si="17"/>
        <v>0</v>
      </c>
      <c r="AC17" s="57">
        <f t="shared" si="17"/>
        <v>6.1187999982731346E-4</v>
      </c>
      <c r="AD17" s="57">
        <f t="shared" si="17"/>
        <v>-4.2839530048839017E-4</v>
      </c>
      <c r="AE17" s="57">
        <f t="shared" si="17"/>
        <v>-6.327330803258417E-4</v>
      </c>
      <c r="AF17" s="57">
        <f t="shared" si="17"/>
        <v>0</v>
      </c>
      <c r="AG17" s="57">
        <f t="shared" si="17"/>
        <v>9.6806223517115078E-4</v>
      </c>
      <c r="AH17" s="57">
        <f t="shared" si="17"/>
        <v>8.7170961008077219E-7</v>
      </c>
      <c r="AI17" s="57">
        <f t="shared" si="17"/>
        <v>0</v>
      </c>
      <c r="AJ17" s="57">
        <f t="shared" si="17"/>
        <v>0</v>
      </c>
      <c r="AK17" s="57">
        <f t="shared" si="17"/>
        <v>7.6783378601473181E-4</v>
      </c>
      <c r="AL17" s="57">
        <f t="shared" si="17"/>
        <v>9.232281896032051E-6</v>
      </c>
      <c r="AM17" s="57">
        <f t="shared" si="17"/>
        <v>2.8393614535435212E-5</v>
      </c>
      <c r="AN17" s="57">
        <f t="shared" si="17"/>
        <v>0</v>
      </c>
      <c r="AO17" s="57">
        <f t="shared" si="17"/>
        <v>-2.0823526905381008E-5</v>
      </c>
      <c r="AP17" s="57">
        <f t="shared" si="17"/>
        <v>-1.9867747908737529E-4</v>
      </c>
      <c r="AQ17" s="57">
        <f t="shared" si="17"/>
        <v>-2.8430640481594629E-4</v>
      </c>
      <c r="AR17" s="57">
        <f t="shared" si="17"/>
        <v>-1.8150722462602188E-4</v>
      </c>
      <c r="AS17" s="57">
        <f t="shared" si="17"/>
        <v>-1.2741181621310984E-4</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-1.405153362667219E-4</v>
      </c>
      <c r="F19" s="57">
        <f t="shared" ref="F19:BQ19" si="19">F18/F2</f>
        <v>5.4783060235664856E-8</v>
      </c>
      <c r="G19" s="57">
        <f t="shared" si="19"/>
        <v>5.5565770849662411E-8</v>
      </c>
      <c r="H19" s="57">
        <f t="shared" si="19"/>
        <v>6.3393267250037819E-8</v>
      </c>
      <c r="I19" s="57">
        <f t="shared" si="19"/>
        <v>-1.2425869221495808E-3</v>
      </c>
      <c r="J19" s="57">
        <f t="shared" si="19"/>
        <v>0</v>
      </c>
      <c r="K19" s="57">
        <f t="shared" si="19"/>
        <v>0</v>
      </c>
      <c r="L19" s="57">
        <f t="shared" si="19"/>
        <v>0</v>
      </c>
      <c r="M19" s="57">
        <f t="shared" si="19"/>
        <v>-3.4629527626885599E-5</v>
      </c>
      <c r="N19" s="57">
        <f t="shared" si="19"/>
        <v>0</v>
      </c>
      <c r="O19" s="57">
        <f t="shared" si="19"/>
        <v>0</v>
      </c>
      <c r="P19" s="57">
        <f t="shared" si="19"/>
        <v>0</v>
      </c>
      <c r="Q19" s="57">
        <f t="shared" si="19"/>
        <v>-3.1482800536183333E-4</v>
      </c>
      <c r="R19" s="57">
        <f t="shared" si="19"/>
        <v>0</v>
      </c>
      <c r="S19" s="57">
        <f t="shared" si="19"/>
        <v>0</v>
      </c>
      <c r="T19" s="57">
        <f t="shared" si="19"/>
        <v>0</v>
      </c>
      <c r="U19" s="57">
        <f t="shared" si="19"/>
        <v>-2.374519876805684E-4</v>
      </c>
      <c r="V19" s="57">
        <f t="shared" si="19"/>
        <v>0</v>
      </c>
      <c r="W19" s="57">
        <f t="shared" si="19"/>
        <v>0</v>
      </c>
      <c r="X19" s="57">
        <f t="shared" si="19"/>
        <v>0</v>
      </c>
      <c r="Y19" s="57">
        <f t="shared" si="19"/>
        <v>-4.4288093816504656E-4</v>
      </c>
      <c r="Z19" s="57">
        <f t="shared" si="19"/>
        <v>0</v>
      </c>
      <c r="AA19" s="57">
        <f t="shared" si="19"/>
        <v>0</v>
      </c>
      <c r="AB19" s="57">
        <f t="shared" si="19"/>
        <v>0</v>
      </c>
      <c r="AC19" s="57">
        <f t="shared" si="19"/>
        <v>-4.0559221514098671E-4</v>
      </c>
      <c r="AD19" s="57">
        <f t="shared" si="19"/>
        <v>0</v>
      </c>
      <c r="AE19" s="57">
        <f t="shared" si="19"/>
        <v>0</v>
      </c>
      <c r="AF19" s="57">
        <f t="shared" si="19"/>
        <v>0</v>
      </c>
      <c r="AG19" s="57">
        <f t="shared" si="19"/>
        <v>-1.8802133823742539E-4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17153023.82</v>
      </c>
      <c r="F20" s="26">
        <f>股权价值增加表!F13-股权价值增加表!F14</f>
        <v>46454695.640000001</v>
      </c>
      <c r="G20" s="26">
        <f>股权价值增加表!G13-股权价值增加表!G14</f>
        <v>34039721.259999998</v>
      </c>
      <c r="H20" s="26">
        <f>股权价值增加表!H13-股权价值增加表!H14</f>
        <v>13673510.720000003</v>
      </c>
      <c r="I20" s="26">
        <f>股权价值增加表!I13-股权价值增加表!I14</f>
        <v>100199599.32000001</v>
      </c>
      <c r="J20" s="26">
        <f>股权价值增加表!J13-股权价值增加表!J14</f>
        <v>71008102.700000003</v>
      </c>
      <c r="K20" s="26">
        <f>股权价值增加表!K13-股权价值增加表!K14</f>
        <v>30537928.060000002</v>
      </c>
      <c r="L20" s="26">
        <f>股权价值增加表!L13-股权价值增加表!L14</f>
        <v>27691070.670000002</v>
      </c>
      <c r="M20" s="26">
        <f>股权价值增加表!M13-股权价值增加表!M14</f>
        <v>41256588.5</v>
      </c>
      <c r="N20" s="26">
        <f>股权价值增加表!N13-股权价值增加表!N14</f>
        <v>35278757.989999995</v>
      </c>
      <c r="O20" s="26">
        <f>股权价值增加表!O13-股权价值增加表!O14</f>
        <v>21523686.27</v>
      </c>
      <c r="P20" s="26">
        <f>股权价值增加表!P13-股权价值增加表!P14</f>
        <v>10263129.17</v>
      </c>
      <c r="Q20" s="26">
        <f>股权价值增加表!Q13-股权价值增加表!Q14</f>
        <v>-16485226.959999993</v>
      </c>
      <c r="R20" s="26">
        <f>股权价值增加表!R13-股权价值增加表!R14</f>
        <v>18568933.449999999</v>
      </c>
      <c r="S20" s="26">
        <f>股权价值增加表!S13-股权价值增加表!S14</f>
        <v>9671099.6500000022</v>
      </c>
      <c r="T20" s="26">
        <f>股权价值增加表!T13-股权价值增加表!T14</f>
        <v>5989008.0300000012</v>
      </c>
      <c r="U20" s="26">
        <f>股权价值增加表!U13-股权价值增加表!U14</f>
        <v>-185353488.49000001</v>
      </c>
      <c r="V20" s="26">
        <f>股权价值增加表!V13-股权价值增加表!V14</f>
        <v>-199272270.32999998</v>
      </c>
      <c r="W20" s="26">
        <f>股权价值增加表!W13-股权价值增加表!W14</f>
        <v>-208443672.04999998</v>
      </c>
      <c r="X20" s="26">
        <f>股权价值增加表!X13-股权价值增加表!X14</f>
        <v>-189653174.66000003</v>
      </c>
      <c r="Y20" s="26">
        <f>股权价值增加表!Y13-股权价值增加表!Y14</f>
        <v>36530856.579999998</v>
      </c>
      <c r="Z20" s="26">
        <f>股权价值增加表!Z13-股权价值增加表!Z14</f>
        <v>19277229.119999997</v>
      </c>
      <c r="AA20" s="26">
        <f>股权价值增加表!AA13-股权价值增加表!AA14</f>
        <v>22646164.41</v>
      </c>
      <c r="AB20" s="26">
        <f>股权价值增加表!AB13-股权价值增加表!AB14</f>
        <v>10558134.810000001</v>
      </c>
      <c r="AC20" s="26">
        <f>股权价值增加表!AC13-股权价值增加表!AC14</f>
        <v>3011946.7100000009</v>
      </c>
      <c r="AD20" s="26">
        <f>股权价值增加表!AD13-股权价值增加表!AD14</f>
        <v>10793049.490000002</v>
      </c>
      <c r="AE20" s="26">
        <f>股权价值增加表!AE13-股权价值增加表!AE14</f>
        <v>16864478.34</v>
      </c>
      <c r="AF20" s="26">
        <f>股权价值增加表!AF13-股权价值增加表!AF14</f>
        <v>15264288.780000001</v>
      </c>
      <c r="AG20" s="26">
        <f>股权价值增加表!AG13-股权价值增加表!AG14</f>
        <v>-24502873.899999999</v>
      </c>
      <c r="AH20" s="26">
        <f>股权价值增加表!AH13-股权价值增加表!AH14</f>
        <v>18033293.5</v>
      </c>
      <c r="AI20" s="26">
        <f>股权价值增加表!AI13-股权价值增加表!AI14</f>
        <v>20305341.630000003</v>
      </c>
      <c r="AJ20" s="26">
        <f>股权价值增加表!AJ13-股权价值增加表!AJ14</f>
        <v>7190750.4000000004</v>
      </c>
      <c r="AK20" s="26">
        <f>股权价值增加表!AK13-股权价值增加表!AK14</f>
        <v>18914395.710000001</v>
      </c>
      <c r="AL20" s="26">
        <f>股权价值增加表!AL13-股权价值增加表!AL14</f>
        <v>14865246.120000001</v>
      </c>
      <c r="AM20" s="26">
        <f>股权价值增加表!AM13-股权价值增加表!AM14</f>
        <v>15063515.950000001</v>
      </c>
      <c r="AN20" s="26">
        <f>股权价值增加表!AN13-股权价值增加表!AN14</f>
        <v>1145884.7999999998</v>
      </c>
      <c r="AO20" s="26">
        <f>股权价值增加表!AO13-股权价值增加表!AO14</f>
        <v>-31972652.649999999</v>
      </c>
      <c r="AP20" s="26">
        <f>股权价值增加表!AP13-股权价值增加表!AP14</f>
        <v>-30251666.899999999</v>
      </c>
      <c r="AQ20" s="26">
        <f>股权价值增加表!AQ13-股权价值增加表!AQ14</f>
        <v>-28933894.690000001</v>
      </c>
      <c r="AR20" s="26">
        <f>股权价值增加表!AR13-股权价值增加表!AR14</f>
        <v>167874.06</v>
      </c>
      <c r="AS20" s="26">
        <f>股权价值增加表!AS13-股权价值增加表!AS14</f>
        <v>-5071474.3899999997</v>
      </c>
      <c r="AT20" s="26">
        <f>股权价值增加表!AT13-股权价值增加表!AT14</f>
        <v>4091898.31</v>
      </c>
      <c r="AU20" s="26">
        <f>股权价值增加表!AU13-股权价值增加表!AU14</f>
        <v>12946423.739999998</v>
      </c>
      <c r="AV20" s="26">
        <f>股权价值增加表!AV13-股权价值增加表!AV14</f>
        <v>-3790031.6999999997</v>
      </c>
      <c r="AW20" s="26">
        <f>股权价值增加表!AW13-股权价值增加表!AW14</f>
        <v>-9307205.0499999989</v>
      </c>
      <c r="AX20" s="26">
        <f>股权价值增加表!AX13-股权价值增加表!AX14</f>
        <v>-6026871.9100000001</v>
      </c>
      <c r="AY20" s="26">
        <f>股权价值增加表!AY13-股权价值增加表!AY14</f>
        <v>-6961700.4399999995</v>
      </c>
      <c r="AZ20" s="26">
        <f>股权价值增加表!AZ13-股权价值增加表!AZ14</f>
        <v>246324.35</v>
      </c>
      <c r="BA20" s="26">
        <f>股权价值增加表!BA13-股权价值增加表!BA14</f>
        <v>-536709.49999999977</v>
      </c>
      <c r="BB20" s="26">
        <f>股权价值增加表!BB13-股权价值增加表!BB14</f>
        <v>-773572.90999999992</v>
      </c>
      <c r="BC20" s="26">
        <f>股权价值增加表!BC13-股权价值增加表!BC14</f>
        <v>-996596.06</v>
      </c>
      <c r="BD20" s="26">
        <f>股权价值增加表!BD13-股权价值增加表!BD14</f>
        <v>-1390358.17</v>
      </c>
      <c r="BE20" s="26">
        <f>股权价值增加表!BE13-股权价值增加表!BE14</f>
        <v>-11571155.42</v>
      </c>
      <c r="BF20" s="26">
        <f>股权价值增加表!BF13-股权价值增加表!BF14</f>
        <v>-6446163.8900000006</v>
      </c>
      <c r="BG20" s="26">
        <f>股权价值增加表!BG13-股权价值增加表!BG14</f>
        <v>-1881593.55</v>
      </c>
      <c r="BH20" s="26">
        <f>股权价值增加表!BH13-股权价值增加表!BH14</f>
        <v>205955.1</v>
      </c>
      <c r="BI20" s="26">
        <f>股权价值增加表!BI13-股权价值增加表!BI14</f>
        <v>-7209961.0800000001</v>
      </c>
      <c r="BJ20" s="26">
        <f>股权价值增加表!BJ13-股权价值增加表!BJ14</f>
        <v>-1182852.9000000001</v>
      </c>
      <c r="BK20" s="26">
        <f>股权价值增加表!BK13-股权价值增加表!BK14</f>
        <v>-215592.7799999998</v>
      </c>
      <c r="BL20" s="26">
        <f>股权价值增加表!BL13-股权价值增加表!BL14</f>
        <v>1320576.73</v>
      </c>
      <c r="BM20" s="26">
        <f>股权价值增加表!BM13-股权价值增加表!BM14</f>
        <v>-4251010.07</v>
      </c>
      <c r="BN20" s="26">
        <f>股权价值增加表!BN13-股权价值增加表!BN14</f>
        <v>-4076071.8099999996</v>
      </c>
      <c r="BO20" s="26">
        <f>股权价值增加表!BO13-股权价值增加表!BO14</f>
        <v>-189391.14</v>
      </c>
      <c r="BP20" s="26">
        <f>股权价值增加表!BP13-股权价值增加表!BP14</f>
        <v>383030.72</v>
      </c>
      <c r="BQ20" s="26">
        <f>股权价值增加表!BQ13-股权价值增加表!BQ14</f>
        <v>-2403199.69</v>
      </c>
      <c r="BR20" s="26">
        <f>股权价值增加表!BR13-股权价值增加表!BR14</f>
        <v>-1350000</v>
      </c>
      <c r="BS20" s="26">
        <f>股权价值增加表!BS13-股权价值增加表!BS14</f>
        <v>-1521197.75</v>
      </c>
      <c r="BT20" s="26">
        <f>股权价值增加表!BT13-股权价值增加表!BT14</f>
        <v>-583953.51</v>
      </c>
      <c r="BU20" s="26">
        <f>股权价值增加表!BU13-股权价值增加表!BU14</f>
        <v>-988221.51</v>
      </c>
      <c r="BV20" s="26">
        <f>股权价值增加表!BV13-股权价值增加表!BV14</f>
        <v>-371802.38</v>
      </c>
      <c r="BW20" s="26">
        <f>股权价值增加表!BW13-股权价值增加表!BW14</f>
        <v>-24087.109999999986</v>
      </c>
      <c r="BX20" s="26">
        <f>股权价值增加表!BX13-股权价值增加表!BX14</f>
        <v>-5321</v>
      </c>
      <c r="BY20" s="26">
        <f>股权价值增加表!BY13-股权价值增加表!BY14</f>
        <v>-1616150.1</v>
      </c>
      <c r="BZ20" s="26">
        <f>股权价值增加表!BZ13-股权价值增加表!BZ14</f>
        <v>-139659.60999999999</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5.6822965508459395E-4</v>
      </c>
      <c r="F21" s="57">
        <f t="shared" ref="F21:BQ21" si="21">F20/F2</f>
        <v>2.1137295593651141E-3</v>
      </c>
      <c r="G21" s="57">
        <f t="shared" si="21"/>
        <v>2.1790822019810388E-3</v>
      </c>
      <c r="H21" s="57">
        <f t="shared" si="21"/>
        <v>1.3459759616758031E-3</v>
      </c>
      <c r="I21" s="57">
        <f t="shared" si="21"/>
        <v>4.0824823084857067E-3</v>
      </c>
      <c r="J21" s="57">
        <f t="shared" si="21"/>
        <v>4.0118379427940077E-3</v>
      </c>
      <c r="K21" s="57">
        <f t="shared" si="21"/>
        <v>2.303768899823548E-3</v>
      </c>
      <c r="L21" s="57">
        <f t="shared" si="21"/>
        <v>3.1375977784781806E-3</v>
      </c>
      <c r="M21" s="57">
        <f t="shared" si="21"/>
        <v>1.904798981375518E-3</v>
      </c>
      <c r="N21" s="57">
        <f t="shared" si="21"/>
        <v>2.3315023537678545E-3</v>
      </c>
      <c r="O21" s="57">
        <f t="shared" si="21"/>
        <v>1.919116517382357E-3</v>
      </c>
      <c r="P21" s="57">
        <f t="shared" si="21"/>
        <v>1.5237514810845314E-3</v>
      </c>
      <c r="Q21" s="57">
        <f t="shared" si="21"/>
        <v>-7.8458147207899158E-4</v>
      </c>
      <c r="R21" s="57">
        <f t="shared" si="21"/>
        <v>1.2323165560879153E-3</v>
      </c>
      <c r="S21" s="57">
        <f t="shared" si="21"/>
        <v>8.2924522626897572E-4</v>
      </c>
      <c r="T21" s="57">
        <f t="shared" si="21"/>
        <v>8.9124111192195724E-4</v>
      </c>
      <c r="U21" s="57">
        <f t="shared" si="21"/>
        <v>-7.4985465940033951E-3</v>
      </c>
      <c r="V21" s="57">
        <f t="shared" si="21"/>
        <v>-1.0397264042372277E-2</v>
      </c>
      <c r="W21" s="57">
        <f t="shared" si="21"/>
        <v>-1.3430754873345991E-2</v>
      </c>
      <c r="X21" s="57">
        <f t="shared" si="21"/>
        <v>-2.1860021860816228E-2</v>
      </c>
      <c r="Y21" s="57">
        <f t="shared" si="21"/>
        <v>1.34299455415612E-3</v>
      </c>
      <c r="Z21" s="57">
        <f t="shared" si="21"/>
        <v>9.1246229770581481E-4</v>
      </c>
      <c r="AA21" s="57">
        <f t="shared" si="21"/>
        <v>1.504757586210368E-3</v>
      </c>
      <c r="AB21" s="57">
        <f t="shared" si="21"/>
        <v>1.2827823951873777E-3</v>
      </c>
      <c r="AC21" s="57">
        <f t="shared" si="21"/>
        <v>1.4800288584350749E-4</v>
      </c>
      <c r="AD21" s="57">
        <f t="shared" si="21"/>
        <v>6.8970573361933323E-4</v>
      </c>
      <c r="AE21" s="57">
        <f t="shared" si="21"/>
        <v>1.5917648529097097E-3</v>
      </c>
      <c r="AF21" s="57">
        <f t="shared" si="21"/>
        <v>2.4444149657537515E-3</v>
      </c>
      <c r="AG21" s="57">
        <f t="shared" si="21"/>
        <v>-1.5766295673192579E-3</v>
      </c>
      <c r="AH21" s="57">
        <f t="shared" si="21"/>
        <v>1.5719795245357124E-3</v>
      </c>
      <c r="AI21" s="57">
        <f t="shared" si="21"/>
        <v>2.6800262136136089E-3</v>
      </c>
      <c r="AJ21" s="57">
        <f t="shared" si="21"/>
        <v>1.6002112191724174E-3</v>
      </c>
      <c r="AK21" s="57">
        <f t="shared" si="21"/>
        <v>1.6995256429402699E-3</v>
      </c>
      <c r="AL21" s="57">
        <f t="shared" si="21"/>
        <v>1.8512874708104404E-3</v>
      </c>
      <c r="AM21" s="57">
        <f t="shared" si="21"/>
        <v>2.8204131038691996E-3</v>
      </c>
      <c r="AN21" s="57">
        <f t="shared" si="21"/>
        <v>3.431973735376612E-4</v>
      </c>
      <c r="AO21" s="57">
        <f t="shared" si="21"/>
        <v>-4.0303007279461371E-3</v>
      </c>
      <c r="AP21" s="57">
        <f t="shared" si="21"/>
        <v>-4.5984404890818936E-3</v>
      </c>
      <c r="AQ21" s="57">
        <f t="shared" si="21"/>
        <v>-6.2937017698250107E-3</v>
      </c>
      <c r="AR21" s="57">
        <f t="shared" si="21"/>
        <v>5.4395993468954716E-5</v>
      </c>
      <c r="AS21" s="57">
        <f t="shared" si="21"/>
        <v>-6.9201552114787933E-4</v>
      </c>
      <c r="AT21" s="57">
        <f t="shared" si="21"/>
        <v>6.7712321198132937E-4</v>
      </c>
      <c r="AU21" s="57">
        <f t="shared" si="21"/>
        <v>2.9810683943857991E-3</v>
      </c>
      <c r="AV21" s="57">
        <f t="shared" si="21"/>
        <v>-1.259208411265702E-3</v>
      </c>
      <c r="AW21" s="57">
        <f t="shared" si="21"/>
        <v>-1.2600902851515213E-3</v>
      </c>
      <c r="AX21" s="57">
        <f t="shared" si="21"/>
        <v>-1.0119802402487313E-3</v>
      </c>
      <c r="AY21" s="57">
        <f t="shared" si="21"/>
        <v>-1.5832798923185488E-3</v>
      </c>
      <c r="AZ21" s="57">
        <f t="shared" si="21"/>
        <v>9.0213946122607436E-5</v>
      </c>
      <c r="BA21" s="57">
        <f t="shared" si="21"/>
        <v>-8.3615871686696692E-5</v>
      </c>
      <c r="BB21" s="57">
        <f t="shared" si="21"/>
        <v>-1.5571830233821309E-4</v>
      </c>
      <c r="BC21" s="57">
        <f t="shared" si="21"/>
        <v>-2.6177898972656253E-4</v>
      </c>
      <c r="BD21" s="57">
        <f t="shared" si="21"/>
        <v>-5.6302284101120278E-4</v>
      </c>
      <c r="BE21" s="57">
        <f t="shared" si="21"/>
        <v>-1.837396126961701E-3</v>
      </c>
      <c r="BF21" s="57">
        <f t="shared" si="21"/>
        <v>-1.4080490273359276E-3</v>
      </c>
      <c r="BG21" s="57">
        <f t="shared" si="21"/>
        <v>-5.4423779617734783E-4</v>
      </c>
      <c r="BH21" s="57">
        <f t="shared" si="21"/>
        <v>8.4065250749337949E-5</v>
      </c>
      <c r="BI21" s="57">
        <f t="shared" si="21"/>
        <v>-1.1384585405074632E-3</v>
      </c>
      <c r="BJ21" s="57">
        <f t="shared" si="21"/>
        <v>-2.5487086656661993E-4</v>
      </c>
      <c r="BK21" s="57">
        <f t="shared" si="21"/>
        <v>-6.2913456770953525E-5</v>
      </c>
      <c r="BL21" s="57">
        <f t="shared" si="21"/>
        <v>5.8056059601111452E-4</v>
      </c>
      <c r="BM21" s="57">
        <f t="shared" si="21"/>
        <v>-7.4493946892321364E-4</v>
      </c>
      <c r="BN21" s="57">
        <f t="shared" si="21"/>
        <v>-9.0916231479280264E-4</v>
      </c>
      <c r="BO21" s="57">
        <f t="shared" si="21"/>
        <v>-5.4699394330758909E-5</v>
      </c>
      <c r="BP21" s="57">
        <f t="shared" si="21"/>
        <v>1.692426270540507E-4</v>
      </c>
      <c r="BQ21" s="57">
        <f t="shared" si="21"/>
        <v>-5.0678012932371642E-4</v>
      </c>
      <c r="BR21" s="57">
        <f t="shared" ref="BR21:CK21" si="22">BR20/BR2</f>
        <v>-3.6485401785352325E-4</v>
      </c>
      <c r="BS21" s="57">
        <f t="shared" si="22"/>
        <v>-5.3991161571552437E-4</v>
      </c>
      <c r="BT21" s="57">
        <f t="shared" si="22"/>
        <v>-2.9199140564541896E-4</v>
      </c>
      <c r="BU21" s="57">
        <f t="shared" si="22"/>
        <v>-2.4995231616096211E-4</v>
      </c>
      <c r="BV21" s="57">
        <f t="shared" si="22"/>
        <v>-1.3937269391207176E-4</v>
      </c>
      <c r="BW21" s="57">
        <f t="shared" si="22"/>
        <v>-7.2797313869951935E-6</v>
      </c>
      <c r="BX21" s="57">
        <f t="shared" si="22"/>
        <v>-2.7992103046772765E-6</v>
      </c>
      <c r="BY21" s="57">
        <f t="shared" si="22"/>
        <v>-5.7425412293074204E-4</v>
      </c>
      <c r="BZ21" s="57">
        <f t="shared" si="22"/>
        <v>-1.1537983821173703E-4</v>
      </c>
      <c r="CA21" s="57">
        <f t="shared" si="22"/>
        <v>0</v>
      </c>
      <c r="CB21" s="57">
        <f t="shared" si="22"/>
        <v>0</v>
      </c>
      <c r="CC21" s="57">
        <f t="shared" si="22"/>
        <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0.31164832763952305</v>
      </c>
      <c r="F22" s="66">
        <f t="shared" ref="F22:BQ22" si="23">F11+F13+F15+F17+F19+F21</f>
        <v>0.30429665783802723</v>
      </c>
      <c r="G22" s="66">
        <f t="shared" si="23"/>
        <v>0.30177526314390335</v>
      </c>
      <c r="H22" s="66">
        <f t="shared" si="23"/>
        <v>0.24178822640962974</v>
      </c>
      <c r="I22" s="66">
        <f t="shared" si="23"/>
        <v>0.36104134110693653</v>
      </c>
      <c r="J22" s="66">
        <f t="shared" si="23"/>
        <v>0.34448379517525529</v>
      </c>
      <c r="K22" s="66">
        <f t="shared" si="23"/>
        <v>0.32962359891742382</v>
      </c>
      <c r="L22" s="66">
        <f t="shared" si="23"/>
        <v>0.27282743920043256</v>
      </c>
      <c r="M22" s="66">
        <f t="shared" si="23"/>
        <v>0.34848095965926013</v>
      </c>
      <c r="N22" s="66">
        <f t="shared" si="23"/>
        <v>0.32143008142979268</v>
      </c>
      <c r="O22" s="66">
        <f t="shared" si="23"/>
        <v>0.33577725361361654</v>
      </c>
      <c r="P22" s="66">
        <f t="shared" si="23"/>
        <v>0.27659027333172476</v>
      </c>
      <c r="Q22" s="66">
        <f t="shared" si="23"/>
        <v>0.37390128175133158</v>
      </c>
      <c r="R22" s="66">
        <f t="shared" si="23"/>
        <v>0.35505770674989867</v>
      </c>
      <c r="S22" s="66">
        <f t="shared" si="23"/>
        <v>0.31007140891954038</v>
      </c>
      <c r="T22" s="66">
        <f t="shared" si="23"/>
        <v>0.24206252589467786</v>
      </c>
      <c r="U22" s="66">
        <f t="shared" si="23"/>
        <v>0.29567341246825213</v>
      </c>
      <c r="V22" s="66">
        <f t="shared" si="23"/>
        <v>0.22087545348773879</v>
      </c>
      <c r="W22" s="66">
        <f t="shared" si="23"/>
        <v>0.20424523555253493</v>
      </c>
      <c r="X22" s="66">
        <f t="shared" si="23"/>
        <v>0.17054940972316107</v>
      </c>
      <c r="Y22" s="66">
        <f t="shared" si="23"/>
        <v>0.23164681117086211</v>
      </c>
      <c r="Z22" s="66">
        <f t="shared" si="23"/>
        <v>0.2173177319342019</v>
      </c>
      <c r="AA22" s="66">
        <f t="shared" si="23"/>
        <v>0.21836232031927891</v>
      </c>
      <c r="AB22" s="66">
        <f t="shared" si="23"/>
        <v>0.20352515743529154</v>
      </c>
      <c r="AC22" s="66">
        <f t="shared" si="23"/>
        <v>0.26679960593525465</v>
      </c>
      <c r="AD22" s="66">
        <f t="shared" si="23"/>
        <v>0.25320795905545002</v>
      </c>
      <c r="AE22" s="66">
        <f t="shared" si="23"/>
        <v>0.24562281945056627</v>
      </c>
      <c r="AF22" s="66">
        <f t="shared" si="23"/>
        <v>0.20844609957235849</v>
      </c>
      <c r="AG22" s="66">
        <f t="shared" si="23"/>
        <v>0.30530757026912986</v>
      </c>
      <c r="AH22" s="66">
        <f t="shared" si="23"/>
        <v>0.26688619651558693</v>
      </c>
      <c r="AI22" s="66">
        <f t="shared" si="23"/>
        <v>0.27760799355563176</v>
      </c>
      <c r="AJ22" s="66">
        <f t="shared" si="23"/>
        <v>0.23980288511908265</v>
      </c>
      <c r="AK22" s="66">
        <f t="shared" si="23"/>
        <v>0.2542111484733891</v>
      </c>
      <c r="AL22" s="66">
        <f t="shared" si="23"/>
        <v>0.2399191215736339</v>
      </c>
      <c r="AM22" s="66">
        <f t="shared" si="23"/>
        <v>0.22876994708182019</v>
      </c>
      <c r="AN22" s="66">
        <f t="shared" si="23"/>
        <v>0.18111609230209758</v>
      </c>
      <c r="AO22" s="66">
        <f t="shared" si="23"/>
        <v>0.25380194580682974</v>
      </c>
      <c r="AP22" s="66">
        <f t="shared" si="23"/>
        <v>0.22925523330167058</v>
      </c>
      <c r="AQ22" s="66">
        <f t="shared" si="23"/>
        <v>0.21570412800876834</v>
      </c>
      <c r="AR22" s="66">
        <f t="shared" si="23"/>
        <v>0.17488136019823311</v>
      </c>
      <c r="AS22" s="66">
        <f t="shared" si="23"/>
        <v>0.25343697015064731</v>
      </c>
      <c r="AT22" s="66">
        <f t="shared" si="23"/>
        <v>0.23594135648000283</v>
      </c>
      <c r="AU22" s="66">
        <f t="shared" si="23"/>
        <v>0.22386650680614203</v>
      </c>
      <c r="AV22" s="66">
        <f t="shared" si="23"/>
        <v>0.20814969429417868</v>
      </c>
      <c r="AW22" s="66">
        <f t="shared" si="23"/>
        <v>0.2916568783528109</v>
      </c>
      <c r="AX22" s="66">
        <f t="shared" si="23"/>
        <v>0.27924305161635821</v>
      </c>
      <c r="AY22" s="66">
        <f t="shared" si="23"/>
        <v>0.28740918283931138</v>
      </c>
      <c r="AZ22" s="66">
        <f t="shared" si="23"/>
        <v>0.28445418074367218</v>
      </c>
      <c r="BA22" s="66">
        <f t="shared" si="23"/>
        <v>0.31769684166736595</v>
      </c>
      <c r="BB22" s="66">
        <f t="shared" si="23"/>
        <v>0.27885415202848707</v>
      </c>
      <c r="BC22" s="66">
        <f t="shared" si="23"/>
        <v>0.27410227126159198</v>
      </c>
      <c r="BD22" s="66">
        <f t="shared" si="23"/>
        <v>0.25459998152810237</v>
      </c>
      <c r="BE22" s="66">
        <f t="shared" si="23"/>
        <v>0.28807234147005345</v>
      </c>
      <c r="BF22" s="66">
        <f t="shared" si="23"/>
        <v>0.24798967381383599</v>
      </c>
      <c r="BG22" s="66">
        <f t="shared" si="23"/>
        <v>0.23259222112116607</v>
      </c>
      <c r="BH22" s="66">
        <f t="shared" si="23"/>
        <v>0.21695160612723802</v>
      </c>
      <c r="BI22" s="66">
        <f t="shared" si="23"/>
        <v>0.28065685361103071</v>
      </c>
      <c r="BJ22" s="66">
        <f t="shared" si="23"/>
        <v>0.27467035400990358</v>
      </c>
      <c r="BK22" s="66">
        <f t="shared" si="23"/>
        <v>0.26110562716466612</v>
      </c>
      <c r="BL22" s="66">
        <f t="shared" si="23"/>
        <v>0.22928230929861632</v>
      </c>
      <c r="BM22" s="66">
        <f t="shared" si="23"/>
        <v>0.29073890212462844</v>
      </c>
      <c r="BN22" s="66">
        <f t="shared" si="23"/>
        <v>0.30301665073693135</v>
      </c>
      <c r="BO22" s="66">
        <f t="shared" si="23"/>
        <v>0.30037877885347863</v>
      </c>
      <c r="BP22" s="66">
        <f t="shared" si="23"/>
        <v>0.25565886450608483</v>
      </c>
      <c r="BQ22" s="66">
        <f t="shared" si="23"/>
        <v>0.25310044898749018</v>
      </c>
      <c r="BR22" s="66">
        <f t="shared" ref="BR22:CJ22" si="24">BR11+BR13+BR15+BR17+BR19+BR21</f>
        <v>-3.6485401785352325E-4</v>
      </c>
      <c r="BS22" s="66">
        <f t="shared" si="24"/>
        <v>0.21748571340317763</v>
      </c>
      <c r="BT22" s="66">
        <f t="shared" si="24"/>
        <v>0.17586706226577983</v>
      </c>
      <c r="BU22" s="66">
        <f t="shared" si="24"/>
        <v>0.26140551255933514</v>
      </c>
      <c r="BV22" s="66">
        <f t="shared" si="24"/>
        <v>0.29904799780344787</v>
      </c>
      <c r="BW22" s="66">
        <f t="shared" si="24"/>
        <v>0.29101754355759146</v>
      </c>
      <c r="BX22" s="66">
        <f t="shared" si="24"/>
        <v>0.31700392465382937</v>
      </c>
      <c r="BY22" s="66">
        <f t="shared" si="24"/>
        <v>0.24731097409258615</v>
      </c>
      <c r="BZ22" s="66">
        <f t="shared" si="24"/>
        <v>0.26425169375280821</v>
      </c>
      <c r="CA22" s="66">
        <f t="shared" si="24"/>
        <v>0.24542423704078384</v>
      </c>
      <c r="CB22" s="66">
        <f t="shared" si="24"/>
        <v>0.26029642122524776</v>
      </c>
      <c r="CC22" s="66">
        <f t="shared" si="24"/>
        <v>0.20465275139112676</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9295474832.2501526</v>
      </c>
      <c r="F23" s="27">
        <f>股权价值增加表!F17</f>
        <v>6768801638.1986303</v>
      </c>
      <c r="G23" s="27">
        <f>股权价值增加表!G17</f>
        <v>4856154635.5859785</v>
      </c>
      <c r="H23" s="27">
        <f>股权价值增加表!H17</f>
        <v>3575608988.9147511</v>
      </c>
      <c r="I23" s="27">
        <f>股权价值增加表!I17</f>
        <v>6482526428.6372776</v>
      </c>
      <c r="J23" s="27">
        <f>股权价值增加表!J17</f>
        <v>4867417471.5426207</v>
      </c>
      <c r="K23" s="27">
        <f>股权价值增加表!K17</f>
        <v>3760513185.223103</v>
      </c>
      <c r="L23" s="27">
        <f>股权价值增加表!L17</f>
        <v>2873272748.3356805</v>
      </c>
      <c r="M23" s="27">
        <f>股权价值增加表!M17</f>
        <v>5818530751.5382519</v>
      </c>
      <c r="N23" s="27">
        <f>股权价值增加表!N17</f>
        <v>4343069185.6432056</v>
      </c>
      <c r="O23" s="27">
        <f>股权价值增加表!O17</f>
        <v>3139324632.4330721</v>
      </c>
      <c r="P23" s="27">
        <f>股权价值增加表!P17</f>
        <v>2158273933.2071209</v>
      </c>
      <c r="Q23" s="27">
        <f>股权价值增加表!Q17</f>
        <v>5556584772.209527</v>
      </c>
      <c r="R23" s="27">
        <f>股权价值增加表!R17</f>
        <v>4526545700.2707214</v>
      </c>
      <c r="S23" s="27">
        <f>股权价值增加表!S17</f>
        <v>3907986927.7655573</v>
      </c>
      <c r="T23" s="27">
        <f>股权价值增加表!T17</f>
        <v>2552760200.2820849</v>
      </c>
      <c r="U23" s="27">
        <f>股权价值增加表!U17</f>
        <v>7718176530.2848721</v>
      </c>
      <c r="V23" s="27">
        <f>股权价值增加表!V17</f>
        <v>6921479563.1431599</v>
      </c>
      <c r="W23" s="27">
        <f>股权价值增加表!W17</f>
        <v>5691687396.4111643</v>
      </c>
      <c r="X23" s="27">
        <f>股权价值增加表!X17</f>
        <v>3607211631.0854139</v>
      </c>
      <c r="Y23" s="27">
        <f>股权价值增加表!Y17</f>
        <v>9750799759.3233471</v>
      </c>
      <c r="Z23" s="27">
        <f>股权价值增加表!Z17</f>
        <v>7646793988.2674847</v>
      </c>
      <c r="AA23" s="27">
        <f>股权价值增加表!AA17</f>
        <v>4941883120.8399944</v>
      </c>
      <c r="AB23" s="27">
        <f>股权价值增加表!AB17</f>
        <v>3059822374.1743827</v>
      </c>
      <c r="AC23" s="27">
        <f>股权价值增加表!AC17</f>
        <v>6044027413.3680277</v>
      </c>
      <c r="AD23" s="27">
        <f>股权价值增加表!AD17</f>
        <v>4828676489.6132784</v>
      </c>
      <c r="AE23" s="27">
        <f>股权价值增加表!AE17</f>
        <v>3352073838.3832626</v>
      </c>
      <c r="AF23" s="27">
        <f>股权价值增加表!AF17</f>
        <v>2142457011.7147408</v>
      </c>
      <c r="AG23" s="27">
        <f>股权价值增加表!AG17</f>
        <v>4422872890.2687683</v>
      </c>
      <c r="AH23" s="27">
        <f>股权价值增加表!AH17</f>
        <v>3461176403.7387552</v>
      </c>
      <c r="AI23" s="27">
        <f>股权价值增加表!AI17</f>
        <v>2293041854.9501367</v>
      </c>
      <c r="AJ23" s="27">
        <f>股权价值增加表!AJ17</f>
        <v>1570289221.8179052</v>
      </c>
      <c r="AK23" s="27">
        <f>股权价值增加表!AK17</f>
        <v>3370042257.6196599</v>
      </c>
      <c r="AL23" s="27">
        <f>股权价值增加表!AL17</f>
        <v>2334810226.7028246</v>
      </c>
      <c r="AM23" s="27">
        <f>股权价值增加表!AM17</f>
        <v>1591196995.3543205</v>
      </c>
      <c r="AN23" s="27">
        <f>股权价值增加表!AN17</f>
        <v>1260896268.7404358</v>
      </c>
      <c r="AO23" s="27">
        <f>股权价值增加表!AO17</f>
        <v>1706507542.3037231</v>
      </c>
      <c r="AP23" s="27">
        <f>股权价值增加表!AP17</f>
        <v>1537856623.4169679</v>
      </c>
      <c r="AQ23" s="27">
        <f>股权价值增加表!AQ17</f>
        <v>1251684705.6535292</v>
      </c>
      <c r="AR23" s="27">
        <f>股权价值增加表!AR17</f>
        <v>1003972788.9663324</v>
      </c>
      <c r="AS23" s="27">
        <f>股权价值增加表!AS17</f>
        <v>1408392013.9499335</v>
      </c>
      <c r="AT23" s="27">
        <f>股权价值增加表!AT17</f>
        <v>1298916230.9878173</v>
      </c>
      <c r="AU23" s="27">
        <f>股权价值增加表!AU17</f>
        <v>1120736191.6167207</v>
      </c>
      <c r="AV23" s="27">
        <f>股权价值增加表!AV17</f>
        <v>742320493.72112775</v>
      </c>
      <c r="AW23" s="27">
        <f>股权价值增加表!AW17</f>
        <v>1139287368.2616401</v>
      </c>
      <c r="AX23" s="27">
        <f>股权价值增加表!AX17</f>
        <v>1000752627.2061002</v>
      </c>
      <c r="AY23" s="27">
        <f>股权价值增加表!AY17</f>
        <v>803074551.98834109</v>
      </c>
      <c r="AZ23" s="27">
        <f>股权价值增加表!AZ17</f>
        <v>545478366.56518388</v>
      </c>
      <c r="BA23" s="27">
        <f>股权价值增加表!BA17</f>
        <v>779115085.87543201</v>
      </c>
      <c r="BB23" s="27">
        <f>股权价值增加表!BB17</f>
        <v>764946656.44783151</v>
      </c>
      <c r="BC23" s="27">
        <f>股权价值增加表!BC17</f>
        <v>586558573.95681977</v>
      </c>
      <c r="BD23" s="27">
        <f>股权价值增加表!BD17</f>
        <v>411189639.50629252</v>
      </c>
      <c r="BE23" s="27">
        <f>股权价值增加表!BE17</f>
        <v>808742027.29673886</v>
      </c>
      <c r="BF23" s="27">
        <f>股权价值增加表!BF17</f>
        <v>667465376.84909189</v>
      </c>
      <c r="BG23" s="27">
        <f>股权价值增加表!BG17</f>
        <v>528360717.32039851</v>
      </c>
      <c r="BH23" s="27">
        <f>股权价值增加表!BH17</f>
        <v>380539597.46508592</v>
      </c>
      <c r="BI23" s="27">
        <f>股权价值增加表!BI17</f>
        <v>682124057.91134238</v>
      </c>
      <c r="BJ23" s="27">
        <f>股权价值增加表!BJ17</f>
        <v>532548305.2660383</v>
      </c>
      <c r="BK23" s="27">
        <f>股权价值增加表!BK17</f>
        <v>380842567.91031945</v>
      </c>
      <c r="BL23" s="27">
        <f>股权价值增加表!BL17</f>
        <v>286325964.99498641</v>
      </c>
      <c r="BM23" s="27">
        <f>股权价值增加表!BM17</f>
        <v>596046231.52792478</v>
      </c>
      <c r="BN23" s="27">
        <f>股权价值增加表!BN17</f>
        <v>492314792.84760016</v>
      </c>
      <c r="BO23" s="27">
        <f>股权价值增加表!BO17</f>
        <v>362446083.21841216</v>
      </c>
      <c r="BP23" s="27">
        <f>股权价值增加表!BP17</f>
        <v>247383124.20895594</v>
      </c>
      <c r="BQ23" s="27">
        <f>股权价值增加表!BQ17</f>
        <v>781097060.5271349</v>
      </c>
      <c r="BR23" s="27">
        <f>股权价值增加表!BR17</f>
        <v>3538720374.7292185</v>
      </c>
      <c r="BS23" s="27">
        <f>股权价值增加表!BS17</f>
        <v>459459812.22708166</v>
      </c>
      <c r="BT23" s="27">
        <f>股权价值增加表!BT17</f>
        <v>273643985.79109538</v>
      </c>
      <c r="BU23" s="27">
        <f>股权价值增加表!BU17</f>
        <v>752469901.51153541</v>
      </c>
      <c r="BV23" s="27">
        <f>股权价值增加表!BV17</f>
        <v>423553063.21877891</v>
      </c>
      <c r="BW23" s="27">
        <f>股权价值增加表!BW17</f>
        <v>471621488.34779614</v>
      </c>
      <c r="BX23" s="27">
        <f>股权价值增加表!BX17</f>
        <v>309149442.06293452</v>
      </c>
      <c r="BY23" s="27">
        <f>股权价值增加表!BY17</f>
        <v>384931001.29207247</v>
      </c>
      <c r="BZ23" s="27">
        <f>股权价值增加表!BZ17</f>
        <v>249649486.47954711</v>
      </c>
      <c r="CA23" s="27">
        <f>股权价值增加表!CA17</f>
        <v>349069886.86130583</v>
      </c>
      <c r="CB23" s="27">
        <f>股权价值增加表!CB17</f>
        <v>270499637.93678504</v>
      </c>
      <c r="CC23" s="27">
        <f>股权价值增加表!CC17</f>
        <v>224929179.37490815</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0.30793197241517201</v>
      </c>
      <c r="F24" s="57">
        <f t="shared" ref="F24:BQ24" si="25">F23/F2</f>
        <v>0.30798643510689577</v>
      </c>
      <c r="G24" s="57">
        <f t="shared" si="25"/>
        <v>0.31087093973674695</v>
      </c>
      <c r="H24" s="57">
        <f t="shared" si="25"/>
        <v>0.35197132952781107</v>
      </c>
      <c r="I24" s="57">
        <f t="shared" si="25"/>
        <v>0.26412081124879605</v>
      </c>
      <c r="J24" s="57">
        <f t="shared" si="25"/>
        <v>0.27500087107317056</v>
      </c>
      <c r="K24" s="57">
        <f t="shared" si="25"/>
        <v>0.28369158858688376</v>
      </c>
      <c r="L24" s="57">
        <f t="shared" si="25"/>
        <v>0.32556249989664726</v>
      </c>
      <c r="M24" s="57">
        <f t="shared" si="25"/>
        <v>0.26863906715486641</v>
      </c>
      <c r="N24" s="57">
        <f t="shared" si="25"/>
        <v>0.28702473119303185</v>
      </c>
      <c r="O24" s="57">
        <f t="shared" si="25"/>
        <v>0.2799116136497935</v>
      </c>
      <c r="P24" s="57">
        <f t="shared" si="25"/>
        <v>0.32043571193896292</v>
      </c>
      <c r="Q24" s="57">
        <f t="shared" si="25"/>
        <v>0.26445456109825138</v>
      </c>
      <c r="R24" s="57">
        <f t="shared" si="25"/>
        <v>0.30040159405774469</v>
      </c>
      <c r="S24" s="57">
        <f t="shared" si="25"/>
        <v>0.3350890406936452</v>
      </c>
      <c r="T24" s="57">
        <f t="shared" si="25"/>
        <v>0.37988341775015505</v>
      </c>
      <c r="U24" s="57">
        <f t="shared" si="25"/>
        <v>0.31224179703640692</v>
      </c>
      <c r="V24" s="57">
        <f t="shared" si="25"/>
        <v>0.36113630091486376</v>
      </c>
      <c r="W24" s="57">
        <f t="shared" si="25"/>
        <v>0.366735327031537</v>
      </c>
      <c r="X24" s="57">
        <f t="shared" si="25"/>
        <v>0.41577856660444734</v>
      </c>
      <c r="Y24" s="57">
        <f t="shared" si="25"/>
        <v>0.35847150057268279</v>
      </c>
      <c r="Z24" s="57">
        <f t="shared" si="25"/>
        <v>0.36195094062447714</v>
      </c>
      <c r="AA24" s="57">
        <f t="shared" si="25"/>
        <v>0.32837066717422769</v>
      </c>
      <c r="AB24" s="57">
        <f t="shared" si="25"/>
        <v>0.37175943901320035</v>
      </c>
      <c r="AC24" s="57">
        <f t="shared" si="25"/>
        <v>0.29699512820920321</v>
      </c>
      <c r="AD24" s="57">
        <f t="shared" si="25"/>
        <v>0.30856579169444281</v>
      </c>
      <c r="AE24" s="57">
        <f t="shared" si="25"/>
        <v>0.31638768853235816</v>
      </c>
      <c r="AF24" s="57">
        <f t="shared" si="25"/>
        <v>0.34309190938403961</v>
      </c>
      <c r="AG24" s="57">
        <f t="shared" si="25"/>
        <v>0.28458833848434917</v>
      </c>
      <c r="AH24" s="57">
        <f t="shared" si="25"/>
        <v>0.30171407333238798</v>
      </c>
      <c r="AI24" s="57">
        <f t="shared" si="25"/>
        <v>0.30265003131491464</v>
      </c>
      <c r="AJ24" s="57">
        <f t="shared" si="25"/>
        <v>0.3494481507936274</v>
      </c>
      <c r="AK24" s="57">
        <f t="shared" si="25"/>
        <v>0.30281026803245048</v>
      </c>
      <c r="AL24" s="57">
        <f t="shared" si="25"/>
        <v>0.29077250955162948</v>
      </c>
      <c r="AM24" s="57">
        <f t="shared" si="25"/>
        <v>0.29792731467414307</v>
      </c>
      <c r="AN24" s="57">
        <f t="shared" si="25"/>
        <v>0.37764379781907803</v>
      </c>
      <c r="AO24" s="57">
        <f t="shared" si="25"/>
        <v>0.21511316765868252</v>
      </c>
      <c r="AP24" s="57">
        <f t="shared" si="25"/>
        <v>0.23376371910016475</v>
      </c>
      <c r="AQ24" s="57">
        <f t="shared" si="25"/>
        <v>0.27226650029790767</v>
      </c>
      <c r="AR24" s="57">
        <f t="shared" si="25"/>
        <v>0.32531587829364983</v>
      </c>
      <c r="AS24" s="57">
        <f t="shared" si="25"/>
        <v>0.19217865625741129</v>
      </c>
      <c r="AT24" s="57">
        <f t="shared" si="25"/>
        <v>0.21494334995366812</v>
      </c>
      <c r="AU24" s="57">
        <f t="shared" si="25"/>
        <v>0.25806286789072092</v>
      </c>
      <c r="AV24" s="57">
        <f t="shared" si="25"/>
        <v>0.2466301824199921</v>
      </c>
      <c r="AW24" s="57">
        <f t="shared" si="25"/>
        <v>0.15424662259292723</v>
      </c>
      <c r="AX24" s="57">
        <f t="shared" si="25"/>
        <v>0.16803773155178575</v>
      </c>
      <c r="AY24" s="57">
        <f t="shared" si="25"/>
        <v>0.18264097990919409</v>
      </c>
      <c r="AZ24" s="57">
        <f t="shared" si="25"/>
        <v>0.19977625424510168</v>
      </c>
      <c r="BA24" s="57">
        <f t="shared" si="25"/>
        <v>0.12138109545243717</v>
      </c>
      <c r="BB24" s="57">
        <f t="shared" si="25"/>
        <v>0.15398185895799874</v>
      </c>
      <c r="BC24" s="57">
        <f t="shared" si="25"/>
        <v>0.15407316672099775</v>
      </c>
      <c r="BD24" s="57">
        <f t="shared" si="25"/>
        <v>0.1665104460307556</v>
      </c>
      <c r="BE24" s="57">
        <f t="shared" si="25"/>
        <v>0.12842101023876681</v>
      </c>
      <c r="BF24" s="57">
        <f t="shared" si="25"/>
        <v>0.14579585482006291</v>
      </c>
      <c r="BG24" s="57">
        <f t="shared" si="25"/>
        <v>0.15282464822497735</v>
      </c>
      <c r="BH24" s="57">
        <f t="shared" si="25"/>
        <v>0.15532587773235318</v>
      </c>
      <c r="BI24" s="57">
        <f t="shared" si="25"/>
        <v>0.10770792668616946</v>
      </c>
      <c r="BJ24" s="57">
        <f t="shared" si="25"/>
        <v>0.1147488821743938</v>
      </c>
      <c r="BK24" s="57">
        <f t="shared" si="25"/>
        <v>0.11113601500367887</v>
      </c>
      <c r="BL24" s="57">
        <f t="shared" si="25"/>
        <v>0.12587649707484005</v>
      </c>
      <c r="BM24" s="57">
        <f t="shared" si="25"/>
        <v>0.10445008500487864</v>
      </c>
      <c r="BN24" s="57">
        <f t="shared" si="25"/>
        <v>0.10981014995220689</v>
      </c>
      <c r="BO24" s="57">
        <f t="shared" si="25"/>
        <v>0.10468061615555503</v>
      </c>
      <c r="BP24" s="57">
        <f t="shared" si="25"/>
        <v>0.10930655857045156</v>
      </c>
      <c r="BQ24" s="57">
        <f t="shared" si="25"/>
        <v>0.16471559604283911</v>
      </c>
      <c r="BR24" s="57">
        <f t="shared" ref="BR24:CJ24" si="26">BR23/BR2</f>
        <v>0.95638247909635621</v>
      </c>
      <c r="BS24" s="57">
        <f t="shared" si="26"/>
        <v>0.16307392617158098</v>
      </c>
      <c r="BT24" s="57">
        <f t="shared" si="26"/>
        <v>0.13682885827256519</v>
      </c>
      <c r="BU24" s="57">
        <f t="shared" si="26"/>
        <v>0.19032331599847416</v>
      </c>
      <c r="BV24" s="57">
        <f t="shared" si="26"/>
        <v>0.15877179547777842</v>
      </c>
      <c r="BW24" s="57">
        <f t="shared" si="26"/>
        <v>0.1425358937417914</v>
      </c>
      <c r="BX24" s="57">
        <f t="shared" si="26"/>
        <v>0.16263377258180736</v>
      </c>
      <c r="BY24" s="57">
        <f t="shared" si="26"/>
        <v>0.13677455734825089</v>
      </c>
      <c r="BZ24" s="57">
        <f t="shared" si="26"/>
        <v>0.20624801515379701</v>
      </c>
      <c r="CA24" s="57">
        <f t="shared" si="26"/>
        <v>0.15834751873180886</v>
      </c>
      <c r="CB24" s="57">
        <f t="shared" si="26"/>
        <v>0.20653606180830911</v>
      </c>
      <c r="CC24" s="57">
        <f t="shared" si="26"/>
        <v>0.24590387623224838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671</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50" t="s">
        <v>601</v>
      </c>
      <c r="B26" s="151"/>
      <c r="C26" s="151"/>
      <c r="D26" s="151"/>
      <c r="E26" s="152">
        <f>POWER(E2/Y2,1/6)-1</f>
        <v>1.7509638668258498E-2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36981</v>
      </c>
      <c r="BU27" s="1">
        <v>36891</v>
      </c>
      <c r="BV27" s="1">
        <v>36707</v>
      </c>
      <c r="BW27" s="1">
        <v>36525</v>
      </c>
      <c r="BX27" s="1">
        <v>36341</v>
      </c>
      <c r="BY27" s="1">
        <v>36160</v>
      </c>
      <c r="BZ27" s="1">
        <v>35976</v>
      </c>
      <c r="CA27" s="1">
        <v>35795</v>
      </c>
      <c r="CB27" s="1">
        <v>35430</v>
      </c>
      <c r="CC27" s="1">
        <v>35064</v>
      </c>
      <c r="CD27" s="1">
        <v>25569</v>
      </c>
      <c r="CE27" s="1"/>
      <c r="CF27" s="1"/>
      <c r="CG27" s="1"/>
      <c r="CH27" s="1"/>
      <c r="CI27" s="1"/>
      <c r="CJ27" s="1"/>
      <c r="CK27" s="1"/>
    </row>
    <row r="28" spans="1:89" s="26" customFormat="1" x14ac:dyDescent="0.25">
      <c r="A28" s="17" t="s">
        <v>374</v>
      </c>
      <c r="E28" s="26">
        <f>股权价值增加表!E15</f>
        <v>12363339554.09</v>
      </c>
      <c r="F28" s="26">
        <f>股权价值增加表!F15</f>
        <v>9032690135.7299995</v>
      </c>
      <c r="G28" s="26">
        <f>股权价值增加表!G15</f>
        <v>6546608056.8099995</v>
      </c>
      <c r="H28" s="26">
        <f>股权价值增加表!H15</f>
        <v>4736521196.750001</v>
      </c>
      <c r="I28" s="26">
        <f>股权价值增加表!I15</f>
        <v>8568615588.8199997</v>
      </c>
      <c r="J28" s="26">
        <f>股权价值增加表!J15</f>
        <v>6457249919.6099987</v>
      </c>
      <c r="K28" s="26">
        <f>股权价值增加表!K15</f>
        <v>4971189886.8099995</v>
      </c>
      <c r="L28" s="26">
        <f>股权价值增加表!L15</f>
        <v>3811455270.48</v>
      </c>
      <c r="M28" s="26">
        <f>股权价值增加表!M15</f>
        <v>7521988022.3599997</v>
      </c>
      <c r="N28" s="26">
        <f>股权价值增加表!N15</f>
        <v>5682032286.8999987</v>
      </c>
      <c r="O28" s="26">
        <f>股权价值增加表!O15</f>
        <v>4116267654.2600007</v>
      </c>
      <c r="P28" s="26">
        <f>股权价值增加表!P15</f>
        <v>2837181770.3000002</v>
      </c>
      <c r="Q28" s="26">
        <f>股权价值增加表!Q15</f>
        <v>7350268061.3200006</v>
      </c>
      <c r="R28" s="26">
        <f>股权价值增加表!R15</f>
        <v>5967410600.8799992</v>
      </c>
      <c r="S28" s="26">
        <f>股权价值增加表!S15</f>
        <v>5208408593.2600002</v>
      </c>
      <c r="T28" s="26">
        <f>股权价值增加表!T15</f>
        <v>3423200720.5100012</v>
      </c>
      <c r="U28" s="26">
        <f>股权价值增加表!U15</f>
        <v>10428841340.690001</v>
      </c>
      <c r="V28" s="26">
        <f>股权价值增加表!V15</f>
        <v>9194578750.8899975</v>
      </c>
      <c r="W28" s="26">
        <f>股权价值增加表!W15</f>
        <v>7556432001.5200005</v>
      </c>
      <c r="X28" s="26">
        <f>股权价值增加表!X15</f>
        <v>4783776420.1000004</v>
      </c>
      <c r="Y28" s="26">
        <f>股权价值增加表!Y15</f>
        <v>12957347668.509996</v>
      </c>
      <c r="Z28" s="26">
        <f>股权价值增加表!Z15</f>
        <v>10098351844.860001</v>
      </c>
      <c r="AA28" s="26">
        <f>股权价值增加表!AA15</f>
        <v>6556426903.0100002</v>
      </c>
      <c r="AB28" s="26">
        <f>股权价值增加表!AB15</f>
        <v>4057064563.0700002</v>
      </c>
      <c r="AC28" s="26">
        <f>股权价值增加表!AC15</f>
        <v>8031676488.1999979</v>
      </c>
      <c r="AD28" s="26">
        <f>股权价值增加表!AD15</f>
        <v>6389154684.0999994</v>
      </c>
      <c r="AE28" s="26">
        <f>股权价值增加表!AE15</f>
        <v>4436870174.8800001</v>
      </c>
      <c r="AF28" s="26">
        <f>股权价值增加表!AF15</f>
        <v>2835324666.4299994</v>
      </c>
      <c r="AG28" s="26">
        <f>股权价值增加表!AG15</f>
        <v>5884228454.4300003</v>
      </c>
      <c r="AH28" s="26">
        <f>股权价值增加表!AH15</f>
        <v>4584123387.7000008</v>
      </c>
      <c r="AI28" s="26">
        <f>股权价值增加表!AI15</f>
        <v>3042919273.77</v>
      </c>
      <c r="AJ28" s="26">
        <f>股权价值增加表!AJ15</f>
        <v>2076374357.8</v>
      </c>
      <c r="AK28" s="26">
        <f>股权价值增加表!AK15</f>
        <v>4477217421.1800003</v>
      </c>
      <c r="AL28" s="26">
        <f>股权价值增加表!AL15</f>
        <v>3102024746.4900007</v>
      </c>
      <c r="AM28" s="26">
        <f>股权价值增加表!AM15</f>
        <v>2119589699.8700004</v>
      </c>
      <c r="AN28" s="26">
        <f>股权价值增加表!AN15</f>
        <v>1649469646.1600003</v>
      </c>
      <c r="AO28" s="26">
        <f>股权价值增加表!AO15</f>
        <v>2237622268.4900002</v>
      </c>
      <c r="AP28" s="26">
        <f>股权价值增加表!AP15</f>
        <v>2015282016.3899996</v>
      </c>
      <c r="AQ28" s="26">
        <f>股权价值增加表!AQ15</f>
        <v>1637826988.0300007</v>
      </c>
      <c r="AR28" s="26">
        <f>股权价值增加表!AR15</f>
        <v>1335910628.2199998</v>
      </c>
      <c r="AS28" s="26">
        <f>股权价值增加表!AS15</f>
        <v>2083106331.7599995</v>
      </c>
      <c r="AT28" s="26">
        <f>股权价值增加表!AT15</f>
        <v>1933521679.0500004</v>
      </c>
      <c r="AU28" s="26">
        <f>股权价值增加表!AU15</f>
        <v>1670479830.9299996</v>
      </c>
      <c r="AV28" s="26">
        <f>股权价值增加表!AV15</f>
        <v>1115416891.9000001</v>
      </c>
      <c r="AW28" s="26">
        <f>股权价值增加表!AW15</f>
        <v>1726773984.5200002</v>
      </c>
      <c r="AX28" s="26">
        <f>股权价值增加表!AX15</f>
        <v>1517156059.4099998</v>
      </c>
      <c r="AY28" s="26">
        <f>股权价值增加表!AY15</f>
        <v>1214412741.9199994</v>
      </c>
      <c r="AZ28" s="26">
        <f>股权价值增加表!AZ15</f>
        <v>825398587.63999999</v>
      </c>
      <c r="BA28" s="26">
        <f>股权价值增加表!BA15</f>
        <v>1168913264.8699996</v>
      </c>
      <c r="BB28" s="26">
        <f>股权价值增加表!BB15</f>
        <v>1146486701.2999995</v>
      </c>
      <c r="BC28" s="26">
        <f>股权价值增加表!BC15</f>
        <v>920867011.11999977</v>
      </c>
      <c r="BD28" s="26">
        <f>股权价值增加表!BD15</f>
        <v>647497079.54000008</v>
      </c>
      <c r="BE28" s="26">
        <f>股权价值增加表!BE15</f>
        <v>1240972705.5299997</v>
      </c>
      <c r="BF28" s="26">
        <f>股权价值增加表!BF15</f>
        <v>1017956701.9300003</v>
      </c>
      <c r="BG28" s="26">
        <f>股权价值增加表!BG15</f>
        <v>802766749.17999995</v>
      </c>
      <c r="BH28" s="26">
        <f>股权价值增加表!BH15</f>
        <v>572967000.40999985</v>
      </c>
      <c r="BI28" s="26">
        <f>股权价值增加表!BI15</f>
        <v>1055732464.6899999</v>
      </c>
      <c r="BJ28" s="26">
        <f>股权价值增加表!BJ15</f>
        <v>836691845.71000016</v>
      </c>
      <c r="BK28" s="26">
        <f>股权价值增加表!BK15</f>
        <v>626120879.14999998</v>
      </c>
      <c r="BL28" s="26">
        <f>股权价值增加表!BL15</f>
        <v>492586995.96999997</v>
      </c>
      <c r="BM28" s="26">
        <f>股权价值增加表!BM15</f>
        <v>838364695.9599998</v>
      </c>
      <c r="BN28" s="26">
        <f>股权价值增加表!BN15</f>
        <v>676667147.49000013</v>
      </c>
      <c r="BO28" s="26">
        <f>股权价值增加表!BO15</f>
        <v>485813806.44000018</v>
      </c>
      <c r="BP28" s="26">
        <f>股权价值增加表!BP15</f>
        <v>366396665.61999989</v>
      </c>
      <c r="BQ28" s="26">
        <f>股权价值增加表!BQ15</f>
        <v>893134619.91999996</v>
      </c>
      <c r="BR28" s="26">
        <f>股权价值增加表!BR15</f>
        <v>3698760000</v>
      </c>
      <c r="BS28" s="26">
        <f>股权价值增加表!BS15</f>
        <v>631534808.33999991</v>
      </c>
      <c r="BT28" s="26">
        <f>股权价值增加表!BT15</f>
        <v>408883947.53000009</v>
      </c>
      <c r="BU28" s="26">
        <f>股权价值增加表!BU15</f>
        <v>987370951.11000013</v>
      </c>
      <c r="BV28" s="26">
        <f>股权价值增加表!BV15</f>
        <v>715865560.12</v>
      </c>
      <c r="BW28" s="26">
        <f>股权价值增加表!BW15</f>
        <v>769213825.49000013</v>
      </c>
      <c r="BX28" s="26">
        <f>股权价值增加表!BX15</f>
        <v>374136798.97000003</v>
      </c>
      <c r="BY28" s="26">
        <f>股权价值增加表!BY15</f>
        <v>628908889.02999997</v>
      </c>
      <c r="BZ28" s="26">
        <f>股权价值增加表!BZ15</f>
        <v>293707157.80000001</v>
      </c>
      <c r="CA28" s="26">
        <f>股权价值增加表!CA15</f>
        <v>521078849.30999994</v>
      </c>
      <c r="CB28" s="26">
        <f>股权价值增加表!CB15</f>
        <v>403897356.88999999</v>
      </c>
      <c r="CC28" s="26">
        <f>股权价值增加表!CC15</f>
        <v>335872505.23000002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379</v>
      </c>
      <c r="E29" s="59">
        <f t="shared" ref="E29:AJ29" si="27">E28/E34</f>
        <v>0.92718058967505546</v>
      </c>
      <c r="F29" s="59">
        <f t="shared" si="27"/>
        <v>0.99752314018848731</v>
      </c>
      <c r="G29" s="59">
        <f t="shared" si="27"/>
        <v>0.99658698152712188</v>
      </c>
      <c r="H29" s="59">
        <f t="shared" si="27"/>
        <v>0.9999966629628374</v>
      </c>
      <c r="I29" s="59">
        <f t="shared" si="27"/>
        <v>0.9147578730136835</v>
      </c>
      <c r="J29" s="59">
        <f t="shared" si="27"/>
        <v>0.99843097888406185</v>
      </c>
      <c r="K29" s="59">
        <f t="shared" si="27"/>
        <v>0.99796289985269482</v>
      </c>
      <c r="L29" s="59">
        <f t="shared" si="27"/>
        <v>1</v>
      </c>
      <c r="M29" s="59">
        <f t="shared" si="27"/>
        <v>0.90597955933452001</v>
      </c>
      <c r="N29" s="59">
        <f t="shared" si="27"/>
        <v>0.99790228241853074</v>
      </c>
      <c r="O29" s="59">
        <f t="shared" si="27"/>
        <v>0.99710665176995084</v>
      </c>
      <c r="P29" s="59">
        <f t="shared" si="27"/>
        <v>1</v>
      </c>
      <c r="Q29" s="59">
        <f t="shared" si="27"/>
        <v>0.91591877935336741</v>
      </c>
      <c r="R29" s="59">
        <f t="shared" si="27"/>
        <v>1.0009685027337947</v>
      </c>
      <c r="S29" s="59">
        <f t="shared" si="27"/>
        <v>1.0011079484032359</v>
      </c>
      <c r="T29" s="59">
        <f t="shared" si="27"/>
        <v>1</v>
      </c>
      <c r="U29" s="59">
        <f t="shared" si="27"/>
        <v>0.92723084923704524</v>
      </c>
      <c r="V29" s="59">
        <f t="shared" si="27"/>
        <v>1.0010382522024159</v>
      </c>
      <c r="W29" s="59">
        <f t="shared" si="27"/>
        <v>1.0012636176451182</v>
      </c>
      <c r="X29" s="59">
        <f t="shared" si="27"/>
        <v>1.0002456352101354</v>
      </c>
      <c r="Y29" s="59">
        <f t="shared" si="27"/>
        <v>0.94312226840293312</v>
      </c>
      <c r="Z29" s="59">
        <f t="shared" si="27"/>
        <v>1.0003821756354974</v>
      </c>
      <c r="AA29" s="59">
        <f t="shared" si="27"/>
        <v>1.0004458937450431</v>
      </c>
      <c r="AB29" s="59">
        <f t="shared" si="27"/>
        <v>1.0001322870465428</v>
      </c>
      <c r="AC29" s="59">
        <f t="shared" si="27"/>
        <v>0.94486615644183292</v>
      </c>
      <c r="AD29" s="59">
        <f t="shared" si="27"/>
        <v>1.0010558382093631</v>
      </c>
      <c r="AE29" s="59">
        <f t="shared" si="27"/>
        <v>1.0009153790615777</v>
      </c>
      <c r="AF29" s="59">
        <f t="shared" si="27"/>
        <v>0.99937524811545064</v>
      </c>
      <c r="AG29" s="59">
        <f t="shared" si="27"/>
        <v>0.96935633742688465</v>
      </c>
      <c r="AH29" s="59">
        <f t="shared" si="27"/>
        <v>1.0022758608978168</v>
      </c>
      <c r="AI29" s="59">
        <f t="shared" si="27"/>
        <v>1.0035430947630939</v>
      </c>
      <c r="AJ29" s="59">
        <f t="shared" si="27"/>
        <v>1.0008104852822808</v>
      </c>
      <c r="AK29" s="59">
        <f t="shared" ref="AK29:BP29" si="28">AK28/AK34</f>
        <v>0.99585417709071011</v>
      </c>
      <c r="AL29" s="59">
        <f t="shared" si="28"/>
        <v>1.0007682926515364</v>
      </c>
      <c r="AM29" s="59">
        <f t="shared" si="28"/>
        <v>1.0011395219302628</v>
      </c>
      <c r="AN29" s="59">
        <f t="shared" si="28"/>
        <v>1</v>
      </c>
      <c r="AO29" s="59">
        <f t="shared" si="28"/>
        <v>0.99929478370405045</v>
      </c>
      <c r="AP29" s="59">
        <f t="shared" si="28"/>
        <v>1.0004614731108405</v>
      </c>
      <c r="AQ29" s="59">
        <f t="shared" si="28"/>
        <v>1.0005678849996777</v>
      </c>
      <c r="AR29" s="59">
        <f t="shared" si="28"/>
        <v>1</v>
      </c>
      <c r="AS29" s="59">
        <f t="shared" si="28"/>
        <v>0.99855588173302001</v>
      </c>
      <c r="AT29" s="59">
        <f t="shared" si="28"/>
        <v>0.9997122121246087</v>
      </c>
      <c r="AU29" s="59">
        <f t="shared" si="28"/>
        <v>0.99994912305181438</v>
      </c>
      <c r="AV29" s="59">
        <f t="shared" si="28"/>
        <v>0.99914016724527033</v>
      </c>
      <c r="AW29" s="59">
        <f t="shared" si="28"/>
        <v>0.99708302478315303</v>
      </c>
      <c r="AX29" s="59">
        <f t="shared" si="28"/>
        <v>0.99835741514284482</v>
      </c>
      <c r="AY29" s="59">
        <f t="shared" si="28"/>
        <v>0.99849346823291851</v>
      </c>
      <c r="AZ29" s="59">
        <f t="shared" si="28"/>
        <v>0.99987886108892576</v>
      </c>
      <c r="BA29" s="59">
        <f t="shared" si="28"/>
        <v>1.0033674250994973</v>
      </c>
      <c r="BB29" s="59">
        <f t="shared" si="28"/>
        <v>1.0004340048237819</v>
      </c>
      <c r="BC29" s="59">
        <f t="shared" si="28"/>
        <v>1.0005431460887646</v>
      </c>
      <c r="BD29" s="59">
        <f t="shared" si="28"/>
        <v>1</v>
      </c>
      <c r="BE29" s="59">
        <f t="shared" si="28"/>
        <v>1.0001021510767054</v>
      </c>
      <c r="BF29" s="59">
        <f t="shared" si="28"/>
        <v>0.99966192135635101</v>
      </c>
      <c r="BG29" s="59">
        <f t="shared" si="28"/>
        <v>0.99957133471764892</v>
      </c>
      <c r="BH29" s="59">
        <f t="shared" si="28"/>
        <v>0.99821188268468508</v>
      </c>
      <c r="BI29" s="59">
        <f t="shared" si="28"/>
        <v>1.000525432826727</v>
      </c>
      <c r="BJ29" s="59">
        <f t="shared" si="28"/>
        <v>0.99965679655553907</v>
      </c>
      <c r="BK29" s="59">
        <f t="shared" si="28"/>
        <v>0.99991627833746077</v>
      </c>
      <c r="BL29" s="59">
        <f t="shared" si="28"/>
        <v>0.99946137860061279</v>
      </c>
      <c r="BM29" s="59">
        <f t="shared" si="28"/>
        <v>0.99978661527683432</v>
      </c>
      <c r="BN29" s="59">
        <f t="shared" si="28"/>
        <v>0.99724241113113821</v>
      </c>
      <c r="BO29" s="59">
        <f t="shared" si="28"/>
        <v>0.99689792251139564</v>
      </c>
      <c r="BP29" s="59">
        <f t="shared" si="28"/>
        <v>1.0004752006094182</v>
      </c>
      <c r="BQ29" s="59">
        <f t="shared" ref="BQ29:CK29" si="29">BQ28/BQ34</f>
        <v>0.98636092969947586</v>
      </c>
      <c r="BR29" s="59">
        <f t="shared" si="29"/>
        <v>0.99657279575802649</v>
      </c>
      <c r="BS29" s="59">
        <f t="shared" si="29"/>
        <v>0.98477110219647268</v>
      </c>
      <c r="BT29" s="59">
        <f t="shared" si="29"/>
        <v>0.98708812157681347</v>
      </c>
      <c r="BU29" s="59">
        <f t="shared" si="29"/>
        <v>0.99760180372474783</v>
      </c>
      <c r="BV29" s="59">
        <f t="shared" si="29"/>
        <v>1</v>
      </c>
      <c r="BW29" s="59">
        <f t="shared" si="29"/>
        <v>1</v>
      </c>
      <c r="BX29" s="59">
        <f t="shared" si="29"/>
        <v>1</v>
      </c>
      <c r="BY29" s="59">
        <f t="shared" si="29"/>
        <v>1</v>
      </c>
      <c r="BZ29" s="59">
        <f t="shared" si="29"/>
        <v>1</v>
      </c>
      <c r="CA29" s="59">
        <f t="shared" si="29"/>
        <v>1</v>
      </c>
      <c r="CB29" s="59">
        <f t="shared" si="29"/>
        <v>1</v>
      </c>
      <c r="CC29" s="59">
        <f t="shared" si="29"/>
        <v>1</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68210911.069999993</v>
      </c>
      <c r="F30" s="26">
        <f>股权价值增加表!F20</f>
        <v>22396528.84</v>
      </c>
      <c r="G30" s="26">
        <f>股权价值增加表!G20</f>
        <v>22396528.84</v>
      </c>
      <c r="H30" s="26">
        <f>股权价值增加表!H20</f>
        <v>0</v>
      </c>
      <c r="I30" s="26">
        <f>股权价值增加表!I20</f>
        <v>33428752.969999999</v>
      </c>
      <c r="J30" s="26">
        <f>股权价值增加表!J20</f>
        <v>10147483.09</v>
      </c>
      <c r="K30" s="26">
        <f>股权价值增加表!K20</f>
        <v>10147483.09</v>
      </c>
      <c r="L30" s="26">
        <f>股权价值增加表!L20</f>
        <v>0</v>
      </c>
      <c r="M30" s="26">
        <f>股权价值增加表!M20</f>
        <v>34144563.939999998</v>
      </c>
      <c r="N30" s="26">
        <f>股权价值增加表!N20</f>
        <v>11944354.91</v>
      </c>
      <c r="O30" s="26">
        <f>股权价值增加表!O20</f>
        <v>11944354.91</v>
      </c>
      <c r="P30" s="26">
        <f>股权价值增加表!P20</f>
        <v>0</v>
      </c>
      <c r="Q30" s="26">
        <f>股权价值增加表!Q20</f>
        <v>14487542.039999999</v>
      </c>
      <c r="R30" s="26">
        <f>股权价值增加表!R20</f>
        <v>-5764261.4800000004</v>
      </c>
      <c r="S30" s="26">
        <f>股权价值增加表!S20</f>
        <v>-5764261.4800000004</v>
      </c>
      <c r="T30" s="26">
        <f>股权价值增加表!T20</f>
        <v>0</v>
      </c>
      <c r="U30" s="26">
        <f>股权价值增加表!U20</f>
        <v>566442.73</v>
      </c>
      <c r="V30" s="26">
        <f>股权价值增加表!V20</f>
        <v>-6197824.0800000001</v>
      </c>
      <c r="W30" s="26">
        <f>股权价值增加表!W20</f>
        <v>-6197824.0800000001</v>
      </c>
      <c r="X30" s="26">
        <f>股权价值增加表!X20</f>
        <v>0</v>
      </c>
      <c r="Y30" s="26">
        <f>股权价值增加表!Y20</f>
        <v>-396769.54</v>
      </c>
      <c r="Z30" s="26">
        <f>股权价值增加表!Z20</f>
        <v>0</v>
      </c>
      <c r="AA30" s="26">
        <f>股权价值增加表!AA20</f>
        <v>0</v>
      </c>
      <c r="AB30" s="26">
        <f>股权价值增加表!AB20</f>
        <v>0</v>
      </c>
      <c r="AC30" s="26">
        <f>股权价值增加表!AC20</f>
        <v>2110192.46</v>
      </c>
      <c r="AD30" s="26">
        <f>股权价值增加表!AD20</f>
        <v>-4089468.16</v>
      </c>
      <c r="AE30" s="26">
        <f>股权价值增加表!AE20</f>
        <v>-4089468.16</v>
      </c>
      <c r="AF30" s="26">
        <f>股权价值增加表!AF20</f>
        <v>0</v>
      </c>
      <c r="AG30" s="26">
        <f>股权价值增加表!AG20</f>
        <v>2545036.6</v>
      </c>
      <c r="AH30" s="26">
        <f>股权价值增加表!AH20</f>
        <v>0</v>
      </c>
      <c r="AI30" s="26">
        <f>股权价值增加表!AI20</f>
        <v>-4182065.41</v>
      </c>
      <c r="AJ30" s="26">
        <f>股权价值增加表!AJ20</f>
        <v>0</v>
      </c>
      <c r="AK30" s="26">
        <f>股权价值增加表!AK20</f>
        <v>2508787.02</v>
      </c>
      <c r="AL30" s="26">
        <f>股权价值增加表!AL20</f>
        <v>-2412569.77</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380</v>
      </c>
      <c r="E31" s="59">
        <f>E30/E34</f>
        <v>5.1154328061169558E-3</v>
      </c>
      <c r="F31" s="59">
        <f t="shared" ref="F31:BQ31" si="30">F30/F34</f>
        <v>2.4733557159705745E-3</v>
      </c>
      <c r="G31" s="59">
        <f t="shared" si="30"/>
        <v>3.4094127645418809E-3</v>
      </c>
      <c r="H31" s="59">
        <f t="shared" si="30"/>
        <v>0</v>
      </c>
      <c r="I31" s="59">
        <f t="shared" si="30"/>
        <v>3.5687462749800138E-3</v>
      </c>
      <c r="J31" s="59">
        <f t="shared" si="30"/>
        <v>1.5690211159381739E-3</v>
      </c>
      <c r="K31" s="59">
        <f t="shared" si="30"/>
        <v>2.0371001473051624E-3</v>
      </c>
      <c r="L31" s="59">
        <f t="shared" si="30"/>
        <v>0</v>
      </c>
      <c r="M31" s="59">
        <f t="shared" si="30"/>
        <v>4.1125134605472305E-3</v>
      </c>
      <c r="N31" s="59">
        <f t="shared" si="30"/>
        <v>2.0977175814692372E-3</v>
      </c>
      <c r="O31" s="59">
        <f t="shared" si="30"/>
        <v>2.893348230049231E-3</v>
      </c>
      <c r="P31" s="59">
        <f t="shared" si="30"/>
        <v>0</v>
      </c>
      <c r="Q31" s="59">
        <f t="shared" si="30"/>
        <v>1.8052963117000118E-3</v>
      </c>
      <c r="R31" s="59">
        <f t="shared" si="30"/>
        <v>-9.6689243776032822E-4</v>
      </c>
      <c r="S31" s="59">
        <f t="shared" si="30"/>
        <v>-1.1079484032359083E-3</v>
      </c>
      <c r="T31" s="59">
        <f t="shared" si="30"/>
        <v>0</v>
      </c>
      <c r="U31" s="59">
        <f t="shared" si="30"/>
        <v>5.0362562476887783E-5</v>
      </c>
      <c r="V31" s="59">
        <f t="shared" si="30"/>
        <v>-6.7477359785522522E-4</v>
      </c>
      <c r="W31" s="59">
        <f t="shared" si="30"/>
        <v>-8.2124152756493261E-4</v>
      </c>
      <c r="X31" s="59">
        <f t="shared" si="30"/>
        <v>0</v>
      </c>
      <c r="Y31" s="59">
        <f t="shared" si="30"/>
        <v>-2.8879536010861617E-5</v>
      </c>
      <c r="Z31" s="59">
        <f t="shared" si="30"/>
        <v>0</v>
      </c>
      <c r="AA31" s="59">
        <f t="shared" si="30"/>
        <v>0</v>
      </c>
      <c r="AB31" s="59">
        <f t="shared" si="30"/>
        <v>0</v>
      </c>
      <c r="AC31" s="59">
        <f t="shared" si="30"/>
        <v>2.4824822587937473E-4</v>
      </c>
      <c r="AD31" s="59">
        <f t="shared" si="30"/>
        <v>-6.407398441811193E-4</v>
      </c>
      <c r="AE31" s="59">
        <f t="shared" si="30"/>
        <v>-9.2254481474373046E-4</v>
      </c>
      <c r="AF31" s="59">
        <f t="shared" si="30"/>
        <v>0</v>
      </c>
      <c r="AG31" s="59">
        <f t="shared" si="30"/>
        <v>4.1926437362166489E-4</v>
      </c>
      <c r="AH31" s="59">
        <f t="shared" si="30"/>
        <v>0</v>
      </c>
      <c r="AI31" s="59">
        <f t="shared" si="30"/>
        <v>-1.3792291173250198E-3</v>
      </c>
      <c r="AJ31" s="59">
        <f t="shared" si="30"/>
        <v>0</v>
      </c>
      <c r="AK31" s="59">
        <f t="shared" si="30"/>
        <v>5.5802204768503044E-4</v>
      </c>
      <c r="AL31" s="59">
        <f t="shared" si="30"/>
        <v>-7.7833786863163324E-4</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902787733.63999999</v>
      </c>
      <c r="F32" s="26">
        <f>股权价值增加表!F27</f>
        <v>31730</v>
      </c>
      <c r="G32" s="26">
        <f>股权价值增加表!G27</f>
        <v>23686</v>
      </c>
      <c r="H32" s="26">
        <f>股权价值增加表!H27</f>
        <v>15806</v>
      </c>
      <c r="I32" s="26">
        <f>股权价值增加表!I27</f>
        <v>765041574.17000008</v>
      </c>
      <c r="J32" s="26">
        <f>股权价值增加表!J27</f>
        <v>0</v>
      </c>
      <c r="K32" s="26">
        <f>股权价值增加表!K27</f>
        <v>0</v>
      </c>
      <c r="L32" s="26">
        <f>股权价值增加表!L27</f>
        <v>0</v>
      </c>
      <c r="M32" s="26">
        <f>股权价值增加表!M27</f>
        <v>746469768.09000003</v>
      </c>
      <c r="N32" s="26">
        <f>股权价值增加表!N27</f>
        <v>0</v>
      </c>
      <c r="O32" s="26">
        <f>股权价值增加表!O27</f>
        <v>0</v>
      </c>
      <c r="P32" s="26">
        <f>股权价值增加表!P27</f>
        <v>0</v>
      </c>
      <c r="Q32" s="26">
        <f>股权价值增加表!Q27</f>
        <v>660266076.51999998</v>
      </c>
      <c r="R32" s="26">
        <f>股权价值增加表!R27</f>
        <v>-9600</v>
      </c>
      <c r="S32" s="26">
        <f>股权价值增加表!S27</f>
        <v>0</v>
      </c>
      <c r="T32" s="26">
        <f>股权价值增加表!T27</f>
        <v>0</v>
      </c>
      <c r="U32" s="26">
        <f>股权价值增加表!U27</f>
        <v>817889854.77999997</v>
      </c>
      <c r="V32" s="26">
        <f>股权价值增加表!V27</f>
        <v>-3338566.3799999994</v>
      </c>
      <c r="W32" s="26">
        <f>股权价值增加表!W27</f>
        <v>-3338566.3799999994</v>
      </c>
      <c r="X32" s="26">
        <f>股权价值增加表!X27</f>
        <v>-1174775.3600000001</v>
      </c>
      <c r="Y32" s="26">
        <f>股权价值增加表!Y27</f>
        <v>781827308.91999996</v>
      </c>
      <c r="Z32" s="26">
        <f>股权价值增加表!Z27</f>
        <v>-3857869.65</v>
      </c>
      <c r="AA32" s="26">
        <f>股权价值增加表!AA27</f>
        <v>-2922166.77</v>
      </c>
      <c r="AB32" s="26">
        <f>股权价值增加表!AB27</f>
        <v>-536626.10000000009</v>
      </c>
      <c r="AC32" s="26">
        <f>股权价值增加表!AC27</f>
        <v>466545809.22999996</v>
      </c>
      <c r="AD32" s="26">
        <f>股权价值增加表!AD27</f>
        <v>-2649330.4</v>
      </c>
      <c r="AE32" s="26">
        <f>股权价值增加表!AE27</f>
        <v>31764.440000000235</v>
      </c>
      <c r="AF32" s="26">
        <f>股权价值增加表!AF27</f>
        <v>1772481.79</v>
      </c>
      <c r="AG32" s="26">
        <f>股权价值增加表!AG27</f>
        <v>183469439.5</v>
      </c>
      <c r="AH32" s="26">
        <f>股权价值增加表!AH27</f>
        <v>-10409137.42</v>
      </c>
      <c r="AI32" s="26">
        <f>股权价值增加表!AI27</f>
        <v>-6561221.4500000002</v>
      </c>
      <c r="AJ32" s="26">
        <f>股权价值增加表!AJ27</f>
        <v>-1681508.02</v>
      </c>
      <c r="AK32" s="26">
        <f>股权价值增加表!AK27</f>
        <v>16130237.630000001</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3012602.46</v>
      </c>
      <c r="AT32" s="26">
        <f>股权价值增加表!AT27</f>
        <v>556604.28</v>
      </c>
      <c r="AU32" s="26">
        <f>股权价值增加表!AU27</f>
        <v>84993.239999999991</v>
      </c>
      <c r="AV32" s="26">
        <f>股权价值增加表!AV27</f>
        <v>959897.33</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381</v>
      </c>
      <c r="E33" s="59">
        <f>E32/E34</f>
        <v>6.770397751882766E-2</v>
      </c>
      <c r="F33" s="59">
        <f t="shared" ref="F33:BQ33" si="32">F32/F34</f>
        <v>3.504095542144125E-6</v>
      </c>
      <c r="G33" s="59">
        <f t="shared" si="32"/>
        <v>3.6057083362271147E-6</v>
      </c>
      <c r="H33" s="59">
        <f t="shared" si="32"/>
        <v>3.3370371625563455E-6</v>
      </c>
      <c r="I33" s="59">
        <f t="shared" si="32"/>
        <v>8.1673380711336591E-2</v>
      </c>
      <c r="J33" s="59">
        <f t="shared" si="32"/>
        <v>0</v>
      </c>
      <c r="K33" s="59">
        <f t="shared" si="32"/>
        <v>0</v>
      </c>
      <c r="L33" s="59">
        <f t="shared" si="32"/>
        <v>0</v>
      </c>
      <c r="M33" s="59">
        <f t="shared" si="32"/>
        <v>8.9907927204932833E-2</v>
      </c>
      <c r="N33" s="59">
        <f t="shared" si="32"/>
        <v>0</v>
      </c>
      <c r="O33" s="59">
        <f t="shared" si="32"/>
        <v>0</v>
      </c>
      <c r="P33" s="59">
        <f t="shared" si="32"/>
        <v>0</v>
      </c>
      <c r="Q33" s="59">
        <f t="shared" si="32"/>
        <v>8.2275924334932513E-2</v>
      </c>
      <c r="R33" s="59">
        <f t="shared" si="32"/>
        <v>-1.6102960344018173E-6</v>
      </c>
      <c r="S33" s="59">
        <f t="shared" si="32"/>
        <v>0</v>
      </c>
      <c r="T33" s="59">
        <f t="shared" si="32"/>
        <v>0</v>
      </c>
      <c r="U33" s="59">
        <f t="shared" si="32"/>
        <v>7.2718788200477794E-2</v>
      </c>
      <c r="V33" s="59">
        <f t="shared" si="32"/>
        <v>-3.6347860456069841E-4</v>
      </c>
      <c r="W33" s="59">
        <f t="shared" si="32"/>
        <v>-4.4237611755319886E-4</v>
      </c>
      <c r="X33" s="59">
        <f t="shared" si="32"/>
        <v>-2.4563521013547951E-4</v>
      </c>
      <c r="Y33" s="59">
        <f t="shared" si="32"/>
        <v>5.6906611133077836E-2</v>
      </c>
      <c r="Z33" s="59">
        <f t="shared" si="32"/>
        <v>-3.8217563549734475E-4</v>
      </c>
      <c r="AA33" s="59">
        <f t="shared" si="32"/>
        <v>-4.4589374504313867E-4</v>
      </c>
      <c r="AB33" s="59">
        <f t="shared" si="32"/>
        <v>-1.3228704654277072E-4</v>
      </c>
      <c r="AC33" s="59">
        <f t="shared" si="32"/>
        <v>5.4885595332287707E-2</v>
      </c>
      <c r="AD33" s="59">
        <f t="shared" si="32"/>
        <v>-4.1509836518211266E-4</v>
      </c>
      <c r="AE33" s="59">
        <f t="shared" si="32"/>
        <v>7.1657531661130618E-6</v>
      </c>
      <c r="AF33" s="59">
        <f t="shared" si="32"/>
        <v>6.2475188454933904E-4</v>
      </c>
      <c r="AG33" s="59">
        <f t="shared" si="32"/>
        <v>3.0224398199493647E-2</v>
      </c>
      <c r="AH33" s="59">
        <f t="shared" si="32"/>
        <v>-2.275860897816858E-3</v>
      </c>
      <c r="AI33" s="59">
        <f t="shared" si="32"/>
        <v>-2.1638656457689132E-3</v>
      </c>
      <c r="AJ33" s="59">
        <f t="shared" si="32"/>
        <v>-8.104852822808479E-4</v>
      </c>
      <c r="AK33" s="59">
        <f t="shared" si="32"/>
        <v>3.5878008616047176E-3</v>
      </c>
      <c r="AL33" s="59">
        <f t="shared" si="32"/>
        <v>1.0045217095237379E-5</v>
      </c>
      <c r="AM33" s="59">
        <f t="shared" si="32"/>
        <v>-1.1395219302628909E-3</v>
      </c>
      <c r="AN33" s="59">
        <f t="shared" si="32"/>
        <v>0</v>
      </c>
      <c r="AO33" s="59">
        <f t="shared" si="32"/>
        <v>7.0521629594962119E-4</v>
      </c>
      <c r="AP33" s="59">
        <f t="shared" si="32"/>
        <v>-4.6147311084044246E-4</v>
      </c>
      <c r="AQ33" s="59">
        <f t="shared" si="32"/>
        <v>-5.6788499967769007E-4</v>
      </c>
      <c r="AR33" s="59">
        <f t="shared" si="32"/>
        <v>0</v>
      </c>
      <c r="AS33" s="59">
        <f t="shared" si="32"/>
        <v>1.4441182669800237E-3</v>
      </c>
      <c r="AT33" s="59">
        <f t="shared" si="32"/>
        <v>2.8778787539130335E-4</v>
      </c>
      <c r="AU33" s="59">
        <f t="shared" si="32"/>
        <v>5.0876948185610145E-5</v>
      </c>
      <c r="AV33" s="59">
        <f t="shared" si="32"/>
        <v>8.5983275472976397E-4</v>
      </c>
      <c r="AW33" s="59">
        <f t="shared" si="32"/>
        <v>2.9169752168470143E-3</v>
      </c>
      <c r="AX33" s="59">
        <f t="shared" si="32"/>
        <v>1.6425848571551582E-3</v>
      </c>
      <c r="AY33" s="59">
        <f t="shared" si="32"/>
        <v>1.5065317670815085E-3</v>
      </c>
      <c r="AZ33" s="59">
        <f t="shared" si="32"/>
        <v>1.2113891107420042E-4</v>
      </c>
      <c r="BA33" s="59">
        <f t="shared" si="32"/>
        <v>-3.3674250994972592E-3</v>
      </c>
      <c r="BB33" s="59">
        <f t="shared" si="32"/>
        <v>-4.3400482378170955E-4</v>
      </c>
      <c r="BC33" s="59">
        <f t="shared" si="32"/>
        <v>-5.4314608876470034E-4</v>
      </c>
      <c r="BD33" s="59">
        <f t="shared" si="32"/>
        <v>0</v>
      </c>
      <c r="BE33" s="59">
        <f t="shared" si="32"/>
        <v>-1.0215107670550975E-4</v>
      </c>
      <c r="BF33" s="59">
        <f t="shared" si="32"/>
        <v>3.3807864364899669E-4</v>
      </c>
      <c r="BG33" s="59">
        <f t="shared" si="32"/>
        <v>4.2866528235114133E-4</v>
      </c>
      <c r="BH33" s="59">
        <f t="shared" si="32"/>
        <v>1.7881173153148576E-3</v>
      </c>
      <c r="BI33" s="59">
        <f t="shared" si="32"/>
        <v>-5.2543282672700635E-4</v>
      </c>
      <c r="BJ33" s="59">
        <f t="shared" si="32"/>
        <v>3.4320344446089104E-4</v>
      </c>
      <c r="BK33" s="59">
        <f t="shared" si="32"/>
        <v>8.3721662539223428E-5</v>
      </c>
      <c r="BL33" s="59">
        <f t="shared" si="32"/>
        <v>5.3862139938726781E-4</v>
      </c>
      <c r="BM33" s="59">
        <f t="shared" si="32"/>
        <v>2.1338472316574747E-4</v>
      </c>
      <c r="BN33" s="59">
        <f t="shared" si="32"/>
        <v>2.7575888688617291E-3</v>
      </c>
      <c r="BO33" s="59">
        <f t="shared" si="32"/>
        <v>3.1020774886043323E-3</v>
      </c>
      <c r="BP33" s="59">
        <f t="shared" si="32"/>
        <v>-4.7520060941814594E-4</v>
      </c>
      <c r="BQ33" s="59">
        <f t="shared" si="32"/>
        <v>1.3639070300524076E-2</v>
      </c>
      <c r="BR33" s="59">
        <f t="shared" ref="BR33:CJ33" si="33">BR32/BR34</f>
        <v>3.4272042419735524E-3</v>
      </c>
      <c r="BS33" s="59">
        <f t="shared" si="33"/>
        <v>1.5228897803527411E-2</v>
      </c>
      <c r="BT33" s="59">
        <f t="shared" si="33"/>
        <v>1.2911878423186496E-2</v>
      </c>
      <c r="BU33" s="59">
        <f t="shared" si="33"/>
        <v>2.3981962752521024E-3</v>
      </c>
      <c r="BV33" s="59">
        <f t="shared" si="33"/>
        <v>0</v>
      </c>
      <c r="BW33" s="59">
        <f t="shared" si="33"/>
        <v>0</v>
      </c>
      <c r="BX33" s="59">
        <f t="shared" si="33"/>
        <v>0</v>
      </c>
      <c r="BY33" s="59">
        <f t="shared" si="33"/>
        <v>0</v>
      </c>
      <c r="BZ33" s="59">
        <f t="shared" si="33"/>
        <v>0</v>
      </c>
      <c r="CA33" s="59">
        <f t="shared" si="33"/>
        <v>0</v>
      </c>
      <c r="CB33" s="59">
        <f t="shared" si="33"/>
        <v>0</v>
      </c>
      <c r="CC33" s="59">
        <f t="shared" si="33"/>
        <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377</v>
      </c>
      <c r="E34" s="58">
        <f>股权价值增加表!E31</f>
        <v>13334338198.799999</v>
      </c>
      <c r="F34" s="58">
        <f>股权价值增加表!F31</f>
        <v>9055118394.5699997</v>
      </c>
      <c r="G34" s="58">
        <f>股权价值增加表!G31</f>
        <v>6569028271.6499996</v>
      </c>
      <c r="H34" s="58">
        <f>股权价值增加表!H31</f>
        <v>4736537002.750001</v>
      </c>
      <c r="I34" s="58">
        <f>股权价值增加表!I31</f>
        <v>9367085915.9599991</v>
      </c>
      <c r="J34" s="58">
        <f>股权价值增加表!J31</f>
        <v>6467397402.6999989</v>
      </c>
      <c r="K34" s="58">
        <f>股权价值增加表!K31</f>
        <v>4981337369.8999996</v>
      </c>
      <c r="L34" s="58">
        <f>股权价值增加表!L31</f>
        <v>3811455270.48</v>
      </c>
      <c r="M34" s="58">
        <f>股权价值增加表!M31</f>
        <v>8302602354.3899994</v>
      </c>
      <c r="N34" s="58">
        <f>股权价值增加表!N31</f>
        <v>5693976641.8099985</v>
      </c>
      <c r="O34" s="58">
        <f>股权价值增加表!O31</f>
        <v>4128212009.1700006</v>
      </c>
      <c r="P34" s="58">
        <f>股权价值增加表!P31</f>
        <v>2837181770.3000002</v>
      </c>
      <c r="Q34" s="58">
        <f>股权价值增加表!Q31</f>
        <v>8025021679.8800011</v>
      </c>
      <c r="R34" s="58">
        <f>股权价值增加表!R31</f>
        <v>5961636739.3999996</v>
      </c>
      <c r="S34" s="58">
        <f>股权价值增加表!S31</f>
        <v>5202644331.7800007</v>
      </c>
      <c r="T34" s="58">
        <f>股权价值增加表!T31</f>
        <v>3423200720.5100012</v>
      </c>
      <c r="U34" s="58">
        <f>股权价值增加表!U31</f>
        <v>11247297638.200001</v>
      </c>
      <c r="V34" s="58">
        <f>股权价值增加表!V31</f>
        <v>9185042360.4299984</v>
      </c>
      <c r="W34" s="58">
        <f>股权价值增加表!W31</f>
        <v>7546895611.0600004</v>
      </c>
      <c r="X34" s="58">
        <f>股权价值增加表!X31</f>
        <v>4782601644.7400007</v>
      </c>
      <c r="Y34" s="58">
        <f>股权价值增加表!Y31</f>
        <v>13738778207.889996</v>
      </c>
      <c r="Z34" s="58">
        <f>股权价值增加表!Z31</f>
        <v>10094493975.210001</v>
      </c>
      <c r="AA34" s="58">
        <f>股权价值增加表!AA31</f>
        <v>6553504736.2399998</v>
      </c>
      <c r="AB34" s="58">
        <f>股权价值增加表!AB31</f>
        <v>4056527936.9700003</v>
      </c>
      <c r="AC34" s="58">
        <f>股权价值增加表!AC31</f>
        <v>8500332489.8899975</v>
      </c>
      <c r="AD34" s="58">
        <f>股权价值增加表!AD31</f>
        <v>6382415885.54</v>
      </c>
      <c r="AE34" s="58">
        <f>股权价值增加表!AE31</f>
        <v>4432812471.1599998</v>
      </c>
      <c r="AF34" s="58">
        <f>股权价值增加表!AF31</f>
        <v>2837097148.2199993</v>
      </c>
      <c r="AG34" s="58">
        <f>股权价值增加表!AG31</f>
        <v>6070242930.5300007</v>
      </c>
      <c r="AH34" s="58">
        <f>股权价值增加表!AH31</f>
        <v>4573714250.2800007</v>
      </c>
      <c r="AI34" s="58">
        <f>股权价值增加表!AI31</f>
        <v>3032175986.9100003</v>
      </c>
      <c r="AJ34" s="58">
        <f>股权价值增加表!AJ31</f>
        <v>2074692849.78</v>
      </c>
      <c r="AK34" s="58">
        <f>股权价值增加表!AK31</f>
        <v>4495856445.8300009</v>
      </c>
      <c r="AL34" s="58">
        <f>股权价值增加表!AL31</f>
        <v>3099643313.3100009</v>
      </c>
      <c r="AM34" s="58">
        <f>股权价值增加表!AM31</f>
        <v>2117177130.1000004</v>
      </c>
      <c r="AN34" s="58">
        <f>股权价值增加表!AN31</f>
        <v>1649469646.1600003</v>
      </c>
      <c r="AO34" s="58">
        <f>股权价值增加表!AO31</f>
        <v>2239201389.8000002</v>
      </c>
      <c r="AP34" s="58">
        <f>股权价值增加表!AP31</f>
        <v>2014352446.8999996</v>
      </c>
      <c r="AQ34" s="58">
        <f>股权价值增加表!AQ31</f>
        <v>1636897418.5400007</v>
      </c>
      <c r="AR34" s="58">
        <f>股权价值增加表!AR31</f>
        <v>1335910628.2199998</v>
      </c>
      <c r="AS34" s="58">
        <f>股权价值增加表!AS31</f>
        <v>2086118934.2199996</v>
      </c>
      <c r="AT34" s="58">
        <f>股权价值增加表!AT31</f>
        <v>1934078283.3300004</v>
      </c>
      <c r="AU34" s="58">
        <f>股权价值增加表!AU31</f>
        <v>1670564824.1699996</v>
      </c>
      <c r="AV34" s="58">
        <f>股权价值增加表!AV31</f>
        <v>1116376789.23</v>
      </c>
      <c r="AW34" s="58">
        <f>股权价值增加表!AW31</f>
        <v>1731825677.1000001</v>
      </c>
      <c r="AX34" s="58">
        <f>股权价值增加表!AX31</f>
        <v>1519652217.1299999</v>
      </c>
      <c r="AY34" s="58">
        <f>股权价值增加表!AY31</f>
        <v>1216245053.7299993</v>
      </c>
      <c r="AZ34" s="58">
        <f>股权价值增加表!AZ31</f>
        <v>825498587.63999999</v>
      </c>
      <c r="BA34" s="58">
        <f>股权价值增加表!BA31</f>
        <v>1164990247.4699996</v>
      </c>
      <c r="BB34" s="58">
        <f>股权价值增加表!BB31</f>
        <v>1145989336.3999994</v>
      </c>
      <c r="BC34" s="58">
        <f>股权价值增加表!BC31</f>
        <v>920367117.31999981</v>
      </c>
      <c r="BD34" s="58">
        <f>股权价值增加表!BD31</f>
        <v>647497079.54000008</v>
      </c>
      <c r="BE34" s="58">
        <f>股权价值增加表!BE31</f>
        <v>1240845951.7799997</v>
      </c>
      <c r="BF34" s="58">
        <f>股权价值增加表!BF31</f>
        <v>1018300967.7400002</v>
      </c>
      <c r="BG34" s="58">
        <f>股权价值增加表!BG31</f>
        <v>803111014.98999989</v>
      </c>
      <c r="BH34" s="58">
        <f>股权价值增加表!BH31</f>
        <v>573993367.88999987</v>
      </c>
      <c r="BI34" s="58">
        <f>股权价值增加表!BI31</f>
        <v>1055178039.51</v>
      </c>
      <c r="BJ34" s="58">
        <f>股权价值增加表!BJ31</f>
        <v>836979099.82000017</v>
      </c>
      <c r="BK34" s="58">
        <f>股权价值增加表!BK31</f>
        <v>626173303.41999996</v>
      </c>
      <c r="BL34" s="58">
        <f>股权价值增加表!BL31</f>
        <v>492852456.84999996</v>
      </c>
      <c r="BM34" s="58">
        <f>股权价值增加表!BM31</f>
        <v>838543628.35999978</v>
      </c>
      <c r="BN34" s="58">
        <f>股权价值增加表!BN31</f>
        <v>678538277.09000015</v>
      </c>
      <c r="BO34" s="58">
        <f>股权价值增加表!BO31</f>
        <v>487325527.99000019</v>
      </c>
      <c r="BP34" s="58">
        <f>股权价值增加表!BP31</f>
        <v>366222636.39999986</v>
      </c>
      <c r="BQ34" s="58">
        <f>股权价值增加表!BQ31</f>
        <v>905484587.87</v>
      </c>
      <c r="BR34" s="58">
        <f>股权价值增加表!BR31</f>
        <v>3711480000</v>
      </c>
      <c r="BS34" s="58">
        <f>股权价值增加表!BS31</f>
        <v>641301117.51999986</v>
      </c>
      <c r="BT34" s="58">
        <f>股权价值增加表!BT31</f>
        <v>414232466.78000009</v>
      </c>
      <c r="BU34" s="58">
        <f>股权价值增加表!BU31</f>
        <v>989744552.81000018</v>
      </c>
      <c r="BV34" s="58">
        <f>股权价值增加表!BV31</f>
        <v>715865560.12</v>
      </c>
      <c r="BW34" s="58">
        <f>股权价值增加表!BW31</f>
        <v>769213825.49000013</v>
      </c>
      <c r="BX34" s="58">
        <f>股权价值增加表!BX31</f>
        <v>374136798.97000003</v>
      </c>
      <c r="BY34" s="58">
        <f>股权价值增加表!BY31</f>
        <v>628908889.02999997</v>
      </c>
      <c r="BZ34" s="58">
        <f>股权价值增加表!BZ31</f>
        <v>293707157.80000001</v>
      </c>
      <c r="CA34" s="58">
        <f>股权价值增加表!CA31</f>
        <v>521078849.30999994</v>
      </c>
      <c r="CB34" s="58">
        <f>股权价值增加表!CB31</f>
        <v>403897356.88999999</v>
      </c>
      <c r="CC34" s="58">
        <f>股权价值增加表!CC31</f>
        <v>335872505.23000002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678</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36981</v>
      </c>
      <c r="BU38" s="1">
        <v>36891</v>
      </c>
      <c r="BV38" s="1">
        <v>36707</v>
      </c>
      <c r="BW38" s="1">
        <v>36525</v>
      </c>
      <c r="BX38" s="1">
        <v>36341</v>
      </c>
      <c r="BY38" s="1">
        <v>36160</v>
      </c>
      <c r="BZ38" s="1">
        <v>35976</v>
      </c>
      <c r="CA38" s="1">
        <v>35795</v>
      </c>
      <c r="CB38" s="1">
        <v>35430</v>
      </c>
      <c r="CC38" s="1">
        <v>35064</v>
      </c>
      <c r="CD38" s="1">
        <v>25569</v>
      </c>
      <c r="CE38" s="1"/>
      <c r="CF38" s="1"/>
      <c r="CG38" s="1"/>
      <c r="CH38" s="1"/>
      <c r="CI38" s="1"/>
      <c r="CJ38" s="1"/>
      <c r="CK38" s="1"/>
    </row>
    <row r="39" spans="1:89" x14ac:dyDescent="0.25">
      <c r="A39" s="17" t="s">
        <v>377</v>
      </c>
      <c r="E39" s="26">
        <f>股权价值增加表!E31</f>
        <v>13334338198.799999</v>
      </c>
      <c r="F39" s="26">
        <f>股权价值增加表!F31</f>
        <v>9055118394.5699997</v>
      </c>
      <c r="G39" s="26">
        <f>股权价值增加表!G31</f>
        <v>6569028271.6499996</v>
      </c>
      <c r="H39" s="26">
        <f>股权价值增加表!H31</f>
        <v>4736537002.750001</v>
      </c>
      <c r="I39" s="26">
        <f>股权价值增加表!I31</f>
        <v>9367085915.9599991</v>
      </c>
      <c r="J39" s="26">
        <f>股权价值增加表!J31</f>
        <v>6467397402.6999989</v>
      </c>
      <c r="K39" s="26">
        <f>股权价值增加表!K31</f>
        <v>4981337369.8999996</v>
      </c>
      <c r="L39" s="26">
        <f>股权价值增加表!L31</f>
        <v>3811455270.48</v>
      </c>
      <c r="M39" s="26">
        <f>股权价值增加表!M31</f>
        <v>8302602354.3899994</v>
      </c>
      <c r="N39" s="26">
        <f>股权价值增加表!N31</f>
        <v>5693976641.8099985</v>
      </c>
      <c r="O39" s="26">
        <f>股权价值增加表!O31</f>
        <v>4128212009.1700006</v>
      </c>
      <c r="P39" s="26">
        <f>股权价值增加表!P31</f>
        <v>2837181770.3000002</v>
      </c>
      <c r="Q39" s="26">
        <f>股权价值增加表!Q31</f>
        <v>8025021679.8800011</v>
      </c>
      <c r="R39" s="26">
        <f>股权价值增加表!R31</f>
        <v>5961636739.3999996</v>
      </c>
      <c r="S39" s="26">
        <f>股权价值增加表!S31</f>
        <v>5202644331.7800007</v>
      </c>
      <c r="T39" s="26">
        <f>股权价值增加表!T31</f>
        <v>3423200720.5100012</v>
      </c>
      <c r="U39" s="26">
        <f>股权价值增加表!U31</f>
        <v>11247297638.200001</v>
      </c>
      <c r="V39" s="26">
        <f>股权价值增加表!V31</f>
        <v>9185042360.4299984</v>
      </c>
      <c r="W39" s="26">
        <f>股权价值增加表!W31</f>
        <v>7546895611.0600004</v>
      </c>
      <c r="X39" s="26">
        <f>股权价值增加表!X31</f>
        <v>4782601644.7400007</v>
      </c>
      <c r="Y39" s="26">
        <f>股权价值增加表!Y31</f>
        <v>13738778207.889996</v>
      </c>
      <c r="Z39" s="26">
        <f>股权价值增加表!Z31</f>
        <v>10094493975.210001</v>
      </c>
      <c r="AA39" s="26">
        <f>股权价值增加表!AA31</f>
        <v>6553504736.2399998</v>
      </c>
      <c r="AB39" s="26">
        <f>股权价值增加表!AB31</f>
        <v>4056527936.9700003</v>
      </c>
      <c r="AC39" s="26">
        <f>股权价值增加表!AC31</f>
        <v>8500332489.8899975</v>
      </c>
      <c r="AD39" s="26">
        <f>股权价值增加表!AD31</f>
        <v>6382415885.54</v>
      </c>
      <c r="AE39" s="26">
        <f>股权价值增加表!AE31</f>
        <v>4432812471.1599998</v>
      </c>
      <c r="AF39" s="26">
        <f>股权价值增加表!AF31</f>
        <v>2837097148.2199993</v>
      </c>
      <c r="AG39" s="26">
        <f>股权价值增加表!AG31</f>
        <v>6070242930.5300007</v>
      </c>
      <c r="AH39" s="26">
        <f>股权价值增加表!AH31</f>
        <v>4573714250.2800007</v>
      </c>
      <c r="AI39" s="26">
        <f>股权价值增加表!AI31</f>
        <v>3032175986.9100003</v>
      </c>
      <c r="AJ39" s="26">
        <f>股权价值增加表!AJ31</f>
        <v>2074692849.78</v>
      </c>
      <c r="AK39" s="26">
        <f>股权价值增加表!AK31</f>
        <v>4495856445.8300009</v>
      </c>
      <c r="AL39" s="26">
        <f>股权价值增加表!AL31</f>
        <v>3099643313.3100009</v>
      </c>
      <c r="AM39" s="26">
        <f>股权价值增加表!AM31</f>
        <v>2117177130.1000004</v>
      </c>
      <c r="AN39" s="26">
        <f>股权价值增加表!AN31</f>
        <v>1649469646.1600003</v>
      </c>
      <c r="AO39" s="26">
        <f>股权价值增加表!AO31</f>
        <v>2239201389.8000002</v>
      </c>
      <c r="AP39" s="26">
        <f>股权价值增加表!AP31</f>
        <v>2014352446.8999996</v>
      </c>
      <c r="AQ39" s="26">
        <f>股权价值增加表!AQ31</f>
        <v>1636897418.5400007</v>
      </c>
      <c r="AR39" s="26">
        <f>股权价值增加表!AR31</f>
        <v>1335910628.2199998</v>
      </c>
      <c r="AS39" s="26">
        <f>股权价值增加表!AS31</f>
        <v>2086118934.2199996</v>
      </c>
      <c r="AT39" s="26">
        <f>股权价值增加表!AT31</f>
        <v>1934078283.3300004</v>
      </c>
      <c r="AU39" s="26">
        <f>股权价值增加表!AU31</f>
        <v>1670564824.1699996</v>
      </c>
      <c r="AV39" s="26">
        <f>股权价值增加表!AV31</f>
        <v>1116376789.23</v>
      </c>
      <c r="AW39" s="26">
        <f>股权价值增加表!AW31</f>
        <v>1731825677.1000001</v>
      </c>
      <c r="AX39" s="26">
        <f>股权价值增加表!AX31</f>
        <v>1519652217.1299999</v>
      </c>
      <c r="AY39" s="26">
        <f>股权价值增加表!AY31</f>
        <v>1216245053.7299993</v>
      </c>
      <c r="AZ39" s="26">
        <f>股权价值增加表!AZ31</f>
        <v>825498587.63999999</v>
      </c>
      <c r="BA39" s="26">
        <f>股权价值增加表!BA31</f>
        <v>1164990247.4699996</v>
      </c>
      <c r="BB39" s="26">
        <f>股权价值增加表!BB31</f>
        <v>1145989336.3999994</v>
      </c>
      <c r="BC39" s="26">
        <f>股权价值增加表!BC31</f>
        <v>920367117.31999981</v>
      </c>
      <c r="BD39" s="26">
        <f>股权价值增加表!BD31</f>
        <v>647497079.54000008</v>
      </c>
      <c r="BE39" s="26">
        <f>股权价值增加表!BE31</f>
        <v>1240845951.7799997</v>
      </c>
      <c r="BF39" s="26">
        <f>股权价值增加表!BF31</f>
        <v>1018300967.7400002</v>
      </c>
      <c r="BG39" s="26">
        <f>股权价值增加表!BG31</f>
        <v>803111014.98999989</v>
      </c>
      <c r="BH39" s="26">
        <f>股权价值增加表!BH31</f>
        <v>573993367.88999987</v>
      </c>
      <c r="BI39" s="26">
        <f>股权价值增加表!BI31</f>
        <v>1055178039.51</v>
      </c>
      <c r="BJ39" s="26">
        <f>股权价值增加表!BJ31</f>
        <v>836979099.82000017</v>
      </c>
      <c r="BK39" s="26">
        <f>股权价值增加表!BK31</f>
        <v>626173303.41999996</v>
      </c>
      <c r="BL39" s="26">
        <f>股权价值增加表!BL31</f>
        <v>492852456.84999996</v>
      </c>
      <c r="BM39" s="26">
        <f>股权价值增加表!BM31</f>
        <v>838543628.35999978</v>
      </c>
      <c r="BN39" s="26">
        <f>股权价值增加表!BN31</f>
        <v>678538277.09000015</v>
      </c>
      <c r="BO39" s="26">
        <f>股权价值增加表!BO31</f>
        <v>487325527.99000019</v>
      </c>
      <c r="BP39" s="26">
        <f>股权价值增加表!BP31</f>
        <v>366222636.39999986</v>
      </c>
      <c r="BQ39" s="26">
        <f>股权价值增加表!BQ31</f>
        <v>905484587.87</v>
      </c>
      <c r="BR39" s="26">
        <f>股权价值增加表!BR31</f>
        <v>3711480000</v>
      </c>
      <c r="BS39" s="26">
        <f>股权价值增加表!BS31</f>
        <v>641301117.51999986</v>
      </c>
      <c r="BT39" s="26">
        <f>股权价值增加表!BT31</f>
        <v>414232466.78000009</v>
      </c>
      <c r="BU39" s="26">
        <f>股权价值增加表!BU31</f>
        <v>989744552.81000018</v>
      </c>
      <c r="BV39" s="26">
        <f>股权价值增加表!BV31</f>
        <v>715865560.12</v>
      </c>
      <c r="BW39" s="26">
        <f>股权价值增加表!BW31</f>
        <v>769213825.49000013</v>
      </c>
      <c r="BX39" s="26">
        <f>股权价值增加表!BX31</f>
        <v>374136798.97000003</v>
      </c>
      <c r="BY39" s="26">
        <f>股权价值增加表!BY31</f>
        <v>628908889.02999997</v>
      </c>
      <c r="BZ39" s="26">
        <f>股权价值增加表!BZ31</f>
        <v>293707157.80000001</v>
      </c>
      <c r="CA39" s="26">
        <f>股权价值增加表!CA31</f>
        <v>521078849.30999994</v>
      </c>
      <c r="CB39" s="26">
        <f>股权价值增加表!CB31</f>
        <v>403897356.88999999</v>
      </c>
      <c r="CC39" s="26">
        <f>股权价值增加表!CC31</f>
        <v>335872505.23000002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13321880171.359999</v>
      </c>
      <c r="F40" s="26">
        <f>股权价值增加表!F38</f>
        <v>9694808314.8500004</v>
      </c>
      <c r="G40" s="26">
        <f>股权价值增加表!G38</f>
        <v>6996409923.2999992</v>
      </c>
      <c r="H40" s="26">
        <f>股权价值增加表!H38</f>
        <v>4953230729.1500006</v>
      </c>
      <c r="I40" s="26">
        <f>股权价值增加表!I38</f>
        <v>9367754469.5599995</v>
      </c>
      <c r="J40" s="26">
        <f>股权价值增加表!J38</f>
        <v>7026635923.5299988</v>
      </c>
      <c r="K40" s="26">
        <f>股权价值增加表!K38</f>
        <v>5322974404.9499998</v>
      </c>
      <c r="L40" s="26">
        <f>股权价值增加表!L38</f>
        <v>3990542632.0300002</v>
      </c>
      <c r="M40" s="26">
        <f>股权价值增加表!M38</f>
        <v>8288346484.249999</v>
      </c>
      <c r="N40" s="26">
        <f>股权价值增加表!N38</f>
        <v>6249888064.7099981</v>
      </c>
      <c r="O40" s="26">
        <f>股权价值增加表!O38</f>
        <v>4485866127.3900003</v>
      </c>
      <c r="P40" s="26">
        <f>股权价值增加表!P38</f>
        <v>3010242777.4700003</v>
      </c>
      <c r="Q40" s="26">
        <f>股权价值增加表!Q38</f>
        <v>8022390900.710001</v>
      </c>
      <c r="R40" s="26">
        <f>股权价值增加表!R38</f>
        <v>6452091681.5099993</v>
      </c>
      <c r="S40" s="26">
        <f>股权价值增加表!S38</f>
        <v>5547543373.6100006</v>
      </c>
      <c r="T40" s="26">
        <f>股权价值增加表!T38</f>
        <v>3668316314.3100014</v>
      </c>
      <c r="U40" s="26">
        <f>股权价值增加表!U38</f>
        <v>11252938047.66</v>
      </c>
      <c r="V40" s="26">
        <f>股权价值增加表!V38</f>
        <v>9844446542.8699989</v>
      </c>
      <c r="W40" s="26">
        <f>股权价值增加表!W38</f>
        <v>8018840509.5700006</v>
      </c>
      <c r="X40" s="26">
        <f>股权价值增加表!X38</f>
        <v>5021265735.6800003</v>
      </c>
      <c r="Y40" s="26">
        <f>股权价值增加表!Y38</f>
        <v>13750918351.929996</v>
      </c>
      <c r="Z40" s="26">
        <f>股权价值增加表!Z38</f>
        <v>10714823425.140001</v>
      </c>
      <c r="AA40" s="26">
        <f>股权价值增加表!AA38</f>
        <v>6953750204.0599995</v>
      </c>
      <c r="AB40" s="26">
        <f>股权价值增加表!AB38</f>
        <v>4198837745.8500004</v>
      </c>
      <c r="AC40" s="26">
        <f>股权价值增加表!AC38</f>
        <v>8508196544.8899975</v>
      </c>
      <c r="AD40" s="26">
        <f>股权价值增加表!AD38</f>
        <v>6617520406.8800001</v>
      </c>
      <c r="AE40" s="26">
        <f>股权价值增加表!AE38</f>
        <v>4620487255.2299995</v>
      </c>
      <c r="AF40" s="26">
        <f>股权价值增加表!AF38</f>
        <v>2860511552.8599992</v>
      </c>
      <c r="AG40" s="26">
        <f>股权价值增加表!AG38</f>
        <v>6072794159.0700006</v>
      </c>
      <c r="AH40" s="26">
        <f>股权价值增加表!AH38</f>
        <v>4678944660.5400009</v>
      </c>
      <c r="AI40" s="26">
        <f>股权价值增加表!AI38</f>
        <v>3109457544.5400004</v>
      </c>
      <c r="AJ40" s="26">
        <f>股权价值增加表!AJ38</f>
        <v>2086683017.0799999</v>
      </c>
      <c r="AK40" s="26">
        <f>股权价值增加表!AK38</f>
        <v>4605588627.2400007</v>
      </c>
      <c r="AL40" s="26">
        <f>股权价值增加表!AL38</f>
        <v>3165661793.5300007</v>
      </c>
      <c r="AM40" s="26">
        <f>股权价值增加表!AM38</f>
        <v>2157825039.6700006</v>
      </c>
      <c r="AN40" s="26">
        <f>股权价值增加表!AN38</f>
        <v>1660437310.8500004</v>
      </c>
      <c r="AO40" s="26">
        <f>股权价值增加表!AO38</f>
        <v>2399155657.23</v>
      </c>
      <c r="AP40" s="26">
        <f>股权价值增加表!AP38</f>
        <v>2102072670.8799996</v>
      </c>
      <c r="AQ40" s="26">
        <f>股权价值增加表!AQ38</f>
        <v>1711707483.9000006</v>
      </c>
      <c r="AR40" s="26">
        <f>股权价值增加表!AR38</f>
        <v>1351525377.5499997</v>
      </c>
      <c r="AS40" s="26">
        <f>股权价值增加表!AS38</f>
        <v>2178346547.2299995</v>
      </c>
      <c r="AT40" s="26">
        <f>股权价值增加表!AT38</f>
        <v>1975096563.3200004</v>
      </c>
      <c r="AU40" s="26">
        <f>股权价值增加表!AU38</f>
        <v>1707052031.6899996</v>
      </c>
      <c r="AV40" s="26">
        <f>股权价值增加表!AV38</f>
        <v>1119753768.3700001</v>
      </c>
      <c r="AW40" s="26">
        <f>股权价值增加表!AW38</f>
        <v>1782323029.6300001</v>
      </c>
      <c r="AX40" s="26">
        <f>股权价值增加表!AX38</f>
        <v>1546019936.1899998</v>
      </c>
      <c r="AY40" s="26">
        <f>股权价值增加表!AY38</f>
        <v>1240641571.7299993</v>
      </c>
      <c r="AZ40" s="26">
        <f>股权价值增加表!AZ38</f>
        <v>828416296.43999994</v>
      </c>
      <c r="BA40" s="26">
        <f>股权价值增加表!BA38</f>
        <v>1190216228.2799995</v>
      </c>
      <c r="BB40" s="26">
        <f>股权价值增加表!BB38</f>
        <v>1153427385.2599993</v>
      </c>
      <c r="BC40" s="26">
        <f>股权价值增加表!BC38</f>
        <v>925863086.22999978</v>
      </c>
      <c r="BD40" s="26">
        <f>股权价值增加表!BD38</f>
        <v>653555032.26000011</v>
      </c>
      <c r="BE40" s="26">
        <f>股权价值增加表!BE38</f>
        <v>1267302550.8899996</v>
      </c>
      <c r="BF40" s="26">
        <f>股权价值增加表!BF38</f>
        <v>1031081373.8700002</v>
      </c>
      <c r="BG40" s="26">
        <f>股权价值增加表!BG38</f>
        <v>814218785.02999985</v>
      </c>
      <c r="BH40" s="26">
        <f>股权价值增加表!BH38</f>
        <v>575729186.07999992</v>
      </c>
      <c r="BI40" s="26">
        <f>股权价值增加表!BI38</f>
        <v>1083536746.77</v>
      </c>
      <c r="BJ40" s="26">
        <f>股权价值增加表!BJ38</f>
        <v>856561553.6700002</v>
      </c>
      <c r="BK40" s="26">
        <f>股权价值增加表!BK38</f>
        <v>638300313.69999993</v>
      </c>
      <c r="BL40" s="26">
        <f>股权价值增加表!BL38</f>
        <v>495298188.53999996</v>
      </c>
      <c r="BM40" s="26">
        <f>股权价值增加表!BM38</f>
        <v>865237437.21999979</v>
      </c>
      <c r="BN40" s="26">
        <f>股权价值增加表!BN38</f>
        <v>700279163.99000013</v>
      </c>
      <c r="BO40" s="26">
        <f>股权价值增加表!BO38</f>
        <v>498971367.69000018</v>
      </c>
      <c r="BP40" s="26">
        <f>股权价值增加表!BP38</f>
        <v>373749362.52999985</v>
      </c>
      <c r="BQ40" s="26">
        <f>股权价值增加表!BQ38</f>
        <v>930905522.71000004</v>
      </c>
      <c r="BR40" s="26">
        <f>股权价值增加表!BR38</f>
        <v>3711480000</v>
      </c>
      <c r="BS40" s="26">
        <f>股权价值增加表!BS38</f>
        <v>657782215.23999989</v>
      </c>
      <c r="BT40" s="26">
        <f>股权价值增加表!BT38</f>
        <v>419683858.53000009</v>
      </c>
      <c r="BU40" s="26">
        <f>股权价值增加表!BU38</f>
        <v>1004093176.9500002</v>
      </c>
      <c r="BV40" s="26">
        <f>股权价值增加表!BV38</f>
        <v>723304139.98000002</v>
      </c>
      <c r="BW40" s="26">
        <f>股权价值增加表!BW38</f>
        <v>784300393.45000017</v>
      </c>
      <c r="BX40" s="26">
        <f>股权价值增加表!BX38</f>
        <v>383729930.18000001</v>
      </c>
      <c r="BY40" s="26">
        <f>股权价值增加表!BY38</f>
        <v>671700410.11000001</v>
      </c>
      <c r="BZ40" s="26">
        <f>股权价值增加表!BZ38</f>
        <v>297541453.35000002</v>
      </c>
      <c r="CA40" s="26">
        <f>股权价值增加表!CA38</f>
        <v>509243773.96999997</v>
      </c>
      <c r="CB40" s="26">
        <f>股权价值增加表!CB38</f>
        <v>387644599.08999997</v>
      </c>
      <c r="CC40" s="26">
        <f>股权价值增加表!CC38</f>
        <v>323464761.90000004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9.3428164594788754E-4</v>
      </c>
      <c r="F41" s="59">
        <f t="shared" ref="F41:BQ41" si="34">1-F40/F39</f>
        <v>-7.0644015064849741E-2</v>
      </c>
      <c r="G41" s="59">
        <f t="shared" si="34"/>
        <v>-6.5060102343363901E-2</v>
      </c>
      <c r="H41" s="59">
        <f t="shared" si="34"/>
        <v>-4.5749400094243775E-2</v>
      </c>
      <c r="I41" s="59">
        <f t="shared" si="34"/>
        <v>-7.1372634563138249E-5</v>
      </c>
      <c r="J41" s="59">
        <f t="shared" si="34"/>
        <v>-8.6470412440795785E-2</v>
      </c>
      <c r="K41" s="59">
        <f t="shared" si="34"/>
        <v>-6.8583396321309387E-2</v>
      </c>
      <c r="L41" s="59">
        <f t="shared" si="34"/>
        <v>-4.6986609796275225E-2</v>
      </c>
      <c r="M41" s="59">
        <f t="shared" si="34"/>
        <v>1.7170363617935447E-3</v>
      </c>
      <c r="N41" s="59">
        <f t="shared" si="34"/>
        <v>-9.7631489883191147E-2</v>
      </c>
      <c r="O41" s="59">
        <f t="shared" si="34"/>
        <v>-8.663656745960302E-2</v>
      </c>
      <c r="P41" s="59">
        <f t="shared" si="34"/>
        <v>-6.0997504277528369E-2</v>
      </c>
      <c r="Q41" s="59">
        <f t="shared" si="34"/>
        <v>3.2782206390746804E-4</v>
      </c>
      <c r="R41" s="59">
        <f t="shared" si="34"/>
        <v>-8.2268505034635897E-2</v>
      </c>
      <c r="S41" s="59">
        <f t="shared" si="34"/>
        <v>-6.6293027129147974E-2</v>
      </c>
      <c r="T41" s="59">
        <f t="shared" si="34"/>
        <v>-7.1604213077953061E-2</v>
      </c>
      <c r="U41" s="59">
        <f t="shared" si="34"/>
        <v>-5.0149019270562256E-4</v>
      </c>
      <c r="V41" s="59">
        <f t="shared" si="34"/>
        <v>-7.1791087788639185E-2</v>
      </c>
      <c r="W41" s="59">
        <f t="shared" si="34"/>
        <v>-6.2534971044036158E-2</v>
      </c>
      <c r="X41" s="59">
        <f t="shared" si="34"/>
        <v>-4.9902565312435643E-2</v>
      </c>
      <c r="Y41" s="59">
        <f t="shared" si="34"/>
        <v>-8.8364073255275954E-4</v>
      </c>
      <c r="Z41" s="59">
        <f t="shared" si="34"/>
        <v>-6.1452258176923236E-2</v>
      </c>
      <c r="AA41" s="59">
        <f t="shared" si="34"/>
        <v>-6.1073499437132694E-2</v>
      </c>
      <c r="AB41" s="59">
        <f t="shared" si="34"/>
        <v>-3.508167849234578E-2</v>
      </c>
      <c r="AC41" s="59">
        <f t="shared" si="34"/>
        <v>-9.2514675271271329E-4</v>
      </c>
      <c r="AD41" s="59">
        <f t="shared" si="34"/>
        <v>-3.6836289824461854E-2</v>
      </c>
      <c r="AE41" s="59">
        <f t="shared" si="34"/>
        <v>-4.2337632212284371E-2</v>
      </c>
      <c r="AF41" s="59">
        <f t="shared" si="34"/>
        <v>-8.2529442654757368E-3</v>
      </c>
      <c r="AG41" s="59">
        <f t="shared" si="34"/>
        <v>-4.202844217600088E-4</v>
      </c>
      <c r="AH41" s="59">
        <f t="shared" si="34"/>
        <v>-2.3007648598413866E-2</v>
      </c>
      <c r="AI41" s="59">
        <f t="shared" si="34"/>
        <v>-2.5487161023511451E-2</v>
      </c>
      <c r="AJ41" s="59">
        <f t="shared" si="34"/>
        <v>-5.7792493482933249E-3</v>
      </c>
      <c r="AK41" s="59">
        <f t="shared" si="34"/>
        <v>-2.4407403290596319E-2</v>
      </c>
      <c r="AL41" s="59">
        <f t="shared" si="34"/>
        <v>-2.1298734579076717E-2</v>
      </c>
      <c r="AM41" s="59">
        <f t="shared" si="34"/>
        <v>-1.919910667468816E-2</v>
      </c>
      <c r="AN41" s="59">
        <f t="shared" si="34"/>
        <v>-6.649206740804825E-3</v>
      </c>
      <c r="AO41" s="59">
        <f t="shared" si="34"/>
        <v>-7.1433622790081586E-2</v>
      </c>
      <c r="AP41" s="59">
        <f t="shared" si="34"/>
        <v>-4.3547604648331406E-2</v>
      </c>
      <c r="AQ41" s="59">
        <f t="shared" si="34"/>
        <v>-4.5702354046550653E-2</v>
      </c>
      <c r="AR41" s="59">
        <f t="shared" si="34"/>
        <v>-1.168846852487837E-2</v>
      </c>
      <c r="AS41" s="59">
        <f t="shared" si="34"/>
        <v>-4.4210141376471279E-2</v>
      </c>
      <c r="AT41" s="59">
        <f t="shared" si="34"/>
        <v>-2.1208179805099148E-2</v>
      </c>
      <c r="AU41" s="59">
        <f t="shared" si="34"/>
        <v>-2.1841240155483499E-2</v>
      </c>
      <c r="AV41" s="59">
        <f t="shared" si="34"/>
        <v>-3.0249456747746262E-3</v>
      </c>
      <c r="AW41" s="59">
        <f t="shared" si="34"/>
        <v>-2.9158450066729236E-2</v>
      </c>
      <c r="AX41" s="59">
        <f t="shared" si="34"/>
        <v>-1.7351153614474812E-2</v>
      </c>
      <c r="AY41" s="59">
        <f t="shared" si="34"/>
        <v>-2.0058883631370428E-2</v>
      </c>
      <c r="AZ41" s="59">
        <f t="shared" si="34"/>
        <v>-3.534480668636153E-3</v>
      </c>
      <c r="BA41" s="59">
        <f t="shared" si="34"/>
        <v>-2.1653383678346572E-2</v>
      </c>
      <c r="BB41" s="59">
        <f t="shared" si="34"/>
        <v>-6.4905044259535583E-3</v>
      </c>
      <c r="BC41" s="59">
        <f t="shared" si="34"/>
        <v>-5.9714963807089294E-3</v>
      </c>
      <c r="BD41" s="59">
        <f t="shared" si="34"/>
        <v>-9.3559537354264144E-3</v>
      </c>
      <c r="BE41" s="59">
        <f t="shared" si="34"/>
        <v>-2.1321421141800689E-2</v>
      </c>
      <c r="BF41" s="59">
        <f t="shared" si="34"/>
        <v>-1.2550715883502095E-2</v>
      </c>
      <c r="BG41" s="59">
        <f t="shared" si="34"/>
        <v>-1.3830927272412419E-2</v>
      </c>
      <c r="BH41" s="59">
        <f t="shared" si="34"/>
        <v>-3.0241084428919152E-3</v>
      </c>
      <c r="BI41" s="59">
        <f t="shared" si="34"/>
        <v>-2.6875755747503227E-2</v>
      </c>
      <c r="BJ41" s="59">
        <f t="shared" si="34"/>
        <v>-2.3396586431144284E-2</v>
      </c>
      <c r="BK41" s="59">
        <f t="shared" si="34"/>
        <v>-1.9366859324352115E-2</v>
      </c>
      <c r="BL41" s="59">
        <f t="shared" si="34"/>
        <v>-4.96240133534398E-3</v>
      </c>
      <c r="BM41" s="59">
        <f t="shared" si="34"/>
        <v>-3.1833536094248327E-2</v>
      </c>
      <c r="BN41" s="59">
        <f t="shared" si="34"/>
        <v>-3.2040767093108657E-2</v>
      </c>
      <c r="BO41" s="59">
        <f t="shared" si="34"/>
        <v>-2.3897454639886906E-2</v>
      </c>
      <c r="BP41" s="59">
        <f t="shared" si="34"/>
        <v>-2.0552323591977784E-2</v>
      </c>
      <c r="BQ41" s="59">
        <f t="shared" si="34"/>
        <v>-2.8074398151600288E-2</v>
      </c>
      <c r="BR41" s="59">
        <f t="shared" ref="BR41:CK41" si="35">1-BR40/BR39</f>
        <v>0</v>
      </c>
      <c r="BS41" s="59">
        <f t="shared" si="35"/>
        <v>-2.5699468268096437E-2</v>
      </c>
      <c r="BT41" s="59">
        <f t="shared" si="35"/>
        <v>-1.3160223273602556E-2</v>
      </c>
      <c r="BU41" s="59">
        <f t="shared" si="35"/>
        <v>-1.4497300439050287E-2</v>
      </c>
      <c r="BV41" s="59">
        <f t="shared" si="35"/>
        <v>-1.039102909036882E-2</v>
      </c>
      <c r="BW41" s="59">
        <f t="shared" si="35"/>
        <v>-1.9612970360211257E-2</v>
      </c>
      <c r="BX41" s="59">
        <f t="shared" si="35"/>
        <v>-2.5640704780737655E-2</v>
      </c>
      <c r="BY41" s="59">
        <f t="shared" si="35"/>
        <v>-6.8040890860995296E-2</v>
      </c>
      <c r="BZ41" s="59">
        <f t="shared" si="35"/>
        <v>-1.3054825012507765E-2</v>
      </c>
      <c r="CA41" s="59">
        <f t="shared" si="35"/>
        <v>2.2712638126977658E-2</v>
      </c>
      <c r="CB41" s="59">
        <f t="shared" si="35"/>
        <v>4.0239822129923941E-2</v>
      </c>
      <c r="CC41" s="59">
        <f t="shared" si="35"/>
        <v>3.6941825058003364E-2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9">
        <f>E39/(E39-E40)</f>
        <v>1070.3410522267582</v>
      </c>
      <c r="F42" s="29">
        <f t="shared" ref="F42:BQ42" si="36">F39/(F39-F40)</f>
        <v>-14.15548081577783</v>
      </c>
      <c r="G42" s="29">
        <f t="shared" si="36"/>
        <v>-15.370403119293588</v>
      </c>
      <c r="H42" s="29">
        <f t="shared" si="36"/>
        <v>-21.85821011729119</v>
      </c>
      <c r="I42" s="29">
        <f t="shared" si="36"/>
        <v>-14010.972218165685</v>
      </c>
      <c r="J42" s="29">
        <f t="shared" si="36"/>
        <v>-11.564649361244538</v>
      </c>
      <c r="K42" s="29">
        <f t="shared" si="36"/>
        <v>-14.580788552889056</v>
      </c>
      <c r="L42" s="29">
        <f t="shared" si="36"/>
        <v>-21.282659130671615</v>
      </c>
      <c r="M42" s="29">
        <f t="shared" si="36"/>
        <v>582.39884853425019</v>
      </c>
      <c r="N42" s="29">
        <f t="shared" si="36"/>
        <v>-10.242596944863035</v>
      </c>
      <c r="O42" s="29">
        <f t="shared" si="36"/>
        <v>-11.5424702215526</v>
      </c>
      <c r="P42" s="29">
        <f t="shared" si="36"/>
        <v>-16.394113363231497</v>
      </c>
      <c r="Q42" s="29">
        <f t="shared" si="36"/>
        <v>3050.4353126225219</v>
      </c>
      <c r="R42" s="29">
        <f t="shared" si="36"/>
        <v>-12.155319943871456</v>
      </c>
      <c r="S42" s="29">
        <f t="shared" si="36"/>
        <v>-15.084542723503343</v>
      </c>
      <c r="T42" s="29">
        <f t="shared" si="36"/>
        <v>-13.965658681442887</v>
      </c>
      <c r="U42" s="29">
        <f t="shared" si="36"/>
        <v>-1994.0569417812844</v>
      </c>
      <c r="V42" s="29">
        <f t="shared" si="36"/>
        <v>-13.929305583780931</v>
      </c>
      <c r="W42" s="29">
        <f t="shared" si="36"/>
        <v>-15.991052419226619</v>
      </c>
      <c r="X42" s="29">
        <f t="shared" si="36"/>
        <v>-20.039049971461154</v>
      </c>
      <c r="Y42" s="29">
        <f t="shared" si="36"/>
        <v>-1131.6816474847162</v>
      </c>
      <c r="Z42" s="29">
        <f t="shared" si="36"/>
        <v>-16.272795006506772</v>
      </c>
      <c r="AA42" s="29">
        <f t="shared" si="36"/>
        <v>-16.373713791026045</v>
      </c>
      <c r="AB42" s="29">
        <f t="shared" si="36"/>
        <v>-28.504907489480125</v>
      </c>
      <c r="AC42" s="29">
        <f t="shared" si="36"/>
        <v>-1080.9095930649007</v>
      </c>
      <c r="AD42" s="29">
        <f t="shared" si="36"/>
        <v>-27.147142254699421</v>
      </c>
      <c r="AE42" s="29">
        <f t="shared" si="36"/>
        <v>-23.6196487084095</v>
      </c>
      <c r="AF42" s="29">
        <f t="shared" si="36"/>
        <v>-121.16887838238092</v>
      </c>
      <c r="AG42" s="29">
        <f t="shared" si="36"/>
        <v>-2379.3411038472045</v>
      </c>
      <c r="AH42" s="29">
        <f t="shared" si="36"/>
        <v>-43.46380707800531</v>
      </c>
      <c r="AI42" s="29">
        <f t="shared" si="36"/>
        <v>-39.235440898164981</v>
      </c>
      <c r="AJ42" s="29">
        <f t="shared" si="36"/>
        <v>-173.03285249239252</v>
      </c>
      <c r="AK42" s="29">
        <f t="shared" si="36"/>
        <v>-40.971175347656903</v>
      </c>
      <c r="AL42" s="29">
        <f t="shared" si="36"/>
        <v>-46.951146148483858</v>
      </c>
      <c r="AM42" s="29">
        <f t="shared" si="36"/>
        <v>-52.085756746087732</v>
      </c>
      <c r="AN42" s="29">
        <f t="shared" si="36"/>
        <v>-150.39387989896613</v>
      </c>
      <c r="AO42" s="29">
        <f t="shared" si="36"/>
        <v>-13.999010003155641</v>
      </c>
      <c r="AP42" s="29">
        <f t="shared" si="36"/>
        <v>-22.963375553615396</v>
      </c>
      <c r="AQ42" s="29">
        <f t="shared" si="36"/>
        <v>-21.880710980039211</v>
      </c>
      <c r="AR42" s="29">
        <f t="shared" si="36"/>
        <v>-85.554407566016707</v>
      </c>
      <c r="AS42" s="29">
        <f t="shared" si="36"/>
        <v>-22.619244563922599</v>
      </c>
      <c r="AT42" s="29">
        <f t="shared" si="36"/>
        <v>-47.151618346783827</v>
      </c>
      <c r="AU42" s="29">
        <f t="shared" si="36"/>
        <v>-45.784945950010055</v>
      </c>
      <c r="AV42" s="29">
        <f t="shared" si="36"/>
        <v>-330.58444928089352</v>
      </c>
      <c r="AW42" s="29">
        <f t="shared" si="36"/>
        <v>-34.295375704521142</v>
      </c>
      <c r="AX42" s="29">
        <f t="shared" si="36"/>
        <v>-57.633055543106323</v>
      </c>
      <c r="AY42" s="29">
        <f t="shared" si="36"/>
        <v>-49.853223059536582</v>
      </c>
      <c r="AZ42" s="29">
        <f t="shared" si="36"/>
        <v>-282.92699656662563</v>
      </c>
      <c r="BA42" s="29">
        <f t="shared" si="36"/>
        <v>-46.18215863417214</v>
      </c>
      <c r="BB42" s="29">
        <f t="shared" si="36"/>
        <v>-154.07122996500664</v>
      </c>
      <c r="BC42" s="29">
        <f t="shared" si="36"/>
        <v>-167.46221319508982</v>
      </c>
      <c r="BD42" s="29">
        <f t="shared" si="36"/>
        <v>-106.88381198524722</v>
      </c>
      <c r="BE42" s="29">
        <f t="shared" si="36"/>
        <v>-46.901188872419837</v>
      </c>
      <c r="BF42" s="29">
        <f t="shared" si="36"/>
        <v>-79.676729939723799</v>
      </c>
      <c r="BG42" s="29">
        <f t="shared" si="36"/>
        <v>-72.301732219692468</v>
      </c>
      <c r="BH42" s="29">
        <f t="shared" si="36"/>
        <v>-330.67597240122302</v>
      </c>
      <c r="BI42" s="29">
        <f t="shared" si="36"/>
        <v>-37.208255998267262</v>
      </c>
      <c r="BJ42" s="29">
        <f t="shared" si="36"/>
        <v>-42.741277790372486</v>
      </c>
      <c r="BK42" s="29">
        <f t="shared" si="36"/>
        <v>-51.634598220197226</v>
      </c>
      <c r="BL42" s="29">
        <f t="shared" si="36"/>
        <v>-201.51534154999661</v>
      </c>
      <c r="BM42" s="29">
        <f t="shared" si="36"/>
        <v>-31.413412479196097</v>
      </c>
      <c r="BN42" s="29">
        <f t="shared" si="36"/>
        <v>-31.210239039972233</v>
      </c>
      <c r="BO42" s="29">
        <f t="shared" si="36"/>
        <v>-41.84546074337608</v>
      </c>
      <c r="BP42" s="29">
        <f t="shared" si="36"/>
        <v>-48.656298910665967</v>
      </c>
      <c r="BQ42" s="29">
        <f t="shared" si="36"/>
        <v>-35.619641589467165</v>
      </c>
      <c r="BR42" s="29" t="e">
        <f t="shared" ref="BR42:CK42" si="37">BR39/(BR39-BR40)</f>
        <v>#DIV/0!</v>
      </c>
      <c r="BS42" s="29">
        <f t="shared" si="37"/>
        <v>-38.911310909938514</v>
      </c>
      <c r="BT42" s="29">
        <f t="shared" si="37"/>
        <v>-75.986552751414365</v>
      </c>
      <c r="BU42" s="29">
        <f t="shared" si="37"/>
        <v>-68.978359398994002</v>
      </c>
      <c r="BV42" s="29">
        <f t="shared" si="37"/>
        <v>-96.2368588619278</v>
      </c>
      <c r="BW42" s="29">
        <f t="shared" si="37"/>
        <v>-50.986667579363633</v>
      </c>
      <c r="BX42" s="29">
        <f t="shared" si="37"/>
        <v>-39.000488034605006</v>
      </c>
      <c r="BY42" s="29">
        <f t="shared" si="37"/>
        <v>-14.69704448818811</v>
      </c>
      <c r="BZ42" s="29">
        <f t="shared" si="37"/>
        <v>-76.600030949622308</v>
      </c>
      <c r="CA42" s="29">
        <f t="shared" si="37"/>
        <v>44.028350841913699</v>
      </c>
      <c r="CB42" s="29">
        <f t="shared" si="37"/>
        <v>24.851004479375167</v>
      </c>
      <c r="CC42" s="29">
        <f t="shared" si="37"/>
        <v>27.069588425311217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700</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36981</v>
      </c>
      <c r="BU46" s="1">
        <v>36891</v>
      </c>
      <c r="BV46" s="1">
        <v>36707</v>
      </c>
      <c r="BW46" s="1">
        <v>36525</v>
      </c>
      <c r="BX46" s="1">
        <v>36341</v>
      </c>
      <c r="BY46" s="1">
        <v>36160</v>
      </c>
      <c r="BZ46" s="1">
        <v>35976</v>
      </c>
      <c r="CA46" s="1">
        <v>35795</v>
      </c>
      <c r="CB46" s="1">
        <v>35430</v>
      </c>
      <c r="CC46" s="1">
        <v>35064</v>
      </c>
      <c r="CD46" s="1">
        <v>25569</v>
      </c>
      <c r="CE46" s="1"/>
      <c r="CF46" s="1"/>
      <c r="CG46" s="1"/>
      <c r="CH46" s="1"/>
      <c r="CI46" s="1"/>
      <c r="CJ46" s="1"/>
      <c r="CK46" s="1"/>
    </row>
    <row r="47" spans="1:89" s="26" customFormat="1" x14ac:dyDescent="0.25">
      <c r="A47" s="17" t="s">
        <v>425</v>
      </c>
      <c r="E47" s="26">
        <f>股权价值增加表!E42</f>
        <v>10016161192.48</v>
      </c>
      <c r="F47" s="26">
        <f>股权价值增加表!F42</f>
        <v>7264971278.4899998</v>
      </c>
      <c r="G47" s="26">
        <f>股权价值增加表!G42</f>
        <v>5189809468.7599993</v>
      </c>
      <c r="H47" s="26">
        <f>股权价值增加表!H42</f>
        <v>3739203432.9900007</v>
      </c>
      <c r="I47" s="26">
        <f>股权价值增加表!I42</f>
        <v>7087109381.4899998</v>
      </c>
      <c r="J47" s="26">
        <f>股权价值增加表!J42</f>
        <v>5296615569.499999</v>
      </c>
      <c r="K47" s="26">
        <f>股权价值增加表!K42</f>
        <v>4026624588.9200001</v>
      </c>
      <c r="L47" s="26">
        <f>股权价值增加表!L42</f>
        <v>3008278093.8000002</v>
      </c>
      <c r="M47" s="26">
        <f>股权价值增加表!M42</f>
        <v>6411336837.3699989</v>
      </c>
      <c r="N47" s="26">
        <f>股权价值增加表!N42</f>
        <v>4777110529.6499977</v>
      </c>
      <c r="O47" s="26">
        <f>股权价值增加表!O42</f>
        <v>3421203676.3300004</v>
      </c>
      <c r="P47" s="26">
        <f>股权价值增加表!P42</f>
        <v>2289923256.6800003</v>
      </c>
      <c r="Q47" s="26">
        <f>股权价值增加表!Q42</f>
        <v>6064689715.2200012</v>
      </c>
      <c r="R47" s="26">
        <f>股权价值增加表!R42</f>
        <v>4894197804.0499992</v>
      </c>
      <c r="S47" s="26">
        <f>股权价值增加表!S42</f>
        <v>4162447434.2000008</v>
      </c>
      <c r="T47" s="26">
        <f>股权价值增加表!T42</f>
        <v>2735548585.6000013</v>
      </c>
      <c r="U47" s="26">
        <f>股权价值增加表!U42</f>
        <v>8328073992.0100002</v>
      </c>
      <c r="V47" s="26">
        <f>股权价值增加表!V42</f>
        <v>7410685949.079999</v>
      </c>
      <c r="W47" s="26">
        <f>股权价值增加表!W42</f>
        <v>6039984671.7300005</v>
      </c>
      <c r="X47" s="26">
        <f>股权价值增加表!X42</f>
        <v>3786290698.79</v>
      </c>
      <c r="Y47" s="26">
        <f>股权价值增加表!Y42</f>
        <v>10347985929.429996</v>
      </c>
      <c r="Z47" s="26">
        <f>股权价值增加表!Z42</f>
        <v>8113605924.1600018</v>
      </c>
      <c r="AA47" s="26">
        <f>股权价值增加表!AA42</f>
        <v>5241364125.3599997</v>
      </c>
      <c r="AB47" s="26">
        <f>股权价值增加表!AB42</f>
        <v>3166747159.3200006</v>
      </c>
      <c r="AC47" s="26">
        <f>股权价值增加表!AC42</f>
        <v>6402620079.5299978</v>
      </c>
      <c r="AD47" s="26">
        <f>股权价值增加表!AD42</f>
        <v>5001266488</v>
      </c>
      <c r="AE47" s="26">
        <f>股权价值增加表!AE42</f>
        <v>3490797304.9399996</v>
      </c>
      <c r="AF47" s="26">
        <f>股权价值增加表!AF42</f>
        <v>2161488984.3399992</v>
      </c>
      <c r="AG47" s="26">
        <f>股权价值增加表!AG42</f>
        <v>4564608064.1400003</v>
      </c>
      <c r="AH47" s="26">
        <f>股权价值增加表!AH42</f>
        <v>3532769841.4300013</v>
      </c>
      <c r="AI47" s="26">
        <f>股权价值增加表!AI42</f>
        <v>2343182863.0100002</v>
      </c>
      <c r="AJ47" s="26">
        <f>股权价值增加表!AJ42</f>
        <v>1578085299.8699999</v>
      </c>
      <c r="AK47" s="26">
        <f>股权价值增加表!AK42</f>
        <v>3466668431.5100007</v>
      </c>
      <c r="AL47" s="26">
        <f>股权价值增加表!AL42</f>
        <v>2382708112.8800006</v>
      </c>
      <c r="AM47" s="26">
        <f>股权价值增加表!AM42</f>
        <v>1619900643.9000006</v>
      </c>
      <c r="AN47" s="26">
        <f>股权价值增加表!AN42</f>
        <v>1269280228.7100005</v>
      </c>
      <c r="AO47" s="26">
        <f>股权价值增加表!AO42</f>
        <v>1829699892.5500002</v>
      </c>
      <c r="AP47" s="26">
        <f>股权价值增加表!AP42</f>
        <v>1604086352.9399996</v>
      </c>
      <c r="AQ47" s="26">
        <f>股权价值增加表!AQ42</f>
        <v>1308146766.3000007</v>
      </c>
      <c r="AR47" s="26">
        <f>股权价值增加表!AR42</f>
        <v>1015707693.3099997</v>
      </c>
      <c r="AS47" s="26">
        <f>股权价值增加表!AS42</f>
        <v>1472784098.4199996</v>
      </c>
      <c r="AT47" s="26">
        <f>股权价值增加表!AT42</f>
        <v>1326845730.0800004</v>
      </c>
      <c r="AU47" s="26">
        <f>股权价值增加表!AU42</f>
        <v>1145272727.9099996</v>
      </c>
      <c r="AV47" s="26">
        <f>股权价值增加表!AV42</f>
        <v>745206726.0400002</v>
      </c>
      <c r="AW47" s="26">
        <f>股权价值增加表!AW42</f>
        <v>1175937402.3600001</v>
      </c>
      <c r="AX47" s="26">
        <f>股权价值增加表!AX42</f>
        <v>1019791934.5599998</v>
      </c>
      <c r="AY47" s="26">
        <f>股权价值增加表!AY42</f>
        <v>820419318.73999929</v>
      </c>
      <c r="AZ47" s="26">
        <f>股权价值增加表!AZ42</f>
        <v>547472669.54999995</v>
      </c>
      <c r="BA47" s="26">
        <f>股权价值增加表!BA42</f>
        <v>793314137.81999946</v>
      </c>
      <c r="BB47" s="26">
        <f>股权价值增加表!BB42</f>
        <v>769577545.73999929</v>
      </c>
      <c r="BC47" s="26">
        <f>股权价值增加表!BC42</f>
        <v>589740890.89999986</v>
      </c>
      <c r="BD47" s="26">
        <f>股权价值增加表!BD42</f>
        <v>415036710.75000012</v>
      </c>
      <c r="BE47" s="26">
        <f>股权价值增加表!BE42</f>
        <v>825901189.95999956</v>
      </c>
      <c r="BF47" s="26">
        <f>股权价值增加表!BF42</f>
        <v>676071110.36000025</v>
      </c>
      <c r="BG47" s="26">
        <f>股权价值增加表!BG42</f>
        <v>535898156.90999985</v>
      </c>
      <c r="BH47" s="26">
        <f>股权价值增加表!BH42</f>
        <v>382374120.25999993</v>
      </c>
      <c r="BI47" s="26">
        <f>股权价值增加表!BI42</f>
        <v>700088807.83999991</v>
      </c>
      <c r="BJ47" s="26">
        <f>股权价值增加表!BJ42</f>
        <v>545195230.60000014</v>
      </c>
      <c r="BK47" s="26">
        <f>股权价值增加表!BK42</f>
        <v>388250797.3499999</v>
      </c>
      <c r="BL47" s="26">
        <f>股权价值增加表!BL42</f>
        <v>287901899.46999997</v>
      </c>
      <c r="BM47" s="26">
        <f>股权价值增加表!BM42</f>
        <v>615151754.73999977</v>
      </c>
      <c r="BN47" s="26">
        <f>股权价值增加表!BN42</f>
        <v>509493911.20000017</v>
      </c>
      <c r="BO47" s="26">
        <f>股权价值增加表!BO42</f>
        <v>372262408.89000016</v>
      </c>
      <c r="BP47" s="26">
        <f>股权价值增加表!BP42</f>
        <v>252347506.53999984</v>
      </c>
      <c r="BQ47" s="26">
        <f>股权价值增加表!BQ42</f>
        <v>814129864.86000001</v>
      </c>
      <c r="BR47" s="26">
        <f>股权价值增加表!BR42</f>
        <v>3550890000</v>
      </c>
      <c r="BS47" s="26">
        <f>股权价值增加表!BS42</f>
        <v>478555558.7899999</v>
      </c>
      <c r="BT47" s="26">
        <f>股权价值增加表!BT42</f>
        <v>280871784.07000005</v>
      </c>
      <c r="BU47" s="26">
        <f>股权价值增加表!BU42</f>
        <v>765213816.6700002</v>
      </c>
      <c r="BV47" s="26">
        <f>股权价值增加表!BV42</f>
        <v>427954215.42000002</v>
      </c>
      <c r="BW47" s="26">
        <f>股权价值增加表!BW42</f>
        <v>480871386.62000018</v>
      </c>
      <c r="BX47" s="26">
        <f>股权价值增加表!BX42</f>
        <v>317076251.63999999</v>
      </c>
      <c r="BY47" s="26">
        <f>股权价值增加表!BY42</f>
        <v>411122049.54000002</v>
      </c>
      <c r="BZ47" s="26">
        <f>股权价值增加表!BZ42</f>
        <v>252908616.84000003</v>
      </c>
      <c r="CA47" s="26">
        <f>股权价值增加表!CA42</f>
        <v>341141588.83999997</v>
      </c>
      <c r="CB47" s="26">
        <f>股权价值增加表!CB42</f>
        <v>259614780.61999997</v>
      </c>
      <c r="CC47" s="26">
        <f>股权价值增加表!CC42</f>
        <v>216619884.98000002</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0.33180620976218089</v>
      </c>
      <c r="F48" s="63">
        <f>股权价值增加表!F43</f>
        <v>0.33056259066436278</v>
      </c>
      <c r="G48" s="63">
        <f>股权价值增加表!G43</f>
        <v>0.33223014250521465</v>
      </c>
      <c r="H48" s="63">
        <f>股权价值增加表!H43</f>
        <v>0.36807503498415217</v>
      </c>
      <c r="I48" s="63">
        <f>股权价值增加表!I43</f>
        <v>0.288753636387655</v>
      </c>
      <c r="J48" s="63">
        <f>股权价值增加表!J43</f>
        <v>0.29924983913298653</v>
      </c>
      <c r="K48" s="63">
        <f>股权价值增加表!K43</f>
        <v>0.30376692488739443</v>
      </c>
      <c r="L48" s="63">
        <f>股权价值增加表!L43</f>
        <v>0.34085957804359091</v>
      </c>
      <c r="M48" s="63">
        <f>股权价值增加表!M43</f>
        <v>0.29600866967169881</v>
      </c>
      <c r="N48" s="63">
        <f>股权价值增加表!N43</f>
        <v>0.31570965302251486</v>
      </c>
      <c r="O48" s="63">
        <f>股权价值增加表!O43</f>
        <v>0.30504479586870259</v>
      </c>
      <c r="P48" s="63">
        <f>股权价值增加表!P43</f>
        <v>0.33998149064863264</v>
      </c>
      <c r="Q48" s="63">
        <f>股权价值增加表!Q43</f>
        <v>0.288636801665825</v>
      </c>
      <c r="R48" s="63">
        <f>股权价值增加表!R43</f>
        <v>0.32480061382846592</v>
      </c>
      <c r="S48" s="63">
        <f>股权价值增加表!S43</f>
        <v>0.35690767227343129</v>
      </c>
      <c r="T48" s="63">
        <f>股权价值增加表!T43</f>
        <v>0.40708467093951822</v>
      </c>
      <c r="U48" s="63">
        <f>股权价值增加表!U43</f>
        <v>0.33691543318735001</v>
      </c>
      <c r="V48" s="63">
        <f>股权价值增加表!V43</f>
        <v>0.38666121693743311</v>
      </c>
      <c r="W48" s="63">
        <f>股权价值增加表!W43</f>
        <v>0.38917733873597238</v>
      </c>
      <c r="X48" s="63">
        <f>股权价值增加表!X43</f>
        <v>0.4364197836146812</v>
      </c>
      <c r="Y48" s="63">
        <f>股权价值增加表!Y43</f>
        <v>0.38042603023212884</v>
      </c>
      <c r="Z48" s="63">
        <f>股权价值增加表!Z43</f>
        <v>0.38404686991854081</v>
      </c>
      <c r="AA48" s="63">
        <f>股权价值增加表!AA43</f>
        <v>0.34827012146231828</v>
      </c>
      <c r="AB48" s="63">
        <f>股权价值增加表!AB43</f>
        <v>0.38475048662362499</v>
      </c>
      <c r="AC48" s="63">
        <f>股权价值增加表!AC43</f>
        <v>0.31461587470451191</v>
      </c>
      <c r="AD48" s="63">
        <f>股权价值增加表!AD43</f>
        <v>0.31959477025726357</v>
      </c>
      <c r="AE48" s="63">
        <f>股权价值增加表!AE43</f>
        <v>0.32948119393981978</v>
      </c>
      <c r="AF48" s="63">
        <f>股权价值增加表!AF43</f>
        <v>0.34613967920702365</v>
      </c>
      <c r="AG48" s="63">
        <f>股权价值增加表!AG43</f>
        <v>0.29370824281746988</v>
      </c>
      <c r="AH48" s="63">
        <f>股权价值增加表!AH43</f>
        <v>0.30795494209780577</v>
      </c>
      <c r="AI48" s="63">
        <f>股权价值增加表!AI43</f>
        <v>0.30926795572249555</v>
      </c>
      <c r="AJ48" s="63">
        <f>股权价值增加表!AJ43</f>
        <v>0.35118307008167637</v>
      </c>
      <c r="AK48" s="63">
        <f>股权价值增加表!AK43</f>
        <v>0.31149247299546801</v>
      </c>
      <c r="AL48" s="63">
        <f>股权价值增加表!AL43</f>
        <v>0.29673761472663279</v>
      </c>
      <c r="AM48" s="63">
        <f>股权价值增加表!AM43</f>
        <v>0.30330163410632666</v>
      </c>
      <c r="AN48" s="63">
        <f>股权价值增加表!AN43</f>
        <v>0.38015482950515983</v>
      </c>
      <c r="AO48" s="63">
        <f>股权价值增加表!AO43</f>
        <v>0.2306421331252049</v>
      </c>
      <c r="AP48" s="63">
        <f>股权价值增加表!AP43</f>
        <v>0.2438310476485844</v>
      </c>
      <c r="AQ48" s="63">
        <f>股权价值增加表!AQ43</f>
        <v>0.28454812967500914</v>
      </c>
      <c r="AR48" s="63">
        <f>股权价值增加表!AR43</f>
        <v>0.32911832269772834</v>
      </c>
      <c r="AS48" s="63">
        <f>股权价值增加表!AS43</f>
        <v>0.20096511921978288</v>
      </c>
      <c r="AT48" s="63">
        <f>股权价值增加表!AT43</f>
        <v>0.21956509533969376</v>
      </c>
      <c r="AU48" s="63">
        <f>股权价值增加表!AU43</f>
        <v>0.26371269786079987</v>
      </c>
      <c r="AV48" s="63">
        <f>股权价值增加表!AV43</f>
        <v>0.24758911055053812</v>
      </c>
      <c r="AW48" s="63">
        <f>股权价值增加表!AW43</f>
        <v>0.15920862264232075</v>
      </c>
      <c r="AX48" s="63">
        <f>股权价值增加表!AX43</f>
        <v>0.17123464748394612</v>
      </c>
      <c r="AY48" s="63">
        <f>股权价值增加表!AY43</f>
        <v>0.18658565128245067</v>
      </c>
      <c r="AZ48" s="63">
        <f>股权价值增加表!AZ43</f>
        <v>0.20050664871087151</v>
      </c>
      <c r="BA48" s="63">
        <f>股权价值增加表!BA43</f>
        <v>0.12359321598592816</v>
      </c>
      <c r="BB48" s="63">
        <f>股权价值增加表!BB43</f>
        <v>0.15491404545208445</v>
      </c>
      <c r="BC48" s="63">
        <f>股权价值增加表!BC43</f>
        <v>0.15490907581979091</v>
      </c>
      <c r="BD48" s="63">
        <f>股权价值增加表!BD43</f>
        <v>0.16806831006028461</v>
      </c>
      <c r="BE48" s="63">
        <f>股权价值增加表!BE43</f>
        <v>0.13114573200379354</v>
      </c>
      <c r="BF48" s="63">
        <f>股权价值增加表!BF43</f>
        <v>0.14767562314527483</v>
      </c>
      <c r="BG48" s="63">
        <f>股权价值增加表!BG43</f>
        <v>0.15500479999636524</v>
      </c>
      <c r="BH48" s="63">
        <f>股权价值增加表!BH43</f>
        <v>0.15607467986815765</v>
      </c>
      <c r="BI48" s="63">
        <f>股权价值增加表!BI43</f>
        <v>0.110544574867405</v>
      </c>
      <c r="BJ48" s="63">
        <f>股权价值增加表!BJ43</f>
        <v>0.11747393177208273</v>
      </c>
      <c r="BK48" s="63">
        <f>股权价值增加表!BK43</f>
        <v>0.11329785605699541</v>
      </c>
      <c r="BL48" s="63">
        <f>股权价值增加表!BL43</f>
        <v>0.12656931971611765</v>
      </c>
      <c r="BM48" s="63">
        <f>股权价值增加表!BM43</f>
        <v>0.10779810302430037</v>
      </c>
      <c r="BN48" s="63">
        <f>股权价值增加表!BN43</f>
        <v>0.11364192911003471</v>
      </c>
      <c r="BO48" s="63">
        <f>股权价值增加表!BO43</f>
        <v>0.10751573858414036</v>
      </c>
      <c r="BP48" s="63">
        <f>股权价值增加表!BP43</f>
        <v>0.1115000774281729</v>
      </c>
      <c r="BQ48" s="63">
        <f>股权价值增加表!BQ43</f>
        <v>0.17168146280846541</v>
      </c>
      <c r="BR48" s="63">
        <f>股权价值增加表!BR43</f>
        <v>0.95967146922659052</v>
      </c>
      <c r="BS48" s="63">
        <f>股权价值增加表!BS43</f>
        <v>0.16985149035091229</v>
      </c>
      <c r="BT48" s="63">
        <f>股权价值增加表!BT43</f>
        <v>0.14044293874821628</v>
      </c>
      <c r="BU48" s="63">
        <f>股权价值增加表!BU43</f>
        <v>0.19354665315374117</v>
      </c>
      <c r="BV48" s="63">
        <f>股权价值增加表!BV43</f>
        <v>0.16042159782331808</v>
      </c>
      <c r="BW48" s="63">
        <f>股权价值增加表!BW43</f>
        <v>0.14533144600101539</v>
      </c>
      <c r="BX48" s="63">
        <f>股权价值增加表!BX43</f>
        <v>0.16680381713195511</v>
      </c>
      <c r="BY48" s="63">
        <f>股权价值增加表!BY43</f>
        <v>0.14608082007734416</v>
      </c>
      <c r="BZ48" s="63">
        <f>股权价值增加表!BZ43</f>
        <v>0.20894054690080691</v>
      </c>
      <c r="CA48" s="63">
        <f>股权价值增加表!CA43</f>
        <v>0.15475102884054848</v>
      </c>
      <c r="CB48" s="63">
        <f>股权价值增加表!CB43</f>
        <v>0.19822508741772776</v>
      </c>
      <c r="CC48" s="63">
        <f>股权价值增加表!CC43</f>
        <v>0.23681973825539174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0.41329287489763472</v>
      </c>
      <c r="F49" s="59">
        <f t="shared" ref="F49:BQ49" si="38">(F47-J47)/J47</f>
        <v>0.37162517897741515</v>
      </c>
      <c r="G49" s="59">
        <f t="shared" si="38"/>
        <v>0.28887343584021141</v>
      </c>
      <c r="H49" s="59">
        <f t="shared" si="38"/>
        <v>0.24297133323425874</v>
      </c>
      <c r="I49" s="59">
        <f t="shared" si="38"/>
        <v>0.10540275160417405</v>
      </c>
      <c r="J49" s="59">
        <f t="shared" si="38"/>
        <v>0.10874880047794575</v>
      </c>
      <c r="K49" s="59">
        <f t="shared" si="38"/>
        <v>0.17696137671623452</v>
      </c>
      <c r="L49" s="59">
        <f t="shared" si="38"/>
        <v>0.31370258152733571</v>
      </c>
      <c r="M49" s="59">
        <f t="shared" si="38"/>
        <v>5.7158261745864573E-2</v>
      </c>
      <c r="N49" s="59">
        <f t="shared" si="38"/>
        <v>-2.3923690681874485E-2</v>
      </c>
      <c r="O49" s="59">
        <f t="shared" si="38"/>
        <v>-0.17807882732156671</v>
      </c>
      <c r="P49" s="59">
        <f t="shared" si="38"/>
        <v>-0.16290163196727131</v>
      </c>
      <c r="Q49" s="59">
        <f t="shared" si="38"/>
        <v>-0.2717776377781348</v>
      </c>
      <c r="R49" s="59">
        <f t="shared" si="38"/>
        <v>-0.33957560235600182</v>
      </c>
      <c r="S49" s="59">
        <f t="shared" si="38"/>
        <v>-0.31085132489123135</v>
      </c>
      <c r="T49" s="59">
        <f t="shared" si="38"/>
        <v>-0.2775122664315734</v>
      </c>
      <c r="U49" s="59">
        <f t="shared" si="38"/>
        <v>-0.19519855855962304</v>
      </c>
      <c r="V49" s="59">
        <f t="shared" si="38"/>
        <v>-8.6634719710370428E-2</v>
      </c>
      <c r="W49" s="59">
        <f t="shared" si="38"/>
        <v>0.15236883514845442</v>
      </c>
      <c r="X49" s="59">
        <f t="shared" si="38"/>
        <v>0.19564035532380003</v>
      </c>
      <c r="Y49" s="59">
        <f t="shared" si="38"/>
        <v>0.616211144952024</v>
      </c>
      <c r="Z49" s="59">
        <f t="shared" si="38"/>
        <v>0.62231025753731073</v>
      </c>
      <c r="AA49" s="59">
        <f t="shared" si="38"/>
        <v>0.50148051218633827</v>
      </c>
      <c r="AB49" s="59">
        <f t="shared" si="38"/>
        <v>0.46507670511536403</v>
      </c>
      <c r="AC49" s="59">
        <f t="shared" si="38"/>
        <v>0.40266590024006588</v>
      </c>
      <c r="AD49" s="59">
        <f t="shared" si="38"/>
        <v>0.41567855039647245</v>
      </c>
      <c r="AE49" s="59">
        <f t="shared" si="38"/>
        <v>0.48976734169854741</v>
      </c>
      <c r="AF49" s="59">
        <f t="shared" si="38"/>
        <v>0.36969084276880293</v>
      </c>
      <c r="AG49" s="59">
        <f t="shared" si="38"/>
        <v>0.31671319433100859</v>
      </c>
      <c r="AH49" s="59">
        <f t="shared" si="38"/>
        <v>0.48267000155546153</v>
      </c>
      <c r="AI49" s="59">
        <f t="shared" si="38"/>
        <v>0.44649788975245891</v>
      </c>
      <c r="AJ49" s="59">
        <f t="shared" si="38"/>
        <v>0.24329148455565661</v>
      </c>
      <c r="AK49" s="59">
        <f t="shared" si="38"/>
        <v>0.89466504623258436</v>
      </c>
      <c r="AL49" s="59">
        <f t="shared" si="38"/>
        <v>0.48539890543481556</v>
      </c>
      <c r="AM49" s="59">
        <f t="shared" si="38"/>
        <v>0.23831720234402551</v>
      </c>
      <c r="AN49" s="59">
        <f t="shared" si="38"/>
        <v>0.24965109260288831</v>
      </c>
      <c r="AO49" s="59">
        <f t="shared" si="38"/>
        <v>0.24234087977518176</v>
      </c>
      <c r="AP49" s="59">
        <f t="shared" si="38"/>
        <v>0.20894714176250417</v>
      </c>
      <c r="AQ49" s="59">
        <f t="shared" si="38"/>
        <v>0.14221419441920072</v>
      </c>
      <c r="AR49" s="59">
        <f t="shared" si="38"/>
        <v>0.36298782313389899</v>
      </c>
      <c r="AS49" s="59">
        <f t="shared" si="38"/>
        <v>0.2524340968016282</v>
      </c>
      <c r="AT49" s="59">
        <f t="shared" si="38"/>
        <v>0.30109455185334666</v>
      </c>
      <c r="AU49" s="59">
        <f t="shared" si="38"/>
        <v>0.39596021418524185</v>
      </c>
      <c r="AV49" s="59">
        <f t="shared" si="38"/>
        <v>0.36117612346298406</v>
      </c>
      <c r="AW49" s="59">
        <f t="shared" si="38"/>
        <v>0.48230990259600887</v>
      </c>
      <c r="AX49" s="59">
        <f t="shared" si="38"/>
        <v>0.32513213282412362</v>
      </c>
      <c r="AY49" s="59">
        <f t="shared" si="38"/>
        <v>0.39115216767140321</v>
      </c>
      <c r="AZ49" s="59">
        <f t="shared" si="38"/>
        <v>0.31909456529924513</v>
      </c>
      <c r="BA49" s="59">
        <f t="shared" si="38"/>
        <v>-3.9456356930032244E-2</v>
      </c>
      <c r="BB49" s="59">
        <f t="shared" si="38"/>
        <v>0.13830858018797448</v>
      </c>
      <c r="BC49" s="59">
        <f t="shared" si="38"/>
        <v>0.10047195217176778</v>
      </c>
      <c r="BD49" s="59">
        <f t="shared" si="38"/>
        <v>8.5420505100582814E-2</v>
      </c>
      <c r="BE49" s="59">
        <f t="shared" si="38"/>
        <v>0.17970917505190731</v>
      </c>
      <c r="BF49" s="59">
        <f t="shared" si="38"/>
        <v>0.24005323673864157</v>
      </c>
      <c r="BG49" s="59">
        <f t="shared" si="38"/>
        <v>0.38028861902606464</v>
      </c>
      <c r="BH49" s="59">
        <f t="shared" si="38"/>
        <v>0.32814031780934527</v>
      </c>
      <c r="BI49" s="59">
        <f t="shared" si="38"/>
        <v>0.13807495865130007</v>
      </c>
      <c r="BJ49" s="59">
        <f t="shared" si="38"/>
        <v>7.0072121796143583E-2</v>
      </c>
      <c r="BK49" s="59">
        <f t="shared" si="38"/>
        <v>4.2949242464941306E-2</v>
      </c>
      <c r="BL49" s="59">
        <f t="shared" si="38"/>
        <v>0.14089456804030026</v>
      </c>
      <c r="BM49" s="59">
        <f t="shared" si="38"/>
        <v>-0.24440586042647761</v>
      </c>
      <c r="BN49" s="59">
        <f t="shared" si="38"/>
        <v>-0.85651656029896717</v>
      </c>
      <c r="BO49" s="59">
        <f t="shared" si="38"/>
        <v>-0.22211245475604929</v>
      </c>
      <c r="BP49" s="59">
        <f t="shared" si="38"/>
        <v>-0.10155622297358025</v>
      </c>
      <c r="BQ49" s="59">
        <f t="shared" si="38"/>
        <v>6.3924679774953613E-2</v>
      </c>
      <c r="BR49" s="59">
        <f t="shared" ref="BR49:CJ49" si="39">(BR47-BV47)/BV47</f>
        <v>7.2973595586974387</v>
      </c>
      <c r="BS49" s="59">
        <f t="shared" si="39"/>
        <v>-4.8158985841890442E-3</v>
      </c>
      <c r="BT49" s="59">
        <f t="shared" si="39"/>
        <v>-0.1141822113221697</v>
      </c>
      <c r="BU49" s="59">
        <f t="shared" si="39"/>
        <v>0.86128138231989648</v>
      </c>
      <c r="BV49" s="59">
        <f t="shared" si="39"/>
        <v>0.69212983237633507</v>
      </c>
      <c r="BW49" s="59">
        <f t="shared" si="39"/>
        <v>0.40959473236649369</v>
      </c>
      <c r="BX49" s="59">
        <f t="shared" si="39"/>
        <v>0.22133358849127616</v>
      </c>
      <c r="BY49" s="59">
        <f t="shared" si="39"/>
        <v>0.89789616764849589</v>
      </c>
      <c r="BZ49" s="59" t="e">
        <f t="shared" si="39"/>
        <v>#DIV/0!</v>
      </c>
      <c r="CA49" s="59">
        <f t="shared" si="39"/>
        <v>-17.988276920472085</v>
      </c>
      <c r="CB49" s="59">
        <f t="shared" si="39"/>
        <v>-19.085870355500816</v>
      </c>
      <c r="CC49" s="59">
        <f t="shared" si="39"/>
        <v>-51.02768706235566</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5642215140.545599</v>
      </c>
      <c r="F50" s="26">
        <f>股权价值增加表!F47</f>
        <v>3116704751.6387997</v>
      </c>
      <c r="G50" s="26">
        <f>股权价值增加表!G47</f>
        <v>1207556158.4471989</v>
      </c>
      <c r="H50" s="26">
        <f>股权价值增加表!H47</f>
        <v>-416401710.58519936</v>
      </c>
      <c r="I50" s="26">
        <f>股权价值增加表!I47</f>
        <v>3230640644.7139997</v>
      </c>
      <c r="J50" s="26">
        <f>股权价值增加表!J47</f>
        <v>1580958832.6727991</v>
      </c>
      <c r="K50" s="26">
        <f>股权价值增加表!K47</f>
        <v>399819431.77440023</v>
      </c>
      <c r="L50" s="26">
        <f>股权价值增加表!L47</f>
        <v>-780001213.81599951</v>
      </c>
      <c r="M50" s="26">
        <f>股权价值增加表!M47</f>
        <v>2863723960.3659987</v>
      </c>
      <c r="N50" s="26">
        <f>股权价值增加表!N47</f>
        <v>1360167557.1755977</v>
      </c>
      <c r="O50" s="26">
        <f>股权价值增加表!O47</f>
        <v>114333252.12120008</v>
      </c>
      <c r="P50" s="26">
        <f>股权价值增加表!P47</f>
        <v>-1120237039.5408001</v>
      </c>
      <c r="Q50" s="26">
        <f>股权价值增加表!Q47</f>
        <v>2838043279.5336008</v>
      </c>
      <c r="R50" s="26">
        <f>股权价值增加表!R47</f>
        <v>1771152741.085999</v>
      </c>
      <c r="S50" s="26">
        <f>股权价值增加表!S47</f>
        <v>1107530924.8624005</v>
      </c>
      <c r="T50" s="26">
        <f>股权价值增加表!T47</f>
        <v>-444838065.4151988</v>
      </c>
      <c r="U50" s="26">
        <f>股权价值增加表!U47</f>
        <v>5366531227.8428001</v>
      </c>
      <c r="V50" s="26">
        <f>股权价值增加表!V47</f>
        <v>4535785537.8623981</v>
      </c>
      <c r="W50" s="26">
        <f>股权价值增加表!W47</f>
        <v>3280620362.7004004</v>
      </c>
      <c r="X50" s="26">
        <f>股权价值增加表!X47</f>
        <v>964280037.51559973</v>
      </c>
      <c r="Y50" s="26">
        <f>股权价值增加表!Y47</f>
        <v>7826300285.1659966</v>
      </c>
      <c r="Z50" s="26">
        <f>股权价值增加表!Z47</f>
        <v>5743890502.345602</v>
      </c>
      <c r="AA50" s="26">
        <f>股权价值增加表!AA47</f>
        <v>3101428047.4495993</v>
      </c>
      <c r="AB50" s="26">
        <f>股权价值增加表!AB47</f>
        <v>1040511328.7680004</v>
      </c>
      <c r="AC50" s="26">
        <f>股权价值增加表!AC47</f>
        <v>4526884980.2939978</v>
      </c>
      <c r="AD50" s="26">
        <f>股权价值增加表!AD47</f>
        <v>3222980246.9223995</v>
      </c>
      <c r="AE50" s="26">
        <f>股权价值增加表!AE47</f>
        <v>1833348598.5071995</v>
      </c>
      <c r="AF50" s="26">
        <f>股权价值增加表!AF47</f>
        <v>516278013.61519909</v>
      </c>
      <c r="AG50" s="26">
        <f>股权价值增加表!AG47</f>
        <v>3095319940.8224001</v>
      </c>
      <c r="AH50" s="26">
        <f>股权价值增加表!AH47</f>
        <v>2131246323.7668011</v>
      </c>
      <c r="AI50" s="26">
        <f>股权价值增加表!AI47</f>
        <v>1036029997.2324002</v>
      </c>
      <c r="AJ50" s="26">
        <f>股权价值增加表!AJ47</f>
        <v>283069471.69079995</v>
      </c>
      <c r="AK50" s="26">
        <f>股权价值增加表!AK47</f>
        <v>2300231459.9428005</v>
      </c>
      <c r="AL50" s="26">
        <f>股权价值增加表!AL47</f>
        <v>1290000380.5920005</v>
      </c>
      <c r="AM50" s="26">
        <f>股权价值增加表!AM47</f>
        <v>589017509.13040054</v>
      </c>
      <c r="AN50" s="26">
        <f>股权价值增加表!AN47</f>
        <v>251262860.27560043</v>
      </c>
      <c r="AO50" s="26">
        <f>股权价值增加表!AO47</f>
        <v>913224942.41240025</v>
      </c>
      <c r="AP50" s="26">
        <f>股权价值增加表!AP47</f>
        <v>705660485.97119951</v>
      </c>
      <c r="AQ50" s="26">
        <f>股权价值增加表!AQ47</f>
        <v>433396066.26240075</v>
      </c>
      <c r="AR50" s="26">
        <f>股权价值增加表!AR47</f>
        <v>164352119.11159968</v>
      </c>
      <c r="AS50" s="26">
        <f>股权价值增加表!AS47</f>
        <v>702685139.68639958</v>
      </c>
      <c r="AT50" s="26">
        <f>股权价值增加表!AT47</f>
        <v>567998677.88080037</v>
      </c>
      <c r="AU50" s="26">
        <f>股权价值增加表!AU47</f>
        <v>400951515.88439965</v>
      </c>
      <c r="AV50" s="26">
        <f>股权价值增加表!AV47</f>
        <v>21074774.938400149</v>
      </c>
      <c r="AW50" s="26">
        <f>股权价值增加表!AW47</f>
        <v>512323921.1888001</v>
      </c>
      <c r="AX50" s="26">
        <f>股权价值增加表!AX47</f>
        <v>368617119.92319977</v>
      </c>
      <c r="AY50" s="26">
        <f>股权价值增加表!AY47</f>
        <v>185319289.60799932</v>
      </c>
      <c r="AZ50" s="26">
        <f>股权价值增加表!AZ47</f>
        <v>-87310091.130000114</v>
      </c>
      <c r="BA50" s="26">
        <f>股权价值增加表!BA47</f>
        <v>202436619.53679943</v>
      </c>
      <c r="BB50" s="26">
        <f>股权价值增加表!BB47</f>
        <v>180720253.61279929</v>
      </c>
      <c r="BC50" s="26">
        <f>股权价值增加表!BC47</f>
        <v>15386813.647999883</v>
      </c>
      <c r="BD50" s="26">
        <f>股权价值增加表!BD47</f>
        <v>-145240536.39959991</v>
      </c>
      <c r="BE50" s="26">
        <f>股权价值增加表!BE47</f>
        <v>298944237.81839949</v>
      </c>
      <c r="BF50" s="26">
        <f>股权价值增加表!BF47</f>
        <v>161357807.86560023</v>
      </c>
      <c r="BG50" s="26">
        <f>股权价值增加表!BG47</f>
        <v>32480967.577199876</v>
      </c>
      <c r="BH50" s="26">
        <f>股权价值增加表!BH47</f>
        <v>-130368824.52880007</v>
      </c>
      <c r="BI50" s="26">
        <f>股权价值增加表!BI47</f>
        <v>218017392.90719992</v>
      </c>
      <c r="BJ50" s="26">
        <f>股权价值增加表!BJ47</f>
        <v>75562818.532800138</v>
      </c>
      <c r="BK50" s="26">
        <f>股权价值增加表!BK47</f>
        <v>-68689573.382000089</v>
      </c>
      <c r="BL50" s="26">
        <f>股权价值增加表!BL47</f>
        <v>-161027039.81560004</v>
      </c>
      <c r="BM50" s="26">
        <f>股权价值增加表!BM47</f>
        <v>189383758.28319979</v>
      </c>
      <c r="BN50" s="26">
        <f>股权价值增加表!BN47</f>
        <v>92350460.598400116</v>
      </c>
      <c r="BO50" s="26">
        <f>股权价值增加表!BO47</f>
        <v>-33766559.197199881</v>
      </c>
      <c r="BP50" s="26">
        <f>股权价值增加表!BP47</f>
        <v>-144050947.02480018</v>
      </c>
      <c r="BQ50" s="26">
        <f>股权价值增加表!BQ47</f>
        <v>437950414.236</v>
      </c>
      <c r="BR50" s="26">
        <f>股权价值增加表!BR47</f>
        <v>3550890000</v>
      </c>
      <c r="BS50" s="26">
        <f>股权价值增加表!BS47</f>
        <v>127703093.05879986</v>
      </c>
      <c r="BT50" s="26">
        <f>股权价值增加表!BT47</f>
        <v>-58218071.24999994</v>
      </c>
      <c r="BU50" s="26">
        <f>股权价值增加表!BU47</f>
        <v>509916520.75400019</v>
      </c>
      <c r="BV50" s="26">
        <f>股权价值增加表!BV47</f>
        <v>199929242.06800002</v>
      </c>
      <c r="BW50" s="26">
        <f>股权价值增加表!BW47</f>
        <v>287231437.3040002</v>
      </c>
      <c r="BX50" s="26">
        <f>股权价值增加表!BX47</f>
        <v>149900375.42399997</v>
      </c>
      <c r="BY50" s="26">
        <f>股权价值增加表!BY47</f>
        <v>269922832.12639999</v>
      </c>
      <c r="BZ50" s="26">
        <f>股权价值增加表!BZ47</f>
        <v>103739134.48320001</v>
      </c>
      <c r="CA50" s="26">
        <f>股权价值增加表!CA47</f>
        <v>309750806.56559998</v>
      </c>
      <c r="CB50" s="26">
        <f>股权价值增加表!CB47</f>
        <v>238418110.28319997</v>
      </c>
      <c r="CC50" s="26">
        <f>股权价值增加表!CC47</f>
        <v>198542486.58400002</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685</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2">
        <f>E39</f>
        <v>13334338198.799999</v>
      </c>
      <c r="F54" s="192">
        <f t="shared" ref="F54:AC54" si="41">F39</f>
        <v>9055118394.5699997</v>
      </c>
      <c r="G54" s="192">
        <f t="shared" si="41"/>
        <v>6569028271.6499996</v>
      </c>
      <c r="H54" s="192">
        <f t="shared" si="41"/>
        <v>4736537002.750001</v>
      </c>
      <c r="I54" s="192">
        <f t="shared" si="41"/>
        <v>9367085915.9599991</v>
      </c>
      <c r="J54" s="192">
        <f t="shared" si="41"/>
        <v>6467397402.6999989</v>
      </c>
      <c r="K54" s="192">
        <f t="shared" si="41"/>
        <v>4981337369.8999996</v>
      </c>
      <c r="L54" s="192">
        <f t="shared" si="41"/>
        <v>3811455270.48</v>
      </c>
      <c r="M54" s="192">
        <f t="shared" si="41"/>
        <v>8302602354.3899994</v>
      </c>
      <c r="N54" s="192">
        <f t="shared" si="41"/>
        <v>5693976641.8099985</v>
      </c>
      <c r="O54" s="192">
        <f t="shared" si="41"/>
        <v>4128212009.1700006</v>
      </c>
      <c r="P54" s="192">
        <f t="shared" si="41"/>
        <v>2837181770.3000002</v>
      </c>
      <c r="Q54" s="192">
        <f t="shared" si="41"/>
        <v>8025021679.8800011</v>
      </c>
      <c r="R54" s="192">
        <f t="shared" si="41"/>
        <v>5961636739.3999996</v>
      </c>
      <c r="S54" s="192">
        <f t="shared" si="41"/>
        <v>5202644331.7800007</v>
      </c>
      <c r="T54" s="192">
        <f t="shared" si="41"/>
        <v>3423200720.5100012</v>
      </c>
      <c r="U54" s="192">
        <f t="shared" si="41"/>
        <v>11247297638.200001</v>
      </c>
      <c r="V54" s="192">
        <f t="shared" si="41"/>
        <v>9185042360.4299984</v>
      </c>
      <c r="W54" s="192">
        <f t="shared" si="41"/>
        <v>7546895611.0600004</v>
      </c>
      <c r="X54" s="192">
        <f t="shared" si="41"/>
        <v>4782601644.7400007</v>
      </c>
      <c r="Y54" s="192">
        <f t="shared" si="41"/>
        <v>13738778207.889996</v>
      </c>
      <c r="Z54" s="192">
        <f t="shared" si="41"/>
        <v>10094493975.210001</v>
      </c>
      <c r="AA54" s="192">
        <f t="shared" si="41"/>
        <v>6553504736.2399998</v>
      </c>
      <c r="AB54" s="192">
        <f t="shared" si="41"/>
        <v>4056527936.9700003</v>
      </c>
      <c r="AC54" s="192">
        <f t="shared" si="41"/>
        <v>8500332489.8899975</v>
      </c>
    </row>
    <row r="55" spans="1:88" s="63" customFormat="1" x14ac:dyDescent="0.25">
      <c r="A55" s="63" t="s">
        <v>674</v>
      </c>
      <c r="E55" s="63">
        <f>E54/E2</f>
        <v>0.44172773704487572</v>
      </c>
      <c r="F55" s="63">
        <f t="shared" ref="F55:AC55" si="42">F54/F2</f>
        <v>0.41201586083953912</v>
      </c>
      <c r="G55" s="63">
        <f t="shared" si="42"/>
        <v>0.42052202724361498</v>
      </c>
      <c r="H55" s="63">
        <f t="shared" si="42"/>
        <v>0.46624931064444708</v>
      </c>
      <c r="I55" s="63">
        <f t="shared" si="42"/>
        <v>0.38164785880874641</v>
      </c>
      <c r="J55" s="63">
        <f t="shared" si="42"/>
        <v>0.36539703646073152</v>
      </c>
      <c r="K55" s="63">
        <f t="shared" si="42"/>
        <v>0.37579006963920547</v>
      </c>
      <c r="L55" s="63">
        <f t="shared" si="42"/>
        <v>0.43186533781747055</v>
      </c>
      <c r="M55" s="63">
        <f t="shared" si="42"/>
        <v>0.3833275867540053</v>
      </c>
      <c r="N55" s="63">
        <f t="shared" si="42"/>
        <v>0.37630349533399765</v>
      </c>
      <c r="O55" s="63">
        <f t="shared" si="42"/>
        <v>0.36808378242796019</v>
      </c>
      <c r="P55" s="63">
        <f t="shared" si="42"/>
        <v>0.42123214596554259</v>
      </c>
      <c r="Q55" s="63">
        <f t="shared" si="42"/>
        <v>0.38193488863353059</v>
      </c>
      <c r="R55" s="63">
        <f t="shared" si="42"/>
        <v>0.39564058297298688</v>
      </c>
      <c r="S55" s="63">
        <f t="shared" si="42"/>
        <v>0.44609900965128713</v>
      </c>
      <c r="T55" s="63">
        <f t="shared" si="42"/>
        <v>0.50941611719284641</v>
      </c>
      <c r="U55" s="63">
        <f t="shared" si="42"/>
        <v>0.45501374742788925</v>
      </c>
      <c r="V55" s="63">
        <f t="shared" si="42"/>
        <v>0.47924034038261171</v>
      </c>
      <c r="W55" s="63">
        <f t="shared" si="42"/>
        <v>0.48627288134975827</v>
      </c>
      <c r="X55" s="63">
        <f t="shared" si="42"/>
        <v>0.55125771921835565</v>
      </c>
      <c r="Y55" s="63">
        <f t="shared" si="42"/>
        <v>0.50508271749797129</v>
      </c>
      <c r="Z55" s="63">
        <f t="shared" si="42"/>
        <v>0.47780960165283459</v>
      </c>
      <c r="AA55" s="63">
        <f t="shared" si="42"/>
        <v>0.43545722752803756</v>
      </c>
      <c r="AB55" s="63">
        <f t="shared" si="42"/>
        <v>0.49285623993002303</v>
      </c>
      <c r="AC55" s="63">
        <f t="shared" si="42"/>
        <v>0.41769455447405529</v>
      </c>
    </row>
    <row r="56" spans="1:88" x14ac:dyDescent="0.25">
      <c r="A56" s="17" t="s">
        <v>675</v>
      </c>
      <c r="E56" s="192">
        <f>E23</f>
        <v>9295474832.2501526</v>
      </c>
      <c r="F56" s="192">
        <f t="shared" ref="F56:AC56" si="43">F23</f>
        <v>6768801638.1986303</v>
      </c>
      <c r="G56" s="192">
        <f t="shared" si="43"/>
        <v>4856154635.5859785</v>
      </c>
      <c r="H56" s="192">
        <f t="shared" si="43"/>
        <v>3575608988.9147511</v>
      </c>
      <c r="I56" s="192">
        <f t="shared" si="43"/>
        <v>6482526428.6372776</v>
      </c>
      <c r="J56" s="192">
        <f t="shared" si="43"/>
        <v>4867417471.5426207</v>
      </c>
      <c r="K56" s="192">
        <f t="shared" si="43"/>
        <v>3760513185.223103</v>
      </c>
      <c r="L56" s="192">
        <f t="shared" si="43"/>
        <v>2873272748.3356805</v>
      </c>
      <c r="M56" s="192">
        <f t="shared" si="43"/>
        <v>5818530751.5382519</v>
      </c>
      <c r="N56" s="192">
        <f t="shared" si="43"/>
        <v>4343069185.6432056</v>
      </c>
      <c r="O56" s="192">
        <f t="shared" si="43"/>
        <v>3139324632.4330721</v>
      </c>
      <c r="P56" s="192">
        <f t="shared" si="43"/>
        <v>2158273933.2071209</v>
      </c>
      <c r="Q56" s="192">
        <f t="shared" si="43"/>
        <v>5556584772.209527</v>
      </c>
      <c r="R56" s="192">
        <f t="shared" si="43"/>
        <v>4526545700.2707214</v>
      </c>
      <c r="S56" s="192">
        <f t="shared" si="43"/>
        <v>3907986927.7655573</v>
      </c>
      <c r="T56" s="192">
        <f t="shared" si="43"/>
        <v>2552760200.2820849</v>
      </c>
      <c r="U56" s="192">
        <f t="shared" si="43"/>
        <v>7718176530.2848721</v>
      </c>
      <c r="V56" s="192">
        <f t="shared" si="43"/>
        <v>6921479563.1431599</v>
      </c>
      <c r="W56" s="192">
        <f t="shared" si="43"/>
        <v>5691687396.4111643</v>
      </c>
      <c r="X56" s="192">
        <f t="shared" si="43"/>
        <v>3607211631.0854139</v>
      </c>
      <c r="Y56" s="192">
        <f t="shared" si="43"/>
        <v>9750799759.3233471</v>
      </c>
      <c r="Z56" s="192">
        <f t="shared" si="43"/>
        <v>7646793988.2674847</v>
      </c>
      <c r="AA56" s="192">
        <f t="shared" si="43"/>
        <v>4941883120.8399944</v>
      </c>
      <c r="AB56" s="192">
        <f t="shared" si="43"/>
        <v>3059822374.1743827</v>
      </c>
      <c r="AC56" s="192">
        <f t="shared" si="43"/>
        <v>6044027413.3680277</v>
      </c>
    </row>
    <row r="57" spans="1:88" s="63" customFormat="1" x14ac:dyDescent="0.25">
      <c r="A57" s="63" t="s">
        <v>676</v>
      </c>
      <c r="E57" s="63">
        <f>E56/E2</f>
        <v>0.30793197241517201</v>
      </c>
      <c r="F57" s="63">
        <f t="shared" ref="F57:AC57" si="44">F56/F2</f>
        <v>0.30798643510689577</v>
      </c>
      <c r="G57" s="63">
        <f t="shared" si="44"/>
        <v>0.31087093973674695</v>
      </c>
      <c r="H57" s="63">
        <f t="shared" si="44"/>
        <v>0.35197132952781107</v>
      </c>
      <c r="I57" s="63">
        <f t="shared" si="44"/>
        <v>0.26412081124879605</v>
      </c>
      <c r="J57" s="63">
        <f t="shared" si="44"/>
        <v>0.27500087107317056</v>
      </c>
      <c r="K57" s="63">
        <f t="shared" si="44"/>
        <v>0.28369158858688376</v>
      </c>
      <c r="L57" s="63">
        <f t="shared" si="44"/>
        <v>0.32556249989664726</v>
      </c>
      <c r="M57" s="63">
        <f t="shared" si="44"/>
        <v>0.26863906715486641</v>
      </c>
      <c r="N57" s="63">
        <f t="shared" si="44"/>
        <v>0.28702473119303185</v>
      </c>
      <c r="O57" s="63">
        <f t="shared" si="44"/>
        <v>0.2799116136497935</v>
      </c>
      <c r="P57" s="63">
        <f t="shared" si="44"/>
        <v>0.32043571193896292</v>
      </c>
      <c r="Q57" s="63">
        <f t="shared" si="44"/>
        <v>0.26445456109825138</v>
      </c>
      <c r="R57" s="63">
        <f t="shared" si="44"/>
        <v>0.30040159405774469</v>
      </c>
      <c r="S57" s="63">
        <f t="shared" si="44"/>
        <v>0.3350890406936452</v>
      </c>
      <c r="T57" s="63">
        <f t="shared" si="44"/>
        <v>0.37988341775015505</v>
      </c>
      <c r="U57" s="63">
        <f t="shared" si="44"/>
        <v>0.31224179703640692</v>
      </c>
      <c r="V57" s="63">
        <f t="shared" si="44"/>
        <v>0.36113630091486376</v>
      </c>
      <c r="W57" s="63">
        <f t="shared" si="44"/>
        <v>0.366735327031537</v>
      </c>
      <c r="X57" s="63">
        <f t="shared" si="44"/>
        <v>0.41577856660444734</v>
      </c>
      <c r="Y57" s="63">
        <f t="shared" si="44"/>
        <v>0.35847150057268279</v>
      </c>
      <c r="Z57" s="63">
        <f t="shared" si="44"/>
        <v>0.36195094062447714</v>
      </c>
      <c r="AA57" s="63">
        <f t="shared" si="44"/>
        <v>0.32837066717422769</v>
      </c>
      <c r="AB57" s="63">
        <f t="shared" si="44"/>
        <v>0.37175943901320035</v>
      </c>
      <c r="AC57" s="63">
        <f t="shared" si="44"/>
        <v>0.29699512820920321</v>
      </c>
    </row>
    <row r="58" spans="1:88" ht="93" customHeight="1" x14ac:dyDescent="0.25">
      <c r="A58" s="278" t="s">
        <v>677</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24" customFormat="1" x14ac:dyDescent="0.25">
      <c r="A60" s="226" t="s">
        <v>679</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680</v>
      </c>
      <c r="B61" s="89"/>
      <c r="C61" s="89"/>
      <c r="D61" s="89"/>
      <c r="E61" s="89">
        <f>股权价值增加表!E38</f>
        <v>13321880171.359999</v>
      </c>
      <c r="F61" s="89">
        <f>股权价值增加表!F38</f>
        <v>9694808314.8500004</v>
      </c>
      <c r="G61" s="89">
        <f>股权价值增加表!G38</f>
        <v>6996409923.2999992</v>
      </c>
      <c r="H61" s="89">
        <f>股权价值增加表!H38</f>
        <v>4953230729.1500006</v>
      </c>
      <c r="I61" s="89">
        <f>股权价值增加表!I38</f>
        <v>9367754469.5599995</v>
      </c>
      <c r="J61" s="89">
        <f>股权价值增加表!J38</f>
        <v>7026635923.5299988</v>
      </c>
      <c r="K61" s="89">
        <f>股权价值增加表!K38</f>
        <v>5322974404.9499998</v>
      </c>
      <c r="L61" s="89">
        <f>股权价值增加表!L38</f>
        <v>3990542632.0300002</v>
      </c>
      <c r="M61" s="89">
        <f>股权价值增加表!M38</f>
        <v>8288346484.249999</v>
      </c>
      <c r="N61" s="89">
        <f>股权价值增加表!N38</f>
        <v>6249888064.7099981</v>
      </c>
      <c r="O61" s="89">
        <f>股权价值增加表!O38</f>
        <v>4485866127.3900003</v>
      </c>
      <c r="P61" s="89">
        <f>股权价值增加表!P38</f>
        <v>3010242777.4700003</v>
      </c>
      <c r="Q61" s="89">
        <f>股权价值增加表!Q38</f>
        <v>8022390900.710001</v>
      </c>
      <c r="R61" s="89">
        <f>股权价值增加表!R38</f>
        <v>6452091681.5099993</v>
      </c>
      <c r="S61" s="89">
        <f>股权价值增加表!S38</f>
        <v>5547543373.6100006</v>
      </c>
      <c r="T61" s="89">
        <f>股权价值增加表!T38</f>
        <v>3668316314.3100014</v>
      </c>
      <c r="U61" s="89">
        <f>股权价值增加表!U38</f>
        <v>11252938047.66</v>
      </c>
      <c r="V61" s="89">
        <f>股权价值增加表!V38</f>
        <v>9844446542.8699989</v>
      </c>
      <c r="W61" s="89">
        <f>股权价值增加表!W38</f>
        <v>8018840509.5700006</v>
      </c>
      <c r="X61" s="89">
        <f>股权价值增加表!X38</f>
        <v>5021265735.6800003</v>
      </c>
      <c r="Y61" s="89">
        <f>股权价值增加表!Y38</f>
        <v>13750918351.929996</v>
      </c>
      <c r="Z61" s="89">
        <f>股权价值增加表!Z38</f>
        <v>10714823425.140001</v>
      </c>
      <c r="AA61" s="89">
        <f>股权价值增加表!AA38</f>
        <v>6953750204.0599995</v>
      </c>
      <c r="AB61" s="89">
        <f>股权价值增加表!AB38</f>
        <v>4198837745.8500004</v>
      </c>
      <c r="AC61" s="89">
        <f>股权价值增加表!AC38</f>
        <v>8508196544.8899975</v>
      </c>
    </row>
    <row r="62" spans="1:88" s="192" customFormat="1" x14ac:dyDescent="0.25">
      <c r="A62" s="89" t="s">
        <v>681</v>
      </c>
      <c r="B62" s="89"/>
      <c r="C62" s="89"/>
      <c r="D62" s="89"/>
      <c r="E62" s="89">
        <f>股权价值增加表!E40</f>
        <v>3305718978.8800001</v>
      </c>
      <c r="F62" s="89">
        <f>股权价值增加表!F40</f>
        <v>2429837036.3600001</v>
      </c>
      <c r="G62" s="89">
        <f>股权价值增加表!G40</f>
        <v>1806600454.54</v>
      </c>
      <c r="H62" s="89">
        <f>股权价值增加表!H40</f>
        <v>1214027296.1600001</v>
      </c>
      <c r="I62" s="89">
        <f>股权价值增加表!I40</f>
        <v>2280645088.0700002</v>
      </c>
      <c r="J62" s="89">
        <f>股权价值增加表!J40</f>
        <v>1730020354.03</v>
      </c>
      <c r="K62" s="89">
        <f>股权价值增加表!K40</f>
        <v>1296349816.03</v>
      </c>
      <c r="L62" s="89">
        <f>股权价值增加表!L40</f>
        <v>982264538.23000002</v>
      </c>
      <c r="M62" s="89">
        <f>股权价值增加表!M40</f>
        <v>1877009646.8800001</v>
      </c>
      <c r="N62" s="89">
        <f>股权价值增加表!N40</f>
        <v>1472777535.0599999</v>
      </c>
      <c r="O62" s="89">
        <f>股权价值增加表!O40</f>
        <v>1064662451.0599999</v>
      </c>
      <c r="P62" s="89">
        <f>股权价值增加表!P40</f>
        <v>720319520.78999996</v>
      </c>
      <c r="Q62" s="89">
        <f>股权价值增加表!Q40</f>
        <v>1957701185.49</v>
      </c>
      <c r="R62" s="89">
        <f>股权价值增加表!R40</f>
        <v>1557893877.46</v>
      </c>
      <c r="S62" s="89">
        <f>股权价值增加表!S40</f>
        <v>1385095939.4100001</v>
      </c>
      <c r="T62" s="89">
        <f>股权价值增加表!T40</f>
        <v>932767728.71000004</v>
      </c>
      <c r="U62" s="89">
        <f>股权价值增加表!U40</f>
        <v>2924864055.6500001</v>
      </c>
      <c r="V62" s="89">
        <f>股权价值增加表!V40</f>
        <v>2433760593.79</v>
      </c>
      <c r="W62" s="89">
        <f>股权价值增加表!W40</f>
        <v>1978855837.8399999</v>
      </c>
      <c r="X62" s="89">
        <f>股权价值增加表!X40</f>
        <v>1234975036.8900001</v>
      </c>
      <c r="Y62" s="89">
        <f>股权价值增加表!Y40</f>
        <v>3402932422.5</v>
      </c>
      <c r="Z62" s="89">
        <f>股权价值增加表!Z40</f>
        <v>2601217500.98</v>
      </c>
      <c r="AA62" s="89">
        <f>股权价值增加表!AA40</f>
        <v>1712386078.7</v>
      </c>
      <c r="AB62" s="89">
        <f>股权价值增加表!AB40</f>
        <v>1032090586.53</v>
      </c>
      <c r="AC62" s="89">
        <f>股权价值增加表!AC40</f>
        <v>2105576465.3599999</v>
      </c>
    </row>
    <row r="63" spans="1:88" x14ac:dyDescent="0.25">
      <c r="A63" s="183" t="s">
        <v>682</v>
      </c>
      <c r="B63" s="64"/>
      <c r="C63" s="64"/>
      <c r="D63" s="64"/>
      <c r="E63" s="64">
        <f>股权价值增加表!E42</f>
        <v>10016161192.48</v>
      </c>
      <c r="F63" s="64">
        <f>股权价值增加表!F42</f>
        <v>7264971278.4899998</v>
      </c>
      <c r="G63" s="64">
        <f>股权价值增加表!G42</f>
        <v>5189809468.7599993</v>
      </c>
      <c r="H63" s="64">
        <f>股权价值增加表!H42</f>
        <v>3739203432.9900007</v>
      </c>
      <c r="I63" s="64">
        <f>股权价值增加表!I42</f>
        <v>7087109381.4899998</v>
      </c>
      <c r="J63" s="64">
        <f>股权价值增加表!J42</f>
        <v>5296615569.499999</v>
      </c>
      <c r="K63" s="64">
        <f>股权价值增加表!K42</f>
        <v>4026624588.9200001</v>
      </c>
      <c r="L63" s="64">
        <f>股权价值增加表!L42</f>
        <v>3008278093.8000002</v>
      </c>
      <c r="M63" s="64">
        <f>股权价值增加表!M42</f>
        <v>6411336837.3699989</v>
      </c>
      <c r="N63" s="64">
        <f>股权价值增加表!N42</f>
        <v>4777110529.6499977</v>
      </c>
      <c r="O63" s="64">
        <f>股权价值增加表!O42</f>
        <v>3421203676.3300004</v>
      </c>
      <c r="P63" s="64">
        <f>股权价值增加表!P42</f>
        <v>2289923256.6800003</v>
      </c>
      <c r="Q63" s="64">
        <f>股权价值增加表!Q42</f>
        <v>6064689715.2200012</v>
      </c>
      <c r="R63" s="64">
        <f>股权价值增加表!R42</f>
        <v>4894197804.0499992</v>
      </c>
      <c r="S63" s="64">
        <f>股权价值增加表!S42</f>
        <v>4162447434.2000008</v>
      </c>
      <c r="T63" s="64">
        <f>股权价值增加表!T42</f>
        <v>2735548585.6000013</v>
      </c>
      <c r="U63" s="64">
        <f>股权价值增加表!U42</f>
        <v>8328073992.0100002</v>
      </c>
      <c r="V63" s="64">
        <f>股权价值增加表!V42</f>
        <v>7410685949.079999</v>
      </c>
      <c r="W63" s="64">
        <f>股权价值增加表!W42</f>
        <v>6039984671.7300005</v>
      </c>
      <c r="X63" s="64">
        <f>股权价值增加表!X42</f>
        <v>3786290698.79</v>
      </c>
      <c r="Y63" s="64">
        <f>股权价值增加表!Y42</f>
        <v>10347985929.429996</v>
      </c>
      <c r="Z63" s="64">
        <f>股权价值增加表!Z42</f>
        <v>8113605924.1600018</v>
      </c>
      <c r="AA63" s="64">
        <f>股权价值增加表!AA42</f>
        <v>5241364125.3599997</v>
      </c>
      <c r="AB63" s="64">
        <f>股权价值增加表!AB42</f>
        <v>3166747159.3200006</v>
      </c>
      <c r="AC63" s="64">
        <f>股权价值增加表!AC42</f>
        <v>6402620079.5299978</v>
      </c>
    </row>
    <row r="64" spans="1:88" s="63" customFormat="1" x14ac:dyDescent="0.25">
      <c r="A64" s="213" t="s">
        <v>683</v>
      </c>
      <c r="B64" s="213"/>
      <c r="C64" s="213"/>
      <c r="D64" s="213"/>
      <c r="E64" s="213">
        <f>1-E63/E61</f>
        <v>0.24814207426867485</v>
      </c>
      <c r="F64" s="213">
        <f t="shared" ref="F64:AC64" si="46">1-F63/F61</f>
        <v>0.25063280855569914</v>
      </c>
      <c r="G64" s="213">
        <f t="shared" si="46"/>
        <v>0.258218211103314</v>
      </c>
      <c r="H64" s="213">
        <f t="shared" si="46"/>
        <v>0.24509807084402324</v>
      </c>
      <c r="I64" s="213">
        <f t="shared" si="46"/>
        <v>0.24345696671286909</v>
      </c>
      <c r="J64" s="213">
        <f t="shared" si="46"/>
        <v>0.24620890748540203</v>
      </c>
      <c r="K64" s="213">
        <f t="shared" si="46"/>
        <v>0.24353861533215027</v>
      </c>
      <c r="L64" s="213">
        <f t="shared" si="46"/>
        <v>0.2461481128771501</v>
      </c>
      <c r="M64" s="213">
        <f t="shared" si="46"/>
        <v>0.22646370424388074</v>
      </c>
      <c r="N64" s="213">
        <f t="shared" si="46"/>
        <v>0.23564862599316627</v>
      </c>
      <c r="O64" s="213">
        <f t="shared" si="46"/>
        <v>0.23733709852804941</v>
      </c>
      <c r="P64" s="213">
        <f t="shared" si="46"/>
        <v>0.23928951052758685</v>
      </c>
      <c r="Q64" s="213">
        <f t="shared" si="46"/>
        <v>0.24402964274861483</v>
      </c>
      <c r="R64" s="213">
        <f t="shared" si="46"/>
        <v>0.24145563243072243</v>
      </c>
      <c r="S64" s="213">
        <f t="shared" si="46"/>
        <v>0.24967735196068674</v>
      </c>
      <c r="T64" s="213">
        <f t="shared" si="46"/>
        <v>0.25427679861502095</v>
      </c>
      <c r="U64" s="213">
        <f t="shared" si="46"/>
        <v>0.25992003539539721</v>
      </c>
      <c r="V64" s="213">
        <f t="shared" si="46"/>
        <v>0.24722167804879702</v>
      </c>
      <c r="W64" s="213">
        <f t="shared" si="46"/>
        <v>0.24677580698585477</v>
      </c>
      <c r="X64" s="213">
        <f t="shared" si="46"/>
        <v>0.24594895030441066</v>
      </c>
      <c r="Y64" s="213">
        <f t="shared" si="46"/>
        <v>0.24746946606823428</v>
      </c>
      <c r="Z64" s="213">
        <f t="shared" si="46"/>
        <v>0.24276811644667973</v>
      </c>
      <c r="AA64" s="213">
        <f t="shared" si="46"/>
        <v>0.24625360826165577</v>
      </c>
      <c r="AB64" s="213">
        <f t="shared" si="46"/>
        <v>0.24580387454839991</v>
      </c>
      <c r="AC64" s="213">
        <f t="shared" si="46"/>
        <v>0.24747623709099709</v>
      </c>
    </row>
    <row r="65" spans="1:29" ht="42.6" customHeight="1" x14ac:dyDescent="0.25">
      <c r="A65" s="280" t="s">
        <v>684</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736</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2" t="s">
        <v>704</v>
      </c>
      <c r="B69" s="282"/>
      <c r="C69" s="282"/>
      <c r="D69" s="282"/>
      <c r="E69" s="282"/>
      <c r="F69" s="256"/>
      <c r="G69" s="256"/>
      <c r="H69" s="256"/>
      <c r="I69" s="256" t="s">
        <v>708</v>
      </c>
      <c r="J69" s="256"/>
      <c r="K69" s="256"/>
      <c r="L69" s="256"/>
      <c r="M69" s="256" t="s">
        <v>709</v>
      </c>
    </row>
    <row r="70" spans="1:29" ht="57.6" x14ac:dyDescent="0.25">
      <c r="A70" s="283" t="s">
        <v>705</v>
      </c>
      <c r="B70" s="65"/>
      <c r="C70" s="65"/>
      <c r="D70" s="65"/>
      <c r="E70" s="65" t="s">
        <v>706</v>
      </c>
      <c r="F70" s="65"/>
      <c r="G70" s="65"/>
      <c r="H70" s="65"/>
      <c r="I70" s="257" t="s">
        <v>710</v>
      </c>
      <c r="J70" s="258"/>
      <c r="K70" s="258"/>
      <c r="L70" s="258"/>
      <c r="M70" s="257" t="s">
        <v>711</v>
      </c>
    </row>
    <row r="71" spans="1:29" ht="54.6" customHeight="1" x14ac:dyDescent="0.25">
      <c r="A71" s="283"/>
      <c r="B71" s="65"/>
      <c r="C71" s="65"/>
      <c r="D71" s="65"/>
      <c r="E71" s="65" t="s">
        <v>707</v>
      </c>
      <c r="F71" s="65"/>
      <c r="G71" s="65"/>
      <c r="H71" s="65"/>
      <c r="I71" s="257" t="s">
        <v>712</v>
      </c>
      <c r="J71" s="258"/>
      <c r="K71" s="258"/>
      <c r="L71" s="258"/>
      <c r="M71" s="257" t="s">
        <v>713</v>
      </c>
    </row>
    <row r="72" spans="1:29" ht="57.6" x14ac:dyDescent="0.25">
      <c r="A72" s="283" t="s">
        <v>721</v>
      </c>
      <c r="B72" s="65"/>
      <c r="C72" s="65"/>
      <c r="D72" s="65"/>
      <c r="E72" s="65" t="s">
        <v>714</v>
      </c>
      <c r="F72" s="65"/>
      <c r="G72" s="65"/>
      <c r="H72" s="65"/>
      <c r="I72" s="257" t="s">
        <v>722</v>
      </c>
      <c r="J72" s="258"/>
      <c r="K72" s="258"/>
      <c r="L72" s="258"/>
      <c r="M72" s="257" t="s">
        <v>723</v>
      </c>
    </row>
    <row r="73" spans="1:29" ht="43.2" x14ac:dyDescent="0.25">
      <c r="A73" s="283"/>
      <c r="B73" s="65"/>
      <c r="C73" s="65"/>
      <c r="D73" s="65"/>
      <c r="E73" s="65" t="s">
        <v>715</v>
      </c>
      <c r="F73" s="65"/>
      <c r="G73" s="65"/>
      <c r="H73" s="65"/>
      <c r="I73" s="257" t="s">
        <v>724</v>
      </c>
      <c r="J73" s="258"/>
      <c r="K73" s="258"/>
      <c r="L73" s="258"/>
      <c r="M73" s="257" t="s">
        <v>725</v>
      </c>
    </row>
    <row r="74" spans="1:29" ht="72" x14ac:dyDescent="0.25">
      <c r="A74" s="283"/>
      <c r="B74" s="65"/>
      <c r="C74" s="65"/>
      <c r="D74" s="65"/>
      <c r="E74" s="65" t="s">
        <v>716</v>
      </c>
      <c r="F74" s="65"/>
      <c r="G74" s="65"/>
      <c r="H74" s="65"/>
      <c r="I74" s="257" t="s">
        <v>726</v>
      </c>
      <c r="J74" s="258"/>
      <c r="K74" s="258"/>
      <c r="L74" s="258"/>
      <c r="M74" s="257" t="s">
        <v>727</v>
      </c>
    </row>
    <row r="75" spans="1:29" ht="72" x14ac:dyDescent="0.25">
      <c r="A75" s="283"/>
      <c r="B75" s="65"/>
      <c r="C75" s="65"/>
      <c r="D75" s="65"/>
      <c r="E75" s="65" t="s">
        <v>717</v>
      </c>
      <c r="F75" s="65"/>
      <c r="G75" s="65"/>
      <c r="H75" s="65"/>
      <c r="I75" s="257" t="s">
        <v>728</v>
      </c>
      <c r="J75" s="258"/>
      <c r="K75" s="258"/>
      <c r="L75" s="258"/>
      <c r="M75" s="257" t="s">
        <v>729</v>
      </c>
    </row>
    <row r="76" spans="1:29" x14ac:dyDescent="0.25">
      <c r="A76" s="283"/>
      <c r="B76" s="65"/>
      <c r="C76" s="65"/>
      <c r="D76" s="65"/>
      <c r="E76" s="65" t="s">
        <v>718</v>
      </c>
      <c r="F76" s="65"/>
      <c r="G76" s="65"/>
      <c r="H76" s="65"/>
      <c r="I76" s="257" t="s">
        <v>730</v>
      </c>
      <c r="J76" s="258"/>
      <c r="K76" s="258"/>
      <c r="L76" s="258"/>
      <c r="M76" s="257" t="s">
        <v>731</v>
      </c>
    </row>
    <row r="77" spans="1:29" ht="57.6" x14ac:dyDescent="0.25">
      <c r="A77" s="283"/>
      <c r="B77" s="65"/>
      <c r="C77" s="65"/>
      <c r="D77" s="65"/>
      <c r="E77" s="65" t="s">
        <v>719</v>
      </c>
      <c r="F77" s="65"/>
      <c r="G77" s="65"/>
      <c r="H77" s="65"/>
      <c r="I77" s="257" t="s">
        <v>732</v>
      </c>
      <c r="J77" s="258"/>
      <c r="K77" s="258"/>
      <c r="L77" s="258"/>
      <c r="M77" s="257" t="s">
        <v>733</v>
      </c>
    </row>
    <row r="78" spans="1:29" ht="57.6" x14ac:dyDescent="0.25">
      <c r="A78" s="283"/>
      <c r="B78" s="65"/>
      <c r="C78" s="65"/>
      <c r="D78" s="65"/>
      <c r="E78" s="65" t="s">
        <v>720</v>
      </c>
      <c r="F78" s="65"/>
      <c r="G78" s="65"/>
      <c r="H78" s="65"/>
      <c r="I78" s="257" t="s">
        <v>734</v>
      </c>
      <c r="J78" s="258"/>
      <c r="K78" s="258"/>
      <c r="L78" s="258"/>
      <c r="M78" s="257"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0" workbookViewId="0">
      <selection activeCell="A77" sqref="A77:AG77"/>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0" width="20.44140625" hidden="1" customWidth="1"/>
    <col min="11" max="12" width="21.5546875" hidden="1" customWidth="1"/>
    <col min="13" max="13" width="21.5546875" bestFit="1" customWidth="1"/>
    <col min="14" max="16" width="21.5546875" hidden="1" customWidth="1"/>
    <col min="17" max="17" width="21.5546875" bestFit="1" customWidth="1"/>
    <col min="18" max="20" width="21.554687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59" width="20.44140625" hidden="1" customWidth="1"/>
    <col min="60" max="60" width="19.33203125" hidden="1" customWidth="1"/>
    <col min="61" max="61" width="19.33203125" bestFit="1" customWidth="1"/>
    <col min="62" max="64" width="19.33203125" hidden="1" customWidth="1"/>
    <col min="65" max="65" width="19.33203125" bestFit="1" customWidth="1"/>
    <col min="66" max="66" width="20.44140625" hidden="1" customWidth="1"/>
    <col min="67"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8.3320312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425</v>
      </c>
      <c r="E2" s="26">
        <f>股权价值增加表!E42</f>
        <v>10016161192.48</v>
      </c>
      <c r="F2" s="26">
        <f>股权价值增加表!F42</f>
        <v>7264971278.4899998</v>
      </c>
      <c r="G2" s="26">
        <f>股权价值增加表!G42</f>
        <v>5189809468.7599993</v>
      </c>
      <c r="H2" s="26">
        <f>股权价值增加表!H42</f>
        <v>3739203432.9900007</v>
      </c>
      <c r="I2" s="26">
        <f>股权价值增加表!I42</f>
        <v>7087109381.4899998</v>
      </c>
      <c r="J2" s="26">
        <f>股权价值增加表!J42</f>
        <v>5296615569.499999</v>
      </c>
      <c r="K2" s="26">
        <f>股权价值增加表!K42</f>
        <v>4026624588.9200001</v>
      </c>
      <c r="L2" s="26">
        <f>股权价值增加表!L42</f>
        <v>3008278093.8000002</v>
      </c>
      <c r="M2" s="26">
        <f>股权价值增加表!M42</f>
        <v>6411336837.3699989</v>
      </c>
      <c r="N2" s="26">
        <f>股权价值增加表!N42</f>
        <v>4777110529.6499977</v>
      </c>
      <c r="O2" s="26">
        <f>股权价值增加表!O42</f>
        <v>3421203676.3300004</v>
      </c>
      <c r="P2" s="26">
        <f>股权价值增加表!P42</f>
        <v>2289923256.6800003</v>
      </c>
      <c r="Q2" s="26">
        <f>股权价值增加表!Q42</f>
        <v>6064689715.2200012</v>
      </c>
      <c r="R2" s="26">
        <f>股权价值增加表!R42</f>
        <v>4894197804.0499992</v>
      </c>
      <c r="S2" s="26">
        <f>股权价值增加表!S42</f>
        <v>4162447434.2000008</v>
      </c>
      <c r="T2" s="26">
        <f>股权价值增加表!T42</f>
        <v>2735548585.6000013</v>
      </c>
      <c r="U2" s="26">
        <f>股权价值增加表!U42</f>
        <v>8328073992.0100002</v>
      </c>
      <c r="V2" s="26">
        <f>股权价值增加表!V42</f>
        <v>7410685949.079999</v>
      </c>
      <c r="W2" s="26">
        <f>股权价值增加表!W42</f>
        <v>6039984671.7300005</v>
      </c>
      <c r="X2" s="26">
        <f>股权价值增加表!X42</f>
        <v>3786290698.79</v>
      </c>
      <c r="Y2" s="26">
        <f>股权价值增加表!Y42</f>
        <v>10347985929.429996</v>
      </c>
      <c r="Z2" s="26">
        <f>股权价值增加表!Z42</f>
        <v>8113605924.1600018</v>
      </c>
      <c r="AA2" s="26">
        <f>股权价值增加表!AA42</f>
        <v>5241364125.3599997</v>
      </c>
      <c r="AB2" s="26">
        <f>股权价值增加表!AB42</f>
        <v>3166747159.3200006</v>
      </c>
      <c r="AC2" s="26">
        <f>股权价值增加表!AC42</f>
        <v>6402620079.5299978</v>
      </c>
      <c r="AD2" s="26">
        <f>股权价值增加表!AD42</f>
        <v>5001266488</v>
      </c>
      <c r="AE2" s="26">
        <f>股权价值增加表!AE42</f>
        <v>3490797304.9399996</v>
      </c>
      <c r="AF2" s="26">
        <f>股权价值增加表!AF42</f>
        <v>2161488984.3399992</v>
      </c>
      <c r="AG2" s="26">
        <f>股权价值增加表!AG42</f>
        <v>4564608064.1400003</v>
      </c>
      <c r="AH2" s="26">
        <f>股权价值增加表!AH42</f>
        <v>3532769841.4300013</v>
      </c>
      <c r="AI2" s="26">
        <f>股权价值增加表!AI42</f>
        <v>2343182863.0100002</v>
      </c>
      <c r="AJ2" s="26">
        <f>股权价值增加表!AJ42</f>
        <v>1578085299.8699999</v>
      </c>
      <c r="AK2" s="26">
        <f>股权价值增加表!AK42</f>
        <v>3466668431.5100007</v>
      </c>
      <c r="AL2" s="26">
        <f>股权价值增加表!AL42</f>
        <v>2382708112.8800006</v>
      </c>
      <c r="AM2" s="26">
        <f>股权价值增加表!AM42</f>
        <v>1619900643.9000006</v>
      </c>
      <c r="AN2" s="26">
        <f>股权价值增加表!AN42</f>
        <v>1269280228.7100005</v>
      </c>
      <c r="AO2" s="26">
        <f>股权价值增加表!AO42</f>
        <v>1829699892.5500002</v>
      </c>
      <c r="AP2" s="26">
        <f>股权价值增加表!AP42</f>
        <v>1604086352.9399996</v>
      </c>
      <c r="AQ2" s="26">
        <f>股权价值增加表!AQ42</f>
        <v>1308146766.3000007</v>
      </c>
      <c r="AR2" s="26">
        <f>股权价值增加表!AR42</f>
        <v>1015707693.3099997</v>
      </c>
      <c r="AS2" s="26">
        <f>股权价值增加表!AS42</f>
        <v>1472784098.4199996</v>
      </c>
      <c r="AT2" s="26">
        <f>股权价值增加表!AT42</f>
        <v>1326845730.0800004</v>
      </c>
      <c r="AU2" s="26">
        <f>股权价值增加表!AU42</f>
        <v>1145272727.9099996</v>
      </c>
      <c r="AV2" s="26">
        <f>股权价值增加表!AV42</f>
        <v>745206726.0400002</v>
      </c>
      <c r="AW2" s="26">
        <f>股权价值增加表!AW42</f>
        <v>1175937402.3600001</v>
      </c>
      <c r="AX2" s="26">
        <f>股权价值增加表!AX42</f>
        <v>1019791934.5599998</v>
      </c>
      <c r="AY2" s="26">
        <f>股权价值增加表!AY42</f>
        <v>820419318.73999929</v>
      </c>
      <c r="AZ2" s="26">
        <f>股权价值增加表!AZ42</f>
        <v>547472669.54999995</v>
      </c>
      <c r="BA2" s="26">
        <f>股权价值增加表!BA42</f>
        <v>793314137.81999946</v>
      </c>
      <c r="BB2" s="26">
        <f>股权价值增加表!BB42</f>
        <v>769577545.73999929</v>
      </c>
      <c r="BC2" s="26">
        <f>股权价值增加表!BC42</f>
        <v>589740890.89999986</v>
      </c>
      <c r="BD2" s="26">
        <f>股权价值增加表!BD42</f>
        <v>415036710.75000012</v>
      </c>
      <c r="BE2" s="26">
        <f>股权价值增加表!BE42</f>
        <v>825901189.95999956</v>
      </c>
      <c r="BF2" s="26">
        <f>股权价值增加表!BF42</f>
        <v>676071110.36000025</v>
      </c>
      <c r="BG2" s="26">
        <f>股权价值增加表!BG42</f>
        <v>535898156.90999985</v>
      </c>
      <c r="BH2" s="26">
        <f>股权价值增加表!BH42</f>
        <v>382374120.25999993</v>
      </c>
      <c r="BI2" s="26">
        <f>股权价值增加表!BI42</f>
        <v>700088807.83999991</v>
      </c>
      <c r="BJ2" s="26">
        <f>股权价值增加表!BJ42</f>
        <v>545195230.60000014</v>
      </c>
      <c r="BK2" s="26">
        <f>股权价值增加表!BK42</f>
        <v>388250797.3499999</v>
      </c>
      <c r="BL2" s="26">
        <f>股权价值增加表!BL42</f>
        <v>287901899.46999997</v>
      </c>
      <c r="BM2" s="26">
        <f>股权价值增加表!BM42</f>
        <v>615151754.73999977</v>
      </c>
      <c r="BN2" s="26">
        <f>股权价值增加表!BN42</f>
        <v>509493911.20000017</v>
      </c>
      <c r="BO2" s="26">
        <f>股权价值增加表!BO42</f>
        <v>372262408.89000016</v>
      </c>
      <c r="BP2" s="26">
        <f>股权价值增加表!BP42</f>
        <v>252347506.53999984</v>
      </c>
      <c r="BQ2" s="26">
        <f>股权价值增加表!BQ42</f>
        <v>814129864.86000001</v>
      </c>
      <c r="BR2" s="26">
        <f>股权价值增加表!BR42</f>
        <v>3550890000</v>
      </c>
      <c r="BS2" s="26">
        <f>股权价值增加表!BS42</f>
        <v>478555558.7899999</v>
      </c>
      <c r="BT2" s="26">
        <f>股权价值增加表!BT42</f>
        <v>280871784.07000005</v>
      </c>
      <c r="BU2" s="26">
        <f>股权价值增加表!BU42</f>
        <v>765213816.6700002</v>
      </c>
      <c r="BV2" s="26">
        <f>股权价值增加表!BV42</f>
        <v>427954215.42000002</v>
      </c>
      <c r="BW2" s="26">
        <f>股权价值增加表!BW42</f>
        <v>480871386.62000018</v>
      </c>
      <c r="BX2" s="26">
        <f>股权价值增加表!BX42</f>
        <v>317076251.63999999</v>
      </c>
      <c r="BY2" s="26">
        <f>股权价值增加表!BY42</f>
        <v>411122049.54000002</v>
      </c>
      <c r="BZ2" s="26">
        <f>股权价值增加表!BZ42</f>
        <v>252908616.84000003</v>
      </c>
      <c r="CA2" s="26">
        <f>股权价值增加表!CA42</f>
        <v>341141588.83999997</v>
      </c>
      <c r="CB2" s="26">
        <f>股权价值增加表!CB42</f>
        <v>259614780.61999997</v>
      </c>
      <c r="CC2" s="26">
        <f>股权价值增加表!CC42</f>
        <v>216619884.98000002</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54674325649.18</v>
      </c>
      <c r="F3" s="26">
        <f>资产资本表!F107</f>
        <v>51853331585.639999</v>
      </c>
      <c r="G3" s="26">
        <f>资产资本表!G107</f>
        <v>49778166378.909996</v>
      </c>
      <c r="H3" s="26">
        <f>资产资本表!H107</f>
        <v>51945064294.690002</v>
      </c>
      <c r="I3" s="26">
        <f>资产资本表!I107</f>
        <v>48205859209.700005</v>
      </c>
      <c r="J3" s="26">
        <f>资产资本表!J107</f>
        <v>46445709210.339996</v>
      </c>
      <c r="K3" s="26">
        <f>资产资本表!K107</f>
        <v>45335064464.32</v>
      </c>
      <c r="L3" s="26">
        <f>资产资本表!L107</f>
        <v>47353491345.200005</v>
      </c>
      <c r="M3" s="26">
        <f>资产资本表!M107</f>
        <v>44345160962.550003</v>
      </c>
      <c r="N3" s="26">
        <f>资产资本表!N107</f>
        <v>42711787155.93</v>
      </c>
      <c r="O3" s="26">
        <f>资产资本表!O107</f>
        <v>41335880302.610001</v>
      </c>
      <c r="P3" s="26">
        <f>资产资本表!P107</f>
        <v>42627003702.760002</v>
      </c>
      <c r="Q3" s="26">
        <f>资产资本表!Q107</f>
        <v>40333080446.080002</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431</v>
      </c>
      <c r="E4" s="59">
        <f>E2/E3</f>
        <v>0.18319679435552802</v>
      </c>
      <c r="F4" s="59">
        <f t="shared" ref="F4:BQ4" si="0">F2/F3</f>
        <v>0.1401061620600271</v>
      </c>
      <c r="G4" s="59">
        <f t="shared" si="0"/>
        <v>0.10425875130183214</v>
      </c>
      <c r="H4" s="59">
        <f t="shared" si="0"/>
        <v>7.1983806041264919E-2</v>
      </c>
      <c r="I4" s="59">
        <f t="shared" si="0"/>
        <v>0.14701759283369289</v>
      </c>
      <c r="J4" s="59">
        <f t="shared" si="0"/>
        <v>0.1140388565392137</v>
      </c>
      <c r="K4" s="59">
        <f t="shared" si="0"/>
        <v>8.8819209512519162E-2</v>
      </c>
      <c r="L4" s="59">
        <f t="shared" si="0"/>
        <v>6.3528116055268119E-2</v>
      </c>
      <c r="M4" s="59">
        <f t="shared" si="0"/>
        <v>0.14457804861243928</v>
      </c>
      <c r="N4" s="59">
        <f t="shared" si="0"/>
        <v>0.11184525040382805</v>
      </c>
      <c r="O4" s="59">
        <f t="shared" si="0"/>
        <v>8.2765956628580162E-2</v>
      </c>
      <c r="P4" s="59">
        <f t="shared" si="0"/>
        <v>5.3720014492403392E-2</v>
      </c>
      <c r="Q4" s="59">
        <f t="shared" si="0"/>
        <v>0.15036515059462641</v>
      </c>
      <c r="R4" s="59">
        <f t="shared" si="0"/>
        <v>0.12536989266251689</v>
      </c>
      <c r="S4" s="59">
        <f t="shared" si="0"/>
        <v>0.10900323911248359</v>
      </c>
      <c r="T4" s="59">
        <f t="shared" si="0"/>
        <v>6.8810465789794384E-2</v>
      </c>
      <c r="U4" s="59">
        <f t="shared" si="0"/>
        <v>0.2249658277509802</v>
      </c>
      <c r="V4" s="59">
        <f t="shared" si="0"/>
        <v>0.2062175349146475</v>
      </c>
      <c r="W4" s="59">
        <f t="shared" si="0"/>
        <v>0.17511235184031537</v>
      </c>
      <c r="X4" s="59">
        <f t="shared" si="0"/>
        <v>0.10733597149714914</v>
      </c>
      <c r="Y4" s="59">
        <f t="shared" si="0"/>
        <v>0.32828789593082669</v>
      </c>
      <c r="Z4" s="59">
        <f t="shared" si="0"/>
        <v>0.27390988300013597</v>
      </c>
      <c r="AA4" s="59">
        <f t="shared" si="0"/>
        <v>0.19594469870251732</v>
      </c>
      <c r="AB4" s="59">
        <f t="shared" si="0"/>
        <v>0.11914942317561715</v>
      </c>
      <c r="AC4" s="59">
        <f t="shared" si="0"/>
        <v>0.27307139828594473</v>
      </c>
      <c r="AD4" s="59">
        <f t="shared" si="0"/>
        <v>0.22499264167817432</v>
      </c>
      <c r="AE4" s="59">
        <f t="shared" si="0"/>
        <v>0.16849015194940062</v>
      </c>
      <c r="AF4" s="59">
        <f t="shared" si="0"/>
        <v>0.10510452569558308</v>
      </c>
      <c r="AG4" s="59">
        <f t="shared" si="0"/>
        <v>0.24853440202501764</v>
      </c>
      <c r="AH4" s="59">
        <f t="shared" si="0"/>
        <v>0.20165311801947006</v>
      </c>
      <c r="AI4" s="59">
        <f t="shared" si="0"/>
        <v>0.1434068148787532</v>
      </c>
      <c r="AJ4" s="59">
        <f t="shared" si="0"/>
        <v>9.748670343829216E-2</v>
      </c>
      <c r="AK4" s="59">
        <f t="shared" si="0"/>
        <v>0.23776121752054949</v>
      </c>
      <c r="AL4" s="59">
        <f t="shared" si="0"/>
        <v>0.17444431241579253</v>
      </c>
      <c r="AM4" s="59">
        <f t="shared" si="0"/>
        <v>0.12570974064966497</v>
      </c>
      <c r="AN4" s="59">
        <f t="shared" si="0"/>
        <v>9.9745270999610974E-2</v>
      </c>
      <c r="AO4" s="59">
        <f t="shared" si="0"/>
        <v>0.15971630362840039</v>
      </c>
      <c r="AP4" s="59">
        <f t="shared" si="0"/>
        <v>0.14283527773767496</v>
      </c>
      <c r="AQ4" s="59">
        <f t="shared" si="0"/>
        <v>0.11963607608373648</v>
      </c>
      <c r="AR4" s="59">
        <f t="shared" si="0"/>
        <v>9.5443805065007908E-2</v>
      </c>
      <c r="AS4" s="59">
        <f t="shared" si="0"/>
        <v>0.15299686687975167</v>
      </c>
      <c r="AT4" s="59">
        <f t="shared" si="0"/>
        <v>0.1398801749295534</v>
      </c>
      <c r="AU4" s="59">
        <f t="shared" si="0"/>
        <v>0.12309446076843603</v>
      </c>
      <c r="AV4" s="59">
        <f t="shared" si="0"/>
        <v>8.2328280077280366E-2</v>
      </c>
      <c r="AW4" s="59">
        <f t="shared" si="0"/>
        <v>0.14176172554959052</v>
      </c>
      <c r="AX4" s="59">
        <f t="shared" si="0"/>
        <v>0.12528640993325887</v>
      </c>
      <c r="AY4" s="59">
        <f t="shared" si="0"/>
        <v>0.1033436348426912</v>
      </c>
      <c r="AZ4" s="59">
        <f t="shared" si="0"/>
        <v>6.8996539094858769E-2</v>
      </c>
      <c r="BA4" s="59">
        <f t="shared" si="0"/>
        <v>0.1074082683159083</v>
      </c>
      <c r="BB4" s="59">
        <f t="shared" si="0"/>
        <v>0.10455199329670682</v>
      </c>
      <c r="BC4" s="59">
        <f t="shared" si="0"/>
        <v>8.214318160276575E-2</v>
      </c>
      <c r="BD4" s="59">
        <f t="shared" si="0"/>
        <v>5.9261619187499275E-2</v>
      </c>
      <c r="BE4" s="59">
        <f t="shared" si="0"/>
        <v>0.12538423665970641</v>
      </c>
      <c r="BF4" s="59">
        <f t="shared" si="0"/>
        <v>0.10507925201600646</v>
      </c>
      <c r="BG4" s="59">
        <f t="shared" si="0"/>
        <v>8.516167795068709E-2</v>
      </c>
      <c r="BH4" s="59">
        <f t="shared" si="0"/>
        <v>5.9659386699899029E-2</v>
      </c>
      <c r="BI4" s="59">
        <f t="shared" si="0"/>
        <v>0.11618009882416963</v>
      </c>
      <c r="BJ4" s="59">
        <f t="shared" si="0"/>
        <v>9.2871823424655414E-2</v>
      </c>
      <c r="BK4" s="59">
        <f t="shared" si="0"/>
        <v>6.7973997872508019E-2</v>
      </c>
      <c r="BL4" s="59">
        <f t="shared" si="0"/>
        <v>5.1304671947083776E-2</v>
      </c>
      <c r="BM4" s="59">
        <f t="shared" si="0"/>
        <v>0.11558440462584939</v>
      </c>
      <c r="BN4" s="59">
        <f t="shared" si="0"/>
        <v>9.7711022041019863E-2</v>
      </c>
      <c r="BO4" s="59">
        <f t="shared" si="0"/>
        <v>7.3346965492383676E-2</v>
      </c>
      <c r="BP4" s="59">
        <f t="shared" si="0"/>
        <v>5.0928050656231551E-2</v>
      </c>
      <c r="BQ4" s="59">
        <f t="shared" si="0"/>
        <v>0.17313648866455314</v>
      </c>
      <c r="BR4" s="59">
        <f t="shared" ref="BR4:CJ4" si="1">BR2/BR3</f>
        <v>0.77840009820727873</v>
      </c>
      <c r="BS4" s="59">
        <f t="shared" si="1"/>
        <v>0.10911835726567475</v>
      </c>
      <c r="BT4" s="59">
        <f t="shared" si="1"/>
        <v>6.6264862758560694E-2</v>
      </c>
      <c r="BU4" s="59">
        <f t="shared" si="1"/>
        <v>0.23978751954247948</v>
      </c>
      <c r="BV4" s="59">
        <f t="shared" si="1"/>
        <v>0.15014292833947485</v>
      </c>
      <c r="BW4" s="59">
        <f t="shared" si="1"/>
        <v>0.19866618983059897</v>
      </c>
      <c r="BX4" s="59">
        <f t="shared" si="1"/>
        <v>0.15173301737880929</v>
      </c>
      <c r="BY4" s="59">
        <f t="shared" si="1"/>
        <v>0.2329316306821976</v>
      </c>
      <c r="BZ4" s="59">
        <f t="shared" si="1"/>
        <v>0.13563558059955741</v>
      </c>
      <c r="CA4" s="59">
        <f t="shared" si="1"/>
        <v>0.86940576595495633</v>
      </c>
      <c r="CB4" s="59">
        <f t="shared" si="1"/>
        <v>0.97983230948976774</v>
      </c>
      <c r="CC4" s="59">
        <f t="shared" si="1"/>
        <v>0.9586330078466675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5642215140.545599</v>
      </c>
      <c r="F5" s="26">
        <f>股权价值增加表!F47</f>
        <v>3116704751.6387997</v>
      </c>
      <c r="G5" s="26">
        <f>股权价值增加表!G47</f>
        <v>1207556158.4471989</v>
      </c>
      <c r="H5" s="26">
        <f>股权价值增加表!H47</f>
        <v>-416401710.58519936</v>
      </c>
      <c r="I5" s="26">
        <f>股权价值增加表!I47</f>
        <v>3230640644.7139997</v>
      </c>
      <c r="J5" s="26">
        <f>股权价值增加表!J47</f>
        <v>1580958832.6727991</v>
      </c>
      <c r="K5" s="26">
        <f>股权价值增加表!K47</f>
        <v>399819431.77440023</v>
      </c>
      <c r="L5" s="26">
        <f>股权价值增加表!L47</f>
        <v>-780001213.81599951</v>
      </c>
      <c r="M5" s="26">
        <f>股权价值增加表!M47</f>
        <v>2863723960.3659987</v>
      </c>
      <c r="N5" s="26">
        <f>股权价值增加表!N47</f>
        <v>1360167557.1755977</v>
      </c>
      <c r="O5" s="26">
        <f>股权价值增加表!O47</f>
        <v>114333252.12120008</v>
      </c>
      <c r="P5" s="26">
        <f>股权价值增加表!P47</f>
        <v>-1120237039.5408001</v>
      </c>
      <c r="Q5" s="26">
        <f>股权价值增加表!Q47</f>
        <v>2838043279.5336008</v>
      </c>
      <c r="R5" s="26">
        <f>股权价值增加表!R47</f>
        <v>1771152741.085999</v>
      </c>
      <c r="S5" s="26">
        <f>股权价值增加表!S47</f>
        <v>1107530924.8624005</v>
      </c>
      <c r="T5" s="26">
        <f>股权价值增加表!T47</f>
        <v>-444838065.4151988</v>
      </c>
      <c r="U5" s="26">
        <f>股权价值增加表!U47</f>
        <v>5366531227.8428001</v>
      </c>
      <c r="V5" s="26">
        <f>股权价值增加表!V47</f>
        <v>4535785537.8623981</v>
      </c>
      <c r="W5" s="26">
        <f>股权价值增加表!W47</f>
        <v>3280620362.7004004</v>
      </c>
      <c r="X5" s="26">
        <f>股权价值增加表!X47</f>
        <v>964280037.51559973</v>
      </c>
      <c r="Y5" s="26">
        <f>股权价值增加表!Y47</f>
        <v>7826300285.1659966</v>
      </c>
      <c r="Z5" s="26">
        <f>股权价值增加表!Z47</f>
        <v>5743890502.345602</v>
      </c>
      <c r="AA5" s="26">
        <f>股权价值增加表!AA47</f>
        <v>3101428047.4495993</v>
      </c>
      <c r="AB5" s="26">
        <f>股权价值增加表!AB47</f>
        <v>1040511328.7680004</v>
      </c>
      <c r="AC5" s="26">
        <f>股权价值增加表!AC47</f>
        <v>4526884980.2939978</v>
      </c>
      <c r="AD5" s="26">
        <f>股权价值增加表!AD47</f>
        <v>3222980246.9223995</v>
      </c>
      <c r="AE5" s="26">
        <f>股权价值增加表!AE47</f>
        <v>1833348598.5071995</v>
      </c>
      <c r="AF5" s="26">
        <f>股权价值增加表!AF47</f>
        <v>516278013.61519909</v>
      </c>
      <c r="AG5" s="26">
        <f>股权价值增加表!AG47</f>
        <v>3095319940.8224001</v>
      </c>
      <c r="AH5" s="26">
        <f>股权价值增加表!AH47</f>
        <v>2131246323.7668011</v>
      </c>
      <c r="AI5" s="26">
        <f>股权价值增加表!AI47</f>
        <v>1036029997.2324002</v>
      </c>
      <c r="AJ5" s="26">
        <f>股权价值增加表!AJ47</f>
        <v>283069471.69079995</v>
      </c>
      <c r="AK5" s="26">
        <f>股权价值增加表!AK47</f>
        <v>2300231459.9428005</v>
      </c>
      <c r="AL5" s="26">
        <f>股权价值增加表!AL47</f>
        <v>1290000380.5920005</v>
      </c>
      <c r="AM5" s="26">
        <f>股权价值增加表!AM47</f>
        <v>589017509.13040054</v>
      </c>
      <c r="AN5" s="26">
        <f>股权价值增加表!AN47</f>
        <v>251262860.27560043</v>
      </c>
      <c r="AO5" s="26">
        <f>股权价值增加表!AO47</f>
        <v>913224942.41240025</v>
      </c>
      <c r="AP5" s="26">
        <f>股权价值增加表!AP47</f>
        <v>705660485.97119951</v>
      </c>
      <c r="AQ5" s="26">
        <f>股权价值增加表!AQ47</f>
        <v>433396066.26240075</v>
      </c>
      <c r="AR5" s="26">
        <f>股权价值增加表!AR47</f>
        <v>164352119.11159968</v>
      </c>
      <c r="AS5" s="26">
        <f>股权价值增加表!AS47</f>
        <v>702685139.68639958</v>
      </c>
      <c r="AT5" s="26">
        <f>股权价值增加表!AT47</f>
        <v>567998677.88080037</v>
      </c>
      <c r="AU5" s="26">
        <f>股权价值增加表!AU47</f>
        <v>400951515.88439965</v>
      </c>
      <c r="AV5" s="26">
        <f>股权价值增加表!AV47</f>
        <v>21074774.938400149</v>
      </c>
      <c r="AW5" s="26">
        <f>股权价值增加表!AW47</f>
        <v>512323921.1888001</v>
      </c>
      <c r="AX5" s="26">
        <f>股权价值增加表!AX47</f>
        <v>368617119.92319977</v>
      </c>
      <c r="AY5" s="26">
        <f>股权价值增加表!AY47</f>
        <v>185319289.60799932</v>
      </c>
      <c r="AZ5" s="26">
        <f>股权价值增加表!AZ47</f>
        <v>-87310091.130000114</v>
      </c>
      <c r="BA5" s="26">
        <f>股权价值增加表!BA47</f>
        <v>202436619.53679943</v>
      </c>
      <c r="BB5" s="26">
        <f>股权价值增加表!BB47</f>
        <v>180720253.61279929</v>
      </c>
      <c r="BC5" s="26">
        <f>股权价值增加表!BC47</f>
        <v>15386813.647999883</v>
      </c>
      <c r="BD5" s="26">
        <f>股权价值增加表!BD47</f>
        <v>-145240536.39959991</v>
      </c>
      <c r="BE5" s="26">
        <f>股权价值增加表!BE47</f>
        <v>298944237.81839949</v>
      </c>
      <c r="BF5" s="26">
        <f>股权价值增加表!BF47</f>
        <v>161357807.86560023</v>
      </c>
      <c r="BG5" s="26">
        <f>股权价值增加表!BG47</f>
        <v>32480967.577199876</v>
      </c>
      <c r="BH5" s="26">
        <f>股权价值增加表!BH47</f>
        <v>-130368824.52880007</v>
      </c>
      <c r="BI5" s="26">
        <f>股权价值增加表!BI47</f>
        <v>218017392.90719992</v>
      </c>
      <c r="BJ5" s="26">
        <f>股权价值增加表!BJ47</f>
        <v>75562818.532800138</v>
      </c>
      <c r="BK5" s="26">
        <f>股权价值增加表!BK47</f>
        <v>-68689573.382000089</v>
      </c>
      <c r="BL5" s="26">
        <f>股权价值增加表!BL47</f>
        <v>-161027039.81560004</v>
      </c>
      <c r="BM5" s="26">
        <f>股权价值增加表!BM47</f>
        <v>189383758.28319979</v>
      </c>
      <c r="BN5" s="26">
        <f>股权价值增加表!BN47</f>
        <v>92350460.598400116</v>
      </c>
      <c r="BO5" s="26">
        <f>股权价值增加表!BO47</f>
        <v>-33766559.197199881</v>
      </c>
      <c r="BP5" s="26">
        <f>股权价值增加表!BP47</f>
        <v>-144050947.02480018</v>
      </c>
      <c r="BQ5" s="26">
        <f>股权价值增加表!BQ47</f>
        <v>437950414.236</v>
      </c>
      <c r="BR5" s="26">
        <f>股权价值增加表!BR47</f>
        <v>3550890000</v>
      </c>
      <c r="BS5" s="26">
        <f>股权价值增加表!BS47</f>
        <v>127703093.05879986</v>
      </c>
      <c r="BT5" s="26">
        <f>股权价值增加表!BT47</f>
        <v>-58218071.24999994</v>
      </c>
      <c r="BU5" s="26">
        <f>股权价值增加表!BU47</f>
        <v>509916520.75400019</v>
      </c>
      <c r="BV5" s="26">
        <f>股权价值增加表!BV47</f>
        <v>199929242.06800002</v>
      </c>
      <c r="BW5" s="26">
        <f>股权价值增加表!BW47</f>
        <v>287231437.3040002</v>
      </c>
      <c r="BX5" s="26">
        <f>股权价值增加表!BX47</f>
        <v>149900375.42399997</v>
      </c>
      <c r="BY5" s="26">
        <f>股权价值增加表!BY47</f>
        <v>269922832.12639999</v>
      </c>
      <c r="BZ5" s="26">
        <f>股权价值增加表!BZ47</f>
        <v>103739134.48320001</v>
      </c>
      <c r="CA5" s="26">
        <f>股权价值增加表!CA47</f>
        <v>309750806.56559998</v>
      </c>
      <c r="CB5" s="26">
        <f>股权价值增加表!CB47</f>
        <v>238418110.28319997</v>
      </c>
      <c r="CC5" s="26">
        <f>股权价值增加表!CC47</f>
        <v>198542486.58400002</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438</v>
      </c>
      <c r="E6" s="157">
        <f>股权价值增加表!E31/股权价值增加表!E4</f>
        <v>0.44172773704487572</v>
      </c>
      <c r="F6" s="157">
        <f>股权价值增加表!F31/股权价值增加表!F4</f>
        <v>0.41201586083953912</v>
      </c>
      <c r="G6" s="157">
        <f>股权价值增加表!G31/股权价值增加表!G4</f>
        <v>0.42052202724361498</v>
      </c>
      <c r="H6" s="157">
        <f>股权价值增加表!H31/股权价值增加表!H4</f>
        <v>0.46624931064444708</v>
      </c>
      <c r="I6" s="157">
        <f>股权价值增加表!I31/股权价值增加表!I4</f>
        <v>0.38164785880874641</v>
      </c>
      <c r="J6" s="157">
        <f>股权价值增加表!J31/股权价值增加表!J4</f>
        <v>0.36539703646073152</v>
      </c>
      <c r="K6" s="157">
        <f>股权价值增加表!K31/股权价值增加表!K4</f>
        <v>0.37579006963920547</v>
      </c>
      <c r="L6" s="157">
        <f>股权价值增加表!L31/股权价值增加表!L4</f>
        <v>0.43186533781747055</v>
      </c>
      <c r="M6" s="157">
        <f>股权价值增加表!M31/股权价值增加表!M4</f>
        <v>0.3833275867540053</v>
      </c>
      <c r="N6" s="157">
        <f>股权价值增加表!N31/股权价值增加表!N4</f>
        <v>0.37630349533399765</v>
      </c>
      <c r="O6" s="157">
        <f>股权价值增加表!O31/股权价值增加表!O4</f>
        <v>0.36808378242796019</v>
      </c>
      <c r="P6" s="157">
        <f>股权价值增加表!P31/股权价值增加表!P4</f>
        <v>0.42123214596554259</v>
      </c>
      <c r="Q6" s="157">
        <f>股权价值增加表!Q31/股权价值增加表!Q4</f>
        <v>0.38193488863353059</v>
      </c>
      <c r="R6" s="157">
        <f>股权价值增加表!R31/股权价值增加表!R4</f>
        <v>0.39564058297298688</v>
      </c>
      <c r="S6" s="157">
        <f>股权价值增加表!S31/股权价值增加表!S4</f>
        <v>0.44609900965128713</v>
      </c>
      <c r="T6" s="157">
        <f>股权价值增加表!T31/股权价值增加表!T4</f>
        <v>0.50941611719284641</v>
      </c>
      <c r="U6" s="157">
        <f>股权价值增加表!U31/股权价值增加表!U4</f>
        <v>0.45501374742788925</v>
      </c>
      <c r="V6" s="157">
        <f>股权价值增加表!V31/股权价值增加表!V4</f>
        <v>0.47924034038261171</v>
      </c>
      <c r="W6" s="157">
        <f>股权价值增加表!W31/股权价值增加表!W4</f>
        <v>0.48627288134975827</v>
      </c>
      <c r="X6" s="157">
        <f>股权价值增加表!X31/股权价值增加表!X4</f>
        <v>0.55125771921835565</v>
      </c>
      <c r="Y6" s="157">
        <f>股权价值增加表!Y31/股权价值增加表!Y4</f>
        <v>0.50508271749797129</v>
      </c>
      <c r="Z6" s="157">
        <f>股权价值增加表!Z31/股权价值增加表!Z4</f>
        <v>0.47780960165283459</v>
      </c>
      <c r="AA6" s="157">
        <f>股权价值增加表!AA31/股权价值增加表!AA4</f>
        <v>0.43545722752803756</v>
      </c>
      <c r="AB6" s="157">
        <f>股权价值增加表!AB31/股权价值增加表!AB4</f>
        <v>0.49285623993002303</v>
      </c>
      <c r="AC6" s="157">
        <f>股权价值增加表!AC31/股权价值增加表!AC4</f>
        <v>0.41769455447405529</v>
      </c>
      <c r="AD6" s="157">
        <f>股权价值增加表!AD31/股权价值增加表!AD4</f>
        <v>0.40785403927579428</v>
      </c>
      <c r="AE6" s="157">
        <f>股权价值增加表!AE31/股权价值增加表!AE4</f>
        <v>0.4183939134599004</v>
      </c>
      <c r="AF6" s="157">
        <f>股权价值增加表!AF31/股权价值增加表!AF4</f>
        <v>0.45433120588578485</v>
      </c>
      <c r="AG6" s="157">
        <f>股权价值增加表!AG31/股权价值增加表!AG4</f>
        <v>0.39058783570217448</v>
      </c>
      <c r="AH6" s="157">
        <f>股权价值增加表!AH31/股权价值增加表!AH4</f>
        <v>0.3986950665732451</v>
      </c>
      <c r="AI6" s="157">
        <f>股权价值增加表!AI31/股权价值增加表!AI4</f>
        <v>0.40020558517480675</v>
      </c>
      <c r="AJ6" s="157">
        <f>股权价值增加表!AJ31/股权价值增加表!AJ4</f>
        <v>0.46169684523533883</v>
      </c>
      <c r="AK6" s="157">
        <f>股权价值增加表!AK31/股权价值增加表!AK4</f>
        <v>0.40396867200080316</v>
      </c>
      <c r="AL6" s="157">
        <f>股权价值增加表!AL31/股权价值增加表!AL4</f>
        <v>0.38602326416860999</v>
      </c>
      <c r="AM6" s="157">
        <f>股权价值增加表!AM31/股权价值增加表!AM4</f>
        <v>0.39640905488245098</v>
      </c>
      <c r="AN6" s="157">
        <f>股权价值增加表!AN31/股权价值增加表!AN4</f>
        <v>0.49402317780304583</v>
      </c>
      <c r="AO6" s="157">
        <f>股权价值增加表!AO31/股权价值增加表!AO4</f>
        <v>0.28226169064295464</v>
      </c>
      <c r="AP6" s="157">
        <f>股权价值增加表!AP31/股权价值增加表!AP4</f>
        <v>0.30619403161239173</v>
      </c>
      <c r="AQ6" s="157">
        <f>股权价值增加表!AQ31/股权价值增加表!AQ4</f>
        <v>0.35605798287666307</v>
      </c>
      <c r="AR6" s="157">
        <f>股权价值增加表!AR31/股权价值增加表!AR4</f>
        <v>0.43287322536764944</v>
      </c>
      <c r="AS6" s="157">
        <f>股权价值增加表!AS31/股权价值增加表!AS4</f>
        <v>0.28465621048728429</v>
      </c>
      <c r="AT6" s="157">
        <f>股权价值增加表!AT31/股权价值增加表!AT4</f>
        <v>0.32004932679564696</v>
      </c>
      <c r="AU6" s="157">
        <f>股权价值增加表!AU31/股权价值增加表!AU4</f>
        <v>0.38466746478559616</v>
      </c>
      <c r="AV6" s="157">
        <f>股权价值增加表!AV31/股权价值增加表!AV4</f>
        <v>0.37090746315926959</v>
      </c>
      <c r="AW6" s="157">
        <f>股权价值增加表!AW31/股权价值增加表!AW4</f>
        <v>0.23446960710182976</v>
      </c>
      <c r="AX6" s="157">
        <f>股权价值增加表!AX31/股权价值增加表!AX4</f>
        <v>0.25516686578887893</v>
      </c>
      <c r="AY6" s="157">
        <f>股权价值增加表!AY31/股权价值增加表!AY4</f>
        <v>0.27660718157855713</v>
      </c>
      <c r="AZ6" s="157">
        <f>股权价值增加表!AZ31/股权价值增加表!AZ4</f>
        <v>0.30233099208277009</v>
      </c>
      <c r="BA6" s="157">
        <f>股权价值增加表!BA31/股权价值增加表!BA4</f>
        <v>0.18149795196228974</v>
      </c>
      <c r="BB6" s="157">
        <f>股权价值增加表!BB31/股权价值增加表!BB4</f>
        <v>0.23068480249896975</v>
      </c>
      <c r="BC6" s="157">
        <f>股权价值增加表!BC31/股权价值增加表!BC4</f>
        <v>0.24175569603353458</v>
      </c>
      <c r="BD6" s="157">
        <f>股权价值增加表!BD31/股权价值增加表!BD4</f>
        <v>0.26220268498804705</v>
      </c>
      <c r="BE6" s="157">
        <f>股权价值增加表!BE31/股权价值增加表!BE4</f>
        <v>0.19703525388795418</v>
      </c>
      <c r="BF6" s="157">
        <f>股权价值增加表!BF31/股权价值增加表!BF4</f>
        <v>0.22242960489816849</v>
      </c>
      <c r="BG6" s="157">
        <f>股权价值增加表!BG31/股权价值增加表!BG4</f>
        <v>0.23229425339171178</v>
      </c>
      <c r="BH6" s="157">
        <f>股权价值增加表!BH31/股权价值增加表!BH4</f>
        <v>0.23428842694417287</v>
      </c>
      <c r="BI6" s="157">
        <f>股权价值增加表!BI31/股权价值增加表!BI4</f>
        <v>0.16661344458132374</v>
      </c>
      <c r="BJ6" s="157">
        <f>股权价值增加表!BJ31/股权价值增加表!BJ4</f>
        <v>0.18034498496750773</v>
      </c>
      <c r="BK6" s="157">
        <f>股权价值增加表!BK31/股权价值增加表!BK4</f>
        <v>0.18272748770083752</v>
      </c>
      <c r="BL6" s="157">
        <f>股权价值增加表!BL31/股权价值增加表!BL4</f>
        <v>0.2166710268280875</v>
      </c>
      <c r="BM6" s="157">
        <f>股权价值增加表!BM31/股权价值增加表!BM4</f>
        <v>0.14694489895184906</v>
      </c>
      <c r="BN6" s="157">
        <f>股权价值增加表!BN31/股权价值增加表!BN4</f>
        <v>0.15134704672307153</v>
      </c>
      <c r="BO6" s="157">
        <f>股权价值增加表!BO31/股权价值增加表!BO4</f>
        <v>0.14074793162431098</v>
      </c>
      <c r="BP6" s="157">
        <f>股权价值增加表!BP31/股权价值增加表!BP4</f>
        <v>0.1618159532243168</v>
      </c>
      <c r="BQ6" s="157">
        <f>股权价值增加表!BQ31/股权价值增加表!BQ4</f>
        <v>0.19094609509598875</v>
      </c>
      <c r="BR6" s="157">
        <f>股权价值增加表!BR31/股权价值增加表!BR4</f>
        <v>1.0030728816170329</v>
      </c>
      <c r="BS6" s="157">
        <f>股权价值增加表!BS31/股权价值增加表!BS4</f>
        <v>0.22761401173542001</v>
      </c>
      <c r="BT6" s="157">
        <f>股权价值增加表!BT31/股权价值增加表!BT4</f>
        <v>0.20712662595188705</v>
      </c>
      <c r="BU6" s="157">
        <f>股权价值增加表!BU31/股权价值增加表!BU4</f>
        <v>0.25033754161306931</v>
      </c>
      <c r="BV6" s="157">
        <f>股权价值增加表!BV31/股权价值增加表!BV4</f>
        <v>0.26834715687618399</v>
      </c>
      <c r="BW6" s="157">
        <f>股权价值增加表!BW31/股权价值增加表!BW4</f>
        <v>0.23247579426216763</v>
      </c>
      <c r="BX6" s="157">
        <f>股权价值增加表!BX31/股权价值增加表!BX4</f>
        <v>0.19682157170377648</v>
      </c>
      <c r="BY6" s="157">
        <f>股权价值增加表!BY31/股权价值增加表!BY4</f>
        <v>0.22346533436050894</v>
      </c>
      <c r="BZ6" s="157">
        <f>股权价值增加表!BZ31/股权价值增加表!BZ4</f>
        <v>0.24264627653330212</v>
      </c>
      <c r="CA6" s="157">
        <f>股权价值增加表!CA31/股权价值增加表!CA4</f>
        <v>0.23637542497227357</v>
      </c>
      <c r="CB6" s="157">
        <f>股权价值增加表!CB31/股权价值增加表!CB4</f>
        <v>0.30838994870056197</v>
      </c>
      <c r="CC6" s="157">
        <f>股权价值增加表!CC31/股权价值增加表!CC4</f>
        <v>0.36719269231952156</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432</v>
      </c>
      <c r="E7" s="61">
        <f>股权价值增加表!E4/资产资本表!E70</f>
        <v>0.55211984877206699</v>
      </c>
      <c r="F7" s="61">
        <f>股权价值增加表!F4/资产资本表!F70</f>
        <v>0.42384155381418859</v>
      </c>
      <c r="G7" s="61">
        <f>股权价值增加表!G4/资产资本表!G70</f>
        <v>0.31255195521244578</v>
      </c>
      <c r="H7" s="61">
        <f>股权价值增加表!H4/资产资本表!H70</f>
        <v>0.19556829233029691</v>
      </c>
      <c r="I7" s="61">
        <f>股权价值增加表!I4/资产资本表!I70</f>
        <v>0.50914542470495561</v>
      </c>
      <c r="J7" s="61">
        <f>股权价值增加表!J4/资产资本表!J70</f>
        <v>0.38050775531902042</v>
      </c>
      <c r="K7" s="61">
        <f>股权价值增加表!K4/资产资本表!K70</f>
        <v>0.27403628304920136</v>
      </c>
      <c r="L7" s="61">
        <f>股权价值增加表!L4/资产资本表!L70</f>
        <v>0.18637620928798962</v>
      </c>
      <c r="M7" s="61">
        <f>股权价值增加表!M4/资产资本表!M70</f>
        <v>0.48842504772846618</v>
      </c>
      <c r="N7" s="61">
        <f>股权价值增加表!N4/资产资本表!N70</f>
        <v>0.35425787837189288</v>
      </c>
      <c r="O7" s="61">
        <f>股权价值增加表!O4/资产资本表!O70</f>
        <v>0.27131737869032807</v>
      </c>
      <c r="P7" s="61">
        <f>股权价值增加表!P4/资产资本表!P70</f>
        <v>0.15800493781330668</v>
      </c>
      <c r="Q7" s="61">
        <f>股权价值增加表!Q4/资产资本表!Q70</f>
        <v>0.520936421600807</v>
      </c>
      <c r="R7" s="61">
        <f>股权价值增加表!R4/资产资本表!R70</f>
        <v>0.38534360768965847</v>
      </c>
      <c r="S7" s="61">
        <f>股权价值增加表!S4/资产资本表!S70</f>
        <v>0.30488681107547499</v>
      </c>
      <c r="T7" s="61">
        <f>股权价值增加表!T4/资产资本表!T70</f>
        <v>0.16875362659397689</v>
      </c>
      <c r="U7" s="61">
        <f>股权价值增加表!U4/资产资本表!U70</f>
        <v>0.6665046257336803</v>
      </c>
      <c r="V7" s="61">
        <f>股权价值增加表!V4/资产资本表!V70</f>
        <v>0.53247046282568566</v>
      </c>
      <c r="W7" s="61">
        <f>股权价值增加表!W4/资产资本表!W70</f>
        <v>0.44919675104618284</v>
      </c>
      <c r="X7" s="61">
        <f>股权价值增加表!X4/资产资本表!X70</f>
        <v>0.24331826671615353</v>
      </c>
      <c r="Y7" s="61">
        <f>股权价值增加表!Y4/资产资本表!Y70</f>
        <v>0.85265918746112079</v>
      </c>
      <c r="Z7" s="61">
        <f>股权价值增加表!Z4/资产资本表!Z70</f>
        <v>0.71182281447245599</v>
      </c>
      <c r="AA7" s="61">
        <f>股权价值增加表!AA4/资产资本表!AA70</f>
        <v>0.56156006704246864</v>
      </c>
      <c r="AB7" s="61">
        <f>股权价值增加表!AB4/资产资本表!AB70</f>
        <v>0.30911562217651006</v>
      </c>
      <c r="AC7" s="61">
        <f>股权价值增加表!AC4/资产资本表!AC70</f>
        <v>0.85976784712977306</v>
      </c>
      <c r="AD7" s="61">
        <f>股权价值增加表!AD4/资产资本表!AD70</f>
        <v>0.7007620628542407</v>
      </c>
      <c r="AE7" s="61">
        <f>股权价值增加表!AE4/资产资本表!AE70</f>
        <v>0.50007341787003423</v>
      </c>
      <c r="AF7" s="61">
        <f>股权价值增加表!AF4/资产资本表!AF70</f>
        <v>0.30123759607769979</v>
      </c>
      <c r="AG7" s="61">
        <f>股权价值增加表!AG4/资产资本表!AG70</f>
        <v>0.82965307831295765</v>
      </c>
      <c r="AH7" s="61">
        <f>股权价值增加表!AH4/资产资本表!AH70</f>
        <v>0.65168900275974062</v>
      </c>
      <c r="AI7" s="61">
        <f>股权价值增加表!AI4/资产资本表!AI70</f>
        <v>0.46132596849123059</v>
      </c>
      <c r="AJ7" s="61">
        <f>股权价值增加表!AJ4/资产资本表!AJ70</f>
        <v>0.27733174695142393</v>
      </c>
      <c r="AK7" s="61">
        <f>股权价值增加表!AK4/资产资本表!AK70</f>
        <v>0.75186828022020147</v>
      </c>
      <c r="AL7" s="61">
        <f>股权价值增加表!AL4/资产资本表!AL70</f>
        <v>0.58787394572979212</v>
      </c>
      <c r="AM7" s="61">
        <f>股权价值增加表!AM4/资产资本表!AM70</f>
        <v>0.41447102987119305</v>
      </c>
      <c r="AN7" s="61">
        <f>股权价值增加表!AN4/资产资本表!AN70</f>
        <v>0.26238064929872773</v>
      </c>
      <c r="AO7" s="61">
        <f>股权价值增加表!AO4/资产资本表!AO70</f>
        <v>0.69248537318070058</v>
      </c>
      <c r="AP7" s="61">
        <f>股权价值增加表!AP4/资产资本表!AP70</f>
        <v>0.58579610396266202</v>
      </c>
      <c r="AQ7" s="61">
        <f>股权价值增加表!AQ4/资产资本表!AQ70</f>
        <v>0.42044232102448315</v>
      </c>
      <c r="AR7" s="61">
        <f>股权价值增加表!AR4/资产资本表!AR70</f>
        <v>0.28999845491029136</v>
      </c>
      <c r="AS7" s="61">
        <f>股权价值增加表!AS4/资产资本表!AS70</f>
        <v>0.76111289088780976</v>
      </c>
      <c r="AT7" s="61">
        <f>股权价值增加表!AT4/资产资本表!AT70</f>
        <v>0.63026778893356683</v>
      </c>
      <c r="AU7" s="61">
        <f>股权价值增加表!AU4/资产资本表!AU70</f>
        <v>0.46168856486796384</v>
      </c>
      <c r="AV7" s="61">
        <f>股权价值增加表!AV4/资产资本表!AV70</f>
        <v>0.33242797996277446</v>
      </c>
      <c r="AW7" s="61">
        <f>股权价值增加表!AW4/资产资本表!AW70</f>
        <v>0.87368460081989086</v>
      </c>
      <c r="AX7" s="61">
        <f>股权价值增加表!AX4/资产资本表!AX70</f>
        <v>0.71730797724380047</v>
      </c>
      <c r="AY7" s="61">
        <f>股权价值增加表!AY4/资产资本表!AY70</f>
        <v>0.54035606399371705</v>
      </c>
      <c r="AZ7" s="61">
        <f>股权价值增加表!AZ4/资产资本表!AZ70</f>
        <v>0.3375928740674139</v>
      </c>
      <c r="BA7" s="61">
        <f>股权价值增加表!BA4/资产资本表!BA70</f>
        <v>0.85300762739959979</v>
      </c>
      <c r="BB7" s="61">
        <f>股权价值增加表!BB4/资产资本表!BB70</f>
        <v>0.66315594376544917</v>
      </c>
      <c r="BC7" s="61">
        <f>股权价值增加表!BC4/资产资本表!BC70</f>
        <v>0.52134593524030659</v>
      </c>
      <c r="BD7" s="61">
        <f>股权价值增加表!BD4/资产资本表!BD70</f>
        <v>0.34678270884285017</v>
      </c>
      <c r="BE7" s="61">
        <f>股权价值增加表!BE4/资产资本表!BE70</f>
        <v>0.94117396292751387</v>
      </c>
      <c r="BF7" s="61">
        <f>股权价值增加表!BF4/资产资本表!BF70</f>
        <v>0.70074043137801256</v>
      </c>
      <c r="BG7" s="61">
        <f>股权价值增加表!BG4/资产资本表!BG70</f>
        <v>0.54141543429719718</v>
      </c>
      <c r="BH7" s="61">
        <f>股权价值增加表!BH4/资产资本表!BH70</f>
        <v>0.37688090920857331</v>
      </c>
      <c r="BI7" s="61">
        <f>股权价值增加表!BI4/资产资本表!BI70</f>
        <v>1.0373890214039552</v>
      </c>
      <c r="BJ7" s="61">
        <f>股权价值增加表!BJ4/资产资本表!BJ70</f>
        <v>0.77885824284696958</v>
      </c>
      <c r="BK7" s="61">
        <f>股权价值增加表!BK4/资产资本表!BK70</f>
        <v>0.59127155829856293</v>
      </c>
      <c r="BL7" s="61">
        <f>股权价值增加表!BL4/资产资本表!BL70</f>
        <v>0.39612189243039464</v>
      </c>
      <c r="BM7" s="61">
        <f>股权价值增加表!BM4/资产资本表!BM70</f>
        <v>1.0534531590960123</v>
      </c>
      <c r="BN7" s="61">
        <f>股权价值增加表!BN4/资产资本表!BN70</f>
        <v>0.83095982389379397</v>
      </c>
      <c r="BO7" s="61">
        <f>股权价值增加表!BO4/资产资本表!BO70</f>
        <v>0.65526143968052308</v>
      </c>
      <c r="BP7" s="61">
        <f>股权价值增加表!BP4/资产资本表!BP70</f>
        <v>0.4442990063044166</v>
      </c>
      <c r="BQ7" s="61">
        <f>股权价值增加表!BQ4/资产资本表!BQ70</f>
        <v>0.99109113368054436</v>
      </c>
      <c r="BR7" s="61" t="e">
        <f>股权价值增加表!BR4/资产资本表!BR70</f>
        <v>#DIV/0!</v>
      </c>
      <c r="BS7" s="61">
        <f>股权价值增加表!BS4/资产资本表!BS70</f>
        <v>0.60921878305593025</v>
      </c>
      <c r="BT7" s="61">
        <f>股权价值增加表!BT4/资产资本表!BT70</f>
        <v>0.45355847928069826</v>
      </c>
      <c r="BU7" s="61">
        <f>股权价值增加表!BU4/资产资本表!BU70</f>
        <v>1.2227042478881043</v>
      </c>
      <c r="BV7" s="61">
        <f>股权价值增加表!BV4/资产资本表!BV70</f>
        <v>0.87432700905153482</v>
      </c>
      <c r="BW7" s="61">
        <f>股权价值增加表!BW4/资产资本表!BW70</f>
        <v>1.457605420628705</v>
      </c>
      <c r="BX7" s="61">
        <f>股权价值增加表!BX4/资产资本表!BX70</f>
        <v>0.85798181746723545</v>
      </c>
      <c r="BY7" s="61">
        <f>股权价值增加表!BY4/资产资本表!BY70</f>
        <v>1.3872197403698909</v>
      </c>
      <c r="BZ7" s="61">
        <f>股权价值增加表!BZ4/资产资本表!BZ70</f>
        <v>0.65207369312545349</v>
      </c>
      <c r="CA7" s="61">
        <f>股权价值增加表!CA4/资产资本表!CA70</f>
        <v>4.7152300061821784</v>
      </c>
      <c r="CB7" s="61">
        <f>股权价值增加表!CB4/资产资本表!CB70</f>
        <v>3.0078194732369345</v>
      </c>
      <c r="CC7" s="61">
        <f>股权价值增加表!CC4/资产资本表!CC70</f>
        <v>1.7673233610105625</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0.24388665137564414</v>
      </c>
      <c r="F8" s="63">
        <f>股权价值增加表!F31/资产资本表!F70</f>
        <v>0.17462944265432076</v>
      </c>
      <c r="G8" s="63">
        <f>股权价值增加表!G31/资产资本表!G70</f>
        <v>0.13143498182489327</v>
      </c>
      <c r="H8" s="63">
        <f>股权价值增加表!H31/资产资本表!H70</f>
        <v>9.118358148291264E-2</v>
      </c>
      <c r="I8" s="63">
        <f>股权价值增加表!I31/资产资本表!I70</f>
        <v>0.19431426116091613</v>
      </c>
      <c r="J8" s="63">
        <f>股权价值增加表!J31/资产资本表!J70</f>
        <v>0.13903640614389523</v>
      </c>
      <c r="K8" s="63">
        <f>股权价值增加表!K31/资产资本表!K70</f>
        <v>0.10298011389072841</v>
      </c>
      <c r="L8" s="63">
        <f>股权价值增加表!L31/资产资本表!L70</f>
        <v>8.0489424585297231E-2</v>
      </c>
      <c r="M8" s="63">
        <f>股权价值增加表!M31/资产资本表!M70</f>
        <v>0.1872267948559628</v>
      </c>
      <c r="N8" s="63">
        <f>股权价值增加表!N31/资产资本表!N70</f>
        <v>0.13330847788094952</v>
      </c>
      <c r="O8" s="63">
        <f>股权价值增加表!O31/资产资本表!O70</f>
        <v>9.9867526986775201E-2</v>
      </c>
      <c r="P8" s="63">
        <f>股权价值增加表!P31/资产资本表!P70</f>
        <v>6.6556759028251283E-2</v>
      </c>
      <c r="Q8" s="63">
        <f>股权价值增加表!Q31/资产资本表!Q70</f>
        <v>0.19896379416925417</v>
      </c>
      <c r="R8" s="63">
        <f>股权价值增加表!R31/资产资本表!R70</f>
        <v>0.15245756959125042</v>
      </c>
      <c r="S8" s="63">
        <f>股权价值增加表!S31/资产资本表!S70</f>
        <v>0.13600970447650848</v>
      </c>
      <c r="T8" s="63">
        <f>股权价值增加表!T31/资产资本表!T70</f>
        <v>8.5965817221715174E-2</v>
      </c>
      <c r="U8" s="63">
        <f>股权价值增加表!U31/资产资本表!U70</f>
        <v>0.30326876743310466</v>
      </c>
      <c r="V8" s="63">
        <f>股权价值增加表!V31/资产资本表!V70</f>
        <v>0.25518132584826836</v>
      </c>
      <c r="W8" s="63">
        <f>股权价值增加表!W31/资产资本表!W70</f>
        <v>0.21843219842417735</v>
      </c>
      <c r="X8" s="63">
        <f>股权价值增加表!X31/资产资本表!X70</f>
        <v>0.13413107275411035</v>
      </c>
      <c r="Y8" s="63">
        <f>股权价值增加表!Y31/资产资本表!Y70</f>
        <v>0.43066341950247494</v>
      </c>
      <c r="Z8" s="63">
        <f>股权价值增加表!Z31/资产资本表!Z70</f>
        <v>0.34011577543048377</v>
      </c>
      <c r="AA8" s="63">
        <f>股权价值增加表!AA31/资产资本表!AA70</f>
        <v>0.24453538988477228</v>
      </c>
      <c r="AB8" s="63">
        <f>股权价值增加表!AB31/资产资本表!AB70</f>
        <v>0.15234956324954441</v>
      </c>
      <c r="AC8" s="63">
        <f>股权价值增加表!AC31/资产资本表!AC70</f>
        <v>0.35912034785798824</v>
      </c>
      <c r="AD8" s="63">
        <f>股权价值增加表!AD31/资产资本表!AD70</f>
        <v>0.28580863790634009</v>
      </c>
      <c r="AE8" s="63">
        <f>股权价值增加表!AE31/资产资本表!AE70</f>
        <v>0.20922767431991171</v>
      </c>
      <c r="AF8" s="63">
        <f>股权价值增加表!AF31/资产资本表!AF70</f>
        <v>0.13686164028411632</v>
      </c>
      <c r="AG8" s="63">
        <f>股权价值增加表!AG31/资产资本表!AG70</f>
        <v>0.32405240024190485</v>
      </c>
      <c r="AH8" s="63">
        <f>股权价值增加表!AH31/资产资本表!AH70</f>
        <v>0.25982519034034651</v>
      </c>
      <c r="AI8" s="63">
        <f>股权价值增加表!AI31/资产资本表!AI70</f>
        <v>0.18462522917636739</v>
      </c>
      <c r="AJ8" s="63">
        <f>股权价值增加表!AJ31/资产资本表!AJ70</f>
        <v>0.12804319265107772</v>
      </c>
      <c r="AK8" s="63">
        <f>股权价值增加表!AK31/资产资本表!AK70</f>
        <v>0.30373123068008256</v>
      </c>
      <c r="AL8" s="63">
        <f>股权价值增加表!AL31/资产资本表!AL70</f>
        <v>0.22693301945029465</v>
      </c>
      <c r="AM8" s="63">
        <f>股权价值增加表!AM31/资产资本表!AM70</f>
        <v>0.16430006922739573</v>
      </c>
      <c r="AN8" s="63">
        <f>股权价值增加表!AN31/资产资本表!AN70</f>
        <v>0.12962212216058397</v>
      </c>
      <c r="AO8" s="63">
        <f>股权价值增加表!AO31/资产资本表!AO70</f>
        <v>0.19546209217950192</v>
      </c>
      <c r="AP8" s="63">
        <f>股权价值增加表!AP31/资产资本表!AP70</f>
        <v>0.17936727077515927</v>
      </c>
      <c r="AQ8" s="63">
        <f>股权价值增加表!AQ31/资产资本表!AQ70</f>
        <v>0.1497018447399599</v>
      </c>
      <c r="AR8" s="63">
        <f>股权价值增加表!AR31/资产资本表!AR70</f>
        <v>0.12553256652865269</v>
      </c>
      <c r="AS8" s="63">
        <f>股权价值增加表!AS31/资产资本表!AS70</f>
        <v>0.21665551127314583</v>
      </c>
      <c r="AT8" s="63">
        <f>股权价值增加表!AT31/资产资本表!AT70</f>
        <v>0.20171678154916897</v>
      </c>
      <c r="AU8" s="63">
        <f>股权价值增加表!AU31/资产资本表!AU70</f>
        <v>0.17759656976825991</v>
      </c>
      <c r="AV8" s="63">
        <f>股权价值增加表!AV31/资产资本表!AV70</f>
        <v>0.12330001873115316</v>
      </c>
      <c r="AW8" s="63">
        <f>股权价值增加表!AW31/资产资本表!AW70</f>
        <v>0.2048524850851588</v>
      </c>
      <c r="AX8" s="63">
        <f>股权价值增加表!AX31/资产资本表!AX70</f>
        <v>0.18303322835866104</v>
      </c>
      <c r="AY8" s="63">
        <f>股权价值增加表!AY31/资产资本表!AY70</f>
        <v>0.14946636791018453</v>
      </c>
      <c r="AZ8" s="63">
        <f>股权价值增加表!AZ31/资产资本表!AZ70</f>
        <v>0.10206478853687492</v>
      </c>
      <c r="BA8" s="63">
        <f>股权价值增加表!BA31/资产资本表!BA70</f>
        <v>0.15481913738123929</v>
      </c>
      <c r="BB8" s="63">
        <f>股权价值增加表!BB31/资产资本表!BB70</f>
        <v>0.15297999791355055</v>
      </c>
      <c r="BC8" s="63">
        <f>股权价值增加表!BC31/资产资本表!BC70</f>
        <v>0.12603834944827436</v>
      </c>
      <c r="BD8" s="63">
        <f>股权价值增加表!BD31/资产资本表!BD70</f>
        <v>9.092735736602349E-2</v>
      </c>
      <c r="BE8" s="63">
        <f>股权价值增加表!BE31/资产资本表!BE70</f>
        <v>0.18544445073815466</v>
      </c>
      <c r="BF8" s="63">
        <f>股权价值增加表!BF31/资产资本表!BF70</f>
        <v>0.15586541728758349</v>
      </c>
      <c r="BG8" s="63">
        <f>股权价值增加表!BG31/资产资本表!BG70</f>
        <v>0.12576769408481678</v>
      </c>
      <c r="BH8" s="63">
        <f>股权价值增加表!BH31/资产资本表!BH70</f>
        <v>8.8298835363766273E-2</v>
      </c>
      <c r="BI8" s="63">
        <f>股权价值增加表!BI31/资产资本表!BI70</f>
        <v>0.17284295822696155</v>
      </c>
      <c r="BJ8" s="63">
        <f>股权价值增加表!BJ31/资产资本表!BJ70</f>
        <v>0.1404631780980562</v>
      </c>
      <c r="BK8" s="63">
        <f>股权价值增加表!BK31/资产资本表!BK70</f>
        <v>0.10804156639685569</v>
      </c>
      <c r="BL8" s="63">
        <f>股权价值增加表!BL31/资产资本表!BL70</f>
        <v>8.5828137181978834E-2</v>
      </c>
      <c r="BM8" s="63">
        <f>股权价值增加表!BM31/资产资本表!BM70</f>
        <v>0.15479956801386971</v>
      </c>
      <c r="BN8" s="63">
        <f>股权价值增加表!BN31/资产资本表!BN70</f>
        <v>0.12576331529184934</v>
      </c>
      <c r="BO8" s="63">
        <f>股权价值增加表!BO31/资产资本表!BO70</f>
        <v>9.2226692308201824E-2</v>
      </c>
      <c r="BP8" s="63">
        <f>股权价值增加表!BP31/资产资本表!BP70</f>
        <v>7.1894667221765907E-2</v>
      </c>
      <c r="BQ8" s="63">
        <f>股权价值增加表!BQ31/资产资本表!BQ70</f>
        <v>0.18924498186055652</v>
      </c>
      <c r="BR8" s="63" t="e">
        <f>股权价值增加表!BR31/资产资本表!BR70</f>
        <v>#DIV/0!</v>
      </c>
      <c r="BS8" s="63">
        <f>股权价值增加表!BS31/资产资本表!BS70</f>
        <v>0.13866673123593079</v>
      </c>
      <c r="BT8" s="63">
        <f>股权价值增加表!BT31/资产资本表!BT70</f>
        <v>9.3944037485279894E-2</v>
      </c>
      <c r="BU8" s="63">
        <f>股权价值增加表!BU31/资产资本表!BU70</f>
        <v>0.30608877553616493</v>
      </c>
      <c r="BV8" s="63">
        <f>股权价值增加表!BV31/资产资本表!BV70</f>
        <v>0.23462316705903694</v>
      </c>
      <c r="BW8" s="63">
        <f>股权价值增加表!BW31/资产资本表!BW70</f>
        <v>0.33885797788149913</v>
      </c>
      <c r="BX8" s="63">
        <f>股权价值增加表!BX31/资产资本表!BX70</f>
        <v>0.16886932980716396</v>
      </c>
      <c r="BY8" s="63">
        <f>股权价值增加表!BY31/资产资本表!BY70</f>
        <v>0.30999552311325612</v>
      </c>
      <c r="BZ8" s="63">
        <f>股权价值增加表!BZ31/资产资本表!BZ70</f>
        <v>0.15822325366221038</v>
      </c>
      <c r="CA8" s="63">
        <f>股权价值增加表!CA31/资产资本表!CA70</f>
        <v>1.1145644965533283</v>
      </c>
      <c r="CB8" s="63">
        <f>股权价值增加表!CB31/资产资本表!CB70</f>
        <v>0.92758129305208947</v>
      </c>
      <c r="CC8" s="63">
        <f>股权价值增加表!CC31/资产资本表!CC70</f>
        <v>0.64894822312865419</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433</v>
      </c>
      <c r="E9" s="157">
        <f>股权价值增加表!E38/股权价值增加表!E31</f>
        <v>0.99906571835405211</v>
      </c>
      <c r="F9" s="157">
        <f>股权价值增加表!F38/股权价值增加表!F31</f>
        <v>1.0706440150648497</v>
      </c>
      <c r="G9" s="157">
        <f>股权价值增加表!G38/股权价值增加表!G31</f>
        <v>1.0650601023433639</v>
      </c>
      <c r="H9" s="157">
        <f>股权价值增加表!H38/股权价值增加表!H31</f>
        <v>1.0457494000942438</v>
      </c>
      <c r="I9" s="157">
        <f>股权价值增加表!I38/股权价值增加表!I31</f>
        <v>1.0000713726345631</v>
      </c>
      <c r="J9" s="157">
        <f>股权价值增加表!J38/股权价值增加表!J31</f>
        <v>1.0864704124407958</v>
      </c>
      <c r="K9" s="157">
        <f>股权价值增加表!K38/股权价值增加表!K31</f>
        <v>1.0685833963213094</v>
      </c>
      <c r="L9" s="157">
        <f>股权价值增加表!L38/股权价值增加表!L31</f>
        <v>1.0469866097962752</v>
      </c>
      <c r="M9" s="157">
        <f>股权价值增加表!M38/股权价值增加表!M31</f>
        <v>0.99828296363820646</v>
      </c>
      <c r="N9" s="157">
        <f>股权价值增加表!N38/股权价值增加表!N31</f>
        <v>1.0976314898831911</v>
      </c>
      <c r="O9" s="157">
        <f>股权价值增加表!O38/股权价值增加表!O31</f>
        <v>1.086636567459603</v>
      </c>
      <c r="P9" s="157">
        <f>股权价值增加表!P38/股权价值增加表!P31</f>
        <v>1.0609975042775284</v>
      </c>
      <c r="Q9" s="157">
        <f>股权价值增加表!Q38/股权价值增加表!Q31</f>
        <v>0.99967217793609253</v>
      </c>
      <c r="R9" s="157">
        <f>股权价值增加表!R38/股权价值增加表!R31</f>
        <v>1.0822685050346359</v>
      </c>
      <c r="S9" s="157">
        <f>股权价值增加表!S38/股权价值增加表!S31</f>
        <v>1.066293027129148</v>
      </c>
      <c r="T9" s="157">
        <f>股权价值增加表!T38/股权价值增加表!T31</f>
        <v>1.0716042130779531</v>
      </c>
      <c r="U9" s="157">
        <f>股权价值增加表!U38/股权价值增加表!U31</f>
        <v>1.0005014901927056</v>
      </c>
      <c r="V9" s="157">
        <f>股权价值增加表!V38/股权价值增加表!V31</f>
        <v>1.0717910877886392</v>
      </c>
      <c r="W9" s="157">
        <f>股权价值增加表!W38/股权价值增加表!W31</f>
        <v>1.0625349710440362</v>
      </c>
      <c r="X9" s="157">
        <f>股权价值增加表!X38/股权价值增加表!X31</f>
        <v>1.0499025653124356</v>
      </c>
      <c r="Y9" s="157">
        <f>股权价值增加表!Y38/股权价值增加表!Y31</f>
        <v>1.0008836407325528</v>
      </c>
      <c r="Z9" s="157">
        <f>股权价值增加表!Z38/股权价值增加表!Z31</f>
        <v>1.0614522581769232</v>
      </c>
      <c r="AA9" s="157">
        <f>股权价值增加表!AA38/股权价值增加表!AA31</f>
        <v>1.0610734994371327</v>
      </c>
      <c r="AB9" s="157">
        <f>股权价值增加表!AB38/股权价值增加表!AB31</f>
        <v>1.0350816784923458</v>
      </c>
      <c r="AC9" s="157">
        <f>股权价值增加表!AC38/股权价值增加表!AC31</f>
        <v>1.0009251467527127</v>
      </c>
      <c r="AD9" s="157">
        <f>股权价值增加表!AD38/股权价值增加表!AD31</f>
        <v>1.0368362898244619</v>
      </c>
      <c r="AE9" s="157">
        <f>股权价值增加表!AE38/股权价值增加表!AE31</f>
        <v>1.0423376322122844</v>
      </c>
      <c r="AF9" s="157">
        <f>股权价值增加表!AF38/股权价值增加表!AF31</f>
        <v>1.0082529442654757</v>
      </c>
      <c r="AG9" s="157">
        <f>股权价值增加表!AG38/股权价值增加表!AG31</f>
        <v>1.00042028442176</v>
      </c>
      <c r="AH9" s="157">
        <f>股权价值增加表!AH38/股权价值增加表!AH31</f>
        <v>1.0230076485984139</v>
      </c>
      <c r="AI9" s="157">
        <f>股权价值增加表!AI38/股权价值增加表!AI31</f>
        <v>1.0254871610235115</v>
      </c>
      <c r="AJ9" s="157">
        <f>股权价值增加表!AJ38/股权价值增加表!AJ31</f>
        <v>1.0057792493482933</v>
      </c>
      <c r="AK9" s="157">
        <f>股权价值增加表!AK38/股权价值增加表!AK31</f>
        <v>1.0244074032905963</v>
      </c>
      <c r="AL9" s="157">
        <f>股权价值增加表!AL38/股权价值增加表!AL31</f>
        <v>1.0212987345790767</v>
      </c>
      <c r="AM9" s="157">
        <f>股权价值增加表!AM38/股权价值增加表!AM31</f>
        <v>1.0191991066746882</v>
      </c>
      <c r="AN9" s="157">
        <f>股权价值增加表!AN38/股权价值增加表!AN31</f>
        <v>1.0066492067408048</v>
      </c>
      <c r="AO9" s="157">
        <f>股权价值增加表!AO38/股权价值增加表!AO31</f>
        <v>1.0714336227900816</v>
      </c>
      <c r="AP9" s="157">
        <f>股权价值增加表!AP38/股权价值增加表!AP31</f>
        <v>1.0435476046483314</v>
      </c>
      <c r="AQ9" s="157">
        <f>股权价值增加表!AQ38/股权价值增加表!AQ31</f>
        <v>1.0457023540465507</v>
      </c>
      <c r="AR9" s="157">
        <f>股权价值增加表!AR38/股权价值增加表!AR31</f>
        <v>1.0116884685248784</v>
      </c>
      <c r="AS9" s="157">
        <f>股权价值增加表!AS38/股权价值增加表!AS31</f>
        <v>1.0442101413764713</v>
      </c>
      <c r="AT9" s="157">
        <f>股权价值增加表!AT38/股权价值增加表!AT31</f>
        <v>1.0212081798050991</v>
      </c>
      <c r="AU9" s="157">
        <f>股权价值增加表!AU38/股权价值增加表!AU31</f>
        <v>1.0218412401554835</v>
      </c>
      <c r="AV9" s="157">
        <f>股权价值增加表!AV38/股权价值增加表!AV31</f>
        <v>1.0030249456747746</v>
      </c>
      <c r="AW9" s="157">
        <f>股权价值增加表!AW38/股权价值增加表!AW31</f>
        <v>1.0291584500667292</v>
      </c>
      <c r="AX9" s="157">
        <f>股权价值增加表!AX38/股权价值增加表!AX31</f>
        <v>1.0173511536144748</v>
      </c>
      <c r="AY9" s="157">
        <f>股权价值增加表!AY38/股权价值增加表!AY31</f>
        <v>1.0200588836313704</v>
      </c>
      <c r="AZ9" s="157">
        <f>股权价值增加表!AZ38/股权价值增加表!AZ31</f>
        <v>1.0035344806686362</v>
      </c>
      <c r="BA9" s="157">
        <f>股权价值增加表!BA38/股权价值增加表!BA31</f>
        <v>1.0216533836783466</v>
      </c>
      <c r="BB9" s="157">
        <f>股权价值增加表!BB38/股权价值增加表!BB31</f>
        <v>1.0064905044259536</v>
      </c>
      <c r="BC9" s="157">
        <f>股权价值增加表!BC38/股权价值增加表!BC31</f>
        <v>1.0059714963807089</v>
      </c>
      <c r="BD9" s="157">
        <f>股权价值增加表!BD38/股权价值增加表!BD31</f>
        <v>1.0093559537354264</v>
      </c>
      <c r="BE9" s="157">
        <f>股权价值增加表!BE38/股权价值增加表!BE31</f>
        <v>1.0213214211418007</v>
      </c>
      <c r="BF9" s="157">
        <f>股权价值增加表!BF38/股权价值增加表!BF31</f>
        <v>1.0125507158835021</v>
      </c>
      <c r="BG9" s="157">
        <f>股权价值增加表!BG38/股权价值增加表!BG31</f>
        <v>1.0138309272724124</v>
      </c>
      <c r="BH9" s="157">
        <f>股权价值增加表!BH38/股权价值增加表!BH31</f>
        <v>1.0030241084428919</v>
      </c>
      <c r="BI9" s="157">
        <f>股权价值增加表!BI38/股权价值增加表!BI31</f>
        <v>1.0268757557475032</v>
      </c>
      <c r="BJ9" s="157">
        <f>股权价值增加表!BJ38/股权价值增加表!BJ31</f>
        <v>1.0233965864311443</v>
      </c>
      <c r="BK9" s="157">
        <f>股权价值增加表!BK38/股权价值增加表!BK31</f>
        <v>1.0193668593243521</v>
      </c>
      <c r="BL9" s="157">
        <f>股权价值增加表!BL38/股权价值增加表!BL31</f>
        <v>1.004962401335344</v>
      </c>
      <c r="BM9" s="157">
        <f>股权价值增加表!BM38/股权价值增加表!BM31</f>
        <v>1.0318335360942483</v>
      </c>
      <c r="BN9" s="157">
        <f>股权价值增加表!BN38/股权价值增加表!BN31</f>
        <v>1.0320407670931087</v>
      </c>
      <c r="BO9" s="157">
        <f>股权价值增加表!BO38/股权价值增加表!BO31</f>
        <v>1.0238974546398869</v>
      </c>
      <c r="BP9" s="157">
        <f>股权价值增加表!BP38/股权价值增加表!BP31</f>
        <v>1.0205523235919778</v>
      </c>
      <c r="BQ9" s="157">
        <f>股权价值增加表!BQ38/股权价值增加表!BQ31</f>
        <v>1.0280743981516003</v>
      </c>
      <c r="BR9" s="157">
        <f>股权价值增加表!BR38/股权价值增加表!BR31</f>
        <v>1</v>
      </c>
      <c r="BS9" s="157">
        <f>股权价值增加表!BS38/股权价值增加表!BS31</f>
        <v>1.0256994682680964</v>
      </c>
      <c r="BT9" s="157">
        <f>股权价值增加表!BT38/股权价值增加表!BT31</f>
        <v>1.0131602232736026</v>
      </c>
      <c r="BU9" s="157">
        <f>股权价值增加表!BU38/股权价值增加表!BU31</f>
        <v>1.0144973004390503</v>
      </c>
      <c r="BV9" s="157">
        <f>股权价值增加表!BV38/股权价值增加表!BV31</f>
        <v>1.0103910290903688</v>
      </c>
      <c r="BW9" s="157">
        <f>股权价值增加表!BW38/股权价值增加表!BW31</f>
        <v>1.0196129703602113</v>
      </c>
      <c r="BX9" s="157">
        <f>股权价值增加表!BX38/股权价值增加表!BX31</f>
        <v>1.0256407047807377</v>
      </c>
      <c r="BY9" s="157">
        <f>股权价值增加表!BY38/股权价值增加表!BY31</f>
        <v>1.0680408908609953</v>
      </c>
      <c r="BZ9" s="157">
        <f>股权价值增加表!BZ38/股权价值增加表!BZ31</f>
        <v>1.0130548250125078</v>
      </c>
      <c r="CA9" s="157">
        <f>股权价值增加表!CA38/股权价值增加表!CA31</f>
        <v>0.97728736187302234</v>
      </c>
      <c r="CB9" s="157">
        <f>股权价值增加表!CB38/股权价值增加表!CB31</f>
        <v>0.95976017787007606</v>
      </c>
      <c r="CC9" s="157">
        <f>股权价值增加表!CC38/股权价值增加表!CC31</f>
        <v>0.96305817494199664</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434</v>
      </c>
      <c r="E10" s="61">
        <f>资产资本表!E70/资产资本表!E107</f>
        <v>0.99999999999999989</v>
      </c>
      <c r="F10" s="61">
        <f>资产资本表!F70/资产资本表!F107</f>
        <v>1</v>
      </c>
      <c r="G10" s="61">
        <f>资产资本表!G70/资产资本表!G107</f>
        <v>1.0040405815878992</v>
      </c>
      <c r="H10" s="61">
        <f>资产资本表!H70/资产资本表!H107</f>
        <v>0.99999999999999989</v>
      </c>
      <c r="I10" s="61">
        <f>资产资本表!I70/资产资本表!I107</f>
        <v>0.99999999999999989</v>
      </c>
      <c r="J10" s="61">
        <f>资产资本表!J70/资产资本表!J107</f>
        <v>1.0015102895964474</v>
      </c>
      <c r="K10" s="61">
        <f>资产资本表!K70/资产资本表!K107</f>
        <v>1.0669850900595945</v>
      </c>
      <c r="L10" s="61">
        <f>资产资本表!L70/资产资本表!L107</f>
        <v>0.99999999999999989</v>
      </c>
      <c r="M10" s="61">
        <f>资产资本表!M70/资产资本表!M107</f>
        <v>1</v>
      </c>
      <c r="N10" s="61">
        <f>资产资本表!N70/资产资本表!N107</f>
        <v>1.0000234127407581</v>
      </c>
      <c r="O10" s="61">
        <f>资产资本表!O70/资产资本表!O107</f>
        <v>1.0000241920576671</v>
      </c>
      <c r="P10" s="61">
        <f>资产资本表!P70/资产资本表!P107</f>
        <v>1.0000234593077892</v>
      </c>
      <c r="Q10" s="61">
        <f>资产资本表!Q70/资产资本表!Q107</f>
        <v>1.0000247935438835</v>
      </c>
      <c r="R10" s="61">
        <f>资产资本表!R70/资产资本表!R107</f>
        <v>1.0016782727551892</v>
      </c>
      <c r="S10" s="61">
        <f>资产资本表!S70/资产资本表!S107</f>
        <v>1.001716625366085</v>
      </c>
      <c r="T10" s="61">
        <f>资产资本表!T70/资产资本表!T107</f>
        <v>1.0016514726102008</v>
      </c>
      <c r="U10" s="61">
        <f>资产资本表!U70/资产资本表!U107</f>
        <v>1.0018264201720284</v>
      </c>
      <c r="V10" s="61">
        <f>资产资本表!V70/资产资本表!V107</f>
        <v>1.0016118545973693</v>
      </c>
      <c r="W10" s="61">
        <f>资产资本表!W70/资产资本表!W107</f>
        <v>1.0016883676539392</v>
      </c>
      <c r="X10" s="61">
        <f>资产资本表!X70/资产资本表!X107</f>
        <v>1.0108021283771598</v>
      </c>
      <c r="Y10" s="61">
        <f>资产资本表!Y70/资产资本表!Y107</f>
        <v>1.0120667782338433</v>
      </c>
      <c r="Z10" s="61">
        <f>资产资本表!Z70/资产资本表!Z107</f>
        <v>1.0019627341755823</v>
      </c>
      <c r="AA10" s="61">
        <f>资产资本表!AA70/资产资本表!AA107</f>
        <v>1.0018924029958662</v>
      </c>
      <c r="AB10" s="61">
        <f>资产资本表!AB70/资产资本表!AB107</f>
        <v>1.0018248782139056</v>
      </c>
      <c r="AC10" s="61">
        <f>资产资本表!AC70/资产资本表!AC107</f>
        <v>1.0095187329234669</v>
      </c>
      <c r="AD10" s="61">
        <f>资产资本表!AD70/资产资本表!AD107</f>
        <v>1.0046113221123674</v>
      </c>
      <c r="AE10" s="61">
        <f>资产资本表!AE70/资产资本表!AE107</f>
        <v>1.0226102023671397</v>
      </c>
      <c r="AF10" s="61">
        <f>资产资本表!AF70/资产资本表!AF107</f>
        <v>1.0080007532844257</v>
      </c>
      <c r="AG10" s="61">
        <f>资产资本表!AG70/资产资本表!AG107</f>
        <v>1.0199381772796567</v>
      </c>
      <c r="AH10" s="61">
        <f>资产资本表!AH70/资产资本表!AH107</f>
        <v>1.0047947821890313</v>
      </c>
      <c r="AI10" s="61">
        <f>资产资本表!AI70/资产资本表!AI107</f>
        <v>1.0051409442429693</v>
      </c>
      <c r="AJ10" s="61">
        <f>资产资本表!AJ70/资产资本表!AJ107</f>
        <v>1.0009496366228428</v>
      </c>
      <c r="AK10" s="61">
        <f>资产资本表!AK70/资产资本表!AK107</f>
        <v>1.0152002033990557</v>
      </c>
      <c r="AL10" s="61">
        <f>资产资本表!AL70/资产资本表!AL107</f>
        <v>1.0000000000000002</v>
      </c>
      <c r="AM10" s="61">
        <f>资产资本表!AM70/资产资本表!AM107</f>
        <v>1</v>
      </c>
      <c r="AN10" s="61">
        <f>资产资本表!AN70/资产资本表!AN107</f>
        <v>1</v>
      </c>
      <c r="AO10" s="61">
        <f>资产资本表!AO70/资产资本表!AO107</f>
        <v>1.0000000000000002</v>
      </c>
      <c r="AP10" s="61">
        <f>资产资本表!AP70/资产资本表!AP107</f>
        <v>1</v>
      </c>
      <c r="AQ10" s="61">
        <f>资产资本表!AQ70/资产资本表!AQ107</f>
        <v>1.0000000000000002</v>
      </c>
      <c r="AR10" s="61">
        <f>资产资本表!AR70/资产资本表!AR107</f>
        <v>1.0000000000000002</v>
      </c>
      <c r="AS10" s="61">
        <f>资产资本表!AS70/资产资本表!AS107</f>
        <v>1.0002597068827737</v>
      </c>
      <c r="AT10" s="61">
        <f>资产资本表!AT70/资产资本表!AT107</f>
        <v>1.0108058665790896</v>
      </c>
      <c r="AU10" s="61">
        <f>资产资本表!AU70/资产资本表!AU107</f>
        <v>1.0110167490426405</v>
      </c>
      <c r="AV10" s="61">
        <f>资产资本表!AV70/资产资本表!AV107</f>
        <v>1.000276192756991</v>
      </c>
      <c r="AW10" s="61">
        <f>资产资本表!AW70/资产资本表!AW107</f>
        <v>1.0191490984384053</v>
      </c>
      <c r="AX10" s="61">
        <f>资产资本表!AX70/资产资本表!AX107</f>
        <v>1.0200152387110819</v>
      </c>
      <c r="AY10" s="61">
        <f>资产资本表!AY70/资产资本表!AY107</f>
        <v>1.0250037641813736</v>
      </c>
      <c r="AZ10" s="61">
        <f>资产资本表!AZ70/资产资本表!AZ107</f>
        <v>1.0193075890789329</v>
      </c>
      <c r="BA10" s="61">
        <f>资产资本表!BA70/资产资本表!BA107</f>
        <v>1.0188028874631763</v>
      </c>
      <c r="BB10" s="61">
        <f>资产资本表!BB70/资产资本表!BB107</f>
        <v>1.0177142494133311</v>
      </c>
      <c r="BC10" s="61">
        <f>资产资本表!BC70/资产资本表!BC107</f>
        <v>1.0171117356008386</v>
      </c>
      <c r="BD10" s="61">
        <f>资产资本表!BD70/资产资本表!BD107</f>
        <v>1.0167876099039383</v>
      </c>
      <c r="BE10" s="61">
        <f>资产资本表!BE70/资产资本表!BE107</f>
        <v>1.0158249480814501</v>
      </c>
      <c r="BF10" s="61">
        <f>资产资本表!BF70/资产资本表!BF107</f>
        <v>1.0154323247538108</v>
      </c>
      <c r="BG10" s="61">
        <f>资产资本表!BG70/资产资本表!BG107</f>
        <v>1.0147718950198259</v>
      </c>
      <c r="BH10" s="61">
        <f>资产资本表!BH70/资产资本表!BH107</f>
        <v>1.0142434057077241</v>
      </c>
      <c r="BI10" s="61">
        <f>资产资本表!BI70/资产资本表!BI107</f>
        <v>1.0131008043380465</v>
      </c>
      <c r="BJ10" s="61">
        <f>资产资本表!BJ70/资产资本表!BJ107</f>
        <v>1.0150420812109306</v>
      </c>
      <c r="BK10" s="61">
        <f>资产资本表!BK70/资产资本表!BK107</f>
        <v>1.0146917586144679</v>
      </c>
      <c r="BL10" s="61">
        <f>资产资本表!BL70/资产资本表!BL107</f>
        <v>1.0232921062024649</v>
      </c>
      <c r="BM10" s="61">
        <f>资产资本表!BM70/资产资本表!BM107</f>
        <v>1.0178244800585194</v>
      </c>
      <c r="BN10" s="61">
        <f>资产资本表!BN70/资产资本表!BN107</f>
        <v>1.0347249756233965</v>
      </c>
      <c r="BO10" s="61">
        <f>资产资本表!BO70/资产资本表!BO107</f>
        <v>1.0411073118123322</v>
      </c>
      <c r="BP10" s="61">
        <f>资产资本表!BP70/资产资本表!BP107</f>
        <v>1.0280317846390981</v>
      </c>
      <c r="BQ10" s="61">
        <f>资产资本表!BQ70/资产资本表!BQ107</f>
        <v>1.0175402786076031</v>
      </c>
      <c r="BR10" s="61">
        <f>资产资本表!BR70/资产资本表!BR107</f>
        <v>0</v>
      </c>
      <c r="BS10" s="61">
        <f>资产资本表!BS70/资产资本表!BS107</f>
        <v>1.0545208536680348</v>
      </c>
      <c r="BT10" s="61">
        <f>资产资本表!BT70/资产资本表!BT107</f>
        <v>1.0402796524476101</v>
      </c>
      <c r="BU10" s="61">
        <f>资产资本表!BU70/资产资本表!BU107</f>
        <v>1.0132567098725307</v>
      </c>
      <c r="BV10" s="61">
        <f>资产资本表!BV70/资产资本表!BV107</f>
        <v>1.0704543461807585</v>
      </c>
      <c r="BW10" s="61">
        <f>资产资本表!BW70/资产资本表!BW107</f>
        <v>0.93783058758213977</v>
      </c>
      <c r="BX10" s="61">
        <f>资产资本表!BX70/资产资本表!BX107</f>
        <v>1.060220079958142</v>
      </c>
      <c r="BY10" s="61">
        <f>资产资本表!BY70/资产资本表!BY107</f>
        <v>1.1494497986386678</v>
      </c>
      <c r="BZ10" s="61">
        <f>资产资本表!BZ70/资产资本表!BZ107</f>
        <v>0.9955297067961596</v>
      </c>
      <c r="CA10" s="61">
        <f>资产资本表!CA70/资产资本表!CA107</f>
        <v>1.191478167681786</v>
      </c>
      <c r="CB10" s="61">
        <f>资产资本表!CB70/资产资本表!CB107</f>
        <v>1.6433927671518835</v>
      </c>
      <c r="CC10" s="61">
        <f>资产资本表!CC70/资产资本表!CC107</f>
        <v>2.2904375959962113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0.999065718354052</v>
      </c>
      <c r="F11" s="28">
        <f t="shared" ref="F11:BQ11" si="2">F9*F10</f>
        <v>1.0706440150648497</v>
      </c>
      <c r="G11" s="28">
        <f t="shared" si="2"/>
        <v>1.0693635645828985</v>
      </c>
      <c r="H11" s="28">
        <f t="shared" si="2"/>
        <v>1.0457494000942436</v>
      </c>
      <c r="I11" s="28">
        <f t="shared" si="2"/>
        <v>1.0000713726345629</v>
      </c>
      <c r="J11" s="28">
        <f t="shared" si="2"/>
        <v>1.088111297401553</v>
      </c>
      <c r="K11" s="28">
        <f t="shared" si="2"/>
        <v>1.1401625513600797</v>
      </c>
      <c r="L11" s="28">
        <f t="shared" si="2"/>
        <v>1.046986609796275</v>
      </c>
      <c r="M11" s="28">
        <f t="shared" si="2"/>
        <v>0.99828296363820646</v>
      </c>
      <c r="N11" s="28">
        <f t="shared" si="2"/>
        <v>1.0976571884447117</v>
      </c>
      <c r="O11" s="28">
        <f t="shared" si="2"/>
        <v>1.0866628554341062</v>
      </c>
      <c r="P11" s="28">
        <f t="shared" si="2"/>
        <v>1.0610223945445449</v>
      </c>
      <c r="Q11" s="28">
        <f t="shared" si="2"/>
        <v>0.99969696335210534</v>
      </c>
      <c r="R11" s="28">
        <f t="shared" si="2"/>
        <v>1.0840848467804349</v>
      </c>
      <c r="S11" s="28">
        <f t="shared" si="2"/>
        <v>1.0681234527871974</v>
      </c>
      <c r="T11" s="28">
        <f t="shared" si="2"/>
        <v>1.0733739380848271</v>
      </c>
      <c r="U11" s="28">
        <f t="shared" si="2"/>
        <v>1.002328826296538</v>
      </c>
      <c r="V11" s="28">
        <f t="shared" si="2"/>
        <v>1.0735186591809107</v>
      </c>
      <c r="W11" s="28">
        <f t="shared" si="2"/>
        <v>1.0643289207203261</v>
      </c>
      <c r="X11" s="28">
        <f t="shared" si="2"/>
        <v>1.06124374760645</v>
      </c>
      <c r="Y11" s="28">
        <f t="shared" si="2"/>
        <v>1.0129610816631542</v>
      </c>
      <c r="Z11" s="28">
        <f t="shared" si="2"/>
        <v>1.0635356067997961</v>
      </c>
      <c r="AA11" s="28">
        <f t="shared" si="2"/>
        <v>1.0630814781063018</v>
      </c>
      <c r="AB11" s="28">
        <f t="shared" si="2"/>
        <v>1.0369705764970394</v>
      </c>
      <c r="AC11" s="28">
        <f t="shared" si="2"/>
        <v>1.0104526859010337</v>
      </c>
      <c r="AD11" s="28">
        <f t="shared" si="2"/>
        <v>1.0416174759346344</v>
      </c>
      <c r="AE11" s="28">
        <f t="shared" si="2"/>
        <v>1.0659050970114894</v>
      </c>
      <c r="AF11" s="28">
        <f t="shared" si="2"/>
        <v>1.0163197273208397</v>
      </c>
      <c r="AG11" s="28">
        <f t="shared" si="2"/>
        <v>1.0203668414067257</v>
      </c>
      <c r="AH11" s="28">
        <f t="shared" si="2"/>
        <v>1.0279127474511562</v>
      </c>
      <c r="AI11" s="28">
        <f t="shared" si="2"/>
        <v>1.0307591333402142</v>
      </c>
      <c r="AJ11" s="28">
        <f t="shared" si="2"/>
        <v>1.0067343741579697</v>
      </c>
      <c r="AK11" s="28">
        <f t="shared" si="2"/>
        <v>1.0399786041841119</v>
      </c>
      <c r="AL11" s="28">
        <f t="shared" si="2"/>
        <v>1.0212987345790769</v>
      </c>
      <c r="AM11" s="28">
        <f t="shared" si="2"/>
        <v>1.0191991066746882</v>
      </c>
      <c r="AN11" s="28">
        <f t="shared" si="2"/>
        <v>1.0066492067408048</v>
      </c>
      <c r="AO11" s="28">
        <f t="shared" si="2"/>
        <v>1.0714336227900818</v>
      </c>
      <c r="AP11" s="28">
        <f t="shared" si="2"/>
        <v>1.0435476046483314</v>
      </c>
      <c r="AQ11" s="28">
        <f t="shared" si="2"/>
        <v>1.0457023540465509</v>
      </c>
      <c r="AR11" s="28">
        <f t="shared" si="2"/>
        <v>1.0116884685248786</v>
      </c>
      <c r="AS11" s="28">
        <f t="shared" si="2"/>
        <v>1.0444813299372488</v>
      </c>
      <c r="AT11" s="28">
        <f t="shared" si="2"/>
        <v>1.032243219145548</v>
      </c>
      <c r="AU11" s="28">
        <f t="shared" si="2"/>
        <v>1.0330986086596969</v>
      </c>
      <c r="AV11" s="28">
        <f t="shared" si="2"/>
        <v>1.0033019738998512</v>
      </c>
      <c r="AW11" s="28">
        <f t="shared" si="2"/>
        <v>1.0488659065357737</v>
      </c>
      <c r="AX11" s="28">
        <f t="shared" si="2"/>
        <v>1.0377136798070632</v>
      </c>
      <c r="AY11" s="28">
        <f t="shared" si="2"/>
        <v>1.0455641954088044</v>
      </c>
      <c r="AZ11" s="28">
        <f t="shared" si="2"/>
        <v>1.0229103120479266</v>
      </c>
      <c r="BA11" s="28">
        <f t="shared" si="2"/>
        <v>1.0408634172780238</v>
      </c>
      <c r="BB11" s="28">
        <f t="shared" si="2"/>
        <v>1.0243197282535044</v>
      </c>
      <c r="BC11" s="28">
        <f t="shared" si="2"/>
        <v>1.0231854146487556</v>
      </c>
      <c r="BD11" s="28">
        <f t="shared" si="2"/>
        <v>1.0263006277409543</v>
      </c>
      <c r="BE11" s="28">
        <f t="shared" si="2"/>
        <v>1.0374837796058425</v>
      </c>
      <c r="BF11" s="28">
        <f t="shared" si="2"/>
        <v>1.0281767273607199</v>
      </c>
      <c r="BG11" s="28">
        <f t="shared" si="2"/>
        <v>1.0288071312979332</v>
      </c>
      <c r="BH11" s="28">
        <f t="shared" si="2"/>
        <v>1.0173105877540722</v>
      </c>
      <c r="BI11" s="28">
        <f t="shared" si="2"/>
        <v>1.040328654103035</v>
      </c>
      <c r="BJ11" s="28">
        <f t="shared" si="2"/>
        <v>1.0387906009952308</v>
      </c>
      <c r="BK11" s="28">
        <f t="shared" si="2"/>
        <v>1.0343431511611338</v>
      </c>
      <c r="BL11" s="28">
        <f t="shared" si="2"/>
        <v>1.0283700923167309</v>
      </c>
      <c r="BM11" s="28">
        <f t="shared" si="2"/>
        <v>1.0502254323820719</v>
      </c>
      <c r="BN11" s="28">
        <f t="shared" si="2"/>
        <v>1.0678783575727682</v>
      </c>
      <c r="BO11" s="28">
        <f t="shared" si="2"/>
        <v>1.0659871265716221</v>
      </c>
      <c r="BP11" s="28">
        <f t="shared" si="2"/>
        <v>1.0491602265398392</v>
      </c>
      <c r="BQ11" s="28">
        <f t="shared" si="2"/>
        <v>1.0461071095245231</v>
      </c>
      <c r="BR11" s="28">
        <f t="shared" ref="BR11:CJ11" si="3">BR9*BR10</f>
        <v>0</v>
      </c>
      <c r="BS11" s="28">
        <f t="shared" si="3"/>
        <v>1.0816214788849225</v>
      </c>
      <c r="BT11" s="28">
        <f t="shared" si="3"/>
        <v>1.0539699649408063</v>
      </c>
      <c r="BU11" s="28">
        <f t="shared" si="3"/>
        <v>1.0279461968174364</v>
      </c>
      <c r="BV11" s="28">
        <f t="shared" si="3"/>
        <v>1.0815774684318344</v>
      </c>
      <c r="BW11" s="28">
        <f t="shared" si="3"/>
        <v>0.95622423109928778</v>
      </c>
      <c r="BX11" s="28">
        <f t="shared" si="3"/>
        <v>1.0874048700309589</v>
      </c>
      <c r="BY11" s="28">
        <f t="shared" si="3"/>
        <v>1.2276593869380343</v>
      </c>
      <c r="BZ11" s="28">
        <f t="shared" si="3"/>
        <v>1.0085261729131367</v>
      </c>
      <c r="CA11" s="28">
        <f t="shared" si="3"/>
        <v>1.1644165552230352</v>
      </c>
      <c r="CB11" s="28">
        <f t="shared" si="3"/>
        <v>1.5772629345120883</v>
      </c>
      <c r="CC11" s="28">
        <f t="shared" si="3"/>
        <v>2.2058246510186454</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435</v>
      </c>
      <c r="E12" s="157">
        <f>E2/股权价值增加表!E38</f>
        <v>0.75185792573132515</v>
      </c>
      <c r="F12" s="157">
        <f>F2/股权价值增加表!F38</f>
        <v>0.74936719144430086</v>
      </c>
      <c r="G12" s="157">
        <f>G2/股权价值增加表!G38</f>
        <v>0.741781788896686</v>
      </c>
      <c r="H12" s="157">
        <f>H2/股权价值增加表!H38</f>
        <v>0.75490192915597676</v>
      </c>
      <c r="I12" s="157">
        <f>I2/股权价值增加表!I38</f>
        <v>0.75654303328713091</v>
      </c>
      <c r="J12" s="157">
        <f>J2/股权价值增加表!J38</f>
        <v>0.75379109251459797</v>
      </c>
      <c r="K12" s="157">
        <f>K2/股权价值增加表!K38</f>
        <v>0.75646138466784973</v>
      </c>
      <c r="L12" s="157">
        <f>L2/股权价值增加表!L38</f>
        <v>0.7538518871228499</v>
      </c>
      <c r="M12" s="157">
        <f>M2/股权价值增加表!M38</f>
        <v>0.77353629575611926</v>
      </c>
      <c r="N12" s="157">
        <f>N2/股权价值增加表!N38</f>
        <v>0.76435137400683373</v>
      </c>
      <c r="O12" s="157">
        <f>O2/股权价值增加表!O38</f>
        <v>0.76266290147195059</v>
      </c>
      <c r="P12" s="157">
        <f>P2/股权价值增加表!P38</f>
        <v>0.76071048947241315</v>
      </c>
      <c r="Q12" s="157">
        <f>Q2/股权价值增加表!Q38</f>
        <v>0.75597035725138517</v>
      </c>
      <c r="R12" s="157">
        <f>R2/股权价值增加表!R38</f>
        <v>0.75854436756927757</v>
      </c>
      <c r="S12" s="157">
        <f>S2/股权价值增加表!S38</f>
        <v>0.75032264803931326</v>
      </c>
      <c r="T12" s="157">
        <f>T2/股权价值增加表!T38</f>
        <v>0.74572320138497905</v>
      </c>
      <c r="U12" s="157">
        <f>U2/股权价值增加表!U38</f>
        <v>0.74007996460460279</v>
      </c>
      <c r="V12" s="157">
        <f>V2/股权价值增加表!V38</f>
        <v>0.75277832195120298</v>
      </c>
      <c r="W12" s="157">
        <f>W2/股权价值增加表!W38</f>
        <v>0.75322419301414523</v>
      </c>
      <c r="X12" s="157">
        <f>X2/股权价值增加表!X38</f>
        <v>0.75405104969558934</v>
      </c>
      <c r="Y12" s="157">
        <f>Y2/股权价值增加表!Y38</f>
        <v>0.75253053393176572</v>
      </c>
      <c r="Z12" s="157">
        <f>Z2/股权价值增加表!Z38</f>
        <v>0.75723188355332027</v>
      </c>
      <c r="AA12" s="157">
        <f>AA2/股权价值增加表!AA38</f>
        <v>0.75374639173834423</v>
      </c>
      <c r="AB12" s="157">
        <f>AB2/股权价值增加表!AB38</f>
        <v>0.75419612545160009</v>
      </c>
      <c r="AC12" s="157">
        <f>AC2/股权价值增加表!AC38</f>
        <v>0.75252376290900291</v>
      </c>
      <c r="AD12" s="157">
        <f>AD2/股权价值增加表!AD38</f>
        <v>0.75576140011602555</v>
      </c>
      <c r="AE12" s="157">
        <f>AE2/股权价值增加表!AE38</f>
        <v>0.75550415185946318</v>
      </c>
      <c r="AF12" s="157">
        <f>AF2/股权价值增加表!AF38</f>
        <v>0.7556302236146879</v>
      </c>
      <c r="AG12" s="157">
        <f>AG2/股权价值增加表!AG38</f>
        <v>0.7516487377268577</v>
      </c>
      <c r="AH12" s="157">
        <f>AH2/股权价值增加表!AH38</f>
        <v>0.75503561117610685</v>
      </c>
      <c r="AI12" s="157">
        <f>AI2/股权价值增加表!AI38</f>
        <v>0.75356644348609059</v>
      </c>
      <c r="AJ12" s="157">
        <f>AJ2/股权价值增加表!AJ38</f>
        <v>0.75626498464452629</v>
      </c>
      <c r="AK12" s="157">
        <f>AK2/股权价值增加表!AK38</f>
        <v>0.75270909151681598</v>
      </c>
      <c r="AL12" s="157">
        <f>AL2/股权价值增加表!AL38</f>
        <v>0.7526729853927524</v>
      </c>
      <c r="AM12" s="157">
        <f>AM2/股权价值增加表!AM38</f>
        <v>0.75070991119267683</v>
      </c>
      <c r="AN12" s="157">
        <f>AN2/股权价值增加表!AN38</f>
        <v>0.76442526340259043</v>
      </c>
      <c r="AO12" s="157">
        <f>AO2/股权价值增加表!AO38</f>
        <v>0.76264326036374064</v>
      </c>
      <c r="AP12" s="157">
        <f>AP2/股权价值增加表!AP38</f>
        <v>0.76309747762834201</v>
      </c>
      <c r="AQ12" s="157">
        <f>AQ2/股权价值增加表!AQ38</f>
        <v>0.76423499844697984</v>
      </c>
      <c r="AR12" s="157">
        <f>AR2/股权价值增加表!AR38</f>
        <v>0.7515269118743747</v>
      </c>
      <c r="AS12" s="157">
        <f>AS2/股权价值增加表!AS38</f>
        <v>0.67610183526253065</v>
      </c>
      <c r="AT12" s="157">
        <f>AT2/股权价值增加表!AT38</f>
        <v>0.67178777722627636</v>
      </c>
      <c r="AU12" s="157">
        <f>AU2/股权价值增加表!AU38</f>
        <v>0.67090674838784348</v>
      </c>
      <c r="AV12" s="157">
        <f>AV2/股权价值增加表!AV38</f>
        <v>0.66550946028498792</v>
      </c>
      <c r="AW12" s="157">
        <f>AW2/股权价值增加表!AW38</f>
        <v>0.6597779318399527</v>
      </c>
      <c r="AX12" s="157">
        <f>AX2/股权价值增加表!AX38</f>
        <v>0.65962405185612782</v>
      </c>
      <c r="AY12" s="157">
        <f>AY2/股权价值增加表!AY38</f>
        <v>0.66128633558197991</v>
      </c>
      <c r="AZ12" s="157">
        <f>AZ2/股权价值增加表!AZ38</f>
        <v>0.66086661006390768</v>
      </c>
      <c r="BA12" s="157">
        <f>BA2/股权价值增加表!BA38</f>
        <v>0.66652942462936371</v>
      </c>
      <c r="BB12" s="157">
        <f>BB2/股权价值增加表!BB38</f>
        <v>0.66720935845174623</v>
      </c>
      <c r="BC12" s="157">
        <f>BC2/股权价值增加表!BC38</f>
        <v>0.63696339088466303</v>
      </c>
      <c r="BD12" s="157">
        <f>BD2/股权价值增加表!BD38</f>
        <v>0.63504477857786334</v>
      </c>
      <c r="BE12" s="157">
        <f>BE2/股权价值增加表!BE38</f>
        <v>0.65170009275211094</v>
      </c>
      <c r="BF12" s="157">
        <f>BF2/股权价值增加表!BF38</f>
        <v>0.65569132320029666</v>
      </c>
      <c r="BG12" s="157">
        <f>BG2/股权价值增加表!BG38</f>
        <v>0.65817464146354066</v>
      </c>
      <c r="BH12" s="157">
        <f>BH2/股权价值增加表!BH38</f>
        <v>0.66415622050271994</v>
      </c>
      <c r="BI12" s="157">
        <f>BI2/股权价值增加表!BI38</f>
        <v>0.64611450412452531</v>
      </c>
      <c r="BJ12" s="157">
        <f>BJ2/股权价值增加表!BJ38</f>
        <v>0.6364927637296719</v>
      </c>
      <c r="BK12" s="157">
        <f>BK2/股权价值增加表!BK38</f>
        <v>0.60825725605467451</v>
      </c>
      <c r="BL12" s="157">
        <f>BL2/股权价值增加表!BL38</f>
        <v>0.5812698413427555</v>
      </c>
      <c r="BM12" s="157">
        <f>BM2/股权价值增加表!BM38</f>
        <v>0.71096294297722129</v>
      </c>
      <c r="BN12" s="157">
        <f>BN2/股权价值增加表!BN38</f>
        <v>0.72755829017822338</v>
      </c>
      <c r="BO12" s="157">
        <f>BO2/股权价值增加表!BO38</f>
        <v>0.74605965992276846</v>
      </c>
      <c r="BP12" s="157">
        <f>BP2/股权价值增加表!BP38</f>
        <v>0.67517842661134864</v>
      </c>
      <c r="BQ12" s="157">
        <f>BQ2/股权价值增加表!BQ38</f>
        <v>0.87455691796730428</v>
      </c>
      <c r="BR12" s="157">
        <f>BR2/股权价值增加表!BR38</f>
        <v>0.95673154644508385</v>
      </c>
      <c r="BS12" s="157">
        <f>BS2/股权价值增加表!BS38</f>
        <v>0.72752888068795396</v>
      </c>
      <c r="BT12" s="157">
        <f>BT2/股权价值增加表!BT38</f>
        <v>0.66924609646363753</v>
      </c>
      <c r="BU12" s="157">
        <f>BU2/股权价值增加表!BU38</f>
        <v>0.76209442931819149</v>
      </c>
      <c r="BV12" s="157">
        <f>BV2/股权价值增加表!BV38</f>
        <v>0.59166565178492314</v>
      </c>
      <c r="BW12" s="157">
        <f>BW2/股权价值增加表!BW38</f>
        <v>0.61312143999409607</v>
      </c>
      <c r="BX12" s="157">
        <f>BX2/股权价值增加表!BX38</f>
        <v>0.82630054812577658</v>
      </c>
      <c r="BY12" s="157">
        <f>BY2/股权价值增加表!BY38</f>
        <v>0.61206163246598766</v>
      </c>
      <c r="BZ12" s="157">
        <f>BZ2/股权价值增加表!BZ38</f>
        <v>0.84999456039660437</v>
      </c>
      <c r="CA12" s="157">
        <f>CA2/股权价值增加表!CA38</f>
        <v>0.66989839891512737</v>
      </c>
      <c r="CB12" s="157">
        <f>CB2/股权价值增加表!CB38</f>
        <v>0.66972371401394104</v>
      </c>
      <c r="CC12" s="157">
        <f>CC2/股权价值增加表!CC38</f>
        <v>0.66968619304185173</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436</v>
      </c>
      <c r="E13" s="63">
        <f>1-E2/股权价值增加表!E38</f>
        <v>0.24814207426867485</v>
      </c>
      <c r="F13" s="63">
        <f>1-F2/股权价值增加表!F38</f>
        <v>0.25063280855569914</v>
      </c>
      <c r="G13" s="63">
        <f>1-G2/股权价值增加表!G38</f>
        <v>0.258218211103314</v>
      </c>
      <c r="H13" s="63">
        <f>1-H2/股权价值增加表!H38</f>
        <v>0.24509807084402324</v>
      </c>
      <c r="I13" s="63">
        <f>1-I2/股权价值增加表!I38</f>
        <v>0.24345696671286909</v>
      </c>
      <c r="J13" s="63">
        <f>1-J2/股权价值增加表!J38</f>
        <v>0.24620890748540203</v>
      </c>
      <c r="K13" s="63">
        <f>1-K2/股权价值增加表!K38</f>
        <v>0.24353861533215027</v>
      </c>
      <c r="L13" s="63">
        <f>1-L2/股权价值增加表!L38</f>
        <v>0.2461481128771501</v>
      </c>
      <c r="M13" s="63">
        <f>1-M2/股权价值增加表!M38</f>
        <v>0.22646370424388074</v>
      </c>
      <c r="N13" s="63">
        <f>1-N2/股权价值增加表!N38</f>
        <v>0.23564862599316627</v>
      </c>
      <c r="O13" s="63">
        <f>1-O2/股权价值增加表!O38</f>
        <v>0.23733709852804941</v>
      </c>
      <c r="P13" s="63">
        <f>1-P2/股权价值增加表!P38</f>
        <v>0.23928951052758685</v>
      </c>
      <c r="Q13" s="63">
        <f>1-Q2/股权价值增加表!Q38</f>
        <v>0.24402964274861483</v>
      </c>
      <c r="R13" s="63">
        <f>1-R2/股权价值增加表!R38</f>
        <v>0.24145563243072243</v>
      </c>
      <c r="S13" s="63">
        <f>1-S2/股权价值增加表!S38</f>
        <v>0.24967735196068674</v>
      </c>
      <c r="T13" s="63">
        <f>1-T2/股权价值增加表!T38</f>
        <v>0.25427679861502095</v>
      </c>
      <c r="U13" s="63">
        <f>1-U2/股权价值增加表!U38</f>
        <v>0.25992003539539721</v>
      </c>
      <c r="V13" s="63">
        <f>1-V2/股权价值增加表!V38</f>
        <v>0.24722167804879702</v>
      </c>
      <c r="W13" s="63">
        <f>1-W2/股权价值增加表!W38</f>
        <v>0.24677580698585477</v>
      </c>
      <c r="X13" s="63">
        <f>1-X2/股权价值增加表!X38</f>
        <v>0.24594895030441066</v>
      </c>
      <c r="Y13" s="63">
        <f>1-Y2/股权价值增加表!Y38</f>
        <v>0.24746946606823428</v>
      </c>
      <c r="Z13" s="63">
        <f>1-Z2/股权价值增加表!Z38</f>
        <v>0.24276811644667973</v>
      </c>
      <c r="AA13" s="63">
        <f>1-AA2/股权价值增加表!AA38</f>
        <v>0.24625360826165577</v>
      </c>
      <c r="AB13" s="63">
        <f>1-AB2/股权价值增加表!AB38</f>
        <v>0.24580387454839991</v>
      </c>
      <c r="AC13" s="63">
        <f>1-AC2/股权价值增加表!AC38</f>
        <v>0.24747623709099709</v>
      </c>
      <c r="AD13" s="63">
        <f>1-AD2/股权价值增加表!AD38</f>
        <v>0.24423859988397445</v>
      </c>
      <c r="AE13" s="63">
        <f>1-AE2/股权价值增加表!AE38</f>
        <v>0.24449584814053682</v>
      </c>
      <c r="AF13" s="63">
        <f>1-AF2/股权价值增加表!AF38</f>
        <v>0.2443697763853121</v>
      </c>
      <c r="AG13" s="63">
        <f>1-AG2/股权价值增加表!AG38</f>
        <v>0.2483512622731423</v>
      </c>
      <c r="AH13" s="63">
        <f>1-AH2/股权价值增加表!AH38</f>
        <v>0.24496438882389315</v>
      </c>
      <c r="AI13" s="63">
        <f>1-AI2/股权价值增加表!AI38</f>
        <v>0.24643355651390941</v>
      </c>
      <c r="AJ13" s="63">
        <f>1-AJ2/股权价值增加表!AJ38</f>
        <v>0.24373501535547371</v>
      </c>
      <c r="AK13" s="63">
        <f>1-AK2/股权价值增加表!AK38</f>
        <v>0.24729090848318402</v>
      </c>
      <c r="AL13" s="63">
        <f>1-AL2/股权价值增加表!AL38</f>
        <v>0.2473270146072476</v>
      </c>
      <c r="AM13" s="63">
        <f>1-AM2/股权价值增加表!AM38</f>
        <v>0.24929008880732317</v>
      </c>
      <c r="AN13" s="63">
        <f>1-AN2/股权价值增加表!AN38</f>
        <v>0.23557473659740957</v>
      </c>
      <c r="AO13" s="63">
        <f>1-AO2/股权价值增加表!AO38</f>
        <v>0.23735673963625936</v>
      </c>
      <c r="AP13" s="63">
        <f>1-AP2/股权价值增加表!AP38</f>
        <v>0.23690252237165799</v>
      </c>
      <c r="AQ13" s="63">
        <f>1-AQ2/股权价值增加表!AQ38</f>
        <v>0.23576500155302016</v>
      </c>
      <c r="AR13" s="63">
        <f>1-AR2/股权价值增加表!AR38</f>
        <v>0.2484730881256253</v>
      </c>
      <c r="AS13" s="63">
        <f>1-AS2/股权价值增加表!AS38</f>
        <v>0.32389816473746935</v>
      </c>
      <c r="AT13" s="63">
        <f>1-AT2/股权价值增加表!AT38</f>
        <v>0.32821222277372364</v>
      </c>
      <c r="AU13" s="63">
        <f>1-AU2/股权价值增加表!AU38</f>
        <v>0.32909325161215652</v>
      </c>
      <c r="AV13" s="63">
        <f>1-AV2/股权价值增加表!AV38</f>
        <v>0.33449053971501208</v>
      </c>
      <c r="AW13" s="63">
        <f>1-AW2/股权价值增加表!AW38</f>
        <v>0.3402220681600473</v>
      </c>
      <c r="AX13" s="63">
        <f>1-AX2/股权价值增加表!AX38</f>
        <v>0.34037594814387218</v>
      </c>
      <c r="AY13" s="63">
        <f>1-AY2/股权价值增加表!AY38</f>
        <v>0.33871366441802009</v>
      </c>
      <c r="AZ13" s="63">
        <f>1-AZ2/股权价值增加表!AZ38</f>
        <v>0.33913338993609232</v>
      </c>
      <c r="BA13" s="63">
        <f>1-BA2/股权价值增加表!BA38</f>
        <v>0.33347057537063629</v>
      </c>
      <c r="BB13" s="63">
        <f>1-BB2/股权价值增加表!BB38</f>
        <v>0.33279064154825377</v>
      </c>
      <c r="BC13" s="63">
        <f>1-BC2/股权价值增加表!BC38</f>
        <v>0.36303660911533697</v>
      </c>
      <c r="BD13" s="63">
        <f>1-BD2/股权价值增加表!BD38</f>
        <v>0.36495522142213666</v>
      </c>
      <c r="BE13" s="63">
        <f>1-BE2/股权价值增加表!BE38</f>
        <v>0.34829990724788906</v>
      </c>
      <c r="BF13" s="63">
        <f>1-BF2/股权价值增加表!BF38</f>
        <v>0.34430867679970334</v>
      </c>
      <c r="BG13" s="63">
        <f>1-BG2/股权价值增加表!BG38</f>
        <v>0.34182535853645934</v>
      </c>
      <c r="BH13" s="63">
        <f>1-BH2/股权价值增加表!BH38</f>
        <v>0.33584377949728006</v>
      </c>
      <c r="BI13" s="63">
        <f>1-BI2/股权价值增加表!BI38</f>
        <v>0.35388549587547469</v>
      </c>
      <c r="BJ13" s="63">
        <f>1-BJ2/股权价值增加表!BJ38</f>
        <v>0.3635072362703281</v>
      </c>
      <c r="BK13" s="63">
        <f>1-BK2/股权价值增加表!BK38</f>
        <v>0.39174274394532549</v>
      </c>
      <c r="BL13" s="63">
        <f>1-BL2/股权价值增加表!BL38</f>
        <v>0.4187301586572445</v>
      </c>
      <c r="BM13" s="63">
        <f>1-BM2/股权价值增加表!BM38</f>
        <v>0.28903705702277871</v>
      </c>
      <c r="BN13" s="63">
        <f>1-BN2/股权价值增加表!BN38</f>
        <v>0.27244170982177662</v>
      </c>
      <c r="BO13" s="63">
        <f>1-BO2/股权价值增加表!BO38</f>
        <v>0.25394034007723154</v>
      </c>
      <c r="BP13" s="63">
        <f>1-BP2/股权价值增加表!BP38</f>
        <v>0.32482157338865136</v>
      </c>
      <c r="BQ13" s="63">
        <f>1-BQ2/股权价值增加表!BQ38</f>
        <v>0.12544308203269572</v>
      </c>
      <c r="BR13" s="63">
        <f>1-BR2/股权价值增加表!BR38</f>
        <v>4.3268453554916153E-2</v>
      </c>
      <c r="BS13" s="63">
        <f>1-BS2/股权价值增加表!BS38</f>
        <v>0.27247111931204604</v>
      </c>
      <c r="BT13" s="63">
        <f>1-BT2/股权价值增加表!BT38</f>
        <v>0.33075390353636247</v>
      </c>
      <c r="BU13" s="63">
        <f>1-BU2/股权价值增加表!BU38</f>
        <v>0.23790557068180851</v>
      </c>
      <c r="BV13" s="63">
        <f>1-BV2/股权价值增加表!BV38</f>
        <v>0.40833434821507686</v>
      </c>
      <c r="BW13" s="63">
        <f>1-BW2/股权价值增加表!BW38</f>
        <v>0.38687856000590393</v>
      </c>
      <c r="BX13" s="63">
        <f>1-BX2/股权价值增加表!BX38</f>
        <v>0.17369945187422342</v>
      </c>
      <c r="BY13" s="63">
        <f>1-BY2/股权价值增加表!BY38</f>
        <v>0.38793836753401234</v>
      </c>
      <c r="BZ13" s="63">
        <f>1-BZ2/股权价值增加表!BZ38</f>
        <v>0.15000543960339563</v>
      </c>
      <c r="CA13" s="63">
        <f>1-CA2/股权价值增加表!CA38</f>
        <v>0.33010160108487263</v>
      </c>
      <c r="CB13" s="63">
        <f>1-CB2/股权价值增加表!CB38</f>
        <v>0.33027628598605896</v>
      </c>
      <c r="CC13" s="63">
        <f>1-CC2/股权价值增加表!CC38</f>
        <v>0.33031380695814827</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437</v>
      </c>
      <c r="E14" s="59">
        <f>E6*E7*E9*E10*E12</f>
        <v>0.18319679435552802</v>
      </c>
      <c r="F14" s="59">
        <f t="shared" ref="F14:BQ14" si="4">F6*F7*F9*F10*F12</f>
        <v>0.1401061620600271</v>
      </c>
      <c r="G14" s="59">
        <f t="shared" si="4"/>
        <v>0.10425875130183211</v>
      </c>
      <c r="H14" s="59">
        <f t="shared" si="4"/>
        <v>7.1983806041264919E-2</v>
      </c>
      <c r="I14" s="59">
        <f t="shared" si="4"/>
        <v>0.14701759283369289</v>
      </c>
      <c r="J14" s="59">
        <f t="shared" si="4"/>
        <v>0.11403885653921368</v>
      </c>
      <c r="K14" s="59">
        <f t="shared" si="4"/>
        <v>8.8819209512519162E-2</v>
      </c>
      <c r="L14" s="59">
        <f t="shared" si="4"/>
        <v>6.3528116055268119E-2</v>
      </c>
      <c r="M14" s="59">
        <f t="shared" si="4"/>
        <v>0.14457804861243928</v>
      </c>
      <c r="N14" s="59">
        <f t="shared" si="4"/>
        <v>0.11184525040382803</v>
      </c>
      <c r="O14" s="59">
        <f t="shared" si="4"/>
        <v>8.2765956628580176E-2</v>
      </c>
      <c r="P14" s="59">
        <f t="shared" si="4"/>
        <v>5.3720014492403406E-2</v>
      </c>
      <c r="Q14" s="59">
        <f t="shared" si="4"/>
        <v>0.15036515059462638</v>
      </c>
      <c r="R14" s="59">
        <f t="shared" si="4"/>
        <v>0.12536989266251689</v>
      </c>
      <c r="S14" s="59">
        <f t="shared" si="4"/>
        <v>0.10900323911248358</v>
      </c>
      <c r="T14" s="59">
        <f t="shared" si="4"/>
        <v>6.8810465789794384E-2</v>
      </c>
      <c r="U14" s="59">
        <f t="shared" si="4"/>
        <v>0.2249658277509802</v>
      </c>
      <c r="V14" s="59">
        <f t="shared" si="4"/>
        <v>0.20621753491464753</v>
      </c>
      <c r="W14" s="59">
        <f t="shared" si="4"/>
        <v>0.1751123518403154</v>
      </c>
      <c r="X14" s="59">
        <f t="shared" si="4"/>
        <v>0.10733597149714912</v>
      </c>
      <c r="Y14" s="59">
        <f t="shared" si="4"/>
        <v>0.32828789593082675</v>
      </c>
      <c r="Z14" s="59">
        <f t="shared" si="4"/>
        <v>0.27390988300013597</v>
      </c>
      <c r="AA14" s="59">
        <f t="shared" si="4"/>
        <v>0.19594469870251735</v>
      </c>
      <c r="AB14" s="59">
        <f t="shared" si="4"/>
        <v>0.11914942317561712</v>
      </c>
      <c r="AC14" s="59">
        <f t="shared" si="4"/>
        <v>0.27307139828594473</v>
      </c>
      <c r="AD14" s="59">
        <f t="shared" si="4"/>
        <v>0.2249926416781744</v>
      </c>
      <c r="AE14" s="59">
        <f t="shared" si="4"/>
        <v>0.16849015194940059</v>
      </c>
      <c r="AF14" s="59">
        <f t="shared" si="4"/>
        <v>0.10510452569558308</v>
      </c>
      <c r="AG14" s="59">
        <f t="shared" si="4"/>
        <v>0.24853440202501764</v>
      </c>
      <c r="AH14" s="59">
        <f t="shared" si="4"/>
        <v>0.20165311801947006</v>
      </c>
      <c r="AI14" s="59">
        <f t="shared" si="4"/>
        <v>0.14340681487875317</v>
      </c>
      <c r="AJ14" s="59">
        <f t="shared" si="4"/>
        <v>9.748670343829216E-2</v>
      </c>
      <c r="AK14" s="59">
        <f t="shared" si="4"/>
        <v>0.23776121752054946</v>
      </c>
      <c r="AL14" s="59">
        <f t="shared" si="4"/>
        <v>0.17444431241579256</v>
      </c>
      <c r="AM14" s="59">
        <f t="shared" si="4"/>
        <v>0.12570974064966495</v>
      </c>
      <c r="AN14" s="59">
        <f t="shared" si="4"/>
        <v>9.9745270999610974E-2</v>
      </c>
      <c r="AO14" s="59">
        <f t="shared" si="4"/>
        <v>0.15971630362840039</v>
      </c>
      <c r="AP14" s="59">
        <f t="shared" si="4"/>
        <v>0.14283527773767496</v>
      </c>
      <c r="AQ14" s="59">
        <f t="shared" si="4"/>
        <v>0.11963607608373648</v>
      </c>
      <c r="AR14" s="59">
        <f t="shared" si="4"/>
        <v>9.5443805065007908E-2</v>
      </c>
      <c r="AS14" s="59">
        <f t="shared" si="4"/>
        <v>0.15299686687975161</v>
      </c>
      <c r="AT14" s="59">
        <f t="shared" si="4"/>
        <v>0.1398801749295534</v>
      </c>
      <c r="AU14" s="59">
        <f t="shared" si="4"/>
        <v>0.12309446076843604</v>
      </c>
      <c r="AV14" s="59">
        <f t="shared" si="4"/>
        <v>8.2328280077280366E-2</v>
      </c>
      <c r="AW14" s="59">
        <f t="shared" si="4"/>
        <v>0.14176172554959052</v>
      </c>
      <c r="AX14" s="59">
        <f t="shared" si="4"/>
        <v>0.1252864099332589</v>
      </c>
      <c r="AY14" s="59">
        <f t="shared" si="4"/>
        <v>0.10334363484269118</v>
      </c>
      <c r="AZ14" s="59">
        <f t="shared" si="4"/>
        <v>6.8996539094858783E-2</v>
      </c>
      <c r="BA14" s="59">
        <f t="shared" si="4"/>
        <v>0.10740826831590829</v>
      </c>
      <c r="BB14" s="59">
        <f t="shared" si="4"/>
        <v>0.10455199329670678</v>
      </c>
      <c r="BC14" s="59">
        <f t="shared" si="4"/>
        <v>8.2143181602765708E-2</v>
      </c>
      <c r="BD14" s="59">
        <f t="shared" si="4"/>
        <v>5.9261619187499261E-2</v>
      </c>
      <c r="BE14" s="59">
        <f t="shared" si="4"/>
        <v>0.12538423665970641</v>
      </c>
      <c r="BF14" s="59">
        <f t="shared" si="4"/>
        <v>0.10507925201600647</v>
      </c>
      <c r="BG14" s="59">
        <f t="shared" si="4"/>
        <v>8.5161677950687117E-2</v>
      </c>
      <c r="BH14" s="59">
        <f t="shared" si="4"/>
        <v>5.9659386699899029E-2</v>
      </c>
      <c r="BI14" s="59">
        <f t="shared" si="4"/>
        <v>0.11618009882416963</v>
      </c>
      <c r="BJ14" s="59">
        <f t="shared" si="4"/>
        <v>9.2871823424655414E-2</v>
      </c>
      <c r="BK14" s="59">
        <f t="shared" si="4"/>
        <v>6.7973997872508019E-2</v>
      </c>
      <c r="BL14" s="59">
        <f t="shared" si="4"/>
        <v>5.1304671947083776E-2</v>
      </c>
      <c r="BM14" s="59">
        <f t="shared" si="4"/>
        <v>0.1155844046258494</v>
      </c>
      <c r="BN14" s="59">
        <f t="shared" si="4"/>
        <v>9.7711022041019863E-2</v>
      </c>
      <c r="BO14" s="59">
        <f t="shared" si="4"/>
        <v>7.3346965492383703E-2</v>
      </c>
      <c r="BP14" s="59">
        <f t="shared" si="4"/>
        <v>5.0928050656231558E-2</v>
      </c>
      <c r="BQ14" s="59">
        <f t="shared" si="4"/>
        <v>0.17313648866455314</v>
      </c>
      <c r="BR14" s="59" t="e">
        <f t="shared" ref="BR14:CJ14" si="5">BR6*BR7*BR9*BR10*BR12</f>
        <v>#DIV/0!</v>
      </c>
      <c r="BS14" s="59">
        <f t="shared" si="5"/>
        <v>0.10911835726567473</v>
      </c>
      <c r="BT14" s="59">
        <f t="shared" si="5"/>
        <v>6.626486275856068E-2</v>
      </c>
      <c r="BU14" s="59">
        <f t="shared" si="5"/>
        <v>0.23978751954247954</v>
      </c>
      <c r="BV14" s="59">
        <f t="shared" si="5"/>
        <v>0.1501429283394749</v>
      </c>
      <c r="BW14" s="59">
        <f t="shared" si="5"/>
        <v>0.19866618983059897</v>
      </c>
      <c r="BX14" s="59">
        <f t="shared" si="5"/>
        <v>0.15173301737880929</v>
      </c>
      <c r="BY14" s="59">
        <f t="shared" si="5"/>
        <v>0.23293163068219758</v>
      </c>
      <c r="BZ14" s="59">
        <f t="shared" si="5"/>
        <v>0.13563558059955741</v>
      </c>
      <c r="CA14" s="59">
        <f t="shared" si="5"/>
        <v>0.86940576595495644</v>
      </c>
      <c r="CB14" s="59">
        <f t="shared" si="5"/>
        <v>0.97983230948976774</v>
      </c>
      <c r="CC14" s="59">
        <f t="shared" si="5"/>
        <v>0.95863300784666772</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699</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37164</v>
      </c>
      <c r="BS18" s="1">
        <v>37072</v>
      </c>
      <c r="BT18" s="1">
        <v>36981</v>
      </c>
      <c r="BU18" s="1">
        <v>36891</v>
      </c>
      <c r="BV18" s="1">
        <v>36707</v>
      </c>
      <c r="BW18" s="1">
        <v>36525</v>
      </c>
      <c r="BX18" s="1">
        <v>36341</v>
      </c>
      <c r="BY18" s="1">
        <v>36160</v>
      </c>
      <c r="BZ18" s="1">
        <v>35976</v>
      </c>
      <c r="CA18" s="1">
        <v>35795</v>
      </c>
      <c r="CB18" s="1">
        <v>35430</v>
      </c>
      <c r="CC18" s="1">
        <v>35064</v>
      </c>
      <c r="CD18" s="1">
        <v>25569</v>
      </c>
      <c r="CE18" s="1"/>
      <c r="CF18" s="1"/>
      <c r="CG18" s="1"/>
      <c r="CH18" s="1"/>
      <c r="CI18" s="1"/>
      <c r="CJ18" s="1"/>
      <c r="CK18" s="1"/>
    </row>
    <row r="19" spans="1:89" s="116" customFormat="1" x14ac:dyDescent="0.25">
      <c r="A19" s="158" t="s">
        <v>447</v>
      </c>
      <c r="B19" s="76">
        <v>43373</v>
      </c>
      <c r="C19" s="76">
        <v>43281</v>
      </c>
      <c r="D19" s="76">
        <v>43190</v>
      </c>
      <c r="E19" s="76">
        <f>股权价值增加表!E4</f>
        <v>30186780409.139999</v>
      </c>
      <c r="F19" s="76">
        <f>股权价值增加表!F4</f>
        <v>21977596629.700001</v>
      </c>
      <c r="G19" s="76">
        <f>股权价值增加表!G4</f>
        <v>15621127660.559999</v>
      </c>
      <c r="H19" s="76">
        <f>股权价值增加表!H4</f>
        <v>10158807519.1</v>
      </c>
      <c r="I19" s="76">
        <f>股权价值增加表!I4</f>
        <v>24543792660.59</v>
      </c>
      <c r="J19" s="76">
        <f>股权价值增加表!J4</f>
        <v>17699643832.209999</v>
      </c>
      <c r="K19" s="76">
        <f>股权价值增加表!K4</f>
        <v>13255638646.02</v>
      </c>
      <c r="L19" s="76">
        <f>股权价值增加表!L4</f>
        <v>8825564213.4699993</v>
      </c>
      <c r="M19" s="76">
        <f>股权价值增加表!M4</f>
        <v>21659287359.66</v>
      </c>
      <c r="N19" s="76">
        <f>股权价值增加表!N4</f>
        <v>15131341357.209999</v>
      </c>
      <c r="O19" s="76">
        <f>股权价值增加表!O4</f>
        <v>11215414006.940001</v>
      </c>
      <c r="P19" s="76">
        <f>股权价值增加表!P4</f>
        <v>6735435074.1599998</v>
      </c>
      <c r="Q19" s="76">
        <f>股权价值增加表!Q4</f>
        <v>21011491536.139999</v>
      </c>
      <c r="R19" s="76">
        <f>股权价值增加表!R4</f>
        <v>15068314515.67</v>
      </c>
      <c r="S19" s="76">
        <f>股权价值增加表!S4</f>
        <v>11662532799.27</v>
      </c>
      <c r="T19" s="76">
        <f>股权价值增加表!T4</f>
        <v>6719851620.2700005</v>
      </c>
      <c r="U19" s="76">
        <f>股权价值增加表!U4</f>
        <v>24718588617.990002</v>
      </c>
      <c r="V19" s="76">
        <f>股权价值增加表!V4</f>
        <v>19165837235.439999</v>
      </c>
      <c r="W19" s="76">
        <f>股权价值增加表!W4</f>
        <v>15519877625.32</v>
      </c>
      <c r="X19" s="76">
        <f>股权价值增加表!X4</f>
        <v>8675799862.7600002</v>
      </c>
      <c r="Y19" s="76">
        <f>股权价值增加表!Y4</f>
        <v>27201045951.34</v>
      </c>
      <c r="Z19" s="76">
        <f>股权价值增加表!Z4</f>
        <v>21126603442.650002</v>
      </c>
      <c r="AA19" s="76">
        <f>股权价值增加表!AA4</f>
        <v>15049709413.35</v>
      </c>
      <c r="AB19" s="76">
        <f>股权价值增加表!AB4</f>
        <v>8230651472.6199999</v>
      </c>
      <c r="AC19" s="76">
        <f>股权价值增加表!AC4</f>
        <v>20350594468.709999</v>
      </c>
      <c r="AD19" s="76">
        <f>股权价值增加表!AD4</f>
        <v>15648774490.190001</v>
      </c>
      <c r="AE19" s="76">
        <f>股权价值增加表!AE4</f>
        <v>10594830203.200001</v>
      </c>
      <c r="AF19" s="76">
        <f>股权价值增加表!AF4</f>
        <v>6244557079.6499996</v>
      </c>
      <c r="AG19" s="76">
        <f>股权价值增加表!AG4</f>
        <v>15541300510.85</v>
      </c>
      <c r="AH19" s="76">
        <f>股权价值增加表!AH4</f>
        <v>11471710170.860001</v>
      </c>
      <c r="AI19" s="76">
        <f>股权价值增加表!AI4</f>
        <v>7576545903.4899998</v>
      </c>
      <c r="AJ19" s="76">
        <f>股权价值增加表!AJ4</f>
        <v>4493625787.5500002</v>
      </c>
      <c r="AK19" s="76">
        <f>股权价值增加表!AK4</f>
        <v>11129220549.610001</v>
      </c>
      <c r="AL19" s="76">
        <f>股权价值增加表!AL4</f>
        <v>8029680076.3699999</v>
      </c>
      <c r="AM19" s="76">
        <f>股权价值增加表!AM4</f>
        <v>5340889931.8100004</v>
      </c>
      <c r="AN19" s="76">
        <f>股权价值增加表!AN4</f>
        <v>3338850726.5900002</v>
      </c>
      <c r="AO19" s="76">
        <f>股权价值增加表!AO4</f>
        <v>7933068723.21</v>
      </c>
      <c r="AP19" s="76">
        <f>股权价值增加表!AP4</f>
        <v>6578679657.1199999</v>
      </c>
      <c r="AQ19" s="76">
        <f>股权价值增加表!AQ4</f>
        <v>4597277683.0200005</v>
      </c>
      <c r="AR19" s="76">
        <f>股权价值增加表!AR4</f>
        <v>3086147513.71</v>
      </c>
      <c r="AS19" s="76">
        <f>股权价值增加表!AS4</f>
        <v>7328555841.6199999</v>
      </c>
      <c r="AT19" s="76">
        <f>股权价值增加表!AT4</f>
        <v>6043063119.9700003</v>
      </c>
      <c r="AU19" s="76">
        <f>股权价值增加表!AU4</f>
        <v>4342880480.1599998</v>
      </c>
      <c r="AV19" s="76">
        <f>股权价值增加表!AV4</f>
        <v>3009852591.5900002</v>
      </c>
      <c r="AW19" s="76">
        <f>股权价值增加表!AW4</f>
        <v>7386141421.5100002</v>
      </c>
      <c r="AX19" s="76">
        <f>股权价值增加表!AX4</f>
        <v>5955523309.9399996</v>
      </c>
      <c r="AY19" s="76">
        <f>股权价值增加表!AY4</f>
        <v>4397011844.6999998</v>
      </c>
      <c r="AZ19" s="76">
        <f>股权价值增加表!AZ4</f>
        <v>2730446461.8499999</v>
      </c>
      <c r="BA19" s="76">
        <f>股权价值增加表!BA4</f>
        <v>6418751478.3199997</v>
      </c>
      <c r="BB19" s="76">
        <f>股权价值增加表!BB4</f>
        <v>4967771279.1899996</v>
      </c>
      <c r="BC19" s="76">
        <f>股权价值增加表!BC4</f>
        <v>3807013164.1999998</v>
      </c>
      <c r="BD19" s="76">
        <f>股权价值增加表!BD4</f>
        <v>2469452513.6900001</v>
      </c>
      <c r="BE19" s="76">
        <f>股权价值增加表!BE4</f>
        <v>6297583438.9799995</v>
      </c>
      <c r="BF19" s="76">
        <f>股权价值增加表!BF4</f>
        <v>4578081987.8100004</v>
      </c>
      <c r="BG19" s="76">
        <f>股权价值增加表!BG4</f>
        <v>3457300399.23</v>
      </c>
      <c r="BH19" s="76">
        <f>股权价值增加表!BH4</f>
        <v>2449943325.7399998</v>
      </c>
      <c r="BI19" s="76">
        <f>股权价值增加表!BI4</f>
        <v>6333090598.79</v>
      </c>
      <c r="BJ19" s="76">
        <f>股权价值增加表!BJ4</f>
        <v>4640989046.4700003</v>
      </c>
      <c r="BK19" s="76">
        <f>股权价值增加表!BK4</f>
        <v>3426815041.8899999</v>
      </c>
      <c r="BL19" s="76">
        <f>股权价值增加表!BL4</f>
        <v>2274657872.1900001</v>
      </c>
      <c r="BM19" s="76">
        <f>股权价值增加表!BM4</f>
        <v>5706517438.4499998</v>
      </c>
      <c r="BN19" s="76">
        <f>股权价值增加表!BN4</f>
        <v>4483326842.3900003</v>
      </c>
      <c r="BO19" s="76">
        <f>股权价值增加表!BO4</f>
        <v>3462399215.1500001</v>
      </c>
      <c r="BP19" s="76">
        <f>股权价值增加表!BP4</f>
        <v>2263204765.0599999</v>
      </c>
      <c r="BQ19" s="76">
        <f>股权价值增加表!BQ4</f>
        <v>4742095340.6499996</v>
      </c>
      <c r="BR19" s="76">
        <f>股权价值增加表!BR4</f>
        <v>3700110000</v>
      </c>
      <c r="BS19" s="76">
        <f>股权价值增加表!BS4</f>
        <v>2817494022.5799999</v>
      </c>
      <c r="BT19" s="76">
        <f>股权价值增加表!BT4</f>
        <v>1999899650.1600001</v>
      </c>
      <c r="BU19" s="76">
        <f>股权价值增加表!BU4</f>
        <v>3953640138.96</v>
      </c>
      <c r="BV19" s="76">
        <f>股权价值增加表!BV4</f>
        <v>2667684533.9200001</v>
      </c>
      <c r="BW19" s="76">
        <f>股权价值增加表!BW4</f>
        <v>3308791041.8000002</v>
      </c>
      <c r="BX19" s="76">
        <f>股权价值增加表!BX4</f>
        <v>1900893259.47</v>
      </c>
      <c r="BY19" s="76">
        <f>股权价值增加表!BY4</f>
        <v>2814346533.1199999</v>
      </c>
      <c r="BZ19" s="76">
        <f>股权价值增加表!BZ4</f>
        <v>1210433401.23</v>
      </c>
      <c r="CA19" s="76">
        <f>股权价值增加表!CA4</f>
        <v>2204454415.5599999</v>
      </c>
      <c r="CB19" s="76">
        <f>股权价值增加表!CB4</f>
        <v>1309696890.55</v>
      </c>
      <c r="CC19" s="76">
        <f>股权价值增加表!CC4</f>
        <v>914703675.36000001</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448</v>
      </c>
      <c r="E20" s="76">
        <f>股权价值增加表!E15</f>
        <v>12363339554.09</v>
      </c>
      <c r="F20" s="76">
        <f>股权价值增加表!F15</f>
        <v>9032690135.7299995</v>
      </c>
      <c r="G20" s="76">
        <f>股权价值增加表!G15</f>
        <v>6546608056.8099995</v>
      </c>
      <c r="H20" s="76">
        <f>股权价值增加表!H15</f>
        <v>4736521196.750001</v>
      </c>
      <c r="I20" s="76">
        <f>股权价值增加表!I15</f>
        <v>8568615588.8199997</v>
      </c>
      <c r="J20" s="76">
        <f>股权价值增加表!J15</f>
        <v>6457249919.6099987</v>
      </c>
      <c r="K20" s="76">
        <f>股权价值增加表!K15</f>
        <v>4971189886.8099995</v>
      </c>
      <c r="L20" s="76">
        <f>股权价值增加表!L15</f>
        <v>3811455270.48</v>
      </c>
      <c r="M20" s="76">
        <f>股权价值增加表!M15</f>
        <v>7521988022.3599997</v>
      </c>
      <c r="N20" s="76">
        <f>股权价值增加表!N15</f>
        <v>5682032286.8999987</v>
      </c>
      <c r="O20" s="76">
        <f>股权价值增加表!O15</f>
        <v>4116267654.2600007</v>
      </c>
      <c r="P20" s="76">
        <f>股权价值增加表!P15</f>
        <v>2837181770.3000002</v>
      </c>
      <c r="Q20" s="76">
        <f>股权价值增加表!Q15</f>
        <v>7350268061.3200006</v>
      </c>
      <c r="R20" s="76">
        <f>股权价值增加表!R15</f>
        <v>5967410600.8799992</v>
      </c>
      <c r="S20" s="76">
        <f>股权价值增加表!S15</f>
        <v>5208408593.2600002</v>
      </c>
      <c r="T20" s="76">
        <f>股权价值增加表!T15</f>
        <v>3423200720.5100012</v>
      </c>
      <c r="U20" s="76">
        <f>股权价值增加表!U15</f>
        <v>10428841340.690001</v>
      </c>
      <c r="V20" s="76">
        <f>股权价值增加表!V15</f>
        <v>9194578750.8899975</v>
      </c>
      <c r="W20" s="76">
        <f>股权价值增加表!W15</f>
        <v>7556432001.5200005</v>
      </c>
      <c r="X20" s="76">
        <f>股权价值增加表!X15</f>
        <v>4783776420.1000004</v>
      </c>
      <c r="Y20" s="76">
        <f>股权价值增加表!Y15</f>
        <v>12957347668.509996</v>
      </c>
      <c r="Z20" s="76">
        <f>股权价值增加表!Z15</f>
        <v>10098351844.860001</v>
      </c>
      <c r="AA20" s="76">
        <f>股权价值增加表!AA15</f>
        <v>6556426903.0100002</v>
      </c>
      <c r="AB20" s="76">
        <f>股权价值增加表!AB15</f>
        <v>4057064563.0700002</v>
      </c>
      <c r="AC20" s="76">
        <f>股权价值增加表!AC15</f>
        <v>8031676488.1999979</v>
      </c>
      <c r="AD20" s="76">
        <f>股权价值增加表!AD15</f>
        <v>6389154684.0999994</v>
      </c>
      <c r="AE20" s="76">
        <f>股权价值增加表!AE15</f>
        <v>4436870174.8800001</v>
      </c>
      <c r="AF20" s="76">
        <f>股权价值增加表!AF15</f>
        <v>2835324666.4299994</v>
      </c>
      <c r="AG20" s="76">
        <f>股权价值增加表!AG15</f>
        <v>5884228454.4300003</v>
      </c>
      <c r="AH20" s="76">
        <f>股权价值增加表!AH15</f>
        <v>4584123387.7000008</v>
      </c>
      <c r="AI20" s="76">
        <f>股权价值增加表!AI15</f>
        <v>3042919273.77</v>
      </c>
      <c r="AJ20" s="76">
        <f>股权价值增加表!AJ15</f>
        <v>2076374357.8</v>
      </c>
      <c r="AK20" s="76">
        <f>股权价值增加表!AK15</f>
        <v>4477217421.1800003</v>
      </c>
      <c r="AL20" s="76">
        <f>股权价值增加表!AL15</f>
        <v>3102024746.4900007</v>
      </c>
      <c r="AM20" s="76">
        <f>股权价值增加表!AM15</f>
        <v>2119589699.8700004</v>
      </c>
      <c r="AN20" s="76">
        <f>股权价值增加表!AN15</f>
        <v>1649469646.1600003</v>
      </c>
      <c r="AO20" s="76">
        <f>股权价值增加表!AO15</f>
        <v>2237622268.4900002</v>
      </c>
      <c r="AP20" s="76">
        <f>股权价值增加表!AP15</f>
        <v>2015282016.3899996</v>
      </c>
      <c r="AQ20" s="76">
        <f>股权价值增加表!AQ15</f>
        <v>1637826988.0300007</v>
      </c>
      <c r="AR20" s="76">
        <f>股权价值增加表!AR15</f>
        <v>1335910628.2199998</v>
      </c>
      <c r="AS20" s="76">
        <f>股权价值增加表!AS15</f>
        <v>2083106331.7599995</v>
      </c>
      <c r="AT20" s="76">
        <f>股权价值增加表!AT15</f>
        <v>1933521679.0500004</v>
      </c>
      <c r="AU20" s="76">
        <f>股权价值增加表!AU15</f>
        <v>1670479830.9299996</v>
      </c>
      <c r="AV20" s="76">
        <f>股权价值增加表!AV15</f>
        <v>1115416891.9000001</v>
      </c>
      <c r="AW20" s="76">
        <f>股权价值增加表!AW15</f>
        <v>1726773984.5200002</v>
      </c>
      <c r="AX20" s="76">
        <f>股权价值增加表!AX15</f>
        <v>1517156059.4099998</v>
      </c>
      <c r="AY20" s="76">
        <f>股权价值增加表!AY15</f>
        <v>1214412741.9199994</v>
      </c>
      <c r="AZ20" s="76">
        <f>股权价值增加表!AZ15</f>
        <v>825398587.63999999</v>
      </c>
      <c r="BA20" s="76">
        <f>股权价值增加表!BA15</f>
        <v>1168913264.8699996</v>
      </c>
      <c r="BB20" s="76">
        <f>股权价值增加表!BB15</f>
        <v>1146486701.2999995</v>
      </c>
      <c r="BC20" s="76">
        <f>股权价值增加表!BC15</f>
        <v>920867011.11999977</v>
      </c>
      <c r="BD20" s="76">
        <f>股权价值增加表!BD15</f>
        <v>647497079.54000008</v>
      </c>
      <c r="BE20" s="76">
        <f>股权价值增加表!BE15</f>
        <v>1240972705.5299997</v>
      </c>
      <c r="BF20" s="76">
        <f>股权价值增加表!BF15</f>
        <v>1017956701.9300003</v>
      </c>
      <c r="BG20" s="76">
        <f>股权价值增加表!BG15</f>
        <v>802766749.17999995</v>
      </c>
      <c r="BH20" s="76">
        <f>股权价值增加表!BH15</f>
        <v>572967000.40999985</v>
      </c>
      <c r="BI20" s="76">
        <f>股权价值增加表!BI15</f>
        <v>1055732464.6899999</v>
      </c>
      <c r="BJ20" s="76">
        <f>股权价值增加表!BJ15</f>
        <v>836691845.71000016</v>
      </c>
      <c r="BK20" s="76">
        <f>股权价值增加表!BK15</f>
        <v>626120879.14999998</v>
      </c>
      <c r="BL20" s="76">
        <f>股权价值增加表!BL15</f>
        <v>492586995.96999997</v>
      </c>
      <c r="BM20" s="76">
        <f>股权价值增加表!BM15</f>
        <v>838364695.9599998</v>
      </c>
      <c r="BN20" s="76">
        <f>股权价值增加表!BN15</f>
        <v>676667147.49000013</v>
      </c>
      <c r="BO20" s="76">
        <f>股权价值增加表!BO15</f>
        <v>485813806.44000018</v>
      </c>
      <c r="BP20" s="76">
        <f>股权价值增加表!BP15</f>
        <v>366396665.61999989</v>
      </c>
      <c r="BQ20" s="76">
        <f>股权价值增加表!BQ15</f>
        <v>893134619.91999996</v>
      </c>
      <c r="BR20" s="76">
        <f>股权价值增加表!BR15</f>
        <v>3698760000</v>
      </c>
      <c r="BS20" s="76">
        <f>股权价值增加表!BS15</f>
        <v>631534808.33999991</v>
      </c>
      <c r="BT20" s="76">
        <f>股权价值增加表!BT15</f>
        <v>408883947.53000009</v>
      </c>
      <c r="BU20" s="76">
        <f>股权价值增加表!BU15</f>
        <v>987370951.11000013</v>
      </c>
      <c r="BV20" s="76">
        <f>股权价值增加表!BV15</f>
        <v>715865560.12</v>
      </c>
      <c r="BW20" s="76">
        <f>股权价值增加表!BW15</f>
        <v>769213825.49000013</v>
      </c>
      <c r="BX20" s="76">
        <f>股权价值增加表!BX15</f>
        <v>374136798.97000003</v>
      </c>
      <c r="BY20" s="76">
        <f>股权价值增加表!BY15</f>
        <v>628908889.02999997</v>
      </c>
      <c r="BZ20" s="76">
        <f>股权价值增加表!BZ15</f>
        <v>293707157.80000001</v>
      </c>
      <c r="CA20" s="76">
        <f>股权价值增加表!CA15</f>
        <v>521078849.30999994</v>
      </c>
      <c r="CB20" s="76">
        <f>股权价值增加表!CB15</f>
        <v>403897356.88999999</v>
      </c>
      <c r="CC20" s="76">
        <f>股权价值增加表!CC15</f>
        <v>335872505.23000002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449</v>
      </c>
      <c r="E21" s="243">
        <f>E20/E19</f>
        <v>0.40956138370909567</v>
      </c>
      <c r="F21" s="243">
        <f t="shared" ref="F21:BQ21" si="6">F20/F19</f>
        <v>0.41099535531211984</v>
      </c>
      <c r="G21" s="243">
        <f t="shared" si="6"/>
        <v>0.41908677779638037</v>
      </c>
      <c r="H21" s="243">
        <f t="shared" si="6"/>
        <v>0.46624775475317043</v>
      </c>
      <c r="I21" s="243">
        <f t="shared" si="6"/>
        <v>0.34911538356411548</v>
      </c>
      <c r="J21" s="243">
        <f t="shared" si="6"/>
        <v>0.36482372079482339</v>
      </c>
      <c r="K21" s="243">
        <f t="shared" si="6"/>
        <v>0.37502454763298765</v>
      </c>
      <c r="L21" s="243">
        <f t="shared" si="6"/>
        <v>0.43186533781747055</v>
      </c>
      <c r="M21" s="243">
        <f t="shared" si="6"/>
        <v>0.34728695812815874</v>
      </c>
      <c r="N21" s="243">
        <f t="shared" si="6"/>
        <v>0.37551411687586722</v>
      </c>
      <c r="O21" s="243">
        <f t="shared" si="6"/>
        <v>0.36701878786756248</v>
      </c>
      <c r="P21" s="243">
        <f t="shared" si="6"/>
        <v>0.42123214596554259</v>
      </c>
      <c r="Q21" s="243">
        <f t="shared" si="6"/>
        <v>0.34982133698968765</v>
      </c>
      <c r="R21" s="243">
        <f t="shared" si="6"/>
        <v>0.39602376195919636</v>
      </c>
      <c r="S21" s="243">
        <f t="shared" si="6"/>
        <v>0.44659326433671537</v>
      </c>
      <c r="T21" s="243">
        <f t="shared" si="6"/>
        <v>0.50941611719284641</v>
      </c>
      <c r="U21" s="243">
        <f t="shared" si="6"/>
        <v>0.4219027834420922</v>
      </c>
      <c r="V21" s="243">
        <f t="shared" si="6"/>
        <v>0.47973791272150046</v>
      </c>
      <c r="W21" s="243">
        <f t="shared" si="6"/>
        <v>0.48688734434297426</v>
      </c>
      <c r="X21" s="243">
        <f t="shared" si="6"/>
        <v>0.55139312752405467</v>
      </c>
      <c r="Y21" s="243">
        <f t="shared" si="6"/>
        <v>0.47635475825780443</v>
      </c>
      <c r="Z21" s="243">
        <f t="shared" si="6"/>
        <v>0.47799220884099297</v>
      </c>
      <c r="AA21" s="243">
        <f t="shared" si="6"/>
        <v>0.43565139518202617</v>
      </c>
      <c r="AB21" s="243">
        <f t="shared" si="6"/>
        <v>0.49292143842637354</v>
      </c>
      <c r="AC21" s="243">
        <f t="shared" si="6"/>
        <v>0.39466544825258448</v>
      </c>
      <c r="AD21" s="243">
        <f t="shared" si="6"/>
        <v>0.40828466715430478</v>
      </c>
      <c r="AE21" s="243">
        <f t="shared" si="6"/>
        <v>0.41877690248777311</v>
      </c>
      <c r="AF21" s="243">
        <f t="shared" si="6"/>
        <v>0.45404736160869813</v>
      </c>
      <c r="AG21" s="243">
        <f t="shared" si="6"/>
        <v>0.37861879385975367</v>
      </c>
      <c r="AH21" s="243">
        <f t="shared" si="6"/>
        <v>0.39960244108541165</v>
      </c>
      <c r="AI21" s="243">
        <f t="shared" si="6"/>
        <v>0.40162355148780049</v>
      </c>
      <c r="AJ21" s="243">
        <f t="shared" si="6"/>
        <v>0.46207104373327756</v>
      </c>
      <c r="AK21" s="243">
        <f t="shared" si="6"/>
        <v>0.40229388942578687</v>
      </c>
      <c r="AL21" s="243">
        <f t="shared" si="6"/>
        <v>0.38631984300579281</v>
      </c>
      <c r="AM21" s="243">
        <f t="shared" si="6"/>
        <v>0.39686077169384432</v>
      </c>
      <c r="AN21" s="243">
        <f t="shared" si="6"/>
        <v>0.49402317780304583</v>
      </c>
      <c r="AO21" s="243">
        <f t="shared" si="6"/>
        <v>0.28206263509899093</v>
      </c>
      <c r="AP21" s="243">
        <f t="shared" si="6"/>
        <v>0.30633533192468065</v>
      </c>
      <c r="AQ21" s="243">
        <f t="shared" si="6"/>
        <v>0.35626018286415423</v>
      </c>
      <c r="AR21" s="243">
        <f t="shared" si="6"/>
        <v>0.43287322536764944</v>
      </c>
      <c r="AS21" s="243">
        <f t="shared" si="6"/>
        <v>0.28424513325391026</v>
      </c>
      <c r="AT21" s="243">
        <f t="shared" si="6"/>
        <v>0.31995722047986802</v>
      </c>
      <c r="AU21" s="243">
        <f t="shared" si="6"/>
        <v>0.38464789407892153</v>
      </c>
      <c r="AV21" s="243">
        <f t="shared" si="6"/>
        <v>0.37058854477347153</v>
      </c>
      <c r="AW21" s="243">
        <f t="shared" si="6"/>
        <v>0.23378566506880988</v>
      </c>
      <c r="AX21" s="243">
        <f t="shared" si="6"/>
        <v>0.25474773255908639</v>
      </c>
      <c r="AY21" s="243">
        <f t="shared" si="6"/>
        <v>0.27619046407250619</v>
      </c>
      <c r="AZ21" s="243">
        <f t="shared" si="6"/>
        <v>0.30229436803560522</v>
      </c>
      <c r="BA21" s="243">
        <f t="shared" si="6"/>
        <v>0.18210913272123491</v>
      </c>
      <c r="BB21" s="243">
        <f t="shared" si="6"/>
        <v>0.23078492081602744</v>
      </c>
      <c r="BC21" s="243">
        <f t="shared" si="6"/>
        <v>0.24188700469427177</v>
      </c>
      <c r="BD21" s="243">
        <f t="shared" si="6"/>
        <v>0.26220268498804705</v>
      </c>
      <c r="BE21" s="243">
        <f t="shared" si="6"/>
        <v>0.19705538125128777</v>
      </c>
      <c r="BF21" s="243">
        <f t="shared" si="6"/>
        <v>0.22235440619903715</v>
      </c>
      <c r="BG21" s="243">
        <f t="shared" si="6"/>
        <v>0.23219467690999307</v>
      </c>
      <c r="BH21" s="243">
        <f t="shared" si="6"/>
        <v>0.23386949175117611</v>
      </c>
      <c r="BI21" s="243">
        <f t="shared" si="6"/>
        <v>0.16670098875448081</v>
      </c>
      <c r="BJ21" s="243">
        <f t="shared" si="6"/>
        <v>0.18028308994747561</v>
      </c>
      <c r="BK21" s="243">
        <f t="shared" si="6"/>
        <v>0.18271218945177559</v>
      </c>
      <c r="BL21" s="243">
        <f t="shared" si="6"/>
        <v>0.21655432317641068</v>
      </c>
      <c r="BM21" s="243">
        <f t="shared" si="6"/>
        <v>0.14691354315526561</v>
      </c>
      <c r="BN21" s="243">
        <f t="shared" si="6"/>
        <v>0.15092969379169288</v>
      </c>
      <c r="BO21" s="243">
        <f t="shared" si="6"/>
        <v>0.14031132063405158</v>
      </c>
      <c r="BP21" s="243">
        <f t="shared" si="6"/>
        <v>0.1618928482639026</v>
      </c>
      <c r="BQ21" s="243">
        <f t="shared" si="6"/>
        <v>0.188341767881364</v>
      </c>
      <c r="BR21" s="243">
        <f t="shared" ref="BR21:CK21" si="7">BR20/BR19</f>
        <v>0.99963514598214642</v>
      </c>
      <c r="BS21" s="243">
        <f t="shared" si="7"/>
        <v>0.22414770121205044</v>
      </c>
      <c r="BT21" s="243">
        <f t="shared" si="7"/>
        <v>0.20445223213939145</v>
      </c>
      <c r="BU21" s="243">
        <f t="shared" si="7"/>
        <v>0.24973718305321707</v>
      </c>
      <c r="BV21" s="243">
        <f t="shared" si="7"/>
        <v>0.26834715687618399</v>
      </c>
      <c r="BW21" s="243">
        <f t="shared" si="7"/>
        <v>0.23247579426216763</v>
      </c>
      <c r="BX21" s="243">
        <f t="shared" si="7"/>
        <v>0.19682157170377648</v>
      </c>
      <c r="BY21" s="243">
        <f t="shared" si="7"/>
        <v>0.22346533436050894</v>
      </c>
      <c r="BZ21" s="243">
        <f t="shared" si="7"/>
        <v>0.24264627653330212</v>
      </c>
      <c r="CA21" s="243">
        <f t="shared" si="7"/>
        <v>0.23637542497227357</v>
      </c>
      <c r="CB21" s="243">
        <f t="shared" si="7"/>
        <v>0.30838994870056197</v>
      </c>
      <c r="CC21" s="243">
        <f t="shared" si="7"/>
        <v>0.36719269231952156</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686</v>
      </c>
      <c r="E22" s="26">
        <f>资产资本表!E69</f>
        <v>12605331807.880001</v>
      </c>
      <c r="F22" s="192">
        <f>资产资本表!F69</f>
        <v>13275905758.220001</v>
      </c>
      <c r="G22" s="192">
        <f>资产资本表!G69</f>
        <v>13870493619.020004</v>
      </c>
      <c r="H22" s="192">
        <f>资产资本表!H69</f>
        <v>14008986037.210001</v>
      </c>
      <c r="I22" s="192">
        <f>资产资本表!I69</f>
        <v>12140079128.939999</v>
      </c>
      <c r="J22" s="192">
        <f>资产资本表!J69</f>
        <v>11524144247.799999</v>
      </c>
      <c r="K22" s="192">
        <f>资产资本表!K69</f>
        <v>16440020210.600004</v>
      </c>
      <c r="L22" s="192">
        <f>资产资本表!L69</f>
        <v>19030459354.450001</v>
      </c>
      <c r="M22" s="192">
        <f>资产资本表!M69</f>
        <v>16669250080.91</v>
      </c>
      <c r="N22" s="192">
        <f>资产资本表!N69</f>
        <v>16069334786.140001</v>
      </c>
      <c r="O22" s="192">
        <f>资产资本表!O69</f>
        <v>17231777173.489998</v>
      </c>
      <c r="P22" s="192">
        <f>资产资本表!P69</f>
        <v>17285930775.439999</v>
      </c>
      <c r="Q22" s="192">
        <f>资产资本表!Q69</f>
        <v>16866509816.399998</v>
      </c>
      <c r="R22" s="192">
        <f>资产资本表!R69</f>
        <v>17129633546.33</v>
      </c>
      <c r="S22" s="192">
        <f>资产资本表!S69</f>
        <v>17029959858.769999</v>
      </c>
      <c r="T22" s="192">
        <f>资产资本表!T69</f>
        <v>15906870409.25</v>
      </c>
      <c r="U22" s="192">
        <f>资产资本表!U69</f>
        <v>10847627705.009998</v>
      </c>
      <c r="V22" s="192">
        <f>资产资本表!V69</f>
        <v>10848888235.609997</v>
      </c>
      <c r="W22" s="192">
        <f>资产资本表!W69</f>
        <v>8212177505.0699997</v>
      </c>
      <c r="X22" s="192">
        <f>资产资本表!X69</f>
        <v>6265494269.0499992</v>
      </c>
      <c r="Y22" s="192">
        <f>资产资本表!Y69</f>
        <v>3498398512.0099974</v>
      </c>
      <c r="Z22" s="192">
        <f>资产资本表!Z69</f>
        <v>3350248167.1699982</v>
      </c>
      <c r="AA22" s="192">
        <f>资产资本表!AA69</f>
        <v>3098511619.1899996</v>
      </c>
      <c r="AB22" s="192">
        <f>资产资本表!AB69</f>
        <v>3310242302.1500006</v>
      </c>
      <c r="AC22" s="192">
        <f>资产资本表!AC69</f>
        <v>1673928211.5599995</v>
      </c>
      <c r="AD22" s="192">
        <f>资产资本表!AD69</f>
        <v>3019842900.3100014</v>
      </c>
      <c r="AE22" s="192">
        <f>资产资本表!AE69</f>
        <v>2778141195.8099985</v>
      </c>
      <c r="AF22" s="192">
        <f>资产资本表!AF69</f>
        <v>4444141983.04</v>
      </c>
      <c r="AG22" s="192">
        <f>资产资本表!AG69</f>
        <v>4480834239.25</v>
      </c>
      <c r="AH22" s="192">
        <f>资产资本表!AH69</f>
        <v>6023913721.7299995</v>
      </c>
      <c r="AI22" s="192">
        <f>资产资本表!AI69</f>
        <v>6385481454.6199999</v>
      </c>
      <c r="AJ22" s="192">
        <f>资产资本表!AJ69</f>
        <v>6591573906.0100002</v>
      </c>
      <c r="AK22" s="192">
        <f>资产资本表!AK69</f>
        <v>7175477537.1200008</v>
      </c>
      <c r="AL22" s="192">
        <f>资产资本表!AL69</f>
        <v>7057585960.0100002</v>
      </c>
      <c r="AM22" s="192">
        <f>资产资本表!AM69</f>
        <v>7992954874.8000011</v>
      </c>
      <c r="AN22" s="192">
        <f>资产资本表!AN69</f>
        <v>5579292833.25</v>
      </c>
      <c r="AO22" s="192">
        <f>资产资本表!AO69</f>
        <v>5442164892.6500006</v>
      </c>
      <c r="AP22" s="192">
        <f>资产资本表!AP69</f>
        <v>5356545880.5900011</v>
      </c>
      <c r="AQ22" s="192">
        <f>资产资本表!AQ69</f>
        <v>5667754981.6400013</v>
      </c>
      <c r="AR22" s="192">
        <f>资产资本表!AR69</f>
        <v>5372111109.0000019</v>
      </c>
      <c r="AS22" s="192">
        <f>资产资本表!AS69</f>
        <v>5490273073.0699997</v>
      </c>
      <c r="AT22" s="192">
        <f>资产资本表!AT69</f>
        <v>4837386747.6099997</v>
      </c>
      <c r="AU22" s="192">
        <f>资产资本表!AU69</f>
        <v>5056150634.8699999</v>
      </c>
      <c r="AV22" s="192">
        <f>资产资本表!AV69</f>
        <v>5195864351.9399996</v>
      </c>
      <c r="AW22" s="192">
        <f>资产资本表!AW69</f>
        <v>5608773923.1499996</v>
      </c>
      <c r="AX22" s="192">
        <f>资产资本表!AX69</f>
        <v>5588582156.2700005</v>
      </c>
      <c r="AY22" s="192">
        <f>资产资本表!AY69</f>
        <v>5636262383.2399998</v>
      </c>
      <c r="AZ22" s="192">
        <f>资产资本表!AZ69</f>
        <v>5292858793.4200001</v>
      </c>
      <c r="BA22" s="192">
        <f>资产资本表!BA69</f>
        <v>5513196469.0899992</v>
      </c>
      <c r="BB22" s="192">
        <f>资产资本表!BB69</f>
        <v>5880141325.6700001</v>
      </c>
      <c r="BC22" s="192">
        <f>资产资本表!BC69</f>
        <v>5777021677.2699995</v>
      </c>
      <c r="BD22" s="192">
        <f>资产资本表!BD69</f>
        <v>5862421501.5100002</v>
      </c>
      <c r="BE22" s="192">
        <f>资产资本表!BE69</f>
        <v>5798381628.5500002</v>
      </c>
      <c r="BF22" s="192">
        <f>资产资本表!BF69</f>
        <v>5052105469.75</v>
      </c>
      <c r="BG22" s="192">
        <f>资产资本表!BG69</f>
        <v>5065381911.2299995</v>
      </c>
      <c r="BH22" s="192">
        <f>资产资本表!BH69</f>
        <v>4596576413.9399996</v>
      </c>
      <c r="BI22" s="192">
        <f>资产资本表!BI69</f>
        <v>5094894183.0299988</v>
      </c>
      <c r="BJ22" s="192">
        <f>资产资本表!BJ69</f>
        <v>4679398433.9300003</v>
      </c>
      <c r="BK22" s="192">
        <f>资产资本表!BK69</f>
        <v>4228482264.3299999</v>
      </c>
      <c r="BL22" s="192">
        <f>资产资本表!BL69</f>
        <v>4181629041.0600004</v>
      </c>
      <c r="BM22" s="192">
        <f>资产资本表!BM69</f>
        <v>4071653381.2200003</v>
      </c>
      <c r="BN22" s="192">
        <f>资产资本表!BN69</f>
        <v>3768827919.9800005</v>
      </c>
      <c r="BO22" s="192">
        <f>资产资本表!BO69</f>
        <v>3456589838.1000004</v>
      </c>
      <c r="BP22" s="192">
        <f>资产资本表!BP69</f>
        <v>3300113312.29</v>
      </c>
      <c r="BQ22" s="192">
        <f>资产资本表!BQ69</f>
        <v>3237266118.6400003</v>
      </c>
      <c r="BR22" s="192">
        <f>资产资本表!BR69</f>
        <v>0</v>
      </c>
      <c r="BS22" s="192">
        <f>资产资本表!BS69</f>
        <v>3052079531.7399998</v>
      </c>
      <c r="BT22" s="192">
        <f>资产资本表!BT69</f>
        <v>1987938852.9200001</v>
      </c>
      <c r="BU22" s="192">
        <f>资产资本表!BU69</f>
        <v>1510554788.22</v>
      </c>
      <c r="BV22" s="192">
        <f>资产资本表!BV69</f>
        <v>2446104959.1300006</v>
      </c>
      <c r="BW22" s="192">
        <f>资产资本表!BW69</f>
        <v>1335220854.1500003</v>
      </c>
      <c r="BX22" s="192">
        <f>资产资本表!BX69</f>
        <v>971228854.25999999</v>
      </c>
      <c r="BY22" s="192">
        <f>资产资本表!BY69</f>
        <v>976112987.00000012</v>
      </c>
      <c r="BZ22" s="192">
        <f>资产资本表!BZ69</f>
        <v>947921933.65999997</v>
      </c>
      <c r="CA22" s="192">
        <f>资产资本表!CA69</f>
        <v>296891322.03000003</v>
      </c>
      <c r="CB22" s="192">
        <f>资产资本表!CB69</f>
        <v>394306982.40000004</v>
      </c>
      <c r="CC22" s="192">
        <f>资产资本表!CC69</f>
        <v>478759163.12</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687</v>
      </c>
      <c r="E23" s="245">
        <f>E19/E22</f>
        <v>2.3947628566404946</v>
      </c>
      <c r="F23" s="245">
        <f t="shared" ref="F23:BQ23" si="8">F19/F22</f>
        <v>1.6554498826637272</v>
      </c>
      <c r="G23" s="245">
        <f t="shared" si="8"/>
        <v>1.1262128147436243</v>
      </c>
      <c r="H23" s="245">
        <f t="shared" si="8"/>
        <v>0.72516365510798997</v>
      </c>
      <c r="I23" s="245">
        <f t="shared" si="8"/>
        <v>2.021716036601569</v>
      </c>
      <c r="J23" s="245">
        <f t="shared" si="8"/>
        <v>1.5358748946229934</v>
      </c>
      <c r="K23" s="245">
        <f t="shared" si="8"/>
        <v>0.80630306266127239</v>
      </c>
      <c r="L23" s="245">
        <f t="shared" si="8"/>
        <v>0.46375991504410363</v>
      </c>
      <c r="M23" s="245">
        <f t="shared" si="8"/>
        <v>1.299355835117304</v>
      </c>
      <c r="N23" s="245">
        <f t="shared" si="8"/>
        <v>0.94162835976638981</v>
      </c>
      <c r="O23" s="245">
        <f t="shared" si="8"/>
        <v>0.65085648996170908</v>
      </c>
      <c r="P23" s="245">
        <f t="shared" si="8"/>
        <v>0.3896483887190943</v>
      </c>
      <c r="Q23" s="245">
        <f t="shared" si="8"/>
        <v>1.2457521896859578</v>
      </c>
      <c r="R23" s="245">
        <f t="shared" si="8"/>
        <v>0.87966356518457833</v>
      </c>
      <c r="S23" s="245">
        <f t="shared" si="8"/>
        <v>0.68482444444894519</v>
      </c>
      <c r="T23" s="245">
        <f t="shared" si="8"/>
        <v>0.42244963637613725</v>
      </c>
      <c r="U23" s="245">
        <f t="shared" si="8"/>
        <v>2.2787091602133129</v>
      </c>
      <c r="V23" s="245">
        <f t="shared" si="8"/>
        <v>1.766617631153278</v>
      </c>
      <c r="W23" s="245">
        <f t="shared" si="8"/>
        <v>1.8898614424418374</v>
      </c>
      <c r="X23" s="245">
        <f t="shared" si="8"/>
        <v>1.3846952036356202</v>
      </c>
      <c r="Y23" s="245">
        <f t="shared" si="8"/>
        <v>7.7752851363156159</v>
      </c>
      <c r="Z23" s="245">
        <f t="shared" si="8"/>
        <v>6.3059816432929923</v>
      </c>
      <c r="AA23" s="245">
        <f t="shared" si="8"/>
        <v>4.8570769656446329</v>
      </c>
      <c r="AB23" s="245">
        <f t="shared" si="8"/>
        <v>2.4864196398173619</v>
      </c>
      <c r="AC23" s="245">
        <f t="shared" si="8"/>
        <v>12.157387830714963</v>
      </c>
      <c r="AD23" s="245">
        <f t="shared" si="8"/>
        <v>5.1819829728836488</v>
      </c>
      <c r="AE23" s="245">
        <f t="shared" si="8"/>
        <v>3.8136399327648132</v>
      </c>
      <c r="AF23" s="245">
        <f t="shared" si="8"/>
        <v>1.40512096676498</v>
      </c>
      <c r="AG23" s="245">
        <f t="shared" si="8"/>
        <v>3.4683944285899977</v>
      </c>
      <c r="AH23" s="245">
        <f t="shared" si="8"/>
        <v>1.9043616327833885</v>
      </c>
      <c r="AI23" s="245">
        <f t="shared" si="8"/>
        <v>1.1865269607835516</v>
      </c>
      <c r="AJ23" s="245">
        <f t="shared" si="8"/>
        <v>0.68172273445236597</v>
      </c>
      <c r="AK23" s="245">
        <f t="shared" si="8"/>
        <v>1.5510076496005452</v>
      </c>
      <c r="AL23" s="245">
        <f t="shared" si="8"/>
        <v>1.1377374816074677</v>
      </c>
      <c r="AM23" s="245">
        <f t="shared" si="8"/>
        <v>0.66819968528142604</v>
      </c>
      <c r="AN23" s="245">
        <f t="shared" si="8"/>
        <v>0.59843618651668484</v>
      </c>
      <c r="AO23" s="245">
        <f t="shared" si="8"/>
        <v>1.457704586262009</v>
      </c>
      <c r="AP23" s="245">
        <f t="shared" si="8"/>
        <v>1.2281570631101149</v>
      </c>
      <c r="AQ23" s="245">
        <f t="shared" si="8"/>
        <v>0.81112851524321694</v>
      </c>
      <c r="AR23" s="245">
        <f t="shared" si="8"/>
        <v>0.57447574167625037</v>
      </c>
      <c r="AS23" s="245">
        <f t="shared" si="8"/>
        <v>1.3348253801011916</v>
      </c>
      <c r="AT23" s="245">
        <f t="shared" si="8"/>
        <v>1.2492412608844408</v>
      </c>
      <c r="AU23" s="245">
        <f t="shared" si="8"/>
        <v>0.85893020081504368</v>
      </c>
      <c r="AV23" s="245">
        <f t="shared" si="8"/>
        <v>0.57927851608870429</v>
      </c>
      <c r="AW23" s="245">
        <f t="shared" si="8"/>
        <v>1.3168905580280184</v>
      </c>
      <c r="AX23" s="245">
        <f t="shared" si="8"/>
        <v>1.0656590783510835</v>
      </c>
      <c r="AY23" s="245">
        <f t="shared" si="8"/>
        <v>0.78012901914839206</v>
      </c>
      <c r="AZ23" s="245">
        <f t="shared" si="8"/>
        <v>0.51587366457696715</v>
      </c>
      <c r="BA23" s="245">
        <f t="shared" si="8"/>
        <v>1.164252265325032</v>
      </c>
      <c r="BB23" s="245">
        <f t="shared" si="8"/>
        <v>0.84483875540592679</v>
      </c>
      <c r="BC23" s="245">
        <f t="shared" si="8"/>
        <v>0.65899236265269634</v>
      </c>
      <c r="BD23" s="245">
        <f t="shared" si="8"/>
        <v>0.42123421406221578</v>
      </c>
      <c r="BE23" s="245">
        <f t="shared" si="8"/>
        <v>1.0860933002360582</v>
      </c>
      <c r="BF23" s="245">
        <f t="shared" si="8"/>
        <v>0.9061730827318899</v>
      </c>
      <c r="BG23" s="245">
        <f t="shared" si="8"/>
        <v>0.68253499140215512</v>
      </c>
      <c r="BH23" s="245">
        <f t="shared" si="8"/>
        <v>0.53299305942354769</v>
      </c>
      <c r="BI23" s="245">
        <f t="shared" si="8"/>
        <v>1.2430269150405848</v>
      </c>
      <c r="BJ23" s="245">
        <f t="shared" si="8"/>
        <v>0.99179181084869883</v>
      </c>
      <c r="BK23" s="245">
        <f t="shared" si="8"/>
        <v>0.81041253756635456</v>
      </c>
      <c r="BL23" s="245">
        <f t="shared" si="8"/>
        <v>0.54396452909973991</v>
      </c>
      <c r="BM23" s="245">
        <f t="shared" si="8"/>
        <v>1.4015233872241211</v>
      </c>
      <c r="BN23" s="245">
        <f t="shared" si="8"/>
        <v>1.1895812007287909</v>
      </c>
      <c r="BO23" s="245">
        <f t="shared" si="8"/>
        <v>1.001680667166803</v>
      </c>
      <c r="BP23" s="245">
        <f t="shared" si="8"/>
        <v>0.6857960775563573</v>
      </c>
      <c r="BQ23" s="245">
        <f t="shared" si="8"/>
        <v>1.4648456959856575</v>
      </c>
      <c r="BR23" s="245" t="e">
        <f t="shared" ref="BR23:CK23" si="9">BR19/BR22</f>
        <v>#DIV/0!</v>
      </c>
      <c r="BS23" s="245">
        <f t="shared" si="9"/>
        <v>0.92313912310592317</v>
      </c>
      <c r="BT23" s="245">
        <f t="shared" si="9"/>
        <v>1.0060166826672921</v>
      </c>
      <c r="BU23" s="245">
        <f t="shared" si="9"/>
        <v>2.617343091288248</v>
      </c>
      <c r="BV23" s="245">
        <f t="shared" si="9"/>
        <v>1.0905846553979466</v>
      </c>
      <c r="BW23" s="245">
        <f t="shared" si="9"/>
        <v>2.4780852032949796</v>
      </c>
      <c r="BX23" s="245">
        <f t="shared" si="9"/>
        <v>1.9572042687285389</v>
      </c>
      <c r="BY23" s="245">
        <f t="shared" si="9"/>
        <v>2.883217998942575</v>
      </c>
      <c r="BZ23" s="245">
        <f t="shared" si="9"/>
        <v>1.2769336358284515</v>
      </c>
      <c r="CA23" s="245">
        <f t="shared" si="9"/>
        <v>7.4251224336467674</v>
      </c>
      <c r="CB23" s="245">
        <f t="shared" si="9"/>
        <v>3.3215158468114407</v>
      </c>
      <c r="CC23" s="245">
        <f t="shared" si="9"/>
        <v>1.9105716314629186</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694</v>
      </c>
      <c r="E24" s="160">
        <f>E21*E23</f>
        <v>0.98080238922082763</v>
      </c>
      <c r="F24" s="160">
        <f t="shared" ref="F24:BQ24" si="10">F21*F23</f>
        <v>0.68038221272678567</v>
      </c>
      <c r="G24" s="160">
        <f t="shared" si="10"/>
        <v>0.47198089964389739</v>
      </c>
      <c r="H24" s="160">
        <f t="shared" si="10"/>
        <v>0.33810592602270279</v>
      </c>
      <c r="I24" s="160">
        <f t="shared" si="10"/>
        <v>0.70581216957588011</v>
      </c>
      <c r="J24" s="160">
        <f t="shared" si="10"/>
        <v>0.56032359373171781</v>
      </c>
      <c r="K24" s="160">
        <f t="shared" si="10"/>
        <v>0.30238344132963618</v>
      </c>
      <c r="L24" s="160">
        <f t="shared" si="10"/>
        <v>0.20028183237672326</v>
      </c>
      <c r="M24" s="160">
        <f t="shared" si="10"/>
        <v>0.4512493355039619</v>
      </c>
      <c r="N24" s="160">
        <f t="shared" si="10"/>
        <v>0.35359474194294727</v>
      </c>
      <c r="O24" s="160">
        <f t="shared" si="10"/>
        <v>0.2388765600214828</v>
      </c>
      <c r="P24" s="160">
        <f t="shared" si="10"/>
        <v>0.16413242695216002</v>
      </c>
      <c r="Q24" s="160">
        <f t="shared" si="10"/>
        <v>0.43579069655377273</v>
      </c>
      <c r="R24" s="160">
        <f t="shared" si="10"/>
        <v>0.34836767434283544</v>
      </c>
      <c r="S24" s="160">
        <f t="shared" si="10"/>
        <v>0.30583798414403202</v>
      </c>
      <c r="T24" s="160">
        <f t="shared" si="10"/>
        <v>0.2152026534722617</v>
      </c>
      <c r="U24" s="160">
        <f t="shared" si="10"/>
        <v>0.96139373734898914</v>
      </c>
      <c r="V24" s="160">
        <f t="shared" si="10"/>
        <v>0.84751345494647512</v>
      </c>
      <c r="W24" s="160">
        <f t="shared" si="10"/>
        <v>0.92014961888668889</v>
      </c>
      <c r="X24" s="160">
        <f t="shared" si="10"/>
        <v>0.76351141900020236</v>
      </c>
      <c r="Y24" s="160">
        <f t="shared" si="10"/>
        <v>3.7037940714951252</v>
      </c>
      <c r="Z24" s="160">
        <f t="shared" si="10"/>
        <v>3.0142100945883721</v>
      </c>
      <c r="AA24" s="160">
        <f t="shared" si="10"/>
        <v>2.1159923565895666</v>
      </c>
      <c r="AB24" s="160">
        <f t="shared" si="10"/>
        <v>1.2256095453903597</v>
      </c>
      <c r="AC24" s="160">
        <f t="shared" si="10"/>
        <v>4.798100917789637</v>
      </c>
      <c r="AD24" s="160">
        <f t="shared" si="10"/>
        <v>2.1157241932830755</v>
      </c>
      <c r="AE24" s="160">
        <f t="shared" si="10"/>
        <v>1.5970643182469277</v>
      </c>
      <c r="AF24" s="160">
        <f t="shared" si="10"/>
        <v>0.63799146770070236</v>
      </c>
      <c r="AG24" s="160">
        <f t="shared" si="10"/>
        <v>1.3131993151826344</v>
      </c>
      <c r="AH24" s="160">
        <f t="shared" si="10"/>
        <v>0.76098755716964239</v>
      </c>
      <c r="AI24" s="160">
        <f t="shared" si="10"/>
        <v>0.47653717192591616</v>
      </c>
      <c r="AJ24" s="160">
        <f t="shared" si="10"/>
        <v>0.31500433544510875</v>
      </c>
      <c r="AK24" s="160">
        <f t="shared" si="10"/>
        <v>0.62396089988695125</v>
      </c>
      <c r="AL24" s="160">
        <f t="shared" si="10"/>
        <v>0.439530565276403</v>
      </c>
      <c r="AM24" s="160">
        <f t="shared" si="10"/>
        <v>0.26518224274637064</v>
      </c>
      <c r="AN24" s="160">
        <f t="shared" si="10"/>
        <v>0.29564134657530888</v>
      </c>
      <c r="AO24" s="160">
        <f t="shared" si="10"/>
        <v>0.4111639967969466</v>
      </c>
      <c r="AP24" s="160">
        <f t="shared" si="10"/>
        <v>0.37622790158347802</v>
      </c>
      <c r="AQ24" s="160">
        <f t="shared" si="10"/>
        <v>0.28897279316687841</v>
      </c>
      <c r="AR24" s="160">
        <f t="shared" si="10"/>
        <v>0.24867516719487109</v>
      </c>
      <c r="AS24" s="160">
        <f t="shared" si="10"/>
        <v>0.37941761803756463</v>
      </c>
      <c r="AT24" s="160">
        <f t="shared" si="10"/>
        <v>0.39970376154135134</v>
      </c>
      <c r="AU24" s="160">
        <f t="shared" si="10"/>
        <v>0.33038569290429171</v>
      </c>
      <c r="AV24" s="160">
        <f t="shared" si="10"/>
        <v>0.21467398229584894</v>
      </c>
      <c r="AW24" s="160">
        <f t="shared" si="10"/>
        <v>0.30787013493141646</v>
      </c>
      <c r="AX24" s="160">
        <f t="shared" si="10"/>
        <v>0.27147423389094433</v>
      </c>
      <c r="AY24" s="160">
        <f t="shared" si="10"/>
        <v>0.21546419583502346</v>
      </c>
      <c r="AZ24" s="160">
        <f t="shared" si="10"/>
        <v>0.15594570341950606</v>
      </c>
      <c r="BA24" s="160">
        <f t="shared" si="10"/>
        <v>0.21202097030707465</v>
      </c>
      <c r="BB24" s="160">
        <f t="shared" si="10"/>
        <v>0.19497604526866799</v>
      </c>
      <c r="BC24" s="160">
        <f t="shared" si="10"/>
        <v>0.159401688718462</v>
      </c>
      <c r="BD24" s="160">
        <f t="shared" si="10"/>
        <v>0.11044874193594274</v>
      </c>
      <c r="BE24" s="160">
        <f t="shared" si="10"/>
        <v>0.21402052935248581</v>
      </c>
      <c r="BF24" s="160">
        <f t="shared" si="10"/>
        <v>0.20149157772440035</v>
      </c>
      <c r="BG24" s="160">
        <f t="shared" si="10"/>
        <v>0.15848099180838832</v>
      </c>
      <c r="BH24" s="160">
        <f t="shared" si="10"/>
        <v>0.1246508159142895</v>
      </c>
      <c r="BI24" s="160">
        <f t="shared" si="10"/>
        <v>0.2072138157856975</v>
      </c>
      <c r="BJ24" s="160">
        <f t="shared" si="10"/>
        <v>0.17880329224440569</v>
      </c>
      <c r="BK24" s="160">
        <f t="shared" si="10"/>
        <v>0.14807224909791797</v>
      </c>
      <c r="BL24" s="160">
        <f t="shared" si="10"/>
        <v>0.11779787043116913</v>
      </c>
      <c r="BM24" s="160">
        <f t="shared" si="10"/>
        <v>0.20590276663206494</v>
      </c>
      <c r="BN24" s="160">
        <f t="shared" si="10"/>
        <v>0.17954312636635075</v>
      </c>
      <c r="BO24" s="160">
        <f t="shared" si="10"/>
        <v>0.14054713726377199</v>
      </c>
      <c r="BP24" s="160">
        <f t="shared" si="10"/>
        <v>0.11102548032381093</v>
      </c>
      <c r="BQ24" s="160">
        <f t="shared" si="10"/>
        <v>0.27589162805534578</v>
      </c>
      <c r="BR24" s="160" t="e">
        <f t="shared" ref="BR24:CK24" si="11">BR21*BR23</f>
        <v>#DIV/0!</v>
      </c>
      <c r="BS24" s="160">
        <f t="shared" si="11"/>
        <v>0.20691951234310071</v>
      </c>
      <c r="BT24" s="160">
        <f t="shared" si="11"/>
        <v>0.20568235634079371</v>
      </c>
      <c r="BU24" s="160">
        <f t="shared" si="11"/>
        <v>0.65364789070212626</v>
      </c>
      <c r="BV24" s="160">
        <f t="shared" si="11"/>
        <v>0.2926552916088318</v>
      </c>
      <c r="BW24" s="160">
        <f t="shared" si="11"/>
        <v>0.57609482588532557</v>
      </c>
      <c r="BX24" s="160">
        <f t="shared" si="11"/>
        <v>0.38522002031649155</v>
      </c>
      <c r="BY24" s="160">
        <f t="shared" si="11"/>
        <v>0.64429927416794008</v>
      </c>
      <c r="BZ24" s="160">
        <f t="shared" si="11"/>
        <v>0.30984319211390537</v>
      </c>
      <c r="CA24" s="160">
        <f t="shared" si="11"/>
        <v>1.7551164707244167</v>
      </c>
      <c r="CB24" s="160">
        <f t="shared" si="11"/>
        <v>1.0243221016062838</v>
      </c>
      <c r="CC24" s="160">
        <f t="shared" si="11"/>
        <v>0.70154794122616981</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37164</v>
      </c>
      <c r="BS25" s="1">
        <v>37072</v>
      </c>
      <c r="BT25" s="1">
        <v>36981</v>
      </c>
      <c r="BU25" s="1">
        <v>36891</v>
      </c>
      <c r="BV25" s="1">
        <v>36707</v>
      </c>
      <c r="BW25" s="1">
        <v>36525</v>
      </c>
      <c r="BX25" s="1">
        <v>36341</v>
      </c>
      <c r="BY25" s="1">
        <v>36160</v>
      </c>
      <c r="BZ25" s="1">
        <v>35976</v>
      </c>
      <c r="CA25" s="1">
        <v>35795</v>
      </c>
      <c r="CB25" s="1">
        <v>35430</v>
      </c>
      <c r="CC25" s="1">
        <v>35064</v>
      </c>
      <c r="CD25" s="1">
        <v>25569</v>
      </c>
      <c r="CE25" s="1"/>
      <c r="CF25" s="1"/>
      <c r="CG25" s="1"/>
      <c r="CH25" s="1"/>
      <c r="CI25" s="1"/>
      <c r="CJ25" s="1"/>
      <c r="CK25" s="1"/>
    </row>
    <row r="26" spans="1:89" s="76" customFormat="1" x14ac:dyDescent="0.25">
      <c r="A26" s="146" t="s">
        <v>443</v>
      </c>
      <c r="E26" s="76">
        <f>利润表!E14</f>
        <v>68210911.069999993</v>
      </c>
      <c r="F26" s="76">
        <f>利润表!F14</f>
        <v>22396528.84</v>
      </c>
      <c r="G26" s="76">
        <f>利润表!G14</f>
        <v>22396528.84</v>
      </c>
      <c r="H26" s="76">
        <f>利润表!H14</f>
        <v>0</v>
      </c>
      <c r="I26" s="76">
        <f>利润表!I14</f>
        <v>33428752.969999999</v>
      </c>
      <c r="J26" s="76">
        <f>利润表!J14</f>
        <v>10147483.09</v>
      </c>
      <c r="K26" s="76">
        <f>利润表!K14</f>
        <v>10147483.09</v>
      </c>
      <c r="L26" s="76">
        <f>利润表!L14</f>
        <v>0</v>
      </c>
      <c r="M26" s="76">
        <f>利润表!M14</f>
        <v>34144563.939999998</v>
      </c>
      <c r="N26" s="76">
        <f>利润表!N14</f>
        <v>11944354.91</v>
      </c>
      <c r="O26" s="76">
        <f>利润表!O14</f>
        <v>11944354.91</v>
      </c>
      <c r="P26" s="76">
        <f>利润表!P14</f>
        <v>0</v>
      </c>
      <c r="Q26" s="76">
        <f>利润表!Q14</f>
        <v>14487542.039999999</v>
      </c>
      <c r="R26" s="76">
        <f>利润表!R14</f>
        <v>-5764261.4800000004</v>
      </c>
      <c r="S26" s="76">
        <f>利润表!S14</f>
        <v>-5764261.4800000004</v>
      </c>
      <c r="T26" s="76">
        <f>利润表!T14</f>
        <v>0</v>
      </c>
      <c r="U26" s="76">
        <f>利润表!U14</f>
        <v>566442.73</v>
      </c>
      <c r="V26" s="76">
        <f>利润表!V14</f>
        <v>-6197824.0800000001</v>
      </c>
      <c r="W26" s="76">
        <f>利润表!W14</f>
        <v>-6197824.0800000001</v>
      </c>
      <c r="X26" s="76">
        <f>利润表!X14</f>
        <v>0</v>
      </c>
      <c r="Y26" s="76">
        <f>利润表!Y14</f>
        <v>-396769.54</v>
      </c>
      <c r="Z26" s="76">
        <f>利润表!Z14</f>
        <v>0</v>
      </c>
      <c r="AA26" s="76">
        <f>利润表!AA14</f>
        <v>0</v>
      </c>
      <c r="AB26" s="76">
        <f>利润表!AB14</f>
        <v>0</v>
      </c>
      <c r="AC26" s="76">
        <f>利润表!AC14</f>
        <v>2110192.46</v>
      </c>
      <c r="AD26" s="76">
        <f>利润表!AD14</f>
        <v>-4089468.16</v>
      </c>
      <c r="AE26" s="76">
        <f>利润表!AE14</f>
        <v>-4089468.16</v>
      </c>
      <c r="AF26" s="76">
        <f>利润表!AF14</f>
        <v>0</v>
      </c>
      <c r="AG26" s="76">
        <f>利润表!AG14</f>
        <v>2545036.6</v>
      </c>
      <c r="AH26" s="76">
        <f>利润表!AH14</f>
        <v>0</v>
      </c>
      <c r="AI26" s="76">
        <f>利润表!AI14</f>
        <v>-4182065.41</v>
      </c>
      <c r="AJ26" s="76">
        <f>利润表!AJ14</f>
        <v>0</v>
      </c>
      <c r="AK26" s="76">
        <f>利润表!AK14</f>
        <v>2508787.02</v>
      </c>
      <c r="AL26" s="76">
        <f>利润表!AL14</f>
        <v>-2412569.77</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444</v>
      </c>
      <c r="E27" s="76">
        <f>资产资本表!E19</f>
        <v>862854004.09000003</v>
      </c>
      <c r="F27" s="76">
        <f>资产资本表!F19</f>
        <v>817039621.86000001</v>
      </c>
      <c r="G27" s="76">
        <f>资产资本表!G19</f>
        <v>817039621.86000001</v>
      </c>
      <c r="H27" s="76">
        <f>资产资本表!H19</f>
        <v>794643093.01999998</v>
      </c>
      <c r="I27" s="76">
        <f>资产资本表!I19</f>
        <v>794643093.01999998</v>
      </c>
      <c r="J27" s="76">
        <f>资产资本表!J19</f>
        <v>776343407.57000005</v>
      </c>
      <c r="K27" s="76">
        <f>资产资本表!K19</f>
        <v>777443407.57000005</v>
      </c>
      <c r="L27" s="76">
        <f>资产资本表!L19</f>
        <v>866009462.48000002</v>
      </c>
      <c r="M27" s="76">
        <f>资产资本表!M19</f>
        <v>902009462.48000002</v>
      </c>
      <c r="N27" s="76">
        <f>资产资本表!N19</f>
        <v>879809253.45000005</v>
      </c>
      <c r="O27" s="76">
        <f>资产资本表!O19</f>
        <v>879809253.45000005</v>
      </c>
      <c r="P27" s="76">
        <f>资产资本表!P19</f>
        <v>867864898.53999996</v>
      </c>
      <c r="Q27" s="76">
        <f>资产资本表!Q19</f>
        <v>867864898.53999996</v>
      </c>
      <c r="R27" s="76">
        <f>资产资本表!R19</f>
        <v>847613095.01999998</v>
      </c>
      <c r="S27" s="76">
        <f>资产资本表!S19</f>
        <v>834813095.01999998</v>
      </c>
      <c r="T27" s="76">
        <f>资产资本表!T19</f>
        <v>840577356.5</v>
      </c>
      <c r="U27" s="76">
        <f>资产资本表!U19</f>
        <v>120577356.5</v>
      </c>
      <c r="V27" s="76">
        <f>资产资本表!V19</f>
        <v>113813089.69</v>
      </c>
      <c r="W27" s="76">
        <f>资产资本表!W19</f>
        <v>113939689.69</v>
      </c>
      <c r="X27" s="76">
        <f>资产资本表!X19</f>
        <v>120137513.77</v>
      </c>
      <c r="Y27" s="76">
        <f>资产资本表!Y19</f>
        <v>120351122.77</v>
      </c>
      <c r="Z27" s="76">
        <f>资产资本表!Z19</f>
        <v>116553819.92</v>
      </c>
      <c r="AA27" s="76">
        <f>资产资本表!AA19</f>
        <v>116553819.92</v>
      </c>
      <c r="AB27" s="76">
        <f>资产资本表!AB19</f>
        <v>120875383.31</v>
      </c>
      <c r="AC27" s="76">
        <f>资产资本表!AC19</f>
        <v>130875383.31</v>
      </c>
      <c r="AD27" s="76">
        <f>资产资本表!AD19</f>
        <v>126434622.69</v>
      </c>
      <c r="AE27" s="76">
        <f>资产资本表!AE19</f>
        <v>28434622.690000001</v>
      </c>
      <c r="AF27" s="76">
        <f>资产资本表!AF19</f>
        <v>32524090.850000001</v>
      </c>
      <c r="AG27" s="76">
        <f>资产资本表!AG19</f>
        <v>32524090.850000001</v>
      </c>
      <c r="AH27" s="76">
        <f>资产资本表!AH19</f>
        <v>67796988.840000004</v>
      </c>
      <c r="AI27" s="76">
        <f>资产资本表!AI19</f>
        <v>25796988.84</v>
      </c>
      <c r="AJ27" s="76">
        <f>资产资本表!AJ19</f>
        <v>29979154.25</v>
      </c>
      <c r="AK27" s="76">
        <f>资产资本表!AK19</f>
        <v>29979054.25</v>
      </c>
      <c r="AL27" s="76">
        <f>资产资本表!AL19</f>
        <v>25057697.460000001</v>
      </c>
      <c r="AM27" s="76">
        <f>资产资本表!AM19</f>
        <v>25057697.460000001</v>
      </c>
      <c r="AN27" s="76">
        <f>资产资本表!AN19</f>
        <v>27470267.23</v>
      </c>
      <c r="AO27" s="76">
        <f>资产资本表!AO19</f>
        <v>27470267.23</v>
      </c>
      <c r="AP27" s="76">
        <f>资产资本表!AP19</f>
        <v>24961576.43</v>
      </c>
      <c r="AQ27" s="76">
        <f>资产资本表!AQ19</f>
        <v>24961576.43</v>
      </c>
      <c r="AR27" s="76">
        <f>资产资本表!AR19</f>
        <v>26391145.920000002</v>
      </c>
      <c r="AS27" s="76">
        <f>资产资本表!AS19</f>
        <v>26391145.920000002</v>
      </c>
      <c r="AT27" s="76">
        <f>资产资本表!AT19</f>
        <v>23748167.739999998</v>
      </c>
      <c r="AU27" s="76">
        <f>资产资本表!AU19</f>
        <v>23748167.739999998</v>
      </c>
      <c r="AV27" s="76">
        <f>资产资本表!AV19</f>
        <v>26391145.920000002</v>
      </c>
      <c r="AW27" s="76">
        <f>资产资本表!AW19</f>
        <v>26391145.920000002</v>
      </c>
      <c r="AX27" s="76">
        <f>资产资本表!AX19</f>
        <v>26684924.460000001</v>
      </c>
      <c r="AY27" s="76">
        <f>资产资本表!AY19</f>
        <v>26747904.73</v>
      </c>
      <c r="AZ27" s="76">
        <f>资产资本表!AZ19</f>
        <v>27119534.640000001</v>
      </c>
      <c r="BA27" s="76">
        <f>资产资本表!BA19</f>
        <v>27119534.640000001</v>
      </c>
      <c r="BB27" s="76">
        <f>资产资本表!BB19</f>
        <v>30576600</v>
      </c>
      <c r="BC27" s="76">
        <f>资产资本表!BC19</f>
        <v>30576600</v>
      </c>
      <c r="BD27" s="76">
        <f>资产资本表!BD19</f>
        <v>13426600</v>
      </c>
      <c r="BE27" s="76">
        <f>资产资本表!BE19</f>
        <v>3426600</v>
      </c>
      <c r="BF27" s="76">
        <f>资产资本表!BF19</f>
        <v>7976600</v>
      </c>
      <c r="BG27" s="76">
        <f>资产资本表!BG19</f>
        <v>3426600</v>
      </c>
      <c r="BH27" s="76">
        <f>资产资本表!BH19</f>
        <v>3426600</v>
      </c>
      <c r="BI27" s="76">
        <f>资产资本表!BI19</f>
        <v>3426600</v>
      </c>
      <c r="BJ27" s="76">
        <f>资产资本表!BJ19</f>
        <v>3656600</v>
      </c>
      <c r="BK27" s="76">
        <f>资产资本表!BK19</f>
        <v>3656600</v>
      </c>
      <c r="BL27" s="76">
        <f>资产资本表!BL19</f>
        <v>3656600</v>
      </c>
      <c r="BM27" s="76">
        <f>资产资本表!BM19</f>
        <v>3656600</v>
      </c>
      <c r="BN27" s="76">
        <f>资产资本表!BN19</f>
        <v>3656600</v>
      </c>
      <c r="BO27" s="76">
        <f>资产资本表!BO19</f>
        <v>3656600</v>
      </c>
      <c r="BP27" s="76">
        <f>资产资本表!BP19</f>
        <v>3656600</v>
      </c>
      <c r="BQ27" s="76">
        <f>资产资本表!BQ19</f>
        <v>3656600</v>
      </c>
      <c r="BR27" s="76">
        <f>资产资本表!BR19</f>
        <v>0</v>
      </c>
      <c r="BS27" s="76">
        <f>资产资本表!BS19</f>
        <v>5656600</v>
      </c>
      <c r="BT27" s="76">
        <f>资产资本表!BT19</f>
        <v>5806600</v>
      </c>
      <c r="BU27" s="76">
        <f>资产资本表!BU19</f>
        <v>5806600</v>
      </c>
      <c r="BV27" s="76">
        <f>资产资本表!BV19</f>
        <v>5406600</v>
      </c>
      <c r="BW27" s="76">
        <f>资产资本表!BW19</f>
        <v>3506600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445</v>
      </c>
      <c r="E28" s="110">
        <f>E26/E27</f>
        <v>7.9052667944605429E-2</v>
      </c>
      <c r="F28" s="110">
        <f t="shared" ref="F28:BQ28" si="12">F26/F27</f>
        <v>2.7411802611254088E-2</v>
      </c>
      <c r="G28" s="110">
        <f t="shared" si="12"/>
        <v>2.7411802611254088E-2</v>
      </c>
      <c r="H28" s="110">
        <f t="shared" si="12"/>
        <v>0</v>
      </c>
      <c r="I28" s="110">
        <f t="shared" si="12"/>
        <v>4.2067631699856285E-2</v>
      </c>
      <c r="J28" s="110">
        <f t="shared" si="12"/>
        <v>1.3070869142512861E-2</v>
      </c>
      <c r="K28" s="110">
        <f t="shared" si="12"/>
        <v>1.305237524840203E-2</v>
      </c>
      <c r="L28" s="110">
        <f t="shared" si="12"/>
        <v>0</v>
      </c>
      <c r="M28" s="110">
        <f t="shared" si="12"/>
        <v>3.7853886638974231E-2</v>
      </c>
      <c r="N28" s="110">
        <f t="shared" si="12"/>
        <v>1.3576073294481215E-2</v>
      </c>
      <c r="O28" s="110">
        <f t="shared" si="12"/>
        <v>1.3576073294481215E-2</v>
      </c>
      <c r="P28" s="110">
        <f t="shared" si="12"/>
        <v>0</v>
      </c>
      <c r="Q28" s="110">
        <f t="shared" si="12"/>
        <v>1.6693314897713044E-2</v>
      </c>
      <c r="R28" s="110">
        <f t="shared" si="12"/>
        <v>-6.8005809653801878E-3</v>
      </c>
      <c r="S28" s="110">
        <f t="shared" si="12"/>
        <v>-6.9048527321698321E-3</v>
      </c>
      <c r="T28" s="110">
        <f t="shared" si="12"/>
        <v>0</v>
      </c>
      <c r="U28" s="110">
        <f t="shared" si="12"/>
        <v>4.6977537610886338E-3</v>
      </c>
      <c r="V28" s="110">
        <f t="shared" si="12"/>
        <v>-5.4456162264651727E-2</v>
      </c>
      <c r="W28" s="110">
        <f t="shared" si="12"/>
        <v>-5.4395655252903123E-2</v>
      </c>
      <c r="X28" s="110">
        <f t="shared" si="12"/>
        <v>0</v>
      </c>
      <c r="Y28" s="110">
        <f t="shared" si="12"/>
        <v>-3.2967664186918828E-3</v>
      </c>
      <c r="Z28" s="110">
        <f t="shared" si="12"/>
        <v>0</v>
      </c>
      <c r="AA28" s="110">
        <f t="shared" si="12"/>
        <v>0</v>
      </c>
      <c r="AB28" s="110">
        <f t="shared" si="12"/>
        <v>0</v>
      </c>
      <c r="AC28" s="110">
        <f t="shared" si="12"/>
        <v>1.6123677399298691E-2</v>
      </c>
      <c r="AD28" s="110">
        <f t="shared" si="12"/>
        <v>-3.2344527732935967E-2</v>
      </c>
      <c r="AE28" s="110">
        <f t="shared" si="12"/>
        <v>-0.14382002548738584</v>
      </c>
      <c r="AF28" s="110">
        <f t="shared" si="12"/>
        <v>0</v>
      </c>
      <c r="AG28" s="110">
        <f t="shared" si="12"/>
        <v>7.82508145035513E-2</v>
      </c>
      <c r="AH28" s="110">
        <f t="shared" si="12"/>
        <v>0</v>
      </c>
      <c r="AI28" s="110">
        <f t="shared" si="12"/>
        <v>-0.16211447917190325</v>
      </c>
      <c r="AJ28" s="110">
        <f t="shared" si="12"/>
        <v>0</v>
      </c>
      <c r="AK28" s="110">
        <f t="shared" si="12"/>
        <v>8.3684661933589852E-2</v>
      </c>
      <c r="AL28" s="110">
        <f t="shared" si="12"/>
        <v>-9.6280584991946028E-2</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t="e">
        <f t="shared" ref="BR28:CJ28" si="13">BR26/BR27</f>
        <v>#DIV/0!</v>
      </c>
      <c r="BS28" s="110">
        <f t="shared" si="13"/>
        <v>0</v>
      </c>
      <c r="BT28" s="110">
        <f t="shared" si="13"/>
        <v>0</v>
      </c>
      <c r="BU28" s="110">
        <f t="shared" si="13"/>
        <v>0</v>
      </c>
      <c r="BV28" s="110">
        <f t="shared" si="13"/>
        <v>0</v>
      </c>
      <c r="BW28" s="110">
        <f t="shared" si="13"/>
        <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696</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36981</v>
      </c>
      <c r="BU31" s="1">
        <v>36891</v>
      </c>
      <c r="BV31" s="1">
        <v>36707</v>
      </c>
      <c r="BW31" s="1">
        <v>36525</v>
      </c>
      <c r="BX31" s="1">
        <v>36341</v>
      </c>
      <c r="BY31" s="1">
        <v>36160</v>
      </c>
      <c r="BZ31" s="1">
        <v>35976</v>
      </c>
      <c r="CA31" s="1">
        <v>35795</v>
      </c>
      <c r="CB31" s="1">
        <v>35430</v>
      </c>
      <c r="CC31" s="1">
        <v>35064</v>
      </c>
      <c r="CD31" s="1">
        <v>25569</v>
      </c>
      <c r="CE31" s="1"/>
      <c r="CF31" s="1"/>
      <c r="CG31" s="1"/>
      <c r="CH31" s="1"/>
      <c r="CI31" s="1"/>
      <c r="CJ31" s="1"/>
      <c r="CK31" s="1"/>
    </row>
    <row r="32" spans="1:89" s="76" customFormat="1" x14ac:dyDescent="0.25">
      <c r="A32" s="146" t="s">
        <v>450</v>
      </c>
      <c r="E32" s="76">
        <f>股权价值增加表!E29</f>
        <v>678768112.79025447</v>
      </c>
      <c r="F32" s="76">
        <f>股权价值增加表!F29</f>
        <v>23777.420984527667</v>
      </c>
      <c r="G32" s="76">
        <f>股权价值增加表!G29</f>
        <v>17569.843451806904</v>
      </c>
      <c r="H32" s="76">
        <f>股权价值增加表!H29</f>
        <v>11931.979892239367</v>
      </c>
      <c r="I32" s="76">
        <f>股权价值增加表!I29</f>
        <v>578786873.11333334</v>
      </c>
      <c r="J32" s="76">
        <f>股权价值增加表!J29</f>
        <v>0</v>
      </c>
      <c r="K32" s="76">
        <f>股权价值增加表!K29</f>
        <v>0</v>
      </c>
      <c r="L32" s="76">
        <f>股权价值增加表!L29</f>
        <v>0</v>
      </c>
      <c r="M32" s="76">
        <f>股权价值增加表!M29</f>
        <v>577421459.30226803</v>
      </c>
      <c r="N32" s="76">
        <f>股权价值增加表!N29</f>
        <v>0</v>
      </c>
      <c r="O32" s="76">
        <f>股权价值增加表!O29</f>
        <v>0</v>
      </c>
      <c r="P32" s="76">
        <f>股权价值增加表!P29</f>
        <v>0</v>
      </c>
      <c r="Q32" s="76">
        <f>股权价值增加表!Q29</f>
        <v>499141581.74779475</v>
      </c>
      <c r="R32" s="76">
        <f>股权价值增加表!R29</f>
        <v>-7282.0259286650653</v>
      </c>
      <c r="S32" s="76">
        <f>股权价值增加表!S29</f>
        <v>0</v>
      </c>
      <c r="T32" s="76">
        <f>股权价值增加表!T29</f>
        <v>0</v>
      </c>
      <c r="U32" s="76">
        <f>股权价值增加表!U29</f>
        <v>605303894.77604604</v>
      </c>
      <c r="V32" s="76">
        <f>股权价值增加表!V29</f>
        <v>-2513200.3972591017</v>
      </c>
      <c r="W32" s="76">
        <f>股权价值增加表!W29</f>
        <v>-2514688.9673996558</v>
      </c>
      <c r="X32" s="76">
        <f>股权价值增加表!X29</f>
        <v>-885840.59336451394</v>
      </c>
      <c r="Y32" s="76">
        <f>股权价值增加表!Y29</f>
        <v>588348922.22400308</v>
      </c>
      <c r="Z32" s="76">
        <f>股权价值增加表!Z29</f>
        <v>-2921301.901572688</v>
      </c>
      <c r="AA32" s="76">
        <f>股权价值增加表!AA29</f>
        <v>-2202572.6589451921</v>
      </c>
      <c r="AB32" s="76">
        <f>股权价值增加表!AB29</f>
        <v>-404721.32543620293</v>
      </c>
      <c r="AC32" s="76">
        <f>股权价值增加表!AC29</f>
        <v>351086807.93118536</v>
      </c>
      <c r="AD32" s="76">
        <f>股权价值增加表!AD29</f>
        <v>-2002261.6524739498</v>
      </c>
      <c r="AE32" s="76">
        <f>股权价值增加表!AE29</f>
        <v>23998.166301490983</v>
      </c>
      <c r="AF32" s="76">
        <f>股权价值增加表!AF29</f>
        <v>1339340.8113306623</v>
      </c>
      <c r="AG32" s="76">
        <f>股权价值增加表!AG29</f>
        <v>137904572.6116291</v>
      </c>
      <c r="AH32" s="76">
        <f>股权价值增加表!AH29</f>
        <v>-7859269.4337257836</v>
      </c>
      <c r="AI32" s="76">
        <f>股权价值增加表!AI29</f>
        <v>-4944316.3130011512</v>
      </c>
      <c r="AJ32" s="76">
        <f>股权价值增加表!AJ29</f>
        <v>-1271665.6369249478</v>
      </c>
      <c r="AK32" s="76">
        <f>股权价值增加表!AK29</f>
        <v>12141376.51242766</v>
      </c>
      <c r="AL32" s="76">
        <f>股权价值增加表!AL29</f>
        <v>23435.670150250007</v>
      </c>
      <c r="AM32" s="76">
        <f>股权价值增加表!AM29</f>
        <v>-1811140.0377828369</v>
      </c>
      <c r="AN32" s="76">
        <f>股权价值增加表!AN29</f>
        <v>0</v>
      </c>
      <c r="AO32" s="76">
        <f>股权价值增加表!AO29</f>
        <v>1204306.2243682612</v>
      </c>
      <c r="AP32" s="76">
        <f>股权价值增加表!AP29</f>
        <v>-709352.13309926423</v>
      </c>
      <c r="AQ32" s="76">
        <f>股权价值增加表!AQ29</f>
        <v>-710409.53774650977</v>
      </c>
      <c r="AR32" s="76">
        <f>股权价值增加表!AR29</f>
        <v>0</v>
      </c>
      <c r="AS32" s="76">
        <f>股权价值增加表!AS29</f>
        <v>2036826.0521224146</v>
      </c>
      <c r="AT32" s="76">
        <f>股权价值增加表!AT29</f>
        <v>373919.95205583191</v>
      </c>
      <c r="AU32" s="76">
        <f>股权价值增加表!AU29</f>
        <v>57022.538283347589</v>
      </c>
      <c r="AV32" s="76">
        <f>股权价值增加表!AV29</f>
        <v>638820.7540173009</v>
      </c>
      <c r="AW32" s="76">
        <f>股权价值增加表!AW29</f>
        <v>3332995.2827236345</v>
      </c>
      <c r="AX32" s="76">
        <f>股权价值增加表!AX29</f>
        <v>1646525.6693383539</v>
      </c>
      <c r="AY32" s="76">
        <f>股权价值增加表!AY29</f>
        <v>1211682.762478485</v>
      </c>
      <c r="AZ32" s="76">
        <f>股权价值增加表!AZ29</f>
        <v>66086.661006390757</v>
      </c>
      <c r="BA32" s="76">
        <f>股权价值增加表!BA29</f>
        <v>-2614806.5304329824</v>
      </c>
      <c r="BB32" s="76">
        <f>股权价值增加表!BB29</f>
        <v>-331846.51584541693</v>
      </c>
      <c r="BC32" s="76">
        <f>股权价值增加表!BC29</f>
        <v>-318414.04993021954</v>
      </c>
      <c r="BD32" s="76">
        <f>股权价值增加表!BD29</f>
        <v>0</v>
      </c>
      <c r="BE32" s="76">
        <f>股权价值增加表!BE29</f>
        <v>-82605.430631677882</v>
      </c>
      <c r="BF32" s="76">
        <f>股权价值增加表!BF29</f>
        <v>225732.10449152192</v>
      </c>
      <c r="BG32" s="76">
        <f>股权价值增加表!BG29</f>
        <v>226587.0260649054</v>
      </c>
      <c r="BH32" s="76">
        <f>股权价值增加表!BH29</f>
        <v>681668.34636370104</v>
      </c>
      <c r="BI32" s="76">
        <f>股权价值增加表!BI29</f>
        <v>-358222.15024985076</v>
      </c>
      <c r="BJ32" s="76">
        <f>股权价值增加表!BJ29</f>
        <v>182835.1623666072</v>
      </c>
      <c r="BK32" s="76">
        <f>股权价值增加表!BK29</f>
        <v>31887.442620869388</v>
      </c>
      <c r="BL32" s="76">
        <f>股权价值增加表!BL29</f>
        <v>154304.40360030826</v>
      </c>
      <c r="BM32" s="76">
        <f>股权价值增加表!BM29</f>
        <v>127214.30569797734</v>
      </c>
      <c r="BN32" s="76">
        <f>股权价值增加表!BN29</f>
        <v>1361355.852477863</v>
      </c>
      <c r="BO32" s="76">
        <f>股权价值增加表!BO29</f>
        <v>1127834.4654909205</v>
      </c>
      <c r="BP32" s="76">
        <f>股权价值增加表!BP29</f>
        <v>-117500.77494400027</v>
      </c>
      <c r="BQ32" s="76">
        <f>股权价值增加表!BQ29</f>
        <v>10800749.907346986</v>
      </c>
      <c r="BR32" s="76">
        <f>股权价值增加表!BR29</f>
        <v>12169625.270781467</v>
      </c>
      <c r="BS32" s="76">
        <f>股权价值增加表!BS29</f>
        <v>7105271.9861778887</v>
      </c>
      <c r="BT32" s="76">
        <f>股权价值增加表!BT29</f>
        <v>3579475.6299231229</v>
      </c>
      <c r="BU32" s="76">
        <f>股权价值增加表!BU29</f>
        <v>1808908.6329901891</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451</v>
      </c>
    </row>
    <row r="34" spans="1:89" s="76" customFormat="1" x14ac:dyDescent="0.25">
      <c r="A34" s="146" t="s">
        <v>452</v>
      </c>
      <c r="E34" s="76">
        <f>资产资本表!E4</f>
        <v>40591803405.779999</v>
      </c>
      <c r="F34" s="76">
        <f>资产资本表!F4</f>
        <v>37009464495.18</v>
      </c>
      <c r="G34" s="76">
        <f>资产资本表!G4</f>
        <v>34460702655.580002</v>
      </c>
      <c r="H34" s="76">
        <f>资产资本表!H4</f>
        <v>36444229729.18</v>
      </c>
      <c r="I34" s="76">
        <f>资产资本表!I4</f>
        <v>34665917836.050003</v>
      </c>
      <c r="J34" s="76">
        <f>资产资本表!J4</f>
        <v>33661137100.450001</v>
      </c>
      <c r="K34" s="76">
        <f>资产资本表!K4</f>
        <v>30573225873.509998</v>
      </c>
      <c r="L34" s="76">
        <f>资产资本表!L4</f>
        <v>27021018337.57</v>
      </c>
      <c r="M34" s="76">
        <f>资产资本表!M4</f>
        <v>26374190180.509998</v>
      </c>
      <c r="N34" s="76">
        <f>资产资本表!N4</f>
        <v>25368524052.240002</v>
      </c>
      <c r="O34" s="76">
        <f>资产资本表!O4</f>
        <v>22852502534.740002</v>
      </c>
      <c r="P34" s="76">
        <f>资产资本表!P4</f>
        <v>24216910201.84</v>
      </c>
      <c r="Q34" s="76">
        <f>资产资本表!Q4</f>
        <v>22382106584.48</v>
      </c>
      <c r="R34" s="76">
        <f>资产资本表!R4</f>
        <v>20816459339.529999</v>
      </c>
      <c r="S34" s="76">
        <f>资产资本表!S4</f>
        <v>20044935398.400002</v>
      </c>
      <c r="T34" s="76">
        <f>资产资本表!T4</f>
        <v>22776856360.029999</v>
      </c>
      <c r="U34" s="76">
        <f>资产资本表!U4</f>
        <v>25763495274.950001</v>
      </c>
      <c r="V34" s="76">
        <f>资产资本表!V4</f>
        <v>24575610378.689999</v>
      </c>
      <c r="W34" s="76">
        <f>资产资本表!W4</f>
        <v>25756055774.560001</v>
      </c>
      <c r="X34" s="76">
        <f>资产资本表!X4</f>
        <v>28805906991.02</v>
      </c>
      <c r="Y34" s="76">
        <f>资产资本表!Y4</f>
        <v>27845507237.169998</v>
      </c>
      <c r="Z34" s="76">
        <f>资产资本表!Z4</f>
        <v>25767578096.669998</v>
      </c>
      <c r="AA34" s="76">
        <f>资产资本表!AA4</f>
        <v>23191044991.02</v>
      </c>
      <c r="AB34" s="76">
        <f>资产资本表!AB4</f>
        <v>22883165830.130001</v>
      </c>
      <c r="AC34" s="76">
        <f>资产资本表!AC4</f>
        <v>21550861665.98</v>
      </c>
      <c r="AD34" s="76">
        <f>资产资本表!AD4</f>
        <v>19030416620.939999</v>
      </c>
      <c r="AE34" s="76">
        <f>资产资本表!AE4</f>
        <v>18211566393.299999</v>
      </c>
      <c r="AF34" s="76">
        <f>资产资本表!AF4</f>
        <v>16190659506.01</v>
      </c>
      <c r="AG34" s="76">
        <f>资产资本表!AG4</f>
        <v>14134459002.65</v>
      </c>
      <c r="AH34" s="76">
        <f>资产资本表!AH4</f>
        <v>11473084733.450001</v>
      </c>
      <c r="AI34" s="76">
        <f>资产资本表!AI4</f>
        <v>9943205585.6599998</v>
      </c>
      <c r="AJ34" s="76">
        <f>资产资本表!AJ4</f>
        <v>9543660882.1599998</v>
      </c>
      <c r="AK34" s="76">
        <f>资产资本表!AK4</f>
        <v>7543588700.0299997</v>
      </c>
      <c r="AL34" s="76">
        <f>资产资本表!AL4</f>
        <v>6563567876.1999998</v>
      </c>
      <c r="AM34" s="76">
        <f>资产资本表!AM4</f>
        <v>4846347515.1999998</v>
      </c>
      <c r="AN34" s="76">
        <f>资产资本表!AN4</f>
        <v>7097277732.79</v>
      </c>
      <c r="AO34" s="76">
        <f>资产资本表!AO4</f>
        <v>5925396594.6800003</v>
      </c>
      <c r="AP34" s="76">
        <f>资产资本表!AP4</f>
        <v>5838715882.9300003</v>
      </c>
      <c r="AQ34" s="76">
        <f>资产资本表!AQ4</f>
        <v>5184237841.4099998</v>
      </c>
      <c r="AR34" s="76">
        <f>资产资本表!AR4</f>
        <v>5228632196.6400003</v>
      </c>
      <c r="AS34" s="76">
        <f>资产资本表!AS4</f>
        <v>4060766891.5799999</v>
      </c>
      <c r="AT34" s="76">
        <f>资产资本表!AT4</f>
        <v>4688729262.0200005</v>
      </c>
      <c r="AU34" s="76">
        <f>资产资本表!AU4</f>
        <v>4276319962.5900002</v>
      </c>
      <c r="AV34" s="76">
        <f>资产资本表!AV4</f>
        <v>3803378130.4099998</v>
      </c>
      <c r="AW34" s="76">
        <f>资产资本表!AW4</f>
        <v>2786258119.3600001</v>
      </c>
      <c r="AX34" s="76">
        <f>资产资本表!AX4</f>
        <v>2656212411.0300002</v>
      </c>
      <c r="AY34" s="76">
        <f>资产资本表!AY4</f>
        <v>2443574846.8699999</v>
      </c>
      <c r="AZ34" s="76">
        <f>资产资本表!AZ4</f>
        <v>2751216145.8600001</v>
      </c>
      <c r="BA34" s="76">
        <f>资产资本表!BA4</f>
        <v>1971067990.4000001</v>
      </c>
      <c r="BB34" s="76">
        <f>资产资本表!BB4</f>
        <v>1571661619.25</v>
      </c>
      <c r="BC34" s="76">
        <f>资产资本表!BC4</f>
        <v>1479638954.0899999</v>
      </c>
      <c r="BD34" s="76">
        <f>资产资本表!BD4</f>
        <v>1234840555.3499999</v>
      </c>
      <c r="BE34" s="76">
        <f>资产资本表!BE4</f>
        <v>882624670.09000003</v>
      </c>
      <c r="BF34" s="76">
        <f>资产资本表!BF4</f>
        <v>1470310894.1199999</v>
      </c>
      <c r="BG34" s="76">
        <f>资产资本表!BG4</f>
        <v>1314054756.03</v>
      </c>
      <c r="BH34" s="76">
        <f>资产资本表!BH4</f>
        <v>1899142830.73</v>
      </c>
      <c r="BI34" s="76">
        <f>资产资本表!BI4</f>
        <v>1005084907.16</v>
      </c>
      <c r="BJ34" s="76">
        <f>资产资本表!BJ4</f>
        <v>1273345510.1099999</v>
      </c>
      <c r="BK34" s="76">
        <f>资产资本表!BK4</f>
        <v>1561217592.3499999</v>
      </c>
      <c r="BL34" s="76">
        <f>资产资本表!BL4</f>
        <v>1554658715.24</v>
      </c>
      <c r="BM34" s="76">
        <f>资产资本表!BM4</f>
        <v>1335725854.02</v>
      </c>
      <c r="BN34" s="76">
        <f>资产资本表!BN4</f>
        <v>1611944400.46</v>
      </c>
      <c r="BO34" s="76">
        <f>资产资本表!BO4</f>
        <v>1812460414.3199999</v>
      </c>
      <c r="BP34" s="76">
        <f>资产资本表!BP4</f>
        <v>1781245268.29</v>
      </c>
      <c r="BQ34" s="76">
        <f>资产资本表!BQ4</f>
        <v>1527575747.99</v>
      </c>
      <c r="BR34" s="76">
        <f>资产资本表!BR4</f>
        <v>0</v>
      </c>
      <c r="BS34" s="76">
        <f>资产资本表!BS4</f>
        <v>1560164527.05</v>
      </c>
      <c r="BT34" s="76">
        <f>资产资本表!BT4</f>
        <v>2177885886.6399999</v>
      </c>
      <c r="BU34" s="76">
        <f>资产资本表!BU4</f>
        <v>1708793574.8800001</v>
      </c>
      <c r="BV34" s="76">
        <f>资产资本表!BV4</f>
        <v>599617487.89999998</v>
      </c>
      <c r="BW34" s="76">
        <f>资产资本表!BW4</f>
        <v>931290888.92999995</v>
      </c>
      <c r="BX34" s="76">
        <f>资产资本表!BX4</f>
        <v>1244311406.3499999</v>
      </c>
      <c r="BY34" s="76">
        <f>资产资本表!BY4</f>
        <v>1052654663.3</v>
      </c>
      <c r="BZ34" s="76">
        <f>资产资本表!BZ4</f>
        <v>908361204.25999999</v>
      </c>
      <c r="CA34" s="76">
        <f>资产资本表!CA4</f>
        <v>170626574.80000001</v>
      </c>
      <c r="CB34" s="76">
        <f>资产资本表!CB4</f>
        <v>41123701.590000004</v>
      </c>
      <c r="CC34" s="76">
        <f>资产资本表!CC4</f>
        <v>38805248.43</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-7070987.5999999996</v>
      </c>
      <c r="V35" s="76">
        <f>利润表!V12</f>
        <v>-7070987.5999999996</v>
      </c>
      <c r="W35" s="76">
        <f>利润表!W12</f>
        <v>-7070987.5999999996</v>
      </c>
      <c r="X35" s="76">
        <f>利润表!X12</f>
        <v>-1174775.3600000001</v>
      </c>
      <c r="Y35" s="76">
        <f>利润表!Y12</f>
        <v>772066.24</v>
      </c>
      <c r="Z35" s="76">
        <f>利润表!Z12</f>
        <v>-2940276.48</v>
      </c>
      <c r="AA35" s="76">
        <f>利润表!AA12</f>
        <v>-1937275.2</v>
      </c>
      <c r="AB35" s="76">
        <f>利润表!AB12</f>
        <v>-526834.56000000006</v>
      </c>
      <c r="AC35" s="76">
        <f>利润表!AC12</f>
        <v>-2456298.7200000002</v>
      </c>
      <c r="AD35" s="76">
        <f>利润表!AD12</f>
        <v>-2934365.6</v>
      </c>
      <c r="AE35" s="76">
        <f>利润表!AE12</f>
        <v>-101244.32</v>
      </c>
      <c r="AF35" s="76">
        <f>利润表!AF12</f>
        <v>1762545.44</v>
      </c>
      <c r="AG35" s="76">
        <f>利润表!AG12</f>
        <v>-6911424.3200000003</v>
      </c>
      <c r="AH35" s="76">
        <f>利润表!AH12</f>
        <v>-6903412</v>
      </c>
      <c r="AI35" s="76">
        <f>利润表!AI12</f>
        <v>-6884916.3200000003</v>
      </c>
      <c r="AJ35" s="76">
        <f>利润表!AJ12</f>
        <v>-1808206.56</v>
      </c>
      <c r="AK35" s="76">
        <f>利润表!AK12</f>
        <v>15521684.640000001</v>
      </c>
      <c r="AL35" s="76">
        <f>利润表!AL12</f>
        <v>0</v>
      </c>
      <c r="AM35" s="76">
        <f>利润表!AM12</f>
        <v>0</v>
      </c>
      <c r="AN35" s="76">
        <f>利润表!AN12</f>
        <v>0</v>
      </c>
      <c r="AO35" s="76">
        <f>利润表!AO12</f>
        <v>0</v>
      </c>
      <c r="AP35" s="76">
        <f>利润表!AP12</f>
        <v>0</v>
      </c>
      <c r="AQ35" s="76">
        <f>利润表!AQ12</f>
        <v>0</v>
      </c>
      <c r="AR35" s="76">
        <f>利润表!AR12</f>
        <v>0</v>
      </c>
      <c r="AS35" s="76">
        <f>利润表!AS12</f>
        <v>-186980</v>
      </c>
      <c r="AT35" s="76">
        <f>利润表!AT12</f>
        <v>0</v>
      </c>
      <c r="AU35" s="76">
        <f>利润表!AU12</f>
        <v>37074.449999999997</v>
      </c>
      <c r="AV35" s="76">
        <f>利润表!AV12</f>
        <v>294032.84999999998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454</v>
      </c>
      <c r="E36" s="76">
        <f>资产资本表!E13</f>
        <v>613136431.42999995</v>
      </c>
      <c r="F36" s="76">
        <f>资产资本表!F13</f>
        <v>749721710.38</v>
      </c>
      <c r="G36" s="76">
        <f>资产资本表!G13</f>
        <v>829863225</v>
      </c>
      <c r="H36" s="76">
        <f>资产资本表!H13</f>
        <v>696005435.27999997</v>
      </c>
      <c r="I36" s="76">
        <f>资产资本表!I13</f>
        <v>604019151.69000006</v>
      </c>
      <c r="J36" s="76">
        <f>资产资本表!J13</f>
        <v>553030925.94000006</v>
      </c>
      <c r="K36" s="76">
        <f>资产资本表!K13</f>
        <v>579948348.63999999</v>
      </c>
      <c r="L36" s="76">
        <f>资产资本表!L13</f>
        <v>434804190.69999999</v>
      </c>
      <c r="M36" s="76">
        <f>资产资本表!M13</f>
        <v>398511238.64999998</v>
      </c>
      <c r="N36" s="76">
        <f>资产资本表!N13</f>
        <v>393919064.10000002</v>
      </c>
      <c r="O36" s="76">
        <f>资产资本表!O13</f>
        <v>371591340.93000001</v>
      </c>
      <c r="P36" s="76">
        <f>资产资本表!P13</f>
        <v>256097826.94</v>
      </c>
      <c r="Q36" s="76">
        <f>资产资本表!Q13</f>
        <v>216399146.66</v>
      </c>
      <c r="R36" s="76">
        <f>资产资本表!R13</f>
        <v>308673824.19999999</v>
      </c>
      <c r="S36" s="76">
        <f>资产资本表!S13</f>
        <v>342299854.17000002</v>
      </c>
      <c r="T36" s="76">
        <f>资产资本表!T13</f>
        <v>296183029.95999998</v>
      </c>
      <c r="U36" s="76">
        <f>资产资本表!U13</f>
        <v>355196983.69</v>
      </c>
      <c r="V36" s="76">
        <f>资产资本表!V13</f>
        <v>455867454.29000002</v>
      </c>
      <c r="W36" s="76">
        <f>资产资本表!W13</f>
        <v>468116161.61000001</v>
      </c>
      <c r="X36" s="76">
        <f>资产资本表!X13</f>
        <v>446820156.70999998</v>
      </c>
      <c r="Y36" s="76">
        <f>资产资本表!Y13</f>
        <v>418175820.61000001</v>
      </c>
      <c r="Z36" s="76">
        <f>资产资本表!Z13</f>
        <v>429918420.89999998</v>
      </c>
      <c r="AA36" s="76">
        <f>资产资本表!AA13</f>
        <v>377424524.44999999</v>
      </c>
      <c r="AB36" s="76">
        <f>资产资本表!AB13</f>
        <v>294469156.37</v>
      </c>
      <c r="AC36" s="76">
        <f>资产资本表!AC13</f>
        <v>295940185.10000002</v>
      </c>
      <c r="AD36" s="76">
        <f>资产资本表!AD13</f>
        <v>136641507.16999999</v>
      </c>
      <c r="AE36" s="76">
        <f>资产资本表!AE13</f>
        <v>147828634.97</v>
      </c>
      <c r="AF36" s="76">
        <f>资产资本表!AF13</f>
        <v>39873135.909999996</v>
      </c>
      <c r="AG36" s="76">
        <f>资产资本表!AG13</f>
        <v>63714535.909999996</v>
      </c>
      <c r="AH36" s="76">
        <f>资产资本表!AH13</f>
        <v>17555203.170000002</v>
      </c>
      <c r="AI36" s="76">
        <f>资产资本表!AI13</f>
        <v>48182973.82</v>
      </c>
      <c r="AJ36" s="76">
        <f>资产资本表!AJ13</f>
        <v>12057261.5</v>
      </c>
      <c r="AK36" s="76">
        <f>资产资本表!AK13</f>
        <v>29337771.640000001</v>
      </c>
      <c r="AL36" s="76">
        <f>资产资本表!AL13</f>
        <v>2021425</v>
      </c>
      <c r="AM36" s="76">
        <f>资产资本表!AM13</f>
        <v>13592850</v>
      </c>
      <c r="AN36" s="76">
        <f>资产资本表!AN13</f>
        <v>13090025</v>
      </c>
      <c r="AO36" s="76">
        <f>资产资本表!AO13</f>
        <v>52818875</v>
      </c>
      <c r="AP36" s="76">
        <f>资产资本表!AP13</f>
        <v>2013750</v>
      </c>
      <c r="AQ36" s="76">
        <f>资产资本表!AQ13</f>
        <v>49343103.829999998</v>
      </c>
      <c r="AR36" s="76">
        <f>资产资本表!AR13</f>
        <v>6723978.7599999998</v>
      </c>
      <c r="AS36" s="76">
        <f>资产资本表!AS13</f>
        <v>43219626.439999998</v>
      </c>
      <c r="AT36" s="76">
        <f>资产资本表!AT13</f>
        <v>22055917.120000001</v>
      </c>
      <c r="AU36" s="76">
        <f>资产资本表!AU13</f>
        <v>34057542.119999997</v>
      </c>
      <c r="AV36" s="76">
        <f>资产资本表!AV13</f>
        <v>11063062.5</v>
      </c>
      <c r="AW36" s="76">
        <f>资产资本表!AW13</f>
        <v>23900187.5</v>
      </c>
      <c r="AX36" s="76">
        <f>资产资本表!AX13</f>
        <v>14764375</v>
      </c>
      <c r="AY36" s="76">
        <f>资产资本表!AY13</f>
        <v>22445562.5</v>
      </c>
      <c r="AZ36" s="76">
        <f>资产资本表!AZ13</f>
        <v>6350562.5</v>
      </c>
      <c r="BA36" s="76">
        <f>资产资本表!BA13</f>
        <v>10667991.02</v>
      </c>
      <c r="BB36" s="76">
        <f>资产资本表!BB13</f>
        <v>6884375</v>
      </c>
      <c r="BC36" s="76">
        <f>资产资本表!BC13</f>
        <v>13199379.74</v>
      </c>
      <c r="BD36" s="76">
        <f>资产资本表!BD13</f>
        <v>8005797.5599999996</v>
      </c>
      <c r="BE36" s="76">
        <f>资产资本表!BE13</f>
        <v>4424750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456</v>
      </c>
      <c r="E38" s="76">
        <f>资产资本表!E8</f>
        <v>1200000</v>
      </c>
      <c r="F38" s="76">
        <f>资产资本表!F8</f>
        <v>1200000</v>
      </c>
      <c r="G38" s="76">
        <f>资产资本表!G8</f>
        <v>1200000</v>
      </c>
      <c r="H38" s="76">
        <f>资产资本表!H8</f>
        <v>1200000</v>
      </c>
      <c r="I38" s="76">
        <f>资产资本表!I8</f>
        <v>1200000</v>
      </c>
      <c r="J38" s="76">
        <f>资产资本表!J8</f>
        <v>1200000</v>
      </c>
      <c r="K38" s="76">
        <f>资产资本表!K8</f>
        <v>1200000</v>
      </c>
      <c r="L38" s="76">
        <f>资产资本表!L8</f>
        <v>1200000</v>
      </c>
      <c r="M38" s="76">
        <f>资产资本表!M8</f>
        <v>1200000</v>
      </c>
      <c r="N38" s="76">
        <f>资产资本表!N8</f>
        <v>1200000</v>
      </c>
      <c r="O38" s="76">
        <f>资产资本表!O8</f>
        <v>1200000</v>
      </c>
      <c r="P38" s="76">
        <f>资产资本表!P8</f>
        <v>1200000</v>
      </c>
      <c r="Q38" s="76">
        <f>资产资本表!Q8</f>
        <v>1200000</v>
      </c>
      <c r="R38" s="76">
        <f>资产资本表!R8</f>
        <v>1200000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461</v>
      </c>
      <c r="E43" s="76">
        <f>SUM(E34:E42)</f>
        <v>41206139837.209999</v>
      </c>
      <c r="F43" s="76">
        <f t="shared" ref="F43:BQ43" si="14">SUM(F34:F42)</f>
        <v>37760386205.559998</v>
      </c>
      <c r="G43" s="76">
        <f t="shared" si="14"/>
        <v>35291765880.580002</v>
      </c>
      <c r="H43" s="76">
        <f t="shared" si="14"/>
        <v>37141435164.459999</v>
      </c>
      <c r="I43" s="76">
        <f t="shared" si="14"/>
        <v>35271136987.740005</v>
      </c>
      <c r="J43" s="76">
        <f t="shared" si="14"/>
        <v>34215368026.389999</v>
      </c>
      <c r="K43" s="76">
        <f t="shared" si="14"/>
        <v>31154374222.149998</v>
      </c>
      <c r="L43" s="76">
        <f t="shared" si="14"/>
        <v>27457022528.27</v>
      </c>
      <c r="M43" s="76">
        <f t="shared" si="14"/>
        <v>26773901419.16</v>
      </c>
      <c r="N43" s="76">
        <f t="shared" si="14"/>
        <v>25763643116.34</v>
      </c>
      <c r="O43" s="76">
        <f t="shared" si="14"/>
        <v>23225293875.670002</v>
      </c>
      <c r="P43" s="76">
        <f t="shared" si="14"/>
        <v>24474208028.779999</v>
      </c>
      <c r="Q43" s="76">
        <f t="shared" si="14"/>
        <v>22599705731.139999</v>
      </c>
      <c r="R43" s="76">
        <f t="shared" si="14"/>
        <v>21126333163.73</v>
      </c>
      <c r="S43" s="76">
        <f t="shared" si="14"/>
        <v>20387235252.57</v>
      </c>
      <c r="T43" s="76">
        <f t="shared" si="14"/>
        <v>23073039389.989998</v>
      </c>
      <c r="U43" s="76">
        <f t="shared" si="14"/>
        <v>26111621271.040001</v>
      </c>
      <c r="V43" s="76">
        <f t="shared" si="14"/>
        <v>25024406845.380001</v>
      </c>
      <c r="W43" s="76">
        <f t="shared" si="14"/>
        <v>26217100948.570004</v>
      </c>
      <c r="X43" s="76">
        <f t="shared" si="14"/>
        <v>29251552372.369999</v>
      </c>
      <c r="Y43" s="76">
        <f t="shared" si="14"/>
        <v>28264455124.02</v>
      </c>
      <c r="Z43" s="76">
        <f t="shared" si="14"/>
        <v>26194556241.09</v>
      </c>
      <c r="AA43" s="76">
        <f t="shared" si="14"/>
        <v>23566532240.27</v>
      </c>
      <c r="AB43" s="76">
        <f t="shared" si="14"/>
        <v>23177108151.939999</v>
      </c>
      <c r="AC43" s="76">
        <f t="shared" si="14"/>
        <v>21844345552.359997</v>
      </c>
      <c r="AD43" s="76">
        <f t="shared" si="14"/>
        <v>19164123762.509998</v>
      </c>
      <c r="AE43" s="76">
        <f t="shared" si="14"/>
        <v>18359293783.950001</v>
      </c>
      <c r="AF43" s="76">
        <f t="shared" si="14"/>
        <v>16232295187.360001</v>
      </c>
      <c r="AG43" s="76">
        <f t="shared" si="14"/>
        <v>14191262114.24</v>
      </c>
      <c r="AH43" s="76">
        <f t="shared" si="14"/>
        <v>11483736524.620001</v>
      </c>
      <c r="AI43" s="76">
        <f t="shared" si="14"/>
        <v>9984503643.1599998</v>
      </c>
      <c r="AJ43" s="76">
        <f t="shared" si="14"/>
        <v>9553909937.1000004</v>
      </c>
      <c r="AK43" s="76">
        <f t="shared" si="14"/>
        <v>7588448156.3100004</v>
      </c>
      <c r="AL43" s="76">
        <f t="shared" si="14"/>
        <v>6565589301.1999998</v>
      </c>
      <c r="AM43" s="76">
        <f t="shared" si="14"/>
        <v>4859940365.1999998</v>
      </c>
      <c r="AN43" s="76">
        <f t="shared" si="14"/>
        <v>7110367757.79</v>
      </c>
      <c r="AO43" s="76">
        <f t="shared" si="14"/>
        <v>5978215469.6800003</v>
      </c>
      <c r="AP43" s="76">
        <f t="shared" si="14"/>
        <v>5840729632.9300003</v>
      </c>
      <c r="AQ43" s="76">
        <f t="shared" si="14"/>
        <v>5233580945.2399998</v>
      </c>
      <c r="AR43" s="76">
        <f t="shared" si="14"/>
        <v>5235356175.4000006</v>
      </c>
      <c r="AS43" s="76">
        <f t="shared" si="14"/>
        <v>4103799538.02</v>
      </c>
      <c r="AT43" s="76">
        <f t="shared" si="14"/>
        <v>4710785179.1400003</v>
      </c>
      <c r="AU43" s="76">
        <f t="shared" si="14"/>
        <v>4310414579.1599998</v>
      </c>
      <c r="AV43" s="76">
        <f t="shared" si="14"/>
        <v>3814735225.7599998</v>
      </c>
      <c r="AW43" s="76">
        <f t="shared" si="14"/>
        <v>2810158306.8600001</v>
      </c>
      <c r="AX43" s="76">
        <f t="shared" si="14"/>
        <v>2670976786.0300002</v>
      </c>
      <c r="AY43" s="76">
        <f t="shared" si="14"/>
        <v>2466020409.3699999</v>
      </c>
      <c r="AZ43" s="76">
        <f t="shared" si="14"/>
        <v>2757566708.3600001</v>
      </c>
      <c r="BA43" s="76">
        <f t="shared" si="14"/>
        <v>1981735981.4200001</v>
      </c>
      <c r="BB43" s="76">
        <f t="shared" si="14"/>
        <v>1578545994.25</v>
      </c>
      <c r="BC43" s="76">
        <f t="shared" si="14"/>
        <v>1492838333.8299999</v>
      </c>
      <c r="BD43" s="76">
        <f t="shared" si="14"/>
        <v>1242846352.9099998</v>
      </c>
      <c r="BE43" s="76">
        <f t="shared" si="14"/>
        <v>887049420.09000003</v>
      </c>
      <c r="BF43" s="76">
        <f t="shared" si="14"/>
        <v>1470310894.1199999</v>
      </c>
      <c r="BG43" s="76">
        <f t="shared" si="14"/>
        <v>1314054756.03</v>
      </c>
      <c r="BH43" s="76">
        <f t="shared" si="14"/>
        <v>1899142830.73</v>
      </c>
      <c r="BI43" s="76">
        <f t="shared" si="14"/>
        <v>1005084907.16</v>
      </c>
      <c r="BJ43" s="76">
        <f t="shared" si="14"/>
        <v>1273345510.1099999</v>
      </c>
      <c r="BK43" s="76">
        <f t="shared" si="14"/>
        <v>1561217592.3499999</v>
      </c>
      <c r="BL43" s="76">
        <f t="shared" si="14"/>
        <v>1554658715.24</v>
      </c>
      <c r="BM43" s="76">
        <f t="shared" si="14"/>
        <v>1335725854.02</v>
      </c>
      <c r="BN43" s="76">
        <f t="shared" si="14"/>
        <v>1611944400.46</v>
      </c>
      <c r="BO43" s="76">
        <f t="shared" si="14"/>
        <v>1812460414.3199999</v>
      </c>
      <c r="BP43" s="76">
        <f t="shared" si="14"/>
        <v>1781245268.29</v>
      </c>
      <c r="BQ43" s="76">
        <f t="shared" si="14"/>
        <v>1527575747.99</v>
      </c>
      <c r="BR43" s="76">
        <f t="shared" ref="BR43:CJ43" si="15">SUM(BR34:BR42)</f>
        <v>0</v>
      </c>
      <c r="BS43" s="76">
        <f t="shared" si="15"/>
        <v>1560164527.05</v>
      </c>
      <c r="BT43" s="76">
        <f t="shared" si="15"/>
        <v>2177885886.6399999</v>
      </c>
      <c r="BU43" s="76">
        <f t="shared" si="15"/>
        <v>1708793574.8800001</v>
      </c>
      <c r="BV43" s="76">
        <f t="shared" si="15"/>
        <v>599617487.89999998</v>
      </c>
      <c r="BW43" s="76">
        <f t="shared" si="15"/>
        <v>931290888.92999995</v>
      </c>
      <c r="BX43" s="76">
        <f t="shared" si="15"/>
        <v>1244311406.3499999</v>
      </c>
      <c r="BY43" s="76">
        <f t="shared" si="15"/>
        <v>1052654663.3</v>
      </c>
      <c r="BZ43" s="76">
        <f t="shared" si="15"/>
        <v>908361204.25999999</v>
      </c>
      <c r="CA43" s="76">
        <f t="shared" si="15"/>
        <v>170626574.80000001</v>
      </c>
      <c r="CB43" s="76">
        <f t="shared" si="15"/>
        <v>41123701.590000004</v>
      </c>
      <c r="CC43" s="76">
        <f t="shared" si="15"/>
        <v>38805248.43</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462</v>
      </c>
      <c r="E44" s="110">
        <f>E32/E43</f>
        <v>1.6472499376835894E-2</v>
      </c>
      <c r="F44" s="110">
        <f t="shared" ref="F44:BQ44" si="16">F32/F43</f>
        <v>6.2969220852477882E-7</v>
      </c>
      <c r="G44" s="110">
        <f t="shared" si="16"/>
        <v>4.9784540425830776E-7</v>
      </c>
      <c r="H44" s="110">
        <f t="shared" si="16"/>
        <v>3.2125791153210133E-7</v>
      </c>
      <c r="I44" s="110">
        <f t="shared" si="16"/>
        <v>1.6409646031952854E-2</v>
      </c>
      <c r="J44" s="110">
        <f t="shared" si="16"/>
        <v>0</v>
      </c>
      <c r="K44" s="110">
        <f t="shared" si="16"/>
        <v>0</v>
      </c>
      <c r="L44" s="110">
        <f t="shared" si="16"/>
        <v>0</v>
      </c>
      <c r="M44" s="110">
        <f t="shared" si="16"/>
        <v>2.1566578970409311E-2</v>
      </c>
      <c r="N44" s="110">
        <f t="shared" si="16"/>
        <v>0</v>
      </c>
      <c r="O44" s="110">
        <f t="shared" si="16"/>
        <v>0</v>
      </c>
      <c r="P44" s="110">
        <f t="shared" si="16"/>
        <v>0</v>
      </c>
      <c r="Q44" s="110">
        <f t="shared" si="16"/>
        <v>2.2086198275583321E-2</v>
      </c>
      <c r="R44" s="110">
        <f t="shared" si="16"/>
        <v>-3.4468953377895955E-7</v>
      </c>
      <c r="S44" s="110">
        <f t="shared" si="16"/>
        <v>0</v>
      </c>
      <c r="T44" s="110">
        <f t="shared" si="16"/>
        <v>0</v>
      </c>
      <c r="U44" s="110">
        <f t="shared" si="16"/>
        <v>2.3181398370210712E-2</v>
      </c>
      <c r="V44" s="110">
        <f t="shared" si="16"/>
        <v>-1.0042996874162027E-4</v>
      </c>
      <c r="W44" s="110">
        <f t="shared" si="16"/>
        <v>-9.5917888569476567E-5</v>
      </c>
      <c r="X44" s="110">
        <f t="shared" si="16"/>
        <v>-3.0283541266043993E-5</v>
      </c>
      <c r="Y44" s="110">
        <f t="shared" si="16"/>
        <v>2.0815859341438574E-2</v>
      </c>
      <c r="Z44" s="110">
        <f t="shared" si="16"/>
        <v>-1.1152324455072073E-4</v>
      </c>
      <c r="AA44" s="110">
        <f t="shared" si="16"/>
        <v>-9.3461890637498273E-5</v>
      </c>
      <c r="AB44" s="110">
        <f t="shared" si="16"/>
        <v>-1.7462114892980143E-5</v>
      </c>
      <c r="AC44" s="110">
        <f t="shared" si="16"/>
        <v>1.607220537184988E-2</v>
      </c>
      <c r="AD44" s="110">
        <f t="shared" si="16"/>
        <v>-1.0447968700718232E-4</v>
      </c>
      <c r="AE44" s="110">
        <f t="shared" si="16"/>
        <v>1.3071399468791429E-6</v>
      </c>
      <c r="AF44" s="110">
        <f t="shared" si="16"/>
        <v>8.2510870820880569E-5</v>
      </c>
      <c r="AG44" s="110">
        <f t="shared" si="16"/>
        <v>9.7175692691385714E-3</v>
      </c>
      <c r="AH44" s="110">
        <f t="shared" si="16"/>
        <v>-6.8438259767422249E-4</v>
      </c>
      <c r="AI44" s="110">
        <f t="shared" si="16"/>
        <v>-4.9519900935569416E-4</v>
      </c>
      <c r="AJ44" s="110">
        <f t="shared" si="16"/>
        <v>-1.3310421024451797E-4</v>
      </c>
      <c r="AK44" s="110">
        <f t="shared" si="16"/>
        <v>1.5999814800515934E-3</v>
      </c>
      <c r="AL44" s="110">
        <f t="shared" si="16"/>
        <v>3.5694694071051087E-6</v>
      </c>
      <c r="AM44" s="110">
        <f t="shared" si="16"/>
        <v>-3.726671320396549E-4</v>
      </c>
      <c r="AN44" s="110">
        <f t="shared" si="16"/>
        <v>0</v>
      </c>
      <c r="AO44" s="110">
        <f t="shared" si="16"/>
        <v>2.0144911645894972E-4</v>
      </c>
      <c r="AP44" s="110">
        <f t="shared" si="16"/>
        <v>-1.214492328321347E-4</v>
      </c>
      <c r="AQ44" s="110">
        <f t="shared" si="16"/>
        <v>-1.3574062294625157E-4</v>
      </c>
      <c r="AR44" s="110">
        <f t="shared" si="16"/>
        <v>0</v>
      </c>
      <c r="AS44" s="110">
        <f t="shared" si="16"/>
        <v>4.96326887620135E-4</v>
      </c>
      <c r="AT44" s="110">
        <f t="shared" si="16"/>
        <v>7.9375292618224347E-5</v>
      </c>
      <c r="AU44" s="110">
        <f t="shared" si="16"/>
        <v>1.322901480498889E-5</v>
      </c>
      <c r="AV44" s="110">
        <f t="shared" si="16"/>
        <v>1.6746136132948265E-4</v>
      </c>
      <c r="AW44" s="110">
        <f t="shared" si="16"/>
        <v>1.1860524991020307E-3</v>
      </c>
      <c r="AX44" s="110">
        <f t="shared" si="16"/>
        <v>6.1645075986813916E-4</v>
      </c>
      <c r="AY44" s="110">
        <f t="shared" si="16"/>
        <v>4.9135147376498656E-4</v>
      </c>
      <c r="AZ44" s="110">
        <f t="shared" si="16"/>
        <v>2.3965571097895322E-5</v>
      </c>
      <c r="BA44" s="110">
        <f t="shared" si="16"/>
        <v>-1.3194525178673699E-3</v>
      </c>
      <c r="BB44" s="110">
        <f t="shared" si="16"/>
        <v>-2.102228994620357E-4</v>
      </c>
      <c r="BC44" s="110">
        <f t="shared" si="16"/>
        <v>-2.1329439545761261E-4</v>
      </c>
      <c r="BD44" s="110">
        <f t="shared" si="16"/>
        <v>0</v>
      </c>
      <c r="BE44" s="110">
        <f t="shared" si="16"/>
        <v>-9.3123820117369262E-5</v>
      </c>
      <c r="BF44" s="110">
        <f t="shared" si="16"/>
        <v>1.5352678497742173E-4</v>
      </c>
      <c r="BG44" s="110">
        <f t="shared" si="16"/>
        <v>1.7243347358634147E-4</v>
      </c>
      <c r="BH44" s="110">
        <f t="shared" si="16"/>
        <v>3.5893474431392748E-4</v>
      </c>
      <c r="BI44" s="110">
        <f t="shared" si="16"/>
        <v>-3.564098393060689E-4</v>
      </c>
      <c r="BJ44" s="110">
        <f t="shared" si="16"/>
        <v>1.4358645074329646E-4</v>
      </c>
      <c r="BK44" s="110">
        <f t="shared" si="16"/>
        <v>2.0424726685837098E-5</v>
      </c>
      <c r="BL44" s="110">
        <f t="shared" si="16"/>
        <v>9.9252911322397568E-5</v>
      </c>
      <c r="BM44" s="110">
        <f t="shared" si="16"/>
        <v>9.5239831822610318E-5</v>
      </c>
      <c r="BN44" s="110">
        <f t="shared" si="16"/>
        <v>8.44542685274612E-4</v>
      </c>
      <c r="BO44" s="110">
        <f t="shared" si="16"/>
        <v>6.2226708874856288E-4</v>
      </c>
      <c r="BP44" s="110">
        <f t="shared" si="16"/>
        <v>-6.5965522567704179E-5</v>
      </c>
      <c r="BQ44" s="110">
        <f t="shared" si="16"/>
        <v>7.0705167462619938E-3</v>
      </c>
      <c r="BR44" s="110" t="e">
        <f t="shared" ref="BR44:CK44" si="17">BR32/BR43</f>
        <v>#DIV/0!</v>
      </c>
      <c r="BS44" s="110">
        <f t="shared" si="17"/>
        <v>4.5541812180621257E-3</v>
      </c>
      <c r="BT44" s="110">
        <f t="shared" si="17"/>
        <v>1.6435551797644773E-3</v>
      </c>
      <c r="BU44" s="110">
        <f t="shared" si="17"/>
        <v>1.0585881522390554E-3</v>
      </c>
      <c r="BV44" s="110">
        <f t="shared" si="17"/>
        <v>0</v>
      </c>
      <c r="BW44" s="110">
        <f t="shared" si="17"/>
        <v>0</v>
      </c>
      <c r="BX44" s="110">
        <f t="shared" si="17"/>
        <v>0</v>
      </c>
      <c r="BY44" s="110">
        <f t="shared" si="17"/>
        <v>0</v>
      </c>
      <c r="BZ44" s="110">
        <f t="shared" si="17"/>
        <v>0</v>
      </c>
      <c r="CA44" s="110">
        <f t="shared" si="17"/>
        <v>0</v>
      </c>
      <c r="CB44" s="110">
        <f t="shared" si="17"/>
        <v>0</v>
      </c>
      <c r="CC44" s="110">
        <f t="shared" si="17"/>
        <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697</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698</v>
      </c>
      <c r="E46" s="57">
        <f>E43/资产资本表!E70</f>
        <v>0.75366525966156128</v>
      </c>
      <c r="F46" s="57">
        <f>F43/资产资本表!F70</f>
        <v>0.72821523807386701</v>
      </c>
      <c r="G46" s="57">
        <f>G43/资产资本表!G70</f>
        <v>0.70612766687291328</v>
      </c>
      <c r="H46" s="57">
        <f>H43/资产资本表!H70</f>
        <v>0.7150137490205537</v>
      </c>
      <c r="I46" s="57">
        <f>I43/资产资本表!I70</f>
        <v>0.73167738457491771</v>
      </c>
      <c r="J46" s="57">
        <f>J43/资产资本表!J70</f>
        <v>0.73556355193110379</v>
      </c>
      <c r="K46" s="57">
        <f>K43/资产资本表!K70</f>
        <v>0.64406017247046776</v>
      </c>
      <c r="L46" s="57">
        <f>L43/资产资本表!L70</f>
        <v>0.57983100608384586</v>
      </c>
      <c r="M46" s="57">
        <f>M43/资产资本表!M70</f>
        <v>0.60376151169618864</v>
      </c>
      <c r="N46" s="57">
        <f>N43/资产资本表!N70</f>
        <v>0.60318337509293452</v>
      </c>
      <c r="O46" s="57">
        <f>O43/资产资本表!O70</f>
        <v>0.56185405636921182</v>
      </c>
      <c r="P46" s="57">
        <f>P43/资产资本表!P70</f>
        <v>0.57413451024907813</v>
      </c>
      <c r="Q46" s="57">
        <f>Q43/资产资本表!Q70</f>
        <v>0.56031290365853437</v>
      </c>
      <c r="R46" s="57">
        <f>R43/资产资本表!R70</f>
        <v>0.54026596206891131</v>
      </c>
      <c r="S46" s="57">
        <f>S43/资产资本表!S70</f>
        <v>0.53297163230191658</v>
      </c>
      <c r="T46" s="57">
        <f>T43/资产资本表!T70</f>
        <v>0.57942634653740277</v>
      </c>
      <c r="U46" s="57">
        <f>U43/资产资本表!U70</f>
        <v>0.70406594128468858</v>
      </c>
      <c r="V46" s="57">
        <f>V43/资产资本表!V70</f>
        <v>0.69523482492372546</v>
      </c>
      <c r="W46" s="57">
        <f>W43/资产资本表!W70</f>
        <v>0.7588098857644584</v>
      </c>
      <c r="X46" s="57">
        <f>X43/资产资本表!X70</f>
        <v>0.82037819389457578</v>
      </c>
      <c r="Y46" s="57">
        <f>Y43/资产资本表!Y70</f>
        <v>0.88599340566501172</v>
      </c>
      <c r="Z46" s="57">
        <f>Z43/资产资本表!Z70</f>
        <v>0.88257834715389005</v>
      </c>
      <c r="AA46" s="57">
        <f>AA43/资产资本表!AA70</f>
        <v>0.8793540832798501</v>
      </c>
      <c r="AB46" s="57">
        <f>AB43/资产资本表!AB70</f>
        <v>0.87045432921953214</v>
      </c>
      <c r="AC46" s="57">
        <f>AC43/资产资本表!AC70</f>
        <v>0.92287554431828345</v>
      </c>
      <c r="AD46" s="57">
        <f>AD43/资产资本表!AD70</f>
        <v>0.85818163646164369</v>
      </c>
      <c r="AE46" s="57">
        <f>AE43/资产资本表!AE70</f>
        <v>0.86655421711685165</v>
      </c>
      <c r="AF46" s="57">
        <f>AF43/资产资本表!AF70</f>
        <v>0.78304634238974868</v>
      </c>
      <c r="AG46" s="57">
        <f>AG43/资产资本表!AG70</f>
        <v>0.75758295066783454</v>
      </c>
      <c r="AH46" s="57">
        <f>AH43/资产资本表!AH70</f>
        <v>0.65237220015332531</v>
      </c>
      <c r="AI46" s="57">
        <f>AI43/资产资本表!AI70</f>
        <v>0.60794336519010395</v>
      </c>
      <c r="AJ46" s="57">
        <f>AJ43/资产资本表!AJ70</f>
        <v>0.58963577706302939</v>
      </c>
      <c r="AK46" s="57">
        <f>AK43/资产资本表!AK70</f>
        <v>0.51266065214467293</v>
      </c>
      <c r="AL46" s="57">
        <f>AL43/资产资本表!AL70</f>
        <v>0.4806840187688568</v>
      </c>
      <c r="AM46" s="57">
        <f>AM43/资产资本表!AM70</f>
        <v>0.37714772519088191</v>
      </c>
      <c r="AN46" s="57">
        <f>AN43/资产资本表!AN70</f>
        <v>0.55876199980556107</v>
      </c>
      <c r="AO46" s="57">
        <f>AO43/资产资本表!AO70</f>
        <v>0.52184430954997096</v>
      </c>
      <c r="AP46" s="57">
        <f>AP43/资产资本表!AP70</f>
        <v>0.52008561620212868</v>
      </c>
      <c r="AQ46" s="57">
        <f>AQ43/资产资本表!AQ70</f>
        <v>0.47863519926443415</v>
      </c>
      <c r="AR46" s="57">
        <f>AR43/资产资本表!AR70</f>
        <v>0.49195483852484423</v>
      </c>
      <c r="AS46" s="57">
        <f>AS43/资产资本表!AS70</f>
        <v>0.42620330628687836</v>
      </c>
      <c r="AT46" s="57">
        <f>AT43/资产资本表!AT70</f>
        <v>0.49131642348497001</v>
      </c>
      <c r="AU46" s="57">
        <f>AU43/资产资本表!AU70</f>
        <v>0.45823713780053438</v>
      </c>
      <c r="AV46" s="57">
        <f>AV43/资产资本表!AV70</f>
        <v>0.42132452889406419</v>
      </c>
      <c r="AW46" s="57">
        <f>AW43/资产资本表!AW70</f>
        <v>0.33240523007312628</v>
      </c>
      <c r="AX46" s="57">
        <f>AX43/资产资本表!AX70</f>
        <v>0.32170354407892143</v>
      </c>
      <c r="AY46" s="57">
        <f>AY43/资产资本表!AY70</f>
        <v>0.3030533301249872</v>
      </c>
      <c r="AZ46" s="57">
        <f>AZ43/资产资本表!AZ70</f>
        <v>0.34094602604920538</v>
      </c>
      <c r="BA46" s="57">
        <f>BA43/资产资本表!BA70</f>
        <v>0.26335899019507369</v>
      </c>
      <c r="BB46" s="57">
        <f>BB43/资产资本表!BB70</f>
        <v>0.21072269630833598</v>
      </c>
      <c r="BC46" s="57">
        <f>BC43/资产资本表!BC70</f>
        <v>0.20443459576970757</v>
      </c>
      <c r="BD46" s="57">
        <f>BD43/资产资本表!BD70</f>
        <v>0.17453165126612008</v>
      </c>
      <c r="BE46" s="57">
        <f>BE43/资产资本表!BE70</f>
        <v>0.13256955244945184</v>
      </c>
      <c r="BF46" s="57">
        <f>BF43/资产资本表!BF70</f>
        <v>0.22505195253139268</v>
      </c>
      <c r="BG46" s="57">
        <f>BG43/资产资本表!BG70</f>
        <v>0.20578180784774497</v>
      </c>
      <c r="BH46" s="57">
        <f>BH43/资产资本表!BH70</f>
        <v>0.29214989148627557</v>
      </c>
      <c r="BI46" s="57">
        <f>BI43/资产资本表!BI70</f>
        <v>0.1646374754951096</v>
      </c>
      <c r="BJ46" s="57">
        <f>BJ43/资产资本表!BJ70</f>
        <v>0.21369489059572239</v>
      </c>
      <c r="BK46" s="57">
        <f>BK43/资产资本表!BK70</f>
        <v>0.26937653400832323</v>
      </c>
      <c r="BL46" s="57">
        <f>BL43/资产资本表!BL70</f>
        <v>0.27073713365577939</v>
      </c>
      <c r="BM46" s="57">
        <f>BM43/资产资本表!BM70</f>
        <v>0.24658202411202834</v>
      </c>
      <c r="BN46" s="57">
        <f>BN43/资产资本表!BN70</f>
        <v>0.29876497570245863</v>
      </c>
      <c r="BO46" s="57">
        <f>BO43/资产资本表!BO70</f>
        <v>0.34300938356694638</v>
      </c>
      <c r="BP46" s="57">
        <f>BP43/资产资本表!BP70</f>
        <v>0.3496835615157915</v>
      </c>
      <c r="BQ46" s="57">
        <f>BQ43/资产资本表!BQ70</f>
        <v>0.31926114325040017</v>
      </c>
      <c r="BR46" s="57" t="e">
        <f>BR43/资产资本表!BR70</f>
        <v>#DIV/0!</v>
      </c>
      <c r="BS46" s="57">
        <f>BS43/资产资本表!BS70</f>
        <v>0.33734997374229353</v>
      </c>
      <c r="BT46" s="57">
        <f>BT43/资产资本表!BT70</f>
        <v>0.49392408799726806</v>
      </c>
      <c r="BU46" s="57">
        <f>BU43/资产资本表!BU70</f>
        <v>0.528462148636339</v>
      </c>
      <c r="BV46" s="57">
        <f>BV43/资产资本表!BV70</f>
        <v>0.19652314885982078</v>
      </c>
      <c r="BW46" s="57">
        <f>BW43/资产资本表!BW70</f>
        <v>0.41025698834944579</v>
      </c>
      <c r="BX46" s="57">
        <f>BX43/资产资本表!BX70</f>
        <v>0.561628885050099</v>
      </c>
      <c r="BY46" s="57">
        <f>BY43/资产资本表!BY70</f>
        <v>0.51886408142615081</v>
      </c>
      <c r="BZ46" s="57">
        <f>BZ43/资产资本表!BZ70</f>
        <v>0.48934410150265961</v>
      </c>
      <c r="CA46" s="57">
        <f>CA43/资产资本表!CA70</f>
        <v>0.36496265909162329</v>
      </c>
      <c r="CB46" s="57">
        <f>CB43/资产资本表!CB70</f>
        <v>9.444373835387411E-2</v>
      </c>
      <c r="CC46" s="57">
        <f>CC43/资产资本表!CC70</f>
        <v>7.4976655202752804E-2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36981</v>
      </c>
      <c r="BU48" s="1">
        <v>36891</v>
      </c>
      <c r="BV48" s="1">
        <v>36707</v>
      </c>
      <c r="BW48" s="1">
        <v>36525</v>
      </c>
      <c r="BX48" s="1">
        <v>36341</v>
      </c>
      <c r="BY48" s="1">
        <v>36160</v>
      </c>
      <c r="BZ48" s="1">
        <v>35976</v>
      </c>
      <c r="CA48" s="1">
        <v>35795</v>
      </c>
      <c r="CB48" s="1">
        <v>35430</v>
      </c>
      <c r="CC48" s="1">
        <v>35064</v>
      </c>
      <c r="CD48" s="1">
        <v>25569</v>
      </c>
      <c r="CE48" s="1"/>
      <c r="CF48" s="1"/>
      <c r="CG48" s="1"/>
      <c r="CH48" s="1"/>
      <c r="CI48" s="1"/>
      <c r="CJ48" s="1"/>
      <c r="CK48" s="1"/>
    </row>
    <row r="49" spans="1:89" s="76" customFormat="1" x14ac:dyDescent="0.25">
      <c r="A49" s="146" t="s">
        <v>464</v>
      </c>
      <c r="E49" s="76">
        <f>利润表!E4</f>
        <v>30186780409.139999</v>
      </c>
      <c r="F49" s="76">
        <f>利润表!F4</f>
        <v>21977596629.700001</v>
      </c>
      <c r="G49" s="76">
        <f>利润表!G4</f>
        <v>15621127660.559999</v>
      </c>
      <c r="H49" s="76">
        <f>利润表!H4</f>
        <v>10158807519.1</v>
      </c>
      <c r="I49" s="76">
        <f>利润表!I4</f>
        <v>24543792660.59</v>
      </c>
      <c r="J49" s="76">
        <f>利润表!J4</f>
        <v>17699643832.209999</v>
      </c>
      <c r="K49" s="76">
        <f>利润表!K4</f>
        <v>13255638646.02</v>
      </c>
      <c r="L49" s="76">
        <f>利润表!L4</f>
        <v>8825564213.4699993</v>
      </c>
      <c r="M49" s="76">
        <f>利润表!M4</f>
        <v>21659287359.66</v>
      </c>
      <c r="N49" s="76">
        <f>利润表!N4</f>
        <v>15131341357.209999</v>
      </c>
      <c r="O49" s="76">
        <f>利润表!O4</f>
        <v>11215414006.940001</v>
      </c>
      <c r="P49" s="76">
        <f>利润表!P4</f>
        <v>6735435074.1599998</v>
      </c>
      <c r="Q49" s="76">
        <f>利润表!Q4</f>
        <v>21011491536.139999</v>
      </c>
      <c r="R49" s="76">
        <f>利润表!R4</f>
        <v>15068314515.67</v>
      </c>
      <c r="S49" s="76">
        <f>利润表!S4</f>
        <v>11662532799.27</v>
      </c>
      <c r="T49" s="76">
        <f>利润表!T4</f>
        <v>6719851620.2700005</v>
      </c>
      <c r="U49" s="76">
        <f>利润表!U4</f>
        <v>24718588617.990002</v>
      </c>
      <c r="V49" s="76">
        <f>利润表!V4</f>
        <v>19165837235.439999</v>
      </c>
      <c r="W49" s="76">
        <f>利润表!W4</f>
        <v>15519877625.32</v>
      </c>
      <c r="X49" s="76">
        <f>利润表!X4</f>
        <v>8675799862.7600002</v>
      </c>
      <c r="Y49" s="76">
        <f>利润表!Y4</f>
        <v>27201045951.34</v>
      </c>
      <c r="Z49" s="76">
        <f>利润表!Z4</f>
        <v>21126603442.650002</v>
      </c>
      <c r="AA49" s="76">
        <f>利润表!AA4</f>
        <v>15049709413.35</v>
      </c>
      <c r="AB49" s="76">
        <f>利润表!AB4</f>
        <v>8230651472.6199999</v>
      </c>
      <c r="AC49" s="76">
        <f>利润表!AC4</f>
        <v>20350594468.709999</v>
      </c>
      <c r="AD49" s="76">
        <f>利润表!AD4</f>
        <v>15648774490.190001</v>
      </c>
      <c r="AE49" s="76">
        <f>利润表!AE4</f>
        <v>10594830203.200001</v>
      </c>
      <c r="AF49" s="76">
        <f>利润表!AF4</f>
        <v>6244557079.6499996</v>
      </c>
      <c r="AG49" s="76">
        <f>利润表!AG4</f>
        <v>15541300510.85</v>
      </c>
      <c r="AH49" s="76">
        <f>利润表!AH4</f>
        <v>11471710170.860001</v>
      </c>
      <c r="AI49" s="76">
        <f>利润表!AI4</f>
        <v>7576545903.4899998</v>
      </c>
      <c r="AJ49" s="76">
        <f>利润表!AJ4</f>
        <v>4493625787.5500002</v>
      </c>
      <c r="AK49" s="76">
        <f>利润表!AK4</f>
        <v>11129220549.610001</v>
      </c>
      <c r="AL49" s="76">
        <f>利润表!AL4</f>
        <v>8029680076.3699999</v>
      </c>
      <c r="AM49" s="76">
        <f>利润表!AM4</f>
        <v>5340889931.8100004</v>
      </c>
      <c r="AN49" s="76">
        <f>利润表!AN4</f>
        <v>3338850726.5900002</v>
      </c>
      <c r="AO49" s="76">
        <f>利润表!AO4</f>
        <v>7933068723.21</v>
      </c>
      <c r="AP49" s="76">
        <f>利润表!AP4</f>
        <v>6578679657.1199999</v>
      </c>
      <c r="AQ49" s="76">
        <f>利润表!AQ4</f>
        <v>4597277683.0200005</v>
      </c>
      <c r="AR49" s="76">
        <f>利润表!AR4</f>
        <v>3086147513.71</v>
      </c>
      <c r="AS49" s="76">
        <f>利润表!AS4</f>
        <v>7328555841.6199999</v>
      </c>
      <c r="AT49" s="76">
        <f>利润表!AT4</f>
        <v>6043063119.9700003</v>
      </c>
      <c r="AU49" s="76">
        <f>利润表!AU4</f>
        <v>4342880480.1599998</v>
      </c>
      <c r="AV49" s="76">
        <f>利润表!AV4</f>
        <v>3009852591.5900002</v>
      </c>
      <c r="AW49" s="76">
        <f>利润表!AW4</f>
        <v>7386141421.5100002</v>
      </c>
      <c r="AX49" s="76">
        <f>利润表!AX4</f>
        <v>5955523309.9399996</v>
      </c>
      <c r="AY49" s="76">
        <f>利润表!AY4</f>
        <v>4397011844.6999998</v>
      </c>
      <c r="AZ49" s="76">
        <f>利润表!AZ4</f>
        <v>2730446461.8499999</v>
      </c>
      <c r="BA49" s="76">
        <f>利润表!BA4</f>
        <v>6418751478.3199997</v>
      </c>
      <c r="BB49" s="76">
        <f>利润表!BB4</f>
        <v>4967771279.1899996</v>
      </c>
      <c r="BC49" s="76">
        <f>利润表!BC4</f>
        <v>3807013164.1999998</v>
      </c>
      <c r="BD49" s="76">
        <f>利润表!BD4</f>
        <v>2469452513.6900001</v>
      </c>
      <c r="BE49" s="76">
        <f>利润表!BE4</f>
        <v>6297583438.9799995</v>
      </c>
      <c r="BF49" s="76">
        <f>利润表!BF4</f>
        <v>4578081987.8100004</v>
      </c>
      <c r="BG49" s="76">
        <f>利润表!BG4</f>
        <v>3457300399.23</v>
      </c>
      <c r="BH49" s="76">
        <f>利润表!BH4</f>
        <v>2449943325.7399998</v>
      </c>
      <c r="BI49" s="76">
        <f>利润表!BI4</f>
        <v>6333090598.79</v>
      </c>
      <c r="BJ49" s="76">
        <f>利润表!BJ4</f>
        <v>4640989046.4700003</v>
      </c>
      <c r="BK49" s="76">
        <f>利润表!BK4</f>
        <v>3426815041.8899999</v>
      </c>
      <c r="BL49" s="76">
        <f>利润表!BL4</f>
        <v>2274657872.1900001</v>
      </c>
      <c r="BM49" s="76">
        <f>利润表!BM4</f>
        <v>5706517438.4499998</v>
      </c>
      <c r="BN49" s="76">
        <f>利润表!BN4</f>
        <v>4483326842.3900003</v>
      </c>
      <c r="BO49" s="76">
        <f>利润表!BO4</f>
        <v>3462399215.1500001</v>
      </c>
      <c r="BP49" s="76">
        <f>利润表!BP4</f>
        <v>2263204765.0599999</v>
      </c>
      <c r="BQ49" s="76">
        <f>利润表!BQ4</f>
        <v>4742095340.6499996</v>
      </c>
      <c r="BR49" s="76">
        <f>利润表!BR4</f>
        <v>3700110000</v>
      </c>
      <c r="BS49" s="76">
        <f>利润表!BS4</f>
        <v>2817494022.5799999</v>
      </c>
      <c r="BT49" s="76">
        <f>利润表!BT4</f>
        <v>1999899650.1600001</v>
      </c>
      <c r="BU49" s="76">
        <f>利润表!BU4</f>
        <v>3953640138.96</v>
      </c>
      <c r="BV49" s="76">
        <f>利润表!BV4</f>
        <v>2667684533.9200001</v>
      </c>
      <c r="BW49" s="76">
        <f>利润表!BW4</f>
        <v>3308791041.8000002</v>
      </c>
      <c r="BX49" s="76">
        <f>利润表!BX4</f>
        <v>1900893259.47</v>
      </c>
      <c r="BY49" s="76">
        <f>利润表!BY4</f>
        <v>2814346533.1199999</v>
      </c>
      <c r="BZ49" s="76">
        <f>利润表!BZ4</f>
        <v>1210433401.23</v>
      </c>
      <c r="CA49" s="76">
        <f>利润表!CA4</f>
        <v>2204454415.5599999</v>
      </c>
      <c r="CB49" s="76">
        <f>利润表!CB4</f>
        <v>1309696890.55</v>
      </c>
      <c r="CC49" s="76">
        <f>利润表!CC4</f>
        <v>914703675.36000001</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465</v>
      </c>
      <c r="E50" s="76">
        <f>资产资本表!E50</f>
        <v>5826460208.1900024</v>
      </c>
      <c r="F50" s="76">
        <f>资产资本表!F50</f>
        <v>6560293797.6900005</v>
      </c>
      <c r="G50" s="76">
        <f>资产资本表!G50</f>
        <v>7085803720.2800026</v>
      </c>
      <c r="H50" s="76">
        <f>资产资本表!H50</f>
        <v>7149232052.7500019</v>
      </c>
      <c r="I50" s="76">
        <f>资产资本表!I50</f>
        <v>5266055711.8199997</v>
      </c>
      <c r="J50" s="76">
        <f>资产资本表!J50</f>
        <v>4583865587.289999</v>
      </c>
      <c r="K50" s="76">
        <f>资产资本表!K50</f>
        <v>9418333864.2000046</v>
      </c>
      <c r="L50" s="76">
        <f>资产资本表!L50</f>
        <v>12034379970.35</v>
      </c>
      <c r="M50" s="76">
        <f>资产资本表!M50</f>
        <v>9623235829.0699997</v>
      </c>
      <c r="N50" s="76">
        <f>资产资本表!N50</f>
        <v>9160455454.5700016</v>
      </c>
      <c r="O50" s="76">
        <f>资产资本表!O50</f>
        <v>10246363627.59</v>
      </c>
      <c r="P50" s="76">
        <f>资产资本表!P50</f>
        <v>10302342138.189999</v>
      </c>
      <c r="Q50" s="76">
        <f>资产资本表!Q50</f>
        <v>9826784997.4899998</v>
      </c>
      <c r="R50" s="76">
        <f>资产资本表!R50</f>
        <v>10127228364.58</v>
      </c>
      <c r="S50" s="76">
        <f>资产资本表!S50</f>
        <v>10209060294.179998</v>
      </c>
      <c r="T50" s="76">
        <f>资产资本表!T50</f>
        <v>9004893561.9300003</v>
      </c>
      <c r="U50" s="76">
        <f>资产资本表!U50</f>
        <v>3780923028.1800003</v>
      </c>
      <c r="V50" s="76">
        <f>资产资本表!V50</f>
        <v>3754710479.5099993</v>
      </c>
      <c r="W50" s="76">
        <f>资产资本表!W50</f>
        <v>1018974594.6299992</v>
      </c>
      <c r="X50" s="76">
        <f>资产资本表!X50</f>
        <v>-924062367.13000107</v>
      </c>
      <c r="Y50" s="76">
        <f>资产资本表!Y50</f>
        <v>-3704821538.0000019</v>
      </c>
      <c r="Z50" s="76">
        <f>资产资本表!Z50</f>
        <v>-3630923449.0500011</v>
      </c>
      <c r="AA50" s="76">
        <f>资产资本表!AA50</f>
        <v>-3964325561.5100021</v>
      </c>
      <c r="AB50" s="76">
        <f>资产资本表!AB50</f>
        <v>-3746547591.2099991</v>
      </c>
      <c r="AC50" s="76">
        <f>资产资本表!AC50</f>
        <v>-5386357411.4099998</v>
      </c>
      <c r="AD50" s="76">
        <f>资产资本表!AD50</f>
        <v>-4068304774.7299995</v>
      </c>
      <c r="AE50" s="76">
        <f>资产资本表!AE50</f>
        <v>-4395496119.4500017</v>
      </c>
      <c r="AF50" s="76">
        <f>资产资本表!AF50</f>
        <v>-2742823972.2699995</v>
      </c>
      <c r="AG50" s="76">
        <f>资产资本表!AG50</f>
        <v>-2788274772.4099998</v>
      </c>
      <c r="AH50" s="76">
        <f>资产资本表!AH50</f>
        <v>-1298215126.8300009</v>
      </c>
      <c r="AI50" s="76">
        <f>资产资本表!AI50</f>
        <v>-1017736883.5900002</v>
      </c>
      <c r="AJ50" s="76">
        <f>资产资本表!AJ50</f>
        <v>-892466063.19999981</v>
      </c>
      <c r="AK50" s="76">
        <f>资产资本表!AK50</f>
        <v>-356836837.43999958</v>
      </c>
      <c r="AL50" s="76">
        <f>资产资本表!AL50</f>
        <v>-524459608.69000053</v>
      </c>
      <c r="AM50" s="76">
        <f>资产资本表!AM50</f>
        <v>311135128.95999956</v>
      </c>
      <c r="AN50" s="76">
        <f>资产资本表!AN50</f>
        <v>856746739.61999989</v>
      </c>
      <c r="AO50" s="76">
        <f>资产资本表!AO50</f>
        <v>714766491.74999976</v>
      </c>
      <c r="AP50" s="76">
        <f>资产资本表!AP50</f>
        <v>539828258.50999999</v>
      </c>
      <c r="AQ50" s="76">
        <f>资产资本表!AQ50</f>
        <v>747217549.30999994</v>
      </c>
      <c r="AR50" s="76">
        <f>资产资本表!AR50</f>
        <v>414911887.28000021</v>
      </c>
      <c r="AS50" s="76">
        <f>资产资本表!AS50</f>
        <v>428905073.5999999</v>
      </c>
      <c r="AT50" s="76">
        <f>资产资本表!AT50</f>
        <v>-256023842.15000057</v>
      </c>
      <c r="AU50" s="76">
        <f>资产资本表!AU50</f>
        <v>-83740178.079999685</v>
      </c>
      <c r="AV50" s="76">
        <f>资产资本表!AV50</f>
        <v>-4674827</v>
      </c>
      <c r="AW50" s="76">
        <f>资产资本表!AW50</f>
        <v>331796464.71000004</v>
      </c>
      <c r="AX50" s="76">
        <f>资产资本表!AX50</f>
        <v>202375440.42000008</v>
      </c>
      <c r="AY50" s="76">
        <f>资产资本表!AY50</f>
        <v>185741200.1099999</v>
      </c>
      <c r="AZ50" s="76">
        <f>资产资本表!AZ50</f>
        <v>-74604148.930000305</v>
      </c>
      <c r="BA50" s="76">
        <f>资产资本表!BA50</f>
        <v>38993144.749999762</v>
      </c>
      <c r="BB50" s="76">
        <f>资产资本表!BB50</f>
        <v>332850455.34000015</v>
      </c>
      <c r="BC50" s="76">
        <f>资产资本表!BC50</f>
        <v>111314378.61999989</v>
      </c>
      <c r="BD50" s="76">
        <f>资产资本表!BD50</f>
        <v>96244848.000000238</v>
      </c>
      <c r="BE50" s="76">
        <f>资产资本表!BE50</f>
        <v>-39184618.739999771</v>
      </c>
      <c r="BF50" s="76">
        <f>资产资本表!BF50</f>
        <v>-374234633.62999988</v>
      </c>
      <c r="BG50" s="76">
        <f>资产资本表!BG50</f>
        <v>-450843554.1500001</v>
      </c>
      <c r="BH50" s="76">
        <f>资产资本表!BH50</f>
        <v>-987808033.03999996</v>
      </c>
      <c r="BI50" s="76">
        <f>资产资本表!BI50</f>
        <v>-489236067.6900003</v>
      </c>
      <c r="BJ50" s="76">
        <f>资产资本表!BJ50</f>
        <v>-492180573.92000008</v>
      </c>
      <c r="BK50" s="76">
        <f>资产资本表!BK50</f>
        <v>-311396427.33000016</v>
      </c>
      <c r="BL50" s="76">
        <f>资产资本表!BL50</f>
        <v>-293354093.99000001</v>
      </c>
      <c r="BM50" s="76">
        <f>资产资本表!BM50</f>
        <v>-445466548.54999995</v>
      </c>
      <c r="BN50" s="76">
        <f>资产资本表!BN50</f>
        <v>151609124.37999988</v>
      </c>
      <c r="BO50" s="76">
        <f>资产资本表!BO50</f>
        <v>-224746581.94999981</v>
      </c>
      <c r="BP50" s="76">
        <f>资产资本表!BP50</f>
        <v>-219868024.53000021</v>
      </c>
      <c r="BQ50" s="76">
        <f>资产资本表!BQ50</f>
        <v>-317610937.9599998</v>
      </c>
      <c r="BR50" s="76">
        <f>资产资本表!BR50</f>
        <v>0</v>
      </c>
      <c r="BS50" s="76">
        <f>资产资本表!BS50</f>
        <v>-483179393.38000011</v>
      </c>
      <c r="BT50" s="76">
        <f>资产资本表!BT50</f>
        <v>206810473.36000013</v>
      </c>
      <c r="BU50" s="76">
        <f>资产资本表!BU50</f>
        <v>-149453986.8900001</v>
      </c>
      <c r="BV50" s="76">
        <f>资产资本表!BV50</f>
        <v>766208832.10000026</v>
      </c>
      <c r="BW50" s="76">
        <f>资产资本表!BW50</f>
        <v>-16114514.109999657</v>
      </c>
      <c r="BX50" s="76">
        <f>资产资本表!BX50</f>
        <v>108087215.97000003</v>
      </c>
      <c r="BY50" s="76">
        <f>资产资本表!BY50</f>
        <v>87024710.430000067</v>
      </c>
      <c r="BZ50" s="76">
        <f>资产资本表!BZ50</f>
        <v>174841459.51999998</v>
      </c>
      <c r="CA50" s="76">
        <f>资产资本表!CA50</f>
        <v>7899410.3400000334</v>
      </c>
      <c r="CB50" s="76">
        <f>资产资本表!CB50</f>
        <v>122785628.63000005</v>
      </c>
      <c r="CC50" s="76">
        <f>资产资本表!CC50</f>
        <v>271673799.19000006</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466</v>
      </c>
      <c r="E51" s="44">
        <f>E49/E50</f>
        <v>5.1809811327137787</v>
      </c>
      <c r="F51" s="44">
        <f t="shared" ref="F51:BQ51" si="18">F49/F50</f>
        <v>3.3500933506116319</v>
      </c>
      <c r="G51" s="44">
        <f t="shared" si="18"/>
        <v>2.2045668038830062</v>
      </c>
      <c r="H51" s="44">
        <f t="shared" si="18"/>
        <v>1.4209648594624011</v>
      </c>
      <c r="I51" s="44">
        <f t="shared" si="18"/>
        <v>4.6607544628705471</v>
      </c>
      <c r="J51" s="44">
        <f t="shared" si="18"/>
        <v>3.8612920678317937</v>
      </c>
      <c r="K51" s="44">
        <f t="shared" si="18"/>
        <v>1.4074292584175596</v>
      </c>
      <c r="L51" s="44">
        <f t="shared" si="18"/>
        <v>0.73336260241193985</v>
      </c>
      <c r="M51" s="44">
        <f t="shared" si="18"/>
        <v>2.250728106883896</v>
      </c>
      <c r="N51" s="44">
        <f t="shared" si="18"/>
        <v>1.6518110297301014</v>
      </c>
      <c r="O51" s="44">
        <f t="shared" si="18"/>
        <v>1.094575052630445</v>
      </c>
      <c r="P51" s="44">
        <f t="shared" si="18"/>
        <v>0.65377707164201571</v>
      </c>
      <c r="Q51" s="44">
        <f t="shared" si="18"/>
        <v>2.1381857384187044</v>
      </c>
      <c r="R51" s="44">
        <f t="shared" si="18"/>
        <v>1.4879011288391064</v>
      </c>
      <c r="S51" s="44">
        <f t="shared" si="18"/>
        <v>1.142370841508165</v>
      </c>
      <c r="T51" s="44">
        <f t="shared" si="18"/>
        <v>0.74624442521780887</v>
      </c>
      <c r="U51" s="44">
        <f t="shared" si="18"/>
        <v>6.5377127314566454</v>
      </c>
      <c r="V51" s="44">
        <f t="shared" si="18"/>
        <v>5.1044780523107596</v>
      </c>
      <c r="W51" s="44">
        <f t="shared" si="18"/>
        <v>15.230877891470334</v>
      </c>
      <c r="X51" s="44">
        <f t="shared" si="18"/>
        <v>-9.3887600787225338</v>
      </c>
      <c r="Y51" s="44">
        <f t="shared" si="18"/>
        <v>-7.342066459164486</v>
      </c>
      <c r="Z51" s="44">
        <f t="shared" si="18"/>
        <v>-5.818520753495255</v>
      </c>
      <c r="AA51" s="44">
        <f t="shared" si="18"/>
        <v>-3.7962849367037359</v>
      </c>
      <c r="AB51" s="44">
        <f t="shared" si="18"/>
        <v>-2.1968629177246881</v>
      </c>
      <c r="AC51" s="44">
        <f t="shared" si="18"/>
        <v>-3.7781738036174572</v>
      </c>
      <c r="AD51" s="44">
        <f t="shared" si="18"/>
        <v>-3.8465098749216891</v>
      </c>
      <c r="AE51" s="44">
        <f t="shared" si="18"/>
        <v>-2.4103832457769765</v>
      </c>
      <c r="AF51" s="44">
        <f t="shared" si="18"/>
        <v>-2.2766889682978513</v>
      </c>
      <c r="AG51" s="44">
        <f t="shared" si="18"/>
        <v>-5.573805230614747</v>
      </c>
      <c r="AH51" s="44">
        <f t="shared" si="18"/>
        <v>-8.8365248053084819</v>
      </c>
      <c r="AI51" s="44">
        <f t="shared" si="18"/>
        <v>-7.4445036095815169</v>
      </c>
      <c r="AJ51" s="44">
        <f t="shared" si="18"/>
        <v>-5.0350662874930938</v>
      </c>
      <c r="AK51" s="44">
        <f t="shared" si="18"/>
        <v>-31.188541601962061</v>
      </c>
      <c r="AL51" s="44">
        <f t="shared" si="18"/>
        <v>-15.310387956141369</v>
      </c>
      <c r="AM51" s="44">
        <f t="shared" si="18"/>
        <v>17.165821004084179</v>
      </c>
      <c r="AN51" s="44">
        <f t="shared" si="18"/>
        <v>3.8971268546302364</v>
      </c>
      <c r="AO51" s="44">
        <f t="shared" si="18"/>
        <v>11.098825721092574</v>
      </c>
      <c r="AP51" s="44">
        <f t="shared" si="18"/>
        <v>12.186615934627168</v>
      </c>
      <c r="AQ51" s="44">
        <f t="shared" si="18"/>
        <v>6.1525290556481789</v>
      </c>
      <c r="AR51" s="44">
        <f t="shared" si="18"/>
        <v>7.4380792845959993</v>
      </c>
      <c r="AS51" s="44">
        <f t="shared" si="18"/>
        <v>17.086661577835905</v>
      </c>
      <c r="AT51" s="44">
        <f t="shared" si="18"/>
        <v>-23.603517036626062</v>
      </c>
      <c r="AU51" s="44">
        <f t="shared" si="18"/>
        <v>-51.861371443599111</v>
      </c>
      <c r="AV51" s="44">
        <f t="shared" si="18"/>
        <v>-643.84256178677845</v>
      </c>
      <c r="AW51" s="44">
        <f t="shared" si="18"/>
        <v>22.261061244174819</v>
      </c>
      <c r="AX51" s="44">
        <f t="shared" si="18"/>
        <v>29.428093140057896</v>
      </c>
      <c r="AY51" s="44">
        <f t="shared" si="18"/>
        <v>23.672786878172403</v>
      </c>
      <c r="AZ51" s="44">
        <f t="shared" si="18"/>
        <v>-36.599123520756564</v>
      </c>
      <c r="BA51" s="44">
        <f t="shared" si="18"/>
        <v>164.61230607259597</v>
      </c>
      <c r="BB51" s="44">
        <f t="shared" si="18"/>
        <v>14.924934604988055</v>
      </c>
      <c r="BC51" s="44">
        <f t="shared" si="18"/>
        <v>34.200551729226405</v>
      </c>
      <c r="BD51" s="44">
        <f t="shared" si="18"/>
        <v>25.658022896872296</v>
      </c>
      <c r="BE51" s="44">
        <f t="shared" si="18"/>
        <v>-160.71570022835027</v>
      </c>
      <c r="BF51" s="44">
        <f t="shared" si="18"/>
        <v>-12.233186285843017</v>
      </c>
      <c r="BG51" s="44">
        <f t="shared" si="18"/>
        <v>-7.668514648608511</v>
      </c>
      <c r="BH51" s="44">
        <f t="shared" si="18"/>
        <v>-2.4801816180824607</v>
      </c>
      <c r="BI51" s="44">
        <f t="shared" si="18"/>
        <v>-12.944856311785463</v>
      </c>
      <c r="BJ51" s="44">
        <f t="shared" si="18"/>
        <v>-9.4294437700102218</v>
      </c>
      <c r="BK51" s="44">
        <f t="shared" si="18"/>
        <v>-11.004670385182219</v>
      </c>
      <c r="BL51" s="44">
        <f t="shared" si="18"/>
        <v>-7.7539666866470922</v>
      </c>
      <c r="BM51" s="44">
        <f t="shared" si="18"/>
        <v>-12.81020417139019</v>
      </c>
      <c r="BN51" s="44">
        <f t="shared" si="18"/>
        <v>29.571616225107864</v>
      </c>
      <c r="BO51" s="44">
        <f t="shared" si="18"/>
        <v>-15.405792538016408</v>
      </c>
      <c r="BP51" s="44">
        <f t="shared" si="18"/>
        <v>-10.293469320506828</v>
      </c>
      <c r="BQ51" s="44">
        <f t="shared" si="18"/>
        <v>-14.930516471215558</v>
      </c>
      <c r="BR51" s="44" t="e">
        <f t="shared" ref="BR51:CJ51" si="19">BR49/BR50</f>
        <v>#DIV/0!</v>
      </c>
      <c r="BS51" s="44">
        <f t="shared" si="19"/>
        <v>-5.8311551800061148</v>
      </c>
      <c r="BT51" s="44">
        <f t="shared" si="19"/>
        <v>9.6702048869581425</v>
      </c>
      <c r="BU51" s="44">
        <f t="shared" si="19"/>
        <v>-26.453895417791202</v>
      </c>
      <c r="BV51" s="44">
        <f t="shared" si="19"/>
        <v>3.481667689223181</v>
      </c>
      <c r="BW51" s="44">
        <f t="shared" si="19"/>
        <v>-205.32986717525489</v>
      </c>
      <c r="BX51" s="44">
        <f t="shared" si="19"/>
        <v>17.586661312449749</v>
      </c>
      <c r="BY51" s="44">
        <f t="shared" si="19"/>
        <v>32.339625368633335</v>
      </c>
      <c r="BZ51" s="44">
        <f t="shared" si="19"/>
        <v>6.9230341851015007</v>
      </c>
      <c r="CA51" s="44">
        <f t="shared" si="19"/>
        <v>279.06569233368759</v>
      </c>
      <c r="CB51" s="44">
        <f t="shared" si="19"/>
        <v>10.666532436761116</v>
      </c>
      <c r="CC51" s="44">
        <f t="shared" si="19"/>
        <v>3.3669189965583879</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467</v>
      </c>
      <c r="E52" s="76">
        <f>资产资本表!E68</f>
        <v>6778871599.6899986</v>
      </c>
      <c r="F52" s="76">
        <f>资产资本表!F68</f>
        <v>6715611960.5299997</v>
      </c>
      <c r="G52" s="76">
        <f>资产资本表!G68</f>
        <v>6784689898.7400007</v>
      </c>
      <c r="H52" s="76">
        <f>资产资本表!H68</f>
        <v>6859753984.4599991</v>
      </c>
      <c r="I52" s="76">
        <f>资产资本表!I68</f>
        <v>6874023417.1199999</v>
      </c>
      <c r="J52" s="76">
        <f>资产资本表!J68</f>
        <v>6940278660.5100002</v>
      </c>
      <c r="K52" s="76">
        <f>资产资本表!K68</f>
        <v>7021686346.3999996</v>
      </c>
      <c r="L52" s="76">
        <f>资产资本表!L68</f>
        <v>6996079384.1000004</v>
      </c>
      <c r="M52" s="76">
        <f>资产资本表!M68</f>
        <v>7046014251.8400002</v>
      </c>
      <c r="N52" s="76">
        <f>资产资本表!N68</f>
        <v>6908879331.5699997</v>
      </c>
      <c r="O52" s="76">
        <f>资产资本表!O68</f>
        <v>6985413545.8999987</v>
      </c>
      <c r="P52" s="76">
        <f>资产资本表!P68</f>
        <v>6983588637.25</v>
      </c>
      <c r="Q52" s="76">
        <f>资产资本表!Q68</f>
        <v>7039724818.9099989</v>
      </c>
      <c r="R52" s="76">
        <f>资产资本表!R68</f>
        <v>7002405181.75</v>
      </c>
      <c r="S52" s="76">
        <f>资产资本表!S68</f>
        <v>6820899564.5900002</v>
      </c>
      <c r="T52" s="76">
        <f>资产资本表!T68</f>
        <v>6901976847.3200006</v>
      </c>
      <c r="U52" s="76">
        <f>资产资本表!U68</f>
        <v>7066704676.829998</v>
      </c>
      <c r="V52" s="76">
        <f>资产资本表!V68</f>
        <v>7094177756.0999985</v>
      </c>
      <c r="W52" s="76">
        <f>资产资本表!W68</f>
        <v>7193202910.4400005</v>
      </c>
      <c r="X52" s="76">
        <f>资产资本表!X68</f>
        <v>7189556636.1800003</v>
      </c>
      <c r="Y52" s="76">
        <f>资产资本表!Y68</f>
        <v>7203220050.0099993</v>
      </c>
      <c r="Z52" s="76">
        <f>资产资本表!Z68</f>
        <v>6981171616.2199993</v>
      </c>
      <c r="AA52" s="76">
        <f>资产资本表!AA68</f>
        <v>7062837180.7000017</v>
      </c>
      <c r="AB52" s="76">
        <f>资产资本表!AB68</f>
        <v>7056789893.3599997</v>
      </c>
      <c r="AC52" s="76">
        <f>资产资本表!AC68</f>
        <v>7060285622.9699993</v>
      </c>
      <c r="AD52" s="76">
        <f>资产资本表!AD68</f>
        <v>7088147675.0400009</v>
      </c>
      <c r="AE52" s="76">
        <f>资产资本表!AE68</f>
        <v>7173637315.2600002</v>
      </c>
      <c r="AF52" s="76">
        <f>资产资本表!AF68</f>
        <v>7186965955.3099995</v>
      </c>
      <c r="AG52" s="76">
        <f>资产资本表!AG68</f>
        <v>7269109011.6599998</v>
      </c>
      <c r="AH52" s="76">
        <f>资产资本表!AH68</f>
        <v>7322128848.5600004</v>
      </c>
      <c r="AI52" s="76">
        <f>资产资本表!AI68</f>
        <v>7403218338.21</v>
      </c>
      <c r="AJ52" s="76">
        <f>资产资本表!AJ68</f>
        <v>7484039969.21</v>
      </c>
      <c r="AK52" s="76">
        <f>资产资本表!AK68</f>
        <v>7532314374.5600004</v>
      </c>
      <c r="AL52" s="76">
        <f>资产资本表!AL68</f>
        <v>7582045568.7000008</v>
      </c>
      <c r="AM52" s="76">
        <f>资产资本表!AM68</f>
        <v>7681819745.8400011</v>
      </c>
      <c r="AN52" s="76">
        <f>资产资本表!AN68</f>
        <v>4722546093.6300001</v>
      </c>
      <c r="AO52" s="76">
        <f>资产资本表!AO68</f>
        <v>4727398400.9000006</v>
      </c>
      <c r="AP52" s="76">
        <f>资产资本表!AP68</f>
        <v>4816717622.0800009</v>
      </c>
      <c r="AQ52" s="76">
        <f>资产资本表!AQ68</f>
        <v>4920537432.3300009</v>
      </c>
      <c r="AR52" s="76">
        <f>资产资本表!AR68</f>
        <v>4957199221.7200012</v>
      </c>
      <c r="AS52" s="76">
        <f>资产资本表!AS68</f>
        <v>5061367999.4700003</v>
      </c>
      <c r="AT52" s="76">
        <f>资产资本表!AT68</f>
        <v>5093410589.7600002</v>
      </c>
      <c r="AU52" s="76">
        <f>资产资本表!AU68</f>
        <v>5139890812.9499998</v>
      </c>
      <c r="AV52" s="76">
        <f>资产资本表!AV68</f>
        <v>5200539178.9399996</v>
      </c>
      <c r="AW52" s="76">
        <f>资产资本表!AW68</f>
        <v>5276977458.4399996</v>
      </c>
      <c r="AX52" s="76">
        <f>资产资本表!AX68</f>
        <v>5386206715.8500004</v>
      </c>
      <c r="AY52" s="76">
        <f>资产资本表!AY68</f>
        <v>5450521183.1300001</v>
      </c>
      <c r="AZ52" s="76">
        <f>资产资本表!AZ68</f>
        <v>5367462942.3500004</v>
      </c>
      <c r="BA52" s="76">
        <f>资产资本表!BA68</f>
        <v>5474203324.3399992</v>
      </c>
      <c r="BB52" s="76">
        <f>资产资本表!BB68</f>
        <v>5547290870.3299999</v>
      </c>
      <c r="BC52" s="76">
        <f>资产资本表!BC68</f>
        <v>5665707298.6499996</v>
      </c>
      <c r="BD52" s="76">
        <f>资产资本表!BD68</f>
        <v>5766176653.5100002</v>
      </c>
      <c r="BE52" s="76">
        <f>资产资本表!BE68</f>
        <v>5837566247.29</v>
      </c>
      <c r="BF52" s="76">
        <f>资产资本表!BF68</f>
        <v>5426340103.3800001</v>
      </c>
      <c r="BG52" s="76">
        <f>资产资本表!BG68</f>
        <v>5516225465.3800001</v>
      </c>
      <c r="BH52" s="76">
        <f>资产资本表!BH68</f>
        <v>5584384446.9799995</v>
      </c>
      <c r="BI52" s="76">
        <f>资产资本表!BI68</f>
        <v>5584130250.7199993</v>
      </c>
      <c r="BJ52" s="76">
        <f>资产资本表!BJ68</f>
        <v>5171579007.8500004</v>
      </c>
      <c r="BK52" s="76">
        <f>资产资本表!BK68</f>
        <v>4539878691.6599998</v>
      </c>
      <c r="BL52" s="76">
        <f>资产资本表!BL68</f>
        <v>4474983135.0500002</v>
      </c>
      <c r="BM52" s="76">
        <f>资产资本表!BM68</f>
        <v>4517119929.7700005</v>
      </c>
      <c r="BN52" s="76">
        <f>资产资本表!BN68</f>
        <v>3617218795.6000004</v>
      </c>
      <c r="BO52" s="76">
        <f>资产资本表!BO68</f>
        <v>3681336420.0500002</v>
      </c>
      <c r="BP52" s="76">
        <f>资产资本表!BP68</f>
        <v>3519981336.8200002</v>
      </c>
      <c r="BQ52" s="76">
        <f>资产资本表!BQ68</f>
        <v>3554877056.6000004</v>
      </c>
      <c r="BR52" s="76">
        <f>资产资本表!BR68</f>
        <v>0</v>
      </c>
      <c r="BS52" s="76">
        <f>资产资本表!BS68</f>
        <v>3535258925.1199999</v>
      </c>
      <c r="BT52" s="76">
        <f>资产资本表!BT68</f>
        <v>1781128379.5599999</v>
      </c>
      <c r="BU52" s="76">
        <f>资产资本表!BU68</f>
        <v>1660008775.1100001</v>
      </c>
      <c r="BV52" s="76">
        <f>资产资本表!BV68</f>
        <v>1679896127.0300002</v>
      </c>
      <c r="BW52" s="76">
        <f>资产资本表!BW68</f>
        <v>1351335368.26</v>
      </c>
      <c r="BX52" s="76">
        <f>资产资本表!BX68</f>
        <v>863141638.28999996</v>
      </c>
      <c r="BY52" s="76">
        <f>资产资本表!BY68</f>
        <v>889088276.57000005</v>
      </c>
      <c r="BZ52" s="76">
        <f>资产资本表!BZ68</f>
        <v>773080474.13999999</v>
      </c>
      <c r="CA52" s="76">
        <f>资产资本表!CA68</f>
        <v>288991911.69</v>
      </c>
      <c r="CB52" s="76">
        <f>资产资本表!CB68</f>
        <v>271521353.76999998</v>
      </c>
      <c r="CC52" s="76">
        <f>资产资本表!CC68</f>
        <v>207085363.92999998</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468</v>
      </c>
      <c r="E53" s="44">
        <f>E49/E52</f>
        <v>4.4530686214089759</v>
      </c>
      <c r="F53" s="44">
        <f t="shared" ref="F53:BQ53" si="20">F49/F52</f>
        <v>3.2726126463038696</v>
      </c>
      <c r="G53" s="44">
        <f t="shared" si="20"/>
        <v>2.3024084952594563</v>
      </c>
      <c r="H53" s="44">
        <f t="shared" si="20"/>
        <v>1.4809288411965846</v>
      </c>
      <c r="I53" s="44">
        <f t="shared" si="20"/>
        <v>3.5705133909586069</v>
      </c>
      <c r="J53" s="44">
        <f t="shared" si="20"/>
        <v>2.5502785547964377</v>
      </c>
      <c r="K53" s="44">
        <f t="shared" si="20"/>
        <v>1.8878141221469016</v>
      </c>
      <c r="L53" s="44">
        <f t="shared" si="20"/>
        <v>1.2615014394387623</v>
      </c>
      <c r="M53" s="44">
        <f t="shared" si="20"/>
        <v>3.0739772281902327</v>
      </c>
      <c r="N53" s="44">
        <f t="shared" si="20"/>
        <v>2.1901296333354106</v>
      </c>
      <c r="O53" s="44">
        <f t="shared" si="20"/>
        <v>1.6055476076320132</v>
      </c>
      <c r="P53" s="44">
        <f t="shared" si="20"/>
        <v>0.96446618264908024</v>
      </c>
      <c r="Q53" s="44">
        <f t="shared" si="20"/>
        <v>2.9847035326862863</v>
      </c>
      <c r="R53" s="44">
        <f t="shared" si="20"/>
        <v>2.15187698006133</v>
      </c>
      <c r="S53" s="44">
        <f t="shared" si="20"/>
        <v>1.7098232702054201</v>
      </c>
      <c r="T53" s="44">
        <f t="shared" si="20"/>
        <v>0.97361259953795432</v>
      </c>
      <c r="U53" s="44">
        <f t="shared" si="20"/>
        <v>3.4978946692135344</v>
      </c>
      <c r="V53" s="44">
        <f t="shared" si="20"/>
        <v>2.7016291238205956</v>
      </c>
      <c r="W53" s="44">
        <f t="shared" si="20"/>
        <v>2.1575753970174971</v>
      </c>
      <c r="X53" s="44">
        <f t="shared" si="20"/>
        <v>1.2067225145846656</v>
      </c>
      <c r="Y53" s="44">
        <f t="shared" si="20"/>
        <v>3.7762342067145709</v>
      </c>
      <c r="Z53" s="44">
        <f t="shared" si="20"/>
        <v>3.026226055461037</v>
      </c>
      <c r="AA53" s="44">
        <f t="shared" si="20"/>
        <v>2.1308305753493832</v>
      </c>
      <c r="AB53" s="44">
        <f t="shared" si="20"/>
        <v>1.1663449807914121</v>
      </c>
      <c r="AC53" s="44">
        <f t="shared" si="20"/>
        <v>2.8824038509860261</v>
      </c>
      <c r="AD53" s="44">
        <f t="shared" si="20"/>
        <v>2.2077382142157034</v>
      </c>
      <c r="AE53" s="44">
        <f t="shared" si="20"/>
        <v>1.4769118841096587</v>
      </c>
      <c r="AF53" s="44">
        <f t="shared" si="20"/>
        <v>0.86887250036801511</v>
      </c>
      <c r="AG53" s="44">
        <f t="shared" si="20"/>
        <v>2.1379924948052103</v>
      </c>
      <c r="AH53" s="44">
        <f t="shared" si="20"/>
        <v>1.5667178778363171</v>
      </c>
      <c r="AI53" s="44">
        <f t="shared" si="20"/>
        <v>1.0234124616297495</v>
      </c>
      <c r="AJ53" s="44">
        <f t="shared" si="20"/>
        <v>0.60042781786804622</v>
      </c>
      <c r="AK53" s="44">
        <f t="shared" si="20"/>
        <v>1.4775300121830235</v>
      </c>
      <c r="AL53" s="44">
        <f t="shared" si="20"/>
        <v>1.0590387519586946</v>
      </c>
      <c r="AM53" s="44">
        <f t="shared" si="20"/>
        <v>0.69526363654943824</v>
      </c>
      <c r="AN53" s="44">
        <f t="shared" si="20"/>
        <v>0.70700225268179051</v>
      </c>
      <c r="AO53" s="44">
        <f t="shared" si="20"/>
        <v>1.6781045409034503</v>
      </c>
      <c r="AP53" s="44">
        <f t="shared" si="20"/>
        <v>1.3658013969851801</v>
      </c>
      <c r="AQ53" s="44">
        <f t="shared" si="20"/>
        <v>0.93430397517432795</v>
      </c>
      <c r="AR53" s="44">
        <f t="shared" si="20"/>
        <v>0.62255870213729236</v>
      </c>
      <c r="AS53" s="44">
        <f t="shared" si="20"/>
        <v>1.4479397353417904</v>
      </c>
      <c r="AT53" s="44">
        <f t="shared" si="20"/>
        <v>1.1864472760392064</v>
      </c>
      <c r="AU53" s="44">
        <f t="shared" si="20"/>
        <v>0.84493633001270663</v>
      </c>
      <c r="AV53" s="44">
        <f t="shared" si="20"/>
        <v>0.57875779568753938</v>
      </c>
      <c r="AW53" s="44">
        <f t="shared" si="20"/>
        <v>1.3996916757142108</v>
      </c>
      <c r="AX53" s="44">
        <f t="shared" si="20"/>
        <v>1.1056989870839287</v>
      </c>
      <c r="AY53" s="44">
        <f t="shared" si="20"/>
        <v>0.80671401815834887</v>
      </c>
      <c r="AZ53" s="44">
        <f t="shared" si="20"/>
        <v>0.50870336529133942</v>
      </c>
      <c r="BA53" s="44">
        <f t="shared" si="20"/>
        <v>1.1725453181068828</v>
      </c>
      <c r="BB53" s="44">
        <f t="shared" si="20"/>
        <v>0.89553106107350644</v>
      </c>
      <c r="BC53" s="44">
        <f t="shared" si="20"/>
        <v>0.67193961204228081</v>
      </c>
      <c r="BD53" s="44">
        <f t="shared" si="20"/>
        <v>0.42826515073671723</v>
      </c>
      <c r="BE53" s="44">
        <f t="shared" si="20"/>
        <v>1.0788029072738241</v>
      </c>
      <c r="BF53" s="44">
        <f t="shared" si="20"/>
        <v>0.84367767235200941</v>
      </c>
      <c r="BG53" s="44">
        <f t="shared" si="20"/>
        <v>0.6267511037988065</v>
      </c>
      <c r="BH53" s="44">
        <f t="shared" si="20"/>
        <v>0.43871322775152305</v>
      </c>
      <c r="BI53" s="44">
        <f t="shared" si="20"/>
        <v>1.1341230083186959</v>
      </c>
      <c r="BJ53" s="44">
        <f t="shared" si="20"/>
        <v>0.89740271577121589</v>
      </c>
      <c r="BK53" s="44">
        <f t="shared" si="20"/>
        <v>0.75482524416021124</v>
      </c>
      <c r="BL53" s="44">
        <f t="shared" si="20"/>
        <v>0.50830535077862027</v>
      </c>
      <c r="BM53" s="44">
        <f t="shared" si="20"/>
        <v>1.263308817824671</v>
      </c>
      <c r="BN53" s="44">
        <f t="shared" si="20"/>
        <v>1.2394403257672821</v>
      </c>
      <c r="BO53" s="44">
        <f t="shared" si="20"/>
        <v>0.94052779210626269</v>
      </c>
      <c r="BP53" s="44">
        <f t="shared" si="20"/>
        <v>0.64295930816059677</v>
      </c>
      <c r="BQ53" s="44">
        <f t="shared" si="20"/>
        <v>1.3339688729447914</v>
      </c>
      <c r="BR53" s="44" t="e">
        <f t="shared" ref="BR53:CK53" si="21">BR49/BR52</f>
        <v>#DIV/0!</v>
      </c>
      <c r="BS53" s="44">
        <f t="shared" si="21"/>
        <v>0.79696963709224311</v>
      </c>
      <c r="BT53" s="44">
        <f t="shared" si="21"/>
        <v>1.122827345356231</v>
      </c>
      <c r="BU53" s="44">
        <f t="shared" si="21"/>
        <v>2.3816983369247628</v>
      </c>
      <c r="BV53" s="44">
        <f t="shared" si="21"/>
        <v>1.588005645704045</v>
      </c>
      <c r="BW53" s="44">
        <f t="shared" si="21"/>
        <v>2.4485343309414374</v>
      </c>
      <c r="BX53" s="44">
        <f t="shared" si="21"/>
        <v>2.2022958633254284</v>
      </c>
      <c r="BY53" s="44">
        <f t="shared" si="21"/>
        <v>3.1654298085870889</v>
      </c>
      <c r="BZ53" s="44">
        <f t="shared" si="21"/>
        <v>1.5657275558233776</v>
      </c>
      <c r="CA53" s="44">
        <f t="shared" si="21"/>
        <v>7.6280834389742571</v>
      </c>
      <c r="CB53" s="44">
        <f t="shared" si="21"/>
        <v>4.8235502378181883</v>
      </c>
      <c r="CC53" s="44">
        <f t="shared" si="21"/>
        <v>4.4170368103329247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469</v>
      </c>
      <c r="E54" s="76">
        <f>资产资本表!E17</f>
        <v>41206139837.209999</v>
      </c>
      <c r="F54" s="76">
        <f>资产资本表!F17</f>
        <v>37760386205.559998</v>
      </c>
      <c r="G54" s="76">
        <f>资产资本表!G17</f>
        <v>35291765880.580002</v>
      </c>
      <c r="H54" s="76">
        <f>资产资本表!H17</f>
        <v>37141435164.459999</v>
      </c>
      <c r="I54" s="76">
        <f>资产资本表!I17</f>
        <v>35271136987.740005</v>
      </c>
      <c r="J54" s="76">
        <f>资产资本表!J17</f>
        <v>34215368026.389999</v>
      </c>
      <c r="K54" s="76">
        <f>资产资本表!K17</f>
        <v>31154374222.149998</v>
      </c>
      <c r="L54" s="76">
        <f>资产资本表!L17</f>
        <v>27457022528.27</v>
      </c>
      <c r="M54" s="76">
        <f>资产资本表!M17</f>
        <v>26773901419.16</v>
      </c>
      <c r="N54" s="76">
        <f>资产资本表!N17</f>
        <v>25763643116.34</v>
      </c>
      <c r="O54" s="76">
        <f>资产资本表!O17</f>
        <v>23225293875.670002</v>
      </c>
      <c r="P54" s="76">
        <f>资产资本表!P17</f>
        <v>24474208028.779999</v>
      </c>
      <c r="Q54" s="76">
        <f>资产资本表!Q17</f>
        <v>22599705731.139999</v>
      </c>
      <c r="R54" s="76">
        <f>资产资本表!R17</f>
        <v>21126333163.73</v>
      </c>
      <c r="S54" s="76">
        <f>资产资本表!S17</f>
        <v>20387235252.57</v>
      </c>
      <c r="T54" s="76">
        <f>资产资本表!T17</f>
        <v>23073039389.989998</v>
      </c>
      <c r="U54" s="76">
        <f>资产资本表!U17</f>
        <v>26118692258.639999</v>
      </c>
      <c r="V54" s="76">
        <f>资产资本表!V17</f>
        <v>25031477832.98</v>
      </c>
      <c r="W54" s="76">
        <f>资产资本表!W17</f>
        <v>26224171936.170002</v>
      </c>
      <c r="X54" s="76">
        <f>资产资本表!X17</f>
        <v>29270548001.169998</v>
      </c>
      <c r="Y54" s="76">
        <f>资产资本表!Y17</f>
        <v>28282678686.579998</v>
      </c>
      <c r="Z54" s="76">
        <f>资产资本表!Z17</f>
        <v>26212779803.650002</v>
      </c>
      <c r="AA54" s="76">
        <f>资产资本表!AA17</f>
        <v>23584755802.830002</v>
      </c>
      <c r="AB54" s="76">
        <f>资产资本表!AB17</f>
        <v>23195331714.5</v>
      </c>
      <c r="AC54" s="76">
        <f>资产资本表!AC17</f>
        <v>21865067913.639999</v>
      </c>
      <c r="AD54" s="76">
        <f>资产资本表!AD17</f>
        <v>19184803623.789997</v>
      </c>
      <c r="AE54" s="76">
        <f>资产资本表!AE17</f>
        <v>18379973645.23</v>
      </c>
      <c r="AF54" s="76">
        <f>资产资本表!AF17</f>
        <v>16253007648.639999</v>
      </c>
      <c r="AG54" s="76">
        <f>资产资本表!AG17</f>
        <v>14218929799.84</v>
      </c>
      <c r="AH54" s="76">
        <f>资产资本表!AH17</f>
        <v>11511333260.220001</v>
      </c>
      <c r="AI54" s="76">
        <f>资产资本表!AI17</f>
        <v>10012132378.76</v>
      </c>
      <c r="AJ54" s="76">
        <f>资产资本表!AJ17</f>
        <v>9581517222.7000008</v>
      </c>
      <c r="AK54" s="76">
        <f>资产资本表!AK17</f>
        <v>7596631543.4700003</v>
      </c>
      <c r="AL54" s="76">
        <f>资产资本表!AL17</f>
        <v>6576202996.1300001</v>
      </c>
      <c r="AM54" s="76">
        <f>资产资本表!AM17</f>
        <v>4868026612.3599997</v>
      </c>
      <c r="AN54" s="76">
        <f>资产资本表!AN17</f>
        <v>7118454004.9499998</v>
      </c>
      <c r="AO54" s="76">
        <f>资产资本表!AO17</f>
        <v>5986301716.8400002</v>
      </c>
      <c r="AP54" s="76">
        <f>资产资本表!AP17</f>
        <v>5848815880.0900002</v>
      </c>
      <c r="AQ54" s="76">
        <f>资产资本表!AQ17</f>
        <v>5241667192.3999996</v>
      </c>
      <c r="AR54" s="76">
        <f>资产资本表!AR17</f>
        <v>5243442422.5600004</v>
      </c>
      <c r="AS54" s="76">
        <f>资产资本表!AS17</f>
        <v>4112072765.1799998</v>
      </c>
      <c r="AT54" s="76">
        <f>资产资本表!AT17</f>
        <v>4726953237.1400003</v>
      </c>
      <c r="AU54" s="76">
        <f>资产资本表!AU17</f>
        <v>4326616347.71</v>
      </c>
      <c r="AV54" s="76">
        <f>资产资本表!AV17</f>
        <v>3831893890.9099998</v>
      </c>
      <c r="AW54" s="76">
        <f>资产资本表!AW17</f>
        <v>2818848444.02</v>
      </c>
      <c r="AX54" s="76">
        <f>资产资本表!AX17</f>
        <v>2687335844.2000003</v>
      </c>
      <c r="AY54" s="76">
        <f>资产资本表!AY17</f>
        <v>2474238718.1799998</v>
      </c>
      <c r="AZ54" s="76">
        <f>资产资本表!AZ17</f>
        <v>2768007739.1600003</v>
      </c>
      <c r="BA54" s="76">
        <f>资产资本表!BA17</f>
        <v>1984530518.3200002</v>
      </c>
      <c r="BB54" s="76">
        <f>资产资本表!BB17</f>
        <v>1580387787.6900001</v>
      </c>
      <c r="BC54" s="76">
        <f>资产资本表!BC17</f>
        <v>1494680127.27</v>
      </c>
      <c r="BD54" s="76">
        <f>资产资本表!BD17</f>
        <v>1245188936.1499999</v>
      </c>
      <c r="BE54" s="76">
        <f>资产资本表!BE17</f>
        <v>889392003.33000004</v>
      </c>
      <c r="BF54" s="76">
        <f>资产资本表!BF17</f>
        <v>1473124496.9199998</v>
      </c>
      <c r="BG54" s="76">
        <f>资产资本表!BG17</f>
        <v>1316861678.8299999</v>
      </c>
      <c r="BH54" s="76">
        <f>资产资本表!BH17</f>
        <v>1900573868.25</v>
      </c>
      <c r="BI54" s="76">
        <f>资产资本表!BI17</f>
        <v>1006515944.6799999</v>
      </c>
      <c r="BJ54" s="76">
        <f>资产资本表!BJ17</f>
        <v>1275653227.9299998</v>
      </c>
      <c r="BK54" s="76">
        <f>资产资本表!BK17</f>
        <v>1563531490.1699998</v>
      </c>
      <c r="BL54" s="76">
        <f>资产资本表!BL17</f>
        <v>1557032356.6500001</v>
      </c>
      <c r="BM54" s="76">
        <f>资产资本表!BM17</f>
        <v>1341653639.02</v>
      </c>
      <c r="BN54" s="76">
        <f>资产资本表!BN17</f>
        <v>1622874814.46</v>
      </c>
      <c r="BO54" s="76">
        <f>资产资本表!BO17</f>
        <v>1823750155.4399998</v>
      </c>
      <c r="BP54" s="76">
        <f>资产资本表!BP17</f>
        <v>1790107708.29</v>
      </c>
      <c r="BQ54" s="76">
        <f>资产资本表!BQ17</f>
        <v>1543799068.79</v>
      </c>
      <c r="BR54" s="76">
        <f>资产资本表!BR17</f>
        <v>0</v>
      </c>
      <c r="BS54" s="76">
        <f>资产资本表!BS17</f>
        <v>1567029389.1900001</v>
      </c>
      <c r="BT54" s="76">
        <f>资产资本表!BT17</f>
        <v>2415608007.5899997</v>
      </c>
      <c r="BU54" s="76">
        <f>资产资本表!BU17</f>
        <v>1717159838.0200002</v>
      </c>
      <c r="BV54" s="76">
        <f>资产资本表!BV17</f>
        <v>599617487.89999998</v>
      </c>
      <c r="BW54" s="76">
        <f>资产资本表!BW17</f>
        <v>931290888.92999995</v>
      </c>
      <c r="BX54" s="76">
        <f>资产资本表!BX17</f>
        <v>1244311406.3499999</v>
      </c>
      <c r="BY54" s="76">
        <f>资产资本表!BY17</f>
        <v>1052654663.3</v>
      </c>
      <c r="BZ54" s="76">
        <f>资产资本表!BZ17</f>
        <v>908361204.25999999</v>
      </c>
      <c r="CA54" s="76">
        <f>资产资本表!CA17</f>
        <v>170626574.80000001</v>
      </c>
      <c r="CB54" s="76">
        <f>资产资本表!CB17</f>
        <v>41123701.590000004</v>
      </c>
      <c r="CC54" s="76">
        <f>资产资本表!CC17</f>
        <v>38805248.43</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470</v>
      </c>
      <c r="E55" s="44">
        <f>E49/E54</f>
        <v>0.7325796720682074</v>
      </c>
      <c r="F55" s="44">
        <f t="shared" ref="F55:BQ55" si="22">F49/F54</f>
        <v>0.58202785612568564</v>
      </c>
      <c r="G55" s="44">
        <f t="shared" si="22"/>
        <v>0.44262811085788817</v>
      </c>
      <c r="H55" s="44">
        <f t="shared" si="22"/>
        <v>0.27351682761092627</v>
      </c>
      <c r="I55" s="44">
        <f t="shared" si="22"/>
        <v>0.69586054651771634</v>
      </c>
      <c r="J55" s="44">
        <f t="shared" si="22"/>
        <v>0.51730099230727045</v>
      </c>
      <c r="K55" s="44">
        <f t="shared" si="22"/>
        <v>0.42548242347925469</v>
      </c>
      <c r="L55" s="44">
        <f t="shared" si="22"/>
        <v>0.32143194712329487</v>
      </c>
      <c r="M55" s="44">
        <f t="shared" si="22"/>
        <v>0.80897016167244618</v>
      </c>
      <c r="N55" s="44">
        <f t="shared" si="22"/>
        <v>0.58731373078263505</v>
      </c>
      <c r="O55" s="44">
        <f t="shared" si="22"/>
        <v>0.48289653801491278</v>
      </c>
      <c r="P55" s="44">
        <f t="shared" si="22"/>
        <v>0.27520543529905389</v>
      </c>
      <c r="Q55" s="44">
        <f t="shared" si="22"/>
        <v>0.92972412057509191</v>
      </c>
      <c r="R55" s="44">
        <f t="shared" si="22"/>
        <v>0.71324798292680081</v>
      </c>
      <c r="S55" s="44">
        <f t="shared" si="22"/>
        <v>0.57205072952693914</v>
      </c>
      <c r="T55" s="44">
        <f t="shared" si="22"/>
        <v>0.29124258432919503</v>
      </c>
      <c r="U55" s="44">
        <f t="shared" si="22"/>
        <v>0.94639457340415478</v>
      </c>
      <c r="V55" s="44">
        <f t="shared" si="22"/>
        <v>0.76566942484667133</v>
      </c>
      <c r="W55" s="44">
        <f t="shared" si="22"/>
        <v>0.59181573637846785</v>
      </c>
      <c r="X55" s="44">
        <f t="shared" si="22"/>
        <v>0.29640032234494595</v>
      </c>
      <c r="Y55" s="44">
        <f t="shared" si="22"/>
        <v>0.9617563545791995</v>
      </c>
      <c r="Z55" s="44">
        <f t="shared" si="22"/>
        <v>0.80596577703324035</v>
      </c>
      <c r="AA55" s="44">
        <f t="shared" si="22"/>
        <v>0.63811173366247631</v>
      </c>
      <c r="AB55" s="44">
        <f t="shared" si="22"/>
        <v>0.35484086082178368</v>
      </c>
      <c r="AC55" s="44">
        <f t="shared" si="22"/>
        <v>0.93073547949122848</v>
      </c>
      <c r="AD55" s="44">
        <f t="shared" si="22"/>
        <v>0.81568593544449075</v>
      </c>
      <c r="AE55" s="44">
        <f t="shared" si="22"/>
        <v>0.57643337295805042</v>
      </c>
      <c r="AF55" s="44">
        <f t="shared" si="22"/>
        <v>0.38420932387689638</v>
      </c>
      <c r="AG55" s="44">
        <f t="shared" si="22"/>
        <v>1.0930007201403358</v>
      </c>
      <c r="AH55" s="44">
        <f t="shared" si="22"/>
        <v>0.99655790615523854</v>
      </c>
      <c r="AI55" s="44">
        <f t="shared" si="22"/>
        <v>0.75673648897842005</v>
      </c>
      <c r="AJ55" s="44">
        <f t="shared" si="22"/>
        <v>0.46898895896194293</v>
      </c>
      <c r="AK55" s="44">
        <f t="shared" si="22"/>
        <v>1.4650204483297053</v>
      </c>
      <c r="AL55" s="44">
        <f t="shared" si="22"/>
        <v>1.2210207137911269</v>
      </c>
      <c r="AM55" s="44">
        <f t="shared" si="22"/>
        <v>1.0971365518523242</v>
      </c>
      <c r="AN55" s="44">
        <f t="shared" si="22"/>
        <v>0.46904155372335687</v>
      </c>
      <c r="AO55" s="44">
        <f t="shared" si="22"/>
        <v>1.3252036229469641</v>
      </c>
      <c r="AP55" s="44">
        <f t="shared" si="22"/>
        <v>1.1247882976645811</v>
      </c>
      <c r="AQ55" s="44">
        <f t="shared" si="22"/>
        <v>0.8770640169001358</v>
      </c>
      <c r="AR55" s="44">
        <f t="shared" si="22"/>
        <v>0.58857278577748806</v>
      </c>
      <c r="AS55" s="44">
        <f t="shared" si="22"/>
        <v>1.7822048052447834</v>
      </c>
      <c r="AT55" s="44">
        <f t="shared" si="22"/>
        <v>1.2784266771435844</v>
      </c>
      <c r="AU55" s="44">
        <f t="shared" si="22"/>
        <v>1.0037590881980114</v>
      </c>
      <c r="AV55" s="44">
        <f t="shared" si="22"/>
        <v>0.78547388765903925</v>
      </c>
      <c r="AW55" s="44">
        <f t="shared" si="22"/>
        <v>2.6202690808649929</v>
      </c>
      <c r="AX55" s="44">
        <f t="shared" si="22"/>
        <v>2.2161440382651221</v>
      </c>
      <c r="AY55" s="44">
        <f t="shared" si="22"/>
        <v>1.7771170632776909</v>
      </c>
      <c r="AZ55" s="44">
        <f t="shared" si="22"/>
        <v>0.98643021232252803</v>
      </c>
      <c r="BA55" s="44">
        <f t="shared" si="22"/>
        <v>3.234392930250213</v>
      </c>
      <c r="BB55" s="44">
        <f t="shared" si="22"/>
        <v>3.1433875393654014</v>
      </c>
      <c r="BC55" s="44">
        <f t="shared" si="22"/>
        <v>2.5470420692308426</v>
      </c>
      <c r="BD55" s="44">
        <f t="shared" si="22"/>
        <v>1.983195033297759</v>
      </c>
      <c r="BE55" s="44">
        <f t="shared" si="22"/>
        <v>7.0807736244547099</v>
      </c>
      <c r="BF55" s="44">
        <f t="shared" si="22"/>
        <v>3.1077359703011034</v>
      </c>
      <c r="BG55" s="44">
        <f t="shared" si="22"/>
        <v>2.6254089209291358</v>
      </c>
      <c r="BH55" s="44">
        <f t="shared" si="22"/>
        <v>1.289054514884941</v>
      </c>
      <c r="BI55" s="44">
        <f t="shared" si="22"/>
        <v>6.2920916774979352</v>
      </c>
      <c r="BJ55" s="44">
        <f t="shared" si="22"/>
        <v>3.6381274666634322</v>
      </c>
      <c r="BK55" s="44">
        <f t="shared" si="22"/>
        <v>2.1917147581833536</v>
      </c>
      <c r="BL55" s="44">
        <f t="shared" si="22"/>
        <v>1.4608931294684151</v>
      </c>
      <c r="BM55" s="44">
        <f t="shared" si="22"/>
        <v>4.2533462232609303</v>
      </c>
      <c r="BN55" s="44">
        <f t="shared" si="22"/>
        <v>2.7625832888914448</v>
      </c>
      <c r="BO55" s="44">
        <f t="shared" si="22"/>
        <v>1.8985052337471402</v>
      </c>
      <c r="BP55" s="44">
        <f t="shared" si="22"/>
        <v>1.2642841291499303</v>
      </c>
      <c r="BQ55" s="44">
        <f t="shared" si="22"/>
        <v>3.0717050142845097</v>
      </c>
      <c r="BR55" s="44" t="e">
        <f t="shared" ref="BR55:CK55" si="23">BR49/BR54</f>
        <v>#DIV/0!</v>
      </c>
      <c r="BS55" s="44">
        <f t="shared" si="23"/>
        <v>1.7979841616348797</v>
      </c>
      <c r="BT55" s="44">
        <f t="shared" si="23"/>
        <v>0.8279073607456936</v>
      </c>
      <c r="BU55" s="44">
        <f t="shared" si="23"/>
        <v>2.3024298911619145</v>
      </c>
      <c r="BV55" s="44">
        <f t="shared" si="23"/>
        <v>4.4489772025543353</v>
      </c>
      <c r="BW55" s="44">
        <f t="shared" si="23"/>
        <v>3.5529082063732118</v>
      </c>
      <c r="BX55" s="44">
        <f t="shared" si="23"/>
        <v>1.5276668282307113</v>
      </c>
      <c r="BY55" s="44">
        <f t="shared" si="23"/>
        <v>2.6735705747003649</v>
      </c>
      <c r="BZ55" s="44">
        <f t="shared" si="23"/>
        <v>1.3325463434076144</v>
      </c>
      <c r="CA55" s="44">
        <f t="shared" si="23"/>
        <v>12.919760114413313</v>
      </c>
      <c r="CB55" s="44">
        <f t="shared" si="23"/>
        <v>31.847738406614575</v>
      </c>
      <c r="CC55" s="44">
        <f t="shared" si="23"/>
        <v>23.571648484869655</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444</v>
      </c>
      <c r="E56" s="76">
        <f>资产资本表!E19</f>
        <v>862854004.09000003</v>
      </c>
      <c r="F56" s="76">
        <f>资产资本表!F19</f>
        <v>817039621.86000001</v>
      </c>
      <c r="G56" s="76">
        <f>资产资本表!G19</f>
        <v>817039621.86000001</v>
      </c>
      <c r="H56" s="76">
        <f>资产资本表!H19</f>
        <v>794643093.01999998</v>
      </c>
      <c r="I56" s="76">
        <f>资产资本表!I19</f>
        <v>794643093.01999998</v>
      </c>
      <c r="J56" s="76">
        <f>资产资本表!J19</f>
        <v>776343407.57000005</v>
      </c>
      <c r="K56" s="76">
        <f>资产资本表!K19</f>
        <v>777443407.57000005</v>
      </c>
      <c r="L56" s="76">
        <f>资产资本表!L19</f>
        <v>866009462.48000002</v>
      </c>
      <c r="M56" s="76">
        <f>资产资本表!M19</f>
        <v>902009462.48000002</v>
      </c>
      <c r="N56" s="76">
        <f>资产资本表!N19</f>
        <v>879809253.45000005</v>
      </c>
      <c r="O56" s="76">
        <f>资产资本表!O19</f>
        <v>879809253.45000005</v>
      </c>
      <c r="P56" s="76">
        <f>资产资本表!P19</f>
        <v>867864898.53999996</v>
      </c>
      <c r="Q56" s="76">
        <f>资产资本表!Q19</f>
        <v>867864898.53999996</v>
      </c>
      <c r="R56" s="76">
        <f>资产资本表!R19</f>
        <v>847613095.01999998</v>
      </c>
      <c r="S56" s="76">
        <f>资产资本表!S19</f>
        <v>834813095.01999998</v>
      </c>
      <c r="T56" s="76">
        <f>资产资本表!T19</f>
        <v>840577356.5</v>
      </c>
      <c r="U56" s="76">
        <f>资产资本表!U19</f>
        <v>120577356.5</v>
      </c>
      <c r="V56" s="76">
        <f>资产资本表!V19</f>
        <v>113813089.69</v>
      </c>
      <c r="W56" s="76">
        <f>资产资本表!W19</f>
        <v>113939689.69</v>
      </c>
      <c r="X56" s="76">
        <f>资产资本表!X19</f>
        <v>120137513.77</v>
      </c>
      <c r="Y56" s="76">
        <f>资产资本表!Y19</f>
        <v>120351122.77</v>
      </c>
      <c r="Z56" s="76">
        <f>资产资本表!Z19</f>
        <v>116553819.92</v>
      </c>
      <c r="AA56" s="76">
        <f>资产资本表!AA19</f>
        <v>116553819.92</v>
      </c>
      <c r="AB56" s="76">
        <f>资产资本表!AB19</f>
        <v>120875383.31</v>
      </c>
      <c r="AC56" s="76">
        <f>资产资本表!AC19</f>
        <v>130875383.31</v>
      </c>
      <c r="AD56" s="76">
        <f>资产资本表!AD19</f>
        <v>126434622.69</v>
      </c>
      <c r="AE56" s="76">
        <f>资产资本表!AE19</f>
        <v>28434622.690000001</v>
      </c>
      <c r="AF56" s="76">
        <f>资产资本表!AF19</f>
        <v>32524090.850000001</v>
      </c>
      <c r="AG56" s="76">
        <f>资产资本表!AG19</f>
        <v>32524090.850000001</v>
      </c>
      <c r="AH56" s="76">
        <f>资产资本表!AH19</f>
        <v>67796988.840000004</v>
      </c>
      <c r="AI56" s="76">
        <f>资产资本表!AI19</f>
        <v>25796988.84</v>
      </c>
      <c r="AJ56" s="76">
        <f>资产资本表!AJ19</f>
        <v>29979154.25</v>
      </c>
      <c r="AK56" s="76">
        <f>资产资本表!AK19</f>
        <v>29979054.25</v>
      </c>
      <c r="AL56" s="76">
        <f>资产资本表!AL19</f>
        <v>25057697.460000001</v>
      </c>
      <c r="AM56" s="76">
        <f>资产资本表!AM19</f>
        <v>25057697.460000001</v>
      </c>
      <c r="AN56" s="76">
        <f>资产资本表!AN19</f>
        <v>27470267.23</v>
      </c>
      <c r="AO56" s="76">
        <f>资产资本表!AO19</f>
        <v>27470267.23</v>
      </c>
      <c r="AP56" s="76">
        <f>资产资本表!AP19</f>
        <v>24961576.43</v>
      </c>
      <c r="AQ56" s="76">
        <f>资产资本表!AQ19</f>
        <v>24961576.43</v>
      </c>
      <c r="AR56" s="76">
        <f>资产资本表!AR19</f>
        <v>26391145.920000002</v>
      </c>
      <c r="AS56" s="76">
        <f>资产资本表!AS19</f>
        <v>26391145.920000002</v>
      </c>
      <c r="AT56" s="76">
        <f>资产资本表!AT19</f>
        <v>23748167.739999998</v>
      </c>
      <c r="AU56" s="76">
        <f>资产资本表!AU19</f>
        <v>23748167.739999998</v>
      </c>
      <c r="AV56" s="76">
        <f>资产资本表!AV19</f>
        <v>26391145.920000002</v>
      </c>
      <c r="AW56" s="76">
        <f>资产资本表!AW19</f>
        <v>26391145.920000002</v>
      </c>
      <c r="AX56" s="76">
        <f>资产资本表!AX19</f>
        <v>26684924.460000001</v>
      </c>
      <c r="AY56" s="76">
        <f>资产资本表!AY19</f>
        <v>26747904.73</v>
      </c>
      <c r="AZ56" s="76">
        <f>资产资本表!AZ19</f>
        <v>27119534.640000001</v>
      </c>
      <c r="BA56" s="76">
        <f>资产资本表!BA19</f>
        <v>27119534.640000001</v>
      </c>
      <c r="BB56" s="76">
        <f>资产资本表!BB19</f>
        <v>30576600</v>
      </c>
      <c r="BC56" s="76">
        <f>资产资本表!BC19</f>
        <v>30576600</v>
      </c>
      <c r="BD56" s="76">
        <f>资产资本表!BD19</f>
        <v>13426600</v>
      </c>
      <c r="BE56" s="76">
        <f>资产资本表!BE19</f>
        <v>3426600</v>
      </c>
      <c r="BF56" s="76">
        <f>资产资本表!BF19</f>
        <v>7976600</v>
      </c>
      <c r="BG56" s="76">
        <f>资产资本表!BG19</f>
        <v>3426600</v>
      </c>
      <c r="BH56" s="76">
        <f>资产资本表!BH19</f>
        <v>3426600</v>
      </c>
      <c r="BI56" s="76">
        <f>资产资本表!BI19</f>
        <v>3426600</v>
      </c>
      <c r="BJ56" s="76">
        <f>资产资本表!BJ19</f>
        <v>3656600</v>
      </c>
      <c r="BK56" s="76">
        <f>资产资本表!BK19</f>
        <v>3656600</v>
      </c>
      <c r="BL56" s="76">
        <f>资产资本表!BL19</f>
        <v>3656600</v>
      </c>
      <c r="BM56" s="76">
        <f>资产资本表!BM19</f>
        <v>3656600</v>
      </c>
      <c r="BN56" s="76">
        <f>资产资本表!BN19</f>
        <v>3656600</v>
      </c>
      <c r="BO56" s="76">
        <f>资产资本表!BO19</f>
        <v>3656600</v>
      </c>
      <c r="BP56" s="76">
        <f>资产资本表!BP19</f>
        <v>3656600</v>
      </c>
      <c r="BQ56" s="76">
        <f>资产资本表!BQ19</f>
        <v>3656600</v>
      </c>
      <c r="BR56" s="76">
        <f>资产资本表!BR19</f>
        <v>0</v>
      </c>
      <c r="BS56" s="76">
        <f>资产资本表!BS19</f>
        <v>5656600</v>
      </c>
      <c r="BT56" s="76">
        <f>资产资本表!BT19</f>
        <v>5806600</v>
      </c>
      <c r="BU56" s="76">
        <f>资产资本表!BU19</f>
        <v>5806600</v>
      </c>
      <c r="BV56" s="76">
        <f>资产资本表!BV19</f>
        <v>5406600</v>
      </c>
      <c r="BW56" s="76">
        <f>资产资本表!BW19</f>
        <v>3506600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471</v>
      </c>
      <c r="E57" s="117">
        <f>E49/E56</f>
        <v>34.984806544388903</v>
      </c>
      <c r="F57" s="117">
        <f t="shared" ref="F57:BQ57" si="24">F49/F56</f>
        <v>26.899058554428183</v>
      </c>
      <c r="G57" s="117">
        <f t="shared" si="24"/>
        <v>19.119180077213787</v>
      </c>
      <c r="H57" s="117">
        <f t="shared" si="24"/>
        <v>12.784113532645176</v>
      </c>
      <c r="I57" s="117">
        <f t="shared" si="24"/>
        <v>30.886561370983024</v>
      </c>
      <c r="J57" s="117">
        <f t="shared" si="24"/>
        <v>22.798730123323789</v>
      </c>
      <c r="K57" s="117">
        <f t="shared" si="24"/>
        <v>17.050293972460597</v>
      </c>
      <c r="L57" s="117">
        <f t="shared" si="24"/>
        <v>10.191071340255501</v>
      </c>
      <c r="M57" s="117">
        <f t="shared" si="24"/>
        <v>24.012261800568687</v>
      </c>
      <c r="N57" s="117">
        <f t="shared" si="24"/>
        <v>17.198433976314071</v>
      </c>
      <c r="O57" s="117">
        <f t="shared" si="24"/>
        <v>12.747551770978705</v>
      </c>
      <c r="P57" s="117">
        <f t="shared" si="24"/>
        <v>7.7609257909738618</v>
      </c>
      <c r="Q57" s="117">
        <f t="shared" si="24"/>
        <v>24.210555780614484</v>
      </c>
      <c r="R57" s="117">
        <f t="shared" si="24"/>
        <v>17.777349835911224</v>
      </c>
      <c r="S57" s="117">
        <f t="shared" si="24"/>
        <v>13.970232221849127</v>
      </c>
      <c r="T57" s="117">
        <f t="shared" si="24"/>
        <v>7.9943286222343062</v>
      </c>
      <c r="U57" s="117">
        <f t="shared" si="24"/>
        <v>205.00191193020558</v>
      </c>
      <c r="V57" s="117">
        <f t="shared" si="24"/>
        <v>168.39747772108831</v>
      </c>
      <c r="W57" s="117">
        <f t="shared" si="24"/>
        <v>136.21133836282613</v>
      </c>
      <c r="X57" s="117">
        <f t="shared" si="24"/>
        <v>72.215576887745343</v>
      </c>
      <c r="Y57" s="117">
        <f t="shared" si="24"/>
        <v>226.01406056944924</v>
      </c>
      <c r="Z57" s="117">
        <f t="shared" si="24"/>
        <v>181.26049800127393</v>
      </c>
      <c r="AA57" s="117">
        <f t="shared" si="24"/>
        <v>129.12240391331483</v>
      </c>
      <c r="AB57" s="117">
        <f t="shared" si="24"/>
        <v>68.092040308252564</v>
      </c>
      <c r="AC57" s="117">
        <f t="shared" si="24"/>
        <v>155.49596840917172</v>
      </c>
      <c r="AD57" s="117">
        <f t="shared" si="24"/>
        <v>123.76969343720513</v>
      </c>
      <c r="AE57" s="117">
        <f t="shared" si="24"/>
        <v>372.60315773157885</v>
      </c>
      <c r="AF57" s="117">
        <f t="shared" si="24"/>
        <v>191.99789806422828</v>
      </c>
      <c r="AG57" s="117">
        <f t="shared" si="24"/>
        <v>477.839659916274</v>
      </c>
      <c r="AH57" s="117">
        <f t="shared" si="24"/>
        <v>169.20677993432841</v>
      </c>
      <c r="AI57" s="117">
        <f t="shared" si="24"/>
        <v>293.69884797337454</v>
      </c>
      <c r="AJ57" s="117">
        <f t="shared" si="24"/>
        <v>149.89167973442747</v>
      </c>
      <c r="AK57" s="117">
        <f t="shared" si="24"/>
        <v>371.2332102541227</v>
      </c>
      <c r="AL57" s="117">
        <f t="shared" si="24"/>
        <v>320.44764245349779</v>
      </c>
      <c r="AM57" s="117">
        <f t="shared" si="24"/>
        <v>213.1436833067263</v>
      </c>
      <c r="AN57" s="117">
        <f t="shared" si="24"/>
        <v>121.54416623015867</v>
      </c>
      <c r="AO57" s="117">
        <f t="shared" si="24"/>
        <v>288.78746088594204</v>
      </c>
      <c r="AP57" s="117">
        <f t="shared" si="24"/>
        <v>263.55225101942813</v>
      </c>
      <c r="AQ57" s="117">
        <f t="shared" si="24"/>
        <v>184.17417248915319</v>
      </c>
      <c r="AR57" s="117">
        <f t="shared" si="24"/>
        <v>116.938746163774</v>
      </c>
      <c r="AS57" s="117">
        <f t="shared" si="24"/>
        <v>277.6899443409996</v>
      </c>
      <c r="AT57" s="117">
        <f t="shared" si="24"/>
        <v>254.46439431162619</v>
      </c>
      <c r="AU57" s="117">
        <f t="shared" si="24"/>
        <v>182.87223366900474</v>
      </c>
      <c r="AV57" s="117">
        <f t="shared" si="24"/>
        <v>114.04781742762611</v>
      </c>
      <c r="AW57" s="117">
        <f t="shared" si="24"/>
        <v>279.87194811092155</v>
      </c>
      <c r="AX57" s="117">
        <f t="shared" si="24"/>
        <v>223.17932055109139</v>
      </c>
      <c r="AY57" s="117">
        <f t="shared" si="24"/>
        <v>164.38715066037997</v>
      </c>
      <c r="AZ57" s="117">
        <f t="shared" si="24"/>
        <v>100.68190690199837</v>
      </c>
      <c r="BA57" s="117">
        <f t="shared" si="24"/>
        <v>236.68368810623514</v>
      </c>
      <c r="BB57" s="117">
        <f t="shared" si="24"/>
        <v>162.46970818174682</v>
      </c>
      <c r="BC57" s="117">
        <f t="shared" si="24"/>
        <v>124.50740645460907</v>
      </c>
      <c r="BD57" s="117">
        <f t="shared" si="24"/>
        <v>183.92240132945051</v>
      </c>
      <c r="BE57" s="117">
        <f t="shared" si="24"/>
        <v>1837.8519345648747</v>
      </c>
      <c r="BF57" s="117">
        <f t="shared" si="24"/>
        <v>573.93902011007197</v>
      </c>
      <c r="BG57" s="117">
        <f t="shared" si="24"/>
        <v>1008.9594347837507</v>
      </c>
      <c r="BH57" s="117">
        <f t="shared" si="24"/>
        <v>714.97791564232762</v>
      </c>
      <c r="BI57" s="117">
        <f t="shared" si="24"/>
        <v>1848.214147782058</v>
      </c>
      <c r="BJ57" s="117">
        <f t="shared" si="24"/>
        <v>1269.2088405814145</v>
      </c>
      <c r="BK57" s="117">
        <f t="shared" si="24"/>
        <v>937.15884753322757</v>
      </c>
      <c r="BL57" s="117">
        <f t="shared" si="24"/>
        <v>622.06910030903032</v>
      </c>
      <c r="BM57" s="117">
        <f t="shared" si="24"/>
        <v>1560.607514754143</v>
      </c>
      <c r="BN57" s="117">
        <f t="shared" si="24"/>
        <v>1226.091681449981</v>
      </c>
      <c r="BO57" s="117">
        <f t="shared" si="24"/>
        <v>946.89033942733693</v>
      </c>
      <c r="BP57" s="117">
        <f t="shared" si="24"/>
        <v>618.9369263961056</v>
      </c>
      <c r="BQ57" s="117">
        <f t="shared" si="24"/>
        <v>1296.8591972460754</v>
      </c>
      <c r="BR57" s="117" t="e">
        <f t="shared" ref="BR57:CK57" si="25">BR49/BR56</f>
        <v>#DIV/0!</v>
      </c>
      <c r="BS57" s="117">
        <f t="shared" si="25"/>
        <v>498.0896691616872</v>
      </c>
      <c r="BT57" s="117">
        <f t="shared" si="25"/>
        <v>344.41836016946235</v>
      </c>
      <c r="BU57" s="117">
        <f t="shared" si="25"/>
        <v>680.88729014569628</v>
      </c>
      <c r="BV57" s="117">
        <f t="shared" si="25"/>
        <v>493.41259459179525</v>
      </c>
      <c r="BW57" s="117">
        <f t="shared" si="25"/>
        <v>943.58952883134668</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695</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36981</v>
      </c>
      <c r="BU61" s="1">
        <v>36891</v>
      </c>
      <c r="BV61" s="1">
        <v>36707</v>
      </c>
      <c r="BW61" s="1">
        <v>36525</v>
      </c>
      <c r="BX61" s="1">
        <v>36341</v>
      </c>
      <c r="BY61" s="1">
        <v>36160</v>
      </c>
      <c r="BZ61" s="1">
        <v>35976</v>
      </c>
      <c r="CA61" s="1">
        <v>35795</v>
      </c>
      <c r="CB61" s="1">
        <v>35430</v>
      </c>
      <c r="CC61" s="1">
        <v>35064</v>
      </c>
      <c r="CD61" s="1">
        <v>25569</v>
      </c>
      <c r="CE61" s="1"/>
      <c r="CF61" s="1"/>
      <c r="CG61" s="1"/>
      <c r="CH61" s="1"/>
      <c r="CI61" s="1"/>
      <c r="CJ61" s="1"/>
      <c r="CK61" s="1"/>
    </row>
    <row r="62" spans="1:89" s="76" customFormat="1" x14ac:dyDescent="0.25">
      <c r="A62" s="146"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464</v>
      </c>
      <c r="E63" s="76">
        <f>E49</f>
        <v>30186780409.139999</v>
      </c>
      <c r="F63" s="76">
        <f t="shared" ref="F63:BQ63" si="26">F49</f>
        <v>21977596629.700001</v>
      </c>
      <c r="G63" s="76">
        <f t="shared" si="26"/>
        <v>15621127660.559999</v>
      </c>
      <c r="H63" s="76">
        <f t="shared" si="26"/>
        <v>10158807519.1</v>
      </c>
      <c r="I63" s="76">
        <f t="shared" si="26"/>
        <v>24543792660.59</v>
      </c>
      <c r="J63" s="76">
        <f t="shared" si="26"/>
        <v>17699643832.209999</v>
      </c>
      <c r="K63" s="76">
        <f t="shared" si="26"/>
        <v>13255638646.02</v>
      </c>
      <c r="L63" s="76">
        <f t="shared" si="26"/>
        <v>8825564213.4699993</v>
      </c>
      <c r="M63" s="76">
        <f t="shared" si="26"/>
        <v>21659287359.66</v>
      </c>
      <c r="N63" s="76">
        <f t="shared" si="26"/>
        <v>15131341357.209999</v>
      </c>
      <c r="O63" s="76">
        <f t="shared" si="26"/>
        <v>11215414006.940001</v>
      </c>
      <c r="P63" s="76">
        <f t="shared" si="26"/>
        <v>6735435074.1599998</v>
      </c>
      <c r="Q63" s="76">
        <f t="shared" si="26"/>
        <v>21011491536.139999</v>
      </c>
      <c r="R63" s="76">
        <f t="shared" si="26"/>
        <v>15068314515.67</v>
      </c>
      <c r="S63" s="76">
        <f t="shared" si="26"/>
        <v>11662532799.27</v>
      </c>
      <c r="T63" s="76">
        <f t="shared" si="26"/>
        <v>6719851620.2700005</v>
      </c>
      <c r="U63" s="76">
        <f t="shared" si="26"/>
        <v>24718588617.990002</v>
      </c>
      <c r="V63" s="76">
        <f t="shared" si="26"/>
        <v>19165837235.439999</v>
      </c>
      <c r="W63" s="76">
        <f t="shared" si="26"/>
        <v>15519877625.32</v>
      </c>
      <c r="X63" s="76">
        <f t="shared" si="26"/>
        <v>8675799862.7600002</v>
      </c>
      <c r="Y63" s="76">
        <f t="shared" si="26"/>
        <v>27201045951.34</v>
      </c>
      <c r="Z63" s="76">
        <f t="shared" si="26"/>
        <v>21126603442.650002</v>
      </c>
      <c r="AA63" s="76">
        <f t="shared" si="26"/>
        <v>15049709413.35</v>
      </c>
      <c r="AB63" s="76">
        <f t="shared" si="26"/>
        <v>8230651472.6199999</v>
      </c>
      <c r="AC63" s="76">
        <f t="shared" si="26"/>
        <v>20350594468.709999</v>
      </c>
      <c r="AD63" s="76">
        <f t="shared" si="26"/>
        <v>15648774490.190001</v>
      </c>
      <c r="AE63" s="76">
        <f t="shared" si="26"/>
        <v>10594830203.200001</v>
      </c>
      <c r="AF63" s="76">
        <f t="shared" si="26"/>
        <v>6244557079.6499996</v>
      </c>
      <c r="AG63" s="76">
        <f t="shared" si="26"/>
        <v>15541300510.85</v>
      </c>
      <c r="AH63" s="76">
        <f t="shared" si="26"/>
        <v>11471710170.860001</v>
      </c>
      <c r="AI63" s="76">
        <f t="shared" si="26"/>
        <v>7576545903.4899998</v>
      </c>
      <c r="AJ63" s="76">
        <f t="shared" si="26"/>
        <v>4493625787.5500002</v>
      </c>
      <c r="AK63" s="76">
        <f t="shared" si="26"/>
        <v>11129220549.610001</v>
      </c>
      <c r="AL63" s="76">
        <f t="shared" si="26"/>
        <v>8029680076.3699999</v>
      </c>
      <c r="AM63" s="76">
        <f t="shared" si="26"/>
        <v>5340889931.8100004</v>
      </c>
      <c r="AN63" s="76">
        <f t="shared" si="26"/>
        <v>3338850726.5900002</v>
      </c>
      <c r="AO63" s="76">
        <f t="shared" si="26"/>
        <v>7933068723.21</v>
      </c>
      <c r="AP63" s="76">
        <f t="shared" si="26"/>
        <v>6578679657.1199999</v>
      </c>
      <c r="AQ63" s="76">
        <f t="shared" si="26"/>
        <v>4597277683.0200005</v>
      </c>
      <c r="AR63" s="76">
        <f t="shared" si="26"/>
        <v>3086147513.71</v>
      </c>
      <c r="AS63" s="76">
        <f t="shared" si="26"/>
        <v>7328555841.6199999</v>
      </c>
      <c r="AT63" s="76">
        <f t="shared" si="26"/>
        <v>6043063119.9700003</v>
      </c>
      <c r="AU63" s="76">
        <f t="shared" si="26"/>
        <v>4342880480.1599998</v>
      </c>
      <c r="AV63" s="76">
        <f t="shared" si="26"/>
        <v>3009852591.5900002</v>
      </c>
      <c r="AW63" s="76">
        <f t="shared" si="26"/>
        <v>7386141421.5100002</v>
      </c>
      <c r="AX63" s="76">
        <f t="shared" si="26"/>
        <v>5955523309.9399996</v>
      </c>
      <c r="AY63" s="76">
        <f t="shared" si="26"/>
        <v>4397011844.6999998</v>
      </c>
      <c r="AZ63" s="76">
        <f t="shared" si="26"/>
        <v>2730446461.8499999</v>
      </c>
      <c r="BA63" s="76">
        <f t="shared" si="26"/>
        <v>6418751478.3199997</v>
      </c>
      <c r="BB63" s="76">
        <f t="shared" si="26"/>
        <v>4967771279.1899996</v>
      </c>
      <c r="BC63" s="76">
        <f t="shared" si="26"/>
        <v>3807013164.1999998</v>
      </c>
      <c r="BD63" s="76">
        <f t="shared" si="26"/>
        <v>2469452513.6900001</v>
      </c>
      <c r="BE63" s="76">
        <f t="shared" si="26"/>
        <v>6297583438.9799995</v>
      </c>
      <c r="BF63" s="76">
        <f t="shared" si="26"/>
        <v>4578081987.8100004</v>
      </c>
      <c r="BG63" s="76">
        <f t="shared" si="26"/>
        <v>3457300399.23</v>
      </c>
      <c r="BH63" s="76">
        <f t="shared" si="26"/>
        <v>2449943325.7399998</v>
      </c>
      <c r="BI63" s="76">
        <f t="shared" si="26"/>
        <v>6333090598.79</v>
      </c>
      <c r="BJ63" s="76">
        <f t="shared" si="26"/>
        <v>4640989046.4700003</v>
      </c>
      <c r="BK63" s="76">
        <f t="shared" si="26"/>
        <v>3426815041.8899999</v>
      </c>
      <c r="BL63" s="76">
        <f t="shared" si="26"/>
        <v>2274657872.1900001</v>
      </c>
      <c r="BM63" s="76">
        <f t="shared" si="26"/>
        <v>5706517438.4499998</v>
      </c>
      <c r="BN63" s="76">
        <f t="shared" si="26"/>
        <v>4483326842.3900003</v>
      </c>
      <c r="BO63" s="76">
        <f t="shared" si="26"/>
        <v>3462399215.1500001</v>
      </c>
      <c r="BP63" s="76">
        <f t="shared" si="26"/>
        <v>2263204765.0599999</v>
      </c>
      <c r="BQ63" s="76">
        <f t="shared" si="26"/>
        <v>4742095340.6499996</v>
      </c>
      <c r="BR63" s="76">
        <f t="shared" ref="BR63:CJ63" si="27">BR49</f>
        <v>3700110000</v>
      </c>
      <c r="BS63" s="76">
        <f t="shared" si="27"/>
        <v>2817494022.5799999</v>
      </c>
      <c r="BT63" s="76">
        <f t="shared" si="27"/>
        <v>1999899650.1600001</v>
      </c>
      <c r="BU63" s="76">
        <f t="shared" si="27"/>
        <v>3953640138.96</v>
      </c>
      <c r="BV63" s="76">
        <f t="shared" si="27"/>
        <v>2667684533.9200001</v>
      </c>
      <c r="BW63" s="76">
        <f t="shared" si="27"/>
        <v>3308791041.8000002</v>
      </c>
      <c r="BX63" s="76">
        <f t="shared" si="27"/>
        <v>1900893259.47</v>
      </c>
      <c r="BY63" s="76">
        <f t="shared" si="27"/>
        <v>2814346533.1199999</v>
      </c>
      <c r="BZ63" s="76">
        <f t="shared" si="27"/>
        <v>1210433401.23</v>
      </c>
      <c r="CA63" s="76">
        <f t="shared" si="27"/>
        <v>2204454415.5599999</v>
      </c>
      <c r="CB63" s="76">
        <f t="shared" si="27"/>
        <v>1309696890.55</v>
      </c>
      <c r="CC63" s="76">
        <f t="shared" si="27"/>
        <v>914703675.36000001</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474</v>
      </c>
      <c r="E64" s="76">
        <f>资产资本表!E22+资产资本表!E23-资产资本表!E37</f>
        <v>6652048272.1800003</v>
      </c>
      <c r="F64" s="76">
        <f>资产资本表!F22+资产资本表!F23-资产资本表!F37</f>
        <v>5625835111.8200006</v>
      </c>
      <c r="G64" s="76">
        <f>资产资本表!G22+资产资本表!G23-资产资本表!G37</f>
        <v>6138474936.3600006</v>
      </c>
      <c r="H64" s="76">
        <f>资产资本表!H22+资产资本表!H23-资产资本表!H37</f>
        <v>7075604330.0100002</v>
      </c>
      <c r="I64" s="76">
        <f>资产资本表!I22+资产资本表!I23-资产资本表!I37</f>
        <v>3388120673.5599985</v>
      </c>
      <c r="J64" s="76">
        <f>资产资本表!J22+资产资本表!J23-资产资本表!J37</f>
        <v>1888334481.5200005</v>
      </c>
      <c r="K64" s="76">
        <f>资产资本表!K22+资产资本表!K23-资产资本表!K37</f>
        <v>6859223836.5900011</v>
      </c>
      <c r="L64" s="76">
        <f>资产资本表!L22+资产资本表!L23-资产资本表!L37</f>
        <v>9487223359.2200012</v>
      </c>
      <c r="M64" s="76">
        <f>资产资本表!M22+资产资本表!M23-资产资本表!M37</f>
        <v>6778358258.9300003</v>
      </c>
      <c r="N64" s="76">
        <f>资产资本表!N22+资产资本表!N23-资产资本表!N37</f>
        <v>5295319298.2300005</v>
      </c>
      <c r="O64" s="76">
        <f>资产资本表!O22+资产资本表!O23-资产资本表!O37</f>
        <v>6945548717.5900002</v>
      </c>
      <c r="P64" s="76">
        <f>资产资本表!P22+资产资本表!P23-资产资本表!P37</f>
        <v>7058868056.2299995</v>
      </c>
      <c r="Q64" s="76">
        <f>资产资本表!Q22+资产资本表!Q23-资产资本表!Q37</f>
        <v>6634259663.4499998</v>
      </c>
      <c r="R64" s="76">
        <f>资产资本表!R22+资产资本表!R23-资产资本表!R37</f>
        <v>6064398780.7299995</v>
      </c>
      <c r="S64" s="76">
        <f>资产资本表!S22+资产资本表!S23-资产资本表!S37</f>
        <v>7895897231.1899996</v>
      </c>
      <c r="T64" s="76">
        <f>资产资本表!T22+资产资本表!T23-资产资本表!T37</f>
        <v>7681703737.0900002</v>
      </c>
      <c r="U64" s="76">
        <f>资产资本表!U22+资产资本表!U23-资产资本表!U37</f>
        <v>2876232569.8499999</v>
      </c>
      <c r="V64" s="76">
        <f>资产资本表!V22+资产资本表!V23-资产资本表!V37</f>
        <v>2922228380.0100002</v>
      </c>
      <c r="W64" s="76">
        <f>资产资本表!W22+资产资本表!W23-资产资本表!W37</f>
        <v>982654878.55000019</v>
      </c>
      <c r="X64" s="76">
        <f>资产资本表!X22+资产资本表!X23-资产资本表!X37</f>
        <v>-840727846.18999958</v>
      </c>
      <c r="Y64" s="76">
        <f>资产资本表!Y22+资产资本表!Y23-资产资本表!Y37</f>
        <v>-3792202432.5400004</v>
      </c>
      <c r="Z64" s="76">
        <f>资产资本表!Z22+资产资本表!Z23-资产资本表!Z37</f>
        <v>-4699842437.6800003</v>
      </c>
      <c r="AA64" s="76">
        <f>资产资本表!AA22+资产资本表!AA23-资产资本表!AA37</f>
        <v>-4968868445.4200001</v>
      </c>
      <c r="AB64" s="76">
        <f>资产资本表!AB22+资产资本表!AB23-资产资本表!AB37</f>
        <v>-5324966592.6200008</v>
      </c>
      <c r="AC64" s="76">
        <f>资产资本表!AC22+资产资本表!AC23-资产资本表!AC37</f>
        <v>-7032879246.7600002</v>
      </c>
      <c r="AD64" s="76">
        <f>资产资本表!AD22+资产资本表!AD23-资产资本表!AD37</f>
        <v>-6135282895.9400005</v>
      </c>
      <c r="AE64" s="76">
        <f>资产资本表!AE22+资产资本表!AE23-资产资本表!AE37</f>
        <v>-6532297031.9399996</v>
      </c>
      <c r="AF64" s="76">
        <f>资产资本表!AF22+资产资本表!AF23-资产资本表!AF37</f>
        <v>-5007406042.3800001</v>
      </c>
      <c r="AG64" s="76">
        <f>资产资本表!AG22+资产资本表!AG23-资产资本表!AG37</f>
        <v>-4837685165.6800003</v>
      </c>
      <c r="AH64" s="76">
        <f>资产资本表!AH22+资产资本表!AH23-资产资本表!AH37</f>
        <v>-3748040793.96</v>
      </c>
      <c r="AI64" s="76">
        <f>资产资本表!AI22+资产资本表!AI23-资产资本表!AI37</f>
        <v>-3872489270.5099998</v>
      </c>
      <c r="AJ64" s="76">
        <f>资产资本表!AJ22+资产资本表!AJ23-资产资本表!AJ37</f>
        <v>-3448604228.75</v>
      </c>
      <c r="AK64" s="76">
        <f>资产资本表!AK22+资产资本表!AK23-资产资本表!AK37</f>
        <v>-2431377206.0900002</v>
      </c>
      <c r="AL64" s="76">
        <f>资产资本表!AL22+资产资本表!AL23-资产资本表!AL37</f>
        <v>-1801447127.3600001</v>
      </c>
      <c r="AM64" s="76">
        <f>资产资本表!AM22+资产资本表!AM23-资产资本表!AM37</f>
        <v>370832374.50999999</v>
      </c>
      <c r="AN64" s="76">
        <f>资产资本表!AN22+资产资本表!AN23-资产资本表!AN37</f>
        <v>152539392.80000001</v>
      </c>
      <c r="AO64" s="76">
        <f>资产资本表!AO22+资产资本表!AO23-资产资本表!AO37</f>
        <v>-446000711.24000001</v>
      </c>
      <c r="AP64" s="76">
        <f>资产资本表!AP22+资产资本表!AP23-资产资本表!AP37</f>
        <v>25728740.350000024</v>
      </c>
      <c r="AQ64" s="76">
        <f>资产资本表!AQ22+资产资本表!AQ23-资产资本表!AQ37</f>
        <v>22310880.140000045</v>
      </c>
      <c r="AR64" s="76">
        <f>资产资本表!AR22+资产资本表!AR23-资产资本表!AR37</f>
        <v>17732635.870000064</v>
      </c>
      <c r="AS64" s="76">
        <f>资产资本表!AS22+资产资本表!AS23-资产资本表!AS37</f>
        <v>-180852193.26999998</v>
      </c>
      <c r="AT64" s="76">
        <f>资产资本表!AT22+资产资本表!AT23-资产资本表!AT37</f>
        <v>-82352552.269999981</v>
      </c>
      <c r="AU64" s="76">
        <f>资产资本表!AU22+资产资本表!AU23-资产资本表!AU37</f>
        <v>48652449.790000021</v>
      </c>
      <c r="AV64" s="76">
        <f>资产资本表!AV22+资产资本表!AV23-资产资本表!AV37</f>
        <v>548035674.68999994</v>
      </c>
      <c r="AW64" s="76">
        <f>资产资本表!AW22+资产资本表!AW23-资产资本表!AW37</f>
        <v>330008941.17000002</v>
      </c>
      <c r="AX64" s="76">
        <f>资产资本表!AX22+资产资本表!AX23-资产资本表!AX37</f>
        <v>465239366.13000011</v>
      </c>
      <c r="AY64" s="76">
        <f>资产资本表!AY22+资产资本表!AY23-资产资本表!AY37</f>
        <v>256623633.20000002</v>
      </c>
      <c r="AZ64" s="76">
        <f>资产资本表!AZ22+资产资本表!AZ23-资产资本表!AZ37</f>
        <v>387900338.0999999</v>
      </c>
      <c r="BA64" s="76">
        <f>资产资本表!BA22+资产资本表!BA23-资产资本表!BA37</f>
        <v>274830740.08000004</v>
      </c>
      <c r="BB64" s="76">
        <f>资产资本表!BB22+资产资本表!BB23-资产资本表!BB37</f>
        <v>759009193.16000009</v>
      </c>
      <c r="BC64" s="76">
        <f>资产资本表!BC22+资产资本表!BC23-资产资本表!BC37</f>
        <v>822591344.96000004</v>
      </c>
      <c r="BD64" s="76">
        <f>资产资本表!BD22+资产资本表!BD23-资产资本表!BD37</f>
        <v>510523037.07000005</v>
      </c>
      <c r="BE64" s="76">
        <f>资产资本表!BE22+资产资本表!BE23-资产资本表!BE37</f>
        <v>121663526.60000002</v>
      </c>
      <c r="BF64" s="76">
        <f>资产资本表!BF22+资产资本表!BF23-资产资本表!BF37</f>
        <v>276110936.90999997</v>
      </c>
      <c r="BG64" s="76">
        <f>资产资本表!BG22+资产资本表!BG23-资产资本表!BG37</f>
        <v>394882726.49000001</v>
      </c>
      <c r="BH64" s="76">
        <f>资产资本表!BH22+资产资本表!BH23-资产资本表!BH37</f>
        <v>140788168.13000003</v>
      </c>
      <c r="BI64" s="76">
        <f>资产资本表!BI22+资产资本表!BI23-资产资本表!BI37</f>
        <v>-247296965.63999999</v>
      </c>
      <c r="BJ64" s="76">
        <f>资产资本表!BJ22+资产资本表!BJ23-资产资本表!BJ37</f>
        <v>-59710781.889999986</v>
      </c>
      <c r="BK64" s="76">
        <f>资产资本表!BK22+资产资本表!BK23-资产资本表!BK37</f>
        <v>143788009.65999997</v>
      </c>
      <c r="BL64" s="76">
        <f>资产资本表!BL22+资产资本表!BL23-资产资本表!BL37</f>
        <v>288672203.23000002</v>
      </c>
      <c r="BM64" s="76">
        <f>资产资本表!BM22+资产资本表!BM23-资产资本表!BM37</f>
        <v>-205329738.20999998</v>
      </c>
      <c r="BN64" s="76">
        <f>资产资本表!BN22+资产资本表!BN23-资产资本表!BN37</f>
        <v>-47342945.290000021</v>
      </c>
      <c r="BO64" s="76">
        <f>资产资本表!BO22+资产资本表!BO23-资产资本表!BO37</f>
        <v>76411834.530000031</v>
      </c>
      <c r="BP64" s="76">
        <f>资产资本表!BP22+资产资本表!BP23-资产资本表!BP37</f>
        <v>108433507.12</v>
      </c>
      <c r="BQ64" s="76">
        <f>资产资本表!BQ22+资产资本表!BQ23-资产资本表!BQ37</f>
        <v>-788178678.44999993</v>
      </c>
      <c r="BR64" s="76">
        <f>资产资本表!BR22+资产资本表!BR23-资产资本表!BR37</f>
        <v>0</v>
      </c>
      <c r="BS64" s="76">
        <f>资产资本表!BS22+资产资本表!BS23-资产资本表!BS37</f>
        <v>-86327595.419999957</v>
      </c>
      <c r="BT64" s="76">
        <f>资产资本表!BT22+资产资本表!BT23-资产资本表!BT37</f>
        <v>-21467732.550000012</v>
      </c>
      <c r="BU64" s="76">
        <f>资产资本表!BU22+资产资本表!BU23-资产资本表!BU37</f>
        <v>-793146185.46000004</v>
      </c>
      <c r="BV64" s="76">
        <f>资产资本表!BV22+资产资本表!BV23-资产资本表!BV37</f>
        <v>78542150.359999985</v>
      </c>
      <c r="BW64" s="76">
        <f>资产资本表!BW22+资产资本表!BW23-资产资本表!BW37</f>
        <v>-466864290.38999999</v>
      </c>
      <c r="BX64" s="76">
        <f>资产资本表!BX22+资产资本表!BX23-资产资本表!BX37</f>
        <v>44608515.349999994</v>
      </c>
      <c r="BY64" s="76">
        <f>资产资本表!BY22+资产资本表!BY23-资产资本表!BY37</f>
        <v>-94147916.399999991</v>
      </c>
      <c r="BZ64" s="76">
        <f>资产资本表!BZ22+资产资本表!BZ23-资产资本表!BZ37</f>
        <v>-348520951.57999998</v>
      </c>
      <c r="CA64" s="76">
        <f>资产资本表!CA22+资产资本表!CA23-资产资本表!CA37</f>
        <v>-266105392.45999998</v>
      </c>
      <c r="CB64" s="76">
        <f>资产资本表!CB22+资产资本表!CB23-资产资本表!CB37</f>
        <v>-216192202.01000002</v>
      </c>
      <c r="CC64" s="76">
        <f>资产资本表!CC22+资产资本表!CC23-资产资本表!CC37</f>
        <v>-162887410.48000002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693</v>
      </c>
      <c r="E65" s="154">
        <f>E63/(E64+I64)*2</f>
        <v>6.0132016846087284</v>
      </c>
      <c r="F65" s="154">
        <f t="shared" ref="F65:BQ65" si="28">F63/(F64+J64)*2</f>
        <v>5.8496408303531773</v>
      </c>
      <c r="G65" s="154">
        <f t="shared" si="28"/>
        <v>2.4036759019326892</v>
      </c>
      <c r="H65" s="154">
        <f t="shared" si="28"/>
        <v>1.2266996565696058</v>
      </c>
      <c r="I65" s="154">
        <f t="shared" si="28"/>
        <v>4.8283762399099714</v>
      </c>
      <c r="J65" s="154">
        <f t="shared" si="28"/>
        <v>4.9277552551609656</v>
      </c>
      <c r="K65" s="154">
        <f t="shared" si="28"/>
        <v>1.9204428894420682</v>
      </c>
      <c r="L65" s="154">
        <f t="shared" si="28"/>
        <v>1.0667853805315111</v>
      </c>
      <c r="M65" s="154">
        <f t="shared" si="28"/>
        <v>3.2296882659305139</v>
      </c>
      <c r="N65" s="154">
        <f t="shared" si="28"/>
        <v>2.6640346621340267</v>
      </c>
      <c r="O65" s="154">
        <f t="shared" si="28"/>
        <v>1.5113640605701135</v>
      </c>
      <c r="P65" s="154">
        <f t="shared" si="28"/>
        <v>0.91386347403596702</v>
      </c>
      <c r="Q65" s="154">
        <f t="shared" si="28"/>
        <v>4.4185918080181903</v>
      </c>
      <c r="R65" s="154">
        <f t="shared" si="28"/>
        <v>3.3534972011522077</v>
      </c>
      <c r="S65" s="154">
        <f t="shared" si="28"/>
        <v>2.6271249309841642</v>
      </c>
      <c r="T65" s="154">
        <f t="shared" si="28"/>
        <v>1.9645885988894882</v>
      </c>
      <c r="U65" s="154">
        <f t="shared" si="28"/>
        <v>-53.972493255175415</v>
      </c>
      <c r="V65" s="154">
        <f t="shared" si="28"/>
        <v>-21.563552732657321</v>
      </c>
      <c r="W65" s="154">
        <f t="shared" si="28"/>
        <v>-7.7867767820108575</v>
      </c>
      <c r="X65" s="154">
        <f t="shared" si="28"/>
        <v>-2.814216613833513</v>
      </c>
      <c r="Y65" s="154">
        <f t="shared" si="28"/>
        <v>-5.0255594843879168</v>
      </c>
      <c r="Z65" s="154">
        <f t="shared" si="28"/>
        <v>-3.8996509578152949</v>
      </c>
      <c r="AA65" s="154">
        <f t="shared" si="28"/>
        <v>-2.6170755377748969</v>
      </c>
      <c r="AB65" s="154">
        <f t="shared" si="28"/>
        <v>-1.593177436272361</v>
      </c>
      <c r="AC65" s="154">
        <f t="shared" si="28"/>
        <v>-3.4287492593668381</v>
      </c>
      <c r="AD65" s="154">
        <f t="shared" si="28"/>
        <v>-3.1667028180371846</v>
      </c>
      <c r="AE65" s="154">
        <f t="shared" si="28"/>
        <v>-2.0365300920606613</v>
      </c>
      <c r="AF65" s="154">
        <f t="shared" si="28"/>
        <v>-1.476951157680068</v>
      </c>
      <c r="AG65" s="154">
        <f t="shared" si="28"/>
        <v>-4.276012425262965</v>
      </c>
      <c r="AH65" s="154">
        <f t="shared" si="28"/>
        <v>-4.1343310710842465</v>
      </c>
      <c r="AI65" s="154">
        <f t="shared" si="28"/>
        <v>-4.3274062128387349</v>
      </c>
      <c r="AJ65" s="154">
        <f t="shared" si="28"/>
        <v>-2.7266610404857747</v>
      </c>
      <c r="AK65" s="154">
        <f t="shared" si="28"/>
        <v>-7.7356682850594183</v>
      </c>
      <c r="AL65" s="154">
        <f t="shared" si="28"/>
        <v>-9.0438665670298981</v>
      </c>
      <c r="AM65" s="154">
        <f t="shared" si="28"/>
        <v>27.170197471986565</v>
      </c>
      <c r="AN65" s="154">
        <f t="shared" si="28"/>
        <v>39.217841622841561</v>
      </c>
      <c r="AO65" s="154">
        <f t="shared" si="28"/>
        <v>-25.310782373772813</v>
      </c>
      <c r="AP65" s="154">
        <f t="shared" si="28"/>
        <v>-232.36442175297495</v>
      </c>
      <c r="AQ65" s="154">
        <f t="shared" si="28"/>
        <v>129.56769891026437</v>
      </c>
      <c r="AR65" s="154">
        <f t="shared" si="28"/>
        <v>10.909580675012773</v>
      </c>
      <c r="AS65" s="154">
        <f t="shared" si="28"/>
        <v>98.266500775859271</v>
      </c>
      <c r="AT65" s="154">
        <f t="shared" si="28"/>
        <v>31.565793865022492</v>
      </c>
      <c r="AU65" s="154">
        <f t="shared" si="28"/>
        <v>28.452150182379405</v>
      </c>
      <c r="AV65" s="154">
        <f t="shared" si="28"/>
        <v>6.4317486461872777</v>
      </c>
      <c r="AW65" s="154">
        <f t="shared" si="28"/>
        <v>24.42346840156166</v>
      </c>
      <c r="AX65" s="154">
        <f t="shared" si="28"/>
        <v>9.7292715025025469</v>
      </c>
      <c r="AY65" s="154">
        <f t="shared" si="28"/>
        <v>8.1485374715548406</v>
      </c>
      <c r="AZ65" s="154">
        <f t="shared" si="28"/>
        <v>6.0783068146091903</v>
      </c>
      <c r="BA65" s="154">
        <f t="shared" si="28"/>
        <v>32.377524810467953</v>
      </c>
      <c r="BB65" s="154">
        <f t="shared" si="28"/>
        <v>9.5984439581018552</v>
      </c>
      <c r="BC65" s="154">
        <f t="shared" si="28"/>
        <v>6.2539535805733975</v>
      </c>
      <c r="BD65" s="154">
        <f t="shared" si="28"/>
        <v>7.5830186674945903</v>
      </c>
      <c r="BE65" s="154">
        <f t="shared" si="28"/>
        <v>-100.25330018984731</v>
      </c>
      <c r="BF65" s="154">
        <f t="shared" si="28"/>
        <v>42.311263477485845</v>
      </c>
      <c r="BG65" s="154">
        <f t="shared" si="28"/>
        <v>12.836414407584485</v>
      </c>
      <c r="BH65" s="154">
        <f t="shared" si="28"/>
        <v>11.409403470600118</v>
      </c>
      <c r="BI65" s="154">
        <f t="shared" si="28"/>
        <v>-27.983724976548356</v>
      </c>
      <c r="BJ65" s="154">
        <f t="shared" si="28"/>
        <v>-86.703922763317649</v>
      </c>
      <c r="BK65" s="154">
        <f t="shared" si="28"/>
        <v>31.124590977758945</v>
      </c>
      <c r="BL65" s="154">
        <f t="shared" si="28"/>
        <v>11.456183141688735</v>
      </c>
      <c r="BM65" s="154">
        <f t="shared" si="28"/>
        <v>-11.487607639267527</v>
      </c>
      <c r="BN65" s="154">
        <f t="shared" si="28"/>
        <v>-189.39788451805458</v>
      </c>
      <c r="BO65" s="154">
        <f t="shared" si="28"/>
        <v>-698.36278901034007</v>
      </c>
      <c r="BP65" s="154">
        <f t="shared" si="28"/>
        <v>52.048171277732116</v>
      </c>
      <c r="BQ65" s="154">
        <f t="shared" si="28"/>
        <v>-5.9976231941672591</v>
      </c>
      <c r="BR65" s="154">
        <f t="shared" ref="BR65:CK65" si="29">BR63/(BR64+BV64)*2</f>
        <v>94.2197274467391</v>
      </c>
      <c r="BS65" s="154">
        <f t="shared" si="29"/>
        <v>-10.186317243082993</v>
      </c>
      <c r="BT65" s="154">
        <f t="shared" si="29"/>
        <v>172.84632654345657</v>
      </c>
      <c r="BU65" s="154">
        <f t="shared" si="29"/>
        <v>-8.9116790716226753</v>
      </c>
      <c r="BV65" s="154">
        <f t="shared" si="29"/>
        <v>-19.762177784811779</v>
      </c>
      <c r="BW65" s="154">
        <f t="shared" si="29"/>
        <v>-9.0284526610553808</v>
      </c>
      <c r="BX65" s="154">
        <f t="shared" si="29"/>
        <v>-22.157039477030196</v>
      </c>
      <c r="BY65" s="154">
        <f t="shared" si="29"/>
        <v>-21.898519299130513</v>
      </c>
      <c r="BZ65" s="154">
        <f t="shared" si="29"/>
        <v>-6.9461155534126071</v>
      </c>
      <c r="CA65" s="154">
        <f t="shared" si="29"/>
        <v>-16.568280673916561</v>
      </c>
      <c r="CB65" s="154">
        <f t="shared" si="29"/>
        <v>-12.116041914309376</v>
      </c>
      <c r="CC65" s="154">
        <f t="shared" si="29"/>
        <v>-11.231115684932705</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475</v>
      </c>
      <c r="E66" s="83">
        <f>E62/E65</f>
        <v>60.699776781850964</v>
      </c>
      <c r="F66" s="83">
        <f t="shared" ref="F66:BQ66" si="30">F62/F65</f>
        <v>62.396993351464076</v>
      </c>
      <c r="G66" s="83">
        <f t="shared" si="30"/>
        <v>151.85075479873126</v>
      </c>
      <c r="H66" s="83">
        <f t="shared" si="30"/>
        <v>297.54634563174272</v>
      </c>
      <c r="I66" s="83">
        <f t="shared" si="30"/>
        <v>75.594771795746738</v>
      </c>
      <c r="J66" s="83">
        <f t="shared" si="30"/>
        <v>74.070237075537804</v>
      </c>
      <c r="K66" s="83">
        <f t="shared" si="30"/>
        <v>190.06032515033067</v>
      </c>
      <c r="L66" s="83">
        <f t="shared" si="30"/>
        <v>342.1494207374156</v>
      </c>
      <c r="M66" s="83">
        <f t="shared" si="30"/>
        <v>113.01400319353698</v>
      </c>
      <c r="N66" s="83">
        <f t="shared" si="30"/>
        <v>137.0102293292297</v>
      </c>
      <c r="O66" s="83">
        <f t="shared" si="30"/>
        <v>241.50369161373035</v>
      </c>
      <c r="P66" s="83">
        <f t="shared" si="30"/>
        <v>399.40320449401685</v>
      </c>
      <c r="Q66" s="83">
        <f t="shared" si="30"/>
        <v>82.605503259579976</v>
      </c>
      <c r="R66" s="83">
        <f t="shared" si="30"/>
        <v>108.84159971106935</v>
      </c>
      <c r="S66" s="83">
        <f t="shared" si="30"/>
        <v>138.93515138743896</v>
      </c>
      <c r="T66" s="83">
        <f t="shared" si="30"/>
        <v>185.78953385269642</v>
      </c>
      <c r="U66" s="83">
        <f t="shared" si="30"/>
        <v>-6.7627040736162432</v>
      </c>
      <c r="V66" s="83">
        <f t="shared" si="30"/>
        <v>-16.92670982955508</v>
      </c>
      <c r="W66" s="83">
        <f t="shared" si="30"/>
        <v>-46.874337125372485</v>
      </c>
      <c r="X66" s="83">
        <f t="shared" si="30"/>
        <v>-129.69861602188422</v>
      </c>
      <c r="Y66" s="83">
        <f t="shared" si="30"/>
        <v>-72.628729424830368</v>
      </c>
      <c r="Z66" s="83">
        <f t="shared" si="30"/>
        <v>-93.598120433959124</v>
      </c>
      <c r="AA66" s="83">
        <f t="shared" si="30"/>
        <v>-139.4686529798571</v>
      </c>
      <c r="AB66" s="83">
        <f t="shared" si="30"/>
        <v>-229.10191400526563</v>
      </c>
      <c r="AC66" s="83">
        <f t="shared" si="30"/>
        <v>-106.45281191177038</v>
      </c>
      <c r="AD66" s="83">
        <f t="shared" si="30"/>
        <v>-115.26184203992901</v>
      </c>
      <c r="AE66" s="83">
        <f t="shared" si="30"/>
        <v>-179.22642116752377</v>
      </c>
      <c r="AF66" s="83">
        <f t="shared" si="30"/>
        <v>-247.13071796722545</v>
      </c>
      <c r="AG66" s="83">
        <f t="shared" si="30"/>
        <v>-85.359901632548073</v>
      </c>
      <c r="AH66" s="83">
        <f t="shared" si="30"/>
        <v>-88.285140624763059</v>
      </c>
      <c r="AI66" s="83">
        <f t="shared" si="30"/>
        <v>-84.34613762791723</v>
      </c>
      <c r="AJ66" s="83">
        <f t="shared" si="30"/>
        <v>-133.86335689711274</v>
      </c>
      <c r="AK66" s="83">
        <f t="shared" si="30"/>
        <v>-47.184029427031774</v>
      </c>
      <c r="AL66" s="83">
        <f t="shared" si="30"/>
        <v>-40.358844007123594</v>
      </c>
      <c r="AM66" s="83">
        <f t="shared" si="30"/>
        <v>13.433836849228936</v>
      </c>
      <c r="AN66" s="83">
        <f t="shared" si="30"/>
        <v>9.3069884750468734</v>
      </c>
      <c r="AO66" s="83">
        <f t="shared" si="30"/>
        <v>-14.420731631678649</v>
      </c>
      <c r="AP66" s="83">
        <f t="shared" si="30"/>
        <v>-1.5708084621837204</v>
      </c>
      <c r="AQ66" s="83">
        <f t="shared" si="30"/>
        <v>2.8170601397559021</v>
      </c>
      <c r="AR66" s="83">
        <f t="shared" si="30"/>
        <v>33.456831281883588</v>
      </c>
      <c r="AS66" s="83">
        <f t="shared" si="30"/>
        <v>3.714388902811812</v>
      </c>
      <c r="AT66" s="83">
        <f t="shared" si="30"/>
        <v>11.563149704416277</v>
      </c>
      <c r="AU66" s="83">
        <f t="shared" si="30"/>
        <v>12.828555931988816</v>
      </c>
      <c r="AV66" s="83">
        <f t="shared" si="30"/>
        <v>56.749730140087323</v>
      </c>
      <c r="AW66" s="83">
        <f t="shared" si="30"/>
        <v>14.944642341489121</v>
      </c>
      <c r="AX66" s="83">
        <f t="shared" si="30"/>
        <v>37.515655710308351</v>
      </c>
      <c r="AY66" s="83">
        <f t="shared" si="30"/>
        <v>44.793314294025521</v>
      </c>
      <c r="AZ66" s="83">
        <f t="shared" si="30"/>
        <v>60.049617620934121</v>
      </c>
      <c r="BA66" s="83">
        <f t="shared" si="30"/>
        <v>11.273252113515241</v>
      </c>
      <c r="BB66" s="83">
        <f t="shared" si="30"/>
        <v>38.026997041735164</v>
      </c>
      <c r="BC66" s="83">
        <f t="shared" si="30"/>
        <v>58.363081097019389</v>
      </c>
      <c r="BD66" s="83">
        <f t="shared" si="30"/>
        <v>48.133865417556073</v>
      </c>
      <c r="BE66" s="83">
        <f t="shared" si="30"/>
        <v>-3.6407779026606417</v>
      </c>
      <c r="BF66" s="83">
        <f t="shared" si="30"/>
        <v>8.6265445652366157</v>
      </c>
      <c r="BG66" s="83">
        <f t="shared" si="30"/>
        <v>28.434731725733098</v>
      </c>
      <c r="BH66" s="83">
        <f t="shared" si="30"/>
        <v>31.991155448270035</v>
      </c>
      <c r="BI66" s="83">
        <f t="shared" si="30"/>
        <v>-13.04329571227157</v>
      </c>
      <c r="BJ66" s="83">
        <f t="shared" si="30"/>
        <v>-4.2097287915838422</v>
      </c>
      <c r="BK66" s="83">
        <f t="shared" si="30"/>
        <v>11.727061739086698</v>
      </c>
      <c r="BL66" s="83">
        <f t="shared" si="30"/>
        <v>31.860524180324514</v>
      </c>
      <c r="BM66" s="83">
        <f t="shared" si="30"/>
        <v>-31.773369309057735</v>
      </c>
      <c r="BN66" s="83">
        <f t="shared" si="30"/>
        <v>-1.9271598567681252</v>
      </c>
      <c r="BO66" s="83">
        <f t="shared" si="30"/>
        <v>-0.5226509856248881</v>
      </c>
      <c r="BP66" s="83">
        <f t="shared" si="30"/>
        <v>7.0127343773970159</v>
      </c>
      <c r="BQ66" s="83">
        <f t="shared" si="30"/>
        <v>-60.857441053476933</v>
      </c>
      <c r="BR66" s="83">
        <f t="shared" ref="BR66:CJ66" si="31">BR62/BR65</f>
        <v>3.8739233267929865</v>
      </c>
      <c r="BS66" s="83">
        <f t="shared" si="31"/>
        <v>-35.832380956704725</v>
      </c>
      <c r="BT66" s="83">
        <f t="shared" si="31"/>
        <v>2.1117023849982295</v>
      </c>
      <c r="BU66" s="83">
        <f t="shared" si="31"/>
        <v>-40.957489275198874</v>
      </c>
      <c r="BV66" s="83">
        <f t="shared" si="31"/>
        <v>-18.469624348816492</v>
      </c>
      <c r="BW66" s="83">
        <f t="shared" si="31"/>
        <v>-40.427747001924615</v>
      </c>
      <c r="BX66" s="83">
        <f t="shared" si="31"/>
        <v>-16.473319929694981</v>
      </c>
      <c r="BY66" s="83">
        <f t="shared" si="31"/>
        <v>-16.667793608058808</v>
      </c>
      <c r="BZ66" s="83">
        <f t="shared" si="31"/>
        <v>-52.547355020703122</v>
      </c>
      <c r="CA66" s="83">
        <f t="shared" si="31"/>
        <v>-22.030046881968833</v>
      </c>
      <c r="CB66" s="83">
        <f t="shared" si="31"/>
        <v>-30.125349729017117</v>
      </c>
      <c r="CC66" s="83">
        <f t="shared" si="31"/>
        <v>-32.498997449529611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476</v>
      </c>
      <c r="E67" s="76">
        <f>股权价值增加表!E5</f>
        <v>8450087271.3599997</v>
      </c>
      <c r="F67" s="76">
        <f>股权价值增加表!F5</f>
        <v>6350106683.5200005</v>
      </c>
      <c r="G67" s="76">
        <f>股权价值增加表!G5</f>
        <v>4428529135.8999996</v>
      </c>
      <c r="H67" s="76">
        <f>股权价值增加表!H5</f>
        <v>2993353291.3099999</v>
      </c>
      <c r="I67" s="76">
        <f>股权价值增加表!I5</f>
        <v>7314252452.3800001</v>
      </c>
      <c r="J67" s="76">
        <f>股权价值增加表!J5</f>
        <v>5287169637.4300003</v>
      </c>
      <c r="K67" s="76">
        <f>股权价值增加表!K5</f>
        <v>3976153298.8800001</v>
      </c>
      <c r="L67" s="76">
        <f>股权价值增加表!L5</f>
        <v>2661635000.4699998</v>
      </c>
      <c r="M67" s="76">
        <f>股权价值增加表!M5</f>
        <v>6671963269.6700001</v>
      </c>
      <c r="N67" s="76">
        <f>股权价值增加表!N5</f>
        <v>4656198301.6999998</v>
      </c>
      <c r="O67" s="76">
        <f>股权价值增加表!O5</f>
        <v>3376312811.8299999</v>
      </c>
      <c r="P67" s="76">
        <f>股权价值增加表!P5</f>
        <v>2055823734.03</v>
      </c>
      <c r="Q67" s="76">
        <f>股权价值增加表!Q5</f>
        <v>5772029404.0299997</v>
      </c>
      <c r="R67" s="76">
        <f>股权价值增加表!R5</f>
        <v>3787920585.1700001</v>
      </c>
      <c r="S67" s="76">
        <f>股权价值增加表!S5</f>
        <v>2857248428.6700001</v>
      </c>
      <c r="T67" s="76">
        <f>股权价值增加表!T5</f>
        <v>1682004658.98</v>
      </c>
      <c r="U67" s="76">
        <f>股权价值增加表!U5</f>
        <v>6610410852.2399998</v>
      </c>
      <c r="V67" s="76">
        <f>股权价值增加表!V5</f>
        <v>5339450953.04</v>
      </c>
      <c r="W67" s="76">
        <f>股权价值增加表!W5</f>
        <v>4376697218.3699999</v>
      </c>
      <c r="X67" s="76">
        <f>股权价值增加表!X5</f>
        <v>2033064547.8699999</v>
      </c>
      <c r="Y67" s="76">
        <f>股权价值增加表!Y5</f>
        <v>8015724440.8500004</v>
      </c>
      <c r="Z67" s="76">
        <f>股权价值增加表!Z5</f>
        <v>6475620512.3999996</v>
      </c>
      <c r="AA67" s="76">
        <f>股权价值增加表!AA5</f>
        <v>5252285371.5299997</v>
      </c>
      <c r="AB67" s="76">
        <f>股权价值增加表!AB5</f>
        <v>2519558542.4099998</v>
      </c>
      <c r="AC67" s="76">
        <f>股权价值增加表!AC5</f>
        <v>6895411289.1300001</v>
      </c>
      <c r="AD67" s="76">
        <f>股权价值增加表!AD5</f>
        <v>5318811654.6899996</v>
      </c>
      <c r="AE67" s="76">
        <f>股权价值增加表!AE5</f>
        <v>3589356918.8899999</v>
      </c>
      <c r="AF67" s="76">
        <f>股权价值增加表!AF5</f>
        <v>2138107423.97</v>
      </c>
      <c r="AG67" s="76">
        <f>股权价值增加表!AG5</f>
        <v>4863189610.8299999</v>
      </c>
      <c r="AH67" s="76">
        <f>股权价值增加表!AH5</f>
        <v>3862012275.1300001</v>
      </c>
      <c r="AI67" s="76">
        <f>股权价值增加表!AI5</f>
        <v>2470927606.6300001</v>
      </c>
      <c r="AJ67" s="76">
        <f>股权价值增加表!AJ5</f>
        <v>1354048502.05</v>
      </c>
      <c r="AK67" s="76">
        <f>股权价值增加表!AK5</f>
        <v>3860659982.3200002</v>
      </c>
      <c r="AL67" s="76">
        <f>股权价值增加表!AL5</f>
        <v>3030912031.6799998</v>
      </c>
      <c r="AM67" s="76">
        <f>股权价值增加表!AM5</f>
        <v>2029592156.77</v>
      </c>
      <c r="AN67" s="76">
        <f>股权价值增加表!AN5</f>
        <v>1086953253.6500001</v>
      </c>
      <c r="AO67" s="76">
        <f>股权价值增加表!AO5</f>
        <v>3618072871.25</v>
      </c>
      <c r="AP67" s="76">
        <f>股权价值增加表!AP5</f>
        <v>2994697567.3200002</v>
      </c>
      <c r="AQ67" s="76">
        <f>股权价值增加表!AQ5</f>
        <v>1909931131.78</v>
      </c>
      <c r="AR67" s="76">
        <f>股权价值增加表!AR5</f>
        <v>1210862958.6400001</v>
      </c>
      <c r="AS67" s="76">
        <f>股权价值增加表!AS5</f>
        <v>3377979573</v>
      </c>
      <c r="AT67" s="76">
        <f>股权价值增加表!AT5</f>
        <v>2691916727.7199998</v>
      </c>
      <c r="AU67" s="76">
        <f>股权价值增加表!AU5</f>
        <v>1726068014.1400001</v>
      </c>
      <c r="AV67" s="76">
        <f>股权价值增加表!AV5</f>
        <v>1260355739.48</v>
      </c>
      <c r="AW67" s="76">
        <f>股权价值增加表!AW5</f>
        <v>3486534076.8200002</v>
      </c>
      <c r="AX67" s="76">
        <f>股权价值增加表!AX5</f>
        <v>2763275003.6700001</v>
      </c>
      <c r="AY67" s="76">
        <f>股权价值增加表!AY5</f>
        <v>1904934120.6800001</v>
      </c>
      <c r="AZ67" s="76">
        <f>股权价值增加表!AZ5</f>
        <v>1128853611.54</v>
      </c>
      <c r="BA67" s="76">
        <f>股权价值增加表!BA5</f>
        <v>3209547722.3400002</v>
      </c>
      <c r="BB67" s="76">
        <f>股权价值增加表!BB5</f>
        <v>2434453784.54</v>
      </c>
      <c r="BC67" s="76">
        <f>股权价值增加表!BC5</f>
        <v>1840642005.9300001</v>
      </c>
      <c r="BD67" s="76">
        <f>股权价值增加表!BD5</f>
        <v>1190452153.4400001</v>
      </c>
      <c r="BE67" s="76">
        <f>股权价值增加表!BE5</f>
        <v>3219308815.7399998</v>
      </c>
      <c r="BF67" s="76">
        <f>股权价值增加表!BF5</f>
        <v>2411915899.25</v>
      </c>
      <c r="BG67" s="76">
        <f>股权价值增加表!BG5</f>
        <v>1846629284.01</v>
      </c>
      <c r="BH67" s="76">
        <f>股权价值增加表!BH5</f>
        <v>1345869096.0899999</v>
      </c>
      <c r="BI67" s="76">
        <f>股权价值增加表!BI5</f>
        <v>3485512930.8499999</v>
      </c>
      <c r="BJ67" s="76">
        <f>股权价值增加表!BJ5</f>
        <v>2527189390.6100001</v>
      </c>
      <c r="BK67" s="76">
        <f>股权价值增加表!BK5</f>
        <v>1905502286.49</v>
      </c>
      <c r="BL67" s="76">
        <f>股权价值增加表!BL5</f>
        <v>1263173219.8800001</v>
      </c>
      <c r="BM67" s="76">
        <f>股权价值增加表!BM5</f>
        <v>3200544107.3400002</v>
      </c>
      <c r="BN67" s="76">
        <f>股权价值增加表!BN5</f>
        <v>2439984867.3400002</v>
      </c>
      <c r="BO67" s="76">
        <f>股权价值增加表!BO5</f>
        <v>1936175378.28</v>
      </c>
      <c r="BP67" s="76">
        <f>股权价值增加表!BP5</f>
        <v>1318965800.5</v>
      </c>
      <c r="BQ67" s="76">
        <f>股权价值增加表!BQ5</f>
        <v>2643927861.4899998</v>
      </c>
      <c r="BR67" s="76">
        <f>股权价值增加表!BR5</f>
        <v>0</v>
      </c>
      <c r="BS67" s="76">
        <f>股权价值增加表!BS5</f>
        <v>1570152121.23</v>
      </c>
      <c r="BT67" s="76">
        <f>股权价值增加表!BT5</f>
        <v>1238131319.3099999</v>
      </c>
      <c r="BU67" s="76">
        <f>股权价值增加表!BU5</f>
        <v>1930789417.8299999</v>
      </c>
      <c r="BV67" s="76">
        <f>股权价值增加表!BV5</f>
        <v>1153309650.4000001</v>
      </c>
      <c r="BW67" s="76">
        <f>股权价值增加表!BW5</f>
        <v>1576612800.96</v>
      </c>
      <c r="BX67" s="76">
        <f>股权价值增加表!BX5</f>
        <v>924155194.89999998</v>
      </c>
      <c r="BY67" s="76">
        <f>股权价值增加表!BY5</f>
        <v>1486186561.3499999</v>
      </c>
      <c r="BZ67" s="76">
        <f>股权价值增加表!BZ5</f>
        <v>596587847.75999999</v>
      </c>
      <c r="CA67" s="76">
        <f>股权价值增加表!CA5</f>
        <v>1142349023.22</v>
      </c>
      <c r="CB67" s="76">
        <f>股权价值增加表!CB5</f>
        <v>564890120.15999997</v>
      </c>
      <c r="CC67" s="76">
        <f>股权价值增加表!CC5</f>
        <v>391634546.25999999</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477</v>
      </c>
      <c r="E68" s="76">
        <f>资产资本表!E26</f>
        <v>10557801464.120001</v>
      </c>
      <c r="F68" s="76">
        <f>资产资本表!F26</f>
        <v>9913263627.9400005</v>
      </c>
      <c r="G68" s="76">
        <f>资产资本表!G26</f>
        <v>9627605128.6299992</v>
      </c>
      <c r="H68" s="76">
        <f>资产资本表!H26</f>
        <v>9364037239.7700005</v>
      </c>
      <c r="I68" s="76">
        <f>资产资本表!I26</f>
        <v>9257369374.4799995</v>
      </c>
      <c r="J68" s="76">
        <f>资产资本表!J26</f>
        <v>9442953679.8199997</v>
      </c>
      <c r="K68" s="76">
        <f>资产资本表!K26</f>
        <v>9355869460.9099998</v>
      </c>
      <c r="L68" s="76">
        <f>资产资本表!L26</f>
        <v>8929792868.5599995</v>
      </c>
      <c r="M68" s="76">
        <f>资产资本表!M26</f>
        <v>8700851179.5300007</v>
      </c>
      <c r="N68" s="76">
        <f>资产资本表!N26</f>
        <v>8530807984.9499998</v>
      </c>
      <c r="O68" s="76">
        <f>资产资本表!O26</f>
        <v>8507213622.3999996</v>
      </c>
      <c r="P68" s="76">
        <f>资产资本表!P26</f>
        <v>8253645529.4799995</v>
      </c>
      <c r="Q68" s="76">
        <f>资产资本表!Q26</f>
        <v>8091488733.5600004</v>
      </c>
      <c r="R68" s="76">
        <f>资产资本表!R26</f>
        <v>7531491241.9899998</v>
      </c>
      <c r="S68" s="76">
        <f>资产资本表!S26</f>
        <v>7316591405.9399996</v>
      </c>
      <c r="T68" s="76">
        <f>资产资本表!T26</f>
        <v>7077955284.5699997</v>
      </c>
      <c r="U68" s="76">
        <f>资产资本表!U26</f>
        <v>6885585995.3900003</v>
      </c>
      <c r="V68" s="76">
        <f>资产资本表!V26</f>
        <v>6988166978.5200005</v>
      </c>
      <c r="W68" s="76">
        <f>资产资本表!W26</f>
        <v>6890600435.0699997</v>
      </c>
      <c r="X68" s="76">
        <f>资产资本表!X26</f>
        <v>6752485923.0600004</v>
      </c>
      <c r="Y68" s="76">
        <f>资产资本表!Y26</f>
        <v>6680023737.3199997</v>
      </c>
      <c r="Z68" s="76">
        <f>资产资本表!Z26</f>
        <v>6346798188.0900002</v>
      </c>
      <c r="AA68" s="76">
        <f>资产资本表!AA26</f>
        <v>6080842217.1899996</v>
      </c>
      <c r="AB68" s="76">
        <f>资产资本表!AB26</f>
        <v>5707586438.5799999</v>
      </c>
      <c r="AC68" s="76">
        <f>资产资本表!AC26</f>
        <v>5536502482.54</v>
      </c>
      <c r="AD68" s="76">
        <f>资产资本表!AD26</f>
        <v>4860415255.9099998</v>
      </c>
      <c r="AE68" s="76">
        <f>资产资本表!AE26</f>
        <v>4835039413.5500002</v>
      </c>
      <c r="AF68" s="76">
        <f>资产资本表!AF26</f>
        <v>4551014859.0900002</v>
      </c>
      <c r="AG68" s="76">
        <f>资产资本表!AG26</f>
        <v>4514778551.6300001</v>
      </c>
      <c r="AH68" s="76">
        <f>资产资本表!AH26</f>
        <v>4012206493.4699998</v>
      </c>
      <c r="AI68" s="76">
        <f>资产资本表!AI26</f>
        <v>4009234951.54</v>
      </c>
      <c r="AJ68" s="76">
        <f>资产资本表!AJ26</f>
        <v>3756438574.9499998</v>
      </c>
      <c r="AK68" s="76">
        <f>资产资本表!AK26</f>
        <v>3476844741.04</v>
      </c>
      <c r="AL68" s="76">
        <f>资产资本表!AL26</f>
        <v>3264420284.7800002</v>
      </c>
      <c r="AM68" s="76">
        <f>资产资本表!AM26</f>
        <v>3219922001.1799998</v>
      </c>
      <c r="AN68" s="76">
        <f>资产资本表!AN26</f>
        <v>2084787694.03</v>
      </c>
      <c r="AO68" s="76">
        <f>资产资本表!AO26</f>
        <v>2076930883.6099999</v>
      </c>
      <c r="AP68" s="76">
        <f>资产资本表!AP26</f>
        <v>1915649161.1700001</v>
      </c>
      <c r="AQ68" s="76">
        <f>资产资本表!AQ26</f>
        <v>1891491824.8299999</v>
      </c>
      <c r="AR68" s="76">
        <f>资产资本表!AR26</f>
        <v>1740967246.4100001</v>
      </c>
      <c r="AS68" s="76">
        <f>资产资本表!AS26</f>
        <v>1805867257.73</v>
      </c>
      <c r="AT68" s="76">
        <f>资产资本表!AT26</f>
        <v>1630465329.8499999</v>
      </c>
      <c r="AU68" s="76">
        <f>资产资本表!AU26</f>
        <v>1660895359.1300001</v>
      </c>
      <c r="AV68" s="76">
        <f>资产资本表!AV26</f>
        <v>1485234639.98</v>
      </c>
      <c r="AW68" s="76">
        <f>资产资本表!AW26</f>
        <v>1508022529.5899999</v>
      </c>
      <c r="AX68" s="76">
        <f>资产资本表!AX26</f>
        <v>1424746013.72</v>
      </c>
      <c r="AY68" s="76">
        <f>资产资本表!AY26</f>
        <v>1509173104.5999999</v>
      </c>
      <c r="AZ68" s="76">
        <f>资产资本表!AZ26</f>
        <v>1543267261.29</v>
      </c>
      <c r="BA68" s="76">
        <f>资产资本表!BA26</f>
        <v>1449461394.5699999</v>
      </c>
      <c r="BB68" s="76">
        <f>资产资本表!BB26</f>
        <v>1373053158.5599999</v>
      </c>
      <c r="BC68" s="76">
        <f>资产资本表!BC26</f>
        <v>1313056259.1199999</v>
      </c>
      <c r="BD68" s="76">
        <f>资产资本表!BD26</f>
        <v>1447514700.6900001</v>
      </c>
      <c r="BE68" s="76">
        <f>资产资本表!BE26</f>
        <v>1375514738.79</v>
      </c>
      <c r="BF68" s="76">
        <f>资产资本表!BF26</f>
        <v>1334464661.9300001</v>
      </c>
      <c r="BG68" s="76">
        <f>资产资本表!BG26</f>
        <v>1257081230</v>
      </c>
      <c r="BH68" s="76">
        <f>资产资本表!BH26</f>
        <v>1114274704.9100001</v>
      </c>
      <c r="BI68" s="76">
        <f>资产资本表!BI26</f>
        <v>1092522751.3199999</v>
      </c>
      <c r="BJ68" s="76">
        <f>资产资本表!BJ26</f>
        <v>980722281.51999998</v>
      </c>
      <c r="BK68" s="76">
        <f>资产资本表!BK26</f>
        <v>895371219.82000005</v>
      </c>
      <c r="BL68" s="76">
        <f>资产资本表!BL26</f>
        <v>931357053.15999997</v>
      </c>
      <c r="BM68" s="76">
        <f>资产资本表!BM26</f>
        <v>958709328.83000004</v>
      </c>
      <c r="BN68" s="76">
        <f>资产资本表!BN26</f>
        <v>1485944703.75</v>
      </c>
      <c r="BO68" s="76">
        <f>资产资本表!BO26</f>
        <v>936722057.44000006</v>
      </c>
      <c r="BP68" s="76">
        <f>资产资本表!BP26</f>
        <v>958050682.25</v>
      </c>
      <c r="BQ68" s="76">
        <f>资产资本表!BQ26</f>
        <v>1308727394.73</v>
      </c>
      <c r="BR68" s="76">
        <f>资产资本表!BR26</f>
        <v>0</v>
      </c>
      <c r="BS68" s="76">
        <f>资产资本表!BS26</f>
        <v>894969989.32000005</v>
      </c>
      <c r="BT68" s="76">
        <f>资产资本表!BT26</f>
        <v>578141921.86000001</v>
      </c>
      <c r="BU68" s="76">
        <f>资产资本表!BU26</f>
        <v>972147455.64999998</v>
      </c>
      <c r="BV68" s="76">
        <f>资产资本表!BV26</f>
        <v>576645619.39999998</v>
      </c>
      <c r="BW68" s="76">
        <f>资产资本表!BW26</f>
        <v>630729514.10000002</v>
      </c>
      <c r="BX68" s="76">
        <f>资产资本表!BX26</f>
        <v>436495272.38</v>
      </c>
      <c r="BY68" s="76">
        <f>资产资本表!BY26</f>
        <v>552805762.85000002</v>
      </c>
      <c r="BZ68" s="76">
        <f>资产资本表!BZ26</f>
        <v>553526408.04999995</v>
      </c>
      <c r="CA68" s="76">
        <f>资产资本表!CA26</f>
        <v>609545054.58000004</v>
      </c>
      <c r="CB68" s="76">
        <f>资产资本表!CB26</f>
        <v>536879605.17999995</v>
      </c>
      <c r="CC68" s="76">
        <f>资产资本表!CC26</f>
        <v>467186347.06</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478</v>
      </c>
      <c r="E69" s="154">
        <f>E67/(E68+I68)*2</f>
        <v>0.85289068059904993</v>
      </c>
      <c r="F69" s="154">
        <f t="shared" ref="F69:BQ69" si="32">F67/(F68+J68)*2</f>
        <v>0.65613095601837568</v>
      </c>
      <c r="G69" s="154">
        <f t="shared" si="32"/>
        <v>0.46656676205526082</v>
      </c>
      <c r="H69" s="154">
        <f t="shared" si="32"/>
        <v>0.32725277031483874</v>
      </c>
      <c r="I69" s="154">
        <f t="shared" si="32"/>
        <v>0.81458543516403747</v>
      </c>
      <c r="J69" s="154">
        <f t="shared" si="32"/>
        <v>0.58832087974030189</v>
      </c>
      <c r="K69" s="154">
        <f t="shared" si="32"/>
        <v>0.4451810788021287</v>
      </c>
      <c r="L69" s="154">
        <f t="shared" si="32"/>
        <v>0.309790734405472</v>
      </c>
      <c r="M69" s="154">
        <f t="shared" si="32"/>
        <v>0.79464366540949505</v>
      </c>
      <c r="N69" s="154">
        <f t="shared" si="32"/>
        <v>0.57976734661878715</v>
      </c>
      <c r="O69" s="154">
        <f t="shared" si="32"/>
        <v>0.42673842426434305</v>
      </c>
      <c r="P69" s="154">
        <f t="shared" si="32"/>
        <v>0.26818122373053532</v>
      </c>
      <c r="Q69" s="154">
        <f t="shared" si="32"/>
        <v>0.77078194620648188</v>
      </c>
      <c r="R69" s="154">
        <f t="shared" si="32"/>
        <v>0.52176442828651515</v>
      </c>
      <c r="S69" s="154">
        <f t="shared" si="32"/>
        <v>0.40222564186433574</v>
      </c>
      <c r="T69" s="154">
        <f t="shared" si="32"/>
        <v>0.24323224888184605</v>
      </c>
      <c r="U69" s="154">
        <f t="shared" si="32"/>
        <v>0.97458366892284753</v>
      </c>
      <c r="V69" s="154">
        <f t="shared" si="32"/>
        <v>0.80081963264661293</v>
      </c>
      <c r="W69" s="154">
        <f t="shared" si="32"/>
        <v>0.67482042448184487</v>
      </c>
      <c r="X69" s="154">
        <f t="shared" si="32"/>
        <v>0.32633270319184682</v>
      </c>
      <c r="Y69" s="154">
        <f t="shared" si="32"/>
        <v>1.3122755677991511</v>
      </c>
      <c r="Z69" s="154">
        <f t="shared" si="32"/>
        <v>1.1556165222974046</v>
      </c>
      <c r="AA69" s="154">
        <f t="shared" si="32"/>
        <v>0.96231995714192098</v>
      </c>
      <c r="AB69" s="154">
        <f t="shared" si="32"/>
        <v>0.49120898050346462</v>
      </c>
      <c r="AC69" s="154">
        <f t="shared" si="32"/>
        <v>1.3720462626979764</v>
      </c>
      <c r="AD69" s="154">
        <f t="shared" si="32"/>
        <v>1.1989267219830864</v>
      </c>
      <c r="AE69" s="154">
        <f t="shared" si="32"/>
        <v>0.81167923352940308</v>
      </c>
      <c r="AF69" s="154">
        <f t="shared" si="32"/>
        <v>0.51474436563413062</v>
      </c>
      <c r="AG69" s="154">
        <f t="shared" si="32"/>
        <v>1.2170717844747683</v>
      </c>
      <c r="AH69" s="154">
        <f t="shared" si="32"/>
        <v>1.0614842269150428</v>
      </c>
      <c r="AI69" s="154">
        <f t="shared" si="32"/>
        <v>0.68360048696972986</v>
      </c>
      <c r="AJ69" s="154">
        <f t="shared" si="32"/>
        <v>0.4636178910721927</v>
      </c>
      <c r="AK69" s="154">
        <f t="shared" si="32"/>
        <v>1.3902830230248273</v>
      </c>
      <c r="AL69" s="154">
        <f t="shared" si="32"/>
        <v>1.170220617041996</v>
      </c>
      <c r="AM69" s="154">
        <f t="shared" si="32"/>
        <v>0.79414120079348438</v>
      </c>
      <c r="AN69" s="154">
        <f t="shared" si="32"/>
        <v>0.56822941906728064</v>
      </c>
      <c r="AO69" s="154">
        <f t="shared" si="32"/>
        <v>1.8636420125622908</v>
      </c>
      <c r="AP69" s="154">
        <f t="shared" si="32"/>
        <v>1.6890021881152568</v>
      </c>
      <c r="AQ69" s="154">
        <f t="shared" si="32"/>
        <v>1.0752944613717004</v>
      </c>
      <c r="AR69" s="154">
        <f t="shared" si="32"/>
        <v>0.75064301694703339</v>
      </c>
      <c r="AS69" s="154">
        <f t="shared" si="32"/>
        <v>2.0386794913489448</v>
      </c>
      <c r="AT69" s="154">
        <f t="shared" si="32"/>
        <v>1.762180369868952</v>
      </c>
      <c r="AU69" s="154">
        <f t="shared" si="32"/>
        <v>1.0889783825735142</v>
      </c>
      <c r="AV69" s="154">
        <f t="shared" si="32"/>
        <v>0.83232950189099819</v>
      </c>
      <c r="AW69" s="154">
        <f t="shared" si="32"/>
        <v>2.3577704333999137</v>
      </c>
      <c r="AX69" s="154">
        <f t="shared" si="32"/>
        <v>1.9753204812181961</v>
      </c>
      <c r="AY69" s="154">
        <f t="shared" si="32"/>
        <v>1.3499498978843403</v>
      </c>
      <c r="AZ69" s="154">
        <f t="shared" si="32"/>
        <v>0.75488860498052501</v>
      </c>
      <c r="BA69" s="154">
        <f t="shared" si="32"/>
        <v>2.2722653720423436</v>
      </c>
      <c r="BB69" s="154">
        <f t="shared" si="32"/>
        <v>1.798291975119424</v>
      </c>
      <c r="BC69" s="154">
        <f t="shared" si="32"/>
        <v>1.4323296039389901</v>
      </c>
      <c r="BD69" s="154">
        <f t="shared" si="32"/>
        <v>0.92939111297572297</v>
      </c>
      <c r="BE69" s="154">
        <f t="shared" si="32"/>
        <v>2.6088005783060582</v>
      </c>
      <c r="BF69" s="154">
        <f t="shared" si="32"/>
        <v>2.0835603846796564</v>
      </c>
      <c r="BG69" s="154">
        <f t="shared" si="32"/>
        <v>1.7158374710339597</v>
      </c>
      <c r="BH69" s="154">
        <f t="shared" si="32"/>
        <v>1.3158468925607529</v>
      </c>
      <c r="BI69" s="154">
        <f t="shared" si="32"/>
        <v>3.3984578971630701</v>
      </c>
      <c r="BJ69" s="154">
        <f t="shared" si="32"/>
        <v>2.0490722142076065</v>
      </c>
      <c r="BK69" s="154">
        <f t="shared" si="32"/>
        <v>2.0801367595647609</v>
      </c>
      <c r="BL69" s="154">
        <f t="shared" si="32"/>
        <v>1.3371102448735266</v>
      </c>
      <c r="BM69" s="154">
        <f t="shared" si="32"/>
        <v>2.8230504287810692</v>
      </c>
      <c r="BN69" s="154">
        <f t="shared" si="32"/>
        <v>3.2840856879564084</v>
      </c>
      <c r="BO69" s="154">
        <f t="shared" si="32"/>
        <v>2.1140839495425179</v>
      </c>
      <c r="BP69" s="154">
        <f t="shared" si="32"/>
        <v>1.7171880621885283</v>
      </c>
      <c r="BQ69" s="154">
        <f t="shared" si="32"/>
        <v>2.3183454024665262</v>
      </c>
      <c r="BR69" s="154">
        <f t="shared" ref="BR69:CJ69" si="33">BR67/(BR68+BV68)*2</f>
        <v>0</v>
      </c>
      <c r="BS69" s="154">
        <f t="shared" si="33"/>
        <v>2.0582717864302311</v>
      </c>
      <c r="BT69" s="154">
        <f t="shared" si="33"/>
        <v>2.4405399808695267</v>
      </c>
      <c r="BU69" s="154">
        <f t="shared" si="33"/>
        <v>2.5322605236758613</v>
      </c>
      <c r="BV69" s="154">
        <f t="shared" si="33"/>
        <v>2.0409453116658809</v>
      </c>
      <c r="BW69" s="154">
        <f t="shared" si="33"/>
        <v>2.5423609268034224</v>
      </c>
      <c r="BX69" s="154">
        <f t="shared" si="33"/>
        <v>1.8988679823268482</v>
      </c>
      <c r="BY69" s="154">
        <f t="shared" si="33"/>
        <v>2.9141138385494667</v>
      </c>
      <c r="BZ69" s="154">
        <f t="shared" si="33"/>
        <v>2.1555894681220353</v>
      </c>
      <c r="CA69" s="154">
        <f t="shared" si="33"/>
        <v>3.7482020882184743</v>
      </c>
      <c r="CB69" s="154">
        <f t="shared" si="33"/>
        <v>2.1043456101134961</v>
      </c>
      <c r="CC69" s="154">
        <f t="shared" si="33"/>
        <v>1.676566743546994</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479</v>
      </c>
      <c r="E70" s="83">
        <f>E62/E69</f>
        <v>427.95637037988593</v>
      </c>
      <c r="F70" s="83">
        <f t="shared" ref="F70:BQ70" si="34">F62/F69</f>
        <v>556.29138764453876</v>
      </c>
      <c r="G70" s="83">
        <f t="shared" si="34"/>
        <v>782.31033516435718</v>
      </c>
      <c r="H70" s="83">
        <f t="shared" si="34"/>
        <v>1115.3457911107855</v>
      </c>
      <c r="I70" s="83">
        <f t="shared" si="34"/>
        <v>448.08068527090467</v>
      </c>
      <c r="J70" s="83">
        <f t="shared" si="34"/>
        <v>620.40973313936991</v>
      </c>
      <c r="K70" s="83">
        <f t="shared" si="34"/>
        <v>819.89109012028098</v>
      </c>
      <c r="L70" s="83">
        <f t="shared" si="34"/>
        <v>1178.2147090373171</v>
      </c>
      <c r="M70" s="83">
        <f t="shared" si="34"/>
        <v>459.32537549633463</v>
      </c>
      <c r="N70" s="83">
        <f t="shared" si="34"/>
        <v>629.56287919401825</v>
      </c>
      <c r="O70" s="83">
        <f t="shared" si="34"/>
        <v>855.32489985926554</v>
      </c>
      <c r="P70" s="83">
        <f t="shared" si="34"/>
        <v>1361.0199659866821</v>
      </c>
      <c r="Q70" s="83">
        <f t="shared" si="34"/>
        <v>473.54508210318346</v>
      </c>
      <c r="R70" s="83">
        <f t="shared" si="34"/>
        <v>699.54941389674138</v>
      </c>
      <c r="S70" s="83">
        <f t="shared" si="34"/>
        <v>907.45084850435433</v>
      </c>
      <c r="T70" s="83">
        <f t="shared" si="34"/>
        <v>1500.623382293787</v>
      </c>
      <c r="U70" s="83">
        <f t="shared" si="34"/>
        <v>374.51889626204587</v>
      </c>
      <c r="V70" s="83">
        <f t="shared" si="34"/>
        <v>455.78303168432416</v>
      </c>
      <c r="W70" s="83">
        <f t="shared" si="34"/>
        <v>540.88463650201777</v>
      </c>
      <c r="X70" s="83">
        <f t="shared" si="34"/>
        <v>1118.4904130966647</v>
      </c>
      <c r="Y70" s="83">
        <f t="shared" si="34"/>
        <v>278.14279939094672</v>
      </c>
      <c r="Z70" s="83">
        <f t="shared" si="34"/>
        <v>315.84872053781964</v>
      </c>
      <c r="AA70" s="83">
        <f t="shared" si="34"/>
        <v>379.2917285889464</v>
      </c>
      <c r="AB70" s="83">
        <f t="shared" si="34"/>
        <v>743.06459060641214</v>
      </c>
      <c r="AC70" s="83">
        <f t="shared" si="34"/>
        <v>266.0260152469408</v>
      </c>
      <c r="AD70" s="83">
        <f t="shared" si="34"/>
        <v>304.43895636613325</v>
      </c>
      <c r="AE70" s="83">
        <f t="shared" si="34"/>
        <v>449.68502940857593</v>
      </c>
      <c r="AF70" s="83">
        <f t="shared" si="34"/>
        <v>709.08984025564689</v>
      </c>
      <c r="AG70" s="83">
        <f t="shared" si="34"/>
        <v>299.90014118807056</v>
      </c>
      <c r="AH70" s="83">
        <f t="shared" si="34"/>
        <v>343.85814762484756</v>
      </c>
      <c r="AI70" s="83">
        <f t="shared" si="34"/>
        <v>533.93759506810056</v>
      </c>
      <c r="AJ70" s="83">
        <f t="shared" si="34"/>
        <v>787.28626963872648</v>
      </c>
      <c r="AK70" s="83">
        <f t="shared" si="34"/>
        <v>262.53647203852961</v>
      </c>
      <c r="AL70" s="83">
        <f t="shared" si="34"/>
        <v>311.9069982911617</v>
      </c>
      <c r="AM70" s="83">
        <f t="shared" si="34"/>
        <v>459.61599730035653</v>
      </c>
      <c r="AN70" s="83">
        <f t="shared" si="34"/>
        <v>642.34618580489678</v>
      </c>
      <c r="AO70" s="83">
        <f t="shared" si="34"/>
        <v>195.85306488029184</v>
      </c>
      <c r="AP70" s="83">
        <f t="shared" si="34"/>
        <v>216.10392370616191</v>
      </c>
      <c r="AQ70" s="83">
        <f t="shared" si="34"/>
        <v>339.44190462432721</v>
      </c>
      <c r="AR70" s="83">
        <f t="shared" si="34"/>
        <v>486.24977753673687</v>
      </c>
      <c r="AS70" s="83">
        <f t="shared" si="34"/>
        <v>179.03746103733468</v>
      </c>
      <c r="AT70" s="83">
        <f t="shared" si="34"/>
        <v>207.12976165268708</v>
      </c>
      <c r="AU70" s="83">
        <f t="shared" si="34"/>
        <v>335.17653411761802</v>
      </c>
      <c r="AV70" s="83">
        <f t="shared" si="34"/>
        <v>438.52825013500529</v>
      </c>
      <c r="AW70" s="83">
        <f t="shared" si="34"/>
        <v>154.80726826897589</v>
      </c>
      <c r="AX70" s="83">
        <f t="shared" si="34"/>
        <v>184.78014249864992</v>
      </c>
      <c r="AY70" s="83">
        <f t="shared" si="34"/>
        <v>270.3804049113474</v>
      </c>
      <c r="AZ70" s="83">
        <f t="shared" si="34"/>
        <v>483.51504790487127</v>
      </c>
      <c r="BA70" s="83">
        <f t="shared" si="34"/>
        <v>160.63264638493035</v>
      </c>
      <c r="BB70" s="83">
        <f t="shared" si="34"/>
        <v>202.9703769187762</v>
      </c>
      <c r="BC70" s="83">
        <f t="shared" si="34"/>
        <v>254.82961393538795</v>
      </c>
      <c r="BD70" s="83">
        <f t="shared" si="34"/>
        <v>392.73024553822512</v>
      </c>
      <c r="BE70" s="83">
        <f t="shared" si="34"/>
        <v>139.91103920906104</v>
      </c>
      <c r="BF70" s="83">
        <f t="shared" si="34"/>
        <v>175.18090797071767</v>
      </c>
      <c r="BG70" s="83">
        <f t="shared" si="34"/>
        <v>212.7241106233983</v>
      </c>
      <c r="BH70" s="83">
        <f t="shared" si="34"/>
        <v>277.38789525100304</v>
      </c>
      <c r="BI70" s="83">
        <f t="shared" si="34"/>
        <v>107.40165423402507</v>
      </c>
      <c r="BJ70" s="83">
        <f t="shared" si="34"/>
        <v>178.12939801204058</v>
      </c>
      <c r="BK70" s="83">
        <f t="shared" si="34"/>
        <v>175.46923216547123</v>
      </c>
      <c r="BL70" s="83">
        <f t="shared" si="34"/>
        <v>272.976743241186</v>
      </c>
      <c r="BM70" s="83">
        <f t="shared" si="34"/>
        <v>129.29276653325635</v>
      </c>
      <c r="BN70" s="83">
        <f t="shared" si="34"/>
        <v>111.14204520867084</v>
      </c>
      <c r="BO70" s="83">
        <f t="shared" si="34"/>
        <v>172.65161115242611</v>
      </c>
      <c r="BP70" s="83">
        <f t="shared" si="34"/>
        <v>212.5568002929239</v>
      </c>
      <c r="BQ70" s="83">
        <f t="shared" si="34"/>
        <v>157.4398705264843</v>
      </c>
      <c r="BR70" s="83" t="e">
        <f t="shared" ref="BR70:CJ70" si="35">BR62/BR69</f>
        <v>#DIV/0!</v>
      </c>
      <c r="BS70" s="83">
        <f t="shared" si="35"/>
        <v>177.33323772223429</v>
      </c>
      <c r="BT70" s="83">
        <f t="shared" si="35"/>
        <v>149.55706641198157</v>
      </c>
      <c r="BU70" s="83">
        <f t="shared" si="35"/>
        <v>144.13998740941608</v>
      </c>
      <c r="BV70" s="83">
        <f t="shared" si="35"/>
        <v>178.83869690857912</v>
      </c>
      <c r="BW70" s="83">
        <f t="shared" si="35"/>
        <v>143.56734173810804</v>
      </c>
      <c r="BX70" s="83">
        <f t="shared" si="35"/>
        <v>192.21978747186719</v>
      </c>
      <c r="BY70" s="83">
        <f t="shared" si="35"/>
        <v>125.25248505105857</v>
      </c>
      <c r="BZ70" s="83">
        <f t="shared" si="35"/>
        <v>169.32723294384556</v>
      </c>
      <c r="CA70" s="83">
        <f t="shared" si="35"/>
        <v>97.38002151679207</v>
      </c>
      <c r="CB70" s="83">
        <f t="shared" si="35"/>
        <v>173.45059587446477</v>
      </c>
      <c r="CC70" s="83">
        <f t="shared" si="35"/>
        <v>217.70681149728358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480</v>
      </c>
      <c r="E71" s="76">
        <f>资产资本表!E35+资产资本表!E36-资产资本表!E24</f>
        <v>3569525676.6599998</v>
      </c>
      <c r="F71" s="76">
        <f>资产资本表!F35+资产资本表!F36-资产资本表!F24</f>
        <v>3715193590.9700003</v>
      </c>
      <c r="G71" s="76">
        <f>资产资本表!G35+资产资本表!G36-资产资本表!G24</f>
        <v>3690526430.5</v>
      </c>
      <c r="H71" s="76">
        <f>资产资本表!H35+资产资本表!H36-资产资本表!H24</f>
        <v>3071118290.4700003</v>
      </c>
      <c r="I71" s="76">
        <f>资产资本表!I35+资产资本表!I36-资产资本表!I24</f>
        <v>2227112530.8199997</v>
      </c>
      <c r="J71" s="76">
        <f>资产资本表!J35+资产资本表!J36-资产资本表!J24</f>
        <v>1534407389.1700001</v>
      </c>
      <c r="K71" s="76">
        <f>资产资本表!K35+资产资本表!K36-资产资本表!K24</f>
        <v>1512030739.9299998</v>
      </c>
      <c r="L71" s="76">
        <f>资产资本表!L35+资产资本表!L36-资产资本表!L24</f>
        <v>1350699548.55</v>
      </c>
      <c r="M71" s="76">
        <f>资产资本表!M35+资产资本表!M36-资产资本表!M24</f>
        <v>932177540.76999998</v>
      </c>
      <c r="N71" s="76">
        <f>资产资本表!N35+资产资本表!N36-资产资本表!N24</f>
        <v>932679143.62999988</v>
      </c>
      <c r="O71" s="76">
        <f>资产资本表!O35+资产资本表!O36-资产资本表!O24</f>
        <v>985670414.45999992</v>
      </c>
      <c r="P71" s="76">
        <f>资产资本表!P35+资产资本表!P36-资产资本表!P24</f>
        <v>1054779895.12</v>
      </c>
      <c r="Q71" s="76">
        <f>资产资本表!Q35+资产资本表!Q36-资产资本表!Q24</f>
        <v>434336745.31</v>
      </c>
      <c r="R71" s="76">
        <f>资产资本表!R35+资产资本表!R36-资产资本表!R24</f>
        <v>384176364.38999987</v>
      </c>
      <c r="S71" s="76">
        <f>资产资本表!S35+资产资本表!S36-资产资本表!S24</f>
        <v>864491466.04999995</v>
      </c>
      <c r="T71" s="76">
        <f>资产资本表!T35+资产资本表!T36-资产资本表!T24</f>
        <v>835196564.86000001</v>
      </c>
      <c r="U71" s="76">
        <f>资产资本表!U35+资产资本表!U36-资产资本表!U24</f>
        <v>422914064.80999994</v>
      </c>
      <c r="V71" s="76">
        <f>资产资本表!V35+资产资本表!V36-资产资本表!V24</f>
        <v>642014002.53999996</v>
      </c>
      <c r="W71" s="76">
        <f>资产资本表!W35+资产资本表!W36-资产资本表!W24</f>
        <v>403337630.22000003</v>
      </c>
      <c r="X71" s="76">
        <f>资产资本表!X35+资产资本表!X36-资产资本表!X24</f>
        <v>633224169.02999997</v>
      </c>
      <c r="Y71" s="76">
        <f>资产资本表!Y35+资产资本表!Y36-资产资本表!Y24</f>
        <v>471811738.29999995</v>
      </c>
      <c r="Z71" s="76">
        <f>资产资本表!Z35+资产资本表!Z36-资产资本表!Z24</f>
        <v>61166095.699999988</v>
      </c>
      <c r="AA71" s="76">
        <f>资产资本表!AA35+资产资本表!AA36-资产资本表!AA24</f>
        <v>103488063.61999997</v>
      </c>
      <c r="AB71" s="76">
        <f>资产资本表!AB35+资产资本表!AB36-资产资本表!AB24</f>
        <v>29448.490000009537</v>
      </c>
      <c r="AC71" s="76">
        <f>资产资本表!AC35+资产资本表!AC36-资产资本表!AC24</f>
        <v>-19979746.209999979</v>
      </c>
      <c r="AD71" s="76">
        <f>资产资本表!AD35+资产资本表!AD36-资产资本表!AD24</f>
        <v>12498938.349999994</v>
      </c>
      <c r="AE71" s="76">
        <f>资产资本表!AE35+资产资本表!AE36-资产资本表!AE24</f>
        <v>491329.74000000954</v>
      </c>
      <c r="AF71" s="76">
        <f>资产资本表!AF35+资产资本表!AF36-资产资本表!AF24</f>
        <v>51110192.300000012</v>
      </c>
      <c r="AG71" s="76">
        <f>资产资本表!AG35+资产资本表!AG36-资产资本表!AG24</f>
        <v>-116489121.51999998</v>
      </c>
      <c r="AH71" s="76">
        <f>资产资本表!AH35+资产资本表!AH36-资产资本表!AH24</f>
        <v>92803074.799999982</v>
      </c>
      <c r="AI71" s="76">
        <f>资产资本表!AI35+资产资本表!AI36-资产资本表!AI24</f>
        <v>124676680.06</v>
      </c>
      <c r="AJ71" s="76">
        <f>资产资本表!AJ35+资产资本表!AJ36-资产资本表!AJ24</f>
        <v>57139633.889999986</v>
      </c>
      <c r="AK71" s="76">
        <f>资产资本表!AK35+资产资本表!AK36-资产资本表!AK24</f>
        <v>43387447.539999992</v>
      </c>
      <c r="AL71" s="76">
        <f>资产资本表!AL35+资产资本表!AL36-资产资本表!AL24</f>
        <v>270433715.87</v>
      </c>
      <c r="AM71" s="76">
        <f>资产资本表!AM35+资产资本表!AM36-资产资本表!AM24</f>
        <v>384396334.88999999</v>
      </c>
      <c r="AN71" s="76">
        <f>资产资本表!AN35+资产资本表!AN36-资产资本表!AN24</f>
        <v>201354043.31999999</v>
      </c>
      <c r="AO71" s="76">
        <f>资产资本表!AO35+资产资本表!AO36-资产资本表!AO24</f>
        <v>-7383001.2800000012</v>
      </c>
      <c r="AP71" s="76">
        <f>资产资本表!AP35+资产资本表!AP36-资产资本表!AP24</f>
        <v>252088999.91999999</v>
      </c>
      <c r="AQ71" s="76">
        <f>资产资本表!AQ35+资产资本表!AQ36-资产资本表!AQ24</f>
        <v>35994773.629999995</v>
      </c>
      <c r="AR71" s="76">
        <f>资产资本表!AR35+资产资本表!AR36-资产资本表!AR24</f>
        <v>31902180.780000001</v>
      </c>
      <c r="AS71" s="76">
        <f>资产资本表!AS35+资产资本表!AS36-资产资本表!AS24</f>
        <v>22684873.93</v>
      </c>
      <c r="AT71" s="76">
        <f>资产资本表!AT35+资产资本表!AT36-资产资本表!AT24</f>
        <v>23668255.16</v>
      </c>
      <c r="AU71" s="76">
        <f>资产资本表!AU35+资产资本表!AU36-资产资本表!AU24</f>
        <v>23576996.66</v>
      </c>
      <c r="AV71" s="76">
        <f>资产资本表!AV35+资产资本表!AV36-资产资本表!AV24</f>
        <v>172587441.78999999</v>
      </c>
      <c r="AW71" s="76">
        <f>资产资本表!AW35+资产资本表!AW36-资产资本表!AW24</f>
        <v>33458659.009999998</v>
      </c>
      <c r="AX71" s="76">
        <f>资产资本表!AX35+资产资本表!AX36-资产资本表!AX24</f>
        <v>98693351.569999993</v>
      </c>
      <c r="AY71" s="76">
        <f>资产资本表!AY35+资产资本表!AY36-资产资本表!AY24</f>
        <v>78313499.649999991</v>
      </c>
      <c r="AZ71" s="76">
        <f>资产资本表!AZ35+资产资本表!AZ36-资产资本表!AZ24</f>
        <v>-26289274.979999997</v>
      </c>
      <c r="BA71" s="76">
        <f>资产资本表!BA35+资产资本表!BA36-资产资本表!BA24</f>
        <v>-16420490.869999997</v>
      </c>
      <c r="BB71" s="76">
        <f>资产资本表!BB35+资产资本表!BB36-资产资本表!BB24</f>
        <v>13140970.780000001</v>
      </c>
      <c r="BC71" s="76">
        <f>资产资本表!BC35+资产资本表!BC36-资产资本表!BC24</f>
        <v>194495208.38</v>
      </c>
      <c r="BD71" s="76">
        <f>资产资本表!BD35+资产资本表!BD36-资产资本表!BD24</f>
        <v>34433818.579999998</v>
      </c>
      <c r="BE71" s="76">
        <f>资产资本表!BE35+资产资本表!BE36-资产资本表!BE24</f>
        <v>28999416.379999999</v>
      </c>
      <c r="BF71" s="76">
        <f>资产资本表!BF35+资产资本表!BF36-资产资本表!BF24</f>
        <v>377696307.31999999</v>
      </c>
      <c r="BG71" s="76">
        <f>资产资本表!BG35+资产资本表!BG36-资产资本表!BG24</f>
        <v>448145009.87</v>
      </c>
      <c r="BH71" s="76">
        <f>资产资本表!BH35+资产资本表!BH36-资产资本表!BH24</f>
        <v>583995376.13999999</v>
      </c>
      <c r="BI71" s="76">
        <f>资产资本表!BI35+资产资本表!BI36-资产资本表!BI24</f>
        <v>49405958.939999998</v>
      </c>
      <c r="BJ71" s="76">
        <f>资产资本表!BJ35+资产资本表!BJ36-资产资本表!BJ24</f>
        <v>209241867.23999998</v>
      </c>
      <c r="BK71" s="76">
        <f>资产资本表!BK35+资产资本表!BK36-资产资本表!BK24</f>
        <v>159492788.28</v>
      </c>
      <c r="BL71" s="76">
        <f>资产资本表!BL35+资产资本表!BL36-资产资本表!BL24</f>
        <v>300387525.33999997</v>
      </c>
      <c r="BM71" s="76">
        <f>资产资本表!BM35+资产资本表!BM36-资产资本表!BM24</f>
        <v>227399486.89999998</v>
      </c>
      <c r="BN71" s="76">
        <f>资产资本表!BN35+资产资本表!BN36-资产资本表!BN24</f>
        <v>224316179.80000001</v>
      </c>
      <c r="BO71" s="76">
        <f>资产资本表!BO35+资产资本表!BO36-资产资本表!BO24</f>
        <v>221638732.07999998</v>
      </c>
      <c r="BP71" s="76">
        <f>资产资本表!BP35+资产资本表!BP36-资产资本表!BP24</f>
        <v>234832566.71000001</v>
      </c>
      <c r="BQ71" s="76">
        <f>资产资本表!BQ35+资产资本表!BQ36-资产资本表!BQ24</f>
        <v>237059382.42999998</v>
      </c>
      <c r="BR71" s="76">
        <f>资产资本表!BR35+资产资本表!BR36-资产资本表!BR24</f>
        <v>0</v>
      </c>
      <c r="BS71" s="76">
        <f>资产资本表!BS35+资产资本表!BS36-资产资本表!BS24</f>
        <v>58514982.240000002</v>
      </c>
      <c r="BT71" s="76">
        <f>资产资本表!BT35+资产资本表!BT36-资产资本表!BT24</f>
        <v>-393016394.17000002</v>
      </c>
      <c r="BU71" s="76">
        <f>资产资本表!BU35+资产资本表!BU36-资产资本表!BU24</f>
        <v>-99825264.459999993</v>
      </c>
      <c r="BV71" s="76">
        <f>资产资本表!BV35+资产资本表!BV36-资产资本表!BV24</f>
        <v>-331777044.98999995</v>
      </c>
      <c r="BW71" s="76">
        <f>资产资本表!BW35+资产资本表!BW36-资产资本表!BW24</f>
        <v>-506661258.42999995</v>
      </c>
      <c r="BX71" s="76">
        <f>资产资本表!BX35+资产资本表!BX36-资产资本表!BX24</f>
        <v>-48028409.289999999</v>
      </c>
      <c r="BY71" s="76">
        <f>资产资本表!BY35+资产资本表!BY36-资产资本表!BY24</f>
        <v>-47536297.579999998</v>
      </c>
      <c r="BZ71" s="76">
        <f>资产资本表!BZ35+资产资本表!BZ36-资产资本表!BZ24</f>
        <v>-136734072.66</v>
      </c>
      <c r="CA71" s="76">
        <f>资产资本表!CA35+资产资本表!CA36-资产资本表!CA24</f>
        <v>-43776081.100000001</v>
      </c>
      <c r="CB71" s="76">
        <f>资产资本表!CB35+资产资本表!CB36-资产资本表!CB24</f>
        <v>5916398.3700000001</v>
      </c>
      <c r="CC71" s="76">
        <f>资产资本表!CC35+资产资本表!CC36-资产资本表!CC24</f>
        <v>-4550685.1399999987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481</v>
      </c>
      <c r="E72" s="154">
        <f>E67/(E71+I71)*2</f>
        <v>2.9155130849656898</v>
      </c>
      <c r="F72" s="154">
        <f t="shared" ref="F72:BQ72" si="36">F67/(F71+J71)*2</f>
        <v>2.4192721342225334</v>
      </c>
      <c r="G72" s="154">
        <f t="shared" si="36"/>
        <v>1.7024432373643572</v>
      </c>
      <c r="H72" s="154">
        <f t="shared" si="36"/>
        <v>1.3539016758652416</v>
      </c>
      <c r="I72" s="154">
        <f t="shared" si="36"/>
        <v>4.6303139544884537</v>
      </c>
      <c r="J72" s="154">
        <f t="shared" si="36"/>
        <v>4.286164726803781</v>
      </c>
      <c r="K72" s="154">
        <f t="shared" si="36"/>
        <v>3.1838503112283458</v>
      </c>
      <c r="L72" s="154">
        <f t="shared" si="36"/>
        <v>2.2129767165328067</v>
      </c>
      <c r="M72" s="154">
        <f t="shared" si="36"/>
        <v>9.7649374582234003</v>
      </c>
      <c r="N72" s="154">
        <f t="shared" si="36"/>
        <v>7.0716920320301133</v>
      </c>
      <c r="O72" s="154">
        <f t="shared" si="36"/>
        <v>3.649748540813428</v>
      </c>
      <c r="P72" s="154">
        <f t="shared" si="36"/>
        <v>2.1755019467827181</v>
      </c>
      <c r="Q72" s="154">
        <f t="shared" si="36"/>
        <v>13.466372585222796</v>
      </c>
      <c r="R72" s="154">
        <f t="shared" si="36"/>
        <v>7.3824910216261808</v>
      </c>
      <c r="S72" s="154">
        <f t="shared" si="36"/>
        <v>4.507308496194212</v>
      </c>
      <c r="T72" s="154">
        <f t="shared" si="36"/>
        <v>2.2909029001847365</v>
      </c>
      <c r="U72" s="154">
        <f t="shared" si="36"/>
        <v>14.776394799977171</v>
      </c>
      <c r="V72" s="154">
        <f t="shared" si="36"/>
        <v>15.186581549745767</v>
      </c>
      <c r="W72" s="154">
        <f t="shared" si="36"/>
        <v>17.271015544652638</v>
      </c>
      <c r="X72" s="154">
        <f t="shared" si="36"/>
        <v>6.4210120293731752</v>
      </c>
      <c r="Y72" s="154">
        <f t="shared" si="36"/>
        <v>35.480995507964636</v>
      </c>
      <c r="Z72" s="154">
        <f t="shared" si="36"/>
        <v>175.8125980911021</v>
      </c>
      <c r="AA72" s="154">
        <f t="shared" si="36"/>
        <v>101.02550518534782</v>
      </c>
      <c r="AB72" s="154">
        <f t="shared" si="36"/>
        <v>98.536419243002612</v>
      </c>
      <c r="AC72" s="154">
        <f t="shared" si="36"/>
        <v>-101.0547153182569</v>
      </c>
      <c r="AD72" s="154">
        <f t="shared" si="36"/>
        <v>101.02013239031795</v>
      </c>
      <c r="AE72" s="154">
        <f t="shared" si="36"/>
        <v>57.352624278763592</v>
      </c>
      <c r="AF72" s="154">
        <f t="shared" si="36"/>
        <v>39.503202900616131</v>
      </c>
      <c r="AG72" s="154">
        <f t="shared" si="36"/>
        <v>-133.05275641596191</v>
      </c>
      <c r="AH72" s="154">
        <f t="shared" si="36"/>
        <v>21.264433418247172</v>
      </c>
      <c r="AI72" s="154">
        <f t="shared" si="36"/>
        <v>9.7075568103828456</v>
      </c>
      <c r="AJ72" s="154">
        <f t="shared" si="36"/>
        <v>10.476453557121031</v>
      </c>
      <c r="AK72" s="154">
        <f t="shared" si="36"/>
        <v>214.45462343405589</v>
      </c>
      <c r="AL72" s="154">
        <f t="shared" si="36"/>
        <v>11.601072795840373</v>
      </c>
      <c r="AM72" s="154">
        <f t="shared" si="36"/>
        <v>9.6557330335327141</v>
      </c>
      <c r="AN72" s="154">
        <f t="shared" si="36"/>
        <v>9.3198220784368786</v>
      </c>
      <c r="AO72" s="154">
        <f t="shared" si="36"/>
        <v>472.89282220630696</v>
      </c>
      <c r="AP72" s="154">
        <f t="shared" si="36"/>
        <v>21.71980981208424</v>
      </c>
      <c r="AQ72" s="154">
        <f t="shared" si="36"/>
        <v>64.122020295260896</v>
      </c>
      <c r="AR72" s="154">
        <f t="shared" si="36"/>
        <v>11.842781491031436</v>
      </c>
      <c r="AS72" s="154">
        <f t="shared" si="36"/>
        <v>120.33370171449707</v>
      </c>
      <c r="AT72" s="154">
        <f t="shared" si="36"/>
        <v>43.999368750688518</v>
      </c>
      <c r="AU72" s="154">
        <f t="shared" si="36"/>
        <v>33.88084417389566</v>
      </c>
      <c r="AV72" s="154">
        <f t="shared" si="36"/>
        <v>17.229959430959187</v>
      </c>
      <c r="AW72" s="154">
        <f t="shared" si="36"/>
        <v>409.26161171455607</v>
      </c>
      <c r="AX72" s="154">
        <f t="shared" si="36"/>
        <v>49.417297759841084</v>
      </c>
      <c r="AY72" s="154">
        <f t="shared" si="36"/>
        <v>13.96534688673149</v>
      </c>
      <c r="AZ72" s="154">
        <f t="shared" si="36"/>
        <v>277.20487899162322</v>
      </c>
      <c r="BA72" s="154">
        <f t="shared" si="36"/>
        <v>510.30554553939794</v>
      </c>
      <c r="BB72" s="154">
        <f t="shared" si="36"/>
        <v>12.457633500953397</v>
      </c>
      <c r="BC72" s="154">
        <f t="shared" si="36"/>
        <v>5.7283747691432323</v>
      </c>
      <c r="BD72" s="154">
        <f t="shared" si="36"/>
        <v>3.8499222339559473</v>
      </c>
      <c r="BE72" s="154">
        <f t="shared" si="36"/>
        <v>82.11959454567662</v>
      </c>
      <c r="BF72" s="154">
        <f t="shared" si="36"/>
        <v>8.2186370005941445</v>
      </c>
      <c r="BG72" s="154">
        <f t="shared" si="36"/>
        <v>6.078059296614545</v>
      </c>
      <c r="BH72" s="154">
        <f t="shared" si="36"/>
        <v>3.0436343666023178</v>
      </c>
      <c r="BI72" s="154">
        <f t="shared" si="36"/>
        <v>25.183846511926706</v>
      </c>
      <c r="BJ72" s="154">
        <f t="shared" si="36"/>
        <v>11.657905592405449</v>
      </c>
      <c r="BK72" s="154">
        <f t="shared" si="36"/>
        <v>9.9991849778792723</v>
      </c>
      <c r="BL72" s="154">
        <f t="shared" si="36"/>
        <v>4.7202010486631556</v>
      </c>
      <c r="BM72" s="154">
        <f t="shared" si="36"/>
        <v>13.781819311393106</v>
      </c>
      <c r="BN72" s="154">
        <f t="shared" si="36"/>
        <v>21.754871802074081</v>
      </c>
      <c r="BO72" s="154">
        <f t="shared" si="36"/>
        <v>13.822236003399492</v>
      </c>
      <c r="BP72" s="154">
        <f t="shared" si="36"/>
        <v>-16.676367258005907</v>
      </c>
      <c r="BQ72" s="154">
        <f t="shared" si="36"/>
        <v>38.531640682355317</v>
      </c>
      <c r="BR72" s="154">
        <f t="shared" ref="BR72:CJ72" si="37">BR67/(BR71+BV71)*2</f>
        <v>0</v>
      </c>
      <c r="BS72" s="154">
        <f t="shared" si="37"/>
        <v>-7.0073197286338926</v>
      </c>
      <c r="BT72" s="154">
        <f t="shared" si="37"/>
        <v>-5.6145376143051671</v>
      </c>
      <c r="BU72" s="154">
        <f t="shared" si="37"/>
        <v>-26.204790327967672</v>
      </c>
      <c r="BV72" s="154">
        <f t="shared" si="37"/>
        <v>-4.923296830969023</v>
      </c>
      <c r="BW72" s="154">
        <f t="shared" si="37"/>
        <v>-5.7285823025967568</v>
      </c>
      <c r="BX72" s="154">
        <f t="shared" si="37"/>
        <v>-43.890337920723539</v>
      </c>
      <c r="BY72" s="154">
        <f t="shared" si="37"/>
        <v>-57.065565473015745</v>
      </c>
      <c r="BZ72" s="154">
        <f t="shared" si="37"/>
        <v>-8.726249955904736</v>
      </c>
      <c r="CA72" s="154">
        <f t="shared" si="37"/>
        <v>-52.19055678421612</v>
      </c>
      <c r="CB72" s="154">
        <f t="shared" si="37"/>
        <v>190.95743215141206</v>
      </c>
      <c r="CC72" s="154">
        <f t="shared" si="37"/>
        <v>-172.12113526272228</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482</v>
      </c>
      <c r="E73" s="83">
        <f>E62/E72</f>
        <v>125.19237244455563</v>
      </c>
      <c r="F73" s="83">
        <f t="shared" ref="F73:BQ73" si="38">F62/F72</f>
        <v>150.8718241477608</v>
      </c>
      <c r="G73" s="83">
        <f t="shared" si="38"/>
        <v>214.39775023869569</v>
      </c>
      <c r="H73" s="83">
        <f t="shared" si="38"/>
        <v>269.59121663450077</v>
      </c>
      <c r="I73" s="83">
        <f t="shared" si="38"/>
        <v>78.82834805319898</v>
      </c>
      <c r="J73" s="83">
        <f t="shared" si="38"/>
        <v>85.15771634194347</v>
      </c>
      <c r="K73" s="83">
        <f t="shared" si="38"/>
        <v>114.64106799015345</v>
      </c>
      <c r="L73" s="83">
        <f t="shared" si="38"/>
        <v>164.93621341478266</v>
      </c>
      <c r="M73" s="83">
        <f t="shared" si="38"/>
        <v>37.378631615568672</v>
      </c>
      <c r="N73" s="83">
        <f t="shared" si="38"/>
        <v>51.614238621646713</v>
      </c>
      <c r="O73" s="83">
        <f t="shared" si="38"/>
        <v>100.00688976743905</v>
      </c>
      <c r="P73" s="83">
        <f t="shared" si="38"/>
        <v>167.77737227024187</v>
      </c>
      <c r="Q73" s="83">
        <f t="shared" si="38"/>
        <v>27.104552297961032</v>
      </c>
      <c r="R73" s="83">
        <f t="shared" si="38"/>
        <v>49.441306319340363</v>
      </c>
      <c r="S73" s="83">
        <f t="shared" si="38"/>
        <v>80.97959132555296</v>
      </c>
      <c r="T73" s="83">
        <f t="shared" si="38"/>
        <v>159.32582737163006</v>
      </c>
      <c r="U73" s="83">
        <f t="shared" si="38"/>
        <v>24.70155981488556</v>
      </c>
      <c r="V73" s="83">
        <f t="shared" si="38"/>
        <v>24.034375267692177</v>
      </c>
      <c r="W73" s="83">
        <f t="shared" si="38"/>
        <v>21.13367329537315</v>
      </c>
      <c r="X73" s="83">
        <f t="shared" si="38"/>
        <v>56.844621740356963</v>
      </c>
      <c r="Y73" s="83">
        <f t="shared" si="38"/>
        <v>10.287197266437076</v>
      </c>
      <c r="Z73" s="83">
        <f t="shared" si="38"/>
        <v>2.0760742060751829</v>
      </c>
      <c r="AA73" s="83">
        <f t="shared" si="38"/>
        <v>3.6129490204512984</v>
      </c>
      <c r="AB73" s="83">
        <f t="shared" si="38"/>
        <v>3.70421416572756</v>
      </c>
      <c r="AC73" s="83">
        <f t="shared" si="38"/>
        <v>-3.611904687975088</v>
      </c>
      <c r="AD73" s="83">
        <f t="shared" si="38"/>
        <v>3.6131411765500974</v>
      </c>
      <c r="AE73" s="83">
        <f t="shared" si="38"/>
        <v>6.3641377284831835</v>
      </c>
      <c r="AF73" s="83">
        <f t="shared" si="38"/>
        <v>9.2397571133227547</v>
      </c>
      <c r="AG73" s="83">
        <f t="shared" si="38"/>
        <v>-2.7432727425721497</v>
      </c>
      <c r="AH73" s="83">
        <f t="shared" si="38"/>
        <v>17.164811910144323</v>
      </c>
      <c r="AI73" s="83">
        <f t="shared" si="38"/>
        <v>37.599573932918879</v>
      </c>
      <c r="AJ73" s="83">
        <f t="shared" si="38"/>
        <v>34.840034178541558</v>
      </c>
      <c r="AK73" s="83">
        <f t="shared" si="38"/>
        <v>1.7019917507734978</v>
      </c>
      <c r="AL73" s="83">
        <f t="shared" si="38"/>
        <v>31.462607503926076</v>
      </c>
      <c r="AM73" s="83">
        <f t="shared" si="38"/>
        <v>37.801376522364201</v>
      </c>
      <c r="AN73" s="83">
        <f t="shared" si="38"/>
        <v>39.163837778029539</v>
      </c>
      <c r="AO73" s="83">
        <f t="shared" si="38"/>
        <v>0.77184508383331518</v>
      </c>
      <c r="AP73" s="83">
        <f t="shared" si="38"/>
        <v>16.804935363518936</v>
      </c>
      <c r="AQ73" s="83">
        <f t="shared" si="38"/>
        <v>5.6922723008304255</v>
      </c>
      <c r="AR73" s="83">
        <f t="shared" si="38"/>
        <v>30.820462260189068</v>
      </c>
      <c r="AS73" s="83">
        <f t="shared" si="38"/>
        <v>3.03323171147844</v>
      </c>
      <c r="AT73" s="83">
        <f t="shared" si="38"/>
        <v>8.2955735585249357</v>
      </c>
      <c r="AU73" s="83">
        <f t="shared" si="38"/>
        <v>10.773049163905524</v>
      </c>
      <c r="AV73" s="83">
        <f t="shared" si="38"/>
        <v>21.184031306780653</v>
      </c>
      <c r="AW73" s="83">
        <f t="shared" si="38"/>
        <v>0.89185007719359033</v>
      </c>
      <c r="AX73" s="83">
        <f t="shared" si="38"/>
        <v>7.3860776802048633</v>
      </c>
      <c r="AY73" s="83">
        <f t="shared" si="38"/>
        <v>26.136121283660156</v>
      </c>
      <c r="AZ73" s="83">
        <f t="shared" si="38"/>
        <v>1.316715641253305</v>
      </c>
      <c r="BA73" s="83">
        <f t="shared" si="38"/>
        <v>0.71525775722110063</v>
      </c>
      <c r="BB73" s="83">
        <f t="shared" si="38"/>
        <v>29.299304717229489</v>
      </c>
      <c r="BC73" s="83">
        <f t="shared" si="38"/>
        <v>63.717898131618128</v>
      </c>
      <c r="BD73" s="83">
        <f t="shared" si="38"/>
        <v>94.807109811396913</v>
      </c>
      <c r="BE73" s="83">
        <f t="shared" si="38"/>
        <v>4.444736996320402</v>
      </c>
      <c r="BF73" s="83">
        <f t="shared" si="38"/>
        <v>44.411256997189838</v>
      </c>
      <c r="BG73" s="83">
        <f t="shared" si="38"/>
        <v>60.052063033228968</v>
      </c>
      <c r="BH73" s="83">
        <f t="shared" si="38"/>
        <v>119.92242038174193</v>
      </c>
      <c r="BI73" s="83">
        <f t="shared" si="38"/>
        <v>14.493417430381069</v>
      </c>
      <c r="BJ73" s="83">
        <f t="shared" si="38"/>
        <v>31.309225924575983</v>
      </c>
      <c r="BK73" s="83">
        <f t="shared" si="38"/>
        <v>36.502975073215701</v>
      </c>
      <c r="BL73" s="83">
        <f t="shared" si="38"/>
        <v>77.327214717554128</v>
      </c>
      <c r="BM73" s="83">
        <f t="shared" si="38"/>
        <v>26.484166694760184</v>
      </c>
      <c r="BN73" s="83">
        <f t="shared" si="38"/>
        <v>16.777851109432941</v>
      </c>
      <c r="BO73" s="83">
        <f t="shared" si="38"/>
        <v>26.40672608326399</v>
      </c>
      <c r="BP73" s="83">
        <f t="shared" si="38"/>
        <v>-21.88726083762473</v>
      </c>
      <c r="BQ73" s="83">
        <f t="shared" si="38"/>
        <v>9.4727344472290635</v>
      </c>
      <c r="BR73" s="83" t="e">
        <f t="shared" ref="BR73:CJ73" si="39">BR62/BR72</f>
        <v>#DIV/0!</v>
      </c>
      <c r="BS73" s="83">
        <f t="shared" si="39"/>
        <v>-52.088389589033113</v>
      </c>
      <c r="BT73" s="83">
        <f t="shared" si="39"/>
        <v>-65.009805806630254</v>
      </c>
      <c r="BU73" s="83">
        <f t="shared" si="39"/>
        <v>-13.928751019634959</v>
      </c>
      <c r="BV73" s="83">
        <f t="shared" si="39"/>
        <v>-74.137313375874442</v>
      </c>
      <c r="BW73" s="83">
        <f t="shared" si="39"/>
        <v>-63.71558977769179</v>
      </c>
      <c r="BX73" s="83">
        <f t="shared" si="39"/>
        <v>-8.3161811298713939</v>
      </c>
      <c r="BY73" s="83">
        <f t="shared" si="39"/>
        <v>-6.3961514614727752</v>
      </c>
      <c r="BZ73" s="83">
        <f t="shared" si="39"/>
        <v>-41.827818575494483</v>
      </c>
      <c r="CA73" s="83">
        <f t="shared" si="39"/>
        <v>-6.9936023390037141</v>
      </c>
      <c r="CB73" s="83">
        <f t="shared" si="39"/>
        <v>1.9114207595260699</v>
      </c>
      <c r="CC73" s="83">
        <f t="shared" si="39"/>
        <v>-2.1205995384754539</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483</v>
      </c>
      <c r="E74" s="255">
        <f>E66+E70</f>
        <v>488.6561471617369</v>
      </c>
      <c r="F74" s="255">
        <f t="shared" ref="F74:BQ74" si="40">F66+F70</f>
        <v>618.68838099600282</v>
      </c>
      <c r="G74" s="255">
        <f t="shared" si="40"/>
        <v>934.16108996308844</v>
      </c>
      <c r="H74" s="255">
        <f t="shared" si="40"/>
        <v>1412.8921367425282</v>
      </c>
      <c r="I74" s="255">
        <f t="shared" si="40"/>
        <v>523.67545706665146</v>
      </c>
      <c r="J74" s="255">
        <f t="shared" si="40"/>
        <v>694.47997021490767</v>
      </c>
      <c r="K74" s="255">
        <f t="shared" si="40"/>
        <v>1009.9514152706116</v>
      </c>
      <c r="L74" s="255">
        <f t="shared" si="40"/>
        <v>1520.3641297747326</v>
      </c>
      <c r="M74" s="255">
        <f t="shared" si="40"/>
        <v>572.33937868987164</v>
      </c>
      <c r="N74" s="255">
        <f t="shared" si="40"/>
        <v>766.57310852324792</v>
      </c>
      <c r="O74" s="255">
        <f t="shared" si="40"/>
        <v>1096.8285914729959</v>
      </c>
      <c r="P74" s="255">
        <f t="shared" si="40"/>
        <v>1760.4231704806989</v>
      </c>
      <c r="Q74" s="255">
        <f t="shared" si="40"/>
        <v>556.15058536276342</v>
      </c>
      <c r="R74" s="255">
        <f t="shared" si="40"/>
        <v>808.39101360781069</v>
      </c>
      <c r="S74" s="255">
        <f t="shared" si="40"/>
        <v>1046.3859998917933</v>
      </c>
      <c r="T74" s="255">
        <f t="shared" si="40"/>
        <v>1686.4129161464834</v>
      </c>
      <c r="U74" s="255">
        <f t="shared" si="40"/>
        <v>367.75619218842962</v>
      </c>
      <c r="V74" s="255">
        <f t="shared" si="40"/>
        <v>438.85632185476908</v>
      </c>
      <c r="W74" s="255">
        <f t="shared" si="40"/>
        <v>494.01029937664526</v>
      </c>
      <c r="X74" s="255">
        <f t="shared" si="40"/>
        <v>988.79179707478056</v>
      </c>
      <c r="Y74" s="255">
        <f t="shared" si="40"/>
        <v>205.51406996611635</v>
      </c>
      <c r="Z74" s="255">
        <f t="shared" si="40"/>
        <v>222.25060010386051</v>
      </c>
      <c r="AA74" s="255">
        <f t="shared" si="40"/>
        <v>239.8230756090893</v>
      </c>
      <c r="AB74" s="255">
        <f t="shared" si="40"/>
        <v>513.96267660114654</v>
      </c>
      <c r="AC74" s="255">
        <f t="shared" si="40"/>
        <v>159.57320333517043</v>
      </c>
      <c r="AD74" s="255">
        <f t="shared" si="40"/>
        <v>189.17711432620425</v>
      </c>
      <c r="AE74" s="255">
        <f t="shared" si="40"/>
        <v>270.45860824105216</v>
      </c>
      <c r="AF74" s="255">
        <f t="shared" si="40"/>
        <v>461.95912228842144</v>
      </c>
      <c r="AG74" s="255">
        <f t="shared" si="40"/>
        <v>214.54023955552248</v>
      </c>
      <c r="AH74" s="255">
        <f t="shared" si="40"/>
        <v>255.57300700008449</v>
      </c>
      <c r="AI74" s="255">
        <f t="shared" si="40"/>
        <v>449.59145744018332</v>
      </c>
      <c r="AJ74" s="255">
        <f t="shared" si="40"/>
        <v>653.4229127416138</v>
      </c>
      <c r="AK74" s="255">
        <f t="shared" si="40"/>
        <v>215.35244261149785</v>
      </c>
      <c r="AL74" s="255">
        <f t="shared" si="40"/>
        <v>271.54815428403811</v>
      </c>
      <c r="AM74" s="255">
        <f t="shared" si="40"/>
        <v>473.04983414958548</v>
      </c>
      <c r="AN74" s="255">
        <f t="shared" si="40"/>
        <v>651.65317427994364</v>
      </c>
      <c r="AO74" s="255">
        <f t="shared" si="40"/>
        <v>181.43233324861319</v>
      </c>
      <c r="AP74" s="255">
        <f t="shared" si="40"/>
        <v>214.53311524397819</v>
      </c>
      <c r="AQ74" s="255">
        <f t="shared" si="40"/>
        <v>342.25896476408309</v>
      </c>
      <c r="AR74" s="255">
        <f t="shared" si="40"/>
        <v>519.70660881862045</v>
      </c>
      <c r="AS74" s="255">
        <f t="shared" si="40"/>
        <v>182.75184994014649</v>
      </c>
      <c r="AT74" s="255">
        <f t="shared" si="40"/>
        <v>218.69291135710336</v>
      </c>
      <c r="AU74" s="255">
        <f t="shared" si="40"/>
        <v>348.00509004960685</v>
      </c>
      <c r="AV74" s="255">
        <f t="shared" si="40"/>
        <v>495.2779802750926</v>
      </c>
      <c r="AW74" s="255">
        <f t="shared" si="40"/>
        <v>169.75191061046502</v>
      </c>
      <c r="AX74" s="255">
        <f t="shared" si="40"/>
        <v>222.29579820895827</v>
      </c>
      <c r="AY74" s="255">
        <f t="shared" si="40"/>
        <v>315.17371920537289</v>
      </c>
      <c r="AZ74" s="255">
        <f t="shared" si="40"/>
        <v>543.56466552580537</v>
      </c>
      <c r="BA74" s="255">
        <f t="shared" si="40"/>
        <v>171.90589849844559</v>
      </c>
      <c r="BB74" s="255">
        <f t="shared" si="40"/>
        <v>240.99737396051137</v>
      </c>
      <c r="BC74" s="255">
        <f t="shared" si="40"/>
        <v>313.19269503240736</v>
      </c>
      <c r="BD74" s="255">
        <f t="shared" si="40"/>
        <v>440.8641109557812</v>
      </c>
      <c r="BE74" s="255">
        <f t="shared" si="40"/>
        <v>136.27026130640041</v>
      </c>
      <c r="BF74" s="255">
        <f t="shared" si="40"/>
        <v>183.8074525359543</v>
      </c>
      <c r="BG74" s="255">
        <f t="shared" si="40"/>
        <v>241.15884234913139</v>
      </c>
      <c r="BH74" s="255">
        <f t="shared" si="40"/>
        <v>309.37905069927308</v>
      </c>
      <c r="BI74" s="255">
        <f t="shared" si="40"/>
        <v>94.358358521753502</v>
      </c>
      <c r="BJ74" s="255">
        <f t="shared" si="40"/>
        <v>173.91966922045674</v>
      </c>
      <c r="BK74" s="255">
        <f t="shared" si="40"/>
        <v>187.19629390455793</v>
      </c>
      <c r="BL74" s="255">
        <f t="shared" si="40"/>
        <v>304.83726742151049</v>
      </c>
      <c r="BM74" s="255">
        <f t="shared" si="40"/>
        <v>97.519397224198627</v>
      </c>
      <c r="BN74" s="255">
        <f t="shared" si="40"/>
        <v>109.21488535190271</v>
      </c>
      <c r="BO74" s="255">
        <f t="shared" si="40"/>
        <v>172.12896016680122</v>
      </c>
      <c r="BP74" s="255">
        <f t="shared" si="40"/>
        <v>219.56953467032091</v>
      </c>
      <c r="BQ74" s="255">
        <f t="shared" si="40"/>
        <v>96.582429473007366</v>
      </c>
      <c r="BR74" s="255" t="e">
        <f t="shared" ref="BR74:CK74" si="41">BR66+BR70</f>
        <v>#DIV/0!</v>
      </c>
      <c r="BS74" s="255">
        <f t="shared" si="41"/>
        <v>141.50085676552956</v>
      </c>
      <c r="BT74" s="255">
        <f t="shared" si="41"/>
        <v>151.6687687969798</v>
      </c>
      <c r="BU74" s="255">
        <f t="shared" si="41"/>
        <v>103.18249813421721</v>
      </c>
      <c r="BV74" s="255">
        <f t="shared" si="41"/>
        <v>160.36907255976263</v>
      </c>
      <c r="BW74" s="255">
        <f t="shared" si="41"/>
        <v>103.13959473618343</v>
      </c>
      <c r="BX74" s="255">
        <f t="shared" si="41"/>
        <v>175.74646754217221</v>
      </c>
      <c r="BY74" s="255">
        <f t="shared" si="41"/>
        <v>108.58469144299977</v>
      </c>
      <c r="BZ74" s="255">
        <f t="shared" si="41"/>
        <v>116.77987792314244</v>
      </c>
      <c r="CA74" s="255">
        <f t="shared" si="41"/>
        <v>75.349974634823241</v>
      </c>
      <c r="CB74" s="255">
        <f t="shared" si="41"/>
        <v>143.32524614544764</v>
      </c>
      <c r="CC74" s="255">
        <f t="shared" si="41"/>
        <v>185.20781404775397</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484</v>
      </c>
      <c r="E75" s="255">
        <f>E74-E73</f>
        <v>363.46377471718125</v>
      </c>
      <c r="F75" s="255">
        <f t="shared" ref="F75:BQ75" si="42">F74-F73</f>
        <v>467.81655684824204</v>
      </c>
      <c r="G75" s="255">
        <f t="shared" si="42"/>
        <v>719.76333972439272</v>
      </c>
      <c r="H75" s="255">
        <f t="shared" si="42"/>
        <v>1143.3009201080274</v>
      </c>
      <c r="I75" s="255">
        <f t="shared" si="42"/>
        <v>444.8471090134525</v>
      </c>
      <c r="J75" s="255">
        <f t="shared" si="42"/>
        <v>609.32225387296421</v>
      </c>
      <c r="K75" s="255">
        <f t="shared" si="42"/>
        <v>895.31034728045813</v>
      </c>
      <c r="L75" s="255">
        <f t="shared" si="42"/>
        <v>1355.4279163599499</v>
      </c>
      <c r="M75" s="255">
        <f t="shared" si="42"/>
        <v>534.96074707430296</v>
      </c>
      <c r="N75" s="255">
        <f t="shared" si="42"/>
        <v>714.95886990160125</v>
      </c>
      <c r="O75" s="255">
        <f t="shared" si="42"/>
        <v>996.82170170555685</v>
      </c>
      <c r="P75" s="255">
        <f t="shared" si="42"/>
        <v>1592.6457982104571</v>
      </c>
      <c r="Q75" s="255">
        <f t="shared" si="42"/>
        <v>529.04603306480237</v>
      </c>
      <c r="R75" s="255">
        <f t="shared" si="42"/>
        <v>758.94970728847034</v>
      </c>
      <c r="S75" s="255">
        <f t="shared" si="42"/>
        <v>965.40640856624032</v>
      </c>
      <c r="T75" s="255">
        <f t="shared" si="42"/>
        <v>1527.0870887748533</v>
      </c>
      <c r="U75" s="255">
        <f t="shared" si="42"/>
        <v>343.05463237354405</v>
      </c>
      <c r="V75" s="255">
        <f t="shared" si="42"/>
        <v>414.82194658707692</v>
      </c>
      <c r="W75" s="255">
        <f t="shared" si="42"/>
        <v>472.87662608127209</v>
      </c>
      <c r="X75" s="255">
        <f t="shared" si="42"/>
        <v>931.9471753344236</v>
      </c>
      <c r="Y75" s="255">
        <f t="shared" si="42"/>
        <v>195.22687269967929</v>
      </c>
      <c r="Z75" s="255">
        <f t="shared" si="42"/>
        <v>220.17452589778532</v>
      </c>
      <c r="AA75" s="255">
        <f t="shared" si="42"/>
        <v>236.21012658863799</v>
      </c>
      <c r="AB75" s="255">
        <f t="shared" si="42"/>
        <v>510.25846243541901</v>
      </c>
      <c r="AC75" s="255">
        <f t="shared" si="42"/>
        <v>163.18510802314552</v>
      </c>
      <c r="AD75" s="255">
        <f t="shared" si="42"/>
        <v>185.56397314965415</v>
      </c>
      <c r="AE75" s="255">
        <f t="shared" si="42"/>
        <v>264.09447051256899</v>
      </c>
      <c r="AF75" s="255">
        <f t="shared" si="42"/>
        <v>452.71936517509869</v>
      </c>
      <c r="AG75" s="255">
        <f t="shared" si="42"/>
        <v>217.28351229809462</v>
      </c>
      <c r="AH75" s="255">
        <f t="shared" si="42"/>
        <v>238.40819508994016</v>
      </c>
      <c r="AI75" s="255">
        <f t="shared" si="42"/>
        <v>411.99188350726445</v>
      </c>
      <c r="AJ75" s="255">
        <f t="shared" si="42"/>
        <v>618.5828785630722</v>
      </c>
      <c r="AK75" s="255">
        <f t="shared" si="42"/>
        <v>213.65045086072436</v>
      </c>
      <c r="AL75" s="255">
        <f t="shared" si="42"/>
        <v>240.08554678011203</v>
      </c>
      <c r="AM75" s="255">
        <f t="shared" si="42"/>
        <v>435.24845762722128</v>
      </c>
      <c r="AN75" s="255">
        <f t="shared" si="42"/>
        <v>612.48933650191407</v>
      </c>
      <c r="AO75" s="255">
        <f t="shared" si="42"/>
        <v>180.66048816477988</v>
      </c>
      <c r="AP75" s="255">
        <f t="shared" si="42"/>
        <v>197.72817988045927</v>
      </c>
      <c r="AQ75" s="255">
        <f t="shared" si="42"/>
        <v>336.56669246325265</v>
      </c>
      <c r="AR75" s="255">
        <f t="shared" si="42"/>
        <v>488.88614655843139</v>
      </c>
      <c r="AS75" s="255">
        <f t="shared" si="42"/>
        <v>179.71861822866805</v>
      </c>
      <c r="AT75" s="255">
        <f t="shared" si="42"/>
        <v>210.39733779857841</v>
      </c>
      <c r="AU75" s="255">
        <f t="shared" si="42"/>
        <v>337.23204088570134</v>
      </c>
      <c r="AV75" s="255">
        <f t="shared" si="42"/>
        <v>474.09394896831196</v>
      </c>
      <c r="AW75" s="255">
        <f t="shared" si="42"/>
        <v>168.86006053327142</v>
      </c>
      <c r="AX75" s="255">
        <f t="shared" si="42"/>
        <v>214.90972052875341</v>
      </c>
      <c r="AY75" s="255">
        <f t="shared" si="42"/>
        <v>289.03759792171275</v>
      </c>
      <c r="AZ75" s="255">
        <f t="shared" si="42"/>
        <v>542.2479498845521</v>
      </c>
      <c r="BA75" s="255">
        <f t="shared" si="42"/>
        <v>171.19064074122448</v>
      </c>
      <c r="BB75" s="255">
        <f t="shared" si="42"/>
        <v>211.69806924328188</v>
      </c>
      <c r="BC75" s="255">
        <f t="shared" si="42"/>
        <v>249.47479690078922</v>
      </c>
      <c r="BD75" s="255">
        <f t="shared" si="42"/>
        <v>346.05700114438429</v>
      </c>
      <c r="BE75" s="255">
        <f t="shared" si="42"/>
        <v>131.82552431008</v>
      </c>
      <c r="BF75" s="255">
        <f t="shared" si="42"/>
        <v>139.39619553876446</v>
      </c>
      <c r="BG75" s="255">
        <f t="shared" si="42"/>
        <v>181.10677931590243</v>
      </c>
      <c r="BH75" s="255">
        <f t="shared" si="42"/>
        <v>189.45663031753116</v>
      </c>
      <c r="BI75" s="255">
        <f t="shared" si="42"/>
        <v>79.86494109137243</v>
      </c>
      <c r="BJ75" s="255">
        <f t="shared" si="42"/>
        <v>142.61044329588077</v>
      </c>
      <c r="BK75" s="255">
        <f t="shared" si="42"/>
        <v>150.69331883134222</v>
      </c>
      <c r="BL75" s="255">
        <f t="shared" si="42"/>
        <v>227.51005270395638</v>
      </c>
      <c r="BM75" s="255">
        <f t="shared" si="42"/>
        <v>71.035230529438451</v>
      </c>
      <c r="BN75" s="255">
        <f t="shared" si="42"/>
        <v>92.437034242469764</v>
      </c>
      <c r="BO75" s="255">
        <f t="shared" si="42"/>
        <v>145.72223408353722</v>
      </c>
      <c r="BP75" s="255">
        <f t="shared" si="42"/>
        <v>241.45679550794563</v>
      </c>
      <c r="BQ75" s="255">
        <f t="shared" si="42"/>
        <v>87.109695025778308</v>
      </c>
      <c r="BR75" s="255" t="e">
        <f t="shared" ref="BR75:CJ75" si="43">BR74-BR73</f>
        <v>#DIV/0!</v>
      </c>
      <c r="BS75" s="255">
        <f t="shared" si="43"/>
        <v>193.58924635456268</v>
      </c>
      <c r="BT75" s="255">
        <f t="shared" si="43"/>
        <v>216.67857460361006</v>
      </c>
      <c r="BU75" s="255">
        <f t="shared" si="43"/>
        <v>117.11124915385217</v>
      </c>
      <c r="BV75" s="255">
        <f t="shared" si="43"/>
        <v>234.50638593563707</v>
      </c>
      <c r="BW75" s="255">
        <f t="shared" si="43"/>
        <v>166.8551845138752</v>
      </c>
      <c r="BX75" s="255">
        <f t="shared" si="43"/>
        <v>184.06264867204359</v>
      </c>
      <c r="BY75" s="255">
        <f t="shared" si="43"/>
        <v>114.98084290447254</v>
      </c>
      <c r="BZ75" s="255">
        <f t="shared" si="43"/>
        <v>158.60769649863693</v>
      </c>
      <c r="CA75" s="255">
        <f t="shared" si="43"/>
        <v>82.343576973826956</v>
      </c>
      <c r="CB75" s="255">
        <f t="shared" si="43"/>
        <v>141.41382538592157</v>
      </c>
      <c r="CC75" s="255">
        <f t="shared" si="43"/>
        <v>187.32841358622943</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485</v>
      </c>
      <c r="E76" s="120">
        <f>E71-E64-E68</f>
        <v>-13640324059.640001</v>
      </c>
      <c r="F76" s="120">
        <f t="shared" ref="F76:BQ76" si="44">F71-F64-F68</f>
        <v>-11823905148.790001</v>
      </c>
      <c r="G76" s="120">
        <f t="shared" si="44"/>
        <v>-12075553634.49</v>
      </c>
      <c r="H76" s="120">
        <f t="shared" si="44"/>
        <v>-13368523279.310001</v>
      </c>
      <c r="I76" s="120">
        <f t="shared" si="44"/>
        <v>-10418377517.219997</v>
      </c>
      <c r="J76" s="120">
        <f t="shared" si="44"/>
        <v>-9796880772.1700001</v>
      </c>
      <c r="K76" s="120">
        <f t="shared" si="44"/>
        <v>-14703062557.570002</v>
      </c>
      <c r="L76" s="120">
        <f t="shared" si="44"/>
        <v>-17066316679.23</v>
      </c>
      <c r="M76" s="120">
        <f t="shared" si="44"/>
        <v>-14547031897.690001</v>
      </c>
      <c r="N76" s="120">
        <f t="shared" si="44"/>
        <v>-12893448139.549999</v>
      </c>
      <c r="O76" s="120">
        <f t="shared" si="44"/>
        <v>-14467091925.529999</v>
      </c>
      <c r="P76" s="120">
        <f t="shared" si="44"/>
        <v>-14257733690.59</v>
      </c>
      <c r="Q76" s="120">
        <f t="shared" si="44"/>
        <v>-14291411651.700001</v>
      </c>
      <c r="R76" s="120">
        <f t="shared" si="44"/>
        <v>-13211713658.33</v>
      </c>
      <c r="S76" s="120">
        <f t="shared" si="44"/>
        <v>-14347997171.079998</v>
      </c>
      <c r="T76" s="120">
        <f t="shared" si="44"/>
        <v>-13924462456.799999</v>
      </c>
      <c r="U76" s="120">
        <f t="shared" si="44"/>
        <v>-9338904500.4300003</v>
      </c>
      <c r="V76" s="120">
        <f t="shared" si="44"/>
        <v>-9268381355.9900017</v>
      </c>
      <c r="W76" s="120">
        <f t="shared" si="44"/>
        <v>-7469917683.3999996</v>
      </c>
      <c r="X76" s="120">
        <f t="shared" si="44"/>
        <v>-5278533907.8400011</v>
      </c>
      <c r="Y76" s="120">
        <f t="shared" si="44"/>
        <v>-2416009566.4799995</v>
      </c>
      <c r="Z76" s="120">
        <f t="shared" si="44"/>
        <v>-1585789654.71</v>
      </c>
      <c r="AA76" s="120">
        <f t="shared" si="44"/>
        <v>-1008485708.1499996</v>
      </c>
      <c r="AB76" s="120">
        <f t="shared" si="44"/>
        <v>-382590397.46999931</v>
      </c>
      <c r="AC76" s="120">
        <f t="shared" si="44"/>
        <v>1476397018.0100002</v>
      </c>
      <c r="AD76" s="120">
        <f t="shared" si="44"/>
        <v>1287366578.3800011</v>
      </c>
      <c r="AE76" s="120">
        <f t="shared" si="44"/>
        <v>1697748948.1299992</v>
      </c>
      <c r="AF76" s="120">
        <f t="shared" si="44"/>
        <v>507501375.59000015</v>
      </c>
      <c r="AG76" s="120">
        <f t="shared" si="44"/>
        <v>206417492.52999973</v>
      </c>
      <c r="AH76" s="120">
        <f t="shared" si="44"/>
        <v>-171362624.70999956</v>
      </c>
      <c r="AI76" s="120">
        <f t="shared" si="44"/>
        <v>-12069000.970000267</v>
      </c>
      <c r="AJ76" s="120">
        <f t="shared" si="44"/>
        <v>-250694712.30999994</v>
      </c>
      <c r="AK76" s="120">
        <f t="shared" si="44"/>
        <v>-1002080087.4099998</v>
      </c>
      <c r="AL76" s="120">
        <f t="shared" si="44"/>
        <v>-1192539441.5500002</v>
      </c>
      <c r="AM76" s="120">
        <f t="shared" si="44"/>
        <v>-3206358040.7999997</v>
      </c>
      <c r="AN76" s="120">
        <f t="shared" si="44"/>
        <v>-2035973043.51</v>
      </c>
      <c r="AO76" s="120">
        <f t="shared" si="44"/>
        <v>-1638313173.6499999</v>
      </c>
      <c r="AP76" s="120">
        <f t="shared" si="44"/>
        <v>-1689288901.6000001</v>
      </c>
      <c r="AQ76" s="120">
        <f t="shared" si="44"/>
        <v>-1877807931.3399999</v>
      </c>
      <c r="AR76" s="120">
        <f t="shared" si="44"/>
        <v>-1726797701.5000002</v>
      </c>
      <c r="AS76" s="120">
        <f t="shared" si="44"/>
        <v>-1602330190.53</v>
      </c>
      <c r="AT76" s="120">
        <f t="shared" si="44"/>
        <v>-1524444522.4199998</v>
      </c>
      <c r="AU76" s="120">
        <f t="shared" si="44"/>
        <v>-1685970812.2600002</v>
      </c>
      <c r="AV76" s="120">
        <f t="shared" si="44"/>
        <v>-1860682872.8800001</v>
      </c>
      <c r="AW76" s="120">
        <f t="shared" si="44"/>
        <v>-1804572811.75</v>
      </c>
      <c r="AX76" s="120">
        <f t="shared" si="44"/>
        <v>-1791292028.2800002</v>
      </c>
      <c r="AY76" s="120">
        <f t="shared" si="44"/>
        <v>-1687483238.1499999</v>
      </c>
      <c r="AZ76" s="120">
        <f t="shared" si="44"/>
        <v>-1957456874.3699999</v>
      </c>
      <c r="BA76" s="120">
        <f t="shared" si="44"/>
        <v>-1740712625.52</v>
      </c>
      <c r="BB76" s="120">
        <f t="shared" si="44"/>
        <v>-2118921380.9400001</v>
      </c>
      <c r="BC76" s="120">
        <f t="shared" si="44"/>
        <v>-1941152395.6999998</v>
      </c>
      <c r="BD76" s="120">
        <f t="shared" si="44"/>
        <v>-1923603919.1800001</v>
      </c>
      <c r="BE76" s="120">
        <f t="shared" si="44"/>
        <v>-1468178849.01</v>
      </c>
      <c r="BF76" s="120">
        <f t="shared" si="44"/>
        <v>-1232879291.52</v>
      </c>
      <c r="BG76" s="120">
        <f t="shared" si="44"/>
        <v>-1203818946.6199999</v>
      </c>
      <c r="BH76" s="120">
        <f t="shared" si="44"/>
        <v>-671067496.9000001</v>
      </c>
      <c r="BI76" s="120">
        <f t="shared" si="44"/>
        <v>-795819826.74000001</v>
      </c>
      <c r="BJ76" s="120">
        <f t="shared" si="44"/>
        <v>-711769632.38999999</v>
      </c>
      <c r="BK76" s="120">
        <f t="shared" si="44"/>
        <v>-879666441.20000005</v>
      </c>
      <c r="BL76" s="120">
        <f t="shared" si="44"/>
        <v>-919641731.04999995</v>
      </c>
      <c r="BM76" s="120">
        <f t="shared" si="44"/>
        <v>-525980103.72000009</v>
      </c>
      <c r="BN76" s="120">
        <f t="shared" si="44"/>
        <v>-1214285578.6599998</v>
      </c>
      <c r="BO76" s="120">
        <f t="shared" si="44"/>
        <v>-791495159.8900001</v>
      </c>
      <c r="BP76" s="120">
        <f t="shared" si="44"/>
        <v>-831651622.65999997</v>
      </c>
      <c r="BQ76" s="120">
        <f t="shared" si="44"/>
        <v>-283489333.85000014</v>
      </c>
      <c r="BR76" s="120">
        <f t="shared" ref="BR76:CJ76" si="45">BR71-BR64-BR68</f>
        <v>0</v>
      </c>
      <c r="BS76" s="120">
        <f t="shared" si="45"/>
        <v>-750127411.66000009</v>
      </c>
      <c r="BT76" s="120">
        <f t="shared" si="45"/>
        <v>-949690583.48000002</v>
      </c>
      <c r="BU76" s="120">
        <f t="shared" si="45"/>
        <v>-278826534.64999998</v>
      </c>
      <c r="BV76" s="120">
        <f t="shared" si="45"/>
        <v>-986964814.74999988</v>
      </c>
      <c r="BW76" s="120">
        <f t="shared" si="45"/>
        <v>-670526482.13999999</v>
      </c>
      <c r="BX76" s="120">
        <f t="shared" si="45"/>
        <v>-529132197.01999998</v>
      </c>
      <c r="BY76" s="120">
        <f t="shared" si="45"/>
        <v>-506194144.03000003</v>
      </c>
      <c r="BZ76" s="120">
        <f t="shared" si="45"/>
        <v>-341739529.13</v>
      </c>
      <c r="CA76" s="120">
        <f t="shared" si="45"/>
        <v>-387215743.22000003</v>
      </c>
      <c r="CB76" s="120">
        <f t="shared" si="45"/>
        <v>-314771004.79999995</v>
      </c>
      <c r="CC76" s="120">
        <f t="shared" si="45"/>
        <v>-308849621.71999997</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692</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37164</v>
      </c>
      <c r="BS80" s="1">
        <v>37072</v>
      </c>
      <c r="BT80" s="1">
        <v>36981</v>
      </c>
      <c r="BU80" s="1">
        <v>36891</v>
      </c>
      <c r="BV80" s="1">
        <v>36707</v>
      </c>
      <c r="BW80" s="1">
        <v>36525</v>
      </c>
      <c r="BX80" s="1">
        <v>36341</v>
      </c>
      <c r="BY80" s="1">
        <v>36160</v>
      </c>
      <c r="BZ80" s="1">
        <v>35976</v>
      </c>
      <c r="CA80" s="1">
        <v>35795</v>
      </c>
      <c r="CB80" s="1">
        <v>35430</v>
      </c>
      <c r="CC80" s="1">
        <v>35064</v>
      </c>
      <c r="CD80" s="1">
        <v>25569</v>
      </c>
      <c r="CE80" s="1"/>
      <c r="CF80" s="1"/>
      <c r="CG80" s="1"/>
      <c r="CH80" s="1"/>
      <c r="CI80" s="1"/>
      <c r="CJ80" s="1"/>
      <c r="CK80" s="1"/>
    </row>
    <row r="81" spans="1:89" s="76" customFormat="1" x14ac:dyDescent="0.25">
      <c r="A81" s="70" t="s">
        <v>581</v>
      </c>
      <c r="E81" s="76">
        <f>股权价值增加表!E4</f>
        <v>30186780409.139999</v>
      </c>
      <c r="F81" s="76">
        <f>股权价值增加表!F4</f>
        <v>21977596629.700001</v>
      </c>
      <c r="G81" s="76">
        <f>股权价值增加表!G4</f>
        <v>15621127660.559999</v>
      </c>
      <c r="H81" s="76">
        <f>股权价值增加表!H4</f>
        <v>10158807519.1</v>
      </c>
      <c r="I81" s="76">
        <f>股权价值增加表!I4</f>
        <v>24543792660.59</v>
      </c>
      <c r="J81" s="76">
        <f>股权价值增加表!J4</f>
        <v>17699643832.209999</v>
      </c>
      <c r="K81" s="76">
        <f>股权价值增加表!K4</f>
        <v>13255638646.02</v>
      </c>
      <c r="L81" s="76">
        <f>股权价值增加表!L4</f>
        <v>8825564213.4699993</v>
      </c>
      <c r="M81" s="76">
        <f>股权价值增加表!M4</f>
        <v>21659287359.66</v>
      </c>
      <c r="N81" s="76">
        <f>股权价值增加表!N4</f>
        <v>15131341357.209999</v>
      </c>
      <c r="O81" s="76">
        <f>股权价值增加表!O4</f>
        <v>11215414006.940001</v>
      </c>
      <c r="P81" s="76">
        <f>股权价值增加表!P4</f>
        <v>6735435074.1599998</v>
      </c>
      <c r="Q81" s="76">
        <f>股权价值增加表!Q4</f>
        <v>21011491536.139999</v>
      </c>
      <c r="R81" s="76">
        <f>股权价值增加表!R4</f>
        <v>15068314515.67</v>
      </c>
      <c r="S81" s="76">
        <f>股权价值增加表!S4</f>
        <v>11662532799.27</v>
      </c>
      <c r="T81" s="76">
        <f>股权价值增加表!T4</f>
        <v>6719851620.2700005</v>
      </c>
      <c r="U81" s="76">
        <f>股权价值增加表!U4</f>
        <v>24718588617.990002</v>
      </c>
      <c r="V81" s="76">
        <f>股权价值增加表!V4</f>
        <v>19165837235.439999</v>
      </c>
      <c r="W81" s="76">
        <f>股权价值增加表!W4</f>
        <v>15519877625.32</v>
      </c>
      <c r="X81" s="76">
        <f>股权价值增加表!X4</f>
        <v>8675799862.7600002</v>
      </c>
      <c r="Y81" s="76">
        <f>股权价值增加表!Y4</f>
        <v>27201045951.34</v>
      </c>
      <c r="Z81" s="76">
        <f>股权价值增加表!Z4</f>
        <v>21126603442.650002</v>
      </c>
      <c r="AA81" s="76">
        <f>股权价值增加表!AA4</f>
        <v>15049709413.35</v>
      </c>
      <c r="AB81" s="76">
        <f>股权价值增加表!AB4</f>
        <v>8230651472.6199999</v>
      </c>
      <c r="AC81" s="76">
        <f>股权价值增加表!AC4</f>
        <v>20350594468.709999</v>
      </c>
      <c r="AD81" s="76">
        <f>股权价值增加表!AD4</f>
        <v>15648774490.190001</v>
      </c>
      <c r="AE81" s="76">
        <f>股权价值增加表!AE4</f>
        <v>10594830203.200001</v>
      </c>
      <c r="AF81" s="76">
        <f>股权价值增加表!AF4</f>
        <v>6244557079.6499996</v>
      </c>
      <c r="AG81" s="76">
        <f>股权价值增加表!AG4</f>
        <v>15541300510.85</v>
      </c>
      <c r="AH81" s="76">
        <f>股权价值增加表!AH4</f>
        <v>11471710170.860001</v>
      </c>
      <c r="AI81" s="76">
        <f>股权价值增加表!AI4</f>
        <v>7576545903.4899998</v>
      </c>
      <c r="AJ81" s="76">
        <f>股权价值增加表!AJ4</f>
        <v>4493625787.5500002</v>
      </c>
      <c r="AK81" s="76">
        <f>股权价值增加表!AK4</f>
        <v>11129220549.610001</v>
      </c>
      <c r="AL81" s="76">
        <f>股权价值增加表!AL4</f>
        <v>8029680076.3699999</v>
      </c>
      <c r="AM81" s="76">
        <f>股权价值增加表!AM4</f>
        <v>5340889931.8100004</v>
      </c>
      <c r="AN81" s="76">
        <f>股权价值增加表!AN4</f>
        <v>3338850726.5900002</v>
      </c>
      <c r="AO81" s="76">
        <f>股权价值增加表!AO4</f>
        <v>7933068723.21</v>
      </c>
      <c r="AP81" s="76">
        <f>股权价值增加表!AP4</f>
        <v>6578679657.1199999</v>
      </c>
      <c r="AQ81" s="76">
        <f>股权价值增加表!AQ4</f>
        <v>4597277683.0200005</v>
      </c>
      <c r="AR81" s="76">
        <f>股权价值增加表!AR4</f>
        <v>3086147513.71</v>
      </c>
      <c r="AS81" s="76">
        <f>股权价值增加表!AS4</f>
        <v>7328555841.6199999</v>
      </c>
      <c r="AT81" s="76">
        <f>股权价值增加表!AT4</f>
        <v>6043063119.9700003</v>
      </c>
      <c r="AU81" s="76">
        <f>股权价值增加表!AU4</f>
        <v>4342880480.1599998</v>
      </c>
      <c r="AV81" s="76">
        <f>股权价值增加表!AV4</f>
        <v>3009852591.5900002</v>
      </c>
      <c r="AW81" s="76">
        <f>股权价值增加表!AW4</f>
        <v>7386141421.5100002</v>
      </c>
      <c r="AX81" s="76">
        <f>股权价值增加表!AX4</f>
        <v>5955523309.9399996</v>
      </c>
      <c r="AY81" s="76">
        <f>股权价值增加表!AY4</f>
        <v>4397011844.6999998</v>
      </c>
      <c r="AZ81" s="76">
        <f>股权价值增加表!AZ4</f>
        <v>2730446461.8499999</v>
      </c>
      <c r="BA81" s="76">
        <f>股权价值增加表!BA4</f>
        <v>6418751478.3199997</v>
      </c>
      <c r="BB81" s="76">
        <f>股权价值增加表!BB4</f>
        <v>4967771279.1899996</v>
      </c>
      <c r="BC81" s="76">
        <f>股权价值增加表!BC4</f>
        <v>3807013164.1999998</v>
      </c>
      <c r="BD81" s="76">
        <f>股权价值增加表!BD4</f>
        <v>2469452513.6900001</v>
      </c>
      <c r="BE81" s="76">
        <f>股权价值增加表!BE4</f>
        <v>6297583438.9799995</v>
      </c>
      <c r="BF81" s="76">
        <f>股权价值增加表!BF4</f>
        <v>4578081987.8100004</v>
      </c>
      <c r="BG81" s="76">
        <f>股权价值增加表!BG4</f>
        <v>3457300399.23</v>
      </c>
      <c r="BH81" s="76">
        <f>股权价值增加表!BH4</f>
        <v>2449943325.7399998</v>
      </c>
      <c r="BI81" s="76">
        <f>股权价值增加表!BI4</f>
        <v>6333090598.79</v>
      </c>
      <c r="BJ81" s="76">
        <f>股权价值增加表!BJ4</f>
        <v>4640989046.4700003</v>
      </c>
      <c r="BK81" s="76">
        <f>股权价值增加表!BK4</f>
        <v>3426815041.8899999</v>
      </c>
      <c r="BL81" s="76">
        <f>股权价值增加表!BL4</f>
        <v>2274657872.1900001</v>
      </c>
      <c r="BM81" s="76">
        <f>股权价值增加表!BM4</f>
        <v>5706517438.4499998</v>
      </c>
      <c r="BN81" s="76">
        <f>股权价值增加表!BN4</f>
        <v>4483326842.3900003</v>
      </c>
      <c r="BO81" s="76">
        <f>股权价值增加表!BO4</f>
        <v>3462399215.1500001</v>
      </c>
      <c r="BP81" s="76">
        <f>股权价值增加表!BP4</f>
        <v>2263204765.0599999</v>
      </c>
      <c r="BQ81" s="76">
        <f>股权价值增加表!BQ4</f>
        <v>4742095340.6499996</v>
      </c>
      <c r="BR81" s="76">
        <f>股权价值增加表!BR4</f>
        <v>3700110000</v>
      </c>
      <c r="BS81" s="76">
        <f>股权价值增加表!BS4</f>
        <v>2817494022.5799999</v>
      </c>
      <c r="BT81" s="76">
        <f>股权价值增加表!BT4</f>
        <v>1999899650.1600001</v>
      </c>
      <c r="BU81" s="76">
        <f>股权价值增加表!BU4</f>
        <v>3953640138.96</v>
      </c>
      <c r="BV81" s="76">
        <f>股权价值增加表!BV4</f>
        <v>2667684533.9200001</v>
      </c>
      <c r="BW81" s="76">
        <f>股权价值增加表!BW4</f>
        <v>3308791041.8000002</v>
      </c>
      <c r="BX81" s="76">
        <f>股权价值增加表!BX4</f>
        <v>1900893259.47</v>
      </c>
      <c r="BY81" s="76">
        <f>股权价值增加表!BY4</f>
        <v>2814346533.1199999</v>
      </c>
      <c r="BZ81" s="76">
        <f>股权价值增加表!BZ4</f>
        <v>1210433401.23</v>
      </c>
      <c r="CA81" s="76">
        <f>股权价值增加表!CA4</f>
        <v>2204454415.5599999</v>
      </c>
      <c r="CB81" s="76">
        <f>股权价值增加表!CB4</f>
        <v>1309696890.55</v>
      </c>
      <c r="CC81" s="76">
        <f>股权价值增加表!CC4</f>
        <v>914703675.36000001</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7640103984.25</v>
      </c>
      <c r="F82" s="76">
        <f>投资和筹资活动现金流表!F34</f>
        <v>7531029962.8600006</v>
      </c>
      <c r="G82" s="76">
        <f>投资和筹资活动现金流表!G34</f>
        <v>7600107901.0700006</v>
      </c>
      <c r="H82" s="76">
        <f>投资和筹资活动现金流表!H34</f>
        <v>7652775457.9499998</v>
      </c>
      <c r="I82" s="76">
        <f>投资和筹资活动现金流表!I34</f>
        <v>7667044890.6100006</v>
      </c>
      <c r="J82" s="76">
        <f>投资和筹资活动现金流表!J34</f>
        <v>7715000448.5500002</v>
      </c>
      <c r="K82" s="76">
        <f>投资和筹资活动现金流表!K34</f>
        <v>7797508134.4400005</v>
      </c>
      <c r="L82" s="76">
        <f>投资和筹资活动现金流表!L34</f>
        <v>7860467227.0500002</v>
      </c>
      <c r="M82" s="76">
        <f>投资和筹资活动现金流表!M34</f>
        <v>7946402094.79</v>
      </c>
      <c r="N82" s="76">
        <f>投资和筹资活动现金流表!N34</f>
        <v>7787066965.4900007</v>
      </c>
      <c r="O82" s="76">
        <f>投资和筹资活动现金流表!O34</f>
        <v>7863601179.8200006</v>
      </c>
      <c r="P82" s="76">
        <f>投资和筹资活动现金流表!P34</f>
        <v>7849831916.2600002</v>
      </c>
      <c r="Q82" s="76">
        <f>投资和筹资活动现金流表!Q34</f>
        <v>7905968097.9200001</v>
      </c>
      <c r="R82" s="76">
        <f>投资和筹资活动现金流表!R34</f>
        <v>7848396657.2400007</v>
      </c>
      <c r="S82" s="76">
        <f>投资和筹资活动现金流表!S34</f>
        <v>7654091040.0799999</v>
      </c>
      <c r="T82" s="76">
        <f>投资和筹资活动现金流表!T34</f>
        <v>7740932584.29</v>
      </c>
      <c r="U82" s="76">
        <f>投资和筹资活动现金流表!U34</f>
        <v>7185660413.8000002</v>
      </c>
      <c r="V82" s="76">
        <f>投资和筹资活动现金流表!V34</f>
        <v>7206369226.2600002</v>
      </c>
      <c r="W82" s="76">
        <f>投资和筹资活动现金流表!W34</f>
        <v>7305520980.6000004</v>
      </c>
      <c r="X82" s="76">
        <f>投资和筹资活动现金流表!X34</f>
        <v>7309510343.54</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4841679198.5100002</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583</v>
      </c>
      <c r="E83" s="154">
        <f>E81/E82</f>
        <v>3.9510954918113357</v>
      </c>
      <c r="F83" s="154">
        <f t="shared" ref="F83:BQ83" si="46">F81/F82</f>
        <v>2.9182723662081593</v>
      </c>
      <c r="G83" s="154">
        <f t="shared" si="46"/>
        <v>2.0553823529743229</v>
      </c>
      <c r="H83" s="154">
        <f t="shared" si="46"/>
        <v>1.3274670836639584</v>
      </c>
      <c r="I83" s="154">
        <f t="shared" si="46"/>
        <v>3.2012063331792051</v>
      </c>
      <c r="J83" s="154">
        <f t="shared" si="46"/>
        <v>2.2941857165460786</v>
      </c>
      <c r="K83" s="154">
        <f t="shared" si="46"/>
        <v>1.6999839458291235</v>
      </c>
      <c r="L83" s="154">
        <f t="shared" si="46"/>
        <v>1.1227785777286672</v>
      </c>
      <c r="M83" s="154">
        <f t="shared" si="46"/>
        <v>2.7256722100509805</v>
      </c>
      <c r="N83" s="154">
        <f t="shared" si="46"/>
        <v>1.9431374385590454</v>
      </c>
      <c r="O83" s="154">
        <f t="shared" si="46"/>
        <v>1.4262440007412385</v>
      </c>
      <c r="P83" s="154">
        <f t="shared" si="46"/>
        <v>0.85803557910690309</v>
      </c>
      <c r="Q83" s="154">
        <f t="shared" si="46"/>
        <v>2.6576747181243956</v>
      </c>
      <c r="R83" s="154">
        <f t="shared" si="46"/>
        <v>1.9199226509238365</v>
      </c>
      <c r="S83" s="154">
        <f t="shared" si="46"/>
        <v>1.5236992528832143</v>
      </c>
      <c r="T83" s="154">
        <f t="shared" si="46"/>
        <v>0.86809328812755016</v>
      </c>
      <c r="U83" s="154">
        <f t="shared" si="46"/>
        <v>3.439988420621459</v>
      </c>
      <c r="V83" s="154">
        <f t="shared" si="46"/>
        <v>2.6595691441398412</v>
      </c>
      <c r="W83" s="154">
        <f t="shared" si="46"/>
        <v>2.1244039496339049</v>
      </c>
      <c r="X83" s="154">
        <f t="shared" si="46"/>
        <v>1.1869194316726701</v>
      </c>
      <c r="Y83" s="154">
        <f t="shared" si="46"/>
        <v>5.0422893833513678</v>
      </c>
      <c r="Z83" s="154">
        <f t="shared" si="46"/>
        <v>3.840276963233364</v>
      </c>
      <c r="AA83" s="154">
        <f t="shared" si="46"/>
        <v>2.6981116875585469</v>
      </c>
      <c r="AB83" s="154">
        <f t="shared" si="46"/>
        <v>1.4449159520596642</v>
      </c>
      <c r="AC83" s="154">
        <f t="shared" si="46"/>
        <v>3.5211057880747987</v>
      </c>
      <c r="AD83" s="154">
        <f t="shared" si="46"/>
        <v>2.6791291993193318</v>
      </c>
      <c r="AE83" s="154">
        <f t="shared" si="46"/>
        <v>1.9496158912877306</v>
      </c>
      <c r="AF83" s="154">
        <f t="shared" si="46"/>
        <v>1.1313316501988777</v>
      </c>
      <c r="AG83" s="154">
        <f t="shared" si="46"/>
        <v>2.7812859776726855</v>
      </c>
      <c r="AH83" s="154">
        <f t="shared" si="46"/>
        <v>2.0530816020926537</v>
      </c>
      <c r="AI83" s="154">
        <f t="shared" si="46"/>
        <v>1.4640001881262368</v>
      </c>
      <c r="AJ83" s="154">
        <f t="shared" si="46"/>
        <v>0.98901527094955943</v>
      </c>
      <c r="AK83" s="154">
        <f t="shared" si="46"/>
        <v>2.484955523998126</v>
      </c>
      <c r="AL83" s="154">
        <f t="shared" si="46"/>
        <v>1.7761727489720707</v>
      </c>
      <c r="AM83" s="154">
        <f t="shared" si="46"/>
        <v>1.475027265036549</v>
      </c>
      <c r="AN83" s="154">
        <f t="shared" si="46"/>
        <v>0.90606704230465451</v>
      </c>
      <c r="AO83" s="154">
        <f t="shared" si="46"/>
        <v>2.2513858873847314</v>
      </c>
      <c r="AP83" s="154">
        <f t="shared" si="46"/>
        <v>1.3587599234465084</v>
      </c>
      <c r="AQ83" s="154">
        <f t="shared" si="46"/>
        <v>0.92958823262866042</v>
      </c>
      <c r="AR83" s="154">
        <f t="shared" si="46"/>
        <v>0.61926187468161786</v>
      </c>
      <c r="AS83" s="154">
        <f t="shared" si="46"/>
        <v>1.4404290046356414</v>
      </c>
      <c r="AT83" s="154">
        <f t="shared" si="46"/>
        <v>1.1803259347203261</v>
      </c>
      <c r="AU83" s="154">
        <f t="shared" si="46"/>
        <v>0.84061322507158853</v>
      </c>
      <c r="AV83" s="154">
        <f t="shared" si="46"/>
        <v>0.57552600269280885</v>
      </c>
      <c r="AW83" s="154">
        <f t="shared" si="46"/>
        <v>1.3927263919460009</v>
      </c>
      <c r="AX83" s="154">
        <f t="shared" si="46"/>
        <v>1.1002480200396034</v>
      </c>
      <c r="AY83" s="154">
        <f t="shared" si="46"/>
        <v>0.80277448015940689</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584</v>
      </c>
      <c r="E84" s="76">
        <f>资产资本表!E52</f>
        <v>5292583427.1999998</v>
      </c>
      <c r="F84" s="76">
        <f>资产资本表!F52</f>
        <v>5277803007.6599998</v>
      </c>
      <c r="G84" s="76">
        <f>资产资本表!G52</f>
        <v>5310208763.0200005</v>
      </c>
      <c r="H84" s="76">
        <f>资产资本表!H52</f>
        <v>5357774717.21</v>
      </c>
      <c r="I84" s="76">
        <f>资产资本表!I52</f>
        <v>5431085733.1599998</v>
      </c>
      <c r="J84" s="76">
        <f>资产资本表!J52</f>
        <v>5075825005.04</v>
      </c>
      <c r="K84" s="76">
        <f>资产资本表!K52</f>
        <v>5178721783.9899998</v>
      </c>
      <c r="L84" s="76">
        <f>资产资本表!L52</f>
        <v>5243340408.9499998</v>
      </c>
      <c r="M84" s="76">
        <f>资产资本表!M52</f>
        <v>5347549946.8800001</v>
      </c>
      <c r="N84" s="76">
        <f>资产资本表!N52</f>
        <v>5447067768.5299997</v>
      </c>
      <c r="O84" s="76">
        <f>资产资本表!O52</f>
        <v>5569494294.8800001</v>
      </c>
      <c r="P84" s="76">
        <f>资产资本表!P52</f>
        <v>5561162652.8900003</v>
      </c>
      <c r="Q84" s="76">
        <f>资产资本表!Q52</f>
        <v>5676482317.6499996</v>
      </c>
      <c r="R84" s="76">
        <f>资产资本表!R52</f>
        <v>5714480502.4799995</v>
      </c>
      <c r="S84" s="76">
        <f>资产资本表!S52</f>
        <v>5618349275.9399996</v>
      </c>
      <c r="T84" s="76">
        <f>资产资本表!T52</f>
        <v>5746016698.6599998</v>
      </c>
      <c r="U84" s="76">
        <f>资产资本表!U52</f>
        <v>5882125515.1599998</v>
      </c>
      <c r="V84" s="76">
        <f>资产资本表!V52</f>
        <v>5496333315.8199997</v>
      </c>
      <c r="W84" s="76">
        <f>资产资本表!W52</f>
        <v>5636878064.6800003</v>
      </c>
      <c r="X84" s="76">
        <f>资产资本表!X52</f>
        <v>5760836594.4499998</v>
      </c>
      <c r="Y84" s="76">
        <f>资产资本表!Y52</f>
        <v>5497236500.9799995</v>
      </c>
      <c r="Z84" s="76">
        <f>资产资本表!Z52</f>
        <v>5477857707.71</v>
      </c>
      <c r="AA84" s="76">
        <f>资产资本表!AA52</f>
        <v>5608943204.5600004</v>
      </c>
      <c r="AB84" s="76">
        <f>资产资本表!AB52</f>
        <v>5775442018.75</v>
      </c>
      <c r="AC84" s="76">
        <f>资产资本表!AC52</f>
        <v>5905055195.5</v>
      </c>
      <c r="AD84" s="76">
        <f>资产资本表!AD52</f>
        <v>6066038876.1300001</v>
      </c>
      <c r="AE84" s="76">
        <f>资产资本表!AE52</f>
        <v>6178043190.9700003</v>
      </c>
      <c r="AF84" s="76">
        <f>资产资本表!AF52</f>
        <v>6212189646.3800001</v>
      </c>
      <c r="AG84" s="76">
        <f>资产资本表!AG52</f>
        <v>6373457302.8599997</v>
      </c>
      <c r="AH84" s="76">
        <f>资产资本表!AH52</f>
        <v>6538960841.9200001</v>
      </c>
      <c r="AI84" s="76">
        <f>资产资本表!AI52</f>
        <v>6686192245.9099998</v>
      </c>
      <c r="AJ84" s="76">
        <f>资产资本表!AJ52</f>
        <v>6807745494.1300001</v>
      </c>
      <c r="AK84" s="76">
        <f>资产资本表!AK52</f>
        <v>6935927656.6199999</v>
      </c>
      <c r="AL84" s="76">
        <f>资产资本表!AL52</f>
        <v>6725076984.0900002</v>
      </c>
      <c r="AM84" s="76">
        <f>资产资本表!AM52</f>
        <v>6866972825.3900003</v>
      </c>
      <c r="AN84" s="76">
        <f>资产资本表!AN52</f>
        <v>4245800806.3699999</v>
      </c>
      <c r="AO84" s="76">
        <f>资产资本表!AO52</f>
        <v>4334380905.8800001</v>
      </c>
      <c r="AP84" s="76">
        <f>资产资本表!AP52</f>
        <v>4608271296.8800001</v>
      </c>
      <c r="AQ84" s="76">
        <f>资产资本表!AQ52</f>
        <v>4711785850.8299999</v>
      </c>
      <c r="AR84" s="76">
        <f>资产资本表!AR52</f>
        <v>4608423992.0200005</v>
      </c>
      <c r="AS84" s="76">
        <f>资产资本表!AS52</f>
        <v>4670657791.3599997</v>
      </c>
      <c r="AT84" s="76">
        <f>资产资本表!AT52</f>
        <v>4934237086.5299997</v>
      </c>
      <c r="AU84" s="76">
        <f>资产资本表!AU52</f>
        <v>5019279783.0500002</v>
      </c>
      <c r="AV84" s="76">
        <f>资产资本表!AV52</f>
        <v>5082147090.9300003</v>
      </c>
      <c r="AW84" s="76">
        <f>资产资本表!AW52</f>
        <v>5193905238.7700005</v>
      </c>
      <c r="AX84" s="76">
        <f>资产资本表!AX52</f>
        <v>5289844741.3100004</v>
      </c>
      <c r="AY84" s="76">
        <f>资产资本表!AY52</f>
        <v>5356101803.7600002</v>
      </c>
      <c r="AZ84" s="76">
        <f>资产资本表!AZ52</f>
        <v>5272215535.1000004</v>
      </c>
      <c r="BA84" s="76">
        <f>资产资本表!BA52</f>
        <v>5378990872.5299997</v>
      </c>
      <c r="BB84" s="76">
        <f>资产资本表!BB52</f>
        <v>5451346214.2799997</v>
      </c>
      <c r="BC84" s="76">
        <f>资产资本表!BC52</f>
        <v>5569703297.2299995</v>
      </c>
      <c r="BD84" s="76">
        <f>资产资本表!BD52</f>
        <v>5601605514.1899996</v>
      </c>
      <c r="BE84" s="76">
        <f>资产资本表!BE52</f>
        <v>5647276968.4899998</v>
      </c>
      <c r="BF84" s="76">
        <f>资产资本表!BF52</f>
        <v>4692216694</v>
      </c>
      <c r="BG84" s="76">
        <f>资产资本表!BG52</f>
        <v>4779198241.9799995</v>
      </c>
      <c r="BH84" s="76">
        <f>资产资本表!BH52</f>
        <v>4855612116.8599997</v>
      </c>
      <c r="BI84" s="76">
        <f>资产资本表!BI52</f>
        <v>4896279236.6899996</v>
      </c>
      <c r="BJ84" s="76">
        <f>资产资本表!BJ52</f>
        <v>3680362197.46</v>
      </c>
      <c r="BK84" s="76">
        <f>资产资本表!BK52</f>
        <v>3766242267.48</v>
      </c>
      <c r="BL84" s="76">
        <f>资产资本表!BL52</f>
        <v>3559955468.8299999</v>
      </c>
      <c r="BM84" s="76">
        <f>资产资本表!BM52</f>
        <v>3602003201.1100001</v>
      </c>
      <c r="BN84" s="76">
        <f>资产资本表!BN52</f>
        <v>3417705127.8600001</v>
      </c>
      <c r="BO84" s="76">
        <f>资产资本表!BO52</f>
        <v>3445620147.3200002</v>
      </c>
      <c r="BP84" s="76">
        <f>资产资本表!BP52</f>
        <v>3047036752.3400002</v>
      </c>
      <c r="BQ84" s="76">
        <f>资产资本表!BQ52</f>
        <v>3074187958.48</v>
      </c>
      <c r="BR84" s="76">
        <f>资产资本表!BR52</f>
        <v>0</v>
      </c>
      <c r="BS84" s="76">
        <f>资产资本表!BS52</f>
        <v>2996112005.8499999</v>
      </c>
      <c r="BT84" s="76">
        <f>资产资本表!BT52</f>
        <v>1326479175.75</v>
      </c>
      <c r="BU84" s="76">
        <f>资产资本表!BU52</f>
        <v>1220622570.2</v>
      </c>
      <c r="BV84" s="76">
        <f>资产资本表!BV52</f>
        <v>1245325894.1400001</v>
      </c>
      <c r="BW84" s="76">
        <f>资产资本表!BW52</f>
        <v>1205088242.78</v>
      </c>
      <c r="BX84" s="76">
        <f>资产资本表!BX52</f>
        <v>773054420.82000005</v>
      </c>
      <c r="BY84" s="76">
        <f>资产资本表!BY52</f>
        <v>800607155.58000004</v>
      </c>
      <c r="BZ84" s="76">
        <f>资产资本表!BZ52</f>
        <v>455849033.79000002</v>
      </c>
      <c r="CA84" s="76">
        <f>资产资本表!CA52</f>
        <v>225513764.90000001</v>
      </c>
      <c r="CB84" s="76">
        <f>资产资本表!CB52</f>
        <v>222897373.97999999</v>
      </c>
      <c r="CC84" s="76">
        <f>资产资本表!CC52</f>
        <v>158461384.13999999</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585</v>
      </c>
      <c r="E85" s="154">
        <f>E81/E84</f>
        <v>5.7036002973523425</v>
      </c>
      <c r="F85" s="154">
        <f t="shared" ref="F85:BQ85" si="48">F81/F84</f>
        <v>4.1641562971946025</v>
      </c>
      <c r="G85" s="154">
        <f t="shared" si="48"/>
        <v>2.9417162973600335</v>
      </c>
      <c r="H85" s="154">
        <f t="shared" si="48"/>
        <v>1.8960870987106533</v>
      </c>
      <c r="I85" s="154">
        <f t="shared" si="48"/>
        <v>4.5191318764746411</v>
      </c>
      <c r="J85" s="154">
        <f t="shared" si="48"/>
        <v>3.4870476847872571</v>
      </c>
      <c r="K85" s="154">
        <f t="shared" si="48"/>
        <v>2.559635214812999</v>
      </c>
      <c r="L85" s="154">
        <f t="shared" si="48"/>
        <v>1.6831949721222381</v>
      </c>
      <c r="M85" s="154">
        <f t="shared" si="48"/>
        <v>4.0503197865962894</v>
      </c>
      <c r="N85" s="154">
        <f t="shared" si="48"/>
        <v>2.7778874800548872</v>
      </c>
      <c r="O85" s="154">
        <f t="shared" si="48"/>
        <v>2.0137221465960127</v>
      </c>
      <c r="P85" s="154">
        <f t="shared" si="48"/>
        <v>1.2111559209043741</v>
      </c>
      <c r="Q85" s="154">
        <f t="shared" si="48"/>
        <v>3.7014986324908561</v>
      </c>
      <c r="R85" s="154">
        <f t="shared" si="48"/>
        <v>2.6368651549568813</v>
      </c>
      <c r="S85" s="154">
        <f t="shared" si="48"/>
        <v>2.0757934806961171</v>
      </c>
      <c r="T85" s="154">
        <f t="shared" si="48"/>
        <v>1.1694800020050593</v>
      </c>
      <c r="U85" s="154">
        <f t="shared" si="48"/>
        <v>4.2023225370289694</v>
      </c>
      <c r="V85" s="154">
        <f t="shared" si="48"/>
        <v>3.4870223718556708</v>
      </c>
      <c r="W85" s="154">
        <f t="shared" si="48"/>
        <v>2.7532753852820919</v>
      </c>
      <c r="X85" s="154">
        <f t="shared" si="48"/>
        <v>1.5059965198662779</v>
      </c>
      <c r="Y85" s="154">
        <f t="shared" si="48"/>
        <v>4.9481309284202766</v>
      </c>
      <c r="Z85" s="154">
        <f t="shared" si="48"/>
        <v>3.8567273138392468</v>
      </c>
      <c r="AA85" s="154">
        <f t="shared" si="48"/>
        <v>2.6831630958778074</v>
      </c>
      <c r="AB85" s="154">
        <f t="shared" si="48"/>
        <v>1.4251119560891012</v>
      </c>
      <c r="AC85" s="154">
        <f t="shared" si="48"/>
        <v>3.4463004654416016</v>
      </c>
      <c r="AD85" s="154">
        <f t="shared" si="48"/>
        <v>2.5797352786129153</v>
      </c>
      <c r="AE85" s="154">
        <f t="shared" si="48"/>
        <v>1.7149168232889176</v>
      </c>
      <c r="AF85" s="154">
        <f t="shared" si="48"/>
        <v>1.0052103099088194</v>
      </c>
      <c r="AG85" s="154">
        <f t="shared" si="48"/>
        <v>2.4384411430631316</v>
      </c>
      <c r="AH85" s="154">
        <f t="shared" si="48"/>
        <v>1.7543628793916473</v>
      </c>
      <c r="AI85" s="154">
        <f t="shared" si="48"/>
        <v>1.1331630358257552</v>
      </c>
      <c r="AJ85" s="154">
        <f t="shared" si="48"/>
        <v>0.6600754671902237</v>
      </c>
      <c r="AK85" s="154">
        <f t="shared" si="48"/>
        <v>1.6045756387017258</v>
      </c>
      <c r="AL85" s="154">
        <f t="shared" si="48"/>
        <v>1.1939908041746428</v>
      </c>
      <c r="AM85" s="154">
        <f t="shared" si="48"/>
        <v>0.77776482703740302</v>
      </c>
      <c r="AN85" s="154">
        <f t="shared" si="48"/>
        <v>0.78638892375278246</v>
      </c>
      <c r="AO85" s="154">
        <f t="shared" si="48"/>
        <v>1.8302657047164539</v>
      </c>
      <c r="AP85" s="154">
        <f t="shared" si="48"/>
        <v>1.4275808070531897</v>
      </c>
      <c r="AQ85" s="154">
        <f t="shared" si="48"/>
        <v>0.97569750166174718</v>
      </c>
      <c r="AR85" s="154">
        <f t="shared" si="48"/>
        <v>0.66967525537016737</v>
      </c>
      <c r="AS85" s="154">
        <f t="shared" si="48"/>
        <v>1.5690628962748467</v>
      </c>
      <c r="AT85" s="154">
        <f t="shared" si="48"/>
        <v>1.2247208664672784</v>
      </c>
      <c r="AU85" s="154">
        <f t="shared" si="48"/>
        <v>0.86523976902539157</v>
      </c>
      <c r="AV85" s="154">
        <f t="shared" si="48"/>
        <v>0.59224035387752161</v>
      </c>
      <c r="AW85" s="154">
        <f t="shared" si="48"/>
        <v>1.4220785867204533</v>
      </c>
      <c r="AX85" s="154">
        <f t="shared" si="48"/>
        <v>1.1258408518933483</v>
      </c>
      <c r="AY85" s="154">
        <f t="shared" si="48"/>
        <v>0.82093507662854426</v>
      </c>
      <c r="AZ85" s="154">
        <f t="shared" si="48"/>
        <v>0.51789355796854963</v>
      </c>
      <c r="BA85" s="154">
        <f t="shared" si="48"/>
        <v>1.1933003104913154</v>
      </c>
      <c r="BB85" s="154">
        <f t="shared" si="48"/>
        <v>0.9112925658944101</v>
      </c>
      <c r="BC85" s="154">
        <f t="shared" si="48"/>
        <v>0.68352171759191471</v>
      </c>
      <c r="BD85" s="154">
        <f t="shared" si="48"/>
        <v>0.44084727270322366</v>
      </c>
      <c r="BE85" s="154">
        <f t="shared" si="48"/>
        <v>1.1151539891028015</v>
      </c>
      <c r="BF85" s="154">
        <f t="shared" si="48"/>
        <v>0.97567573843383126</v>
      </c>
      <c r="BG85" s="154">
        <f t="shared" si="48"/>
        <v>0.72340594053233009</v>
      </c>
      <c r="BH85" s="154">
        <f t="shared" si="48"/>
        <v>0.50455910949582106</v>
      </c>
      <c r="BI85" s="154">
        <f t="shared" si="48"/>
        <v>1.2934496364777019</v>
      </c>
      <c r="BJ85" s="154">
        <f t="shared" si="48"/>
        <v>1.2610142147620624</v>
      </c>
      <c r="BK85" s="154">
        <f t="shared" si="48"/>
        <v>0.90987642284172243</v>
      </c>
      <c r="BL85" s="154">
        <f t="shared" si="48"/>
        <v>0.63895683305768414</v>
      </c>
      <c r="BM85" s="154">
        <f t="shared" si="48"/>
        <v>1.5842621785265123</v>
      </c>
      <c r="BN85" s="154">
        <f t="shared" si="48"/>
        <v>1.3117945155196113</v>
      </c>
      <c r="BO85" s="154">
        <f t="shared" si="48"/>
        <v>1.0048696800902592</v>
      </c>
      <c r="BP85" s="154">
        <f t="shared" si="48"/>
        <v>0.7427559786805823</v>
      </c>
      <c r="BQ85" s="154">
        <f t="shared" si="48"/>
        <v>1.5425521811602825</v>
      </c>
      <c r="BR85" s="154" t="e">
        <f t="shared" ref="BR85:CK85" si="49">BR81/BR84</f>
        <v>#DIV/0!</v>
      </c>
      <c r="BS85" s="154">
        <f t="shared" si="49"/>
        <v>0.94038340925798403</v>
      </c>
      <c r="BT85" s="154">
        <f t="shared" si="49"/>
        <v>1.5076751197614873</v>
      </c>
      <c r="BU85" s="154">
        <f t="shared" si="49"/>
        <v>3.2390357473991265</v>
      </c>
      <c r="BV85" s="154">
        <f t="shared" si="49"/>
        <v>2.1421577648654417</v>
      </c>
      <c r="BW85" s="154">
        <f t="shared" si="49"/>
        <v>2.7456836141451348</v>
      </c>
      <c r="BX85" s="154">
        <f t="shared" si="49"/>
        <v>2.458938476095474</v>
      </c>
      <c r="BY85" s="154">
        <f t="shared" si="49"/>
        <v>3.5152652752411959</v>
      </c>
      <c r="BZ85" s="154">
        <f t="shared" si="49"/>
        <v>2.6553383061191722</v>
      </c>
      <c r="CA85" s="154">
        <f t="shared" si="49"/>
        <v>9.7752543687855393</v>
      </c>
      <c r="CB85" s="154">
        <f t="shared" si="49"/>
        <v>5.8757843000317971</v>
      </c>
      <c r="CC85" s="154">
        <f t="shared" si="49"/>
        <v>5.7724074563924237</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586</v>
      </c>
      <c r="E86" s="76">
        <f>资产资本表!E53</f>
        <v>271653749.52999997</v>
      </c>
      <c r="F86" s="76">
        <f>资产资本表!F53</f>
        <v>293854009.37</v>
      </c>
      <c r="G86" s="76">
        <f>资产资本表!G53</f>
        <v>324538161.11000001</v>
      </c>
      <c r="H86" s="76">
        <f>资产资本表!H53</f>
        <v>348440047.02999997</v>
      </c>
      <c r="I86" s="76">
        <f>资产资本表!I53</f>
        <v>292881811.61000001</v>
      </c>
      <c r="J86" s="76">
        <f>资产资本表!J53</f>
        <v>679794179</v>
      </c>
      <c r="K86" s="76">
        <f>资产资本表!K53</f>
        <v>651606385.32000005</v>
      </c>
      <c r="L86" s="76">
        <f>资产资本表!L53</f>
        <v>621285037.23000002</v>
      </c>
      <c r="M86" s="76">
        <f>资产资本表!M53</f>
        <v>554771287.60000002</v>
      </c>
      <c r="N86" s="76">
        <f>资产资本表!N53</f>
        <v>515231211.56</v>
      </c>
      <c r="O86" s="76">
        <f>资产资本表!O53</f>
        <v>442337179.86000001</v>
      </c>
      <c r="P86" s="76">
        <f>资产资本表!P53</f>
        <v>461155792.07999998</v>
      </c>
      <c r="Q86" s="76">
        <f>资产资本表!Q53</f>
        <v>384533672.73000002</v>
      </c>
      <c r="R86" s="76">
        <f>资产资本表!R53</f>
        <v>389754043.56</v>
      </c>
      <c r="S86" s="76">
        <f>资产资本表!S53</f>
        <v>375618975.69</v>
      </c>
      <c r="T86" s="76">
        <f>资产资本表!T53</f>
        <v>293040488.70999998</v>
      </c>
      <c r="U86" s="76">
        <f>资产资本表!U53</f>
        <v>223094343.47999999</v>
      </c>
      <c r="V86" s="76">
        <f>资产资本表!V53</f>
        <v>683382375.25999999</v>
      </c>
      <c r="W86" s="76">
        <f>资产资本表!W53</f>
        <v>599153056.07000005</v>
      </c>
      <c r="X86" s="76">
        <f>资产资本表!X53</f>
        <v>577888903.21000004</v>
      </c>
      <c r="Y86" s="76">
        <f>资产资本表!Y53</f>
        <v>855585255.33000004</v>
      </c>
      <c r="Z86" s="76">
        <f>资产资本表!Z53</f>
        <v>986738283.25</v>
      </c>
      <c r="AA86" s="76">
        <f>资产资本表!AA53</f>
        <v>966002053.88</v>
      </c>
      <c r="AB86" s="76">
        <f>资产资本表!AB53</f>
        <v>910719299.58000004</v>
      </c>
      <c r="AC86" s="76">
        <f>资产资本表!AC53</f>
        <v>787493319.77999997</v>
      </c>
      <c r="AD86" s="76">
        <f>资产资本表!AD53</f>
        <v>652572593.78999996</v>
      </c>
      <c r="AE86" s="76">
        <f>资产资本表!AE53</f>
        <v>633703948.47000003</v>
      </c>
      <c r="AF86" s="76">
        <f>资产资本表!AF53</f>
        <v>603595798.02999997</v>
      </c>
      <c r="AG86" s="76">
        <f>资产资本表!AG53</f>
        <v>514643508.64999998</v>
      </c>
      <c r="AH86" s="76">
        <f>资产资本表!AH53</f>
        <v>413532910.43000001</v>
      </c>
      <c r="AI86" s="76">
        <f>资产资本表!AI53</f>
        <v>353532910.43000001</v>
      </c>
      <c r="AJ86" s="76">
        <f>资产资本表!AJ53</f>
        <v>271382910.43000001</v>
      </c>
      <c r="AK86" s="76">
        <f>资产资本表!AK53</f>
        <v>218457910.43000001</v>
      </c>
      <c r="AL86" s="76">
        <f>资产资本表!AL53</f>
        <v>456047491.41000003</v>
      </c>
      <c r="AM86" s="76">
        <f>资产资本表!AM53</f>
        <v>422932472.19999999</v>
      </c>
      <c r="AN86" s="76">
        <f>资产资本表!AN53</f>
        <v>411554268.08999997</v>
      </c>
      <c r="AO86" s="76">
        <f>资产资本表!AO53</f>
        <v>327723836.08999997</v>
      </c>
      <c r="AP86" s="76">
        <f>资产资本表!AP53</f>
        <v>129382571.26000001</v>
      </c>
      <c r="AQ86" s="76">
        <f>资产资本表!AQ53</f>
        <v>129382571.26000001</v>
      </c>
      <c r="AR86" s="76">
        <f>资产资本表!AR53</f>
        <v>279097163.50999999</v>
      </c>
      <c r="AS86" s="76">
        <f>资产资本表!AS53</f>
        <v>322898322.74000001</v>
      </c>
      <c r="AT86" s="76">
        <f>资产资本表!AT53</f>
        <v>91207611.170000002</v>
      </c>
      <c r="AU86" s="76">
        <f>资产资本表!AU53</f>
        <v>52207611.170000002</v>
      </c>
      <c r="AV86" s="76">
        <f>资产资本表!AV53</f>
        <v>50577836.869999997</v>
      </c>
      <c r="AW86" s="76">
        <f>资产资本表!AW53</f>
        <v>18177836.870000001</v>
      </c>
      <c r="AX86" s="76">
        <f>资产资本表!AX53</f>
        <v>30237841.699999999</v>
      </c>
      <c r="AY86" s="76">
        <f>资产资本表!AY53</f>
        <v>29552394.699999999</v>
      </c>
      <c r="AZ86" s="76">
        <f>资产资本表!AZ53</f>
        <v>29552394.699999999</v>
      </c>
      <c r="BA86" s="76">
        <f>资产资本表!BA53</f>
        <v>29552394.699999999</v>
      </c>
      <c r="BB86" s="76">
        <f>资产资本表!BB53</f>
        <v>29567210.289999999</v>
      </c>
      <c r="BC86" s="76">
        <f>资产资本表!BC53</f>
        <v>29567210.289999999</v>
      </c>
      <c r="BD86" s="76">
        <f>资产资本表!BD53</f>
        <v>97643076.810000002</v>
      </c>
      <c r="BE86" s="76">
        <f>资产资本表!BE53</f>
        <v>123043076.81</v>
      </c>
      <c r="BF86" s="76">
        <f>资产资本表!BF53</f>
        <v>665769611.87</v>
      </c>
      <c r="BG86" s="76">
        <f>资产资本表!BG53</f>
        <v>668969611.87</v>
      </c>
      <c r="BH86" s="76">
        <f>资产资本表!BH53</f>
        <v>660331699.49000001</v>
      </c>
      <c r="BI86" s="76">
        <f>资产资本表!BI53</f>
        <v>619018667.15999997</v>
      </c>
      <c r="BJ86" s="76">
        <f>资产资本表!BJ53</f>
        <v>1419518505.3099999</v>
      </c>
      <c r="BK86" s="76">
        <f>资产资本表!BK53</f>
        <v>700560718.25999999</v>
      </c>
      <c r="BL86" s="76">
        <f>资产资本表!BL53</f>
        <v>844818644.94000006</v>
      </c>
      <c r="BM86" s="76">
        <f>资产资本表!BM53</f>
        <v>844818644.94000006</v>
      </c>
      <c r="BN86" s="76">
        <f>资产资本表!BN53</f>
        <v>126894081.58</v>
      </c>
      <c r="BO86" s="76">
        <f>资产资本表!BO53</f>
        <v>162667645.38999999</v>
      </c>
      <c r="BP86" s="76">
        <f>资产资本表!BP53</f>
        <v>399832678.99000001</v>
      </c>
      <c r="BQ86" s="76">
        <f>资产资本表!BQ53</f>
        <v>407129955.11000001</v>
      </c>
      <c r="BR86" s="76">
        <f>资产资本表!BR53</f>
        <v>0</v>
      </c>
      <c r="BS86" s="76">
        <f>资产资本表!BS53</f>
        <v>460000000</v>
      </c>
      <c r="BT86" s="76">
        <f>资产资本表!BT53</f>
        <v>375089152.60000002</v>
      </c>
      <c r="BU86" s="76">
        <f>资产资本表!BU53</f>
        <v>375088852.60000002</v>
      </c>
      <c r="BV86" s="76">
        <f>资产资本表!BV53</f>
        <v>375087726.19999999</v>
      </c>
      <c r="BW86" s="76">
        <f>资产资本表!BW53</f>
        <v>88107716.200000003</v>
      </c>
      <c r="BX86" s="76">
        <f>资产资本表!BX53</f>
        <v>24500000</v>
      </c>
      <c r="BY86" s="76">
        <f>资产资本表!BY53</f>
        <v>21500000</v>
      </c>
      <c r="BZ86" s="76">
        <f>资产资本表!BZ53</f>
        <v>273299036</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587</v>
      </c>
      <c r="E87" s="54">
        <f>E81/E86</f>
        <v>111.12226671403383</v>
      </c>
      <c r="F87" s="54">
        <f t="shared" ref="F87:BQ87" si="50">F81/F86</f>
        <v>74.790868692988909</v>
      </c>
      <c r="G87" s="54">
        <f t="shared" si="50"/>
        <v>48.133407815992783</v>
      </c>
      <c r="H87" s="54">
        <f t="shared" si="50"/>
        <v>29.155108908091002</v>
      </c>
      <c r="I87" s="54">
        <f t="shared" si="50"/>
        <v>83.8010135408217</v>
      </c>
      <c r="J87" s="54">
        <f t="shared" si="50"/>
        <v>26.036768744102471</v>
      </c>
      <c r="K87" s="54">
        <f t="shared" si="50"/>
        <v>20.343015269118695</v>
      </c>
      <c r="L87" s="54">
        <f t="shared" si="50"/>
        <v>14.205338426978358</v>
      </c>
      <c r="M87" s="54">
        <f t="shared" si="50"/>
        <v>39.041831911237502</v>
      </c>
      <c r="N87" s="54">
        <f t="shared" si="50"/>
        <v>29.368060431346589</v>
      </c>
      <c r="O87" s="54">
        <f t="shared" si="50"/>
        <v>25.354897841709093</v>
      </c>
      <c r="P87" s="54">
        <f t="shared" si="50"/>
        <v>14.605552374785214</v>
      </c>
      <c r="Q87" s="54">
        <f t="shared" si="50"/>
        <v>54.641486627084539</v>
      </c>
      <c r="R87" s="54">
        <f t="shared" si="50"/>
        <v>38.661085791532869</v>
      </c>
      <c r="S87" s="54">
        <f t="shared" si="50"/>
        <v>31.048838195265034</v>
      </c>
      <c r="T87" s="54">
        <f t="shared" si="50"/>
        <v>22.931478342298732</v>
      </c>
      <c r="U87" s="54">
        <f t="shared" si="50"/>
        <v>110.7988137772125</v>
      </c>
      <c r="V87" s="54">
        <f t="shared" si="50"/>
        <v>28.045553893818457</v>
      </c>
      <c r="W87" s="54">
        <f t="shared" si="50"/>
        <v>25.903026727625981</v>
      </c>
      <c r="X87" s="54">
        <f t="shared" si="50"/>
        <v>15.012919982661938</v>
      </c>
      <c r="Y87" s="54">
        <f t="shared" si="50"/>
        <v>31.792326693204327</v>
      </c>
      <c r="Z87" s="54">
        <f t="shared" si="50"/>
        <v>21.410544012811314</v>
      </c>
      <c r="AA87" s="54">
        <f t="shared" si="50"/>
        <v>15.579376206191302</v>
      </c>
      <c r="AB87" s="54">
        <f t="shared" si="50"/>
        <v>9.0375283321828821</v>
      </c>
      <c r="AC87" s="54">
        <f t="shared" si="50"/>
        <v>25.842243937250533</v>
      </c>
      <c r="AD87" s="54">
        <f t="shared" si="50"/>
        <v>23.980128247962906</v>
      </c>
      <c r="AE87" s="54">
        <f t="shared" si="50"/>
        <v>16.718895674833508</v>
      </c>
      <c r="AF87" s="54">
        <f t="shared" si="50"/>
        <v>10.345594021745711</v>
      </c>
      <c r="AG87" s="54">
        <f t="shared" si="50"/>
        <v>30.198186219461999</v>
      </c>
      <c r="AH87" s="54">
        <f t="shared" si="50"/>
        <v>27.740742953037234</v>
      </c>
      <c r="AI87" s="54">
        <f t="shared" si="50"/>
        <v>21.430949368404463</v>
      </c>
      <c r="AJ87" s="54">
        <f t="shared" si="50"/>
        <v>16.558248934798264</v>
      </c>
      <c r="AK87" s="54">
        <f t="shared" si="50"/>
        <v>50.944461236051751</v>
      </c>
      <c r="AL87" s="54">
        <f t="shared" si="50"/>
        <v>17.60711379322353</v>
      </c>
      <c r="AM87" s="54">
        <f t="shared" si="50"/>
        <v>12.628233306437521</v>
      </c>
      <c r="AN87" s="54">
        <f t="shared" si="50"/>
        <v>8.1127836241023985</v>
      </c>
      <c r="AO87" s="54">
        <f t="shared" si="50"/>
        <v>24.20656616820331</v>
      </c>
      <c r="AP87" s="54">
        <f t="shared" si="50"/>
        <v>50.846722190269752</v>
      </c>
      <c r="AQ87" s="54">
        <f t="shared" si="50"/>
        <v>35.532434069358288</v>
      </c>
      <c r="AR87" s="54">
        <f t="shared" si="50"/>
        <v>11.057609740270342</v>
      </c>
      <c r="AS87" s="54">
        <f t="shared" si="50"/>
        <v>22.696171907715371</v>
      </c>
      <c r="AT87" s="54">
        <f t="shared" si="50"/>
        <v>66.256127558329084</v>
      </c>
      <c r="AU87" s="54">
        <f t="shared" si="50"/>
        <v>83.184815064964013</v>
      </c>
      <c r="AV87" s="54">
        <f t="shared" si="50"/>
        <v>59.509318267726862</v>
      </c>
      <c r="AW87" s="54">
        <f t="shared" si="50"/>
        <v>406.32675242563113</v>
      </c>
      <c r="AX87" s="54">
        <f t="shared" si="50"/>
        <v>196.95596560848455</v>
      </c>
      <c r="AY87" s="54">
        <f t="shared" si="50"/>
        <v>148.78698966145035</v>
      </c>
      <c r="AZ87" s="54">
        <f t="shared" si="50"/>
        <v>92.393408032344666</v>
      </c>
      <c r="BA87" s="54">
        <f t="shared" si="50"/>
        <v>217.19903051782129</v>
      </c>
      <c r="BB87" s="54">
        <f t="shared" si="50"/>
        <v>168.01623252465458</v>
      </c>
      <c r="BC87" s="54">
        <f t="shared" si="50"/>
        <v>128.75794256070142</v>
      </c>
      <c r="BD87" s="54">
        <f t="shared" si="50"/>
        <v>25.290605277578614</v>
      </c>
      <c r="BE87" s="54">
        <f t="shared" si="50"/>
        <v>51.181940522379556</v>
      </c>
      <c r="BF87" s="54">
        <f t="shared" si="50"/>
        <v>6.8763757104370953</v>
      </c>
      <c r="BG87" s="54">
        <f t="shared" si="50"/>
        <v>5.1680978296841573</v>
      </c>
      <c r="BH87" s="54">
        <f t="shared" si="50"/>
        <v>3.7101707030454341</v>
      </c>
      <c r="BI87" s="54">
        <f t="shared" si="50"/>
        <v>10.23085560221573</v>
      </c>
      <c r="BJ87" s="54">
        <f t="shared" si="50"/>
        <v>3.2694107397046461</v>
      </c>
      <c r="BK87" s="54">
        <f t="shared" si="50"/>
        <v>4.8915318152597322</v>
      </c>
      <c r="BL87" s="54">
        <f t="shared" si="50"/>
        <v>2.6924806712232883</v>
      </c>
      <c r="BM87" s="54">
        <f t="shared" si="50"/>
        <v>6.7547247833945274</v>
      </c>
      <c r="BN87" s="54">
        <f t="shared" si="50"/>
        <v>35.331252542014738</v>
      </c>
      <c r="BO87" s="54">
        <f t="shared" si="50"/>
        <v>21.285113009712571</v>
      </c>
      <c r="BP87" s="54">
        <f t="shared" si="50"/>
        <v>5.6603796637558075</v>
      </c>
      <c r="BQ87" s="54">
        <f t="shared" si="50"/>
        <v>11.647620817703677</v>
      </c>
      <c r="BR87" s="54" t="e">
        <f t="shared" ref="BR87:CK87" si="51">BR81/BR86</f>
        <v>#DIV/0!</v>
      </c>
      <c r="BS87" s="54">
        <f t="shared" si="51"/>
        <v>6.1249870056086957</v>
      </c>
      <c r="BT87" s="54">
        <f t="shared" si="51"/>
        <v>5.3317981506458523</v>
      </c>
      <c r="BU87" s="54">
        <f t="shared" si="51"/>
        <v>10.540542891516472</v>
      </c>
      <c r="BV87" s="54">
        <f t="shared" si="51"/>
        <v>7.1121616293505907</v>
      </c>
      <c r="BW87" s="54">
        <f t="shared" si="51"/>
        <v>37.553930399117533</v>
      </c>
      <c r="BX87" s="54">
        <f t="shared" si="51"/>
        <v>77.587479978367341</v>
      </c>
      <c r="BY87" s="54">
        <f t="shared" si="51"/>
        <v>130.89983874976744</v>
      </c>
      <c r="BZ87" s="54">
        <f t="shared" si="51"/>
        <v>4.4289706211404276</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1761078.76</v>
      </c>
      <c r="F88" s="76">
        <f>资产资本表!F54</f>
        <v>1761078.76</v>
      </c>
      <c r="G88" s="76">
        <f>资产资本表!G54</f>
        <v>1761078.76</v>
      </c>
      <c r="H88" s="76">
        <f>资产资本表!H54</f>
        <v>1761078.76</v>
      </c>
      <c r="I88" s="76">
        <f>资产资本表!I54</f>
        <v>1667017.72</v>
      </c>
      <c r="J88" s="76">
        <f>资产资本表!J54</f>
        <v>1667017.72</v>
      </c>
      <c r="K88" s="76">
        <f>资产资本表!K54</f>
        <v>1667017.72</v>
      </c>
      <c r="L88" s="76">
        <f>资产资本表!L54</f>
        <v>1667017.72</v>
      </c>
      <c r="M88" s="76">
        <f>资产资本表!M54</f>
        <v>1667017.72</v>
      </c>
      <c r="N88" s="76">
        <f>资产资本表!N54</f>
        <v>2345837.34</v>
      </c>
      <c r="O88" s="76">
        <f>资产资本表!O54</f>
        <v>2345837.34</v>
      </c>
      <c r="P88" s="76">
        <f>资产资本表!P54</f>
        <v>0</v>
      </c>
      <c r="Q88" s="76">
        <f>资产资本表!Q54</f>
        <v>0</v>
      </c>
      <c r="R88" s="76">
        <f>资产资本表!R54</f>
        <v>0</v>
      </c>
      <c r="S88" s="76">
        <f>资产资本表!S54</f>
        <v>886472.77</v>
      </c>
      <c r="T88" s="76">
        <f>资产资本表!T54</f>
        <v>886472.77</v>
      </c>
      <c r="U88" s="76">
        <f>资产资本表!U54</f>
        <v>1755346.28</v>
      </c>
      <c r="V88" s="76">
        <f>资产资本表!V54</f>
        <v>1755346.28</v>
      </c>
      <c r="W88" s="76">
        <f>资产资本表!W54</f>
        <v>1360425.6</v>
      </c>
      <c r="X88" s="76">
        <f>资产资本表!X54</f>
        <v>868873.51</v>
      </c>
      <c r="Y88" s="76">
        <f>资产资本表!Y54</f>
        <v>868873.51</v>
      </c>
      <c r="Z88" s="76">
        <f>资产资本表!Z54</f>
        <v>868873.51</v>
      </c>
      <c r="AA88" s="76">
        <f>资产资本表!AA54</f>
        <v>868873.51</v>
      </c>
      <c r="AB88" s="76">
        <f>资产资本表!AB54</f>
        <v>4618186.3099999996</v>
      </c>
      <c r="AC88" s="76">
        <f>资产资本表!AC54</f>
        <v>4618186.3099999996</v>
      </c>
      <c r="AD88" s="76">
        <f>资产资本表!AD54</f>
        <v>3959809.39</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89194</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288961.94</v>
      </c>
      <c r="F89" s="76">
        <f>资产资本表!F55</f>
        <v>415003.29</v>
      </c>
      <c r="G89" s="76">
        <f>资产资本表!G55</f>
        <v>462889.13</v>
      </c>
      <c r="H89" s="76">
        <f>资产资本表!H55</f>
        <v>428414.15</v>
      </c>
      <c r="I89" s="76">
        <f>资产资本表!I55</f>
        <v>376757.14</v>
      </c>
      <c r="J89" s="76">
        <f>资产资本表!J55</f>
        <v>3915320.77</v>
      </c>
      <c r="K89" s="76">
        <f>资产资本表!K55</f>
        <v>547544.29</v>
      </c>
      <c r="L89" s="76">
        <f>资产资本表!L55</f>
        <v>29416.67</v>
      </c>
      <c r="M89" s="76">
        <f>资产资本表!M55</f>
        <v>77252.92</v>
      </c>
      <c r="N89" s="76">
        <f>资产资本表!N55</f>
        <v>116193.38</v>
      </c>
      <c r="O89" s="76">
        <f>资产资本表!O55</f>
        <v>104795.98</v>
      </c>
      <c r="P89" s="76">
        <f>资产资本表!P55</f>
        <v>588148.86</v>
      </c>
      <c r="Q89" s="76">
        <f>资产资本表!Q55</f>
        <v>0</v>
      </c>
      <c r="R89" s="76">
        <f>资产资本表!R55</f>
        <v>16879528.420000002</v>
      </c>
      <c r="S89" s="76">
        <f>资产资本表!S55</f>
        <v>17486607.289999999</v>
      </c>
      <c r="T89" s="76">
        <f>资产资本表!T55</f>
        <v>3089634.06</v>
      </c>
      <c r="U89" s="76">
        <f>资产资本表!U55</f>
        <v>23060688.899999999</v>
      </c>
      <c r="V89" s="76">
        <f>资产资本表!V55</f>
        <v>1450865.12</v>
      </c>
      <c r="W89" s="76">
        <f>资产资本表!W55</f>
        <v>3030629.26</v>
      </c>
      <c r="X89" s="76">
        <f>资产资本表!X55</f>
        <v>16439.16</v>
      </c>
      <c r="Y89" s="76">
        <f>资产资本表!Y55</f>
        <v>0</v>
      </c>
      <c r="Z89" s="76">
        <f>资产资本表!Z55</f>
        <v>505169.2</v>
      </c>
      <c r="AA89" s="76">
        <f>资产资本表!AA55</f>
        <v>254378.39</v>
      </c>
      <c r="AB89" s="76">
        <f>资产资本表!AB55</f>
        <v>793603.03</v>
      </c>
      <c r="AC89" s="76">
        <f>资产资本表!AC55</f>
        <v>0</v>
      </c>
      <c r="AD89" s="76">
        <f>资产资本表!AD55</f>
        <v>3917205.74</v>
      </c>
      <c r="AE89" s="76">
        <f>资产资本表!AE55</f>
        <v>20126.830000000002</v>
      </c>
      <c r="AF89" s="76">
        <f>资产资本表!AF55</f>
        <v>-321275.59999999998</v>
      </c>
      <c r="AG89" s="76">
        <f>资产资本表!AG55</f>
        <v>0</v>
      </c>
      <c r="AH89" s="76">
        <f>资产资本表!AH55</f>
        <v>-77395.37</v>
      </c>
      <c r="AI89" s="76">
        <f>资产资本表!AI55</f>
        <v>152293.06</v>
      </c>
      <c r="AJ89" s="76">
        <f>资产资本表!AJ55</f>
        <v>-3189.36</v>
      </c>
      <c r="AK89" s="76">
        <f>资产资本表!AK55</f>
        <v>0</v>
      </c>
      <c r="AL89" s="76">
        <f>资产资本表!AL55</f>
        <v>251869.68</v>
      </c>
      <c r="AM89" s="76">
        <f>资产资本表!AM55</f>
        <v>284937.68</v>
      </c>
      <c r="AN89" s="76">
        <f>资产资本表!AN55</f>
        <v>293896.46000000002</v>
      </c>
      <c r="AO89" s="76">
        <f>资产资本表!AO55</f>
        <v>0</v>
      </c>
      <c r="AP89" s="76">
        <f>资产资本表!AP55</f>
        <v>2010620.24</v>
      </c>
      <c r="AQ89" s="76">
        <f>资产资本表!AQ55</f>
        <v>1947340.32</v>
      </c>
      <c r="AR89" s="76">
        <f>资产资本表!AR55</f>
        <v>2195635.52</v>
      </c>
      <c r="AS89" s="76">
        <f>资产资本表!AS55</f>
        <v>0</v>
      </c>
      <c r="AT89" s="76">
        <f>资产资本表!AT55</f>
        <v>321143.26</v>
      </c>
      <c r="AU89" s="76">
        <f>资产资本表!AU55</f>
        <v>400255.66</v>
      </c>
      <c r="AV89" s="76">
        <f>资产资本表!AV55</f>
        <v>152167.29</v>
      </c>
      <c r="AW89" s="76">
        <f>资产资本表!AW55</f>
        <v>0</v>
      </c>
      <c r="AX89" s="76">
        <f>资产资本表!AX55</f>
        <v>1347170.96</v>
      </c>
      <c r="AY89" s="76">
        <f>资产资本表!AY55</f>
        <v>0</v>
      </c>
      <c r="AZ89" s="76">
        <f>资产资本表!AZ55</f>
        <v>431491.66</v>
      </c>
      <c r="BA89" s="76">
        <f>资产资本表!BA55</f>
        <v>0</v>
      </c>
      <c r="BB89" s="76">
        <f>资产资本表!BB55</f>
        <v>320852.43</v>
      </c>
      <c r="BC89" s="76">
        <f>资产资本表!BC55</f>
        <v>-16338.42</v>
      </c>
      <c r="BD89" s="76">
        <f>资产资本表!BD55</f>
        <v>78396.740000000005</v>
      </c>
      <c r="BE89" s="76">
        <f>资产资本表!BE55</f>
        <v>0</v>
      </c>
      <c r="BF89" s="76">
        <f>资产资本表!BF55</f>
        <v>711059.3</v>
      </c>
      <c r="BG89" s="76">
        <f>资产资本表!BG55</f>
        <v>18337.099999999999</v>
      </c>
      <c r="BH89" s="76">
        <f>资产资本表!BH55</f>
        <v>4818.46</v>
      </c>
      <c r="BI89" s="76">
        <f>资产资本表!BI55</f>
        <v>0</v>
      </c>
      <c r="BJ89" s="76">
        <f>资产资本表!BJ55</f>
        <v>2469421.9900000002</v>
      </c>
      <c r="BK89" s="76">
        <f>资产资本表!BK55</f>
        <v>3450286.61</v>
      </c>
      <c r="BL89" s="76">
        <f>资产资本表!BL55</f>
        <v>308063.73</v>
      </c>
      <c r="BM89" s="76">
        <f>资产资本表!BM55</f>
        <v>0</v>
      </c>
      <c r="BN89" s="76">
        <f>资产资本表!BN55</f>
        <v>21704.28</v>
      </c>
      <c r="BO89" s="76">
        <f>资产资本表!BO55</f>
        <v>14580.65</v>
      </c>
      <c r="BP89" s="76">
        <f>资产资本表!BP55</f>
        <v>13860.65</v>
      </c>
      <c r="BQ89" s="76">
        <f>资产资本表!BQ55</f>
        <v>0</v>
      </c>
      <c r="BR89" s="76">
        <f>资产资本表!BR55</f>
        <v>0</v>
      </c>
      <c r="BS89" s="76">
        <f>资产资本表!BS55</f>
        <v>5459040.46</v>
      </c>
      <c r="BT89" s="76">
        <f>资产资本表!BT55</f>
        <v>5534040.46</v>
      </c>
      <c r="BU89" s="76">
        <f>资产资本表!BU55</f>
        <v>5531581.5599999996</v>
      </c>
      <c r="BV89" s="76">
        <f>资产资本表!BV55</f>
        <v>0</v>
      </c>
      <c r="BW89" s="76">
        <f>资产资本表!BW55</f>
        <v>0</v>
      </c>
      <c r="BX89" s="76">
        <f>资产资本表!BX55</f>
        <v>153.43</v>
      </c>
      <c r="BY89" s="76">
        <f>资产资本表!BY55</f>
        <v>0</v>
      </c>
      <c r="BZ89" s="76">
        <f>资产资本表!BZ55</f>
        <v>-32684.51</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399362442.36000001</v>
      </c>
      <c r="F92" s="76">
        <f>资产资本表!F58</f>
        <v>401014121.88</v>
      </c>
      <c r="G92" s="76">
        <f>资产资本表!G58</f>
        <v>402106287.05000001</v>
      </c>
      <c r="H92" s="76">
        <f>资产资本表!H58</f>
        <v>403375212.81999999</v>
      </c>
      <c r="I92" s="76">
        <f>资产资本表!I58</f>
        <v>402445490.66000003</v>
      </c>
      <c r="J92" s="76">
        <f>资产资本表!J58</f>
        <v>405058608.17000002</v>
      </c>
      <c r="K92" s="76">
        <f>资产资本表!K58</f>
        <v>408260788.24000001</v>
      </c>
      <c r="L92" s="76">
        <f>资产资本表!L58</f>
        <v>410580251.26999998</v>
      </c>
      <c r="M92" s="76">
        <f>资产资本表!M58</f>
        <v>411690665.44999999</v>
      </c>
      <c r="N92" s="76">
        <f>资产资本表!N58</f>
        <v>413781641.51999998</v>
      </c>
      <c r="O92" s="76">
        <f>资产资本表!O58</f>
        <v>416329498.33999997</v>
      </c>
      <c r="P92" s="76">
        <f>资产资本表!P58</f>
        <v>418798824.29000002</v>
      </c>
      <c r="Q92" s="76">
        <f>资产资本表!Q58</f>
        <v>421573592.33999997</v>
      </c>
      <c r="R92" s="76">
        <f>资产资本表!R58</f>
        <v>407530654.27999997</v>
      </c>
      <c r="S92" s="76">
        <f>资产资本表!S58</f>
        <v>289485867.45999998</v>
      </c>
      <c r="T92" s="76">
        <f>资产资本表!T58</f>
        <v>291516506.41000003</v>
      </c>
      <c r="U92" s="76">
        <f>资产资本表!U58</f>
        <v>293642157.83999997</v>
      </c>
      <c r="V92" s="76">
        <f>资产资本表!V58</f>
        <v>286159461.87</v>
      </c>
      <c r="W92" s="76">
        <f>资产资本表!W58</f>
        <v>286508406.24000001</v>
      </c>
      <c r="X92" s="76">
        <f>资产资本表!X58</f>
        <v>287842307.35000002</v>
      </c>
      <c r="Y92" s="76">
        <f>资产资本表!Y58</f>
        <v>289762684.52999997</v>
      </c>
      <c r="Z92" s="76">
        <f>资产资本表!Z58</f>
        <v>291861174.47000003</v>
      </c>
      <c r="AA92" s="76">
        <f>资产资本表!AA58</f>
        <v>294151982.13</v>
      </c>
      <c r="AB92" s="76">
        <f>资产资本表!AB58</f>
        <v>296216674.35000002</v>
      </c>
      <c r="AC92" s="76">
        <f>资产资本表!AC58</f>
        <v>297477470.22000003</v>
      </c>
      <c r="AD92" s="76">
        <f>资产资本表!AD58</f>
        <v>294440574.5</v>
      </c>
      <c r="AE92" s="76">
        <f>资产资本表!AE58</f>
        <v>296094213.19</v>
      </c>
      <c r="AF92" s="76">
        <f>资产资本表!AF58</f>
        <v>297864163.10000002</v>
      </c>
      <c r="AG92" s="76">
        <f>资产资本表!AG58</f>
        <v>299598624.00999999</v>
      </c>
      <c r="AH92" s="76">
        <f>资产资本表!AH58</f>
        <v>301379560.60000002</v>
      </c>
      <c r="AI92" s="76">
        <f>资产资本表!AI58</f>
        <v>303567227.47000003</v>
      </c>
      <c r="AJ92" s="76">
        <f>资产资本表!AJ58</f>
        <v>305889251.11000001</v>
      </c>
      <c r="AK92" s="76">
        <f>资产资本表!AK58</f>
        <v>308093817.98000002</v>
      </c>
      <c r="AL92" s="76">
        <f>资产资本表!AL58</f>
        <v>310308703.5</v>
      </c>
      <c r="AM92" s="76">
        <f>资产资本表!AM58</f>
        <v>312590026.97000003</v>
      </c>
      <c r="AN92" s="76">
        <f>资产资本表!AN58</f>
        <v>60505086.25</v>
      </c>
      <c r="AO92" s="76">
        <f>资产资本表!AO58</f>
        <v>60901622.469999999</v>
      </c>
      <c r="AP92" s="76">
        <f>资产资本表!AP58</f>
        <v>61445140.880000003</v>
      </c>
      <c r="AQ92" s="76">
        <f>资产资本表!AQ58</f>
        <v>61813677.100000001</v>
      </c>
      <c r="AR92" s="76">
        <f>资产资本表!AR58</f>
        <v>62091231.130000003</v>
      </c>
      <c r="AS92" s="76">
        <f>资产资本表!AS58</f>
        <v>62487767.350000001</v>
      </c>
      <c r="AT92" s="76">
        <f>资产资本表!AT58</f>
        <v>62884303.57</v>
      </c>
      <c r="AU92" s="76">
        <f>资产资本表!AU58</f>
        <v>63280839.789999999</v>
      </c>
      <c r="AV92" s="76">
        <f>资产资本表!AV58</f>
        <v>63677376.009999998</v>
      </c>
      <c r="AW92" s="76">
        <f>资产资本表!AW58</f>
        <v>64073912.229999997</v>
      </c>
      <c r="AX92" s="76">
        <f>资产资本表!AX58</f>
        <v>64470448.450000003</v>
      </c>
      <c r="AY92" s="76">
        <f>资产资本表!AY58</f>
        <v>64866984.670000002</v>
      </c>
      <c r="AZ92" s="76">
        <f>资产资本表!AZ58</f>
        <v>65263520.890000001</v>
      </c>
      <c r="BA92" s="76">
        <f>资产资本表!BA58</f>
        <v>65660057.109999999</v>
      </c>
      <c r="BB92" s="76">
        <f>资产资本表!BB58</f>
        <v>66056593.329999998</v>
      </c>
      <c r="BC92" s="76">
        <f>资产资本表!BC58</f>
        <v>66453129.549999997</v>
      </c>
      <c r="BD92" s="76">
        <f>资产资本表!BD58</f>
        <v>66849665.770000003</v>
      </c>
      <c r="BE92" s="76">
        <f>资产资本表!BE58</f>
        <v>67246201.989999995</v>
      </c>
      <c r="BF92" s="76">
        <f>资产资本表!BF58</f>
        <v>67642738.209999993</v>
      </c>
      <c r="BG92" s="76">
        <f>资产资本表!BG58</f>
        <v>68039274.430000007</v>
      </c>
      <c r="BH92" s="76">
        <f>资产资本表!BH58</f>
        <v>68435812.170000002</v>
      </c>
      <c r="BI92" s="76">
        <f>资产资本表!BI58</f>
        <v>68832346.870000005</v>
      </c>
      <c r="BJ92" s="76">
        <f>资产资本表!BJ58</f>
        <v>69228883.090000004</v>
      </c>
      <c r="BK92" s="76">
        <f>资产资本表!BK58</f>
        <v>69625419.310000002</v>
      </c>
      <c r="BL92" s="76">
        <f>资产资本表!BL58</f>
        <v>69900957.549999997</v>
      </c>
      <c r="BM92" s="76">
        <f>资产资本表!BM58</f>
        <v>70298083.719999999</v>
      </c>
      <c r="BN92" s="76">
        <f>资产资本表!BN58</f>
        <v>72597881.879999995</v>
      </c>
      <c r="BO92" s="76">
        <f>资产资本表!BO58</f>
        <v>73034046.689999998</v>
      </c>
      <c r="BP92" s="76">
        <f>资产资本表!BP58</f>
        <v>73098044.840000004</v>
      </c>
      <c r="BQ92" s="76">
        <f>资产资本表!BQ58</f>
        <v>73559143.010000005</v>
      </c>
      <c r="BR92" s="76">
        <f>资产资本表!BR58</f>
        <v>0</v>
      </c>
      <c r="BS92" s="76">
        <f>资产资本表!BS58</f>
        <v>73598684.810000002</v>
      </c>
      <c r="BT92" s="76">
        <f>资产资本表!BT58</f>
        <v>74026010.75</v>
      </c>
      <c r="BU92" s="76">
        <f>资产资本表!BU58</f>
        <v>58765770.75</v>
      </c>
      <c r="BV92" s="76">
        <f>资产资本表!BV58</f>
        <v>59482506.689999998</v>
      </c>
      <c r="BW92" s="76">
        <f>资产资本表!BW58</f>
        <v>58139409.280000001</v>
      </c>
      <c r="BX92" s="76">
        <f>资产资本表!BX58</f>
        <v>65587064.039999999</v>
      </c>
      <c r="BY92" s="76">
        <f>资产资本表!BY58</f>
        <v>66981120.990000002</v>
      </c>
      <c r="BZ92" s="76">
        <f>资产资本表!BZ58</f>
        <v>65983463.460000001</v>
      </c>
      <c r="CA92" s="76">
        <f>资产资本表!CA58</f>
        <v>63478146.789999999</v>
      </c>
      <c r="CB92" s="76">
        <f>资产资本表!CB58</f>
        <v>48623979.789999999</v>
      </c>
      <c r="CC92" s="76">
        <f>资产资本表!CC58</f>
        <v>48623979.789999999</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691</v>
      </c>
      <c r="E93" s="154">
        <f>E81/E92</f>
        <v>75.587429380573866</v>
      </c>
      <c r="F93" s="154">
        <f t="shared" ref="F93:BQ93" si="52">F81/F92</f>
        <v>54.805044088389003</v>
      </c>
      <c r="G93" s="154">
        <f t="shared" si="52"/>
        <v>38.848255209244179</v>
      </c>
      <c r="H93" s="154">
        <f t="shared" si="52"/>
        <v>25.184511086042395</v>
      </c>
      <c r="I93" s="154">
        <f t="shared" si="52"/>
        <v>60.986626090253431</v>
      </c>
      <c r="J93" s="154">
        <f t="shared" si="52"/>
        <v>43.696500889524593</v>
      </c>
      <c r="K93" s="154">
        <f t="shared" si="52"/>
        <v>32.468556931868626</v>
      </c>
      <c r="L93" s="154">
        <f t="shared" si="52"/>
        <v>21.495345151577339</v>
      </c>
      <c r="M93" s="154">
        <f t="shared" si="52"/>
        <v>52.610586484843509</v>
      </c>
      <c r="N93" s="154">
        <f t="shared" si="52"/>
        <v>36.568421212758494</v>
      </c>
      <c r="O93" s="154">
        <f t="shared" si="52"/>
        <v>26.938792594947984</v>
      </c>
      <c r="P93" s="154">
        <f t="shared" si="52"/>
        <v>16.08274589972584</v>
      </c>
      <c r="Q93" s="154">
        <f t="shared" si="52"/>
        <v>49.840625499128009</v>
      </c>
      <c r="R93" s="154">
        <f t="shared" si="52"/>
        <v>36.974677505651123</v>
      </c>
      <c r="S93" s="154">
        <f t="shared" si="52"/>
        <v>40.287054085227439</v>
      </c>
      <c r="T93" s="154">
        <f t="shared" si="52"/>
        <v>23.0513589196865</v>
      </c>
      <c r="U93" s="154">
        <f t="shared" si="52"/>
        <v>84.179290875047613</v>
      </c>
      <c r="V93" s="154">
        <f t="shared" si="52"/>
        <v>66.976073795340326</v>
      </c>
      <c r="W93" s="154">
        <f t="shared" si="52"/>
        <v>54.169013150418479</v>
      </c>
      <c r="X93" s="154">
        <f t="shared" si="52"/>
        <v>30.140808495572252</v>
      </c>
      <c r="Y93" s="154">
        <f t="shared" si="52"/>
        <v>93.873529628083617</v>
      </c>
      <c r="Z93" s="154">
        <f t="shared" si="52"/>
        <v>72.385796024477983</v>
      </c>
      <c r="AA93" s="154">
        <f t="shared" si="52"/>
        <v>51.16303927096709</v>
      </c>
      <c r="AB93" s="154">
        <f t="shared" si="52"/>
        <v>27.785915464350023</v>
      </c>
      <c r="AC93" s="154">
        <f t="shared" si="52"/>
        <v>68.410540313051868</v>
      </c>
      <c r="AD93" s="154">
        <f t="shared" si="52"/>
        <v>53.147479815795563</v>
      </c>
      <c r="AE93" s="154">
        <f t="shared" si="52"/>
        <v>35.781956320778988</v>
      </c>
      <c r="AF93" s="154">
        <f t="shared" si="52"/>
        <v>20.964445721365799</v>
      </c>
      <c r="AG93" s="154">
        <f t="shared" si="52"/>
        <v>51.873737945910136</v>
      </c>
      <c r="AH93" s="154">
        <f t="shared" si="52"/>
        <v>38.063995275663693</v>
      </c>
      <c r="AI93" s="154">
        <f t="shared" si="52"/>
        <v>24.958378961506149</v>
      </c>
      <c r="AJ93" s="154">
        <f t="shared" si="52"/>
        <v>14.690368397201572</v>
      </c>
      <c r="AK93" s="154">
        <f t="shared" si="52"/>
        <v>36.122829800929196</v>
      </c>
      <c r="AL93" s="154">
        <f t="shared" si="52"/>
        <v>25.876425591040505</v>
      </c>
      <c r="AM93" s="154">
        <f t="shared" si="52"/>
        <v>17.085925560646814</v>
      </c>
      <c r="AN93" s="154">
        <f t="shared" si="52"/>
        <v>55.182976069057339</v>
      </c>
      <c r="AO93" s="154">
        <f t="shared" si="52"/>
        <v>130.26038390221561</v>
      </c>
      <c r="AP93" s="154">
        <f t="shared" si="52"/>
        <v>107.06590566645308</v>
      </c>
      <c r="AQ93" s="154">
        <f t="shared" si="52"/>
        <v>74.373146829344677</v>
      </c>
      <c r="AR93" s="154">
        <f t="shared" si="52"/>
        <v>49.703435695268361</v>
      </c>
      <c r="AS93" s="154">
        <f t="shared" si="52"/>
        <v>117.27984775919506</v>
      </c>
      <c r="AT93" s="154">
        <f t="shared" si="52"/>
        <v>96.098116332689159</v>
      </c>
      <c r="AU93" s="154">
        <f t="shared" si="52"/>
        <v>68.628679622015483</v>
      </c>
      <c r="AV93" s="154">
        <f t="shared" si="52"/>
        <v>47.267220796242107</v>
      </c>
      <c r="AW93" s="154">
        <f t="shared" si="52"/>
        <v>115.27533069928171</v>
      </c>
      <c r="AX93" s="154">
        <f t="shared" si="52"/>
        <v>92.376018053586208</v>
      </c>
      <c r="AY93" s="154">
        <f t="shared" si="52"/>
        <v>67.785050701355502</v>
      </c>
      <c r="AZ93" s="154">
        <f t="shared" si="52"/>
        <v>41.837253409176277</v>
      </c>
      <c r="BA93" s="154">
        <f t="shared" si="52"/>
        <v>97.757324023746946</v>
      </c>
      <c r="BB93" s="154">
        <f t="shared" si="52"/>
        <v>75.204775613729026</v>
      </c>
      <c r="BC93" s="154">
        <f t="shared" si="52"/>
        <v>57.288696408730686</v>
      </c>
      <c r="BD93" s="154">
        <f t="shared" si="52"/>
        <v>36.940386840321523</v>
      </c>
      <c r="BE93" s="154">
        <f t="shared" si="52"/>
        <v>93.649652361281255</v>
      </c>
      <c r="BF93" s="154">
        <f t="shared" si="52"/>
        <v>67.680317340157558</v>
      </c>
      <c r="BG93" s="154">
        <f t="shared" si="52"/>
        <v>50.813304935915077</v>
      </c>
      <c r="BH93" s="154">
        <f t="shared" si="52"/>
        <v>35.799141532128608</v>
      </c>
      <c r="BI93" s="154">
        <f t="shared" si="52"/>
        <v>92.007477396506204</v>
      </c>
      <c r="BJ93" s="154">
        <f t="shared" si="52"/>
        <v>67.038334858538022</v>
      </c>
      <c r="BK93" s="154">
        <f t="shared" si="52"/>
        <v>49.217872952871694</v>
      </c>
      <c r="BL93" s="154">
        <f t="shared" si="52"/>
        <v>32.541154683938949</v>
      </c>
      <c r="BM93" s="154">
        <f t="shared" si="52"/>
        <v>81.176002765299842</v>
      </c>
      <c r="BN93" s="154">
        <f t="shared" si="52"/>
        <v>61.755614988887338</v>
      </c>
      <c r="BO93" s="154">
        <f t="shared" si="52"/>
        <v>47.408015467724049</v>
      </c>
      <c r="BP93" s="154">
        <f t="shared" si="52"/>
        <v>30.961221603310939</v>
      </c>
      <c r="BQ93" s="154">
        <f t="shared" si="52"/>
        <v>64.466429958344335</v>
      </c>
      <c r="BR93" s="154" t="e">
        <f t="shared" ref="BR93:CK93" si="53">BR81/BR92</f>
        <v>#DIV/0!</v>
      </c>
      <c r="BS93" s="154">
        <f t="shared" si="53"/>
        <v>38.281852859919333</v>
      </c>
      <c r="BT93" s="154">
        <f t="shared" si="53"/>
        <v>27.016174853917818</v>
      </c>
      <c r="BU93" s="154">
        <f t="shared" si="53"/>
        <v>67.277942388937362</v>
      </c>
      <c r="BV93" s="154">
        <f t="shared" si="53"/>
        <v>44.848219793811786</v>
      </c>
      <c r="BW93" s="154">
        <f t="shared" si="53"/>
        <v>56.911328869284311</v>
      </c>
      <c r="BX93" s="154">
        <f t="shared" si="53"/>
        <v>28.982746632944114</v>
      </c>
      <c r="BY93" s="154">
        <f t="shared" si="53"/>
        <v>42.017011532849232</v>
      </c>
      <c r="BZ93" s="154">
        <f t="shared" si="53"/>
        <v>18.344496298891311</v>
      </c>
      <c r="CA93" s="154">
        <f t="shared" si="53"/>
        <v>34.727768957289058</v>
      </c>
      <c r="CB93" s="154">
        <f t="shared" si="53"/>
        <v>26.935205555086053</v>
      </c>
      <c r="CC93" s="154">
        <f t="shared" si="53"/>
        <v>18.811781333212011</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118000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1621619.53</v>
      </c>
      <c r="F95" s="76">
        <f>资产资本表!F60</f>
        <v>1621619.53</v>
      </c>
      <c r="G95" s="76">
        <f>资产资本表!G60</f>
        <v>1621619.53</v>
      </c>
      <c r="H95" s="76">
        <f>资产资本表!H60</f>
        <v>1621619.53</v>
      </c>
      <c r="I95" s="76">
        <f>资产资本表!I60</f>
        <v>1621619.53</v>
      </c>
      <c r="J95" s="76">
        <f>资产资本表!J60</f>
        <v>1621619.53</v>
      </c>
      <c r="K95" s="76">
        <f>资产资本表!K60</f>
        <v>1621619.53</v>
      </c>
      <c r="L95" s="76">
        <f>资产资本表!L60</f>
        <v>1621619.53</v>
      </c>
      <c r="M95" s="76">
        <f>资产资本表!M60</f>
        <v>1621619.53</v>
      </c>
      <c r="N95" s="76">
        <f>资产资本表!N60</f>
        <v>1621619.53</v>
      </c>
      <c r="O95" s="76">
        <f>资产资本表!O60</f>
        <v>1621619.53</v>
      </c>
      <c r="P95" s="76">
        <f>资产资本表!P60</f>
        <v>1621619.53</v>
      </c>
      <c r="Q95" s="76">
        <f>资产资本表!Q60</f>
        <v>1621619.53</v>
      </c>
      <c r="R95" s="76">
        <f>资产资本表!R60</f>
        <v>1621619.53</v>
      </c>
      <c r="S95" s="76">
        <f>资产资本表!S60</f>
        <v>1621619.53</v>
      </c>
      <c r="T95" s="76">
        <f>资产资本表!T60</f>
        <v>1621619.53</v>
      </c>
      <c r="U95" s="76">
        <f>资产资本表!U60</f>
        <v>1621619.53</v>
      </c>
      <c r="V95" s="76">
        <f>资产资本表!V60</f>
        <v>1621619.53</v>
      </c>
      <c r="W95" s="76">
        <f>资产资本表!W60</f>
        <v>1621619.53</v>
      </c>
      <c r="X95" s="76">
        <f>资产资本表!X60</f>
        <v>1621619.53</v>
      </c>
      <c r="Y95" s="76">
        <f>资产资本表!Y60</f>
        <v>1621619.53</v>
      </c>
      <c r="Z95" s="76">
        <f>资产资本表!Z60</f>
        <v>1621619.53</v>
      </c>
      <c r="AA95" s="76">
        <f>资产资本表!AA60</f>
        <v>1621619.53</v>
      </c>
      <c r="AB95" s="76">
        <f>资产资本表!AB60</f>
        <v>1621619.53</v>
      </c>
      <c r="AC95" s="76">
        <f>资产资本表!AC60</f>
        <v>1621619.53</v>
      </c>
      <c r="AD95" s="76">
        <f>资产资本表!AD60</f>
        <v>1621619.53</v>
      </c>
      <c r="AE95" s="76">
        <f>资产资本表!AE60</f>
        <v>1621619.53</v>
      </c>
      <c r="AF95" s="76">
        <f>资产资本表!AF60</f>
        <v>1621619.53</v>
      </c>
      <c r="AG95" s="76">
        <f>资产资本表!AG60</f>
        <v>1621619.53</v>
      </c>
      <c r="AH95" s="76">
        <f>资产资本表!AH60</f>
        <v>1621619.53</v>
      </c>
      <c r="AI95" s="76">
        <f>资产资本表!AI60</f>
        <v>1621619.53</v>
      </c>
      <c r="AJ95" s="76">
        <f>资产资本表!AJ60</f>
        <v>1621619.53</v>
      </c>
      <c r="AK95" s="76">
        <f>资产资本表!AK60</f>
        <v>1621619.53</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131727256.62</v>
      </c>
      <c r="F96" s="76">
        <f>资产资本表!F61</f>
        <v>118149951.62</v>
      </c>
      <c r="G96" s="76">
        <f>资产资本表!G61</f>
        <v>125281603.20999999</v>
      </c>
      <c r="H96" s="76">
        <f>资产资本表!H61</f>
        <v>123455998.7</v>
      </c>
      <c r="I96" s="76">
        <f>资产资本表!I61</f>
        <v>125948144.17</v>
      </c>
      <c r="J96" s="76">
        <f>资产资本表!J61</f>
        <v>96525402.329999998</v>
      </c>
      <c r="K96" s="76">
        <f>资产资本表!K61</f>
        <v>96261860.170000002</v>
      </c>
      <c r="L96" s="76">
        <f>资产资本表!L61</f>
        <v>102748671.52</v>
      </c>
      <c r="M96" s="76">
        <f>资产资本表!M61</f>
        <v>88655857.090000004</v>
      </c>
      <c r="N96" s="76">
        <f>资产资本表!N61</f>
        <v>96448663.359999999</v>
      </c>
      <c r="O96" s="76">
        <f>资产资本表!O61</f>
        <v>81558733.780000001</v>
      </c>
      <c r="P96" s="76">
        <f>资产资本表!P61</f>
        <v>55458375.509999998</v>
      </c>
      <c r="Q96" s="76">
        <f>资产资本表!Q61</f>
        <v>52451701.799999997</v>
      </c>
      <c r="R96" s="76">
        <f>资产资本表!R61</f>
        <v>47321964.009999998</v>
      </c>
      <c r="S96" s="76">
        <f>资产资本表!S61</f>
        <v>52857869.810000002</v>
      </c>
      <c r="T96" s="76">
        <f>资产资本表!T61</f>
        <v>57004033.350000001</v>
      </c>
      <c r="U96" s="76">
        <f>资产资本表!U61</f>
        <v>62472496.579999998</v>
      </c>
      <c r="V96" s="76">
        <f>资产资本表!V61</f>
        <v>62706969.280000001</v>
      </c>
      <c r="W96" s="76">
        <f>资产资本表!W61</f>
        <v>68217230.219999999</v>
      </c>
      <c r="X96" s="76">
        <f>资产资本表!X61</f>
        <v>76264499.430000007</v>
      </c>
      <c r="Y96" s="76">
        <f>资产资本表!Y61</f>
        <v>74221410.430000007</v>
      </c>
      <c r="Z96" s="76">
        <f>资产资本表!Z61</f>
        <v>51744500.789999999</v>
      </c>
      <c r="AA96" s="76">
        <f>资产资本表!AA61</f>
        <v>50263338.350000001</v>
      </c>
      <c r="AB96" s="76">
        <f>资产资本表!AB61</f>
        <v>51999371.619999997</v>
      </c>
      <c r="AC96" s="76">
        <f>资产资本表!AC61</f>
        <v>48772420.079999998</v>
      </c>
      <c r="AD96" s="76">
        <f>资产资本表!AD61</f>
        <v>55485489.719999999</v>
      </c>
      <c r="AE96" s="76">
        <f>资产资本表!AE61</f>
        <v>54750990.350000001</v>
      </c>
      <c r="AF96" s="76">
        <f>资产资本表!AF61</f>
        <v>63203725.390000001</v>
      </c>
      <c r="AG96" s="76">
        <f>资产资本表!AG61</f>
        <v>70535041.769999996</v>
      </c>
      <c r="AH96" s="76">
        <f>资产资本表!AH61</f>
        <v>63128855.079999998</v>
      </c>
      <c r="AI96" s="76">
        <f>资产资本表!AI61</f>
        <v>54574209.359999999</v>
      </c>
      <c r="AJ96" s="76">
        <f>资产资本表!AJ61</f>
        <v>91036439.319999993</v>
      </c>
      <c r="AK96" s="76">
        <f>资产资本表!AK61</f>
        <v>66356766.630000003</v>
      </c>
      <c r="AL96" s="76">
        <f>资产资本表!AL61</f>
        <v>85968483.560000002</v>
      </c>
      <c r="AM96" s="76">
        <f>资产资本表!AM61</f>
        <v>74647447.140000001</v>
      </c>
      <c r="AN96" s="76">
        <f>资产资本表!AN61</f>
        <v>0</v>
      </c>
      <c r="AO96" s="76">
        <f>资产资本表!AO61</f>
        <v>0</v>
      </c>
      <c r="AP96" s="76">
        <f>资产资本表!AP61</f>
        <v>11031429.68</v>
      </c>
      <c r="AQ96" s="76">
        <f>资产资本表!AQ61</f>
        <v>11031429.68</v>
      </c>
      <c r="AR96" s="76">
        <f>资产资本表!AR61</f>
        <v>0</v>
      </c>
      <c r="AS96" s="76">
        <f>资产资本表!AS61</f>
        <v>0</v>
      </c>
      <c r="AT96" s="76">
        <f>资产资本表!AT61</f>
        <v>1571037.88</v>
      </c>
      <c r="AU96" s="76">
        <f>资产资本表!AU61</f>
        <v>1571037.88</v>
      </c>
      <c r="AV96" s="76">
        <f>资产资本表!AV61</f>
        <v>955962.74</v>
      </c>
      <c r="AW96" s="76">
        <f>资产资本表!AW61</f>
        <v>820470.57</v>
      </c>
      <c r="AX96" s="76">
        <f>资产资本表!AX61</f>
        <v>306513.43</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-22018374.600000001</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679873063.75</v>
      </c>
      <c r="F97" s="76">
        <f>资产资本表!F62</f>
        <v>620993168.41999996</v>
      </c>
      <c r="G97" s="76">
        <f>资产资本表!G62</f>
        <v>618709496.92999995</v>
      </c>
      <c r="H97" s="76">
        <f>资产资本表!H62</f>
        <v>622896896.25999999</v>
      </c>
      <c r="I97" s="76">
        <f>资产资本表!I62</f>
        <v>617996843.13</v>
      </c>
      <c r="J97" s="76">
        <f>资产资本表!J62</f>
        <v>675871507.95000005</v>
      </c>
      <c r="K97" s="76">
        <f>资产资本表!K62</f>
        <v>682999347.13999999</v>
      </c>
      <c r="L97" s="76">
        <f>资产资本表!L62</f>
        <v>614806961.21000004</v>
      </c>
      <c r="M97" s="76">
        <f>资产资本表!M62</f>
        <v>639980604.64999998</v>
      </c>
      <c r="N97" s="76">
        <f>资产资本表!N62</f>
        <v>432266396.35000002</v>
      </c>
      <c r="O97" s="76">
        <f>资产资本表!O62</f>
        <v>471621586.19</v>
      </c>
      <c r="P97" s="76">
        <f>资产资本表!P62</f>
        <v>484803224.08999997</v>
      </c>
      <c r="Q97" s="76">
        <f>资产资本表!Q62</f>
        <v>503061914.86000001</v>
      </c>
      <c r="R97" s="76">
        <f>资产资本表!R62</f>
        <v>424816869.47000003</v>
      </c>
      <c r="S97" s="76">
        <f>资产资本表!S62</f>
        <v>464592876.10000002</v>
      </c>
      <c r="T97" s="76">
        <f>资产资本表!T62</f>
        <v>508801393.82999998</v>
      </c>
      <c r="U97" s="76">
        <f>资产资本表!U62</f>
        <v>578932509.05999994</v>
      </c>
      <c r="V97" s="76">
        <f>资产资本表!V62</f>
        <v>560767802.94000006</v>
      </c>
      <c r="W97" s="76">
        <f>资产资本表!W62</f>
        <v>596433478.84000003</v>
      </c>
      <c r="X97" s="76">
        <f>资产资本表!X62</f>
        <v>485655212.66000003</v>
      </c>
      <c r="Y97" s="76">
        <f>资产资本表!Y62</f>
        <v>485655212.66000003</v>
      </c>
      <c r="Z97" s="76">
        <f>资产资本表!Z62</f>
        <v>170777709.03999999</v>
      </c>
      <c r="AA97" s="76">
        <f>资产资本表!AA62</f>
        <v>141785901.94999999</v>
      </c>
      <c r="AB97" s="76">
        <f>资产资本表!AB62</f>
        <v>16785901.949999999</v>
      </c>
      <c r="AC97" s="76">
        <f>资产资本表!AC62</f>
        <v>16785901.949999999</v>
      </c>
      <c r="AD97" s="76">
        <f>资产资本表!AD62</f>
        <v>11530479.92</v>
      </c>
      <c r="AE97" s="76">
        <f>资产资本表!AE62</f>
        <v>11530479.92</v>
      </c>
      <c r="AF97" s="76">
        <f>资产资本表!AF62</f>
        <v>11405479.92</v>
      </c>
      <c r="AG97" s="76">
        <f>资产资本表!AG62</f>
        <v>11405479.92</v>
      </c>
      <c r="AH97" s="76">
        <f>资产资本表!AH62</f>
        <v>5737024.5300000003</v>
      </c>
      <c r="AI97" s="76">
        <f>资产资本表!AI62</f>
        <v>5737024.5300000003</v>
      </c>
      <c r="AJ97" s="76">
        <f>资产资本表!AJ62</f>
        <v>9795813.5700000003</v>
      </c>
      <c r="AK97" s="76">
        <f>资产资本表!AK62</f>
        <v>5737024.5300000003</v>
      </c>
      <c r="AL97" s="76">
        <f>资产资本表!AL62</f>
        <v>4392036.46</v>
      </c>
      <c r="AM97" s="76">
        <f>资产资本表!AM62</f>
        <v>4392036.46</v>
      </c>
      <c r="AN97" s="76">
        <f>资产资本表!AN62</f>
        <v>4392036.46</v>
      </c>
      <c r="AO97" s="76">
        <f>资产资本表!AO62</f>
        <v>4392036.46</v>
      </c>
      <c r="AP97" s="76">
        <f>资产资本表!AP62</f>
        <v>4576563.1399999997</v>
      </c>
      <c r="AQ97" s="76">
        <f>资产资本表!AQ62</f>
        <v>4576563.1399999997</v>
      </c>
      <c r="AR97" s="76">
        <f>资产资本表!AR62</f>
        <v>5273199.54</v>
      </c>
      <c r="AS97" s="76">
        <f>资产资本表!AS62</f>
        <v>5324118.0199999996</v>
      </c>
      <c r="AT97" s="76">
        <f>资产资本表!AT62</f>
        <v>5856404.9299999997</v>
      </c>
      <c r="AU97" s="76">
        <f>资产资本表!AU62</f>
        <v>5836543.5300000003</v>
      </c>
      <c r="AV97" s="76">
        <f>资产资本表!AV62</f>
        <v>5840564.8300000001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1437813.12</v>
      </c>
      <c r="Y98" s="76">
        <f>资产资本表!Y63</f>
        <v>1731506.96</v>
      </c>
      <c r="Z98" s="76">
        <f>资产资本表!Z63</f>
        <v>803421.28</v>
      </c>
      <c r="AA98" s="76">
        <f>资产资本表!AA63</f>
        <v>1054171.6000000001</v>
      </c>
      <c r="AB98" s="76">
        <f>资产资本表!AB63</f>
        <v>1406781.76</v>
      </c>
      <c r="AC98" s="76">
        <f>资产资本表!AC63</f>
        <v>1538490.4</v>
      </c>
      <c r="AD98" s="76">
        <f>资产资本表!AD63</f>
        <v>1418973.68</v>
      </c>
      <c r="AE98" s="76">
        <f>资产资本表!AE63</f>
        <v>2127254</v>
      </c>
      <c r="AF98" s="76">
        <f>资产资本表!AF63</f>
        <v>2593201.44</v>
      </c>
      <c r="AG98" s="76">
        <f>资产资本表!AG63</f>
        <v>2152565.08</v>
      </c>
      <c r="AH98" s="76">
        <f>资产资本表!AH63</f>
        <v>2154568.16</v>
      </c>
      <c r="AI98" s="76">
        <f>资产资本表!AI63</f>
        <v>2159192.08</v>
      </c>
      <c r="AJ98" s="76">
        <f>资产资本表!AJ63</f>
        <v>3428369.52</v>
      </c>
      <c r="AK98" s="76">
        <f>资产资本表!AK63</f>
        <v>3880421.16</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2666997.58</v>
      </c>
      <c r="AU98" s="76">
        <f>资产资本表!AU63</f>
        <v>2685258.13</v>
      </c>
      <c r="AV98" s="76">
        <f>资产资本表!AV63</f>
        <v>2811819.73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688</v>
      </c>
      <c r="E100" s="196">
        <f>(E84+I84)/2</f>
        <v>5361834580.1800003</v>
      </c>
      <c r="F100" s="196">
        <f t="shared" ref="F100:BQ100" si="54">(F84+J84)/2</f>
        <v>5176814006.3500004</v>
      </c>
      <c r="G100" s="196">
        <f t="shared" si="54"/>
        <v>5244465273.5050001</v>
      </c>
      <c r="H100" s="196">
        <f t="shared" si="54"/>
        <v>5300557563.0799999</v>
      </c>
      <c r="I100" s="196">
        <f t="shared" si="54"/>
        <v>5389317840.0200005</v>
      </c>
      <c r="J100" s="196">
        <f t="shared" si="54"/>
        <v>5261446386.7849998</v>
      </c>
      <c r="K100" s="196">
        <f t="shared" si="54"/>
        <v>5374108039.4349995</v>
      </c>
      <c r="L100" s="196">
        <f t="shared" si="54"/>
        <v>5402251530.9200001</v>
      </c>
      <c r="M100" s="196">
        <f t="shared" si="54"/>
        <v>5512016132.2649994</v>
      </c>
      <c r="N100" s="196">
        <f t="shared" si="54"/>
        <v>5580774135.5049992</v>
      </c>
      <c r="O100" s="196">
        <f t="shared" si="54"/>
        <v>5593921785.4099998</v>
      </c>
      <c r="P100" s="196">
        <f t="shared" si="54"/>
        <v>5653589675.7749996</v>
      </c>
      <c r="Q100" s="196">
        <f t="shared" si="54"/>
        <v>5779303916.4049997</v>
      </c>
      <c r="R100" s="196">
        <f t="shared" si="54"/>
        <v>5605406909.1499996</v>
      </c>
      <c r="S100" s="196">
        <f t="shared" si="54"/>
        <v>5627613670.3099995</v>
      </c>
      <c r="T100" s="196">
        <f t="shared" si="54"/>
        <v>5753426646.5550003</v>
      </c>
      <c r="U100" s="196">
        <f t="shared" si="54"/>
        <v>5689681008.0699997</v>
      </c>
      <c r="V100" s="196">
        <f t="shared" si="54"/>
        <v>5487095511.7649994</v>
      </c>
      <c r="W100" s="196">
        <f t="shared" si="54"/>
        <v>5622910634.6200008</v>
      </c>
      <c r="X100" s="196">
        <f t="shared" si="54"/>
        <v>5768139306.6000004</v>
      </c>
      <c r="Y100" s="196">
        <f t="shared" si="54"/>
        <v>5701145848.2399998</v>
      </c>
      <c r="Z100" s="196">
        <f t="shared" si="54"/>
        <v>5771948291.9200001</v>
      </c>
      <c r="AA100" s="196">
        <f t="shared" si="54"/>
        <v>5893493197.7650003</v>
      </c>
      <c r="AB100" s="196">
        <f t="shared" si="54"/>
        <v>5993815832.5650005</v>
      </c>
      <c r="AC100" s="196">
        <f t="shared" si="54"/>
        <v>6139256249.1800003</v>
      </c>
      <c r="AD100" s="196">
        <f t="shared" si="54"/>
        <v>6302499859.0249996</v>
      </c>
      <c r="AE100" s="196">
        <f t="shared" si="54"/>
        <v>6432117718.4400005</v>
      </c>
      <c r="AF100" s="196">
        <f t="shared" si="54"/>
        <v>6509967570.2550001</v>
      </c>
      <c r="AG100" s="196">
        <f t="shared" si="54"/>
        <v>6654692479.7399998</v>
      </c>
      <c r="AH100" s="196">
        <f t="shared" si="54"/>
        <v>6632018913.0050001</v>
      </c>
      <c r="AI100" s="196">
        <f t="shared" si="54"/>
        <v>6776582535.6499996</v>
      </c>
      <c r="AJ100" s="196">
        <f t="shared" si="54"/>
        <v>5526773150.25</v>
      </c>
      <c r="AK100" s="196">
        <f t="shared" si="54"/>
        <v>5635154281.25</v>
      </c>
      <c r="AL100" s="196">
        <f t="shared" si="54"/>
        <v>5666674140.4850006</v>
      </c>
      <c r="AM100" s="196">
        <f t="shared" si="54"/>
        <v>5789379338.1100006</v>
      </c>
      <c r="AN100" s="196">
        <f t="shared" si="54"/>
        <v>4427112399.1949997</v>
      </c>
      <c r="AO100" s="196">
        <f t="shared" si="54"/>
        <v>4502519348.6199999</v>
      </c>
      <c r="AP100" s="196">
        <f t="shared" si="54"/>
        <v>4771254191.7049999</v>
      </c>
      <c r="AQ100" s="196">
        <f t="shared" si="54"/>
        <v>4865532816.9400005</v>
      </c>
      <c r="AR100" s="196">
        <f t="shared" si="54"/>
        <v>4845285541.4750004</v>
      </c>
      <c r="AS100" s="196">
        <f t="shared" si="54"/>
        <v>4932281515.0650005</v>
      </c>
      <c r="AT100" s="196">
        <f t="shared" si="54"/>
        <v>5112040913.9200001</v>
      </c>
      <c r="AU100" s="196">
        <f t="shared" si="54"/>
        <v>5187690793.4050007</v>
      </c>
      <c r="AV100" s="196">
        <f t="shared" si="54"/>
        <v>5177181313.0150003</v>
      </c>
      <c r="AW100" s="196">
        <f t="shared" si="54"/>
        <v>5286448055.6499996</v>
      </c>
      <c r="AX100" s="196">
        <f t="shared" si="54"/>
        <v>5370595477.7950001</v>
      </c>
      <c r="AY100" s="196">
        <f t="shared" si="54"/>
        <v>5462902550.4949999</v>
      </c>
      <c r="AZ100" s="196">
        <f t="shared" si="54"/>
        <v>5436910524.6450005</v>
      </c>
      <c r="BA100" s="196">
        <f t="shared" si="54"/>
        <v>5513133920.5100002</v>
      </c>
      <c r="BB100" s="196">
        <f t="shared" si="54"/>
        <v>5071781454.1399994</v>
      </c>
      <c r="BC100" s="196">
        <f t="shared" si="54"/>
        <v>5174450769.6049995</v>
      </c>
      <c r="BD100" s="196">
        <f t="shared" si="54"/>
        <v>5228608815.5249996</v>
      </c>
      <c r="BE100" s="196">
        <f t="shared" si="54"/>
        <v>5271778102.5900002</v>
      </c>
      <c r="BF100" s="196">
        <f t="shared" si="54"/>
        <v>4186289445.73</v>
      </c>
      <c r="BG100" s="196">
        <f t="shared" si="54"/>
        <v>4272720254.7299995</v>
      </c>
      <c r="BH100" s="196">
        <f t="shared" si="54"/>
        <v>4207783792.8449998</v>
      </c>
      <c r="BI100" s="196">
        <f t="shared" si="54"/>
        <v>4249141218.8999996</v>
      </c>
      <c r="BJ100" s="196">
        <f t="shared" si="54"/>
        <v>3549033662.6599998</v>
      </c>
      <c r="BK100" s="196">
        <f t="shared" si="54"/>
        <v>3605931207.4000001</v>
      </c>
      <c r="BL100" s="196">
        <f t="shared" si="54"/>
        <v>3303496110.585</v>
      </c>
      <c r="BM100" s="196">
        <f t="shared" si="54"/>
        <v>3338095579.7950001</v>
      </c>
      <c r="BN100" s="196">
        <f t="shared" si="54"/>
        <v>1708852563.9300001</v>
      </c>
      <c r="BO100" s="196">
        <f t="shared" si="54"/>
        <v>3220866076.585</v>
      </c>
      <c r="BP100" s="196">
        <f t="shared" si="54"/>
        <v>2186757964.0450001</v>
      </c>
      <c r="BQ100" s="196">
        <f t="shared" si="54"/>
        <v>2147405264.3400002</v>
      </c>
      <c r="BR100" s="196">
        <f t="shared" ref="BR100:CK100" si="55">(BR84+BV84)/2</f>
        <v>622662947.07000005</v>
      </c>
      <c r="BS100" s="196">
        <f t="shared" si="55"/>
        <v>2100600124.3150001</v>
      </c>
      <c r="BT100" s="196">
        <f t="shared" si="55"/>
        <v>1049766798.2850001</v>
      </c>
      <c r="BU100" s="196">
        <f t="shared" si="55"/>
        <v>1010614862.8900001</v>
      </c>
      <c r="BV100" s="196">
        <f t="shared" si="55"/>
        <v>850587463.96500003</v>
      </c>
      <c r="BW100" s="196">
        <f t="shared" si="55"/>
        <v>715301003.84000003</v>
      </c>
      <c r="BX100" s="196">
        <f t="shared" si="55"/>
        <v>497975897.40000004</v>
      </c>
      <c r="BY100" s="196">
        <f t="shared" si="55"/>
        <v>479534269.86000001</v>
      </c>
      <c r="BZ100" s="196">
        <f t="shared" si="55"/>
        <v>227924516.89500001</v>
      </c>
      <c r="CA100" s="196">
        <f t="shared" si="55"/>
        <v>112756882.45</v>
      </c>
      <c r="CB100" s="196">
        <f t="shared" si="55"/>
        <v>111448686.98999999</v>
      </c>
      <c r="CC100" s="196">
        <f t="shared" si="55"/>
        <v>79230692.069999993</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689</v>
      </c>
      <c r="E101" s="251">
        <f>E100/E84</f>
        <v>1.0130845652095157</v>
      </c>
      <c r="F101" s="251">
        <f t="shared" ref="F101:BQ101" si="56">F100/F84</f>
        <v>0.9808653333283891</v>
      </c>
      <c r="G101" s="251">
        <f t="shared" si="56"/>
        <v>0.98761941527179975</v>
      </c>
      <c r="H101" s="251">
        <f t="shared" si="56"/>
        <v>0.98932072415321803</v>
      </c>
      <c r="I101" s="251">
        <f t="shared" si="56"/>
        <v>0.9923094763750494</v>
      </c>
      <c r="J101" s="251">
        <f t="shared" si="56"/>
        <v>1.036569696859267</v>
      </c>
      <c r="K101" s="251">
        <f t="shared" si="56"/>
        <v>1.0377286642524486</v>
      </c>
      <c r="L101" s="251">
        <f t="shared" si="56"/>
        <v>1.0303072296619824</v>
      </c>
      <c r="M101" s="251">
        <f t="shared" si="56"/>
        <v>1.0307554276292372</v>
      </c>
      <c r="N101" s="251">
        <f t="shared" si="56"/>
        <v>1.0245464849450703</v>
      </c>
      <c r="O101" s="251">
        <f t="shared" si="56"/>
        <v>1.0043859440797804</v>
      </c>
      <c r="P101" s="251">
        <f t="shared" si="56"/>
        <v>1.0166200898362445</v>
      </c>
      <c r="Q101" s="251">
        <f t="shared" si="56"/>
        <v>1.0181136120930554</v>
      </c>
      <c r="R101" s="251">
        <f t="shared" si="56"/>
        <v>0.98091277181142478</v>
      </c>
      <c r="S101" s="251">
        <f t="shared" si="56"/>
        <v>1.0016489530847918</v>
      </c>
      <c r="T101" s="251">
        <f t="shared" si="56"/>
        <v>1.0012895799444386</v>
      </c>
      <c r="U101" s="251">
        <f t="shared" si="56"/>
        <v>0.96728316888274268</v>
      </c>
      <c r="V101" s="251">
        <f t="shared" si="56"/>
        <v>0.99831927877655979</v>
      </c>
      <c r="W101" s="251">
        <f t="shared" si="56"/>
        <v>0.99752213372371534</v>
      </c>
      <c r="X101" s="251">
        <f t="shared" si="56"/>
        <v>1.0012676478546598</v>
      </c>
      <c r="Y101" s="251">
        <f t="shared" si="56"/>
        <v>1.037093064346722</v>
      </c>
      <c r="Z101" s="251">
        <f t="shared" si="56"/>
        <v>1.053687152880235</v>
      </c>
      <c r="AA101" s="251">
        <f t="shared" si="56"/>
        <v>1.0507314805708257</v>
      </c>
      <c r="AB101" s="251">
        <f t="shared" si="56"/>
        <v>1.0378107533771526</v>
      </c>
      <c r="AC101" s="251">
        <f t="shared" si="56"/>
        <v>1.0396611116960388</v>
      </c>
      <c r="AD101" s="251">
        <f t="shared" si="56"/>
        <v>1.03898111893504</v>
      </c>
      <c r="AE101" s="251">
        <f t="shared" si="56"/>
        <v>1.0411254048598046</v>
      </c>
      <c r="AF101" s="251">
        <f t="shared" si="56"/>
        <v>1.0479344548099112</v>
      </c>
      <c r="AG101" s="251">
        <f t="shared" si="56"/>
        <v>1.0441259999896446</v>
      </c>
      <c r="AH101" s="251">
        <f t="shared" si="56"/>
        <v>1.0142313241101588</v>
      </c>
      <c r="AI101" s="251">
        <f t="shared" si="56"/>
        <v>1.0135189486654819</v>
      </c>
      <c r="AJ101" s="251">
        <f t="shared" si="56"/>
        <v>0.81183604102348972</v>
      </c>
      <c r="AK101" s="251">
        <f t="shared" si="56"/>
        <v>0.81245862993849483</v>
      </c>
      <c r="AL101" s="251">
        <f t="shared" si="56"/>
        <v>0.84261847914768273</v>
      </c>
      <c r="AM101" s="251">
        <f t="shared" si="56"/>
        <v>0.84307590627187323</v>
      </c>
      <c r="AN101" s="251">
        <f t="shared" si="56"/>
        <v>1.0427037444980878</v>
      </c>
      <c r="AO101" s="251">
        <f t="shared" si="56"/>
        <v>1.0387918012724502</v>
      </c>
      <c r="AP101" s="251">
        <f t="shared" si="56"/>
        <v>1.0353674695618174</v>
      </c>
      <c r="AQ101" s="251">
        <f t="shared" si="56"/>
        <v>1.0326302958108586</v>
      </c>
      <c r="AR101" s="251">
        <f t="shared" si="56"/>
        <v>1.0513975167790881</v>
      </c>
      <c r="AS101" s="251">
        <f t="shared" si="56"/>
        <v>1.0560143207641897</v>
      </c>
      <c r="AT101" s="251">
        <f t="shared" si="56"/>
        <v>1.0360347150475173</v>
      </c>
      <c r="AU101" s="251">
        <f t="shared" si="56"/>
        <v>1.0335528238381373</v>
      </c>
      <c r="AV101" s="251">
        <f t="shared" si="56"/>
        <v>1.0186996205313705</v>
      </c>
      <c r="AW101" s="251">
        <f t="shared" si="56"/>
        <v>1.0178175789941664</v>
      </c>
      <c r="AX101" s="251">
        <f t="shared" si="56"/>
        <v>1.0152652375322839</v>
      </c>
      <c r="AY101" s="251">
        <f t="shared" si="56"/>
        <v>1.0199400143328168</v>
      </c>
      <c r="AZ101" s="251">
        <f t="shared" si="56"/>
        <v>1.0312382884289415</v>
      </c>
      <c r="BA101" s="251">
        <f t="shared" si="56"/>
        <v>1.0249383297274319</v>
      </c>
      <c r="BB101" s="251">
        <f t="shared" si="56"/>
        <v>0.93037228874847155</v>
      </c>
      <c r="BC101" s="251">
        <f t="shared" si="56"/>
        <v>0.92903526336464415</v>
      </c>
      <c r="BD101" s="251">
        <f t="shared" si="56"/>
        <v>0.93341253722345785</v>
      </c>
      <c r="BE101" s="251">
        <f t="shared" si="56"/>
        <v>0.93350797773950822</v>
      </c>
      <c r="BF101" s="251">
        <f t="shared" si="56"/>
        <v>0.89217734787974823</v>
      </c>
      <c r="BG101" s="251">
        <f t="shared" si="56"/>
        <v>0.89402448661761968</v>
      </c>
      <c r="BH101" s="251">
        <f t="shared" si="56"/>
        <v>0.86658153319834497</v>
      </c>
      <c r="BI101" s="251">
        <f t="shared" si="56"/>
        <v>0.86783065537996551</v>
      </c>
      <c r="BJ101" s="251">
        <f t="shared" si="56"/>
        <v>0.96431641024607939</v>
      </c>
      <c r="BK101" s="251">
        <f t="shared" si="56"/>
        <v>0.95743474564442599</v>
      </c>
      <c r="BL101" s="251">
        <f t="shared" si="56"/>
        <v>0.92795995329422287</v>
      </c>
      <c r="BM101" s="251">
        <f t="shared" si="56"/>
        <v>0.92673309639656243</v>
      </c>
      <c r="BN101" s="251">
        <f t="shared" si="56"/>
        <v>0.5</v>
      </c>
      <c r="BO101" s="251">
        <f t="shared" si="56"/>
        <v>0.93477108296170908</v>
      </c>
      <c r="BP101" s="251">
        <f t="shared" si="56"/>
        <v>0.71766707847079925</v>
      </c>
      <c r="BQ101" s="251">
        <f t="shared" si="56"/>
        <v>0.69852764155701208</v>
      </c>
      <c r="BR101" s="251" t="e">
        <f t="shared" ref="BR101:CK101" si="57">BR100/BR84</f>
        <v>#DIV/0!</v>
      </c>
      <c r="BS101" s="251">
        <f t="shared" si="57"/>
        <v>0.70110867691645518</v>
      </c>
      <c r="BT101" s="251">
        <f t="shared" si="57"/>
        <v>0.79139334976099796</v>
      </c>
      <c r="BU101" s="251">
        <f t="shared" si="57"/>
        <v>0.82795033252941574</v>
      </c>
      <c r="BV101" s="251">
        <f t="shared" si="57"/>
        <v>0.68302399232804889</v>
      </c>
      <c r="BW101" s="251">
        <f t="shared" si="57"/>
        <v>0.59356732432297477</v>
      </c>
      <c r="BX101" s="251">
        <f t="shared" si="57"/>
        <v>0.64416667700028585</v>
      </c>
      <c r="BY101" s="251">
        <f t="shared" si="57"/>
        <v>0.59896325747001511</v>
      </c>
      <c r="BZ101" s="251">
        <f t="shared" si="57"/>
        <v>0.5</v>
      </c>
      <c r="CA101" s="251">
        <f t="shared" si="57"/>
        <v>0.5</v>
      </c>
      <c r="CB101" s="251">
        <f t="shared" si="57"/>
        <v>0.5</v>
      </c>
      <c r="CC101" s="251">
        <f t="shared" si="57"/>
        <v>0.5</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690</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5" workbookViewId="0">
      <selection activeCell="E26" sqref="E26"/>
    </sheetView>
  </sheetViews>
  <sheetFormatPr defaultRowHeight="14.4" x14ac:dyDescent="0.25"/>
  <cols>
    <col min="1" max="1" width="63.21875" style="17" bestFit="1" customWidth="1"/>
    <col min="2" max="4" width="9.5546875" hidden="1" customWidth="1"/>
    <col min="5" max="5" width="21.44140625" bestFit="1" customWidth="1"/>
    <col min="6" max="8" width="21.44140625" hidden="1" customWidth="1"/>
    <col min="9" max="9" width="22.6640625" bestFit="1" customWidth="1"/>
    <col min="10" max="10" width="22.6640625" hidden="1" customWidth="1"/>
    <col min="11" max="11" width="21.44140625" hidden="1" customWidth="1"/>
    <col min="12" max="12" width="19.33203125" hidden="1" customWidth="1"/>
    <col min="13" max="13" width="21.44140625" bestFit="1" customWidth="1"/>
    <col min="14" max="16" width="21.44140625" hidden="1" customWidth="1"/>
    <col min="17" max="17" width="20.44140625" bestFit="1" customWidth="1"/>
    <col min="18" max="18" width="20.44140625" hidden="1" customWidth="1"/>
    <col min="19" max="20" width="22.6640625" hidden="1" customWidth="1"/>
    <col min="21" max="21" width="20.44140625" bestFit="1" customWidth="1"/>
    <col min="22" max="22" width="20.441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2" width="21.44140625" hidden="1" customWidth="1"/>
    <col min="43" max="43" width="19.33203125" hidden="1" customWidth="1"/>
    <col min="44" max="44" width="21.44140625" hidden="1" customWidth="1"/>
    <col min="45" max="45" width="21.44140625" bestFit="1" customWidth="1"/>
    <col min="46" max="48" width="21.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21.441406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80" width="19.33203125" bestFit="1" customWidth="1"/>
    <col min="81"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35753619516.239998</v>
      </c>
      <c r="F2" s="26">
        <f>现金流量表!F4</f>
        <v>21956722427.07</v>
      </c>
      <c r="G2" s="26">
        <f>现金流量表!G4</f>
        <v>14461279629.17</v>
      </c>
      <c r="H2" s="26">
        <f>现金流量表!H4</f>
        <v>7704893440.5600004</v>
      </c>
      <c r="I2" s="26">
        <f>现金流量表!I4</f>
        <v>33044819191.48</v>
      </c>
      <c r="J2" s="26">
        <f>现金流量表!J4</f>
        <v>22848292297.959999</v>
      </c>
      <c r="K2" s="26">
        <f>现金流量表!K4</f>
        <v>13621985528.360001</v>
      </c>
      <c r="L2" s="26">
        <f>现金流量表!L4</f>
        <v>6669657116.4300003</v>
      </c>
      <c r="M2" s="26">
        <f>现金流量表!M4</f>
        <v>26084485451.91</v>
      </c>
      <c r="N2" s="26">
        <f>现金流量表!N4</f>
        <v>17113243342.42</v>
      </c>
      <c r="O2" s="26">
        <f>现金流量表!O4</f>
        <v>11274169523.639999</v>
      </c>
      <c r="P2" s="26">
        <f>现金流量表!P4</f>
        <v>6643981136.1099997</v>
      </c>
      <c r="Q2" s="26">
        <f>现金流量表!Q4</f>
        <v>20235325675.32</v>
      </c>
      <c r="R2" s="26">
        <f>现金流量表!R4</f>
        <v>11551516445.68</v>
      </c>
      <c r="S2" s="26">
        <f>现金流量表!S4</f>
        <v>6808791793.5699997</v>
      </c>
      <c r="T2" s="26">
        <f>现金流量表!T4</f>
        <v>3056755228.48</v>
      </c>
      <c r="U2" s="26">
        <f>现金流量表!U4</f>
        <v>24903786975.080002</v>
      </c>
      <c r="V2" s="26">
        <f>现金流量表!V4</f>
        <v>15709598752.91</v>
      </c>
      <c r="W2" s="26">
        <f>现金流量表!W4</f>
        <v>13382599510.530001</v>
      </c>
      <c r="X2" s="26">
        <f>现金流量表!X4</f>
        <v>7497844122.1400003</v>
      </c>
      <c r="Y2" s="26">
        <f>现金流量表!Y4</f>
        <v>33004835030.009998</v>
      </c>
      <c r="Z2" s="26">
        <f>现金流量表!Z4</f>
        <v>22385089218.82</v>
      </c>
      <c r="AA2" s="26">
        <f>现金流量表!AA4</f>
        <v>14904132971.1</v>
      </c>
      <c r="AB2" s="26">
        <f>现金流量表!AB4</f>
        <v>7546157733.3699999</v>
      </c>
      <c r="AC2" s="26">
        <f>现金流量表!AC4</f>
        <v>27452271742.599998</v>
      </c>
      <c r="AD2" s="26">
        <f>现金流量表!AD4</f>
        <v>19617249637.689999</v>
      </c>
      <c r="AE2" s="26">
        <f>现金流量表!AE4</f>
        <v>14814609218.200001</v>
      </c>
      <c r="AF2" s="26">
        <f>现金流量表!AF4</f>
        <v>7250396502.7700005</v>
      </c>
      <c r="AG2" s="26">
        <f>现金流量表!AG4</f>
        <v>20906767904.150002</v>
      </c>
      <c r="AH2" s="26">
        <f>现金流量表!AH4</f>
        <v>14764269104.030001</v>
      </c>
      <c r="AI2" s="26">
        <f>现金流量表!AI4</f>
        <v>10305670771.5</v>
      </c>
      <c r="AJ2" s="26">
        <f>现金流量表!AJ4</f>
        <v>6279541659.8699999</v>
      </c>
      <c r="AK2" s="26">
        <f>现金流量表!AK4</f>
        <v>15120503779.299999</v>
      </c>
      <c r="AL2" s="26">
        <f>现金流量表!AL4</f>
        <v>10662239557.42</v>
      </c>
      <c r="AM2" s="26">
        <f>现金流量表!AM4</f>
        <v>5757870691.96</v>
      </c>
      <c r="AN2" s="26">
        <f>现金流量表!AN4</f>
        <v>3327773776.04</v>
      </c>
      <c r="AO2" s="26">
        <f>现金流量表!AO4</f>
        <v>9514523471.0200005</v>
      </c>
      <c r="AP2" s="26">
        <f>现金流量表!AP4</f>
        <v>7737637682.6899996</v>
      </c>
      <c r="AQ2" s="26">
        <f>现金流量表!AQ4</f>
        <v>5581977962.54</v>
      </c>
      <c r="AR2" s="26">
        <f>现金流量表!AR4</f>
        <v>3270367291.5799999</v>
      </c>
      <c r="AS2" s="26">
        <f>现金流量表!AS4</f>
        <v>9077978285.4699993</v>
      </c>
      <c r="AT2" s="26">
        <f>现金流量表!AT4</f>
        <v>7482745343.8000002</v>
      </c>
      <c r="AU2" s="26">
        <f>现金流量表!AU4</f>
        <v>5366520738.4200001</v>
      </c>
      <c r="AV2" s="26">
        <f>现金流量表!AV4</f>
        <v>3434142452.7600002</v>
      </c>
      <c r="AW2" s="26">
        <f>现金流量表!AW4</f>
        <v>8308499134.1999998</v>
      </c>
      <c r="AX2" s="26">
        <f>现金流量表!AX4</f>
        <v>6846470639.4099998</v>
      </c>
      <c r="AY2" s="26">
        <f>现金流量表!AY4</f>
        <v>5400121124.46</v>
      </c>
      <c r="AZ2" s="26">
        <f>现金流量表!AZ4</f>
        <v>3209773564.1100001</v>
      </c>
      <c r="BA2" s="26">
        <f>现金流量表!BA4</f>
        <v>7654896804.5500002</v>
      </c>
      <c r="BB2" s="26">
        <f>现金流量表!BB4</f>
        <v>5174946730.0900002</v>
      </c>
      <c r="BC2" s="26">
        <f>现金流量表!BC4</f>
        <v>3753673163.71</v>
      </c>
      <c r="BD2" s="26">
        <f>现金流量表!BD4</f>
        <v>2619731569.5300002</v>
      </c>
      <c r="BE2" s="26">
        <f>现金流量表!BE4</f>
        <v>7130255309.9099998</v>
      </c>
      <c r="BF2" s="26">
        <f>现金流量表!BF4</f>
        <v>5079790915</v>
      </c>
      <c r="BG2" s="26">
        <f>现金流量表!BG4</f>
        <v>3173004973.6599998</v>
      </c>
      <c r="BH2" s="26">
        <f>现金流量表!BH4</f>
        <v>2556165698.0599999</v>
      </c>
      <c r="BI2" s="26">
        <f>现金流量表!BI4</f>
        <v>7601920157.0699997</v>
      </c>
      <c r="BJ2" s="26">
        <f>现金流量表!BJ4</f>
        <v>5329435053.1700001</v>
      </c>
      <c r="BK2" s="26">
        <f>现金流量表!BK4</f>
        <v>3663232080.02</v>
      </c>
      <c r="BL2" s="26">
        <f>现金流量表!BL4</f>
        <v>2167347769.02</v>
      </c>
      <c r="BM2" s="26">
        <f>现金流量表!BM4</f>
        <v>6083365395.0299997</v>
      </c>
      <c r="BN2" s="26">
        <f>现金流量表!BN4</f>
        <v>3225084577.2399998</v>
      </c>
      <c r="BO2" s="26">
        <f>现金流量表!BO4</f>
        <v>6103076703.4099998</v>
      </c>
      <c r="BP2" s="26">
        <f>现金流量表!BP4</f>
        <v>2920363106.8800001</v>
      </c>
      <c r="BQ2" s="26">
        <f>现金流量表!BQ4</f>
        <v>4451137427.9799995</v>
      </c>
      <c r="BR2" s="26">
        <f>现金流量表!BR4</f>
        <v>2793944165.46</v>
      </c>
      <c r="BS2" s="26">
        <f>现金流量表!BS4</f>
        <v>4315335173.0900002</v>
      </c>
      <c r="BT2" s="26">
        <f>现金流量表!BT4</f>
        <v>1971268435.0999999</v>
      </c>
      <c r="BU2" s="26">
        <f>现金流量表!BU4</f>
        <v>3260216380.3099999</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30186780409.139999</v>
      </c>
      <c r="F3" s="26">
        <f>利润表!F3</f>
        <v>21977596629.700001</v>
      </c>
      <c r="G3" s="26">
        <f>利润表!G3</f>
        <v>15621127660.559999</v>
      </c>
      <c r="H3" s="26">
        <f>利润表!H3</f>
        <v>10158807519.1</v>
      </c>
      <c r="I3" s="26">
        <f>利润表!I3</f>
        <v>24543792660.59</v>
      </c>
      <c r="J3" s="26">
        <f>利润表!J3</f>
        <v>17699643832.209999</v>
      </c>
      <c r="K3" s="26">
        <f>利润表!K3</f>
        <v>13255638646.02</v>
      </c>
      <c r="L3" s="26">
        <f>利润表!L3</f>
        <v>8825564213.4699993</v>
      </c>
      <c r="M3" s="26">
        <f>利润表!M3</f>
        <v>21659287359.66</v>
      </c>
      <c r="N3" s="26">
        <f>利润表!N3</f>
        <v>15131341357.209999</v>
      </c>
      <c r="O3" s="26">
        <f>利润表!O3</f>
        <v>11215414006.940001</v>
      </c>
      <c r="P3" s="26">
        <f>利润表!P3</f>
        <v>6735435074.1599998</v>
      </c>
      <c r="Q3" s="26">
        <f>利润表!Q3</f>
        <v>21011491536.139999</v>
      </c>
      <c r="R3" s="26">
        <f>利润表!R3</f>
        <v>15068314515.67</v>
      </c>
      <c r="S3" s="26">
        <f>利润表!S3</f>
        <v>11662532799.27</v>
      </c>
      <c r="T3" s="26">
        <f>利润表!T3</f>
        <v>6719851620.2700005</v>
      </c>
      <c r="U3" s="26">
        <f>利润表!U3</f>
        <v>24718588617.990002</v>
      </c>
      <c r="V3" s="26">
        <f>利润表!V3</f>
        <v>19165837235.439999</v>
      </c>
      <c r="W3" s="26">
        <f>利润表!W3</f>
        <v>15519877625.32</v>
      </c>
      <c r="X3" s="26">
        <f>利润表!X3</f>
        <v>8675799862.7600002</v>
      </c>
      <c r="Y3" s="26">
        <f>利润表!Y3</f>
        <v>27201045951.34</v>
      </c>
      <c r="Z3" s="26">
        <f>利润表!Z3</f>
        <v>21126603442.650002</v>
      </c>
      <c r="AA3" s="26">
        <f>利润表!AA3</f>
        <v>15049709413.35</v>
      </c>
      <c r="AB3" s="26">
        <f>利润表!AB3</f>
        <v>8230651472.6199999</v>
      </c>
      <c r="AC3" s="26">
        <f>利润表!AC3</f>
        <v>20350594468.709999</v>
      </c>
      <c r="AD3" s="26">
        <f>利润表!AD3</f>
        <v>15648774490.190001</v>
      </c>
      <c r="AE3" s="26">
        <f>利润表!AE3</f>
        <v>10594830203.200001</v>
      </c>
      <c r="AF3" s="26">
        <f>利润表!AF3</f>
        <v>6244557079.6499996</v>
      </c>
      <c r="AG3" s="26">
        <f>利润表!AG3</f>
        <v>15541300510.85</v>
      </c>
      <c r="AH3" s="26">
        <f>利润表!AH3</f>
        <v>11471710170.860001</v>
      </c>
      <c r="AI3" s="26">
        <f>利润表!AI3</f>
        <v>7576545903.4899998</v>
      </c>
      <c r="AJ3" s="26">
        <f>利润表!AJ3</f>
        <v>4493625787.5500002</v>
      </c>
      <c r="AK3" s="26">
        <f>利润表!AK3</f>
        <v>11129220549.610001</v>
      </c>
      <c r="AL3" s="26">
        <f>利润表!AL3</f>
        <v>8029680076.3699999</v>
      </c>
      <c r="AM3" s="26">
        <f>利润表!AM3</f>
        <v>5340889931.8100004</v>
      </c>
      <c r="AN3" s="26">
        <f>利润表!AN3</f>
        <v>3338850726.5900002</v>
      </c>
      <c r="AO3" s="26">
        <f>利润表!AO3</f>
        <v>7933068723.21</v>
      </c>
      <c r="AP3" s="26">
        <f>利润表!AP3</f>
        <v>6578679657.1199999</v>
      </c>
      <c r="AQ3" s="26">
        <f>利润表!AQ3</f>
        <v>4597277683.0200005</v>
      </c>
      <c r="AR3" s="26">
        <f>利润表!AR3</f>
        <v>3086147513.71</v>
      </c>
      <c r="AS3" s="26">
        <f>利润表!AS3</f>
        <v>7328555841.6199999</v>
      </c>
      <c r="AT3" s="26">
        <f>利润表!AT3</f>
        <v>6043063119.9700003</v>
      </c>
      <c r="AU3" s="26">
        <f>利润表!AU3</f>
        <v>4342880480.1599998</v>
      </c>
      <c r="AV3" s="26">
        <f>利润表!AV3</f>
        <v>3009852591.5900002</v>
      </c>
      <c r="AW3" s="26">
        <f>利润表!AW3</f>
        <v>7389544035.25</v>
      </c>
      <c r="AX3" s="26">
        <f>利润表!AX3</f>
        <v>5959089191.0799999</v>
      </c>
      <c r="AY3" s="26">
        <f>利润表!AY3</f>
        <v>4399514391.5699997</v>
      </c>
      <c r="AZ3" s="26">
        <f>利润表!AZ3</f>
        <v>2731789322.2600002</v>
      </c>
      <c r="BA3" s="26">
        <f>利润表!BA3</f>
        <v>6424444417.2700005</v>
      </c>
      <c r="BB3" s="26">
        <f>利润表!BB3</f>
        <v>4971947983.2700005</v>
      </c>
      <c r="BC3" s="26">
        <f>利润表!BC3</f>
        <v>3809736337.1799998</v>
      </c>
      <c r="BD3" s="26">
        <f>利润表!BD3</f>
        <v>2470919490.54</v>
      </c>
      <c r="BE3" s="26">
        <f>利润表!BE3</f>
        <v>6301441944.1300001</v>
      </c>
      <c r="BF3" s="26">
        <f>利润表!BF3</f>
        <v>4581174951.9700003</v>
      </c>
      <c r="BG3" s="26">
        <f>利润表!BG3</f>
        <v>3459364902.3200002</v>
      </c>
      <c r="BH3" s="26">
        <f>利润表!BH3</f>
        <v>2450963328.6799998</v>
      </c>
      <c r="BI3" s="26">
        <f>利润表!BI3</f>
        <v>6336794521.8900003</v>
      </c>
      <c r="BJ3" s="26">
        <f>利润表!BJ3</f>
        <v>4644099011</v>
      </c>
      <c r="BK3" s="26">
        <f>利润表!BK3</f>
        <v>3428218922.98</v>
      </c>
      <c r="BL3" s="26">
        <f>利润表!BL3</f>
        <v>2276267758.0799999</v>
      </c>
      <c r="BM3" s="26">
        <f>利润表!BM3</f>
        <v>5710350351.6199999</v>
      </c>
      <c r="BN3" s="26">
        <f>利润表!BN3</f>
        <v>4485526549.75</v>
      </c>
      <c r="BO3" s="26">
        <f>利润表!BO3</f>
        <v>3463699393.3899999</v>
      </c>
      <c r="BP3" s="26">
        <f>利润表!BP3</f>
        <v>2264094795.2800002</v>
      </c>
      <c r="BQ3" s="26">
        <f>利润表!BQ3</f>
        <v>4744281992.5200005</v>
      </c>
      <c r="BR3" s="26">
        <f>利润表!BR3</f>
        <v>3702660000</v>
      </c>
      <c r="BS3" s="26">
        <f>利润表!BS3</f>
        <v>2817921669.3600001</v>
      </c>
      <c r="BT3" s="26">
        <f>利润表!BT3</f>
        <v>2000858441.52</v>
      </c>
      <c r="BU3" s="26">
        <f>利润表!BU3</f>
        <v>3956643154.79</v>
      </c>
      <c r="BV3" s="26">
        <f>利润表!BV3</f>
        <v>2669543118.9499998</v>
      </c>
      <c r="BW3" s="26">
        <f>利润表!BW3</f>
        <v>3311434887.0900002</v>
      </c>
      <c r="BX3" s="26">
        <f>利润表!BX3</f>
        <v>1900893259.47</v>
      </c>
      <c r="BY3" s="26">
        <f>利润表!BY3</f>
        <v>2814381927.4499998</v>
      </c>
      <c r="BZ3" s="26">
        <f>利润表!BZ3</f>
        <v>1210444191.27</v>
      </c>
      <c r="CA3" s="26">
        <f>利润表!CA3</f>
        <v>2204611202.5799999</v>
      </c>
      <c r="CB3" s="26">
        <f>利润表!CB3</f>
        <v>1310021438.3399999</v>
      </c>
      <c r="CC3" s="26">
        <f>利润表!CC3</f>
        <v>915011267.75999999</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1.0123189271926094</v>
      </c>
      <c r="F5" s="28">
        <f t="shared" ref="F5:BQ5" si="2">(F2/(1+F4))/F3</f>
        <v>0.85388906444327251</v>
      </c>
      <c r="G5" s="28">
        <f t="shared" si="2"/>
        <v>0.79124044868580024</v>
      </c>
      <c r="H5" s="28">
        <f t="shared" si="2"/>
        <v>0.64824330972352751</v>
      </c>
      <c r="I5" s="28">
        <f t="shared" si="2"/>
        <v>1.1507363836129405</v>
      </c>
      <c r="J5" s="28">
        <f t="shared" si="2"/>
        <v>1.1033247414834009</v>
      </c>
      <c r="K5" s="28">
        <f t="shared" si="2"/>
        <v>0.87832227361657067</v>
      </c>
      <c r="L5" s="28">
        <f t="shared" si="2"/>
        <v>0.64591469735995899</v>
      </c>
      <c r="M5" s="28">
        <f t="shared" si="2"/>
        <v>1.0293243558743503</v>
      </c>
      <c r="N5" s="28">
        <f t="shared" si="2"/>
        <v>0.96664951019035372</v>
      </c>
      <c r="O5" s="28">
        <f t="shared" si="2"/>
        <v>0.85917847722203899</v>
      </c>
      <c r="P5" s="28">
        <f t="shared" si="2"/>
        <v>0.8430957010386998</v>
      </c>
      <c r="Q5" s="28">
        <f t="shared" si="2"/>
        <v>0.82312814966506787</v>
      </c>
      <c r="R5" s="28">
        <f t="shared" si="2"/>
        <v>0.65522198710057111</v>
      </c>
      <c r="S5" s="28">
        <f t="shared" si="2"/>
        <v>0.49898939326530395</v>
      </c>
      <c r="T5" s="28">
        <f t="shared" si="2"/>
        <v>0.38879002901081755</v>
      </c>
      <c r="U5" s="28">
        <f t="shared" si="2"/>
        <v>0.8611045048663345</v>
      </c>
      <c r="V5" s="28">
        <f t="shared" si="2"/>
        <v>0.70056983768449543</v>
      </c>
      <c r="W5" s="28">
        <f t="shared" si="2"/>
        <v>0.73699803026207122</v>
      </c>
      <c r="X5" s="28">
        <f t="shared" si="2"/>
        <v>0.73865394326514044</v>
      </c>
      <c r="Y5" s="28">
        <f t="shared" si="2"/>
        <v>1.037065293734434</v>
      </c>
      <c r="Z5" s="28">
        <f t="shared" si="2"/>
        <v>0.90561433312351058</v>
      </c>
      <c r="AA5" s="28">
        <f t="shared" si="2"/>
        <v>0.846433299082471</v>
      </c>
      <c r="AB5" s="28">
        <f t="shared" si="2"/>
        <v>0.78362052941669735</v>
      </c>
      <c r="AC5" s="28">
        <f t="shared" si="2"/>
        <v>1.1529628855784311</v>
      </c>
      <c r="AD5" s="28">
        <f t="shared" si="2"/>
        <v>1.0714500386419779</v>
      </c>
      <c r="AE5" s="28">
        <f t="shared" si="2"/>
        <v>1.1951167614777183</v>
      </c>
      <c r="AF5" s="28">
        <f t="shared" si="2"/>
        <v>0.99237143784502613</v>
      </c>
      <c r="AG5" s="28">
        <f t="shared" si="2"/>
        <v>1.149777162100065</v>
      </c>
      <c r="AH5" s="28">
        <f t="shared" si="2"/>
        <v>1.1000132704103918</v>
      </c>
      <c r="AI5" s="28">
        <f t="shared" si="2"/>
        <v>1.162570085216444</v>
      </c>
      <c r="AJ5" s="28">
        <f t="shared" si="2"/>
        <v>1.1943873116205259</v>
      </c>
      <c r="AK5" s="28">
        <f t="shared" si="2"/>
        <v>1.1612230565534161</v>
      </c>
      <c r="AL5" s="28">
        <f t="shared" si="2"/>
        <v>1.1349176027037791</v>
      </c>
      <c r="AM5" s="28">
        <f t="shared" si="2"/>
        <v>0.92143014825385572</v>
      </c>
      <c r="AN5" s="28">
        <f t="shared" si="2"/>
        <v>0.85186530442387864</v>
      </c>
      <c r="AO5" s="28">
        <f t="shared" si="2"/>
        <v>1.0250852005050592</v>
      </c>
      <c r="AP5" s="28">
        <f t="shared" si="2"/>
        <v>1.0052724688613077</v>
      </c>
      <c r="AQ5" s="28">
        <f t="shared" si="2"/>
        <v>1.0377709732709042</v>
      </c>
      <c r="AR5" s="28">
        <f t="shared" si="2"/>
        <v>0.90572006259639992</v>
      </c>
      <c r="AS5" s="28">
        <f t="shared" si="2"/>
        <v>1.0587291640029133</v>
      </c>
      <c r="AT5" s="28">
        <f t="shared" si="2"/>
        <v>1.0583223629950187</v>
      </c>
      <c r="AU5" s="28">
        <f t="shared" si="2"/>
        <v>1.0561584374360795</v>
      </c>
      <c r="AV5" s="28">
        <f t="shared" si="2"/>
        <v>0.97518546181954935</v>
      </c>
      <c r="AW5" s="28">
        <f t="shared" si="2"/>
        <v>0.96099045860030574</v>
      </c>
      <c r="AX5" s="28">
        <f t="shared" si="2"/>
        <v>0.98197629193858393</v>
      </c>
      <c r="AY5" s="28">
        <f t="shared" si="2"/>
        <v>1.0490903608379905</v>
      </c>
      <c r="AZ5" s="28">
        <f t="shared" si="2"/>
        <v>1.0042488219301713</v>
      </c>
      <c r="BA5" s="28">
        <f t="shared" si="2"/>
        <v>1.0183988554571315</v>
      </c>
      <c r="BB5" s="28">
        <f t="shared" si="2"/>
        <v>0.88959727819403567</v>
      </c>
      <c r="BC5" s="28">
        <f t="shared" si="2"/>
        <v>0.84212328028594918</v>
      </c>
      <c r="BD5" s="28">
        <f t="shared" si="2"/>
        <v>0.90617554320831717</v>
      </c>
      <c r="BE5" s="28">
        <f t="shared" si="2"/>
        <v>0.96711758382418567</v>
      </c>
      <c r="BF5" s="28">
        <f t="shared" si="2"/>
        <v>0.9477266601410006</v>
      </c>
      <c r="BG5" s="28">
        <f t="shared" si="2"/>
        <v>0.7839502739761568</v>
      </c>
      <c r="BH5" s="28">
        <f t="shared" si="2"/>
        <v>0.8913870645569878</v>
      </c>
      <c r="BI5" s="28">
        <f t="shared" si="2"/>
        <v>1.0253398044027933</v>
      </c>
      <c r="BJ5" s="28">
        <f t="shared" si="2"/>
        <v>0.98083022868977643</v>
      </c>
      <c r="BK5" s="28">
        <f t="shared" si="2"/>
        <v>0.9132927797502125</v>
      </c>
      <c r="BL5" s="28">
        <f t="shared" si="2"/>
        <v>0.8138032022110997</v>
      </c>
      <c r="BM5" s="28">
        <f t="shared" si="2"/>
        <v>0.91053215344566063</v>
      </c>
      <c r="BN5" s="28">
        <f t="shared" si="2"/>
        <v>0.6145281973201574</v>
      </c>
      <c r="BO5" s="28">
        <f t="shared" si="2"/>
        <v>1.5059923747031894</v>
      </c>
      <c r="BP5" s="28">
        <f t="shared" si="2"/>
        <v>1.1024436117651581</v>
      </c>
      <c r="BQ5" s="28">
        <f t="shared" si="2"/>
        <v>0.80188972115983082</v>
      </c>
      <c r="BR5" s="28">
        <f t="shared" ref="BR5:CL5" si="3">(BR2/(1+BR4))/BR3</f>
        <v>0.64493808942898567</v>
      </c>
      <c r="BS5" s="28">
        <f t="shared" si="3"/>
        <v>1.3088797679739503</v>
      </c>
      <c r="BT5" s="28">
        <f t="shared" si="3"/>
        <v>0.84206097810940272</v>
      </c>
      <c r="BU5" s="28">
        <f t="shared" si="3"/>
        <v>0.704261066198824</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12623099402.75</v>
      </c>
      <c r="F6" s="26">
        <f>现金流量表!F8</f>
        <v>4416529916.9399996</v>
      </c>
      <c r="G6" s="26">
        <f>现金流量表!G8</f>
        <v>2954674110.52</v>
      </c>
      <c r="H6" s="26">
        <f>现金流量表!H8</f>
        <v>1571495565.8900001</v>
      </c>
      <c r="I6" s="26">
        <f>现金流量表!I8</f>
        <v>9565959989.0699997</v>
      </c>
      <c r="J6" s="26">
        <f>现金流量表!J8</f>
        <v>3705764934.9099998</v>
      </c>
      <c r="K6" s="26">
        <f>现金流量表!K8</f>
        <v>2804626998.2399998</v>
      </c>
      <c r="L6" s="26">
        <f>现金流量表!L8</f>
        <v>1827172284.3900001</v>
      </c>
      <c r="M6" s="26">
        <f>现金流量表!M8</f>
        <v>8602256449.0400009</v>
      </c>
      <c r="N6" s="26">
        <f>现金流量表!N8</f>
        <v>3275567293.9000001</v>
      </c>
      <c r="O6" s="26">
        <f>现金流量表!O8</f>
        <v>2513768863.0700002</v>
      </c>
      <c r="P6" s="26">
        <f>现金流量表!P8</f>
        <v>1310781376.8399999</v>
      </c>
      <c r="Q6" s="26">
        <f>现金流量表!Q8</f>
        <v>8040615495.1000004</v>
      </c>
      <c r="R6" s="26">
        <f>现金流量表!R8</f>
        <v>3411204955.0100002</v>
      </c>
      <c r="S6" s="26">
        <f>现金流量表!S8</f>
        <v>2402816379.3899999</v>
      </c>
      <c r="T6" s="26">
        <f>现金流量表!T8</f>
        <v>1463571896.1600001</v>
      </c>
      <c r="U6" s="26">
        <f>现金流量表!U8</f>
        <v>9279412931.3799992</v>
      </c>
      <c r="V6" s="26">
        <f>现金流量表!V8</f>
        <v>4800617697.54</v>
      </c>
      <c r="W6" s="26">
        <f>现金流量表!W8</f>
        <v>4165377197.27</v>
      </c>
      <c r="X6" s="26">
        <f>现金流量表!X8</f>
        <v>1847958175.5799999</v>
      </c>
      <c r="Y6" s="26">
        <f>现金流量表!Y8</f>
        <v>10788665683.209999</v>
      </c>
      <c r="Z6" s="26">
        <f>现金流量表!Z8</f>
        <v>5916333536.7799997</v>
      </c>
      <c r="AA6" s="26">
        <f>现金流量表!AA8</f>
        <v>3922537607.77</v>
      </c>
      <c r="AB6" s="26">
        <f>现金流量表!AB8</f>
        <v>1857139198.75</v>
      </c>
      <c r="AC6" s="26">
        <f>现金流量表!AC8</f>
        <v>7495207406.2600002</v>
      </c>
      <c r="AD6" s="26">
        <f>现金流量表!AD8</f>
        <v>4447497638.5699997</v>
      </c>
      <c r="AE6" s="26">
        <f>现金流量表!AE8</f>
        <v>3728086654.7600002</v>
      </c>
      <c r="AF6" s="26">
        <f>现金流量表!AF8</f>
        <v>1097321484.8699999</v>
      </c>
      <c r="AG6" s="26">
        <f>现金流量表!AG8</f>
        <v>5101181751.0200005</v>
      </c>
      <c r="AH6" s="26">
        <f>现金流量表!AH8</f>
        <v>4325790758.6000004</v>
      </c>
      <c r="AI6" s="26">
        <f>现金流量表!AI8</f>
        <v>2826768533.5799999</v>
      </c>
      <c r="AJ6" s="26">
        <f>现金流量表!AJ8</f>
        <v>1574718845.46</v>
      </c>
      <c r="AK6" s="26">
        <f>现金流量表!AK8</f>
        <v>3522042233.6199999</v>
      </c>
      <c r="AL6" s="26">
        <f>现金流量表!AL8</f>
        <v>1720014463.48</v>
      </c>
      <c r="AM6" s="26">
        <f>现金流量表!AM8</f>
        <v>1430040145.73</v>
      </c>
      <c r="AN6" s="26">
        <f>现金流量表!AN8</f>
        <v>727847354.23000002</v>
      </c>
      <c r="AO6" s="26">
        <f>现金流量表!AO8</f>
        <v>3537850736.1599998</v>
      </c>
      <c r="AP6" s="26">
        <f>现金流量表!AP8</f>
        <v>2576052977.9200001</v>
      </c>
      <c r="AQ6" s="26">
        <f>现金流量表!AQ8</f>
        <v>2088015197.03</v>
      </c>
      <c r="AR6" s="26">
        <f>现金流量表!AR8</f>
        <v>929687468.63</v>
      </c>
      <c r="AS6" s="26">
        <f>现金流量表!AS8</f>
        <v>3186991994.3099999</v>
      </c>
      <c r="AT6" s="26">
        <f>现金流量表!AT8</f>
        <v>2338654628.4899998</v>
      </c>
      <c r="AU6" s="26">
        <f>现金流量表!AU8</f>
        <v>1772072328.5999999</v>
      </c>
      <c r="AV6" s="26">
        <f>现金流量表!AV8</f>
        <v>1284285752.4300001</v>
      </c>
      <c r="AW6" s="26">
        <f>现金流量表!AW8</f>
        <v>3177920435.0700002</v>
      </c>
      <c r="AX6" s="26">
        <f>现金流量表!AX8</f>
        <v>2675314361.8200002</v>
      </c>
      <c r="AY6" s="26">
        <f>现金流量表!AY8</f>
        <v>2097056971.5</v>
      </c>
      <c r="AZ6" s="26">
        <f>现金流量表!AZ8</f>
        <v>1373776255.27</v>
      </c>
      <c r="BA6" s="26">
        <f>现金流量表!BA8</f>
        <v>3401894303.6300001</v>
      </c>
      <c r="BB6" s="26">
        <f>现金流量表!BB8</f>
        <v>2339282982.52</v>
      </c>
      <c r="BC6" s="26">
        <f>现金流量表!BC8</f>
        <v>1581714943.3199999</v>
      </c>
      <c r="BD6" s="26">
        <f>现金流量表!BD8</f>
        <v>1421426412.23</v>
      </c>
      <c r="BE6" s="26">
        <f>现金流量表!BE8</f>
        <v>3552113513.7199998</v>
      </c>
      <c r="BF6" s="26">
        <f>现金流量表!BF8</f>
        <v>2418032423.2199998</v>
      </c>
      <c r="BG6" s="26">
        <f>现金流量表!BG8</f>
        <v>1345858599.4300001</v>
      </c>
      <c r="BH6" s="26">
        <f>现金流量表!BH8</f>
        <v>986485069.91999996</v>
      </c>
      <c r="BI6" s="26">
        <f>现金流量表!BI8</f>
        <v>4046294343.5100002</v>
      </c>
      <c r="BJ6" s="26">
        <f>现金流量表!BJ8</f>
        <v>2937827447.2600002</v>
      </c>
      <c r="BK6" s="26">
        <f>现金流量表!BK8</f>
        <v>2177238023.3400002</v>
      </c>
      <c r="BL6" s="26">
        <f>现金流量表!BL8</f>
        <v>1401238482.8399999</v>
      </c>
      <c r="BM6" s="26">
        <f>现金流量表!BM8</f>
        <v>3043769646.0500002</v>
      </c>
      <c r="BN6" s="26">
        <f>现金流量表!BN8</f>
        <v>1740738432.3699999</v>
      </c>
      <c r="BO6" s="26">
        <f>现金流量表!BO8</f>
        <v>3016920513.8699999</v>
      </c>
      <c r="BP6" s="26">
        <f>现金流量表!BP8</f>
        <v>2051145541.3099999</v>
      </c>
      <c r="BQ6" s="26">
        <f>现金流量表!BQ8</f>
        <v>1649542123.4400001</v>
      </c>
      <c r="BR6" s="26">
        <f>现金流量表!BR8</f>
        <v>1475355682.55</v>
      </c>
      <c r="BS6" s="26">
        <f>现金流量表!BS8</f>
        <v>2433955539.0999999</v>
      </c>
      <c r="BT6" s="26">
        <f>现金流量表!BT8</f>
        <v>803769691.73000002</v>
      </c>
      <c r="BU6" s="26">
        <f>现金流量表!BU8</f>
        <v>1631733152.6600001</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3494598459.27</v>
      </c>
      <c r="F7" s="26">
        <f>现金流量表!F9</f>
        <v>2664960126.4299998</v>
      </c>
      <c r="G7" s="26">
        <f>现金流量表!G9</f>
        <v>1730371896</v>
      </c>
      <c r="H7" s="26">
        <f>现金流量表!H9</f>
        <v>1000142663.72</v>
      </c>
      <c r="I7" s="26">
        <f>现金流量表!I9</f>
        <v>3198746989.0900002</v>
      </c>
      <c r="J7" s="26">
        <f>现金流量表!J9</f>
        <v>2358857410.8699999</v>
      </c>
      <c r="K7" s="26">
        <f>现金流量表!K9</f>
        <v>1660122901.8900001</v>
      </c>
      <c r="L7" s="26">
        <f>现金流量表!L9</f>
        <v>995029152.65999997</v>
      </c>
      <c r="M7" s="26">
        <f>现金流量表!M9</f>
        <v>2874978784.3099999</v>
      </c>
      <c r="N7" s="26">
        <f>现金流量表!N9</f>
        <v>2129670825.0699999</v>
      </c>
      <c r="O7" s="26">
        <f>现金流量表!O9</f>
        <v>1486277672.98</v>
      </c>
      <c r="P7" s="26">
        <f>现金流量表!P9</f>
        <v>827733469.92999995</v>
      </c>
      <c r="Q7" s="26">
        <f>现金流量表!Q9</f>
        <v>2849896873.71</v>
      </c>
      <c r="R7" s="26">
        <f>现金流量表!R9</f>
        <v>1957459191.8399999</v>
      </c>
      <c r="S7" s="26">
        <f>现金流量表!S9</f>
        <v>1456678993.5</v>
      </c>
      <c r="T7" s="26">
        <f>现金流量表!T9</f>
        <v>840657709.52999997</v>
      </c>
      <c r="U7" s="26">
        <f>现金流量表!U9</f>
        <v>2748658533.3600001</v>
      </c>
      <c r="V7" s="26">
        <f>现金流量表!V9</f>
        <v>2106734409.1300001</v>
      </c>
      <c r="W7" s="26">
        <f>现金流量表!W9</f>
        <v>1540254145.1600001</v>
      </c>
      <c r="X7" s="26">
        <f>现金流量表!X9</f>
        <v>917218400.17999995</v>
      </c>
      <c r="Y7" s="26">
        <f>现金流量表!Y9</f>
        <v>2539978448.1300001</v>
      </c>
      <c r="Z7" s="26">
        <f>现金流量表!Z9</f>
        <v>1952507680.29</v>
      </c>
      <c r="AA7" s="26">
        <f>现金流量表!AA9</f>
        <v>1355459366.77</v>
      </c>
      <c r="AB7" s="26">
        <f>现金流量表!AB9</f>
        <v>784852172.99000001</v>
      </c>
      <c r="AC7" s="26">
        <f>现金流量表!AC9</f>
        <v>2209763985.9200001</v>
      </c>
      <c r="AD7" s="26">
        <f>现金流量表!AD9</f>
        <v>1599503135.1500001</v>
      </c>
      <c r="AE7" s="26">
        <f>现金流量表!AE9</f>
        <v>1103501645.48</v>
      </c>
      <c r="AF7" s="26">
        <f>现金流量表!AF9</f>
        <v>641523243.63</v>
      </c>
      <c r="AG7" s="26">
        <f>现金流量表!AG9</f>
        <v>1728275530.49</v>
      </c>
      <c r="AH7" s="26">
        <f>现金流量表!AH9</f>
        <v>1180635798</v>
      </c>
      <c r="AI7" s="26">
        <f>现金流量表!AI9</f>
        <v>774395320.47000003</v>
      </c>
      <c r="AJ7" s="26">
        <f>现金流量表!AJ9</f>
        <v>467889233.91000003</v>
      </c>
      <c r="AK7" s="26">
        <f>现金流量表!AK9</f>
        <v>1127353033.6199999</v>
      </c>
      <c r="AL7" s="26">
        <f>现金流量表!AL9</f>
        <v>809161568.02999997</v>
      </c>
      <c r="AM7" s="26">
        <f>现金流量表!AM9</f>
        <v>542063576.39999998</v>
      </c>
      <c r="AN7" s="26">
        <f>现金流量表!AN9</f>
        <v>240341150.94999999</v>
      </c>
      <c r="AO7" s="26">
        <f>现金流量表!AO9</f>
        <v>895049489.40999997</v>
      </c>
      <c r="AP7" s="26">
        <f>现金流量表!AP9</f>
        <v>533371382.69999999</v>
      </c>
      <c r="AQ7" s="26">
        <f>现金流量表!AQ9</f>
        <v>361797959.94999999</v>
      </c>
      <c r="AR7" s="26">
        <f>现金流量表!AR9</f>
        <v>183690733.47</v>
      </c>
      <c r="AS7" s="26">
        <f>现金流量表!AS9</f>
        <v>692192269.19000006</v>
      </c>
      <c r="AT7" s="26">
        <f>现金流量表!AT9</f>
        <v>441617770.32999998</v>
      </c>
      <c r="AU7" s="26">
        <f>现金流量表!AU9</f>
        <v>315203870.37</v>
      </c>
      <c r="AV7" s="26">
        <f>现金流量表!AV9</f>
        <v>151419284.94999999</v>
      </c>
      <c r="AW7" s="26">
        <f>现金流量表!AW9</f>
        <v>454799729.91000003</v>
      </c>
      <c r="AX7" s="26">
        <f>现金流量表!AX9</f>
        <v>366627838.70999998</v>
      </c>
      <c r="AY7" s="26">
        <f>现金流量表!AY9</f>
        <v>238290046.19999999</v>
      </c>
      <c r="AZ7" s="26">
        <f>现金流量表!AZ9</f>
        <v>177155770.03</v>
      </c>
      <c r="BA7" s="26">
        <f>现金流量表!BA9</f>
        <v>394335450.75</v>
      </c>
      <c r="BB7" s="26">
        <f>现金流量表!BB9</f>
        <v>237515713.68000001</v>
      </c>
      <c r="BC7" s="26">
        <f>现金流量表!BC9</f>
        <v>144405328.46000001</v>
      </c>
      <c r="BD7" s="26">
        <f>现金流量表!BD9</f>
        <v>80491465.719999999</v>
      </c>
      <c r="BE7" s="26">
        <f>现金流量表!BE9</f>
        <v>326198256.17000002</v>
      </c>
      <c r="BF7" s="26">
        <f>现金流量表!BF9</f>
        <v>254805942.77000001</v>
      </c>
      <c r="BG7" s="26">
        <f>现金流量表!BG9</f>
        <v>180412266.90000001</v>
      </c>
      <c r="BH7" s="26">
        <f>现金流量表!BH9</f>
        <v>99637912.870000005</v>
      </c>
      <c r="BI7" s="26">
        <f>现金流量表!BI9</f>
        <v>313077096.42000002</v>
      </c>
      <c r="BJ7" s="26">
        <f>现金流量表!BJ9</f>
        <v>196078925.19</v>
      </c>
      <c r="BK7" s="26">
        <f>现金流量表!BK9</f>
        <v>128449800.12</v>
      </c>
      <c r="BL7" s="26">
        <f>现金流量表!BL9</f>
        <v>67342713.359999999</v>
      </c>
      <c r="BM7" s="26">
        <f>现金流量表!BM9</f>
        <v>204368272.59999999</v>
      </c>
      <c r="BN7" s="26">
        <f>现金流量表!BN9</f>
        <v>113574766.59999999</v>
      </c>
      <c r="BO7" s="26">
        <f>现金流量表!BO9</f>
        <v>217456545.49000001</v>
      </c>
      <c r="BP7" s="26">
        <f>现金流量表!BP9</f>
        <v>77830024.310000002</v>
      </c>
      <c r="BQ7" s="26">
        <f>现金流量表!BQ9</f>
        <v>122400330.2</v>
      </c>
      <c r="BR7" s="26">
        <f>现金流量表!BR9</f>
        <v>66239313.93</v>
      </c>
      <c r="BS7" s="26">
        <f>现金流量表!BS9</f>
        <v>98903039.349999994</v>
      </c>
      <c r="BT7" s="26">
        <f>现金流量表!BT9</f>
        <v>45109648.340000004</v>
      </c>
      <c r="BU7" s="26">
        <f>现金流量表!BU9</f>
        <v>97413638.549999997</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491</v>
      </c>
      <c r="E8" s="58">
        <f>利润表!E6</f>
        <v>8450087271.3599997</v>
      </c>
      <c r="F8" s="58">
        <f>利润表!F6</f>
        <v>6350106683.5200005</v>
      </c>
      <c r="G8" s="58">
        <f>利润表!G6</f>
        <v>4428529135.8999996</v>
      </c>
      <c r="H8" s="58">
        <f>利润表!H6</f>
        <v>2993353291.3099999</v>
      </c>
      <c r="I8" s="58">
        <f>利润表!I6</f>
        <v>7314252452.3800001</v>
      </c>
      <c r="J8" s="58">
        <f>利润表!J6</f>
        <v>5287169637.4300003</v>
      </c>
      <c r="K8" s="58">
        <f>利润表!K6</f>
        <v>3976153298.8800001</v>
      </c>
      <c r="L8" s="58">
        <f>利润表!L6</f>
        <v>2661635000.4699998</v>
      </c>
      <c r="M8" s="58">
        <f>利润表!M6</f>
        <v>6671963269.6700001</v>
      </c>
      <c r="N8" s="58">
        <f>利润表!N6</f>
        <v>4656198301.6999998</v>
      </c>
      <c r="O8" s="58">
        <f>利润表!O6</f>
        <v>3376312811.8299999</v>
      </c>
      <c r="P8" s="58">
        <f>利润表!P6</f>
        <v>2055823734.03</v>
      </c>
      <c r="Q8" s="58">
        <f>利润表!Q6</f>
        <v>5772029404.0299997</v>
      </c>
      <c r="R8" s="58">
        <f>利润表!R6</f>
        <v>3787920585.1700001</v>
      </c>
      <c r="S8" s="58">
        <f>利润表!S6</f>
        <v>2857248428.6700001</v>
      </c>
      <c r="T8" s="58">
        <f>利润表!T6</f>
        <v>1682004658.98</v>
      </c>
      <c r="U8" s="58">
        <f>利润表!U6</f>
        <v>6610410852.2399998</v>
      </c>
      <c r="V8" s="58">
        <f>利润表!V6</f>
        <v>5339450953.04</v>
      </c>
      <c r="W8" s="58">
        <f>利润表!W6</f>
        <v>4376697218.3699999</v>
      </c>
      <c r="X8" s="58">
        <f>利润表!X6</f>
        <v>2033064547.8699999</v>
      </c>
      <c r="Y8" s="58">
        <f>利润表!Y6</f>
        <v>8015724440.8500004</v>
      </c>
      <c r="Z8" s="58">
        <f>利润表!Z6</f>
        <v>6475620512.3999996</v>
      </c>
      <c r="AA8" s="58">
        <f>利润表!AA6</f>
        <v>5252285371.5299997</v>
      </c>
      <c r="AB8" s="58">
        <f>利润表!AB6</f>
        <v>2519558542.4099998</v>
      </c>
      <c r="AC8" s="58">
        <f>利润表!AC6</f>
        <v>6895411289.1300001</v>
      </c>
      <c r="AD8" s="58">
        <f>利润表!AD6</f>
        <v>5318811654.6899996</v>
      </c>
      <c r="AE8" s="58">
        <f>利润表!AE6</f>
        <v>3589356918.8899999</v>
      </c>
      <c r="AF8" s="58">
        <f>利润表!AF6</f>
        <v>2138107423.97</v>
      </c>
      <c r="AG8" s="58">
        <f>利润表!AG6</f>
        <v>4863189610.8299999</v>
      </c>
      <c r="AH8" s="58">
        <f>利润表!AH6</f>
        <v>3862012275.1300001</v>
      </c>
      <c r="AI8" s="58">
        <f>利润表!AI6</f>
        <v>2470927606.6300001</v>
      </c>
      <c r="AJ8" s="58">
        <f>利润表!AJ6</f>
        <v>1354048502.05</v>
      </c>
      <c r="AK8" s="58">
        <f>利润表!AK6</f>
        <v>3860659982.3200002</v>
      </c>
      <c r="AL8" s="58">
        <f>利润表!AL6</f>
        <v>3030912031.6799998</v>
      </c>
      <c r="AM8" s="58">
        <f>利润表!AM6</f>
        <v>2029592156.77</v>
      </c>
      <c r="AN8" s="58">
        <f>利润表!AN6</f>
        <v>1086953253.6500001</v>
      </c>
      <c r="AO8" s="58">
        <f>利润表!AO6</f>
        <v>3618072871.25</v>
      </c>
      <c r="AP8" s="58">
        <f>利润表!AP6</f>
        <v>2994697567.3200002</v>
      </c>
      <c r="AQ8" s="58">
        <f>利润表!AQ6</f>
        <v>1909931131.78</v>
      </c>
      <c r="AR8" s="58">
        <f>利润表!AR6</f>
        <v>1210862958.6400001</v>
      </c>
      <c r="AS8" s="58">
        <f>利润表!AS6</f>
        <v>3377979573</v>
      </c>
      <c r="AT8" s="58">
        <f>利润表!AT6</f>
        <v>2691916727.7199998</v>
      </c>
      <c r="AU8" s="58">
        <f>利润表!AU6</f>
        <v>1726068014.1400001</v>
      </c>
      <c r="AV8" s="58">
        <f>利润表!AV6</f>
        <v>1260355739.48</v>
      </c>
      <c r="AW8" s="58">
        <f>利润表!AW6</f>
        <v>3486534076.8200002</v>
      </c>
      <c r="AX8" s="58">
        <f>利润表!AX6</f>
        <v>2763275003.6700001</v>
      </c>
      <c r="AY8" s="58">
        <f>利润表!AY6</f>
        <v>1904934120.6800001</v>
      </c>
      <c r="AZ8" s="58">
        <f>利润表!AZ6</f>
        <v>1128853611.54</v>
      </c>
      <c r="BA8" s="58">
        <f>利润表!BA6</f>
        <v>3209547722.3400002</v>
      </c>
      <c r="BB8" s="58">
        <f>利润表!BB6</f>
        <v>2434453784.54</v>
      </c>
      <c r="BC8" s="58">
        <f>利润表!BC6</f>
        <v>1840642005.9300001</v>
      </c>
      <c r="BD8" s="58">
        <f>利润表!BD6</f>
        <v>1190452153.4400001</v>
      </c>
      <c r="BE8" s="58">
        <f>利润表!BE6</f>
        <v>3219308815.7399998</v>
      </c>
      <c r="BF8" s="58">
        <f>利润表!BF6</f>
        <v>2411915899.25</v>
      </c>
      <c r="BG8" s="58">
        <f>利润表!BG6</f>
        <v>1846629284.01</v>
      </c>
      <c r="BH8" s="58">
        <f>利润表!BH6</f>
        <v>1345869096.0899999</v>
      </c>
      <c r="BI8" s="58">
        <f>利润表!BI6</f>
        <v>3485512930.8499999</v>
      </c>
      <c r="BJ8" s="58">
        <f>利润表!BJ6</f>
        <v>2527189390.6100001</v>
      </c>
      <c r="BK8" s="58">
        <f>利润表!BK6</f>
        <v>1905502286.49</v>
      </c>
      <c r="BL8" s="58">
        <f>利润表!BL6</f>
        <v>1263173219.8800001</v>
      </c>
      <c r="BM8" s="58">
        <f>利润表!BM6</f>
        <v>3200544107.3400002</v>
      </c>
      <c r="BN8" s="58">
        <f>利润表!BN6</f>
        <v>2439984867.3400002</v>
      </c>
      <c r="BO8" s="58">
        <f>利润表!BO6</f>
        <v>1936175378.28</v>
      </c>
      <c r="BP8" s="58">
        <f>利润表!BP6</f>
        <v>1318965800.5</v>
      </c>
      <c r="BQ8" s="58">
        <f>利润表!BQ6</f>
        <v>2643927861.4899998</v>
      </c>
      <c r="BR8" s="58">
        <f>利润表!BR6</f>
        <v>0</v>
      </c>
      <c r="BS8" s="58">
        <f>利润表!BS6</f>
        <v>1570152121.23</v>
      </c>
      <c r="BT8" s="58">
        <f>利润表!BT6</f>
        <v>1238131319.3099999</v>
      </c>
      <c r="BU8" s="58">
        <f>利润表!BU6</f>
        <v>1930789417.8299999</v>
      </c>
      <c r="BV8" s="58">
        <f>利润表!BV6</f>
        <v>1153309650.4000001</v>
      </c>
      <c r="BW8" s="58">
        <f>利润表!BW6</f>
        <v>1576612800.96</v>
      </c>
      <c r="BX8" s="58">
        <f>利润表!BX6</f>
        <v>924155194.89999998</v>
      </c>
      <c r="BY8" s="58">
        <f>利润表!BY6</f>
        <v>1486186561.3499999</v>
      </c>
      <c r="BZ8" s="58">
        <f>利润表!BZ6</f>
        <v>596587847.75999999</v>
      </c>
      <c r="CA8" s="58">
        <f>利润表!CA6</f>
        <v>1142349023.22</v>
      </c>
      <c r="CB8" s="58">
        <f>利润表!CB6</f>
        <v>564890120.15999997</v>
      </c>
      <c r="CC8" s="58">
        <f>利润表!CC6</f>
        <v>391634546.25999999</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492</v>
      </c>
      <c r="E9" s="58">
        <f>利润表!E7</f>
        <v>3494696079.6799998</v>
      </c>
      <c r="F9" s="58">
        <f>利润表!F7</f>
        <v>2330495982.27</v>
      </c>
      <c r="G9" s="58">
        <f>利润表!G7</f>
        <v>1428602683.29</v>
      </c>
      <c r="H9" s="58">
        <f>利润表!H7</f>
        <v>761977874.67999995</v>
      </c>
      <c r="I9" s="58">
        <f>利润表!I7</f>
        <v>1941174540.51</v>
      </c>
      <c r="J9" s="58">
        <f>利润表!J7</f>
        <v>1369574668.29</v>
      </c>
      <c r="K9" s="58">
        <f>利润表!K7</f>
        <v>1036442502.02</v>
      </c>
      <c r="L9" s="58">
        <f>利润表!L7</f>
        <v>681549806.35000002</v>
      </c>
      <c r="M9" s="58">
        <f>利润表!M7</f>
        <v>1784675660.3199999</v>
      </c>
      <c r="N9" s="58">
        <f>利润表!N7</f>
        <v>1185882023.5999999</v>
      </c>
      <c r="O9" s="58">
        <f>利润表!O7</f>
        <v>885174940.63999999</v>
      </c>
      <c r="P9" s="58">
        <f>利润表!P7</f>
        <v>496842872.54000002</v>
      </c>
      <c r="Q9" s="58">
        <f>利润表!Q7</f>
        <v>1517236398.1900001</v>
      </c>
      <c r="R9" s="58">
        <f>利润表!R7</f>
        <v>1056567930.21</v>
      </c>
      <c r="S9" s="58">
        <f>利润表!S7</f>
        <v>834773708.13</v>
      </c>
      <c r="T9" s="58">
        <f>利润表!T7</f>
        <v>448817685.83999997</v>
      </c>
      <c r="U9" s="58">
        <f>利润表!U7</f>
        <v>1849030035.48</v>
      </c>
      <c r="V9" s="58">
        <f>利润表!V7</f>
        <v>1359146268.04</v>
      </c>
      <c r="W9" s="58">
        <f>利润表!W7</f>
        <v>1097569220.4100001</v>
      </c>
      <c r="X9" s="58">
        <f>利润表!X7</f>
        <v>587146311.77999997</v>
      </c>
      <c r="Y9" s="58">
        <f>利润表!Y7</f>
        <v>2005704155.21</v>
      </c>
      <c r="Z9" s="58">
        <f>利润表!Z7</f>
        <v>1558027610.6700001</v>
      </c>
      <c r="AA9" s="58">
        <f>利润表!AA7</f>
        <v>1125809503.8199999</v>
      </c>
      <c r="AB9" s="58">
        <f>利润表!AB7</f>
        <v>649332785.17999995</v>
      </c>
      <c r="AC9" s="58">
        <f>利润表!AC7</f>
        <v>1601644134.96</v>
      </c>
      <c r="AD9" s="58">
        <f>利润表!AD7</f>
        <v>1220745003.9000001</v>
      </c>
      <c r="AE9" s="58">
        <f>利润表!AE7</f>
        <v>818818580.22000003</v>
      </c>
      <c r="AF9" s="58">
        <f>利润表!AF7</f>
        <v>467757266.18000001</v>
      </c>
      <c r="AG9" s="58">
        <f>利润表!AG7</f>
        <v>1392170702.8499999</v>
      </c>
      <c r="AH9" s="58">
        <f>利润表!AH7</f>
        <v>949959547.03999996</v>
      </c>
      <c r="AI9" s="58">
        <f>利润表!AI7</f>
        <v>639437722.14999998</v>
      </c>
      <c r="AJ9" s="58">
        <f>利润表!AJ7</f>
        <v>362049254.75</v>
      </c>
      <c r="AK9" s="58">
        <f>利润表!AK7</f>
        <v>798585260.89999998</v>
      </c>
      <c r="AL9" s="58">
        <f>利润表!AL7</f>
        <v>534455603.97000003</v>
      </c>
      <c r="AM9" s="58">
        <f>利润表!AM7</f>
        <v>353016371.48000002</v>
      </c>
      <c r="AN9" s="58">
        <f>利润表!AN7</f>
        <v>229195199.34999999</v>
      </c>
      <c r="AO9" s="58">
        <f>利润表!AO7</f>
        <v>565747370.87</v>
      </c>
      <c r="AP9" s="58">
        <f>利润表!AP7</f>
        <v>459472285.37</v>
      </c>
      <c r="AQ9" s="58">
        <f>利润表!AQ7</f>
        <v>314631402.13999999</v>
      </c>
      <c r="AR9" s="58">
        <f>利润表!AR7</f>
        <v>193215185.18000001</v>
      </c>
      <c r="AS9" s="58">
        <f>利润表!AS7</f>
        <v>582633454.80999994</v>
      </c>
      <c r="AT9" s="58">
        <f>利润表!AT7</f>
        <v>449601518.04000002</v>
      </c>
      <c r="AU9" s="58">
        <f>利润表!AU7</f>
        <v>315913759.26999998</v>
      </c>
      <c r="AV9" s="58">
        <f>利润表!AV7</f>
        <v>203169122.56999999</v>
      </c>
      <c r="AW9" s="58">
        <f>利润表!AW7</f>
        <v>686318177.30999994</v>
      </c>
      <c r="AX9" s="58">
        <f>利润表!AX7</f>
        <v>556090845.54999995</v>
      </c>
      <c r="AY9" s="58">
        <f>利润表!AY7</f>
        <v>413944767.72000003</v>
      </c>
      <c r="AZ9" s="58">
        <f>利润表!AZ7</f>
        <v>278713692.88999999</v>
      </c>
      <c r="BA9" s="58">
        <f>利润表!BA7</f>
        <v>795539034.54999995</v>
      </c>
      <c r="BB9" s="58">
        <f>利润表!BB7</f>
        <v>611160237.39999998</v>
      </c>
      <c r="BC9" s="58">
        <f>利润表!BC7</f>
        <v>349006847.58999997</v>
      </c>
      <c r="BD9" s="58">
        <f>利润表!BD7</f>
        <v>217156441.12</v>
      </c>
      <c r="BE9" s="58">
        <f>利润表!BE7</f>
        <v>612558108.15999997</v>
      </c>
      <c r="BF9" s="58">
        <f>利润表!BF7</f>
        <v>430574801.92000002</v>
      </c>
      <c r="BG9" s="58">
        <f>利润表!BG7</f>
        <v>300816347.13999999</v>
      </c>
      <c r="BH9" s="58">
        <f>利润表!BH7</f>
        <v>197581411.83000001</v>
      </c>
      <c r="BI9" s="58">
        <f>利润表!BI7</f>
        <v>676350429.50999999</v>
      </c>
      <c r="BJ9" s="58">
        <f>利润表!BJ7</f>
        <v>542818070.96000004</v>
      </c>
      <c r="BK9" s="58">
        <f>利润表!BK7</f>
        <v>390629189.02999997</v>
      </c>
      <c r="BL9" s="58">
        <f>利润表!BL7</f>
        <v>235175805.53</v>
      </c>
      <c r="BM9" s="58">
        <f>利润表!BM7</f>
        <v>771795760.16999996</v>
      </c>
      <c r="BN9" s="58">
        <f>利润表!BN7</f>
        <v>632756339.84000003</v>
      </c>
      <c r="BO9" s="58">
        <f>利润表!BO7</f>
        <v>497304015.00999999</v>
      </c>
      <c r="BP9" s="58">
        <f>利润表!BP7</f>
        <v>301207000.88</v>
      </c>
      <c r="BQ9" s="58">
        <f>利润表!BQ7</f>
        <v>456967130.48000002</v>
      </c>
      <c r="BR9" s="58">
        <f>利润表!BR7</f>
        <v>0</v>
      </c>
      <c r="BS9" s="58">
        <f>利润表!BS7</f>
        <v>224259442.81</v>
      </c>
      <c r="BT9" s="58">
        <f>利润表!BT7</f>
        <v>153490045</v>
      </c>
      <c r="BU9" s="58">
        <f>利润表!BU7</f>
        <v>214538084.22999999</v>
      </c>
      <c r="BV9" s="58">
        <f>利润表!BV7</f>
        <v>163719979.69999999</v>
      </c>
      <c r="BW9" s="58">
        <f>利润表!BW7</f>
        <v>234582285.06999999</v>
      </c>
      <c r="BX9" s="58">
        <f>利润表!BX7</f>
        <v>132301100.94</v>
      </c>
      <c r="BY9" s="58">
        <f>利润表!BY7</f>
        <v>197975432.55000001</v>
      </c>
      <c r="BZ9" s="58">
        <f>利润表!BZ7</f>
        <v>126982521.55</v>
      </c>
      <c r="CA9" s="58">
        <f>利润表!CA7</f>
        <v>270374752.13999999</v>
      </c>
      <c r="CB9" s="58">
        <f>利润表!CB7</f>
        <v>158639410.75999999</v>
      </c>
      <c r="CC9" s="58">
        <f>利润表!CC7</f>
        <v>123488650.38</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493</v>
      </c>
      <c r="E10" s="58">
        <f>利润表!E8</f>
        <v>3625397914.0599999</v>
      </c>
      <c r="F10" s="58">
        <f>利润表!F8</f>
        <v>2696626088.8800001</v>
      </c>
      <c r="G10" s="58">
        <f>利润表!G8</f>
        <v>2174133716.02</v>
      </c>
      <c r="H10" s="58">
        <f>利润表!H8</f>
        <v>1096463607.3</v>
      </c>
      <c r="I10" s="58">
        <f>利润表!I8</f>
        <v>4694545075.8500004</v>
      </c>
      <c r="J10" s="58">
        <f>利润表!J8</f>
        <v>3042710866.3499999</v>
      </c>
      <c r="K10" s="58">
        <f>利润表!K8</f>
        <v>2195621788.48</v>
      </c>
      <c r="L10" s="58">
        <f>利润表!L8</f>
        <v>1125781380.21</v>
      </c>
      <c r="M10" s="58">
        <f>利润表!M8</f>
        <v>3568061356.21</v>
      </c>
      <c r="N10" s="58">
        <f>利润表!N8</f>
        <v>2197272200.48</v>
      </c>
      <c r="O10" s="58">
        <f>利润表!O8</f>
        <v>1850332525.5599999</v>
      </c>
      <c r="P10" s="58">
        <f>利润表!P8</f>
        <v>816948847.00999999</v>
      </c>
      <c r="Q10" s="58">
        <f>利润表!Q8</f>
        <v>4308897447.5699997</v>
      </c>
      <c r="R10" s="58">
        <f>利润表!R8</f>
        <v>2894737834.0100002</v>
      </c>
      <c r="S10" s="58">
        <f>利润表!S8</f>
        <v>1791032877.01</v>
      </c>
      <c r="T10" s="58">
        <f>利润表!T8</f>
        <v>638101750.49000001</v>
      </c>
      <c r="U10" s="58">
        <f>利润表!U8</f>
        <v>3382176991.3499999</v>
      </c>
      <c r="V10" s="58">
        <f>利润表!V8</f>
        <v>1552031028.3399999</v>
      </c>
      <c r="W10" s="58">
        <f>利润表!W8</f>
        <v>1195041137.1700001</v>
      </c>
      <c r="X10" s="58">
        <f>利润表!X8</f>
        <v>504185088.00999999</v>
      </c>
      <c r="Y10" s="58">
        <f>利润表!Y8</f>
        <v>2258966257.29</v>
      </c>
      <c r="Z10" s="58">
        <f>利润表!Z8</f>
        <v>1604891282.3499999</v>
      </c>
      <c r="AA10" s="58">
        <f>利润表!AA8</f>
        <v>1215125573.74</v>
      </c>
      <c r="AB10" s="58">
        <f>利润表!AB8</f>
        <v>482961749.50999999</v>
      </c>
      <c r="AC10" s="58">
        <f>利润表!AC8</f>
        <v>2069991386.1500001</v>
      </c>
      <c r="AD10" s="58">
        <f>利润表!AD8</f>
        <v>1480296163.3299999</v>
      </c>
      <c r="AE10" s="58">
        <f>利润表!AE8</f>
        <v>954816987.75</v>
      </c>
      <c r="AF10" s="58">
        <f>利润表!AF8</f>
        <v>386635240.64999998</v>
      </c>
      <c r="AG10" s="58">
        <f>利润表!AG8</f>
        <v>1803233837.6800001</v>
      </c>
      <c r="AH10" s="58">
        <f>利润表!AH8</f>
        <v>1036561699.9400001</v>
      </c>
      <c r="AI10" s="58">
        <f>利润表!AI8</f>
        <v>773415888.91999996</v>
      </c>
      <c r="AJ10" s="58">
        <f>利润表!AJ8</f>
        <v>351594259.31</v>
      </c>
      <c r="AK10" s="58">
        <f>利润表!AK8</f>
        <v>1164153836.1700001</v>
      </c>
      <c r="AL10" s="58">
        <f>利润表!AL8</f>
        <v>772950147.42999995</v>
      </c>
      <c r="AM10" s="58">
        <f>利润表!AM8</f>
        <v>484683782.69999999</v>
      </c>
      <c r="AN10" s="58">
        <f>利润表!AN8</f>
        <v>201341294</v>
      </c>
      <c r="AO10" s="58">
        <f>利润表!AO8</f>
        <v>890832654.12</v>
      </c>
      <c r="AP10" s="58">
        <f>利润表!AP8</f>
        <v>642056969.50999999</v>
      </c>
      <c r="AQ10" s="58">
        <f>利润表!AQ8</f>
        <v>412268629.73000002</v>
      </c>
      <c r="AR10" s="58">
        <f>利润表!AR8</f>
        <v>191259723.78</v>
      </c>
      <c r="AS10" s="58">
        <f>利润表!AS8</f>
        <v>782758181.11000001</v>
      </c>
      <c r="AT10" s="58">
        <f>利润表!AT8</f>
        <v>572401037.52999997</v>
      </c>
      <c r="AU10" s="58">
        <f>利润表!AU8</f>
        <v>364868396.85000002</v>
      </c>
      <c r="AV10" s="58">
        <f>利润表!AV8</f>
        <v>283165137.94</v>
      </c>
      <c r="AW10" s="58">
        <f>利润表!AW8</f>
        <v>1005292875.11</v>
      </c>
      <c r="AX10" s="58">
        <f>利润表!AX8</f>
        <v>770050949.13</v>
      </c>
      <c r="AY10" s="58">
        <f>利润表!AY8</f>
        <v>616714289.07000005</v>
      </c>
      <c r="AZ10" s="58">
        <f>利润表!AZ8</f>
        <v>365975456.14999998</v>
      </c>
      <c r="BA10" s="58">
        <f>利润表!BA8</f>
        <v>864010470.38</v>
      </c>
      <c r="BB10" s="58">
        <f>利润表!BB8</f>
        <v>525083962.75</v>
      </c>
      <c r="BC10" s="58">
        <f>利润表!BC8</f>
        <v>473957767.24000001</v>
      </c>
      <c r="BD10" s="58">
        <f>利润表!BD8</f>
        <v>265137290.88999999</v>
      </c>
      <c r="BE10" s="58">
        <f>利润表!BE8</f>
        <v>805873049.33000004</v>
      </c>
      <c r="BF10" s="58">
        <f>利润表!BF8</f>
        <v>410271794.06999999</v>
      </c>
      <c r="BG10" s="58">
        <f>利润表!BG8</f>
        <v>288900281.58999997</v>
      </c>
      <c r="BH10" s="58">
        <f>利润表!BH8</f>
        <v>207267783.87</v>
      </c>
      <c r="BI10" s="58">
        <f>利润表!BI8</f>
        <v>693133050.20000005</v>
      </c>
      <c r="BJ10" s="58">
        <f>利润表!BJ8</f>
        <v>400176892.02999997</v>
      </c>
      <c r="BK10" s="58">
        <f>利润表!BK8</f>
        <v>284300322.06</v>
      </c>
      <c r="BL10" s="58">
        <f>利润表!BL8</f>
        <v>177334630.08000001</v>
      </c>
      <c r="BM10" s="58">
        <f>利润表!BM8</f>
        <v>490557853.07999998</v>
      </c>
      <c r="BN10" s="58">
        <f>利润表!BN8</f>
        <v>414199424</v>
      </c>
      <c r="BO10" s="58">
        <f>利润表!BO8</f>
        <v>321007216.29000002</v>
      </c>
      <c r="BP10" s="58">
        <f>利润表!BP8</f>
        <v>170323063.34999999</v>
      </c>
      <c r="BQ10" s="58">
        <f>利润表!BQ8</f>
        <v>345465316.55000001</v>
      </c>
      <c r="BR10" s="58">
        <f>利润表!BR8</f>
        <v>0</v>
      </c>
      <c r="BS10" s="58">
        <f>利润表!BS8</f>
        <v>214005459.25</v>
      </c>
      <c r="BT10" s="58">
        <f>利润表!BT8</f>
        <v>152235661.08000001</v>
      </c>
      <c r="BU10" s="58">
        <f>利润表!BU8</f>
        <v>587572449.04999995</v>
      </c>
      <c r="BV10" s="58">
        <f>利润表!BV8</f>
        <v>461791453.66000003</v>
      </c>
      <c r="BW10" s="58">
        <f>利润表!BW8</f>
        <v>449730853.39999998</v>
      </c>
      <c r="BX10" s="58">
        <f>利润表!BX8</f>
        <v>311560399.13</v>
      </c>
      <c r="BY10" s="58">
        <f>利润表!BY8</f>
        <v>342697922.81</v>
      </c>
      <c r="BZ10" s="58">
        <f>利润表!BZ8</f>
        <v>152190024.56</v>
      </c>
      <c r="CA10" s="58">
        <f>利润表!CA8</f>
        <v>205458922.97999999</v>
      </c>
      <c r="CB10" s="58">
        <f>利润表!CB8</f>
        <v>143092621.77000001</v>
      </c>
      <c r="CC10" s="58">
        <f>利润表!CC8</f>
        <v>33040032.620000001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494</v>
      </c>
      <c r="E11" s="58">
        <f>利润表!E9</f>
        <v>2269024701.04</v>
      </c>
      <c r="F11" s="58">
        <f>利润表!F9</f>
        <v>1612942170.3900001</v>
      </c>
      <c r="G11" s="58">
        <f>利润表!G9</f>
        <v>1076103861.25</v>
      </c>
      <c r="H11" s="58">
        <f>利润表!H9</f>
        <v>583795810.88</v>
      </c>
      <c r="I11" s="58">
        <f>利润表!I9</f>
        <v>2143703443.8199999</v>
      </c>
      <c r="J11" s="58">
        <f>利润表!J9</f>
        <v>1614574317.9200001</v>
      </c>
      <c r="K11" s="58">
        <f>利润表!K9</f>
        <v>1107396572.5799999</v>
      </c>
      <c r="L11" s="58">
        <f>利润表!L9</f>
        <v>572834323.13</v>
      </c>
      <c r="M11" s="58">
        <f>利润表!M9</f>
        <v>2128805680.22</v>
      </c>
      <c r="N11" s="58">
        <f>利润表!N9</f>
        <v>1443131572.1199999</v>
      </c>
      <c r="O11" s="58">
        <f>利润表!O9</f>
        <v>1006746030.52</v>
      </c>
      <c r="P11" s="58">
        <f>利润表!P9</f>
        <v>538900979.45000005</v>
      </c>
      <c r="Q11" s="58">
        <f>利润表!Q9</f>
        <v>2047028546.72</v>
      </c>
      <c r="R11" s="58">
        <f>利润表!R9</f>
        <v>1377206394.1400001</v>
      </c>
      <c r="S11" s="58">
        <f>利润表!S9</f>
        <v>977690587.13999999</v>
      </c>
      <c r="T11" s="58">
        <f>利润表!T9</f>
        <v>533715812.48000002</v>
      </c>
      <c r="U11" s="58">
        <f>利润表!U9</f>
        <v>2263637925.0300002</v>
      </c>
      <c r="V11" s="58">
        <f>利润表!V9</f>
        <v>1521231364.8</v>
      </c>
      <c r="W11" s="58">
        <f>利润表!W9</f>
        <v>1085694375.8</v>
      </c>
      <c r="X11" s="58">
        <f>利润表!X9</f>
        <v>577974320.34000003</v>
      </c>
      <c r="Y11" s="58">
        <f>利润表!Y9</f>
        <v>2009184257.8499999</v>
      </c>
      <c r="Z11" s="58">
        <f>利润表!Z9</f>
        <v>1408989421.49</v>
      </c>
      <c r="AA11" s="58">
        <f>利润表!AA9</f>
        <v>922708225.65999997</v>
      </c>
      <c r="AB11" s="58">
        <f>利润表!AB9</f>
        <v>532291967.25999999</v>
      </c>
      <c r="AC11" s="58">
        <f>利润表!AC9</f>
        <v>1750685037.9300001</v>
      </c>
      <c r="AD11" s="58">
        <f>利润表!AD9</f>
        <v>1257263895.1099999</v>
      </c>
      <c r="AE11" s="58">
        <f>利润表!AE9</f>
        <v>818535719.35000002</v>
      </c>
      <c r="AF11" s="58">
        <f>利润表!AF9</f>
        <v>431996771.19999999</v>
      </c>
      <c r="AG11" s="58">
        <f>利润表!AG9</f>
        <v>1561852181.1700001</v>
      </c>
      <c r="AH11" s="58">
        <f>利润表!AH9</f>
        <v>1057076554.55</v>
      </c>
      <c r="AI11" s="58">
        <f>利润表!AI9</f>
        <v>670150753.64999998</v>
      </c>
      <c r="AJ11" s="58">
        <f>利润表!AJ9</f>
        <v>356750164.04000002</v>
      </c>
      <c r="AK11" s="58">
        <f>利润表!AK9</f>
        <v>838973053.20000005</v>
      </c>
      <c r="AL11" s="58">
        <f>利润表!AL9</f>
        <v>604128660.64999998</v>
      </c>
      <c r="AM11" s="58">
        <f>利润表!AM9</f>
        <v>368919789.76999998</v>
      </c>
      <c r="AN11" s="58">
        <f>利润表!AN9</f>
        <v>173037218.22999999</v>
      </c>
      <c r="AO11" s="58">
        <f>利润表!AO9</f>
        <v>588986100.29999995</v>
      </c>
      <c r="AP11" s="58">
        <f>利润表!AP9</f>
        <v>438226187.12</v>
      </c>
      <c r="AQ11" s="58">
        <f>利润表!AQ9</f>
        <v>294992672.13999999</v>
      </c>
      <c r="AR11" s="58">
        <f>利润表!AR9</f>
        <v>155627050.02000001</v>
      </c>
      <c r="AS11" s="58">
        <f>利润表!AS9</f>
        <v>497940571.16000003</v>
      </c>
      <c r="AT11" s="58">
        <f>利润表!AT9</f>
        <v>399714055.94</v>
      </c>
      <c r="AU11" s="58">
        <f>利润表!AU9</f>
        <v>278496902.70999998</v>
      </c>
      <c r="AV11" s="58">
        <f>利润表!AV9</f>
        <v>143955668</v>
      </c>
      <c r="AW11" s="58">
        <f>利润表!AW9</f>
        <v>471915102.69999999</v>
      </c>
      <c r="AX11" s="58">
        <f>利润表!AX9</f>
        <v>342923580.26999998</v>
      </c>
      <c r="AY11" s="58">
        <f>利润表!AY9</f>
        <v>240044224.87</v>
      </c>
      <c r="AZ11" s="58">
        <f>利润表!AZ9</f>
        <v>131751437.98</v>
      </c>
      <c r="BA11" s="58">
        <f>利润表!BA9</f>
        <v>380204276.68000001</v>
      </c>
      <c r="BB11" s="58">
        <f>利润表!BB9</f>
        <v>249813020.28999999</v>
      </c>
      <c r="BC11" s="58">
        <f>利润表!BC9</f>
        <v>221542936.25999999</v>
      </c>
      <c r="BD11" s="58">
        <f>利润表!BD9</f>
        <v>147819190.53</v>
      </c>
      <c r="BE11" s="58">
        <f>利润表!BE9</f>
        <v>407299604.80000001</v>
      </c>
      <c r="BF11" s="58">
        <f>利润表!BF9</f>
        <v>300916626.75</v>
      </c>
      <c r="BG11" s="58">
        <f>利润表!BG9</f>
        <v>216306143.75999999</v>
      </c>
      <c r="BH11" s="58">
        <f>利润表!BH9</f>
        <v>126463988.64</v>
      </c>
      <c r="BI11" s="58">
        <f>利润表!BI9</f>
        <v>415151762.45999998</v>
      </c>
      <c r="BJ11" s="58">
        <f>利润表!BJ9</f>
        <v>332929994.25999999</v>
      </c>
      <c r="BK11" s="58">
        <f>利润表!BK9</f>
        <v>220046772.38</v>
      </c>
      <c r="BL11" s="58">
        <f>利润表!BL9</f>
        <v>107707797.45999999</v>
      </c>
      <c r="BM11" s="58">
        <f>利润表!BM9</f>
        <v>401004011.82999998</v>
      </c>
      <c r="BN11" s="58">
        <f>利润表!BN9</f>
        <v>315642991.91000003</v>
      </c>
      <c r="BO11" s="58">
        <f>利润表!BO9</f>
        <v>221909407.99000001</v>
      </c>
      <c r="BP11" s="58">
        <f>利润表!BP9</f>
        <v>106695265.43000001</v>
      </c>
      <c r="BQ11" s="58">
        <f>利润表!BQ9</f>
        <v>400197212.51999998</v>
      </c>
      <c r="BR11" s="58">
        <f>利润表!BR9</f>
        <v>0</v>
      </c>
      <c r="BS11" s="58">
        <f>利润表!BS9</f>
        <v>176020993.19999999</v>
      </c>
      <c r="BT11" s="58">
        <f>利润表!BT9</f>
        <v>46574723.729999997</v>
      </c>
      <c r="BU11" s="58">
        <f>利润表!BU9</f>
        <v>232381015.22999999</v>
      </c>
      <c r="BV11" s="58">
        <f>利润表!BV9</f>
        <v>172626087.66</v>
      </c>
      <c r="BW11" s="58">
        <f>利润表!BW9</f>
        <v>278627189.76999998</v>
      </c>
      <c r="BX11" s="58">
        <f>利润表!BX9</f>
        <v>158734444.53</v>
      </c>
      <c r="BY11" s="58">
        <f>利润表!BY9</f>
        <v>156961577.28</v>
      </c>
      <c r="BZ11" s="58">
        <f>利润表!BZ9</f>
        <v>40826189.950000003</v>
      </c>
      <c r="CA11" s="58">
        <f>利润表!CA9</f>
        <v>65192867.909999996</v>
      </c>
      <c r="CB11" s="58">
        <f>利润表!CB9</f>
        <v>39177380.969999999</v>
      </c>
      <c r="CC11" s="58">
        <f>利润表!CC9</f>
        <v>30667940.870000001</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495</v>
      </c>
      <c r="E12" s="58">
        <f>SUM(E8:E11)</f>
        <v>17839205966.139999</v>
      </c>
      <c r="F12" s="58">
        <f t="shared" ref="F12:BQ12" si="4">SUM(F8:F11)</f>
        <v>12990170925.060001</v>
      </c>
      <c r="G12" s="58">
        <f t="shared" si="4"/>
        <v>9107369396.4599991</v>
      </c>
      <c r="H12" s="58">
        <f t="shared" si="4"/>
        <v>5435590584.1700001</v>
      </c>
      <c r="I12" s="58">
        <f t="shared" si="4"/>
        <v>16093675512.559999</v>
      </c>
      <c r="J12" s="58">
        <f t="shared" si="4"/>
        <v>11314029489.99</v>
      </c>
      <c r="K12" s="58">
        <f t="shared" si="4"/>
        <v>8315614161.9599991</v>
      </c>
      <c r="L12" s="58">
        <f t="shared" si="4"/>
        <v>5041800510.1599998</v>
      </c>
      <c r="M12" s="58">
        <f t="shared" si="4"/>
        <v>14153505966.42</v>
      </c>
      <c r="N12" s="58">
        <f t="shared" si="4"/>
        <v>9482484097.8999977</v>
      </c>
      <c r="O12" s="58">
        <f t="shared" si="4"/>
        <v>7118566308.5499992</v>
      </c>
      <c r="P12" s="58">
        <f t="shared" si="4"/>
        <v>3908516433.0299997</v>
      </c>
      <c r="Q12" s="58">
        <f t="shared" si="4"/>
        <v>13645191796.509998</v>
      </c>
      <c r="R12" s="58">
        <f t="shared" si="4"/>
        <v>9116432743.5300007</v>
      </c>
      <c r="S12" s="58">
        <f t="shared" si="4"/>
        <v>6460745600.9500008</v>
      </c>
      <c r="T12" s="58">
        <f t="shared" si="4"/>
        <v>3302639907.79</v>
      </c>
      <c r="U12" s="58">
        <f t="shared" si="4"/>
        <v>14105255804.1</v>
      </c>
      <c r="V12" s="58">
        <f t="shared" si="4"/>
        <v>9771859614.2199993</v>
      </c>
      <c r="W12" s="58">
        <f t="shared" si="4"/>
        <v>7755001951.75</v>
      </c>
      <c r="X12" s="58">
        <f t="shared" si="4"/>
        <v>3702370268</v>
      </c>
      <c r="Y12" s="58">
        <f t="shared" si="4"/>
        <v>14289579111.200003</v>
      </c>
      <c r="Z12" s="58">
        <f t="shared" si="4"/>
        <v>11047528826.91</v>
      </c>
      <c r="AA12" s="58">
        <f t="shared" si="4"/>
        <v>8515928674.749999</v>
      </c>
      <c r="AB12" s="58">
        <f t="shared" si="4"/>
        <v>4184145044.3599997</v>
      </c>
      <c r="AC12" s="58">
        <f t="shared" si="4"/>
        <v>12317731848.17</v>
      </c>
      <c r="AD12" s="58">
        <f t="shared" si="4"/>
        <v>9277116717.0300007</v>
      </c>
      <c r="AE12" s="58">
        <f t="shared" si="4"/>
        <v>6181528206.21</v>
      </c>
      <c r="AF12" s="58">
        <f t="shared" si="4"/>
        <v>3424496702</v>
      </c>
      <c r="AG12" s="58">
        <f t="shared" si="4"/>
        <v>9620446332.5300007</v>
      </c>
      <c r="AH12" s="58">
        <f t="shared" si="4"/>
        <v>6905610076.6600008</v>
      </c>
      <c r="AI12" s="58">
        <f t="shared" si="4"/>
        <v>4553931971.3500004</v>
      </c>
      <c r="AJ12" s="58">
        <f t="shared" si="4"/>
        <v>2424442180.1500001</v>
      </c>
      <c r="AK12" s="58">
        <f t="shared" si="4"/>
        <v>6662372132.5900002</v>
      </c>
      <c r="AL12" s="58">
        <f t="shared" si="4"/>
        <v>4942446443.7299995</v>
      </c>
      <c r="AM12" s="58">
        <f t="shared" si="4"/>
        <v>3236212100.7199998</v>
      </c>
      <c r="AN12" s="58">
        <f t="shared" si="4"/>
        <v>1690526965.23</v>
      </c>
      <c r="AO12" s="58">
        <f t="shared" si="4"/>
        <v>5663638996.54</v>
      </c>
      <c r="AP12" s="58">
        <f t="shared" si="4"/>
        <v>4534453009.3199997</v>
      </c>
      <c r="AQ12" s="58">
        <f t="shared" si="4"/>
        <v>2931823835.79</v>
      </c>
      <c r="AR12" s="58">
        <f t="shared" si="4"/>
        <v>1750964917.6200001</v>
      </c>
      <c r="AS12" s="58">
        <f t="shared" si="4"/>
        <v>5241311780.0799999</v>
      </c>
      <c r="AT12" s="58">
        <f t="shared" si="4"/>
        <v>4113633339.23</v>
      </c>
      <c r="AU12" s="58">
        <f t="shared" si="4"/>
        <v>2685347072.9700003</v>
      </c>
      <c r="AV12" s="58">
        <f t="shared" si="4"/>
        <v>1890645667.99</v>
      </c>
      <c r="AW12" s="58">
        <f t="shared" si="4"/>
        <v>5650060231.9399996</v>
      </c>
      <c r="AX12" s="58">
        <f t="shared" si="4"/>
        <v>4432340378.6200008</v>
      </c>
      <c r="AY12" s="58">
        <f t="shared" si="4"/>
        <v>3175637402.3400002</v>
      </c>
      <c r="AZ12" s="58">
        <f t="shared" si="4"/>
        <v>1905294198.5599999</v>
      </c>
      <c r="BA12" s="58">
        <f t="shared" si="4"/>
        <v>5249301503.9500008</v>
      </c>
      <c r="BB12" s="58">
        <f t="shared" si="4"/>
        <v>3820511004.98</v>
      </c>
      <c r="BC12" s="58">
        <f t="shared" si="4"/>
        <v>2885149557.0200005</v>
      </c>
      <c r="BD12" s="58">
        <f t="shared" si="4"/>
        <v>1820565075.9799998</v>
      </c>
      <c r="BE12" s="58">
        <f t="shared" si="4"/>
        <v>5045039578.0299997</v>
      </c>
      <c r="BF12" s="58">
        <f t="shared" si="4"/>
        <v>3553679121.9900002</v>
      </c>
      <c r="BG12" s="58">
        <f t="shared" si="4"/>
        <v>2652652056.5</v>
      </c>
      <c r="BH12" s="58">
        <f t="shared" si="4"/>
        <v>1877182280.4300001</v>
      </c>
      <c r="BI12" s="58">
        <f t="shared" si="4"/>
        <v>5270148173.0199995</v>
      </c>
      <c r="BJ12" s="58">
        <f t="shared" si="4"/>
        <v>3803114347.8600006</v>
      </c>
      <c r="BK12" s="58">
        <f t="shared" si="4"/>
        <v>2800478569.96</v>
      </c>
      <c r="BL12" s="58">
        <f t="shared" si="4"/>
        <v>1783391452.95</v>
      </c>
      <c r="BM12" s="58">
        <f t="shared" si="4"/>
        <v>4863901732.4200001</v>
      </c>
      <c r="BN12" s="58">
        <f t="shared" si="4"/>
        <v>3802583623.0900002</v>
      </c>
      <c r="BO12" s="58">
        <f t="shared" si="4"/>
        <v>2976396017.5699997</v>
      </c>
      <c r="BP12" s="58">
        <f t="shared" si="4"/>
        <v>1897191130.1600001</v>
      </c>
      <c r="BQ12" s="58">
        <f t="shared" si="4"/>
        <v>3846557521.04</v>
      </c>
      <c r="BR12" s="58">
        <f t="shared" ref="BR12:CL12" si="5">SUM(BR8:BR11)</f>
        <v>0</v>
      </c>
      <c r="BS12" s="58">
        <f t="shared" si="5"/>
        <v>2184438016.4899998</v>
      </c>
      <c r="BT12" s="58">
        <f t="shared" si="5"/>
        <v>1590431749.1199999</v>
      </c>
      <c r="BU12" s="58">
        <f t="shared" si="5"/>
        <v>2965280966.3399997</v>
      </c>
      <c r="BV12" s="58">
        <f t="shared" si="5"/>
        <v>1951447171.4200003</v>
      </c>
      <c r="BW12" s="58">
        <f t="shared" si="5"/>
        <v>2539553129.1999998</v>
      </c>
      <c r="BX12" s="58">
        <f t="shared" si="5"/>
        <v>1526751139.4999998</v>
      </c>
      <c r="BY12" s="58">
        <f t="shared" si="5"/>
        <v>2183821493.9899998</v>
      </c>
      <c r="BZ12" s="58">
        <f t="shared" si="5"/>
        <v>916586583.81999993</v>
      </c>
      <c r="CA12" s="58">
        <f t="shared" si="5"/>
        <v>1683375566.2500002</v>
      </c>
      <c r="CB12" s="58">
        <f t="shared" si="5"/>
        <v>905799533.65999997</v>
      </c>
      <c r="CC12" s="58">
        <f t="shared" si="5"/>
        <v>578831170.13</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0.80068430931765944</v>
      </c>
      <c r="F13" s="28">
        <f t="shared" ref="F13:BQ13" si="6">(F6/(1+F4)+F7)/F12</f>
        <v>0.49574190042620764</v>
      </c>
      <c r="G13" s="28">
        <f t="shared" si="6"/>
        <v>0.46728470081362022</v>
      </c>
      <c r="H13" s="28">
        <f t="shared" si="6"/>
        <v>0.43110334208561485</v>
      </c>
      <c r="I13" s="28">
        <f t="shared" si="6"/>
        <v>0.70678579041220746</v>
      </c>
      <c r="J13" s="28">
        <f t="shared" si="6"/>
        <v>0.48843587273192784</v>
      </c>
      <c r="K13" s="28">
        <f t="shared" si="6"/>
        <v>0.48790623463060301</v>
      </c>
      <c r="L13" s="28">
        <f t="shared" si="6"/>
        <v>0.50710353586217349</v>
      </c>
      <c r="M13" s="28">
        <f t="shared" si="6"/>
        <v>0.7226007992595872</v>
      </c>
      <c r="N13" s="28">
        <f t="shared" si="6"/>
        <v>0.51983224436813391</v>
      </c>
      <c r="O13" s="28">
        <f t="shared" si="6"/>
        <v>0.51060816338826898</v>
      </c>
      <c r="P13" s="28">
        <f t="shared" si="6"/>
        <v>0.4984140316204112</v>
      </c>
      <c r="Q13" s="28">
        <f t="shared" si="6"/>
        <v>0.71250136712475798</v>
      </c>
      <c r="R13" s="28">
        <f t="shared" si="6"/>
        <v>0.53453133693168031</v>
      </c>
      <c r="S13" s="28">
        <f t="shared" si="6"/>
        <v>0.54333794015007719</v>
      </c>
      <c r="T13" s="28">
        <f t="shared" si="6"/>
        <v>0.63330363542227763</v>
      </c>
      <c r="U13" s="28">
        <f t="shared" si="6"/>
        <v>0.75714902623944891</v>
      </c>
      <c r="V13" s="28">
        <f t="shared" si="6"/>
        <v>0.63548052299819724</v>
      </c>
      <c r="W13" s="28">
        <f t="shared" si="6"/>
        <v>0.65769236778427353</v>
      </c>
      <c r="X13" s="28">
        <f t="shared" si="6"/>
        <v>0.67434363706911071</v>
      </c>
      <c r="Y13" s="28">
        <f t="shared" si="6"/>
        <v>0.82305154946328596</v>
      </c>
      <c r="Z13" s="28">
        <f t="shared" si="6"/>
        <v>0.63445890213908362</v>
      </c>
      <c r="AA13" s="28">
        <f t="shared" si="6"/>
        <v>0.55285287049042586</v>
      </c>
      <c r="AB13" s="28">
        <f t="shared" si="6"/>
        <v>0.56693795466235475</v>
      </c>
      <c r="AC13" s="28">
        <f t="shared" si="6"/>
        <v>0.69947326897610895</v>
      </c>
      <c r="AD13" s="28">
        <f t="shared" si="6"/>
        <v>0.58216182170065789</v>
      </c>
      <c r="AE13" s="28">
        <f t="shared" si="6"/>
        <v>0.69398704537052236</v>
      </c>
      <c r="AF13" s="28">
        <f t="shared" si="6"/>
        <v>0.46120787726487933</v>
      </c>
      <c r="AG13" s="28">
        <f t="shared" si="6"/>
        <v>0.6328458912020245</v>
      </c>
      <c r="AH13" s="28">
        <f t="shared" si="6"/>
        <v>0.7063666790453571</v>
      </c>
      <c r="AI13" s="28">
        <f t="shared" si="6"/>
        <v>0.70058947349986689</v>
      </c>
      <c r="AJ13" s="28">
        <f t="shared" si="6"/>
        <v>0.74813199996627078</v>
      </c>
      <c r="AK13" s="28">
        <f t="shared" si="6"/>
        <v>0.62104689720761808</v>
      </c>
      <c r="AL13" s="28">
        <f t="shared" si="6"/>
        <v>0.46116016147340605</v>
      </c>
      <c r="AM13" s="28">
        <f t="shared" si="6"/>
        <v>0.54518061743216273</v>
      </c>
      <c r="AN13" s="28">
        <f t="shared" si="6"/>
        <v>0.51015625567664391</v>
      </c>
      <c r="AO13" s="28">
        <f t="shared" si="6"/>
        <v>0.69193208461981504</v>
      </c>
      <c r="AP13" s="28">
        <f t="shared" si="6"/>
        <v>0.60318765219557846</v>
      </c>
      <c r="AQ13" s="28">
        <f t="shared" si="6"/>
        <v>0.73211299644869199</v>
      </c>
      <c r="AR13" s="28">
        <f t="shared" si="6"/>
        <v>0.55871788044873205</v>
      </c>
      <c r="AS13" s="28">
        <f t="shared" si="6"/>
        <v>0.65176757155236387</v>
      </c>
      <c r="AT13" s="28">
        <f t="shared" si="6"/>
        <v>0.59326334626783372</v>
      </c>
      <c r="AU13" s="28">
        <f t="shared" si="6"/>
        <v>0.68140004047685199</v>
      </c>
      <c r="AV13" s="28">
        <f t="shared" si="6"/>
        <v>0.66067346006721872</v>
      </c>
      <c r="AW13" s="28">
        <f t="shared" si="6"/>
        <v>0.56122782975126961</v>
      </c>
      <c r="AX13" s="28">
        <f t="shared" si="6"/>
        <v>0.59860504467328401</v>
      </c>
      <c r="AY13" s="28">
        <f t="shared" si="6"/>
        <v>0.63944530650795772</v>
      </c>
      <c r="AZ13" s="28">
        <f t="shared" si="6"/>
        <v>0.70924664054418662</v>
      </c>
      <c r="BA13" s="28">
        <f t="shared" si="6"/>
        <v>0.62902415058077432</v>
      </c>
      <c r="BB13" s="28">
        <f t="shared" si="6"/>
        <v>0.58549834703033887</v>
      </c>
      <c r="BC13" s="28">
        <f t="shared" si="6"/>
        <v>0.51862075529776275</v>
      </c>
      <c r="BD13" s="28">
        <f t="shared" si="6"/>
        <v>0.71152954224943143</v>
      </c>
      <c r="BE13" s="28">
        <f t="shared" si="6"/>
        <v>0.6664353490867595</v>
      </c>
      <c r="BF13" s="28">
        <f t="shared" si="6"/>
        <v>0.65326672496263871</v>
      </c>
      <c r="BG13" s="28">
        <f t="shared" si="6"/>
        <v>0.50165597816666252</v>
      </c>
      <c r="BH13" s="28">
        <f t="shared" si="6"/>
        <v>0.50223548086352865</v>
      </c>
      <c r="BI13" s="28">
        <f t="shared" si="6"/>
        <v>0.7156247237026061</v>
      </c>
      <c r="BJ13" s="28">
        <f t="shared" si="6"/>
        <v>0.71179625636289279</v>
      </c>
      <c r="BK13" s="28">
        <f t="shared" si="6"/>
        <v>0.7103560873112883</v>
      </c>
      <c r="BL13" s="28">
        <f t="shared" si="6"/>
        <v>0.70931283212701501</v>
      </c>
      <c r="BM13" s="28">
        <f t="shared" si="6"/>
        <v>0.57687859355567339</v>
      </c>
      <c r="BN13" s="28">
        <f t="shared" si="6"/>
        <v>0.42113088133903293</v>
      </c>
      <c r="BO13" s="28">
        <f t="shared" si="6"/>
        <v>0.93939820869064616</v>
      </c>
      <c r="BP13" s="28">
        <f t="shared" si="6"/>
        <v>0.96508245399033199</v>
      </c>
      <c r="BQ13" s="28">
        <f t="shared" si="6"/>
        <v>0.39834719345492847</v>
      </c>
      <c r="BR13" s="28" t="e">
        <f t="shared" ref="BR13:CK13" si="7">(BR6/(1+BR4)+BR7)/BR12</f>
        <v>#DIV/0!</v>
      </c>
      <c r="BS13" s="28">
        <f t="shared" si="7"/>
        <v>0.99760528908219825</v>
      </c>
      <c r="BT13" s="28">
        <f t="shared" si="7"/>
        <v>0.4603104102073835</v>
      </c>
      <c r="BU13" s="28">
        <f t="shared" si="7"/>
        <v>0.50317571107396464</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9766175822.6599998</v>
      </c>
      <c r="F14" s="26">
        <f>现金流量表!F13</f>
        <v>6093165397.6400003</v>
      </c>
      <c r="G14" s="26">
        <f>现金流量表!G13</f>
        <v>3164691697.5500002</v>
      </c>
      <c r="H14" s="26">
        <f>现金流量表!H13</f>
        <v>1843612667.26</v>
      </c>
      <c r="I14" s="26">
        <f>现金流量表!I13</f>
        <v>11696760569.209999</v>
      </c>
      <c r="J14" s="26">
        <f>现金流量表!J13</f>
        <v>10562390293.709999</v>
      </c>
      <c r="K14" s="26">
        <f>现金流量表!K13</f>
        <v>4311242229.5799999</v>
      </c>
      <c r="L14" s="26">
        <f>现金流量表!L13</f>
        <v>759516944.14999998</v>
      </c>
      <c r="M14" s="26">
        <f>现金流量表!M13</f>
        <v>6691068449.7799997</v>
      </c>
      <c r="N14" s="26">
        <f>现金流量表!N13</f>
        <v>5709770665.1999998</v>
      </c>
      <c r="O14" s="26">
        <f>现金流量表!O13</f>
        <v>3116614507.29</v>
      </c>
      <c r="P14" s="26">
        <f>现金流量表!P13</f>
        <v>1932422884.71</v>
      </c>
      <c r="Q14" s="26">
        <f>现金流量表!Q13</f>
        <v>794565645.34000003</v>
      </c>
      <c r="R14" s="26">
        <f>现金流量表!R13</f>
        <v>-753891432.66999996</v>
      </c>
      <c r="S14" s="26">
        <f>现金流量表!S13</f>
        <v>-1826814406.4000001</v>
      </c>
      <c r="T14" s="26">
        <f>现金流量表!T13</f>
        <v>-2201725478.6399999</v>
      </c>
      <c r="U14" s="26">
        <f>现金流量表!U13</f>
        <v>1458910756.8800001</v>
      </c>
      <c r="V14" s="26">
        <f>现金流量表!V13</f>
        <v>313978957.69999999</v>
      </c>
      <c r="W14" s="26">
        <f>现金流量表!W13</f>
        <v>1497787082.24</v>
      </c>
      <c r="X14" s="26">
        <f>现金流量表!X13</f>
        <v>1136711876.1900001</v>
      </c>
      <c r="Y14" s="26">
        <f>现金流量表!Y13</f>
        <v>8749667084.4799995</v>
      </c>
      <c r="Z14" s="26">
        <f>现金流量表!Z13</f>
        <v>6548229191.1899996</v>
      </c>
      <c r="AA14" s="26">
        <f>现金流量表!AA13</f>
        <v>3947604599.0900002</v>
      </c>
      <c r="AB14" s="26">
        <f>现金流量表!AB13</f>
        <v>1681643781.72</v>
      </c>
      <c r="AC14" s="26">
        <f>现金流量表!AC13</f>
        <v>9533022924.4099998</v>
      </c>
      <c r="AD14" s="26">
        <f>现金流量表!AD13</f>
        <v>6771939952.1899996</v>
      </c>
      <c r="AE14" s="26">
        <f>现金流量表!AE13</f>
        <v>5409806169.54</v>
      </c>
      <c r="AF14" s="26">
        <f>现金流量表!AF13</f>
        <v>2364903317.4000001</v>
      </c>
      <c r="AG14" s="26">
        <f>现金流量表!AG13</f>
        <v>7703120285.2600002</v>
      </c>
      <c r="AH14" s="26">
        <f>现金流量表!AH13</f>
        <v>4790789702.7799997</v>
      </c>
      <c r="AI14" s="26">
        <f>现金流量表!AI13</f>
        <v>3138660150.8800001</v>
      </c>
      <c r="AJ14" s="26">
        <f>现金流量表!AJ13</f>
        <v>2138624515.8499999</v>
      </c>
      <c r="AK14" s="26">
        <f>现金流量表!AK13</f>
        <v>6054009663</v>
      </c>
      <c r="AL14" s="26">
        <f>现金流量表!AL13</f>
        <v>4845240857.8000002</v>
      </c>
      <c r="AM14" s="26">
        <f>现金流量表!AM13</f>
        <v>1883351626.01</v>
      </c>
      <c r="AN14" s="26">
        <f>现金流量表!AN13</f>
        <v>1227477879.51</v>
      </c>
      <c r="AO14" s="26">
        <f>现金流量表!AO13</f>
        <v>1972636550.8099999</v>
      </c>
      <c r="AP14" s="26">
        <f>现金流量表!AP13</f>
        <v>1857136349.6300001</v>
      </c>
      <c r="AQ14" s="26">
        <f>现金流量表!AQ13</f>
        <v>1196792212.5999999</v>
      </c>
      <c r="AR14" s="26">
        <f>现金流量表!AR13</f>
        <v>1171946368.1099999</v>
      </c>
      <c r="AS14" s="26">
        <f>现金流量表!AS13</f>
        <v>1665545943.71</v>
      </c>
      <c r="AT14" s="26">
        <f>现金流量表!AT13</f>
        <v>2089846017.8800001</v>
      </c>
      <c r="AU14" s="26">
        <f>现金流量表!AU13</f>
        <v>1599888081.8099999</v>
      </c>
      <c r="AV14" s="26">
        <f>现金流量表!AV13</f>
        <v>1055798280.0700001</v>
      </c>
      <c r="AW14" s="26">
        <f>现金流量表!AW13</f>
        <v>1336270367.45</v>
      </c>
      <c r="AX14" s="26">
        <f>现金流量表!AX13</f>
        <v>1192408273.4000001</v>
      </c>
      <c r="AY14" s="26">
        <f>现金流量表!AY13</f>
        <v>889923241.13999999</v>
      </c>
      <c r="AZ14" s="26">
        <f>现金流量表!AZ13</f>
        <v>788427165.83000004</v>
      </c>
      <c r="BA14" s="26">
        <f>现金流量表!BA13</f>
        <v>1252717668.0899999</v>
      </c>
      <c r="BB14" s="26">
        <f>现金流量表!BB13</f>
        <v>807940999.38999999</v>
      </c>
      <c r="BC14" s="26">
        <f>现金流量表!BC13</f>
        <v>713289532.66999996</v>
      </c>
      <c r="BD14" s="26">
        <f>现金流量表!BD13</f>
        <v>410809880.20999998</v>
      </c>
      <c r="BE14" s="26">
        <f>现金流量表!BE13</f>
        <v>821693394.29999995</v>
      </c>
      <c r="BF14" s="26">
        <f>现金流量表!BF13</f>
        <v>845972023.45000005</v>
      </c>
      <c r="BG14" s="26">
        <f>现金流量表!BG13</f>
        <v>673455379.76999998</v>
      </c>
      <c r="BH14" s="26">
        <f>现金流量表!BH13</f>
        <v>959479476.41999996</v>
      </c>
      <c r="BI14" s="26">
        <f>现金流量表!BI13</f>
        <v>1044659243.4</v>
      </c>
      <c r="BJ14" s="26">
        <f>现金流量表!BJ13</f>
        <v>796479775.66999996</v>
      </c>
      <c r="BK14" s="26">
        <f>现金流量表!BK13</f>
        <v>324143510.37</v>
      </c>
      <c r="BL14" s="26">
        <f>现金流量表!BL13</f>
        <v>233531826.72</v>
      </c>
      <c r="BM14" s="26">
        <f>现金流量表!BM13</f>
        <v>1053290717.92</v>
      </c>
      <c r="BN14" s="26">
        <f>现金流量表!BN13</f>
        <v>513631576.39999998</v>
      </c>
      <c r="BO14" s="26">
        <f>现金流量表!BO13</f>
        <v>1073187941.83</v>
      </c>
      <c r="BP14" s="26">
        <f>现金流量表!BP13</f>
        <v>259841859.31999999</v>
      </c>
      <c r="BQ14" s="26">
        <f>现金流量表!BQ13</f>
        <v>1294995783.27</v>
      </c>
      <c r="BR14" s="26">
        <f>现金流量表!BR13</f>
        <v>527169463.72000003</v>
      </c>
      <c r="BS14" s="26">
        <f>现金流量表!BS13</f>
        <v>898446895.69000006</v>
      </c>
      <c r="BT14" s="26">
        <f>现金流量表!BT13</f>
        <v>436278873.26999998</v>
      </c>
      <c r="BU14" s="26">
        <f>现金流量表!BU13</f>
        <v>359005459.04000002</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9295474832.2501526</v>
      </c>
      <c r="F15" s="26">
        <f>股权价值增加表!F17</f>
        <v>6768801638.1986303</v>
      </c>
      <c r="G15" s="26">
        <f>股权价值增加表!G17</f>
        <v>4856154635.5859785</v>
      </c>
      <c r="H15" s="26">
        <f>股权价值增加表!H17</f>
        <v>3575608988.9147511</v>
      </c>
      <c r="I15" s="26">
        <f>股权价值增加表!I17</f>
        <v>6482526428.6372776</v>
      </c>
      <c r="J15" s="26">
        <f>股权价值增加表!J17</f>
        <v>4867417471.5426207</v>
      </c>
      <c r="K15" s="26">
        <f>股权价值增加表!K17</f>
        <v>3760513185.223103</v>
      </c>
      <c r="L15" s="26">
        <f>股权价值增加表!L17</f>
        <v>2873272748.3356805</v>
      </c>
      <c r="M15" s="26">
        <f>股权价值增加表!M17</f>
        <v>5818530751.5382519</v>
      </c>
      <c r="N15" s="26">
        <f>股权价值增加表!N17</f>
        <v>4343069185.6432056</v>
      </c>
      <c r="O15" s="26">
        <f>股权价值增加表!O17</f>
        <v>3139324632.4330721</v>
      </c>
      <c r="P15" s="26">
        <f>股权价值增加表!P17</f>
        <v>2158273933.2071209</v>
      </c>
      <c r="Q15" s="26">
        <f>股权价值增加表!Q17</f>
        <v>5556584772.209527</v>
      </c>
      <c r="R15" s="26">
        <f>股权价值增加表!R17</f>
        <v>4526545700.2707214</v>
      </c>
      <c r="S15" s="26">
        <f>股权价值增加表!S17</f>
        <v>3907986927.7655573</v>
      </c>
      <c r="T15" s="26">
        <f>股权价值增加表!T17</f>
        <v>2552760200.2820849</v>
      </c>
      <c r="U15" s="26">
        <f>股权价值增加表!U17</f>
        <v>7718176530.2848721</v>
      </c>
      <c r="V15" s="26">
        <f>股权价值增加表!V17</f>
        <v>6921479563.1431599</v>
      </c>
      <c r="W15" s="26">
        <f>股权价值增加表!W17</f>
        <v>5691687396.4111643</v>
      </c>
      <c r="X15" s="26">
        <f>股权价值增加表!X17</f>
        <v>3607211631.0854139</v>
      </c>
      <c r="Y15" s="26">
        <f>股权价值增加表!Y17</f>
        <v>9750799759.3233471</v>
      </c>
      <c r="Z15" s="26">
        <f>股权价值增加表!Z17</f>
        <v>7646793988.2674847</v>
      </c>
      <c r="AA15" s="26">
        <f>股权价值增加表!AA17</f>
        <v>4941883120.8399944</v>
      </c>
      <c r="AB15" s="26">
        <f>股权价值增加表!AB17</f>
        <v>3059822374.1743827</v>
      </c>
      <c r="AC15" s="26">
        <f>股权价值增加表!AC17</f>
        <v>6044027413.3680277</v>
      </c>
      <c r="AD15" s="26">
        <f>股权价值增加表!AD17</f>
        <v>4828676489.6132784</v>
      </c>
      <c r="AE15" s="26">
        <f>股权价值增加表!AE17</f>
        <v>3352073838.3832626</v>
      </c>
      <c r="AF15" s="26">
        <f>股权价值增加表!AF17</f>
        <v>2142457011.7147408</v>
      </c>
      <c r="AG15" s="26">
        <f>股权价值增加表!AG17</f>
        <v>4422872890.2687683</v>
      </c>
      <c r="AH15" s="26">
        <f>股权价值增加表!AH17</f>
        <v>3461176403.7387552</v>
      </c>
      <c r="AI15" s="26">
        <f>股权价值增加表!AI17</f>
        <v>2293041854.9501367</v>
      </c>
      <c r="AJ15" s="26">
        <f>股权价值增加表!AJ17</f>
        <v>1570289221.8179052</v>
      </c>
      <c r="AK15" s="26">
        <f>股权价值增加表!AK17</f>
        <v>3370042257.6196599</v>
      </c>
      <c r="AL15" s="26">
        <f>股权价值增加表!AL17</f>
        <v>2334810226.7028246</v>
      </c>
      <c r="AM15" s="26">
        <f>股权价值增加表!AM17</f>
        <v>1591196995.3543205</v>
      </c>
      <c r="AN15" s="26">
        <f>股权价值增加表!AN17</f>
        <v>1260896268.7404358</v>
      </c>
      <c r="AO15" s="26">
        <f>股权价值增加表!AO17</f>
        <v>1706507542.3037231</v>
      </c>
      <c r="AP15" s="26">
        <f>股权价值增加表!AP17</f>
        <v>1537856623.4169679</v>
      </c>
      <c r="AQ15" s="26">
        <f>股权价值增加表!AQ17</f>
        <v>1251684705.6535292</v>
      </c>
      <c r="AR15" s="26">
        <f>股权价值增加表!AR17</f>
        <v>1003972788.9663324</v>
      </c>
      <c r="AS15" s="26">
        <f>股权价值增加表!AS17</f>
        <v>1408392013.9499335</v>
      </c>
      <c r="AT15" s="26">
        <f>股权价值增加表!AT17</f>
        <v>1298916230.9878173</v>
      </c>
      <c r="AU15" s="26">
        <f>股权价值增加表!AU17</f>
        <v>1120736191.6167207</v>
      </c>
      <c r="AV15" s="26">
        <f>股权价值增加表!AV17</f>
        <v>742320493.72112775</v>
      </c>
      <c r="AW15" s="26">
        <f>股权价值增加表!AW17</f>
        <v>1139287368.2616401</v>
      </c>
      <c r="AX15" s="26">
        <f>股权价值增加表!AX17</f>
        <v>1000752627.2061002</v>
      </c>
      <c r="AY15" s="26">
        <f>股权价值增加表!AY17</f>
        <v>803074551.98834109</v>
      </c>
      <c r="AZ15" s="26">
        <f>股权价值增加表!AZ17</f>
        <v>545478366.56518388</v>
      </c>
      <c r="BA15" s="26">
        <f>股权价值增加表!BA17</f>
        <v>779115085.87543201</v>
      </c>
      <c r="BB15" s="26">
        <f>股权价值增加表!BB17</f>
        <v>764946656.44783151</v>
      </c>
      <c r="BC15" s="26">
        <f>股权价值增加表!BC17</f>
        <v>586558573.95681977</v>
      </c>
      <c r="BD15" s="26">
        <f>股权价值增加表!BD17</f>
        <v>411189639.50629252</v>
      </c>
      <c r="BE15" s="26">
        <f>股权价值增加表!BE17</f>
        <v>808742027.29673886</v>
      </c>
      <c r="BF15" s="26">
        <f>股权价值增加表!BF17</f>
        <v>667465376.84909189</v>
      </c>
      <c r="BG15" s="26">
        <f>股权价值增加表!BG17</f>
        <v>528360717.32039851</v>
      </c>
      <c r="BH15" s="26">
        <f>股权价值增加表!BH17</f>
        <v>380539597.46508592</v>
      </c>
      <c r="BI15" s="26">
        <f>股权价值增加表!BI17</f>
        <v>682124057.91134238</v>
      </c>
      <c r="BJ15" s="26">
        <f>股权价值增加表!BJ17</f>
        <v>532548305.2660383</v>
      </c>
      <c r="BK15" s="26">
        <f>股权价值增加表!BK17</f>
        <v>380842567.91031945</v>
      </c>
      <c r="BL15" s="26">
        <f>股权价值增加表!BL17</f>
        <v>286325964.99498641</v>
      </c>
      <c r="BM15" s="26">
        <f>股权价值增加表!BM17</f>
        <v>596046231.52792478</v>
      </c>
      <c r="BN15" s="26">
        <f>股权价值增加表!BN17</f>
        <v>492314792.84760016</v>
      </c>
      <c r="BO15" s="26">
        <f>股权价值增加表!BO17</f>
        <v>362446083.21841216</v>
      </c>
      <c r="BP15" s="26">
        <f>股权价值增加表!BP17</f>
        <v>247383124.20895594</v>
      </c>
      <c r="BQ15" s="26">
        <f>股权价值增加表!BQ17</f>
        <v>781097060.5271349</v>
      </c>
      <c r="BR15" s="26">
        <f>股权价值增加表!BR17</f>
        <v>3538720374.7292185</v>
      </c>
      <c r="BS15" s="26">
        <f>股权价值增加表!BS17</f>
        <v>459459812.22708166</v>
      </c>
      <c r="BT15" s="26">
        <f>股权价值增加表!BT17</f>
        <v>273643985.79109538</v>
      </c>
      <c r="BU15" s="26">
        <f>股权价值增加表!BU17</f>
        <v>752469901.51153541</v>
      </c>
      <c r="BV15" s="26">
        <f>股权价值增加表!BV17</f>
        <v>423553063.21877891</v>
      </c>
      <c r="BW15" s="26">
        <f>股权价值增加表!BW17</f>
        <v>471621488.34779614</v>
      </c>
      <c r="BX15" s="26">
        <f>股权价值增加表!BX17</f>
        <v>309149442.06293452</v>
      </c>
      <c r="BY15" s="26">
        <f>股权价值增加表!BY17</f>
        <v>384931001.29207247</v>
      </c>
      <c r="BZ15" s="26">
        <f>股权价值增加表!BZ17</f>
        <v>249649486.47954711</v>
      </c>
      <c r="CA15" s="26">
        <f>股权价值增加表!CA17</f>
        <v>349069886.86130583</v>
      </c>
      <c r="CB15" s="26">
        <f>股权价值增加表!CB17</f>
        <v>270499637.93678504</v>
      </c>
      <c r="CC15" s="26">
        <f>股权价值增加表!CC17</f>
        <v>224929179.37490815</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1.0506376488457347</v>
      </c>
      <c r="F16" s="28">
        <f t="shared" ref="F16:BQ16" si="8">F14/F15</f>
        <v>0.90018377304103769</v>
      </c>
      <c r="G16" s="28">
        <f t="shared" si="8"/>
        <v>0.65168676350606491</v>
      </c>
      <c r="H16" s="28">
        <f t="shared" si="8"/>
        <v>0.51560801893485653</v>
      </c>
      <c r="I16" s="28">
        <f t="shared" si="8"/>
        <v>1.8043521608393704</v>
      </c>
      <c r="J16" s="28">
        <f t="shared" si="8"/>
        <v>2.1700193902542906</v>
      </c>
      <c r="K16" s="28">
        <f t="shared" si="8"/>
        <v>1.1464505021604448</v>
      </c>
      <c r="L16" s="28">
        <f t="shared" si="8"/>
        <v>0.26433861685770832</v>
      </c>
      <c r="M16" s="28">
        <f t="shared" si="8"/>
        <v>1.1499584234406726</v>
      </c>
      <c r="N16" s="28">
        <f t="shared" si="8"/>
        <v>1.3146856338542041</v>
      </c>
      <c r="O16" s="28">
        <f t="shared" si="8"/>
        <v>0.99276592012547904</v>
      </c>
      <c r="P16" s="28">
        <f t="shared" si="8"/>
        <v>0.89535570762256578</v>
      </c>
      <c r="Q16" s="28">
        <f t="shared" si="8"/>
        <v>0.14299532499061435</v>
      </c>
      <c r="R16" s="28">
        <f t="shared" si="8"/>
        <v>-0.16654894981506793</v>
      </c>
      <c r="S16" s="28">
        <f t="shared" si="8"/>
        <v>-0.46745663180723718</v>
      </c>
      <c r="T16" s="28">
        <f t="shared" si="8"/>
        <v>-0.86248817197820027</v>
      </c>
      <c r="U16" s="28">
        <f t="shared" si="8"/>
        <v>0.1890227246235521</v>
      </c>
      <c r="V16" s="28">
        <f t="shared" si="8"/>
        <v>4.5362982702706542E-2</v>
      </c>
      <c r="W16" s="28">
        <f t="shared" si="8"/>
        <v>0.26315343375752054</v>
      </c>
      <c r="X16" s="28">
        <f t="shared" si="8"/>
        <v>0.31512203675390188</v>
      </c>
      <c r="Y16" s="28">
        <f t="shared" si="8"/>
        <v>0.89732814747978984</v>
      </c>
      <c r="Z16" s="28">
        <f t="shared" si="8"/>
        <v>0.85633655113986085</v>
      </c>
      <c r="AA16" s="28">
        <f t="shared" si="8"/>
        <v>0.79880573914079289</v>
      </c>
      <c r="AB16" s="28">
        <f t="shared" si="8"/>
        <v>0.54958869374688779</v>
      </c>
      <c r="AC16" s="28">
        <f t="shared" si="8"/>
        <v>1.5772633498195425</v>
      </c>
      <c r="AD16" s="28">
        <f t="shared" si="8"/>
        <v>1.4024422565389867</v>
      </c>
      <c r="AE16" s="28">
        <f t="shared" si="8"/>
        <v>1.6138684379784429</v>
      </c>
      <c r="AF16" s="28">
        <f t="shared" si="8"/>
        <v>1.1038276635045394</v>
      </c>
      <c r="AG16" s="28">
        <f t="shared" si="8"/>
        <v>1.7416553621082922</v>
      </c>
      <c r="AH16" s="28">
        <f t="shared" si="8"/>
        <v>1.3841506886516963</v>
      </c>
      <c r="AI16" s="28">
        <f t="shared" si="8"/>
        <v>1.3687757788216439</v>
      </c>
      <c r="AJ16" s="28">
        <f t="shared" si="8"/>
        <v>1.3619303285888569</v>
      </c>
      <c r="AK16" s="28">
        <f t="shared" si="8"/>
        <v>1.7964195105601106</v>
      </c>
      <c r="AL16" s="28">
        <f t="shared" si="8"/>
        <v>2.0752182778650745</v>
      </c>
      <c r="AM16" s="28">
        <f t="shared" si="8"/>
        <v>1.183606826501469</v>
      </c>
      <c r="AN16" s="28">
        <f t="shared" si="8"/>
        <v>0.97349632157780996</v>
      </c>
      <c r="AO16" s="28">
        <f t="shared" si="8"/>
        <v>1.1559495061750575</v>
      </c>
      <c r="AP16" s="28">
        <f t="shared" si="8"/>
        <v>1.20761345456485</v>
      </c>
      <c r="AQ16" s="28">
        <f t="shared" si="8"/>
        <v>0.95614511161988769</v>
      </c>
      <c r="AR16" s="28">
        <f t="shared" si="8"/>
        <v>1.1673088962068476</v>
      </c>
      <c r="AS16" s="28">
        <f t="shared" si="8"/>
        <v>1.1825868985431551</v>
      </c>
      <c r="AT16" s="28">
        <f t="shared" si="8"/>
        <v>1.6089151617504125</v>
      </c>
      <c r="AU16" s="28">
        <f t="shared" si="8"/>
        <v>1.4275331641624578</v>
      </c>
      <c r="AV16" s="28">
        <f t="shared" si="8"/>
        <v>1.4222943984443444</v>
      </c>
      <c r="AW16" s="28">
        <f t="shared" si="8"/>
        <v>1.1729001871485003</v>
      </c>
      <c r="AX16" s="28">
        <f t="shared" si="8"/>
        <v>1.1915115094216278</v>
      </c>
      <c r="AY16" s="28">
        <f t="shared" si="8"/>
        <v>1.1081452387410724</v>
      </c>
      <c r="AZ16" s="28">
        <f t="shared" si="8"/>
        <v>1.445386681042252</v>
      </c>
      <c r="BA16" s="28">
        <f t="shared" si="8"/>
        <v>1.6078724321996882</v>
      </c>
      <c r="BB16" s="28">
        <f t="shared" si="8"/>
        <v>1.0562056747091628</v>
      </c>
      <c r="BC16" s="28">
        <f t="shared" si="8"/>
        <v>1.2160584881715659</v>
      </c>
      <c r="BD16" s="28">
        <f t="shared" si="8"/>
        <v>0.99907643758546905</v>
      </c>
      <c r="BE16" s="28">
        <f t="shared" si="8"/>
        <v>1.0160142128962331</v>
      </c>
      <c r="BF16" s="28">
        <f t="shared" si="8"/>
        <v>1.2674395598519066</v>
      </c>
      <c r="BG16" s="28">
        <f t="shared" si="8"/>
        <v>1.2746128879252314</v>
      </c>
      <c r="BH16" s="28">
        <f t="shared" si="8"/>
        <v>2.5213656681497674</v>
      </c>
      <c r="BI16" s="28">
        <f t="shared" si="8"/>
        <v>1.5314798404834702</v>
      </c>
      <c r="BJ16" s="28">
        <f t="shared" si="8"/>
        <v>1.4956009958047145</v>
      </c>
      <c r="BK16" s="28">
        <f t="shared" si="8"/>
        <v>0.85112205851507938</v>
      </c>
      <c r="BL16" s="28">
        <f t="shared" si="8"/>
        <v>0.81561526117301009</v>
      </c>
      <c r="BM16" s="28">
        <f t="shared" si="8"/>
        <v>1.7671292295900596</v>
      </c>
      <c r="BN16" s="28">
        <f t="shared" si="8"/>
        <v>1.0432990920892329</v>
      </c>
      <c r="BO16" s="28">
        <f t="shared" si="8"/>
        <v>2.9609588612474829</v>
      </c>
      <c r="BP16" s="28">
        <f t="shared" si="8"/>
        <v>1.0503621059475365</v>
      </c>
      <c r="BQ16" s="28">
        <f t="shared" si="8"/>
        <v>1.6579191610272517</v>
      </c>
      <c r="BR16" s="28">
        <f t="shared" ref="BR16:CL16" si="9">BR14/BR15</f>
        <v>0.14897177733641609</v>
      </c>
      <c r="BS16" s="28">
        <f t="shared" si="9"/>
        <v>1.9554417421951913</v>
      </c>
      <c r="BT16" s="28">
        <f t="shared" si="9"/>
        <v>1.5943302097750576</v>
      </c>
      <c r="BU16" s="28">
        <f t="shared" si="9"/>
        <v>0.47710274964997579</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10016161192.48</v>
      </c>
      <c r="F17" s="26">
        <f>股权价值增加表!F42</f>
        <v>7264971278.4899998</v>
      </c>
      <c r="G17" s="26">
        <f>股权价值增加表!G42</f>
        <v>5189809468.7599993</v>
      </c>
      <c r="H17" s="26">
        <f>股权价值增加表!H42</f>
        <v>3739203432.9900007</v>
      </c>
      <c r="I17" s="26">
        <f>股权价值增加表!I42</f>
        <v>7087109381.4899998</v>
      </c>
      <c r="J17" s="26">
        <f>股权价值增加表!J42</f>
        <v>5296615569.499999</v>
      </c>
      <c r="K17" s="26">
        <f>股权价值增加表!K42</f>
        <v>4026624588.9200001</v>
      </c>
      <c r="L17" s="26">
        <f>股权价值增加表!L42</f>
        <v>3008278093.8000002</v>
      </c>
      <c r="M17" s="26">
        <f>股权价值增加表!M42</f>
        <v>6411336837.3699989</v>
      </c>
      <c r="N17" s="26">
        <f>股权价值增加表!N42</f>
        <v>4777110529.6499977</v>
      </c>
      <c r="O17" s="26">
        <f>股权价值增加表!O42</f>
        <v>3421203676.3300004</v>
      </c>
      <c r="P17" s="26">
        <f>股权价值增加表!P42</f>
        <v>2289923256.6800003</v>
      </c>
      <c r="Q17" s="26">
        <f>股权价值增加表!Q42</f>
        <v>6064689715.2200012</v>
      </c>
      <c r="R17" s="26">
        <f>股权价值增加表!R42</f>
        <v>4894197804.0499992</v>
      </c>
      <c r="S17" s="26">
        <f>股权价值增加表!S42</f>
        <v>4162447434.2000008</v>
      </c>
      <c r="T17" s="26">
        <f>股权价值增加表!T42</f>
        <v>2735548585.6000013</v>
      </c>
      <c r="U17" s="26">
        <f>股权价值增加表!U42</f>
        <v>8328073992.0100002</v>
      </c>
      <c r="V17" s="26">
        <f>股权价值增加表!V42</f>
        <v>7410685949.079999</v>
      </c>
      <c r="W17" s="26">
        <f>股权价值增加表!W42</f>
        <v>6039984671.7300005</v>
      </c>
      <c r="X17" s="26">
        <f>股权价值增加表!X42</f>
        <v>3786290698.79</v>
      </c>
      <c r="Y17" s="26">
        <f>股权价值增加表!Y42</f>
        <v>10347985929.429996</v>
      </c>
      <c r="Z17" s="26">
        <f>股权价值增加表!Z42</f>
        <v>8113605924.1600018</v>
      </c>
      <c r="AA17" s="26">
        <f>股权价值增加表!AA42</f>
        <v>5241364125.3599997</v>
      </c>
      <c r="AB17" s="26">
        <f>股权价值增加表!AB42</f>
        <v>3166747159.3200006</v>
      </c>
      <c r="AC17" s="26">
        <f>股权价值增加表!AC42</f>
        <v>6402620079.5299978</v>
      </c>
      <c r="AD17" s="26">
        <f>股权价值增加表!AD42</f>
        <v>5001266488</v>
      </c>
      <c r="AE17" s="26">
        <f>股权价值增加表!AE42</f>
        <v>3490797304.9399996</v>
      </c>
      <c r="AF17" s="26">
        <f>股权价值增加表!AF42</f>
        <v>2161488984.3399992</v>
      </c>
      <c r="AG17" s="26">
        <f>股权价值增加表!AG42</f>
        <v>4564608064.1400003</v>
      </c>
      <c r="AH17" s="26">
        <f>股权价值增加表!AH42</f>
        <v>3532769841.4300013</v>
      </c>
      <c r="AI17" s="26">
        <f>股权价值增加表!AI42</f>
        <v>2343182863.0100002</v>
      </c>
      <c r="AJ17" s="26">
        <f>股权价值增加表!AJ42</f>
        <v>1578085299.8699999</v>
      </c>
      <c r="AK17" s="26">
        <f>股权价值增加表!AK42</f>
        <v>3466668431.5100007</v>
      </c>
      <c r="AL17" s="26">
        <f>股权价值增加表!AL42</f>
        <v>2382708112.8800006</v>
      </c>
      <c r="AM17" s="26">
        <f>股权价值增加表!AM42</f>
        <v>1619900643.9000006</v>
      </c>
      <c r="AN17" s="26">
        <f>股权价值增加表!AN42</f>
        <v>1269280228.7100005</v>
      </c>
      <c r="AO17" s="26">
        <f>股权价值增加表!AO42</f>
        <v>1829699892.5500002</v>
      </c>
      <c r="AP17" s="26">
        <f>股权价值增加表!AP42</f>
        <v>1604086352.9399996</v>
      </c>
      <c r="AQ17" s="26">
        <f>股权价值增加表!AQ42</f>
        <v>1308146766.3000007</v>
      </c>
      <c r="AR17" s="26">
        <f>股权价值增加表!AR42</f>
        <v>1015707693.3099997</v>
      </c>
      <c r="AS17" s="26">
        <f>股权价值增加表!AS42</f>
        <v>1472784098.4199996</v>
      </c>
      <c r="AT17" s="26">
        <f>股权价值增加表!AT42</f>
        <v>1326845730.0800004</v>
      </c>
      <c r="AU17" s="26">
        <f>股权价值增加表!AU42</f>
        <v>1145272727.9099996</v>
      </c>
      <c r="AV17" s="26">
        <f>股权价值增加表!AV42</f>
        <v>745206726.0400002</v>
      </c>
      <c r="AW17" s="26">
        <f>股权价值增加表!AW42</f>
        <v>1175937402.3600001</v>
      </c>
      <c r="AX17" s="26">
        <f>股权价值增加表!AX42</f>
        <v>1019791934.5599998</v>
      </c>
      <c r="AY17" s="26">
        <f>股权价值增加表!AY42</f>
        <v>820419318.73999929</v>
      </c>
      <c r="AZ17" s="26">
        <f>股权价值增加表!AZ42</f>
        <v>547472669.54999995</v>
      </c>
      <c r="BA17" s="26">
        <f>股权价值增加表!BA42</f>
        <v>793314137.81999946</v>
      </c>
      <c r="BB17" s="26">
        <f>股权价值增加表!BB42</f>
        <v>769577545.73999929</v>
      </c>
      <c r="BC17" s="26">
        <f>股权价值增加表!BC42</f>
        <v>589740890.89999986</v>
      </c>
      <c r="BD17" s="26">
        <f>股权价值增加表!BD42</f>
        <v>415036710.75000012</v>
      </c>
      <c r="BE17" s="26">
        <f>股权价值增加表!BE42</f>
        <v>825901189.95999956</v>
      </c>
      <c r="BF17" s="26">
        <f>股权价值增加表!BF42</f>
        <v>676071110.36000025</v>
      </c>
      <c r="BG17" s="26">
        <f>股权价值增加表!BG42</f>
        <v>535898156.90999985</v>
      </c>
      <c r="BH17" s="26">
        <f>股权价值增加表!BH42</f>
        <v>382374120.25999993</v>
      </c>
      <c r="BI17" s="26">
        <f>股权价值增加表!BI42</f>
        <v>700088807.83999991</v>
      </c>
      <c r="BJ17" s="26">
        <f>股权价值增加表!BJ42</f>
        <v>545195230.60000014</v>
      </c>
      <c r="BK17" s="26">
        <f>股权价值增加表!BK42</f>
        <v>388250797.3499999</v>
      </c>
      <c r="BL17" s="26">
        <f>股权价值增加表!BL42</f>
        <v>287901899.46999997</v>
      </c>
      <c r="BM17" s="26">
        <f>股权价值增加表!BM42</f>
        <v>615151754.73999977</v>
      </c>
      <c r="BN17" s="26">
        <f>股权价值增加表!BN42</f>
        <v>509493911.20000017</v>
      </c>
      <c r="BO17" s="26">
        <f>股权价值增加表!BO42</f>
        <v>372262408.89000016</v>
      </c>
      <c r="BP17" s="26">
        <f>股权价值增加表!BP42</f>
        <v>252347506.53999984</v>
      </c>
      <c r="BQ17" s="26">
        <f>股权价值增加表!BQ42</f>
        <v>814129864.86000001</v>
      </c>
      <c r="BR17" s="26">
        <f>股权价值增加表!BR42</f>
        <v>3550890000</v>
      </c>
      <c r="BS17" s="26">
        <f>股权价值增加表!BS42</f>
        <v>478555558.7899999</v>
      </c>
      <c r="BT17" s="26">
        <f>股权价值增加表!BT42</f>
        <v>280871784.07000005</v>
      </c>
      <c r="BU17" s="26">
        <f>股权价值增加表!BU42</f>
        <v>765213816.6700002</v>
      </c>
      <c r="BV17" s="26">
        <f>股权价值增加表!BV42</f>
        <v>427954215.42000002</v>
      </c>
      <c r="BW17" s="26">
        <f>股权价值增加表!BW42</f>
        <v>480871386.62000018</v>
      </c>
      <c r="BX17" s="26">
        <f>股权价值增加表!BX42</f>
        <v>317076251.63999999</v>
      </c>
      <c r="BY17" s="26">
        <f>股权价值增加表!BY42</f>
        <v>411122049.54000002</v>
      </c>
      <c r="BZ17" s="26">
        <f>股权价值增加表!BZ42</f>
        <v>252908616.84000003</v>
      </c>
      <c r="CA17" s="26">
        <f>股权价值增加表!CA42</f>
        <v>341141588.83999997</v>
      </c>
      <c r="CB17" s="26">
        <f>股权价值增加表!CB42</f>
        <v>259614780.61999997</v>
      </c>
      <c r="CC17" s="26">
        <f>股权价值增加表!CC42</f>
        <v>216619884.98000002</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0.97504179844792382</v>
      </c>
      <c r="F18" s="28">
        <f t="shared" ref="F18:BQ18" si="10">F14/F17</f>
        <v>0.83870467811490712</v>
      </c>
      <c r="G18" s="28">
        <f t="shared" si="10"/>
        <v>0.60978957254593391</v>
      </c>
      <c r="H18" s="28">
        <f t="shared" si="10"/>
        <v>0.49304957601244537</v>
      </c>
      <c r="I18" s="28">
        <f t="shared" si="10"/>
        <v>1.6504275494547063</v>
      </c>
      <c r="J18" s="28">
        <f t="shared" si="10"/>
        <v>1.9941772543456631</v>
      </c>
      <c r="K18" s="28">
        <f t="shared" si="10"/>
        <v>1.0706839275365223</v>
      </c>
      <c r="L18" s="28">
        <f t="shared" si="10"/>
        <v>0.25247564236675757</v>
      </c>
      <c r="M18" s="28">
        <f t="shared" si="10"/>
        <v>1.0436307777154241</v>
      </c>
      <c r="N18" s="28">
        <f t="shared" si="10"/>
        <v>1.1952352012291276</v>
      </c>
      <c r="O18" s="28">
        <f t="shared" si="10"/>
        <v>0.91097017370016975</v>
      </c>
      <c r="P18" s="28">
        <f t="shared" si="10"/>
        <v>0.84388106853488398</v>
      </c>
      <c r="Q18" s="28">
        <f t="shared" si="10"/>
        <v>0.13101505314376607</v>
      </c>
      <c r="R18" s="28">
        <f t="shared" si="10"/>
        <v>-0.15403779390488612</v>
      </c>
      <c r="S18" s="28">
        <f t="shared" si="10"/>
        <v>-0.43887987422743363</v>
      </c>
      <c r="T18" s="28">
        <f t="shared" si="10"/>
        <v>-0.80485701852635327</v>
      </c>
      <c r="U18" s="28">
        <f t="shared" si="10"/>
        <v>0.17517985050081053</v>
      </c>
      <c r="V18" s="28">
        <f t="shared" si="10"/>
        <v>4.2368406900170824E-2</v>
      </c>
      <c r="W18" s="28">
        <f t="shared" si="10"/>
        <v>0.24797862306676963</v>
      </c>
      <c r="X18" s="28">
        <f t="shared" si="10"/>
        <v>0.30021780328522152</v>
      </c>
      <c r="Y18" s="28">
        <f t="shared" si="10"/>
        <v>0.84554300171550023</v>
      </c>
      <c r="Z18" s="28">
        <f t="shared" si="10"/>
        <v>0.80706769005027013</v>
      </c>
      <c r="AA18" s="28">
        <f t="shared" si="10"/>
        <v>0.75316358579053344</v>
      </c>
      <c r="AB18" s="28">
        <f t="shared" si="10"/>
        <v>0.53103190659563149</v>
      </c>
      <c r="AC18" s="28">
        <f t="shared" si="10"/>
        <v>1.4889252846484369</v>
      </c>
      <c r="AD18" s="28">
        <f t="shared" si="10"/>
        <v>1.3540450140856402</v>
      </c>
      <c r="AE18" s="28">
        <f t="shared" si="10"/>
        <v>1.5497336845895682</v>
      </c>
      <c r="AF18" s="28">
        <f t="shared" si="10"/>
        <v>1.0941084292049319</v>
      </c>
      <c r="AG18" s="28">
        <f t="shared" si="10"/>
        <v>1.6875754012215098</v>
      </c>
      <c r="AH18" s="28">
        <f t="shared" si="10"/>
        <v>1.3561001474244851</v>
      </c>
      <c r="AI18" s="28">
        <f t="shared" si="10"/>
        <v>1.3394857910697364</v>
      </c>
      <c r="AJ18" s="28">
        <f t="shared" si="10"/>
        <v>1.3552021022096692</v>
      </c>
      <c r="AK18" s="28">
        <f t="shared" si="10"/>
        <v>1.7463480522026773</v>
      </c>
      <c r="AL18" s="28">
        <f t="shared" si="10"/>
        <v>2.0335016410984199</v>
      </c>
      <c r="AM18" s="28">
        <f t="shared" si="10"/>
        <v>1.1626340375269724</v>
      </c>
      <c r="AN18" s="28">
        <f t="shared" si="10"/>
        <v>0.96706609915252106</v>
      </c>
      <c r="AO18" s="28">
        <f t="shared" si="10"/>
        <v>1.0781202747193657</v>
      </c>
      <c r="AP18" s="28">
        <f t="shared" si="10"/>
        <v>1.1577533505139581</v>
      </c>
      <c r="AQ18" s="28">
        <f t="shared" si="10"/>
        <v>0.91487610062672164</v>
      </c>
      <c r="AR18" s="28">
        <f t="shared" si="10"/>
        <v>1.1538224784837927</v>
      </c>
      <c r="AS18" s="28">
        <f t="shared" si="10"/>
        <v>1.1308826225763811</v>
      </c>
      <c r="AT18" s="28">
        <f t="shared" si="10"/>
        <v>1.5750482294230208</v>
      </c>
      <c r="AU18" s="28">
        <f t="shared" si="10"/>
        <v>1.3969494276962526</v>
      </c>
      <c r="AV18" s="28">
        <f t="shared" si="10"/>
        <v>1.416785763167318</v>
      </c>
      <c r="AW18" s="28">
        <f t="shared" si="10"/>
        <v>1.1363448128856402</v>
      </c>
      <c r="AX18" s="28">
        <f t="shared" si="10"/>
        <v>1.1692662326403644</v>
      </c>
      <c r="AY18" s="28">
        <f t="shared" si="10"/>
        <v>1.0847175594386842</v>
      </c>
      <c r="AZ18" s="28">
        <f t="shared" si="10"/>
        <v>1.4401215068471906</v>
      </c>
      <c r="BA18" s="28">
        <f t="shared" si="10"/>
        <v>1.5790940919475176</v>
      </c>
      <c r="BB18" s="28">
        <f t="shared" si="10"/>
        <v>1.0498500168857081</v>
      </c>
      <c r="BC18" s="28">
        <f t="shared" si="10"/>
        <v>1.209496481720054</v>
      </c>
      <c r="BD18" s="28">
        <f t="shared" si="10"/>
        <v>0.98981576706223895</v>
      </c>
      <c r="BE18" s="28">
        <f t="shared" si="10"/>
        <v>0.99490520692892648</v>
      </c>
      <c r="BF18" s="28">
        <f t="shared" si="10"/>
        <v>1.2513062760506501</v>
      </c>
      <c r="BG18" s="28">
        <f t="shared" si="10"/>
        <v>1.2566853815156933</v>
      </c>
      <c r="BH18" s="28">
        <f t="shared" si="10"/>
        <v>2.5092688693669705</v>
      </c>
      <c r="BI18" s="28">
        <f t="shared" si="10"/>
        <v>1.4921810371788562</v>
      </c>
      <c r="BJ18" s="28">
        <f t="shared" si="10"/>
        <v>1.4609074529016977</v>
      </c>
      <c r="BK18" s="28">
        <f t="shared" si="10"/>
        <v>0.83488176349523746</v>
      </c>
      <c r="BL18" s="28">
        <f t="shared" si="10"/>
        <v>0.81115069803259332</v>
      </c>
      <c r="BM18" s="28">
        <f t="shared" si="10"/>
        <v>1.7122453277649905</v>
      </c>
      <c r="BN18" s="28">
        <f t="shared" si="10"/>
        <v>1.0081211278663851</v>
      </c>
      <c r="BO18" s="28">
        <f t="shared" si="10"/>
        <v>2.8828802377065057</v>
      </c>
      <c r="BP18" s="28">
        <f t="shared" si="10"/>
        <v>1.029698541042696</v>
      </c>
      <c r="BQ18" s="28">
        <f t="shared" si="10"/>
        <v>1.5906501396956996</v>
      </c>
      <c r="BR18" s="28">
        <f t="shared" ref="BR18:CK18" si="11">BR14/BR17</f>
        <v>0.14846122062919437</v>
      </c>
      <c r="BS18" s="28">
        <f t="shared" si="11"/>
        <v>1.8774139787690924</v>
      </c>
      <c r="BT18" s="28">
        <f t="shared" si="11"/>
        <v>1.5533026028747292</v>
      </c>
      <c r="BU18" s="28">
        <f t="shared" si="11"/>
        <v>0.46915705286437837</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5329618.33</v>
      </c>
      <c r="F19" s="26">
        <f>现金流量表!F48</f>
        <v>0</v>
      </c>
      <c r="G19" s="26">
        <f>现金流量表!G48</f>
        <v>1189060.55</v>
      </c>
      <c r="H19" s="26">
        <f>现金流量表!H48</f>
        <v>0</v>
      </c>
      <c r="I19" s="26">
        <f>现金流量表!I48</f>
        <v>1389409.74</v>
      </c>
      <c r="J19" s="26">
        <f>现金流量表!J48</f>
        <v>0</v>
      </c>
      <c r="K19" s="26">
        <f>现金流量表!K48</f>
        <v>-1989145.16</v>
      </c>
      <c r="L19" s="26">
        <f>现金流量表!L48</f>
        <v>0</v>
      </c>
      <c r="M19" s="26">
        <f>现金流量表!M48</f>
        <v>23569776.23</v>
      </c>
      <c r="N19" s="26">
        <f>现金流量表!N48</f>
        <v>0</v>
      </c>
      <c r="O19" s="26">
        <f>现金流量表!O48</f>
        <v>2007331.45</v>
      </c>
      <c r="P19" s="26">
        <f>现金流量表!P48</f>
        <v>0</v>
      </c>
      <c r="Q19" s="26">
        <f>现金流量表!Q48</f>
        <v>6161457.3200000003</v>
      </c>
      <c r="R19" s="26">
        <f>现金流量表!R48</f>
        <v>0</v>
      </c>
      <c r="S19" s="26">
        <f>现金流量表!S48</f>
        <v>3049704.71</v>
      </c>
      <c r="T19" s="26">
        <f>现金流量表!T48</f>
        <v>0</v>
      </c>
      <c r="U19" s="26">
        <f>现金流量表!U48</f>
        <v>20428.32</v>
      </c>
      <c r="V19" s="26">
        <f>现金流量表!V48</f>
        <v>0</v>
      </c>
      <c r="W19" s="26">
        <f>现金流量表!W48</f>
        <v>0</v>
      </c>
      <c r="X19" s="26">
        <f>现金流量表!X48</f>
        <v>0</v>
      </c>
      <c r="Y19" s="26">
        <f>现金流量表!Y48</f>
        <v>53341.78</v>
      </c>
      <c r="Z19" s="26">
        <f>现金流量表!Z48</f>
        <v>0</v>
      </c>
      <c r="AA19" s="26">
        <f>现金流量表!AA48</f>
        <v>0</v>
      </c>
      <c r="AB19" s="26">
        <f>现金流量表!AB48</f>
        <v>0</v>
      </c>
      <c r="AC19" s="26">
        <f>现金流量表!AC48</f>
        <v>10193964.01</v>
      </c>
      <c r="AD19" s="26">
        <f>现金流量表!AD48</f>
        <v>0</v>
      </c>
      <c r="AE19" s="26">
        <f>现金流量表!AE48</f>
        <v>0</v>
      </c>
      <c r="AF19" s="26">
        <f>现金流量表!AF48</f>
        <v>0</v>
      </c>
      <c r="AG19" s="26">
        <f>现金流量表!AG48</f>
        <v>8301188.4800000004</v>
      </c>
      <c r="AH19" s="26">
        <f>现金流量表!AH48</f>
        <v>0</v>
      </c>
      <c r="AI19" s="26">
        <f>现金流量表!AI48</f>
        <v>0</v>
      </c>
      <c r="AJ19" s="26">
        <f>现金流量表!AJ48</f>
        <v>0</v>
      </c>
      <c r="AK19" s="26">
        <f>现金流量表!AK48</f>
        <v>8545391.5500000007</v>
      </c>
      <c r="AL19" s="26">
        <f>现金流量表!AL48</f>
        <v>0</v>
      </c>
      <c r="AM19" s="26">
        <f>现金流量表!AM48</f>
        <v>31683.41</v>
      </c>
      <c r="AN19" s="26">
        <f>现金流量表!AN48</f>
        <v>0</v>
      </c>
      <c r="AO19" s="26">
        <f>现金流量表!AO48</f>
        <v>-165194.47</v>
      </c>
      <c r="AP19" s="26">
        <f>现金流量表!AP48</f>
        <v>0</v>
      </c>
      <c r="AQ19" s="26">
        <f>现金流量表!AQ48</f>
        <v>0</v>
      </c>
      <c r="AR19" s="26">
        <f>现金流量表!AR48</f>
        <v>0</v>
      </c>
      <c r="AS19" s="26">
        <f>现金流量表!AS48</f>
        <v>-933744.61</v>
      </c>
      <c r="AT19" s="26">
        <f>现金流量表!AT48</f>
        <v>0</v>
      </c>
      <c r="AU19" s="26">
        <f>现金流量表!AU48</f>
        <v>0</v>
      </c>
      <c r="AV19" s="26">
        <f>现金流量表!AV48</f>
        <v>0</v>
      </c>
      <c r="AW19" s="26">
        <f>现金流量表!AW48</f>
        <v>-14645378.74</v>
      </c>
      <c r="AX19" s="26">
        <f>现金流量表!AX48</f>
        <v>-2329274.54</v>
      </c>
      <c r="AY19" s="26">
        <f>现金流量表!AY48</f>
        <v>376888.63</v>
      </c>
      <c r="AZ19" s="26">
        <f>现金流量表!AZ48</f>
        <v>0</v>
      </c>
      <c r="BA19" s="26">
        <f>现金流量表!BA48</f>
        <v>2498246.5699999998</v>
      </c>
      <c r="BB19" s="26">
        <f>现金流量表!BB48</f>
        <v>500789.8</v>
      </c>
      <c r="BC19" s="26">
        <f>现金流量表!BC48</f>
        <v>500789.8</v>
      </c>
      <c r="BD19" s="26">
        <f>现金流量表!BD48</f>
        <v>0</v>
      </c>
      <c r="BE19" s="26">
        <f>现金流量表!BE48</f>
        <v>1974306.98</v>
      </c>
      <c r="BF19" s="26">
        <f>现金流量表!BF48</f>
        <v>690335.72</v>
      </c>
      <c r="BG19" s="26">
        <f>现金流量表!BG48</f>
        <v>690335.72</v>
      </c>
      <c r="BH19" s="26">
        <f>现金流量表!BH48</f>
        <v>0</v>
      </c>
      <c r="BI19" s="26">
        <f>现金流量表!BI48</f>
        <v>3724733.79</v>
      </c>
      <c r="BJ19" s="26">
        <f>现金流量表!BJ48</f>
        <v>-2148737.2599999998</v>
      </c>
      <c r="BK19" s="26">
        <f>现金流量表!BK48</f>
        <v>-2167668.17</v>
      </c>
      <c r="BL19" s="26">
        <f>现金流量表!BL48</f>
        <v>-2315886.5099999998</v>
      </c>
      <c r="BM19" s="26">
        <f>现金流量表!BM48</f>
        <v>1269984.46</v>
      </c>
      <c r="BN19" s="26">
        <f>现金流量表!BN48</f>
        <v>-1443472.99</v>
      </c>
      <c r="BO19" s="26">
        <f>现金流量表!BO48</f>
        <v>26629198.629999999</v>
      </c>
      <c r="BP19" s="26">
        <f>现金流量表!BP48</f>
        <v>20538039.010000002</v>
      </c>
      <c r="BQ19" s="26">
        <f>现金流量表!BQ48</f>
        <v>457915.13</v>
      </c>
      <c r="BR19" s="26">
        <f>现金流量表!BR48</f>
        <v>0</v>
      </c>
      <c r="BS19" s="26">
        <f>现金流量表!BS48</f>
        <v>2580920.16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475443742.99000001</v>
      </c>
      <c r="F20" s="26">
        <f>现金流量表!F49</f>
        <v>0</v>
      </c>
      <c r="G20" s="26">
        <f>现金流量表!G49</f>
        <v>240397528.90000001</v>
      </c>
      <c r="H20" s="26">
        <f>现金流量表!H49</f>
        <v>0</v>
      </c>
      <c r="I20" s="26">
        <f>现金流量表!I49</f>
        <v>514034686.83999997</v>
      </c>
      <c r="J20" s="26">
        <f>现金流量表!J49</f>
        <v>0</v>
      </c>
      <c r="K20" s="26">
        <f>现金流量表!K49</f>
        <v>264496743</v>
      </c>
      <c r="L20" s="26">
        <f>现金流量表!L49</f>
        <v>0</v>
      </c>
      <c r="M20" s="26">
        <f>现金流量表!M49</f>
        <v>571384638.39999998</v>
      </c>
      <c r="N20" s="26">
        <f>现金流量表!N49</f>
        <v>0</v>
      </c>
      <c r="O20" s="26">
        <f>现金流量表!O49</f>
        <v>282385154.77999997</v>
      </c>
      <c r="P20" s="26">
        <f>现金流量表!P49</f>
        <v>0</v>
      </c>
      <c r="Q20" s="26">
        <f>现金流量表!Q49</f>
        <v>615601722.92999995</v>
      </c>
      <c r="R20" s="26">
        <f>现金流量表!R49</f>
        <v>0</v>
      </c>
      <c r="S20" s="26">
        <f>现金流量表!S49</f>
        <v>281305161.80000001</v>
      </c>
      <c r="T20" s="26">
        <f>现金流量表!T49</f>
        <v>0</v>
      </c>
      <c r="U20" s="26">
        <f>现金流量表!U49</f>
        <v>640477322.51999998</v>
      </c>
      <c r="V20" s="26">
        <f>现金流量表!V49</f>
        <v>0</v>
      </c>
      <c r="W20" s="26">
        <f>现金流量表!W49</f>
        <v>313438532.41000003</v>
      </c>
      <c r="X20" s="26">
        <f>现金流量表!X49</f>
        <v>0</v>
      </c>
      <c r="Y20" s="26">
        <f>现金流量表!Y49</f>
        <v>660996817.02999997</v>
      </c>
      <c r="Z20" s="26">
        <f>现金流量表!Z49</f>
        <v>0</v>
      </c>
      <c r="AA20" s="26">
        <f>现金流量表!AA49</f>
        <v>330900138.69999999</v>
      </c>
      <c r="AB20" s="26">
        <f>现金流量表!AB49</f>
        <v>0</v>
      </c>
      <c r="AC20" s="26">
        <f>现金流量表!AC49</f>
        <v>700477452.44000006</v>
      </c>
      <c r="AD20" s="26">
        <f>现金流量表!AD49</f>
        <v>0</v>
      </c>
      <c r="AE20" s="26">
        <f>现金流量表!AE49</f>
        <v>353569837.38999999</v>
      </c>
      <c r="AF20" s="26">
        <f>现金流量表!AF49</f>
        <v>0</v>
      </c>
      <c r="AG20" s="26">
        <f>现金流量表!AG49</f>
        <v>722805104.55999994</v>
      </c>
      <c r="AH20" s="26">
        <f>现金流量表!AH49</f>
        <v>0</v>
      </c>
      <c r="AI20" s="26">
        <f>现金流量表!AI49</f>
        <v>360067389.06999999</v>
      </c>
      <c r="AJ20" s="26">
        <f>现金流量表!AJ49</f>
        <v>0</v>
      </c>
      <c r="AK20" s="26">
        <f>现金流量表!AK49</f>
        <v>646335570.79999995</v>
      </c>
      <c r="AL20" s="26">
        <f>现金流量表!AL49</f>
        <v>0</v>
      </c>
      <c r="AM20" s="26">
        <f>现金流量表!AM49</f>
        <v>352652082.83999997</v>
      </c>
      <c r="AN20" s="26">
        <f>现金流量表!AN49</f>
        <v>0</v>
      </c>
      <c r="AO20" s="26">
        <f>现金流量表!AO49</f>
        <v>434466978.80000001</v>
      </c>
      <c r="AP20" s="26">
        <f>现金流量表!AP49</f>
        <v>0</v>
      </c>
      <c r="AQ20" s="26">
        <f>现金流量表!AQ49</f>
        <v>220055249.78</v>
      </c>
      <c r="AR20" s="26">
        <f>现金流量表!AR49</f>
        <v>0</v>
      </c>
      <c r="AS20" s="26">
        <f>现金流量表!AS49</f>
        <v>466252820.24000001</v>
      </c>
      <c r="AT20" s="26">
        <f>现金流量表!AT49</f>
        <v>0</v>
      </c>
      <c r="AU20" s="26">
        <f>现金流量表!AU49</f>
        <v>0</v>
      </c>
      <c r="AV20" s="26">
        <f>现金流量表!AV49</f>
        <v>0</v>
      </c>
      <c r="AW20" s="26">
        <f>现金流量表!AW49</f>
        <v>467047308.91000003</v>
      </c>
      <c r="AX20" s="26">
        <f>现金流量表!AX49</f>
        <v>322210774.50999999</v>
      </c>
      <c r="AY20" s="26">
        <f>现金流量表!AY49</f>
        <v>214415246.97</v>
      </c>
      <c r="AZ20" s="26">
        <f>现金流量表!AZ49</f>
        <v>106891762.23999999</v>
      </c>
      <c r="BA20" s="26">
        <f>现金流量表!BA49</f>
        <v>478234075.06999999</v>
      </c>
      <c r="BB20" s="26">
        <f>现金流量表!BB49</f>
        <v>357766299.13</v>
      </c>
      <c r="BC20" s="26">
        <f>现金流量表!BC49</f>
        <v>237335309.81999999</v>
      </c>
      <c r="BD20" s="26">
        <f>现金流量表!BD49</f>
        <v>118623693.14</v>
      </c>
      <c r="BE20" s="26">
        <f>现金流量表!BE49</f>
        <v>404552322.94</v>
      </c>
      <c r="BF20" s="26">
        <f>现金流量表!BF49</f>
        <v>305788725.56</v>
      </c>
      <c r="BG20" s="26">
        <f>现金流量表!BG49</f>
        <v>208996928.00999999</v>
      </c>
      <c r="BH20" s="26">
        <f>现金流量表!BH49</f>
        <v>112312929.75</v>
      </c>
      <c r="BI20" s="26">
        <f>现金流量表!BI49</f>
        <v>275750634.47000003</v>
      </c>
      <c r="BJ20" s="26">
        <f>现金流量表!BJ49</f>
        <v>202256946.52000001</v>
      </c>
      <c r="BK20" s="26">
        <f>现金流量表!BK49</f>
        <v>113461866.70999999</v>
      </c>
      <c r="BL20" s="26">
        <f>现金流量表!BL49</f>
        <v>56664861.82</v>
      </c>
      <c r="BM20" s="26">
        <f>现金流量表!BM49</f>
        <v>233663769.53999999</v>
      </c>
      <c r="BN20" s="26">
        <f>现金流量表!BN49</f>
        <v>102939387.53</v>
      </c>
      <c r="BO20" s="26">
        <f>现金流量表!BO49</f>
        <v>165653982.56</v>
      </c>
      <c r="BP20" s="26">
        <f>现金流量表!BP49</f>
        <v>49234570.869999997</v>
      </c>
      <c r="BQ20" s="26">
        <f>现金流量表!BQ49</f>
        <v>130519869.31</v>
      </c>
      <c r="BR20" s="26">
        <f>现金流量表!BR49</f>
        <v>62414344.259999998</v>
      </c>
      <c r="BS20" s="26">
        <f>现金流量表!BS49</f>
        <v>56928281.189999998</v>
      </c>
      <c r="BT20" s="26">
        <f>现金流量表!BT49</f>
        <v>29633190.559999999</v>
      </c>
      <c r="BU20" s="26">
        <f>现金流量表!BU49</f>
        <v>42460875.850000001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13655637.59</v>
      </c>
      <c r="F21" s="26">
        <f>现金流量表!F50</f>
        <v>0</v>
      </c>
      <c r="G21" s="26">
        <f>现金流量表!G50</f>
        <v>6652366.8200000003</v>
      </c>
      <c r="H21" s="26">
        <f>现金流量表!H50</f>
        <v>0</v>
      </c>
      <c r="I21" s="26">
        <f>现金流量表!I50</f>
        <v>13017183.08</v>
      </c>
      <c r="J21" s="26">
        <f>现金流量表!J50</f>
        <v>0</v>
      </c>
      <c r="K21" s="26">
        <f>现金流量表!K50</f>
        <v>6602244.1799999997</v>
      </c>
      <c r="L21" s="26">
        <f>现金流量表!L50</f>
        <v>0</v>
      </c>
      <c r="M21" s="26">
        <f>现金流量表!M50</f>
        <v>12716890.33</v>
      </c>
      <c r="N21" s="26">
        <f>现金流量表!N50</f>
        <v>0</v>
      </c>
      <c r="O21" s="26">
        <f>现金流量表!O50</f>
        <v>6286429.4500000002</v>
      </c>
      <c r="P21" s="26">
        <f>现金流量表!P50</f>
        <v>0</v>
      </c>
      <c r="Q21" s="26">
        <f>现金流量表!Q50</f>
        <v>9758275.0800000001</v>
      </c>
      <c r="R21" s="26">
        <f>现金流量表!R50</f>
        <v>0</v>
      </c>
      <c r="S21" s="26">
        <f>现金流量表!S50</f>
        <v>4226872.9000000004</v>
      </c>
      <c r="T21" s="26">
        <f>现金流量表!T50</f>
        <v>0</v>
      </c>
      <c r="U21" s="26">
        <f>现金流量表!U50</f>
        <v>8486946.6699999999</v>
      </c>
      <c r="V21" s="26">
        <f>现金流量表!V50</f>
        <v>0</v>
      </c>
      <c r="W21" s="26">
        <f>现金流量表!W50</f>
        <v>4060746.45</v>
      </c>
      <c r="X21" s="26">
        <f>现金流量表!X50</f>
        <v>0</v>
      </c>
      <c r="Y21" s="26">
        <f>现金流量表!Y50</f>
        <v>9029127.9100000001</v>
      </c>
      <c r="Z21" s="26">
        <f>现金流量表!Z50</f>
        <v>0</v>
      </c>
      <c r="AA21" s="26">
        <f>现金流量表!AA50</f>
        <v>4484684.68</v>
      </c>
      <c r="AB21" s="26">
        <f>现金流量表!AB50</f>
        <v>0</v>
      </c>
      <c r="AC21" s="26">
        <f>现金流量表!AC50</f>
        <v>8175665.5899999999</v>
      </c>
      <c r="AD21" s="26">
        <f>现金流量表!AD50</f>
        <v>0</v>
      </c>
      <c r="AE21" s="26">
        <f>现金流量表!AE50</f>
        <v>3786462.11</v>
      </c>
      <c r="AF21" s="26">
        <f>现金流量表!AF50</f>
        <v>0</v>
      </c>
      <c r="AG21" s="26">
        <f>现金流量表!AG50</f>
        <v>9197284.1500000004</v>
      </c>
      <c r="AH21" s="26">
        <f>现金流量表!AH50</f>
        <v>0</v>
      </c>
      <c r="AI21" s="26">
        <f>现金流量表!AI50</f>
        <v>4877963.95</v>
      </c>
      <c r="AJ21" s="26">
        <f>现金流量表!AJ50</f>
        <v>0</v>
      </c>
      <c r="AK21" s="26">
        <f>现金流量表!AK50</f>
        <v>7271245.3099999996</v>
      </c>
      <c r="AL21" s="26">
        <f>现金流量表!AL50</f>
        <v>0</v>
      </c>
      <c r="AM21" s="26">
        <f>现金流量表!AM50</f>
        <v>4907043.74</v>
      </c>
      <c r="AN21" s="26">
        <f>现金流量表!AN50</f>
        <v>0</v>
      </c>
      <c r="AO21" s="26">
        <f>现金流量表!AO50</f>
        <v>1586144.88</v>
      </c>
      <c r="AP21" s="26">
        <f>现金流量表!AP50</f>
        <v>0</v>
      </c>
      <c r="AQ21" s="26">
        <f>现金流量表!AQ50</f>
        <v>845090.25</v>
      </c>
      <c r="AR21" s="26">
        <f>现金流量表!AR50</f>
        <v>0</v>
      </c>
      <c r="AS21" s="26">
        <f>现金流量表!AS50</f>
        <v>1586144.88</v>
      </c>
      <c r="AT21" s="26">
        <f>现金流量表!AT50</f>
        <v>0</v>
      </c>
      <c r="AU21" s="26">
        <f>现金流量表!AU50</f>
        <v>0</v>
      </c>
      <c r="AV21" s="26">
        <f>现金流量表!AV50</f>
        <v>0</v>
      </c>
      <c r="AW21" s="26">
        <f>现金流量表!AW50</f>
        <v>3799631.08</v>
      </c>
      <c r="AX21" s="26">
        <f>现金流量表!AX50</f>
        <v>3384594.86</v>
      </c>
      <c r="AY21" s="26">
        <f>现金流量表!AY50</f>
        <v>1952934.44</v>
      </c>
      <c r="AZ21" s="26">
        <f>现金流量表!AZ50</f>
        <v>567536.22</v>
      </c>
      <c r="BA21" s="26">
        <f>现金流量表!BA50</f>
        <v>1586144.88</v>
      </c>
      <c r="BB21" s="26">
        <f>现金流量表!BB50</f>
        <v>1189608.6599999999</v>
      </c>
      <c r="BC21" s="26">
        <f>现金流量表!BC50</f>
        <v>793072.44</v>
      </c>
      <c r="BD21" s="26">
        <f>现金流量表!BD50</f>
        <v>396536.22</v>
      </c>
      <c r="BE21" s="26">
        <f>现金流量表!BE50</f>
        <v>2026799.88</v>
      </c>
      <c r="BF21" s="26">
        <f>现金流量表!BF50</f>
        <v>1513263.66</v>
      </c>
      <c r="BG21" s="26">
        <f>现金流量表!BG50</f>
        <v>968842.44</v>
      </c>
      <c r="BH21" s="26">
        <f>现金流量表!BH50</f>
        <v>572304.69999999995</v>
      </c>
      <c r="BI21" s="26">
        <f>现金流量表!BI50</f>
        <v>2294148.85</v>
      </c>
      <c r="BJ21" s="26">
        <f>现金流量表!BJ50</f>
        <v>1897612.63</v>
      </c>
      <c r="BK21" s="26">
        <f>现金流量表!BK50</f>
        <v>1501076.41</v>
      </c>
      <c r="BL21" s="26">
        <f>现金流量表!BL50</f>
        <v>397126.17</v>
      </c>
      <c r="BM21" s="26">
        <f>现金流量表!BM50</f>
        <v>3779059.29</v>
      </c>
      <c r="BN21" s="26">
        <f>现金流量表!BN50</f>
        <v>943096.31999999995</v>
      </c>
      <c r="BO21" s="26">
        <f>现金流量表!BO50</f>
        <v>1696119.74</v>
      </c>
      <c r="BP21" s="26">
        <f>现金流量表!BP50</f>
        <v>808679.94</v>
      </c>
      <c r="BQ21" s="26">
        <f>现金流量表!BQ50</f>
        <v>2290393.21</v>
      </c>
      <c r="BR21" s="26">
        <f>现金流量表!BR50</f>
        <v>677235.94</v>
      </c>
      <c r="BS21" s="26">
        <f>现金流量表!BS50</f>
        <v>16746446.949999999</v>
      </c>
      <c r="BT21" s="26">
        <f>现金流量表!BT50</f>
        <v>1394056.95</v>
      </c>
      <c r="BU21" s="26">
        <f>现金流量表!BU50</f>
        <v>2442875.52</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61315287.07</v>
      </c>
      <c r="F22" s="26">
        <f>现金流量表!F51</f>
        <v>0</v>
      </c>
      <c r="G22" s="26">
        <f>现金流量表!G51</f>
        <v>28987908.420000002</v>
      </c>
      <c r="H22" s="26">
        <f>现金流量表!H51</f>
        <v>0</v>
      </c>
      <c r="I22" s="26">
        <f>现金流量表!I51</f>
        <v>46386919.689999998</v>
      </c>
      <c r="J22" s="26">
        <f>现金流量表!J51</f>
        <v>0</v>
      </c>
      <c r="K22" s="26">
        <f>现金流量表!K51</f>
        <v>22006603.620000001</v>
      </c>
      <c r="L22" s="26">
        <f>现金流量表!L51</f>
        <v>0</v>
      </c>
      <c r="M22" s="26">
        <f>现金流量表!M51</f>
        <v>34520032.619999997</v>
      </c>
      <c r="N22" s="26">
        <f>现金流量表!N51</f>
        <v>0</v>
      </c>
      <c r="O22" s="26">
        <f>现金流量表!O51</f>
        <v>15251087.630000001</v>
      </c>
      <c r="P22" s="26">
        <f>现金流量表!P51</f>
        <v>0</v>
      </c>
      <c r="Q22" s="26">
        <f>现金流量表!Q51</f>
        <v>27253805.43</v>
      </c>
      <c r="R22" s="26">
        <f>现金流量表!R51</f>
        <v>0</v>
      </c>
      <c r="S22" s="26">
        <f>现金流量表!S51</f>
        <v>14380864.119999999</v>
      </c>
      <c r="T22" s="26">
        <f>现金流量表!T51</f>
        <v>0</v>
      </c>
      <c r="U22" s="26">
        <f>现金流量表!U51</f>
        <v>32579186.390000001</v>
      </c>
      <c r="V22" s="26">
        <f>现金流量表!V51</f>
        <v>0</v>
      </c>
      <c r="W22" s="26">
        <f>现金流量表!W51</f>
        <v>16946915.23</v>
      </c>
      <c r="X22" s="26">
        <f>现金流量表!X51</f>
        <v>0</v>
      </c>
      <c r="Y22" s="26">
        <f>现金流量表!Y51</f>
        <v>36112959.259999998</v>
      </c>
      <c r="Z22" s="26">
        <f>现金流量表!Z51</f>
        <v>0</v>
      </c>
      <c r="AA22" s="26">
        <f>现金流量表!AA51</f>
        <v>20521731.27</v>
      </c>
      <c r="AB22" s="26">
        <f>现金流量表!AB51</f>
        <v>0</v>
      </c>
      <c r="AC22" s="26">
        <f>现金流量表!AC51</f>
        <v>48417441.210000001</v>
      </c>
      <c r="AD22" s="26">
        <f>现金流量表!AD51</f>
        <v>0</v>
      </c>
      <c r="AE22" s="26">
        <f>现金流量表!AE51</f>
        <v>33027836.780000001</v>
      </c>
      <c r="AF22" s="26">
        <f>现金流量表!AF51</f>
        <v>0</v>
      </c>
      <c r="AG22" s="26">
        <f>现金流量表!AG51</f>
        <v>38118543.149999999</v>
      </c>
      <c r="AH22" s="26">
        <f>现金流量表!AH51</f>
        <v>0</v>
      </c>
      <c r="AI22" s="26">
        <f>现金流量表!AI51</f>
        <v>19325171.309999999</v>
      </c>
      <c r="AJ22" s="26">
        <f>现金流量表!AJ51</f>
        <v>0</v>
      </c>
      <c r="AK22" s="26">
        <f>现金流量表!AK51</f>
        <v>29472070.109999999</v>
      </c>
      <c r="AL22" s="26">
        <f>现金流量表!AL51</f>
        <v>0</v>
      </c>
      <c r="AM22" s="26">
        <f>现金流量表!AM51</f>
        <v>17523174.57</v>
      </c>
      <c r="AN22" s="26">
        <f>现金流量表!AN51</f>
        <v>0</v>
      </c>
      <c r="AO22" s="26">
        <f>现金流量表!AO51</f>
        <v>0</v>
      </c>
      <c r="AP22" s="26">
        <f>现金流量表!AP51</f>
        <v>0</v>
      </c>
      <c r="AQ22" s="26">
        <f>现金流量表!AQ51</f>
        <v>-3272209.09</v>
      </c>
      <c r="AR22" s="26">
        <f>现金流量表!AR51</f>
        <v>0</v>
      </c>
      <c r="AS22" s="26">
        <f>现金流量表!AS51</f>
        <v>820470.57</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-3657328.2</v>
      </c>
      <c r="F23" s="26">
        <f>现金流量表!F54</f>
        <v>0</v>
      </c>
      <c r="G23" s="26">
        <f>现金流量表!G54</f>
        <v>-3245153.05</v>
      </c>
      <c r="H23" s="26">
        <f>现金流量表!H54</f>
        <v>0</v>
      </c>
      <c r="I23" s="26">
        <f>现金流量表!I54</f>
        <v>6305863.9199999999</v>
      </c>
      <c r="J23" s="26">
        <f>现金流量表!J54</f>
        <v>0</v>
      </c>
      <c r="K23" s="26">
        <f>现金流量表!K54</f>
        <v>3446982.34</v>
      </c>
      <c r="L23" s="26">
        <f>现金流量表!L54</f>
        <v>0</v>
      </c>
      <c r="M23" s="26">
        <f>现金流量表!M54</f>
        <v>1838674.34</v>
      </c>
      <c r="N23" s="26">
        <f>现金流量表!N54</f>
        <v>0</v>
      </c>
      <c r="O23" s="26">
        <f>现金流量表!O54</f>
        <v>275015.77</v>
      </c>
      <c r="P23" s="26">
        <f>现金流量表!P54</f>
        <v>0</v>
      </c>
      <c r="Q23" s="26">
        <f>现金流量表!Q54</f>
        <v>20295106.23</v>
      </c>
      <c r="R23" s="26">
        <f>现金流量表!R54</f>
        <v>0</v>
      </c>
      <c r="S23" s="26">
        <f>现金流量表!S54</f>
        <v>2914020.37</v>
      </c>
      <c r="T23" s="26">
        <f>现金流量表!T54</f>
        <v>0</v>
      </c>
      <c r="U23" s="26">
        <f>现金流量表!U54</f>
        <v>1912291.32</v>
      </c>
      <c r="V23" s="26">
        <f>现金流量表!V54</f>
        <v>0</v>
      </c>
      <c r="W23" s="26">
        <f>现金流量表!W54</f>
        <v>68747.679999999993</v>
      </c>
      <c r="X23" s="26">
        <f>现金流量表!X54</f>
        <v>0</v>
      </c>
      <c r="Y23" s="26">
        <f>现金流量表!Y54</f>
        <v>1095331.6000000001</v>
      </c>
      <c r="Z23" s="26">
        <f>现金流量表!Z54</f>
        <v>0</v>
      </c>
      <c r="AA23" s="26">
        <f>现金流量表!AA54</f>
        <v>714503.17</v>
      </c>
      <c r="AB23" s="26">
        <f>现金流量表!AB54</f>
        <v>0</v>
      </c>
      <c r="AC23" s="26">
        <f>现金流量表!AC54</f>
        <v>6136174.5300000003</v>
      </c>
      <c r="AD23" s="26">
        <f>现金流量表!AD54</f>
        <v>0</v>
      </c>
      <c r="AE23" s="26">
        <f>现金流量表!AE54</f>
        <v>1553017.11</v>
      </c>
      <c r="AF23" s="26">
        <f>现金流量表!AF54</f>
        <v>0</v>
      </c>
      <c r="AG23" s="26">
        <f>现金流量表!AG54</f>
        <v>810820.36</v>
      </c>
      <c r="AH23" s="26">
        <f>现金流量表!AH54</f>
        <v>0</v>
      </c>
      <c r="AI23" s="26">
        <f>现金流量表!AI54</f>
        <v>-257394.23</v>
      </c>
      <c r="AJ23" s="26">
        <f>现金流量表!AJ54</f>
        <v>0</v>
      </c>
      <c r="AK23" s="26">
        <f>现金流量表!AK54</f>
        <v>415296.61</v>
      </c>
      <c r="AL23" s="26">
        <f>现金流量表!AL54</f>
        <v>0</v>
      </c>
      <c r="AM23" s="26">
        <f>现金流量表!AM54</f>
        <v>249641.93</v>
      </c>
      <c r="AN23" s="26">
        <f>现金流量表!AN54</f>
        <v>0</v>
      </c>
      <c r="AO23" s="26">
        <f>现金流量表!AO54</f>
        <v>-633994.59</v>
      </c>
      <c r="AP23" s="26">
        <f>现金流量表!AP54</f>
        <v>0</v>
      </c>
      <c r="AQ23" s="26">
        <f>现金流量表!AQ54</f>
        <v>-661025</v>
      </c>
      <c r="AR23" s="26">
        <f>现金流量表!AR54</f>
        <v>0</v>
      </c>
      <c r="AS23" s="26">
        <f>现金流量表!AS54</f>
        <v>-598305.26</v>
      </c>
      <c r="AT23" s="26">
        <f>现金流量表!AT54</f>
        <v>0</v>
      </c>
      <c r="AU23" s="26">
        <f>现金流量表!AU54</f>
        <v>0</v>
      </c>
      <c r="AV23" s="26">
        <f>现金流量表!AV54</f>
        <v>0</v>
      </c>
      <c r="AW23" s="26">
        <f>现金流量表!AW54</f>
        <v>269102.78999999998</v>
      </c>
      <c r="AX23" s="26">
        <f>现金流量表!AX54</f>
        <v>146154.56</v>
      </c>
      <c r="AY23" s="26">
        <f>现金流量表!AY54</f>
        <v>-125360.21</v>
      </c>
      <c r="AZ23" s="26">
        <f>现金流量表!AZ54</f>
        <v>0</v>
      </c>
      <c r="BA23" s="26">
        <f>现金流量表!BA54</f>
        <v>-191319.73</v>
      </c>
      <c r="BB23" s="26">
        <f>现金流量表!BB54</f>
        <v>-54708.43</v>
      </c>
      <c r="BC23" s="26">
        <f>现金流量表!BC54</f>
        <v>-7534.17</v>
      </c>
      <c r="BD23" s="26">
        <f>现金流量表!BD54</f>
        <v>-12970.6</v>
      </c>
      <c r="BE23" s="26">
        <f>现金流量表!BE54</f>
        <v>2450780.61</v>
      </c>
      <c r="BF23" s="26">
        <f>现金流量表!BF54</f>
        <v>461041.96</v>
      </c>
      <c r="BG23" s="26">
        <f>现金流量表!BG54</f>
        <v>260575.46</v>
      </c>
      <c r="BH23" s="26">
        <f>现金流量表!BH54</f>
        <v>-14558</v>
      </c>
      <c r="BI23" s="26">
        <f>现金流量表!BI54</f>
        <v>3395525.08</v>
      </c>
      <c r="BJ23" s="26">
        <f>现金流量表!BJ54</f>
        <v>-15527.85</v>
      </c>
      <c r="BK23" s="26">
        <f>现金流量表!BK54</f>
        <v>13728.15</v>
      </c>
      <c r="BL23" s="26">
        <f>现金流量表!BL54</f>
        <v>-38776.370000000003</v>
      </c>
      <c r="BM23" s="26">
        <f>现金流量表!BM54</f>
        <v>925739.38</v>
      </c>
      <c r="BN23" s="26">
        <f>现金流量表!BN54</f>
        <v>510508.23</v>
      </c>
      <c r="BO23" s="26">
        <f>现金流量表!BO54</f>
        <v>-49398.94</v>
      </c>
      <c r="BP23" s="26">
        <f>现金流量表!BP54</f>
        <v>1595890.7</v>
      </c>
      <c r="BQ23" s="26">
        <f>现金流量表!BQ54</f>
        <v>-3580</v>
      </c>
      <c r="BR23" s="26">
        <f>现金流量表!BR54</f>
        <v>-1500</v>
      </c>
      <c r="BS23" s="26">
        <f>现金流量表!BS54</f>
        <v>169771.53</v>
      </c>
      <c r="BT23" s="26">
        <f>现金流量表!BT54</f>
        <v>-1680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2625775.1800000002</v>
      </c>
      <c r="AP24" s="26">
        <f>现金流量表!AP55</f>
        <v>0</v>
      </c>
      <c r="AQ24" s="26">
        <f>现金流量表!AQ55</f>
        <v>0</v>
      </c>
      <c r="AR24" s="26">
        <f>现金流量表!AR55</f>
        <v>0</v>
      </c>
      <c r="AS24" s="26">
        <f>现金流量表!AS55</f>
        <v>577470.38</v>
      </c>
      <c r="AT24" s="26">
        <f>现金流量表!AT55</f>
        <v>0</v>
      </c>
      <c r="AU24" s="26">
        <f>现金流量表!AU55</f>
        <v>0</v>
      </c>
      <c r="AV24" s="26">
        <f>现金流量表!AV55</f>
        <v>0</v>
      </c>
      <c r="AW24" s="26">
        <f>现金流量表!AW55</f>
        <v>0</v>
      </c>
      <c r="AX24" s="26">
        <f>现金流量表!AX55</f>
        <v>0</v>
      </c>
      <c r="AY24" s="26">
        <f>现金流量表!AY55</f>
        <v>1108956.43</v>
      </c>
      <c r="AZ24" s="26">
        <f>现金流量表!AZ55</f>
        <v>0</v>
      </c>
      <c r="BA24" s="26">
        <f>现金流量表!BA55</f>
        <v>0</v>
      </c>
      <c r="BB24" s="26">
        <f>现金流量表!BB55</f>
        <v>0</v>
      </c>
      <c r="BC24" s="26">
        <f>现金流量表!BC55</f>
        <v>0</v>
      </c>
      <c r="BD24" s="26">
        <f>现金流量表!BD55</f>
        <v>0</v>
      </c>
      <c r="BE24" s="26">
        <f>现金流量表!BE55</f>
        <v>10234174.27</v>
      </c>
      <c r="BF24" s="26">
        <f>现金流量表!BF55</f>
        <v>6735200.1100000003</v>
      </c>
      <c r="BG24" s="26">
        <f>现金流量表!BG55</f>
        <v>2122271.27</v>
      </c>
      <c r="BH24" s="26">
        <f>现金流量表!BH55</f>
        <v>0</v>
      </c>
      <c r="BI24" s="26">
        <f>现金流量表!BI55</f>
        <v>5443986.7300000004</v>
      </c>
      <c r="BJ24" s="26">
        <f>现金流量表!BJ55</f>
        <v>2732944.24</v>
      </c>
      <c r="BK24" s="26">
        <f>现金流量表!BK55</f>
        <v>1676945.26</v>
      </c>
      <c r="BL24" s="26">
        <f>现金流量表!BL55</f>
        <v>15909.78</v>
      </c>
      <c r="BM24" s="26">
        <f>现金流量表!BM55</f>
        <v>4369433.5199999996</v>
      </c>
      <c r="BN24" s="26">
        <f>现金流量表!BN55</f>
        <v>256577.04</v>
      </c>
      <c r="BO24" s="26">
        <f>现金流量表!BO55</f>
        <v>2074884.19</v>
      </c>
      <c r="BP24" s="26">
        <f>现金流量表!BP55</f>
        <v>0</v>
      </c>
      <c r="BQ24" s="26">
        <f>现金流量表!BQ55</f>
        <v>1025342.66</v>
      </c>
      <c r="BR24" s="26">
        <f>现金流量表!BR55</f>
        <v>43944</v>
      </c>
      <c r="BS24" s="26">
        <f>现金流量表!BS55</f>
        <v>0</v>
      </c>
      <c r="BT24" s="26">
        <f>现金流量表!BT55</f>
        <v>7101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552086957.77999997</v>
      </c>
      <c r="F25" s="28">
        <f t="shared" ref="F25:BQ25" si="12">SUM(F19:F24)</f>
        <v>0</v>
      </c>
      <c r="G25" s="28">
        <f t="shared" si="12"/>
        <v>273981711.63999999</v>
      </c>
      <c r="H25" s="28">
        <f t="shared" si="12"/>
        <v>0</v>
      </c>
      <c r="I25" s="28">
        <f t="shared" si="12"/>
        <v>581134063.26999986</v>
      </c>
      <c r="J25" s="28">
        <f t="shared" si="12"/>
        <v>0</v>
      </c>
      <c r="K25" s="28">
        <f t="shared" si="12"/>
        <v>294563427.97999996</v>
      </c>
      <c r="L25" s="28">
        <f t="shared" si="12"/>
        <v>0</v>
      </c>
      <c r="M25" s="28">
        <f t="shared" si="12"/>
        <v>644030011.92000008</v>
      </c>
      <c r="N25" s="28">
        <f t="shared" si="12"/>
        <v>0</v>
      </c>
      <c r="O25" s="28">
        <f t="shared" si="12"/>
        <v>306205019.07999992</v>
      </c>
      <c r="P25" s="28">
        <f t="shared" si="12"/>
        <v>0</v>
      </c>
      <c r="Q25" s="28">
        <f t="shared" si="12"/>
        <v>679070366.99000001</v>
      </c>
      <c r="R25" s="28">
        <f t="shared" si="12"/>
        <v>0</v>
      </c>
      <c r="S25" s="28">
        <f t="shared" si="12"/>
        <v>305876623.89999998</v>
      </c>
      <c r="T25" s="28">
        <f t="shared" si="12"/>
        <v>0</v>
      </c>
      <c r="U25" s="28">
        <f t="shared" si="12"/>
        <v>683476175.22000003</v>
      </c>
      <c r="V25" s="28">
        <f t="shared" si="12"/>
        <v>0</v>
      </c>
      <c r="W25" s="28">
        <f t="shared" si="12"/>
        <v>334514941.77000004</v>
      </c>
      <c r="X25" s="28">
        <f t="shared" si="12"/>
        <v>0</v>
      </c>
      <c r="Y25" s="28">
        <f t="shared" si="12"/>
        <v>707287577.57999992</v>
      </c>
      <c r="Z25" s="28">
        <f t="shared" si="12"/>
        <v>0</v>
      </c>
      <c r="AA25" s="28">
        <f t="shared" si="12"/>
        <v>356621057.81999999</v>
      </c>
      <c r="AB25" s="28">
        <f t="shared" si="12"/>
        <v>0</v>
      </c>
      <c r="AC25" s="28">
        <f t="shared" si="12"/>
        <v>773400697.78000009</v>
      </c>
      <c r="AD25" s="28">
        <f t="shared" si="12"/>
        <v>0</v>
      </c>
      <c r="AE25" s="28">
        <f t="shared" si="12"/>
        <v>391937153.38999999</v>
      </c>
      <c r="AF25" s="28">
        <f t="shared" si="12"/>
        <v>0</v>
      </c>
      <c r="AG25" s="28">
        <f t="shared" si="12"/>
        <v>779232940.69999993</v>
      </c>
      <c r="AH25" s="28">
        <f t="shared" si="12"/>
        <v>0</v>
      </c>
      <c r="AI25" s="28">
        <f t="shared" si="12"/>
        <v>384013130.09999996</v>
      </c>
      <c r="AJ25" s="28">
        <f t="shared" si="12"/>
        <v>0</v>
      </c>
      <c r="AK25" s="28">
        <f t="shared" si="12"/>
        <v>692039574.37999988</v>
      </c>
      <c r="AL25" s="28">
        <f t="shared" si="12"/>
        <v>0</v>
      </c>
      <c r="AM25" s="28">
        <f t="shared" si="12"/>
        <v>375363626.49000001</v>
      </c>
      <c r="AN25" s="28">
        <f t="shared" si="12"/>
        <v>0</v>
      </c>
      <c r="AO25" s="28">
        <f t="shared" si="12"/>
        <v>437879709.80000001</v>
      </c>
      <c r="AP25" s="28">
        <f t="shared" si="12"/>
        <v>0</v>
      </c>
      <c r="AQ25" s="28">
        <f t="shared" si="12"/>
        <v>216967105.94</v>
      </c>
      <c r="AR25" s="28">
        <f t="shared" si="12"/>
        <v>0</v>
      </c>
      <c r="AS25" s="28">
        <f t="shared" si="12"/>
        <v>467704856.19999999</v>
      </c>
      <c r="AT25" s="28">
        <f t="shared" si="12"/>
        <v>0</v>
      </c>
      <c r="AU25" s="28">
        <f t="shared" si="12"/>
        <v>0</v>
      </c>
      <c r="AV25" s="28">
        <f t="shared" si="12"/>
        <v>0</v>
      </c>
      <c r="AW25" s="28">
        <f t="shared" si="12"/>
        <v>456470664.04000002</v>
      </c>
      <c r="AX25" s="28">
        <f t="shared" si="12"/>
        <v>323412249.38999999</v>
      </c>
      <c r="AY25" s="28">
        <f t="shared" si="12"/>
        <v>217728666.25999999</v>
      </c>
      <c r="AZ25" s="28">
        <f t="shared" si="12"/>
        <v>107459298.45999999</v>
      </c>
      <c r="BA25" s="28">
        <f t="shared" si="12"/>
        <v>482127146.78999996</v>
      </c>
      <c r="BB25" s="28">
        <f t="shared" si="12"/>
        <v>359401989.16000003</v>
      </c>
      <c r="BC25" s="28">
        <f t="shared" si="12"/>
        <v>238621637.89000002</v>
      </c>
      <c r="BD25" s="28">
        <f t="shared" si="12"/>
        <v>119007258.76000001</v>
      </c>
      <c r="BE25" s="28">
        <f t="shared" si="12"/>
        <v>421238384.68000001</v>
      </c>
      <c r="BF25" s="28">
        <f t="shared" si="12"/>
        <v>315188567.01000005</v>
      </c>
      <c r="BG25" s="28">
        <f t="shared" si="12"/>
        <v>213038952.90000001</v>
      </c>
      <c r="BH25" s="28">
        <f t="shared" si="12"/>
        <v>112870676.45</v>
      </c>
      <c r="BI25" s="28">
        <f t="shared" si="12"/>
        <v>290609028.92000008</v>
      </c>
      <c r="BJ25" s="28">
        <f t="shared" si="12"/>
        <v>204723238.28000003</v>
      </c>
      <c r="BK25" s="28">
        <f t="shared" si="12"/>
        <v>114485948.36</v>
      </c>
      <c r="BL25" s="28">
        <f t="shared" si="12"/>
        <v>54723234.890000008</v>
      </c>
      <c r="BM25" s="28">
        <f t="shared" si="12"/>
        <v>244007986.19</v>
      </c>
      <c r="BN25" s="28">
        <f t="shared" si="12"/>
        <v>103206096.13000001</v>
      </c>
      <c r="BO25" s="28">
        <f t="shared" si="12"/>
        <v>196004786.18000001</v>
      </c>
      <c r="BP25" s="28">
        <f t="shared" si="12"/>
        <v>72177180.519999996</v>
      </c>
      <c r="BQ25" s="28">
        <f t="shared" si="12"/>
        <v>134289940.31</v>
      </c>
      <c r="BR25" s="28">
        <f t="shared" ref="BR25:CK25" si="13">SUM(BR19:BR24)</f>
        <v>63134024.199999996</v>
      </c>
      <c r="BS25" s="28">
        <f t="shared" si="13"/>
        <v>76425419.829999998</v>
      </c>
      <c r="BT25" s="28">
        <f t="shared" si="13"/>
        <v>31032668.509999998</v>
      </c>
      <c r="BU25" s="28">
        <f t="shared" si="13"/>
        <v>44903751.370000005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9214088864.8799992</v>
      </c>
      <c r="F26" s="28">
        <f t="shared" ref="F26:BQ26" si="14">F14-F25</f>
        <v>6093165397.6400003</v>
      </c>
      <c r="G26" s="28">
        <f t="shared" si="14"/>
        <v>2890709985.9100003</v>
      </c>
      <c r="H26" s="28">
        <f t="shared" si="14"/>
        <v>1843612667.26</v>
      </c>
      <c r="I26" s="28">
        <f t="shared" si="14"/>
        <v>11115626505.939999</v>
      </c>
      <c r="J26" s="28">
        <f t="shared" si="14"/>
        <v>10562390293.709999</v>
      </c>
      <c r="K26" s="28">
        <f t="shared" si="14"/>
        <v>4016678801.5999999</v>
      </c>
      <c r="L26" s="28">
        <f t="shared" si="14"/>
        <v>759516944.14999998</v>
      </c>
      <c r="M26" s="28">
        <f t="shared" si="14"/>
        <v>6047038437.8599997</v>
      </c>
      <c r="N26" s="28">
        <f t="shared" si="14"/>
        <v>5709770665.1999998</v>
      </c>
      <c r="O26" s="28">
        <f t="shared" si="14"/>
        <v>2810409488.21</v>
      </c>
      <c r="P26" s="28">
        <f t="shared" si="14"/>
        <v>1932422884.71</v>
      </c>
      <c r="Q26" s="28">
        <f t="shared" si="14"/>
        <v>115495278.35000002</v>
      </c>
      <c r="R26" s="28">
        <f t="shared" si="14"/>
        <v>-753891432.66999996</v>
      </c>
      <c r="S26" s="28">
        <f t="shared" si="14"/>
        <v>-2132691030.3000002</v>
      </c>
      <c r="T26" s="28">
        <f t="shared" si="14"/>
        <v>-2201725478.6399999</v>
      </c>
      <c r="U26" s="28">
        <f t="shared" si="14"/>
        <v>775434581.66000009</v>
      </c>
      <c r="V26" s="28">
        <f t="shared" si="14"/>
        <v>313978957.69999999</v>
      </c>
      <c r="W26" s="28">
        <f t="shared" si="14"/>
        <v>1163272140.47</v>
      </c>
      <c r="X26" s="28">
        <f t="shared" si="14"/>
        <v>1136711876.1900001</v>
      </c>
      <c r="Y26" s="28">
        <f t="shared" si="14"/>
        <v>8042379506.8999996</v>
      </c>
      <c r="Z26" s="28">
        <f t="shared" si="14"/>
        <v>6548229191.1899996</v>
      </c>
      <c r="AA26" s="28">
        <f t="shared" si="14"/>
        <v>3590983541.27</v>
      </c>
      <c r="AB26" s="28">
        <f t="shared" si="14"/>
        <v>1681643781.72</v>
      </c>
      <c r="AC26" s="28">
        <f t="shared" si="14"/>
        <v>8759622226.6299992</v>
      </c>
      <c r="AD26" s="28">
        <f t="shared" si="14"/>
        <v>6771939952.1899996</v>
      </c>
      <c r="AE26" s="28">
        <f t="shared" si="14"/>
        <v>5017869016.1499996</v>
      </c>
      <c r="AF26" s="28">
        <f t="shared" si="14"/>
        <v>2364903317.4000001</v>
      </c>
      <c r="AG26" s="28">
        <f t="shared" si="14"/>
        <v>6923887344.5600004</v>
      </c>
      <c r="AH26" s="28">
        <f t="shared" si="14"/>
        <v>4790789702.7799997</v>
      </c>
      <c r="AI26" s="28">
        <f t="shared" si="14"/>
        <v>2754647020.7800002</v>
      </c>
      <c r="AJ26" s="28">
        <f t="shared" si="14"/>
        <v>2138624515.8499999</v>
      </c>
      <c r="AK26" s="28">
        <f t="shared" si="14"/>
        <v>5361970088.6199999</v>
      </c>
      <c r="AL26" s="28">
        <f t="shared" si="14"/>
        <v>4845240857.8000002</v>
      </c>
      <c r="AM26" s="28">
        <f t="shared" si="14"/>
        <v>1507987999.52</v>
      </c>
      <c r="AN26" s="28">
        <f t="shared" si="14"/>
        <v>1227477879.51</v>
      </c>
      <c r="AO26" s="28">
        <f t="shared" si="14"/>
        <v>1534756841.01</v>
      </c>
      <c r="AP26" s="28">
        <f t="shared" si="14"/>
        <v>1857136349.6300001</v>
      </c>
      <c r="AQ26" s="28">
        <f t="shared" si="14"/>
        <v>979825106.65999985</v>
      </c>
      <c r="AR26" s="28">
        <f t="shared" si="14"/>
        <v>1171946368.1099999</v>
      </c>
      <c r="AS26" s="28">
        <f t="shared" si="14"/>
        <v>1197841087.51</v>
      </c>
      <c r="AT26" s="28">
        <f t="shared" si="14"/>
        <v>2089846017.8800001</v>
      </c>
      <c r="AU26" s="28">
        <f t="shared" si="14"/>
        <v>1599888081.8099999</v>
      </c>
      <c r="AV26" s="28">
        <f t="shared" si="14"/>
        <v>1055798280.0700001</v>
      </c>
      <c r="AW26" s="28">
        <f t="shared" si="14"/>
        <v>879799703.41000009</v>
      </c>
      <c r="AX26" s="28">
        <f t="shared" si="14"/>
        <v>868996024.01000011</v>
      </c>
      <c r="AY26" s="28">
        <f t="shared" si="14"/>
        <v>672194574.88</v>
      </c>
      <c r="AZ26" s="28">
        <f t="shared" si="14"/>
        <v>680967867.37</v>
      </c>
      <c r="BA26" s="28">
        <f t="shared" si="14"/>
        <v>770590521.29999995</v>
      </c>
      <c r="BB26" s="28">
        <f t="shared" si="14"/>
        <v>448539010.22999996</v>
      </c>
      <c r="BC26" s="28">
        <f t="shared" si="14"/>
        <v>474667894.77999997</v>
      </c>
      <c r="BD26" s="28">
        <f t="shared" si="14"/>
        <v>291802621.44999999</v>
      </c>
      <c r="BE26" s="28">
        <f t="shared" si="14"/>
        <v>400455009.61999995</v>
      </c>
      <c r="BF26" s="28">
        <f t="shared" si="14"/>
        <v>530783456.44</v>
      </c>
      <c r="BG26" s="28">
        <f t="shared" si="14"/>
        <v>460416426.87</v>
      </c>
      <c r="BH26" s="28">
        <f t="shared" si="14"/>
        <v>846608799.96999991</v>
      </c>
      <c r="BI26" s="28">
        <f t="shared" si="14"/>
        <v>754050214.4799999</v>
      </c>
      <c r="BJ26" s="28">
        <f t="shared" si="14"/>
        <v>591756537.38999987</v>
      </c>
      <c r="BK26" s="28">
        <f t="shared" si="14"/>
        <v>209657562.00999999</v>
      </c>
      <c r="BL26" s="28">
        <f t="shared" si="14"/>
        <v>178808591.82999998</v>
      </c>
      <c r="BM26" s="28">
        <f t="shared" si="14"/>
        <v>809282731.73000002</v>
      </c>
      <c r="BN26" s="28">
        <f t="shared" si="14"/>
        <v>410425480.26999998</v>
      </c>
      <c r="BO26" s="28">
        <f t="shared" si="14"/>
        <v>877183155.6500001</v>
      </c>
      <c r="BP26" s="28">
        <f t="shared" si="14"/>
        <v>187664678.80000001</v>
      </c>
      <c r="BQ26" s="28">
        <f t="shared" si="14"/>
        <v>1160705842.96</v>
      </c>
      <c r="BR26" s="28">
        <f t="shared" ref="BR26:CK26" si="15">BR14-BR25</f>
        <v>464035439.52000004</v>
      </c>
      <c r="BS26" s="28">
        <f t="shared" si="15"/>
        <v>822021475.86000001</v>
      </c>
      <c r="BT26" s="28">
        <f t="shared" si="15"/>
        <v>405246204.75999999</v>
      </c>
      <c r="BU26" s="28">
        <f t="shared" si="15"/>
        <v>314101707.67000002</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9214088864.8799992</v>
      </c>
      <c r="F27" s="26">
        <f t="shared" ref="F27:BQ27" si="16">F26-F24</f>
        <v>6093165397.6400003</v>
      </c>
      <c r="G27" s="26">
        <f t="shared" si="16"/>
        <v>2890709985.9100003</v>
      </c>
      <c r="H27" s="26">
        <f t="shared" si="16"/>
        <v>1843612667.26</v>
      </c>
      <c r="I27" s="26">
        <f t="shared" si="16"/>
        <v>11115626505.939999</v>
      </c>
      <c r="J27" s="26">
        <f t="shared" si="16"/>
        <v>10562390293.709999</v>
      </c>
      <c r="K27" s="26">
        <f t="shared" si="16"/>
        <v>4016678801.5999999</v>
      </c>
      <c r="L27" s="26">
        <f t="shared" si="16"/>
        <v>759516944.14999998</v>
      </c>
      <c r="M27" s="26">
        <f t="shared" si="16"/>
        <v>6047038437.8599997</v>
      </c>
      <c r="N27" s="26">
        <f t="shared" si="16"/>
        <v>5709770665.1999998</v>
      </c>
      <c r="O27" s="26">
        <f t="shared" si="16"/>
        <v>2810409488.21</v>
      </c>
      <c r="P27" s="26">
        <f t="shared" si="16"/>
        <v>1932422884.71</v>
      </c>
      <c r="Q27" s="26">
        <f t="shared" si="16"/>
        <v>115495278.35000002</v>
      </c>
      <c r="R27" s="26">
        <f t="shared" si="16"/>
        <v>-753891432.66999996</v>
      </c>
      <c r="S27" s="26">
        <f t="shared" si="16"/>
        <v>-2132691030.3000002</v>
      </c>
      <c r="T27" s="26">
        <f t="shared" si="16"/>
        <v>-2201725478.6399999</v>
      </c>
      <c r="U27" s="26">
        <f t="shared" si="16"/>
        <v>775434581.66000009</v>
      </c>
      <c r="V27" s="26">
        <f t="shared" si="16"/>
        <v>313978957.69999999</v>
      </c>
      <c r="W27" s="26">
        <f t="shared" si="16"/>
        <v>1163272140.47</v>
      </c>
      <c r="X27" s="26">
        <f t="shared" si="16"/>
        <v>1136711876.1900001</v>
      </c>
      <c r="Y27" s="26">
        <f t="shared" si="16"/>
        <v>8042379506.8999996</v>
      </c>
      <c r="Z27" s="26">
        <f t="shared" si="16"/>
        <v>6548229191.1899996</v>
      </c>
      <c r="AA27" s="26">
        <f t="shared" si="16"/>
        <v>3590983541.27</v>
      </c>
      <c r="AB27" s="26">
        <f t="shared" si="16"/>
        <v>1681643781.72</v>
      </c>
      <c r="AC27" s="26">
        <f t="shared" si="16"/>
        <v>8759622226.6299992</v>
      </c>
      <c r="AD27" s="26">
        <f t="shared" si="16"/>
        <v>6771939952.1899996</v>
      </c>
      <c r="AE27" s="26">
        <f t="shared" si="16"/>
        <v>5017869016.1499996</v>
      </c>
      <c r="AF27" s="26">
        <f t="shared" si="16"/>
        <v>2364903317.4000001</v>
      </c>
      <c r="AG27" s="26">
        <f t="shared" si="16"/>
        <v>6923887344.5600004</v>
      </c>
      <c r="AH27" s="26">
        <f t="shared" si="16"/>
        <v>4790789702.7799997</v>
      </c>
      <c r="AI27" s="26">
        <f t="shared" si="16"/>
        <v>2754647020.7800002</v>
      </c>
      <c r="AJ27" s="26">
        <f t="shared" si="16"/>
        <v>2138624515.8499999</v>
      </c>
      <c r="AK27" s="26">
        <f t="shared" si="16"/>
        <v>5361970088.6199999</v>
      </c>
      <c r="AL27" s="26">
        <f t="shared" si="16"/>
        <v>4845240857.8000002</v>
      </c>
      <c r="AM27" s="26">
        <f t="shared" si="16"/>
        <v>1507987999.52</v>
      </c>
      <c r="AN27" s="26">
        <f t="shared" si="16"/>
        <v>1227477879.51</v>
      </c>
      <c r="AO27" s="26">
        <f t="shared" si="16"/>
        <v>1532131065.8299999</v>
      </c>
      <c r="AP27" s="26">
        <f t="shared" si="16"/>
        <v>1857136349.6300001</v>
      </c>
      <c r="AQ27" s="26">
        <f t="shared" si="16"/>
        <v>979825106.65999985</v>
      </c>
      <c r="AR27" s="26">
        <f t="shared" si="16"/>
        <v>1171946368.1099999</v>
      </c>
      <c r="AS27" s="26">
        <f t="shared" si="16"/>
        <v>1197263617.1299999</v>
      </c>
      <c r="AT27" s="26">
        <f t="shared" si="16"/>
        <v>2089846017.8800001</v>
      </c>
      <c r="AU27" s="26">
        <f t="shared" si="16"/>
        <v>1599888081.8099999</v>
      </c>
      <c r="AV27" s="26">
        <f t="shared" si="16"/>
        <v>1055798280.0700001</v>
      </c>
      <c r="AW27" s="26">
        <f t="shared" si="16"/>
        <v>879799703.41000009</v>
      </c>
      <c r="AX27" s="26">
        <f t="shared" si="16"/>
        <v>868996024.01000011</v>
      </c>
      <c r="AY27" s="26">
        <f t="shared" si="16"/>
        <v>671085618.45000005</v>
      </c>
      <c r="AZ27" s="26">
        <f t="shared" si="16"/>
        <v>680967867.37</v>
      </c>
      <c r="BA27" s="26">
        <f t="shared" si="16"/>
        <v>770590521.29999995</v>
      </c>
      <c r="BB27" s="26">
        <f t="shared" si="16"/>
        <v>448539010.22999996</v>
      </c>
      <c r="BC27" s="26">
        <f t="shared" si="16"/>
        <v>474667894.77999997</v>
      </c>
      <c r="BD27" s="26">
        <f t="shared" si="16"/>
        <v>291802621.44999999</v>
      </c>
      <c r="BE27" s="26">
        <f t="shared" si="16"/>
        <v>390220835.34999996</v>
      </c>
      <c r="BF27" s="26">
        <f t="shared" si="16"/>
        <v>524048256.32999998</v>
      </c>
      <c r="BG27" s="26">
        <f t="shared" si="16"/>
        <v>458294155.60000002</v>
      </c>
      <c r="BH27" s="26">
        <f t="shared" si="16"/>
        <v>846608799.96999991</v>
      </c>
      <c r="BI27" s="26">
        <f t="shared" si="16"/>
        <v>748606227.74999988</v>
      </c>
      <c r="BJ27" s="26">
        <f t="shared" si="16"/>
        <v>589023593.14999986</v>
      </c>
      <c r="BK27" s="26">
        <f t="shared" si="16"/>
        <v>207980616.75</v>
      </c>
      <c r="BL27" s="26">
        <f t="shared" si="16"/>
        <v>178792682.04999998</v>
      </c>
      <c r="BM27" s="26">
        <f t="shared" si="16"/>
        <v>804913298.21000004</v>
      </c>
      <c r="BN27" s="26">
        <f t="shared" si="16"/>
        <v>410168903.22999996</v>
      </c>
      <c r="BO27" s="26">
        <f t="shared" si="16"/>
        <v>875108271.46000004</v>
      </c>
      <c r="BP27" s="26">
        <f t="shared" si="16"/>
        <v>187664678.80000001</v>
      </c>
      <c r="BQ27" s="26">
        <f t="shared" si="16"/>
        <v>1159680500.3</v>
      </c>
      <c r="BR27" s="26">
        <f t="shared" ref="BR27:CL27" si="17">BR26-BR24</f>
        <v>463991495.52000004</v>
      </c>
      <c r="BS27" s="26">
        <f t="shared" si="17"/>
        <v>822021475.86000001</v>
      </c>
      <c r="BT27" s="26">
        <f t="shared" si="17"/>
        <v>405239103.75999999</v>
      </c>
      <c r="BU27" s="26">
        <f t="shared" si="17"/>
        <v>314101707.67000002</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-0.17106886778211292</v>
      </c>
      <c r="F28" s="63">
        <f t="shared" ref="F28:BQ28" si="18">(F27-J27)/J27</f>
        <v>-0.42312627840797207</v>
      </c>
      <c r="G28" s="63">
        <f t="shared" si="18"/>
        <v>-0.28032333958131833</v>
      </c>
      <c r="H28" s="63">
        <f t="shared" si="18"/>
        <v>1.4273489636537955</v>
      </c>
      <c r="I28" s="63">
        <f t="shared" si="18"/>
        <v>0.83819345951995194</v>
      </c>
      <c r="J28" s="63">
        <f t="shared" si="18"/>
        <v>0.84987995368812652</v>
      </c>
      <c r="K28" s="63">
        <f t="shared" si="18"/>
        <v>0.42921478825432458</v>
      </c>
      <c r="L28" s="63">
        <f t="shared" si="18"/>
        <v>-0.60696131775318873</v>
      </c>
      <c r="M28" s="63">
        <f t="shared" si="18"/>
        <v>51.357451527454572</v>
      </c>
      <c r="N28" s="63">
        <f t="shared" si="18"/>
        <v>-8.573730669651118</v>
      </c>
      <c r="O28" s="63">
        <f t="shared" si="18"/>
        <v>-2.3177762030605376</v>
      </c>
      <c r="P28" s="63">
        <f t="shared" si="18"/>
        <v>-1.8776856622032883</v>
      </c>
      <c r="Q28" s="63">
        <f t="shared" si="18"/>
        <v>-0.85105735405460614</v>
      </c>
      <c r="R28" s="63">
        <f t="shared" si="18"/>
        <v>-3.4010890353688179</v>
      </c>
      <c r="S28" s="63">
        <f t="shared" si="18"/>
        <v>-2.8333552021956989</v>
      </c>
      <c r="T28" s="63">
        <f t="shared" si="18"/>
        <v>-2.9369248485550123</v>
      </c>
      <c r="U28" s="63">
        <f t="shared" si="18"/>
        <v>-0.90358144862540846</v>
      </c>
      <c r="V28" s="63">
        <f t="shared" si="18"/>
        <v>-0.95205131822166089</v>
      </c>
      <c r="W28" s="63">
        <f t="shared" si="18"/>
        <v>-0.67605751262825542</v>
      </c>
      <c r="X28" s="63">
        <f t="shared" si="18"/>
        <v>-0.32404716828473557</v>
      </c>
      <c r="Y28" s="63">
        <f t="shared" si="18"/>
        <v>-8.1880553883878743E-2</v>
      </c>
      <c r="Z28" s="63">
        <f t="shared" si="18"/>
        <v>-3.3034959343910521E-2</v>
      </c>
      <c r="AA28" s="63">
        <f t="shared" si="18"/>
        <v>-0.28436084526869315</v>
      </c>
      <c r="AB28" s="63">
        <f t="shared" si="18"/>
        <v>-0.28891647732609332</v>
      </c>
      <c r="AC28" s="63">
        <f t="shared" si="18"/>
        <v>0.2651306687582532</v>
      </c>
      <c r="AD28" s="63">
        <f t="shared" si="18"/>
        <v>0.41353312758862654</v>
      </c>
      <c r="AE28" s="63">
        <f t="shared" si="18"/>
        <v>0.82160145321600953</v>
      </c>
      <c r="AF28" s="63">
        <f t="shared" si="18"/>
        <v>0.10580576434665311</v>
      </c>
      <c r="AG28" s="63">
        <f t="shared" si="18"/>
        <v>0.29129540637590318</v>
      </c>
      <c r="AH28" s="63">
        <f t="shared" si="18"/>
        <v>-1.1238069812843981E-2</v>
      </c>
      <c r="AI28" s="63">
        <f t="shared" si="18"/>
        <v>0.82670354250618572</v>
      </c>
      <c r="AJ28" s="63">
        <f t="shared" si="18"/>
        <v>0.74229169547537821</v>
      </c>
      <c r="AK28" s="63">
        <f t="shared" si="18"/>
        <v>2.4996810705063699</v>
      </c>
      <c r="AL28" s="63">
        <f t="shared" si="18"/>
        <v>1.6089849885094998</v>
      </c>
      <c r="AM28" s="63">
        <f t="shared" si="18"/>
        <v>0.53903792551344887</v>
      </c>
      <c r="AN28" s="63">
        <f t="shared" si="18"/>
        <v>4.7384004004855505E-2</v>
      </c>
      <c r="AO28" s="63">
        <f t="shared" si="18"/>
        <v>0.27969399880597878</v>
      </c>
      <c r="AP28" s="63">
        <f t="shared" si="18"/>
        <v>-0.11135254284718421</v>
      </c>
      <c r="AQ28" s="63">
        <f t="shared" si="18"/>
        <v>-0.3875664693048434</v>
      </c>
      <c r="AR28" s="63">
        <f t="shared" si="18"/>
        <v>0.11000973408698786</v>
      </c>
      <c r="AS28" s="63">
        <f t="shared" si="18"/>
        <v>0.36083657733634944</v>
      </c>
      <c r="AT28" s="63">
        <f t="shared" si="18"/>
        <v>1.4048970998007129</v>
      </c>
      <c r="AU28" s="63">
        <f t="shared" si="18"/>
        <v>1.3840297539161186</v>
      </c>
      <c r="AV28" s="63">
        <f t="shared" si="18"/>
        <v>0.55043773819703312</v>
      </c>
      <c r="AW28" s="63">
        <f t="shared" si="18"/>
        <v>0.14172141895252266</v>
      </c>
      <c r="AX28" s="63">
        <f t="shared" si="18"/>
        <v>0.93739229853028827</v>
      </c>
      <c r="AY28" s="63">
        <f t="shared" si="18"/>
        <v>0.4138003135034784</v>
      </c>
      <c r="AZ28" s="63">
        <f t="shared" si="18"/>
        <v>1.3336591836844858</v>
      </c>
      <c r="BA28" s="63">
        <f t="shared" si="18"/>
        <v>0.9747549374416048</v>
      </c>
      <c r="BB28" s="63">
        <f t="shared" si="18"/>
        <v>-0.14408834527721598</v>
      </c>
      <c r="BC28" s="63">
        <f t="shared" si="18"/>
        <v>3.5727575793680813E-2</v>
      </c>
      <c r="BD28" s="63">
        <f t="shared" si="18"/>
        <v>-0.65532767736368891</v>
      </c>
      <c r="BE28" s="63">
        <f t="shared" si="18"/>
        <v>-0.47873685672794614</v>
      </c>
      <c r="BF28" s="63">
        <f t="shared" si="18"/>
        <v>-0.1103102449131496</v>
      </c>
      <c r="BG28" s="63">
        <f t="shared" si="18"/>
        <v>1.2035426318159528</v>
      </c>
      <c r="BH28" s="63">
        <f t="shared" si="18"/>
        <v>3.7351423462244551</v>
      </c>
      <c r="BI28" s="63">
        <f t="shared" si="18"/>
        <v>-6.9954205732739388E-2</v>
      </c>
      <c r="BJ28" s="63">
        <f t="shared" si="18"/>
        <v>0.43605131571787664</v>
      </c>
      <c r="BK28" s="63">
        <f t="shared" si="18"/>
        <v>-0.76233727467458123</v>
      </c>
      <c r="BL28" s="63">
        <f t="shared" si="18"/>
        <v>-4.7275794287614387E-2</v>
      </c>
      <c r="BM28" s="63">
        <f t="shared" si="18"/>
        <v>-0.30591805415217771</v>
      </c>
      <c r="BN28" s="63">
        <f t="shared" si="18"/>
        <v>-0.11599909224560366</v>
      </c>
      <c r="BO28" s="63">
        <f t="shared" si="18"/>
        <v>6.458078913870291E-2</v>
      </c>
      <c r="BP28" s="63">
        <f t="shared" si="18"/>
        <v>-0.53690382527560054</v>
      </c>
      <c r="BQ28" s="63">
        <f t="shared" si="18"/>
        <v>2.6920541085321883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738</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0.64051968617825961</v>
      </c>
      <c r="F31" s="112"/>
      <c r="G31" s="112"/>
      <c r="H31" s="112"/>
      <c r="I31" s="112">
        <f>POWER(E27/Y27,1/6)-1</f>
        <v>2.292699300932699E-2</v>
      </c>
      <c r="M31" s="112">
        <f>POWER(E27/AC27,1/7)-1</f>
        <v>7.2520168312282252E-3</v>
      </c>
      <c r="Q31" s="115" t="s">
        <v>604</v>
      </c>
      <c r="R31" s="115"/>
      <c r="S31" s="115"/>
      <c r="T31" s="115"/>
      <c r="U31" s="115">
        <f>POWER(E14/U14,1/5)-1</f>
        <v>0.46264577992184885</v>
      </c>
      <c r="V31" s="115"/>
      <c r="W31" s="115"/>
      <c r="X31" s="115"/>
      <c r="Y31" s="115">
        <f>POWER(E14/Y14,1/6)-1</f>
        <v>1.8487027237698905E-2</v>
      </c>
      <c r="Z31" s="115"/>
      <c r="AA31" s="115"/>
      <c r="AB31" s="115"/>
      <c r="AC31" s="115">
        <f>POWER(E14/AC14,1/7)-1</f>
        <v>3.4578361089108167E-3</v>
      </c>
    </row>
    <row r="32" spans="1:90" s="66" customFormat="1" x14ac:dyDescent="0.25">
      <c r="A32" s="46" t="s">
        <v>513</v>
      </c>
      <c r="E32" s="66">
        <v>0.17</v>
      </c>
    </row>
    <row r="39" spans="1:13" ht="43.2" x14ac:dyDescent="0.25">
      <c r="A39" s="67" t="s">
        <v>514</v>
      </c>
    </row>
    <row r="41" spans="1:13" ht="111" customHeight="1" x14ac:dyDescent="0.25">
      <c r="A41" s="278" t="s">
        <v>737</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11" width="20.44140625" bestFit="1" customWidth="1"/>
    <col min="12" max="12" width="40.21875" bestFit="1" customWidth="1"/>
    <col min="13" max="19" width="20.44140625" bestFit="1" customWidth="1"/>
    <col min="20" max="74" width="9.44140625" bestFit="1" customWidth="1"/>
  </cols>
  <sheetData>
    <row r="1" spans="1:10" ht="16.2" customHeight="1" x14ac:dyDescent="0.25">
      <c r="A1" s="68" t="s">
        <v>515</v>
      </c>
      <c r="B1" s="69">
        <f>自由现金流分析表!E1</f>
        <v>43100</v>
      </c>
      <c r="C1" s="190" t="s">
        <v>751</v>
      </c>
      <c r="D1" s="273">
        <v>0.08</v>
      </c>
      <c r="E1" s="261" t="s">
        <v>752</v>
      </c>
      <c r="F1" s="63">
        <f>平均资本成本表!E13</f>
        <v>0.18319679435552805</v>
      </c>
    </row>
    <row r="2" spans="1:10" x14ac:dyDescent="0.25">
      <c r="A2" s="70" t="s">
        <v>516</v>
      </c>
      <c r="B2" s="71">
        <f>(自由现金流分析表!E27+自由现金流分析表!I27+自由现金流分析表!M27)/3</f>
        <v>8792251269.5599995</v>
      </c>
      <c r="C2" t="s">
        <v>549</v>
      </c>
      <c r="D2" s="63"/>
      <c r="E2" s="63"/>
      <c r="F2" s="56"/>
    </row>
    <row r="3" spans="1:10" s="63" customFormat="1" x14ac:dyDescent="0.25">
      <c r="A3" s="72" t="s">
        <v>517</v>
      </c>
      <c r="B3" s="98">
        <v>0.03</v>
      </c>
      <c r="D3" s="189"/>
      <c r="E3" s="189"/>
      <c r="F3" s="259"/>
    </row>
    <row r="4" spans="1:10" s="63" customFormat="1" x14ac:dyDescent="0.25">
      <c r="A4" s="72" t="s">
        <v>518</v>
      </c>
      <c r="B4" s="98">
        <f>MIN(平均资本成本表!E13,D1)</f>
        <v>0.08</v>
      </c>
      <c r="D4" s="189"/>
      <c r="E4" s="189"/>
      <c r="F4" s="260"/>
    </row>
    <row r="5" spans="1:10" x14ac:dyDescent="0.25">
      <c r="A5" s="70" t="s">
        <v>519</v>
      </c>
      <c r="B5" s="71">
        <f>B2*(1+B3)/(B4-B3)</f>
        <v>181120376152.93597</v>
      </c>
      <c r="D5" s="63"/>
      <c r="E5" s="63"/>
    </row>
    <row r="6" spans="1:10" x14ac:dyDescent="0.25">
      <c r="A6" s="70" t="s">
        <v>520</v>
      </c>
      <c r="B6" s="71">
        <f>资产资本表!E17</f>
        <v>41206139837.209999</v>
      </c>
      <c r="D6" s="189"/>
      <c r="E6" s="189"/>
      <c r="F6" s="189"/>
      <c r="G6" s="189"/>
    </row>
    <row r="7" spans="1:10" x14ac:dyDescent="0.25">
      <c r="A7" s="70" t="s">
        <v>521</v>
      </c>
      <c r="B7" s="71">
        <f>资产资本表!E19</f>
        <v>862854004.09000003</v>
      </c>
      <c r="D7" s="189"/>
      <c r="E7" s="189"/>
      <c r="F7" s="189"/>
      <c r="G7" s="189"/>
    </row>
    <row r="8" spans="1:10" x14ac:dyDescent="0.25">
      <c r="A8" s="70" t="s">
        <v>522</v>
      </c>
      <c r="B8" s="196">
        <f>资产资本表!E89</f>
        <v>0</v>
      </c>
      <c r="C8" s="271" t="s">
        <v>749</v>
      </c>
      <c r="D8" s="272">
        <f>B2/B4</f>
        <v>109903140869.49998</v>
      </c>
      <c r="E8" s="63"/>
      <c r="F8" s="189"/>
      <c r="G8" s="189"/>
    </row>
    <row r="9" spans="1:10" x14ac:dyDescent="0.25">
      <c r="A9" s="70" t="s">
        <v>523</v>
      </c>
      <c r="B9" s="196">
        <f>B5+B6+B7-B8</f>
        <v>223189369994.23596</v>
      </c>
      <c r="C9" s="271" t="s">
        <v>750</v>
      </c>
      <c r="D9" s="272">
        <f>(D8+资产资本结构分析表!$E$2+资产资本结构分析表!$E$3)/B55</f>
        <v>39.151850087654587</v>
      </c>
      <c r="E9" s="189"/>
      <c r="F9" s="189"/>
      <c r="G9" s="189"/>
    </row>
    <row r="10" spans="1:10" x14ac:dyDescent="0.25">
      <c r="A10" s="70" t="s">
        <v>524</v>
      </c>
      <c r="B10" s="73">
        <f>资产资本表!E103/资产资本表!E107</f>
        <v>2.4513232560008737E-2</v>
      </c>
      <c r="D10" s="189"/>
      <c r="E10" s="189"/>
      <c r="F10" s="189"/>
      <c r="G10" s="189"/>
    </row>
    <row r="11" spans="1:10" x14ac:dyDescent="0.25">
      <c r="A11" s="70" t="s">
        <v>550</v>
      </c>
      <c r="B11" s="196">
        <f>B9*(1-B10)</f>
        <v>217718277062.64542</v>
      </c>
      <c r="C11" s="268" t="s">
        <v>746</v>
      </c>
      <c r="D11" s="269">
        <f>资产资本结构分析表!E2</f>
        <v>41206139837.209999</v>
      </c>
      <c r="E11" s="63"/>
      <c r="F11" s="189"/>
      <c r="G11" s="189"/>
    </row>
    <row r="12" spans="1:10" x14ac:dyDescent="0.25">
      <c r="A12" s="70" t="s">
        <v>525</v>
      </c>
      <c r="B12" s="267">
        <f>B55</f>
        <v>3881608005</v>
      </c>
      <c r="C12" s="268" t="s">
        <v>747</v>
      </c>
      <c r="D12" s="270">
        <f>D11/B55</f>
        <v>10.615739606918396</v>
      </c>
      <c r="E12" s="189"/>
      <c r="F12" s="189"/>
      <c r="G12" s="189"/>
    </row>
    <row r="13" spans="1:10" ht="15" thickBot="1" x14ac:dyDescent="0.3">
      <c r="A13" s="74" t="s">
        <v>526</v>
      </c>
      <c r="B13" s="75">
        <f>B11/B12</f>
        <v>56.08971250631101</v>
      </c>
      <c r="D13" s="189"/>
      <c r="E13" s="189"/>
    </row>
    <row r="14" spans="1:10" s="16" customFormat="1" ht="53.25" customHeight="1" x14ac:dyDescent="0.25">
      <c r="A14" s="278" t="s">
        <v>739</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299" t="s">
        <v>527</v>
      </c>
      <c r="B18" s="299"/>
      <c r="C18" s="65" t="s">
        <v>541</v>
      </c>
      <c r="D18" s="97">
        <v>1</v>
      </c>
      <c r="E18" s="97">
        <v>2</v>
      </c>
      <c r="F18" s="97">
        <v>3</v>
      </c>
      <c r="G18" s="97">
        <v>4</v>
      </c>
      <c r="H18" s="97">
        <v>5</v>
      </c>
      <c r="I18" s="96">
        <v>6</v>
      </c>
      <c r="J18" s="80"/>
    </row>
    <row r="19" spans="1:10" s="26" customFormat="1" x14ac:dyDescent="0.25">
      <c r="A19" s="99" t="s">
        <v>528</v>
      </c>
      <c r="B19" s="94"/>
      <c r="C19" s="89">
        <f>B2</f>
        <v>8792251269.5599995</v>
      </c>
      <c r="D19" s="89">
        <f>C19*(1+$D$17)</f>
        <v>9671476396.5160007</v>
      </c>
      <c r="E19" s="89">
        <f>D19*(1+$D$17)</f>
        <v>10638624036.167603</v>
      </c>
      <c r="F19" s="89">
        <f>E19*(1+$D$17)</f>
        <v>11702486439.784363</v>
      </c>
      <c r="G19" s="89">
        <f>F19*(1+$D$17)</f>
        <v>12872735083.7628</v>
      </c>
      <c r="H19" s="89">
        <f>G19*(1+$D$17)</f>
        <v>14160008592.139082</v>
      </c>
      <c r="I19" s="89">
        <f>H19*(1+I17)</f>
        <v>14726408935.824646</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0" t="s">
        <v>530</v>
      </c>
      <c r="B21" s="300"/>
      <c r="C21" s="89"/>
      <c r="D21" s="89">
        <f>D19/D20</f>
        <v>8955070737.5148144</v>
      </c>
      <c r="E21" s="89">
        <f>E19/E20</f>
        <v>9120905380.8021278</v>
      </c>
      <c r="F21" s="89">
        <f>F19/F20</f>
        <v>9289811036.0021667</v>
      </c>
      <c r="G21" s="89">
        <f>G19/G20</f>
        <v>9461844573.7059097</v>
      </c>
      <c r="H21" s="89">
        <f>H19/H20</f>
        <v>9637063917.6634293</v>
      </c>
      <c r="I21" s="89">
        <f>I19/((B20-I17)*I20)</f>
        <v>232003390610.41583</v>
      </c>
      <c r="J21" s="76"/>
    </row>
    <row r="22" spans="1:10" s="26" customFormat="1" x14ac:dyDescent="0.25">
      <c r="A22" s="300" t="s">
        <v>548</v>
      </c>
      <c r="B22" s="300"/>
      <c r="C22" s="89"/>
      <c r="D22" s="296">
        <f>SUM(D21:H21)</f>
        <v>46464695645.688446</v>
      </c>
      <c r="E22" s="297"/>
      <c r="F22" s="297"/>
      <c r="G22" s="297"/>
      <c r="H22" s="298"/>
      <c r="I22" s="89">
        <f>I21</f>
        <v>232003390610.41583</v>
      </c>
      <c r="J22" s="76"/>
    </row>
    <row r="23" spans="1:10" x14ac:dyDescent="0.25">
      <c r="A23" s="92" t="s">
        <v>531</v>
      </c>
      <c r="B23" s="76">
        <f>D22+I22</f>
        <v>278468086256.10425</v>
      </c>
      <c r="C23" s="77"/>
      <c r="D23" s="77"/>
      <c r="E23" s="77"/>
      <c r="F23" s="77"/>
      <c r="G23" s="77"/>
      <c r="H23" s="77"/>
      <c r="I23" s="79"/>
      <c r="J23" s="77"/>
    </row>
    <row r="24" spans="1:10" x14ac:dyDescent="0.25">
      <c r="A24" s="92" t="s">
        <v>532</v>
      </c>
      <c r="B24" s="76">
        <f>B23</f>
        <v>278468086256.10425</v>
      </c>
      <c r="C24" s="77"/>
      <c r="D24" s="77"/>
      <c r="E24" s="77"/>
      <c r="F24" s="77"/>
      <c r="G24" s="77"/>
      <c r="H24" s="77"/>
      <c r="I24" s="79"/>
      <c r="J24" s="77"/>
    </row>
    <row r="25" spans="1:10" x14ac:dyDescent="0.25">
      <c r="A25" s="70" t="s">
        <v>533</v>
      </c>
      <c r="B25" s="71">
        <f>资产资本表!E17</f>
        <v>41206139837.209999</v>
      </c>
      <c r="C25" s="77"/>
      <c r="D25" s="77"/>
      <c r="E25" s="77"/>
      <c r="F25" s="77"/>
      <c r="G25" s="77"/>
      <c r="H25" s="77"/>
      <c r="I25" s="79"/>
      <c r="J25" s="77"/>
    </row>
    <row r="26" spans="1:10" x14ac:dyDescent="0.25">
      <c r="A26" s="70" t="s">
        <v>534</v>
      </c>
      <c r="B26" s="71">
        <f>资产资本表!E19</f>
        <v>862854004.09000003</v>
      </c>
      <c r="C26" s="77"/>
      <c r="D26" s="77"/>
      <c r="E26" s="77"/>
      <c r="F26" s="77"/>
      <c r="G26" s="77"/>
      <c r="H26" s="77"/>
      <c r="I26" s="79"/>
      <c r="J26" s="77"/>
    </row>
    <row r="27" spans="1:10" x14ac:dyDescent="0.25">
      <c r="A27" s="70" t="s">
        <v>535</v>
      </c>
      <c r="B27" s="71">
        <f>资产资本表!E89</f>
        <v>0</v>
      </c>
      <c r="C27" s="77"/>
      <c r="D27" s="77"/>
      <c r="E27" s="77"/>
      <c r="F27" s="77"/>
      <c r="G27" s="77"/>
      <c r="H27" s="77"/>
      <c r="I27" s="79"/>
      <c r="J27" s="77"/>
    </row>
    <row r="28" spans="1:10" s="2" customFormat="1" x14ac:dyDescent="0.25">
      <c r="A28" s="82" t="s">
        <v>536</v>
      </c>
      <c r="B28" s="83">
        <f>B24+B25+B26-B27</f>
        <v>320537080097.4043</v>
      </c>
      <c r="C28" s="80"/>
      <c r="D28" s="80"/>
      <c r="E28" s="80"/>
      <c r="F28" s="80"/>
      <c r="G28" s="80"/>
      <c r="H28" s="80"/>
      <c r="I28" s="81"/>
      <c r="J28" s="80"/>
    </row>
    <row r="29" spans="1:10" x14ac:dyDescent="0.25">
      <c r="A29" s="70" t="s">
        <v>537</v>
      </c>
      <c r="B29" s="78">
        <f>资产资本表!E103/资产资本表!E107</f>
        <v>2.4513232560008737E-2</v>
      </c>
      <c r="C29" s="301" t="s">
        <v>544</v>
      </c>
      <c r="D29" s="301"/>
      <c r="E29" s="301"/>
      <c r="F29" s="77"/>
      <c r="G29" s="77"/>
      <c r="H29" s="77"/>
      <c r="I29" s="79"/>
      <c r="J29" s="77"/>
    </row>
    <row r="30" spans="1:10" s="2" customFormat="1" x14ac:dyDescent="0.25">
      <c r="A30" s="82" t="s">
        <v>538</v>
      </c>
      <c r="B30" s="83">
        <f>B28*(1-B29)</f>
        <v>312679680108.87048</v>
      </c>
      <c r="C30" s="91">
        <v>0.4</v>
      </c>
      <c r="D30" s="91">
        <v>0.3</v>
      </c>
      <c r="E30" s="91">
        <v>0.2</v>
      </c>
      <c r="F30" s="80"/>
      <c r="G30" s="80"/>
      <c r="H30" s="80"/>
      <c r="I30" s="81"/>
      <c r="J30" s="80"/>
    </row>
    <row r="31" spans="1:10" x14ac:dyDescent="0.25">
      <c r="A31" s="70" t="s">
        <v>748</v>
      </c>
      <c r="B31" s="101">
        <f>B55</f>
        <v>3881608005</v>
      </c>
      <c r="C31" s="214">
        <f>$B$32*(1-C30)</f>
        <v>48.332497208285794</v>
      </c>
      <c r="D31" s="214">
        <f>$B$32*(1-D30)</f>
        <v>56.387913409666758</v>
      </c>
      <c r="E31" s="214">
        <f>$B$32*(1-E30)</f>
        <v>64.44332961104773</v>
      </c>
      <c r="F31" s="77"/>
      <c r="G31" s="77"/>
      <c r="H31" s="77"/>
      <c r="I31" s="79"/>
      <c r="J31" s="77"/>
    </row>
    <row r="32" spans="1:10" s="2" customFormat="1" ht="15" thickBot="1" x14ac:dyDescent="0.3">
      <c r="A32" s="84" t="s">
        <v>539</v>
      </c>
      <c r="B32" s="85">
        <f>B30/B31</f>
        <v>80.554162013809659</v>
      </c>
      <c r="C32" s="86"/>
      <c r="D32" s="86"/>
      <c r="E32" s="86"/>
      <c r="F32" s="86"/>
      <c r="G32" s="86"/>
      <c r="H32" s="86"/>
      <c r="I32" s="87"/>
      <c r="J32" s="80"/>
    </row>
    <row r="33" spans="1:19" ht="63" customHeight="1" x14ac:dyDescent="0.25">
      <c r="A33" s="302" t="s">
        <v>740</v>
      </c>
      <c r="B33" s="303"/>
      <c r="C33" s="303"/>
      <c r="D33" s="303"/>
      <c r="E33" s="303"/>
      <c r="F33" s="303"/>
      <c r="G33" s="303"/>
      <c r="H33" s="303"/>
      <c r="I33" s="303"/>
    </row>
    <row r="37" spans="1:19" s="63" customFormat="1" x14ac:dyDescent="0.25">
      <c r="A37" s="203"/>
      <c r="B37" s="203"/>
      <c r="C37" s="213" t="s">
        <v>542</v>
      </c>
      <c r="D37" s="213">
        <v>0.15</v>
      </c>
      <c r="E37" s="213"/>
      <c r="F37" s="213"/>
      <c r="G37" s="213"/>
      <c r="H37" s="213" t="s">
        <v>637</v>
      </c>
      <c r="I37" s="213">
        <v>0.09</v>
      </c>
      <c r="J37" s="213"/>
      <c r="K37" s="213"/>
      <c r="L37" s="213"/>
      <c r="M37" s="213"/>
      <c r="N37" s="213"/>
      <c r="O37" s="213"/>
      <c r="P37" s="213"/>
      <c r="Q37" s="213"/>
      <c r="R37" s="213" t="s">
        <v>547</v>
      </c>
      <c r="S37" s="213">
        <v>0.02</v>
      </c>
    </row>
    <row r="38" spans="1:19" s="24" customFormat="1" x14ac:dyDescent="0.25">
      <c r="A38" s="310" t="s">
        <v>545</v>
      </c>
      <c r="B38" s="311"/>
      <c r="C38" s="215" t="s">
        <v>541</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528</v>
      </c>
      <c r="B39" s="94"/>
      <c r="C39" s="89">
        <f>B2</f>
        <v>8792251269.5599995</v>
      </c>
      <c r="D39" s="89">
        <f>$C$39*(1+$D$37)^D38</f>
        <v>10111088959.993999</v>
      </c>
      <c r="E39" s="89">
        <f>$C$39*(1+$D$37)^E38</f>
        <v>11627752303.993097</v>
      </c>
      <c r="F39" s="89">
        <f>$C$39*(1+$D$37)^F38</f>
        <v>13371915149.59206</v>
      </c>
      <c r="G39" s="89">
        <f>$C$39*(1+$D$37)^G38</f>
        <v>15377702422.030869</v>
      </c>
      <c r="H39" s="89">
        <f>$C$39*(1+$D$37)^H38</f>
        <v>17684357785.335499</v>
      </c>
      <c r="I39" s="89">
        <f>H39*(1+$I$37)</f>
        <v>19275949986.015694</v>
      </c>
      <c r="J39" s="89">
        <f t="shared" ref="J39:N39" si="1">I39*(1+$I$37)</f>
        <v>21010785484.757107</v>
      </c>
      <c r="K39" s="89">
        <f t="shared" si="1"/>
        <v>22901756178.385246</v>
      </c>
      <c r="L39" s="89">
        <f t="shared" si="1"/>
        <v>24962914234.439919</v>
      </c>
      <c r="M39" s="89">
        <f t="shared" si="1"/>
        <v>27209576515.539513</v>
      </c>
      <c r="N39" s="89">
        <f t="shared" si="1"/>
        <v>29658438401.938072</v>
      </c>
      <c r="O39" s="89">
        <f t="shared" ref="O39" si="2">N39*(1+$I$37)</f>
        <v>32327697858.112499</v>
      </c>
      <c r="P39" s="89">
        <f t="shared" ref="P39" si="3">O39*(1+$I$37)</f>
        <v>35237190665.342628</v>
      </c>
      <c r="Q39" s="89">
        <f t="shared" ref="Q39" si="4">P39*(1+$I$37)</f>
        <v>38408537825.223465</v>
      </c>
      <c r="R39" s="89">
        <f t="shared" ref="R39" si="5">Q39*(1+$I$37)</f>
        <v>41865306229.493584</v>
      </c>
      <c r="S39" s="89">
        <f>R39*(1+S37)</f>
        <v>42702612354.083458</v>
      </c>
    </row>
    <row r="40" spans="1:19" s="23" customFormat="1" x14ac:dyDescent="0.25">
      <c r="A40" s="209" t="s">
        <v>529</v>
      </c>
      <c r="B40" s="208">
        <f>B4</f>
        <v>0.08</v>
      </c>
      <c r="C40" s="214"/>
      <c r="D40" s="214">
        <f>(1+$B$40)^D38</f>
        <v>1.08</v>
      </c>
      <c r="E40" s="214">
        <f t="shared" ref="E40:R40" si="6">(1+$B$40)^E38</f>
        <v>1.1664000000000001</v>
      </c>
      <c r="F40" s="214">
        <f t="shared" si="6"/>
        <v>1.2597120000000002</v>
      </c>
      <c r="G40" s="214">
        <f t="shared" si="6"/>
        <v>1.3604889600000003</v>
      </c>
      <c r="H40" s="214">
        <f t="shared" si="6"/>
        <v>1.4693280768000003</v>
      </c>
      <c r="I40" s="214">
        <f t="shared" si="6"/>
        <v>1.5868743229440005</v>
      </c>
      <c r="J40" s="214">
        <f t="shared" si="6"/>
        <v>1.7138242687795207</v>
      </c>
      <c r="K40" s="214">
        <f t="shared" si="6"/>
        <v>1.8509302102818823</v>
      </c>
      <c r="L40" s="214">
        <f t="shared" si="6"/>
        <v>1.9990046271044331</v>
      </c>
      <c r="M40" s="214">
        <f t="shared" si="6"/>
        <v>2.1589249972727877</v>
      </c>
      <c r="N40" s="214">
        <f t="shared" si="6"/>
        <v>2.3316389970546108</v>
      </c>
      <c r="O40" s="214">
        <f t="shared" si="6"/>
        <v>2.5181701168189798</v>
      </c>
      <c r="P40" s="214">
        <f t="shared" si="6"/>
        <v>2.7196237261644982</v>
      </c>
      <c r="Q40" s="214">
        <f t="shared" si="6"/>
        <v>2.9371936242576586</v>
      </c>
      <c r="R40" s="214">
        <f t="shared" si="6"/>
        <v>3.1721691141982715</v>
      </c>
      <c r="S40" s="182">
        <f>(1+$B$40)^S38</f>
        <v>3.4259426433341331</v>
      </c>
    </row>
    <row r="41" spans="1:19" s="192" customFormat="1" x14ac:dyDescent="0.25">
      <c r="A41" s="312" t="s">
        <v>530</v>
      </c>
      <c r="B41" s="313"/>
      <c r="C41" s="89"/>
      <c r="D41" s="89">
        <f t="shared" ref="D41:R41" si="7">D39/D40</f>
        <v>9362119407.4018517</v>
      </c>
      <c r="E41" s="89">
        <f t="shared" si="7"/>
        <v>9968923443.0667839</v>
      </c>
      <c r="F41" s="89">
        <f t="shared" si="7"/>
        <v>10615057369.93222</v>
      </c>
      <c r="G41" s="89">
        <f t="shared" si="7"/>
        <v>11303070347.613012</v>
      </c>
      <c r="H41" s="89">
        <f t="shared" si="7"/>
        <v>12035676759.032373</v>
      </c>
      <c r="I41" s="89">
        <f t="shared" si="7"/>
        <v>12147118210.504894</v>
      </c>
      <c r="J41" s="89">
        <f t="shared" si="7"/>
        <v>12259591527.268829</v>
      </c>
      <c r="K41" s="89">
        <f t="shared" si="7"/>
        <v>12373106263.632429</v>
      </c>
      <c r="L41" s="89">
        <f t="shared" si="7"/>
        <v>12487672062.369764</v>
      </c>
      <c r="M41" s="89">
        <f t="shared" si="7"/>
        <v>12603298655.539856</v>
      </c>
      <c r="N41" s="89">
        <f t="shared" si="7"/>
        <v>12719995865.313375</v>
      </c>
      <c r="O41" s="89">
        <f t="shared" si="7"/>
        <v>12837773604.807016</v>
      </c>
      <c r="P41" s="89">
        <f t="shared" si="7"/>
        <v>12956641878.925602</v>
      </c>
      <c r="Q41" s="89">
        <f t="shared" si="7"/>
        <v>13076610785.211946</v>
      </c>
      <c r="R41" s="89">
        <f t="shared" si="7"/>
        <v>13197690514.704651</v>
      </c>
      <c r="S41" s="89">
        <f>S39/((B40-S37)*S40)</f>
        <v>207741424768.49918</v>
      </c>
    </row>
    <row r="42" spans="1:19" s="23" customFormat="1" x14ac:dyDescent="0.25">
      <c r="A42" s="314" t="s">
        <v>548</v>
      </c>
      <c r="B42" s="315"/>
      <c r="C42" s="214"/>
      <c r="D42" s="307">
        <f>SUM(D41:H41)</f>
        <v>53284847327.046242</v>
      </c>
      <c r="E42" s="308"/>
      <c r="F42" s="308"/>
      <c r="G42" s="308"/>
      <c r="H42" s="309"/>
      <c r="I42" s="307">
        <f>SUM(I41:R41)</f>
        <v>126659499368.27837</v>
      </c>
      <c r="J42" s="308"/>
      <c r="K42" s="308"/>
      <c r="L42" s="308"/>
      <c r="M42" s="308"/>
      <c r="N42" s="308"/>
      <c r="O42" s="308"/>
      <c r="P42" s="308"/>
      <c r="Q42" s="308"/>
      <c r="R42" s="309"/>
      <c r="S42" s="214">
        <f>S41</f>
        <v>207741424768.49918</v>
      </c>
    </row>
    <row r="43" spans="1:19" x14ac:dyDescent="0.25">
      <c r="A43" s="205" t="s">
        <v>546</v>
      </c>
      <c r="B43" s="196">
        <f>D42+I42+S42</f>
        <v>387685771463.82379</v>
      </c>
      <c r="C43" s="197"/>
      <c r="D43" s="197"/>
      <c r="E43" s="197"/>
      <c r="F43" s="197"/>
      <c r="G43" s="197"/>
      <c r="H43" s="197"/>
      <c r="I43" s="197"/>
      <c r="J43" s="197"/>
      <c r="K43" s="197"/>
      <c r="L43" s="197"/>
      <c r="M43" s="197"/>
      <c r="N43" s="197"/>
      <c r="O43" s="197"/>
      <c r="P43" s="197"/>
      <c r="Q43" s="197"/>
      <c r="R43" s="197"/>
      <c r="S43" s="199"/>
    </row>
    <row r="44" spans="1:19" x14ac:dyDescent="0.25">
      <c r="A44" s="205" t="s">
        <v>532</v>
      </c>
      <c r="B44" s="196">
        <f>B43</f>
        <v>387685771463.82379</v>
      </c>
      <c r="C44" s="197"/>
      <c r="D44" s="197"/>
      <c r="E44" s="197"/>
      <c r="F44" s="197"/>
      <c r="G44" s="197"/>
      <c r="H44" s="197"/>
      <c r="I44" s="197"/>
      <c r="J44" s="197"/>
      <c r="K44" s="197"/>
      <c r="L44" s="197"/>
      <c r="M44" s="197"/>
      <c r="N44" s="197"/>
      <c r="O44" s="197"/>
      <c r="P44" s="197"/>
      <c r="Q44" s="197"/>
      <c r="R44" s="197"/>
      <c r="S44" s="199"/>
    </row>
    <row r="45" spans="1:19" x14ac:dyDescent="0.25">
      <c r="A45" s="195" t="s">
        <v>533</v>
      </c>
      <c r="B45" s="196">
        <f>资产资本表!E17</f>
        <v>41206139837.209999</v>
      </c>
      <c r="C45" s="197"/>
      <c r="D45" s="197"/>
      <c r="E45" s="197"/>
      <c r="F45" s="197"/>
      <c r="G45" s="197"/>
      <c r="H45" s="197"/>
      <c r="I45" s="197"/>
      <c r="J45" s="197"/>
      <c r="K45" s="197"/>
      <c r="L45" s="197"/>
      <c r="M45" s="197"/>
      <c r="N45" s="197"/>
      <c r="O45" s="197"/>
      <c r="P45" s="197"/>
      <c r="Q45" s="197"/>
      <c r="R45" s="197"/>
      <c r="S45" s="199"/>
    </row>
    <row r="46" spans="1:19" x14ac:dyDescent="0.25">
      <c r="A46" s="195" t="s">
        <v>534</v>
      </c>
      <c r="B46" s="196">
        <f>资产资本表!E19</f>
        <v>862854004.09000003</v>
      </c>
      <c r="C46" s="197"/>
      <c r="D46" s="197"/>
      <c r="E46" s="197"/>
      <c r="F46" s="197"/>
      <c r="G46" s="197"/>
      <c r="H46" s="197"/>
      <c r="I46" s="197"/>
      <c r="J46" s="197"/>
      <c r="K46" s="197"/>
      <c r="L46" s="197"/>
      <c r="M46" s="197"/>
      <c r="N46" s="197"/>
      <c r="O46" s="197"/>
      <c r="P46" s="197"/>
      <c r="Q46" s="197"/>
      <c r="R46" s="197"/>
      <c r="S46" s="199"/>
    </row>
    <row r="47" spans="1:19" x14ac:dyDescent="0.25">
      <c r="A47" s="195" t="s">
        <v>535</v>
      </c>
      <c r="B47" s="196">
        <f>资产资本表!E89</f>
        <v>0</v>
      </c>
      <c r="C47" s="197"/>
      <c r="D47" s="197"/>
      <c r="E47" s="197"/>
      <c r="F47" s="197"/>
      <c r="G47" s="197"/>
      <c r="H47" s="197"/>
      <c r="I47" s="197"/>
      <c r="J47" s="197"/>
      <c r="K47" s="197"/>
      <c r="L47" s="197"/>
      <c r="M47" s="197"/>
      <c r="N47" s="197"/>
      <c r="O47" s="197"/>
      <c r="P47" s="197"/>
      <c r="Q47" s="197"/>
      <c r="R47" s="197"/>
      <c r="S47" s="199"/>
    </row>
    <row r="48" spans="1:19" x14ac:dyDescent="0.25">
      <c r="A48" s="200" t="s">
        <v>536</v>
      </c>
      <c r="B48" s="196">
        <f>B44+B45+B46-B47</f>
        <v>429754765305.12384</v>
      </c>
      <c r="C48" s="197"/>
      <c r="D48" s="197"/>
      <c r="E48" s="197"/>
      <c r="F48" s="197"/>
      <c r="G48" s="197"/>
      <c r="H48" s="197"/>
      <c r="I48" s="197"/>
      <c r="J48" s="197"/>
      <c r="K48" s="197"/>
      <c r="L48" s="197"/>
      <c r="M48" s="197"/>
      <c r="N48" s="197"/>
      <c r="O48" s="197"/>
      <c r="P48" s="197"/>
      <c r="Q48" s="197"/>
      <c r="R48" s="197"/>
      <c r="S48" s="199"/>
    </row>
    <row r="49" spans="1:74" x14ac:dyDescent="0.25">
      <c r="A49" s="195" t="s">
        <v>537</v>
      </c>
      <c r="B49" s="198">
        <f>资产资本表!E103/资产资本表!E107</f>
        <v>2.4513232560008737E-2</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538</v>
      </c>
      <c r="B50" s="196">
        <f>B48*(1-B49)</f>
        <v>419220086799.42737</v>
      </c>
      <c r="C50" s="304" t="s">
        <v>544</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540</v>
      </c>
      <c r="B51" s="210">
        <f>B55</f>
        <v>3881608005</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539</v>
      </c>
      <c r="B52" s="206">
        <f>B50/B51</f>
        <v>108.00165453580554</v>
      </c>
      <c r="C52" s="207">
        <f>$B$52*(1-C51)</f>
        <v>64.800992721483325</v>
      </c>
      <c r="D52" s="207">
        <f>$B$52*(1-D51)</f>
        <v>75.601158175063873</v>
      </c>
      <c r="E52" s="207">
        <f>$B$52*(1-E51)</f>
        <v>86.401323628644434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858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551</v>
      </c>
      <c r="B55" s="100">
        <v>3881608005</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741</v>
      </c>
      <c r="B57" s="295"/>
      <c r="C57" s="295"/>
      <c r="D57" s="295"/>
      <c r="E57" s="295"/>
      <c r="F57" s="295"/>
      <c r="G57" s="295"/>
      <c r="H57" s="295"/>
      <c r="I57" s="295"/>
    </row>
    <row r="60" spans="1:74" s="155" customFormat="1" ht="51" customHeight="1" x14ac:dyDescent="0.25">
      <c r="A60" s="292" t="s">
        <v>609</v>
      </c>
      <c r="B60" s="293"/>
      <c r="C60" s="293"/>
      <c r="D60" s="293"/>
      <c r="E60" s="293"/>
      <c r="F60" s="293"/>
      <c r="G60" s="293"/>
      <c r="H60" s="293"/>
      <c r="I60" s="293"/>
    </row>
    <row r="63" spans="1:74" s="4" customFormat="1" x14ac:dyDescent="0.25">
      <c r="A63" s="177" t="s">
        <v>611</v>
      </c>
      <c r="B63" s="176"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8">
        <f>股权价值增加表!M1</f>
        <v>42369</v>
      </c>
      <c r="B64" s="166">
        <v>42366</v>
      </c>
      <c r="C64" s="165">
        <v>17.39</v>
      </c>
      <c r="D64" s="165">
        <v>3.4</v>
      </c>
      <c r="E64" s="167">
        <f>股权价值增加表!M42/100000000</f>
        <v>64.113368373699984</v>
      </c>
      <c r="F64" s="167">
        <v>0</v>
      </c>
      <c r="G64" s="165">
        <v>16.47</v>
      </c>
      <c r="H64" s="167">
        <f>G64*D64</f>
        <v>55.997999999999998</v>
      </c>
      <c r="I64" s="167">
        <f>C64*D64</f>
        <v>59.125999999999998</v>
      </c>
      <c r="J64" s="167">
        <f>H64/E64</f>
        <v>0.87342158773506273</v>
      </c>
      <c r="K64" s="167">
        <f>I64/E64</f>
        <v>0.92221016458486593</v>
      </c>
      <c r="L64" s="262">
        <v>0</v>
      </c>
    </row>
    <row r="65" spans="1:12" s="26" customFormat="1" x14ac:dyDescent="0.25">
      <c r="A65" s="178">
        <f>股权价值增加表!I1</f>
        <v>42735</v>
      </c>
      <c r="B65" s="166">
        <v>42543</v>
      </c>
      <c r="C65" s="165">
        <v>23.13</v>
      </c>
      <c r="D65" s="165">
        <v>3.64</v>
      </c>
      <c r="E65" s="167">
        <f>股权价值增加表!I42/100000000</f>
        <v>70.871093814899993</v>
      </c>
      <c r="F65" s="167">
        <f>(E65-E64)/E64*100</f>
        <v>10.540275160417407</v>
      </c>
      <c r="G65" s="165">
        <v>23.11</v>
      </c>
      <c r="H65" s="167">
        <f t="shared" ref="H65:H66" si="8">G65*D65</f>
        <v>84.120400000000004</v>
      </c>
      <c r="I65" s="167">
        <f t="shared" ref="I65:I66" si="9">C65*D65</f>
        <v>84.193200000000004</v>
      </c>
      <c r="J65" s="167">
        <f t="shared" ref="J65:J66" si="10">H65/E65</f>
        <v>1.1869493678156617</v>
      </c>
      <c r="K65" s="167">
        <f t="shared" ref="K65:K66" si="11">I65/E65</f>
        <v>1.1879765849232478</v>
      </c>
      <c r="L65" s="262">
        <f>K65/F65</f>
        <v>0.1127083085444045</v>
      </c>
    </row>
    <row r="66" spans="1:12" s="26" customFormat="1" x14ac:dyDescent="0.25">
      <c r="A66" s="178">
        <f>股权价值增加表!E1</f>
        <v>43100</v>
      </c>
      <c r="B66" s="166">
        <v>42872</v>
      </c>
      <c r="C66" s="165">
        <v>16.399999999999999</v>
      </c>
      <c r="D66" s="165">
        <v>9.09</v>
      </c>
      <c r="E66" s="167">
        <f>股权价值增加表!E42/100000000</f>
        <v>100.1616119248</v>
      </c>
      <c r="F66" s="167">
        <f t="shared" ref="F66" si="12">(E66-E65)/E65*100</f>
        <v>41.32928748976348</v>
      </c>
      <c r="G66" s="165">
        <v>15.76</v>
      </c>
      <c r="H66" s="167">
        <f t="shared" si="8"/>
        <v>143.25839999999999</v>
      </c>
      <c r="I66" s="167">
        <f t="shared" si="9"/>
        <v>149.07599999999999</v>
      </c>
      <c r="J66" s="167">
        <f t="shared" si="10"/>
        <v>1.4302725090682096</v>
      </c>
      <c r="K66" s="167">
        <f t="shared" si="11"/>
        <v>1.4883546414161573</v>
      </c>
      <c r="L66" s="262">
        <f t="shared" ref="L66" si="13">K66/F66</f>
        <v>3.6012105018379419E-2</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623</v>
      </c>
      <c r="B68" s="44" t="s">
        <v>612</v>
      </c>
      <c r="C68" s="44" t="s">
        <v>613</v>
      </c>
      <c r="D68" s="44" t="s">
        <v>614</v>
      </c>
      <c r="E68" s="44" t="s">
        <v>622</v>
      </c>
      <c r="F68" s="44" t="s">
        <v>615</v>
      </c>
      <c r="G68" s="44" t="s">
        <v>616</v>
      </c>
      <c r="H68" s="44" t="s">
        <v>617</v>
      </c>
      <c r="I68" s="44" t="s">
        <v>618</v>
      </c>
      <c r="J68" s="44" t="s">
        <v>619</v>
      </c>
      <c r="K68" s="44" t="s">
        <v>620</v>
      </c>
      <c r="L68" s="264" t="s">
        <v>621</v>
      </c>
    </row>
    <row r="69" spans="1:12" s="26" customFormat="1" ht="15" thickBot="1" x14ac:dyDescent="0.3">
      <c r="A69" s="168" t="s">
        <v>628</v>
      </c>
      <c r="B69" s="169">
        <v>43305</v>
      </c>
      <c r="C69" s="170">
        <v>11.65</v>
      </c>
      <c r="D69" s="170">
        <v>9.09</v>
      </c>
      <c r="E69" s="170">
        <v>4.33</v>
      </c>
      <c r="F69" s="171">
        <f>(E69-E66)/E66*100</f>
        <v>-95.676986505318112</v>
      </c>
      <c r="G69" s="170">
        <v>10.119999999999999</v>
      </c>
      <c r="H69" s="171">
        <f>G69*D69</f>
        <v>91.990799999999993</v>
      </c>
      <c r="I69" s="171">
        <f>C69*D69</f>
        <v>105.8985</v>
      </c>
      <c r="J69" s="171">
        <f>H69/E69</f>
        <v>21.244988452655885</v>
      </c>
      <c r="K69" s="171">
        <f>I69/E69</f>
        <v>24.456928406466513</v>
      </c>
      <c r="L69" s="265">
        <f>K69/F69</f>
        <v>-0.25561976081998672</v>
      </c>
    </row>
    <row r="70" spans="1:12" s="26" customFormat="1" ht="15" thickBot="1" x14ac:dyDescent="0.3">
      <c r="A70" s="172" t="s">
        <v>627</v>
      </c>
      <c r="B70" s="173">
        <v>43305</v>
      </c>
      <c r="C70" s="174">
        <v>11.65</v>
      </c>
      <c r="D70" s="174">
        <v>9.09</v>
      </c>
      <c r="E70" s="174">
        <v>3.86</v>
      </c>
      <c r="F70" s="175">
        <f>(E70-E66)/E66*100</f>
        <v>-96.146228154856345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-0.28534499050132273</v>
      </c>
    </row>
    <row r="71" spans="1:12" s="88" customFormat="1" ht="138" customHeight="1" x14ac:dyDescent="0.25">
      <c r="A71" s="290" t="s">
        <v>630</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2019-02-09T10:00:20Z</dcterms:modified>
</cp:coreProperties>
</file>