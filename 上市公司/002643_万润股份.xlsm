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A356862-E544-4F04-8833-55D7A822F2E3}"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B2"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16" i="8"/>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AC27" i="12" s="1"/>
  <c r="BA26" i="12"/>
  <c r="BA27" i="12" s="1"/>
  <c r="U13" i="12"/>
  <c r="AC13" i="12"/>
  <c r="BA13" i="12"/>
  <c r="CG13" i="12"/>
  <c r="CK18" i="12"/>
  <c r="AE13" i="12"/>
  <c r="BC13" i="12"/>
  <c r="CA13" i="12"/>
  <c r="X13" i="12"/>
  <c r="BD13" i="12"/>
  <c r="BL13" i="12"/>
  <c r="CJ13" i="12"/>
  <c r="Y26" i="12"/>
  <c r="Y27" i="12" s="1"/>
  <c r="CC26" i="12"/>
  <c r="CC27" i="12" s="1"/>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L28" i="12"/>
  <c r="CH24" i="11"/>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B40" i="13" s="1"/>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K24" i="10" l="1"/>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B5" i="13"/>
  <c r="B9" i="13" s="1"/>
  <c r="B11" i="13" s="1"/>
  <c r="B13" i="13" s="1"/>
  <c r="K84" i="9"/>
  <c r="B20" i="13"/>
  <c r="I20" i="13" s="1"/>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S40" i="13"/>
  <c r="E40" i="13"/>
  <c r="E41" i="13" s="1"/>
  <c r="M40" i="13"/>
  <c r="N40" i="13"/>
  <c r="G40" i="13"/>
  <c r="G41" i="13" s="1"/>
  <c r="O40" i="13"/>
  <c r="P40" i="13"/>
  <c r="Q40" i="13"/>
  <c r="J40" i="13"/>
  <c r="J41" i="13" s="1"/>
  <c r="K40" i="13"/>
  <c r="K41" i="13" s="1"/>
  <c r="D40" i="13"/>
  <c r="D41" i="13" s="1"/>
  <c r="L40" i="13"/>
  <c r="F40" i="13"/>
  <c r="F41" i="13" s="1"/>
  <c r="H40" i="13"/>
  <c r="H41" i="13" s="1"/>
  <c r="I40" i="13"/>
  <c r="I41" i="13" s="1"/>
  <c r="R40" i="13"/>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20" i="13" l="1"/>
  <c r="D21" i="13" s="1"/>
  <c r="E20" i="13"/>
  <c r="E21" i="13" s="1"/>
  <c r="F20" i="13"/>
  <c r="F21" i="13" s="1"/>
  <c r="G20" i="13"/>
  <c r="G21" i="13" s="1"/>
  <c r="H20" i="13"/>
  <c r="H21" i="13" s="1"/>
  <c r="D42" i="13"/>
  <c r="L41"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<sst xmlns="http://schemas.openxmlformats.org/spreadsheetml/2006/main" count="901" uniqueCount="751">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</sst>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27" fillId="3" borderId="0" xfId="2" applyNumberFormat="1" applyFont="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1,625,401,353.28 </c:v>
                </c:pt>
                <c:pt idx="5">
                  <c:v>1,428,558,424.56 </c:v>
                </c:pt>
                <c:pt idx="6">
                  <c:v>1,313,326,374.51 </c:v>
                </c:pt>
                <c:pt idx="7">
                  <c:v>1,243,536,858.22 </c:v>
                </c:pt>
                <c:pt idx="8">
                  <c:v>1,182,271,222.83 </c:v>
                </c:pt>
                <c:pt idx="9">
                  <c:v>1,104,031,410.05 </c:v>
                </c:pt>
                <c:pt idx="10">
                  <c:v>1,038,385,980.17 </c:v>
                </c:pt>
                <c:pt idx="11">
                  <c:v>942,542,143.57 </c:v>
                </c:pt>
                <c:pt idx="12">
                  <c:v>868,526,402.48 </c:v>
                </c:pt>
                <c:pt idx="13">
                  <c:v>815,761,221.23 </c:v>
                </c:pt>
                <c:pt idx="14">
                  <c:v>805,101,670.86 </c:v>
                </c:pt>
                <c:pt idx="15">
                  <c:v>787,817,201.11 </c:v>
                </c:pt>
                <c:pt idx="16">
                  <c:v>777,212,412.94 </c:v>
                </c:pt>
                <c:pt idx="17">
                  <c:v>741,506,549.52 </c:v>
                </c:pt>
                <c:pt idx="18">
                  <c:v>710,048,074.86 </c:v>
                </c:pt>
                <c:pt idx="19">
                  <c:v>687,250,589.19 </c:v>
                </c:pt>
                <c:pt idx="20">
                  <c:v>652,357,645.92 </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7.461117826608292E-2</c:v>
                </c:pt>
                <c:pt idx="1">
                  <c:v>0.10878684456836961</c:v>
                </c:pt>
                <c:pt idx="2">
                  <c:v>0.11470141367618659</c:v>
                </c:pt>
                <c:pt idx="3">
                  <c:v>7.0900437681480966E-2</c:v>
                </c:pt>
                <c:pt idx="4">
                  <c:v>8.1273823702513959E-2</c:v>
                </c:pt>
                <c:pt idx="5">
                  <c:v>7.8394207662017878E-2</c:v>
                </c:pt>
                <c:pt idx="6">
                  <c:v>8.8563350085663045E-2</c:v>
                </c:pt>
                <c:pt idx="7">
                  <c:v>0.22694632582998453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609111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1256705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RowHeight="14.4" x14ac:dyDescent="0.25"/>
  <cols>
    <col min="1" max="1" width="35.88671875" style="191" bestFit="1" customWidth="1"/>
    <col min="2" max="3" width="12.77734375" style="191" hidden="1" customWidth="1"/>
    <col min="4" max="4" width="13.88671875" style="191" hidden="1" customWidth="1"/>
    <col min="5" max="5" width="13.88671875" style="191" bestFit="1" customWidth="1"/>
    <col min="6" max="8" width="12.77734375" style="191" hidden="1" customWidth="1"/>
    <col min="9" max="9" width="12.77734375" style="191" bestFit="1" customWidth="1"/>
    <col min="10" max="12" width="12.77734375" style="191" hidden="1" customWidth="1"/>
    <col min="13" max="13" width="12.77734375" style="191" bestFit="1" customWidth="1"/>
    <col min="14" max="16" width="12.77734375" style="191" hidden="1" customWidth="1"/>
    <col min="17" max="17" width="12.77734375" style="191" bestFit="1" customWidth="1"/>
    <col min="18" max="20" width="12.77734375" style="191" hidden="1" customWidth="1"/>
    <col min="21" max="21" width="12.77734375" style="191" bestFit="1" customWidth="1"/>
    <col min="22" max="24" width="12.77734375" style="191" hidden="1" customWidth="1"/>
    <col min="25" max="25" width="12.77734375" style="191" bestFit="1" customWidth="1"/>
    <col min="26" max="28" width="12.77734375" style="191" hidden="1" customWidth="1"/>
    <col min="29" max="29" width="12.77734375" style="191" bestFit="1" customWidth="1"/>
    <col min="30" max="31" width="12.77734375" style="191" hidden="1" customWidth="1"/>
    <col min="32" max="34" width="12.77734375" style="191" bestFit="1" customWidth="1"/>
    <col min="35" max="35" width="9.5546875" style="191" hidden="1" customWidth="1"/>
    <col min="36" max="16384" width="8.88671875" style="191"/>
  </cols>
  <sheetData>
    <row r="1" spans="1:35"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20101231</v>
      </c>
      <c r="AG1" s="191">
        <v>20091231</v>
      </c>
      <c r="AH1" s="191">
        <v>20081231</v>
      </c>
      <c r="AI1" s="191">
        <v>19700101</v>
      </c>
    </row>
    <row r="2" spans="1:35"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row>
    <row r="3" spans="1:35" x14ac:dyDescent="0.25">
      <c r="A3" s="191" t="s">
        <v>107</v>
      </c>
    </row>
    <row r="4" spans="1:35" x14ac:dyDescent="0.25">
      <c r="A4" s="191" t="s">
        <v>108</v>
      </c>
      <c r="B4" s="191">
        <v>911620713.48000002</v>
      </c>
      <c r="C4" s="191">
        <v>762603460.59000003</v>
      </c>
      <c r="D4" s="191">
        <v>959610927.75</v>
      </c>
      <c r="E4" s="191">
        <v>627279567.75999999</v>
      </c>
      <c r="F4" s="191">
        <v>646898398.60000002</v>
      </c>
      <c r="G4" s="191">
        <v>640706738.29999995</v>
      </c>
      <c r="H4" s="191">
        <v>748407749.91999996</v>
      </c>
      <c r="I4" s="191">
        <v>497200922.38</v>
      </c>
      <c r="J4" s="191">
        <v>1041896896.37</v>
      </c>
      <c r="K4" s="191">
        <v>388776166.88</v>
      </c>
      <c r="L4" s="191">
        <v>675753014.13</v>
      </c>
      <c r="M4" s="191">
        <v>696067859.69000006</v>
      </c>
      <c r="N4" s="191">
        <v>690771780.01999998</v>
      </c>
      <c r="O4" s="191">
        <v>641442723.11000001</v>
      </c>
      <c r="P4" s="191">
        <v>1255365928.1900001</v>
      </c>
      <c r="Q4" s="191">
        <v>234501204.41999999</v>
      </c>
      <c r="R4" s="191">
        <v>276684977.61000001</v>
      </c>
      <c r="S4" s="191">
        <v>248656253.59</v>
      </c>
      <c r="T4" s="191">
        <v>310229232.98000002</v>
      </c>
      <c r="U4" s="191">
        <v>321851231.97000003</v>
      </c>
      <c r="V4" s="191">
        <v>306954505.58999997</v>
      </c>
      <c r="W4" s="191">
        <v>295593122.75999999</v>
      </c>
      <c r="X4" s="191">
        <v>419339678.55000001</v>
      </c>
      <c r="Y4" s="191">
        <v>429298270.75</v>
      </c>
      <c r="Z4" s="191">
        <v>413831417.81</v>
      </c>
      <c r="AA4" s="191">
        <v>460824111.80000001</v>
      </c>
      <c r="AB4" s="191">
        <v>596710534.11000001</v>
      </c>
      <c r="AC4" s="191">
        <v>847566521.58000004</v>
      </c>
      <c r="AD4" s="191">
        <v>29624772.98</v>
      </c>
      <c r="AE4" s="191">
        <v>44141747.770000003</v>
      </c>
      <c r="AF4" s="191">
        <v>49695104.770000003</v>
      </c>
      <c r="AG4" s="191">
        <v>99638795.879999995</v>
      </c>
      <c r="AH4" s="191">
        <v>45384825.549999997</v>
      </c>
      <c r="AI4" s="191">
        <v>0</v>
      </c>
    </row>
    <row r="5" spans="1:35" x14ac:dyDescent="0.25">
      <c r="A5" s="191" t="s">
        <v>109</v>
      </c>
      <c r="B5" s="191">
        <v>0</v>
      </c>
      <c r="C5" s="191">
        <v>0</v>
      </c>
      <c r="D5" s="191">
        <v>0</v>
      </c>
      <c r="E5" s="191">
        <v>0</v>
      </c>
      <c r="F5" s="191">
        <v>0</v>
      </c>
      <c r="G5" s="191">
        <v>0</v>
      </c>
      <c r="H5" s="191">
        <v>0</v>
      </c>
      <c r="I5" s="191">
        <v>0</v>
      </c>
      <c r="J5" s="191">
        <v>0</v>
      </c>
      <c r="K5" s="191">
        <v>0</v>
      </c>
      <c r="L5" s="191">
        <v>0</v>
      </c>
      <c r="M5" s="191">
        <v>0</v>
      </c>
      <c r="N5" s="191">
        <v>0</v>
      </c>
      <c r="O5" s="191">
        <v>0</v>
      </c>
      <c r="P5" s="191">
        <v>0</v>
      </c>
      <c r="Q5" s="191">
        <v>0</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row>
    <row r="6" spans="1:35" x14ac:dyDescent="0.25">
      <c r="A6" s="191" t="s">
        <v>110</v>
      </c>
      <c r="B6" s="191">
        <v>0</v>
      </c>
      <c r="C6" s="191">
        <v>0</v>
      </c>
      <c r="D6" s="191">
        <v>0</v>
      </c>
      <c r="E6" s="191">
        <v>0</v>
      </c>
      <c r="F6" s="191">
        <v>0</v>
      </c>
      <c r="G6" s="191">
        <v>0</v>
      </c>
      <c r="H6" s="191">
        <v>0</v>
      </c>
      <c r="I6" s="191">
        <v>0</v>
      </c>
      <c r="J6" s="191">
        <v>0</v>
      </c>
      <c r="K6" s="191">
        <v>0</v>
      </c>
      <c r="L6" s="191">
        <v>0</v>
      </c>
      <c r="M6" s="191">
        <v>0</v>
      </c>
      <c r="N6" s="191">
        <v>0</v>
      </c>
      <c r="O6" s="191">
        <v>0</v>
      </c>
      <c r="P6" s="191">
        <v>0</v>
      </c>
      <c r="Q6" s="191">
        <v>0</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row>
    <row r="7" spans="1:35" x14ac:dyDescent="0.25">
      <c r="A7" s="191" t="s">
        <v>111</v>
      </c>
      <c r="B7" s="191">
        <v>200000</v>
      </c>
      <c r="C7" s="191">
        <v>245995.03</v>
      </c>
      <c r="D7" s="191">
        <v>215924</v>
      </c>
      <c r="E7" s="191">
        <v>150000</v>
      </c>
      <c r="F7" s="191">
        <v>150000</v>
      </c>
      <c r="G7" s="191">
        <v>200000</v>
      </c>
      <c r="H7" s="191">
        <v>50000</v>
      </c>
      <c r="I7" s="191">
        <v>0</v>
      </c>
      <c r="J7" s="191">
        <v>0</v>
      </c>
      <c r="K7" s="191">
        <v>0</v>
      </c>
      <c r="L7" s="191">
        <v>300000</v>
      </c>
      <c r="M7" s="191">
        <v>0</v>
      </c>
      <c r="N7" s="191">
        <v>0</v>
      </c>
      <c r="O7" s="191">
        <v>250000</v>
      </c>
      <c r="P7" s="191">
        <v>0</v>
      </c>
      <c r="Q7" s="191">
        <v>0</v>
      </c>
      <c r="R7" s="191">
        <v>0</v>
      </c>
      <c r="S7" s="191">
        <v>0</v>
      </c>
      <c r="T7" s="191">
        <v>0</v>
      </c>
      <c r="U7" s="191">
        <v>0</v>
      </c>
      <c r="V7" s="191">
        <v>0</v>
      </c>
      <c r="W7" s="191">
        <v>0</v>
      </c>
      <c r="X7" s="191">
        <v>0</v>
      </c>
      <c r="Y7" s="191">
        <v>0</v>
      </c>
      <c r="Z7" s="191">
        <v>0</v>
      </c>
      <c r="AA7" s="191">
        <v>2021795.9</v>
      </c>
      <c r="AB7" s="191">
        <v>2890344.5</v>
      </c>
      <c r="AC7" s="191">
        <v>0</v>
      </c>
      <c r="AD7" s="191">
        <v>0</v>
      </c>
      <c r="AE7" s="191">
        <v>0</v>
      </c>
      <c r="AF7" s="191">
        <v>700000</v>
      </c>
      <c r="AG7" s="191">
        <v>0</v>
      </c>
      <c r="AH7" s="191">
        <v>0</v>
      </c>
      <c r="AI7" s="191">
        <v>0</v>
      </c>
    </row>
    <row r="8" spans="1:35" x14ac:dyDescent="0.25">
      <c r="A8" s="191" t="s">
        <v>112</v>
      </c>
      <c r="B8" s="191">
        <v>457190186.55000001</v>
      </c>
      <c r="C8" s="191">
        <v>474913355.95999998</v>
      </c>
      <c r="D8" s="191">
        <v>410902234.14999998</v>
      </c>
      <c r="E8" s="191">
        <v>373451431.31</v>
      </c>
      <c r="F8" s="191">
        <v>347931994.82999998</v>
      </c>
      <c r="G8" s="191">
        <v>405676474.32999998</v>
      </c>
      <c r="H8" s="191">
        <v>313810139.07999998</v>
      </c>
      <c r="I8" s="191">
        <v>307783204.54000002</v>
      </c>
      <c r="J8" s="191">
        <v>260242607.81</v>
      </c>
      <c r="K8" s="191">
        <v>296398356.31999999</v>
      </c>
      <c r="L8" s="191">
        <v>269991616.93000001</v>
      </c>
      <c r="M8" s="191">
        <v>222867349.44</v>
      </c>
      <c r="N8" s="191">
        <v>88412590.75</v>
      </c>
      <c r="O8" s="191">
        <v>103816020.16</v>
      </c>
      <c r="P8" s="191">
        <v>64141687.369999997</v>
      </c>
      <c r="Q8" s="191">
        <v>187564063.86000001</v>
      </c>
      <c r="R8" s="191">
        <v>134053584.65000001</v>
      </c>
      <c r="S8" s="191">
        <v>150050878.96000001</v>
      </c>
      <c r="T8" s="191">
        <v>128964561.05</v>
      </c>
      <c r="U8" s="191">
        <v>139562369.38</v>
      </c>
      <c r="V8" s="191">
        <v>139746153.44</v>
      </c>
      <c r="W8" s="191">
        <v>142377419.00999999</v>
      </c>
      <c r="X8" s="191">
        <v>137417365.5</v>
      </c>
      <c r="Y8" s="191">
        <v>129806174.02</v>
      </c>
      <c r="Z8" s="191">
        <v>93912473.459999993</v>
      </c>
      <c r="AA8" s="191">
        <v>130530903.56</v>
      </c>
      <c r="AB8" s="191">
        <v>108929604.27</v>
      </c>
      <c r="AC8" s="191">
        <v>69329634.230000004</v>
      </c>
      <c r="AD8" s="191">
        <v>26735843.48</v>
      </c>
      <c r="AE8" s="191">
        <v>73948032.310000002</v>
      </c>
      <c r="AF8" s="191">
        <v>56862294.119999997</v>
      </c>
      <c r="AG8" s="191">
        <v>63810060.219999999</v>
      </c>
      <c r="AH8" s="191">
        <v>28635847.510000002</v>
      </c>
      <c r="AI8" s="191">
        <v>0</v>
      </c>
    </row>
    <row r="9" spans="1:35" x14ac:dyDescent="0.25">
      <c r="A9" s="191" t="s">
        <v>113</v>
      </c>
      <c r="B9" s="191">
        <v>27989384.73</v>
      </c>
      <c r="C9" s="191">
        <v>28174278.510000002</v>
      </c>
      <c r="D9" s="191">
        <v>35750698.869999997</v>
      </c>
      <c r="E9" s="191">
        <v>16430807.369999999</v>
      </c>
      <c r="F9" s="191">
        <v>26347563.100000001</v>
      </c>
      <c r="G9" s="191">
        <v>17028922.52</v>
      </c>
      <c r="H9" s="191">
        <v>20455038.829999998</v>
      </c>
      <c r="I9" s="191">
        <v>9276964.5700000003</v>
      </c>
      <c r="J9" s="191">
        <v>13217972</v>
      </c>
      <c r="K9" s="191">
        <v>15560880.02</v>
      </c>
      <c r="L9" s="191">
        <v>14278129.439999999</v>
      </c>
      <c r="M9" s="191">
        <v>7496965.7300000004</v>
      </c>
      <c r="N9" s="191">
        <v>16994138.399999999</v>
      </c>
      <c r="O9" s="191">
        <v>11305014.26</v>
      </c>
      <c r="P9" s="191">
        <v>8490318.7899999991</v>
      </c>
      <c r="Q9" s="191">
        <v>8104557.8399999999</v>
      </c>
      <c r="R9" s="191">
        <v>30787904.620000001</v>
      </c>
      <c r="S9" s="191">
        <v>17307519.850000001</v>
      </c>
      <c r="T9" s="191">
        <v>20586311.920000002</v>
      </c>
      <c r="U9" s="191">
        <v>11808182.1</v>
      </c>
      <c r="V9" s="191">
        <v>15424653.300000001</v>
      </c>
      <c r="W9" s="191">
        <v>19715557.359999999</v>
      </c>
      <c r="X9" s="191">
        <v>21883154.760000002</v>
      </c>
      <c r="Y9" s="191">
        <v>19571910.260000002</v>
      </c>
      <c r="Z9" s="191">
        <v>22571122.300000001</v>
      </c>
      <c r="AA9" s="191">
        <v>39704930.030000001</v>
      </c>
      <c r="AB9" s="191">
        <v>21889293.039999999</v>
      </c>
      <c r="AC9" s="191">
        <v>14169699.310000001</v>
      </c>
      <c r="AD9" s="191">
        <v>17268750.989999998</v>
      </c>
      <c r="AE9" s="191">
        <v>16816626.960000001</v>
      </c>
      <c r="AF9" s="191">
        <v>8472559.4700000007</v>
      </c>
      <c r="AG9" s="191">
        <v>6859299.8099999996</v>
      </c>
      <c r="AH9" s="191">
        <v>3387968.79</v>
      </c>
      <c r="AI9" s="191">
        <v>0</v>
      </c>
    </row>
    <row r="10" spans="1:35" x14ac:dyDescent="0.25">
      <c r="A10" s="191" t="s">
        <v>114</v>
      </c>
      <c r="B10" s="191">
        <v>0</v>
      </c>
      <c r="C10" s="191">
        <v>0</v>
      </c>
      <c r="D10" s="191">
        <v>0</v>
      </c>
      <c r="E10" s="191">
        <v>0</v>
      </c>
      <c r="F10" s="191">
        <v>10830.97</v>
      </c>
      <c r="G10" s="191">
        <v>0</v>
      </c>
      <c r="H10" s="191">
        <v>0</v>
      </c>
      <c r="I10" s="191">
        <v>193750</v>
      </c>
      <c r="J10" s="191">
        <v>0</v>
      </c>
      <c r="K10" s="191">
        <v>0</v>
      </c>
      <c r="L10" s="191">
        <v>8306.99</v>
      </c>
      <c r="M10" s="191">
        <v>129925.53</v>
      </c>
      <c r="N10" s="191">
        <v>18955.82</v>
      </c>
      <c r="O10" s="191">
        <v>82599.98</v>
      </c>
      <c r="P10" s="191">
        <v>0</v>
      </c>
      <c r="Q10" s="191">
        <v>131048.02</v>
      </c>
      <c r="R10" s="191">
        <v>0</v>
      </c>
      <c r="S10" s="191">
        <v>522726.33</v>
      </c>
      <c r="T10" s="191">
        <v>0</v>
      </c>
      <c r="U10" s="191">
        <v>609629.63</v>
      </c>
      <c r="V10" s="191">
        <v>0</v>
      </c>
      <c r="W10" s="191">
        <v>716588.88</v>
      </c>
      <c r="X10" s="191">
        <v>0</v>
      </c>
      <c r="Y10" s="191">
        <v>4121250.02</v>
      </c>
      <c r="Z10" s="191">
        <v>0</v>
      </c>
      <c r="AA10" s="191">
        <v>0</v>
      </c>
      <c r="AB10" s="191">
        <v>0</v>
      </c>
      <c r="AC10" s="191">
        <v>0</v>
      </c>
      <c r="AD10" s="191">
        <v>0</v>
      </c>
      <c r="AE10" s="191">
        <v>0</v>
      </c>
      <c r="AF10" s="191">
        <v>0</v>
      </c>
      <c r="AG10" s="191">
        <v>0</v>
      </c>
      <c r="AH10" s="191">
        <v>0</v>
      </c>
      <c r="AI10" s="191">
        <v>0</v>
      </c>
    </row>
    <row r="11" spans="1:35" x14ac:dyDescent="0.25">
      <c r="A11" s="191" t="s">
        <v>115</v>
      </c>
      <c r="B11" s="191">
        <v>0</v>
      </c>
      <c r="C11" s="191">
        <v>0</v>
      </c>
      <c r="D11" s="191">
        <v>0</v>
      </c>
      <c r="E11" s="191">
        <v>0</v>
      </c>
      <c r="F11" s="191">
        <v>0</v>
      </c>
      <c r="G11" s="191">
        <v>0</v>
      </c>
      <c r="H11" s="191">
        <v>0</v>
      </c>
      <c r="I11" s="191">
        <v>0</v>
      </c>
      <c r="J11" s="191">
        <v>0</v>
      </c>
      <c r="K11" s="191">
        <v>0</v>
      </c>
      <c r="L11" s="191">
        <v>0</v>
      </c>
      <c r="M11" s="191">
        <v>0</v>
      </c>
      <c r="N11" s="191">
        <v>0</v>
      </c>
      <c r="O11" s="191">
        <v>0</v>
      </c>
      <c r="P11" s="191">
        <v>0</v>
      </c>
      <c r="Q11" s="191">
        <v>0</v>
      </c>
      <c r="R11" s="191">
        <v>0</v>
      </c>
      <c r="S11" s="191">
        <v>0</v>
      </c>
      <c r="T11" s="191">
        <v>0</v>
      </c>
      <c r="U11" s="191">
        <v>0</v>
      </c>
      <c r="V11" s="191">
        <v>0</v>
      </c>
      <c r="W11" s="191">
        <v>0</v>
      </c>
      <c r="X11" s="191">
        <v>0</v>
      </c>
      <c r="Y11" s="191">
        <v>0</v>
      </c>
      <c r="Z11" s="191">
        <v>0</v>
      </c>
      <c r="AA11" s="191">
        <v>0</v>
      </c>
      <c r="AB11" s="191">
        <v>0</v>
      </c>
      <c r="AC11" s="191">
        <v>0</v>
      </c>
      <c r="AD11" s="191">
        <v>0</v>
      </c>
      <c r="AE11" s="191">
        <v>0</v>
      </c>
      <c r="AF11" s="191">
        <v>0</v>
      </c>
      <c r="AG11" s="191">
        <v>0</v>
      </c>
      <c r="AH11" s="191">
        <v>0</v>
      </c>
      <c r="AI11" s="191">
        <v>0</v>
      </c>
    </row>
    <row r="12" spans="1:35" x14ac:dyDescent="0.25">
      <c r="A12" s="191" t="s">
        <v>116</v>
      </c>
      <c r="B12" s="191">
        <v>19937282.710000001</v>
      </c>
      <c r="C12" s="191">
        <v>37125081.630000003</v>
      </c>
      <c r="D12" s="191">
        <v>35043837.350000001</v>
      </c>
      <c r="E12" s="191">
        <v>20183993.539999999</v>
      </c>
      <c r="F12" s="191">
        <v>19551545.969999999</v>
      </c>
      <c r="G12" s="191">
        <v>19769029.32</v>
      </c>
      <c r="H12" s="191">
        <v>20214448.02</v>
      </c>
      <c r="I12" s="191">
        <v>22495177.010000002</v>
      </c>
      <c r="J12" s="191">
        <v>12955267.68</v>
      </c>
      <c r="K12" s="191">
        <v>10682420.949999999</v>
      </c>
      <c r="L12" s="191">
        <v>37340759.840000004</v>
      </c>
      <c r="M12" s="191">
        <v>5812950.0099999998</v>
      </c>
      <c r="N12" s="191">
        <v>8009865.1900000004</v>
      </c>
      <c r="O12" s="191">
        <v>6727090.9699999997</v>
      </c>
      <c r="P12" s="191">
        <v>7434514.1600000001</v>
      </c>
      <c r="Q12" s="191">
        <v>5572281.7999999998</v>
      </c>
      <c r="R12" s="191">
        <v>13651129.630000001</v>
      </c>
      <c r="S12" s="191">
        <v>6774735.7800000003</v>
      </c>
      <c r="T12" s="191">
        <v>6429637.2400000002</v>
      </c>
      <c r="U12" s="191">
        <v>6586460.2800000003</v>
      </c>
      <c r="V12" s="191">
        <v>6255076.7300000004</v>
      </c>
      <c r="W12" s="191">
        <v>6106708.0099999998</v>
      </c>
      <c r="X12" s="191">
        <v>6493551.2699999996</v>
      </c>
      <c r="Y12" s="191">
        <v>3459452.6</v>
      </c>
      <c r="Z12" s="191">
        <v>7525596.2000000002</v>
      </c>
      <c r="AA12" s="191">
        <v>4907998.07</v>
      </c>
      <c r="AB12" s="191">
        <v>6183559.4299999997</v>
      </c>
      <c r="AC12" s="191">
        <v>6151751.8700000001</v>
      </c>
      <c r="AD12" s="191">
        <v>6434584.7300000004</v>
      </c>
      <c r="AE12" s="191">
        <v>7853661.7699999996</v>
      </c>
      <c r="AF12" s="191">
        <v>3474200.07</v>
      </c>
      <c r="AG12" s="191">
        <v>1846889.36</v>
      </c>
      <c r="AH12" s="191">
        <v>1502403.77</v>
      </c>
      <c r="AI12" s="191">
        <v>0</v>
      </c>
    </row>
    <row r="13" spans="1:35" x14ac:dyDescent="0.25">
      <c r="A13" s="191" t="s">
        <v>117</v>
      </c>
      <c r="B13" s="191">
        <v>0</v>
      </c>
      <c r="C13" s="191">
        <v>0</v>
      </c>
      <c r="D13" s="191">
        <v>0</v>
      </c>
      <c r="E13" s="191">
        <v>0</v>
      </c>
      <c r="F13" s="191">
        <v>0</v>
      </c>
      <c r="G13" s="191">
        <v>0</v>
      </c>
      <c r="H13" s="191">
        <v>0</v>
      </c>
      <c r="I13" s="191">
        <v>0</v>
      </c>
      <c r="J13" s="191">
        <v>0</v>
      </c>
      <c r="K13" s="191">
        <v>0</v>
      </c>
      <c r="L13" s="191">
        <v>0</v>
      </c>
      <c r="M13" s="191">
        <v>0</v>
      </c>
      <c r="N13" s="191">
        <v>0</v>
      </c>
      <c r="O13" s="191">
        <v>0</v>
      </c>
      <c r="P13" s="191">
        <v>0</v>
      </c>
      <c r="Q13" s="191">
        <v>0</v>
      </c>
      <c r="R13" s="191">
        <v>0</v>
      </c>
      <c r="S13" s="191">
        <v>0</v>
      </c>
      <c r="T13" s="191">
        <v>0</v>
      </c>
      <c r="U13" s="191">
        <v>0</v>
      </c>
      <c r="V13" s="191">
        <v>0</v>
      </c>
      <c r="W13" s="191">
        <v>0</v>
      </c>
      <c r="X13" s="191">
        <v>0</v>
      </c>
      <c r="Y13" s="191">
        <v>0</v>
      </c>
      <c r="Z13" s="191">
        <v>0</v>
      </c>
      <c r="AA13" s="191">
        <v>0</v>
      </c>
      <c r="AB13" s="191">
        <v>0</v>
      </c>
      <c r="AC13" s="191">
        <v>0</v>
      </c>
      <c r="AD13" s="191">
        <v>0</v>
      </c>
      <c r="AE13" s="191">
        <v>0</v>
      </c>
      <c r="AF13" s="191">
        <v>0</v>
      </c>
      <c r="AG13" s="191">
        <v>0</v>
      </c>
      <c r="AH13" s="191">
        <v>0</v>
      </c>
      <c r="AI13" s="191">
        <v>0</v>
      </c>
    </row>
    <row r="14" spans="1:35" x14ac:dyDescent="0.25">
      <c r="A14" s="191" t="s">
        <v>118</v>
      </c>
      <c r="B14" s="191">
        <v>800982418.14999998</v>
      </c>
      <c r="C14" s="191">
        <v>692097814.60000002</v>
      </c>
      <c r="D14" s="191">
        <v>664238165.96000004</v>
      </c>
      <c r="E14" s="191">
        <v>693441799.19000006</v>
      </c>
      <c r="F14" s="191">
        <v>664605855.32000005</v>
      </c>
      <c r="G14" s="191">
        <v>638743101.07000005</v>
      </c>
      <c r="H14" s="191">
        <v>644547802.22000003</v>
      </c>
      <c r="I14" s="191">
        <v>697079591.05999994</v>
      </c>
      <c r="J14" s="191">
        <v>681821488.59000003</v>
      </c>
      <c r="K14" s="191">
        <v>592297432.84000003</v>
      </c>
      <c r="L14" s="191">
        <v>521266645.61000001</v>
      </c>
      <c r="M14" s="191">
        <v>390328020.83999997</v>
      </c>
      <c r="N14" s="191">
        <v>441613151.01999998</v>
      </c>
      <c r="O14" s="191">
        <v>387700988.93000001</v>
      </c>
      <c r="P14" s="191">
        <v>342844806.60000002</v>
      </c>
      <c r="Q14" s="191">
        <v>289896370.81999999</v>
      </c>
      <c r="R14" s="191">
        <v>312193074.07999998</v>
      </c>
      <c r="S14" s="191">
        <v>288874923.70999998</v>
      </c>
      <c r="T14" s="191">
        <v>306601886.50999999</v>
      </c>
      <c r="U14" s="191">
        <v>285245447.89999998</v>
      </c>
      <c r="V14" s="191">
        <v>272899559.27999997</v>
      </c>
      <c r="W14" s="191">
        <v>272276630.54000002</v>
      </c>
      <c r="X14" s="191">
        <v>273104736.24000001</v>
      </c>
      <c r="Y14" s="191">
        <v>256470646.41</v>
      </c>
      <c r="Z14" s="191">
        <v>234456271.97</v>
      </c>
      <c r="AA14" s="191">
        <v>215824597.50999999</v>
      </c>
      <c r="AB14" s="191">
        <v>224156467.27000001</v>
      </c>
      <c r="AC14" s="191">
        <v>224490389.49000001</v>
      </c>
      <c r="AD14" s="191">
        <v>227799281.63</v>
      </c>
      <c r="AE14" s="191">
        <v>213187752.13</v>
      </c>
      <c r="AF14" s="191">
        <v>227794263.31</v>
      </c>
      <c r="AG14" s="191">
        <v>196151344.22</v>
      </c>
      <c r="AH14" s="191">
        <v>223636319.30000001</v>
      </c>
      <c r="AI14" s="191">
        <v>0</v>
      </c>
    </row>
    <row r="15" spans="1:35" x14ac:dyDescent="0.25">
      <c r="A15" s="191" t="s">
        <v>119</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row>
    <row r="16" spans="1:35" x14ac:dyDescent="0.25">
      <c r="A16" s="191" t="s">
        <v>120</v>
      </c>
      <c r="B16" s="191">
        <v>0</v>
      </c>
      <c r="C16" s="191">
        <v>0</v>
      </c>
      <c r="D16" s="191">
        <v>0</v>
      </c>
      <c r="E16" s="191">
        <v>0</v>
      </c>
      <c r="F16" s="191">
        <v>0</v>
      </c>
      <c r="G16" s="191">
        <v>0</v>
      </c>
      <c r="H16" s="191">
        <v>0</v>
      </c>
      <c r="I16" s="191">
        <v>0</v>
      </c>
      <c r="J16" s="191">
        <v>0</v>
      </c>
      <c r="K16" s="191">
        <v>0</v>
      </c>
      <c r="L16" s="191">
        <v>0</v>
      </c>
      <c r="M16" s="191">
        <v>0</v>
      </c>
      <c r="N16" s="191">
        <v>0</v>
      </c>
      <c r="O16" s="191">
        <v>0</v>
      </c>
      <c r="P16" s="191">
        <v>0</v>
      </c>
      <c r="Q16" s="191">
        <v>0</v>
      </c>
      <c r="R16" s="191">
        <v>0</v>
      </c>
      <c r="S16" s="191">
        <v>0</v>
      </c>
      <c r="T16" s="191">
        <v>0</v>
      </c>
      <c r="U16" s="191">
        <v>0</v>
      </c>
      <c r="V16" s="191">
        <v>0</v>
      </c>
      <c r="W16" s="191">
        <v>0</v>
      </c>
      <c r="X16" s="191">
        <v>0</v>
      </c>
      <c r="Y16" s="191">
        <v>0</v>
      </c>
      <c r="Z16" s="191">
        <v>0</v>
      </c>
      <c r="AA16" s="191">
        <v>0</v>
      </c>
      <c r="AB16" s="191">
        <v>0</v>
      </c>
      <c r="AC16" s="191">
        <v>0</v>
      </c>
      <c r="AD16" s="191">
        <v>0</v>
      </c>
      <c r="AE16" s="191">
        <v>0</v>
      </c>
      <c r="AF16" s="191">
        <v>0</v>
      </c>
      <c r="AG16" s="191">
        <v>0</v>
      </c>
      <c r="AH16" s="191">
        <v>0</v>
      </c>
      <c r="AI16" s="191">
        <v>0</v>
      </c>
    </row>
    <row r="17" spans="1:35" x14ac:dyDescent="0.25">
      <c r="A17" s="191" t="s">
        <v>121</v>
      </c>
      <c r="B17" s="191">
        <v>0</v>
      </c>
      <c r="C17" s="191">
        <v>0</v>
      </c>
      <c r="D17" s="191">
        <v>0</v>
      </c>
      <c r="E17" s="191">
        <v>0</v>
      </c>
      <c r="F17" s="191">
        <v>0</v>
      </c>
      <c r="G17" s="191">
        <v>0</v>
      </c>
      <c r="H17" s="191">
        <v>0</v>
      </c>
      <c r="I17" s="191">
        <v>0</v>
      </c>
      <c r="J17" s="191">
        <v>0</v>
      </c>
      <c r="K17" s="191">
        <v>0</v>
      </c>
      <c r="L17" s="191">
        <v>0</v>
      </c>
      <c r="M17" s="191">
        <v>0</v>
      </c>
      <c r="N17" s="191">
        <v>0</v>
      </c>
      <c r="O17" s="191">
        <v>0</v>
      </c>
      <c r="P17" s="191">
        <v>0</v>
      </c>
      <c r="Q17" s="191">
        <v>0</v>
      </c>
      <c r="R17" s="191">
        <v>0</v>
      </c>
      <c r="S17" s="191">
        <v>0</v>
      </c>
      <c r="T17" s="191">
        <v>0</v>
      </c>
      <c r="U17" s="191">
        <v>0</v>
      </c>
      <c r="V17" s="191">
        <v>0</v>
      </c>
      <c r="W17" s="191">
        <v>0</v>
      </c>
      <c r="X17" s="191">
        <v>0</v>
      </c>
      <c r="Y17" s="191">
        <v>0</v>
      </c>
      <c r="Z17" s="191">
        <v>0</v>
      </c>
      <c r="AA17" s="191">
        <v>0</v>
      </c>
      <c r="AB17" s="191">
        <v>0</v>
      </c>
      <c r="AC17" s="191">
        <v>0</v>
      </c>
      <c r="AD17" s="191">
        <v>0</v>
      </c>
      <c r="AE17" s="191">
        <v>0</v>
      </c>
      <c r="AF17" s="191">
        <v>0</v>
      </c>
      <c r="AG17" s="191">
        <v>0</v>
      </c>
      <c r="AH17" s="191">
        <v>0</v>
      </c>
      <c r="AI17" s="191">
        <v>0</v>
      </c>
    </row>
    <row r="18" spans="1:35" x14ac:dyDescent="0.25">
      <c r="A18" s="191" t="s">
        <v>122</v>
      </c>
      <c r="B18" s="191">
        <v>0</v>
      </c>
      <c r="C18" s="191">
        <v>0</v>
      </c>
      <c r="D18" s="191">
        <v>0</v>
      </c>
      <c r="E18" s="191">
        <v>0</v>
      </c>
      <c r="F18" s="191">
        <v>0</v>
      </c>
      <c r="G18" s="191">
        <v>0</v>
      </c>
      <c r="H18" s="191">
        <v>0</v>
      </c>
      <c r="I18" s="191">
        <v>0</v>
      </c>
      <c r="J18" s="191">
        <v>0</v>
      </c>
      <c r="K18" s="191">
        <v>0</v>
      </c>
      <c r="L18" s="191">
        <v>0</v>
      </c>
      <c r="M18" s="191">
        <v>0</v>
      </c>
      <c r="N18" s="191">
        <v>0</v>
      </c>
      <c r="O18" s="191">
        <v>0</v>
      </c>
      <c r="P18" s="191">
        <v>0</v>
      </c>
      <c r="Q18" s="191">
        <v>0</v>
      </c>
      <c r="R18" s="191">
        <v>0</v>
      </c>
      <c r="S18" s="191">
        <v>0</v>
      </c>
      <c r="T18" s="191">
        <v>0</v>
      </c>
      <c r="U18" s="191">
        <v>0</v>
      </c>
      <c r="V18" s="191">
        <v>0</v>
      </c>
      <c r="W18" s="191">
        <v>0</v>
      </c>
      <c r="X18" s="191">
        <v>0</v>
      </c>
      <c r="Y18" s="191">
        <v>0</v>
      </c>
      <c r="Z18" s="191">
        <v>0</v>
      </c>
      <c r="AA18" s="191">
        <v>0</v>
      </c>
      <c r="AB18" s="191">
        <v>0</v>
      </c>
      <c r="AC18" s="191">
        <v>0</v>
      </c>
      <c r="AD18" s="191">
        <v>0</v>
      </c>
      <c r="AE18" s="191">
        <v>0</v>
      </c>
      <c r="AF18" s="191">
        <v>0</v>
      </c>
      <c r="AG18" s="191">
        <v>0</v>
      </c>
      <c r="AH18" s="191">
        <v>0</v>
      </c>
      <c r="AI18" s="191">
        <v>0</v>
      </c>
    </row>
    <row r="19" spans="1:35" x14ac:dyDescent="0.25">
      <c r="A19" s="191" t="s">
        <v>123</v>
      </c>
      <c r="B19" s="191">
        <v>184126598.31</v>
      </c>
      <c r="C19" s="191">
        <v>276214511.33999997</v>
      </c>
      <c r="D19" s="191">
        <v>6675989.5800000001</v>
      </c>
      <c r="E19" s="191">
        <v>362063244.63999999</v>
      </c>
      <c r="F19" s="191">
        <v>358072392.25</v>
      </c>
      <c r="G19" s="191">
        <v>287386955.77999997</v>
      </c>
      <c r="H19" s="191">
        <v>287183944.5</v>
      </c>
      <c r="I19" s="191">
        <v>402490320.44999999</v>
      </c>
      <c r="J19" s="191">
        <v>434195085.63999999</v>
      </c>
      <c r="K19" s="191">
        <v>506344099.74000001</v>
      </c>
      <c r="L19" s="191">
        <v>371923683.51999998</v>
      </c>
      <c r="M19" s="191">
        <v>510909151.82999998</v>
      </c>
      <c r="N19" s="191">
        <v>513344472.51999998</v>
      </c>
      <c r="O19" s="191">
        <v>513708534.76999998</v>
      </c>
      <c r="P19" s="191">
        <v>3529610.76</v>
      </c>
      <c r="Q19" s="191">
        <v>2498093.12</v>
      </c>
      <c r="R19" s="191">
        <v>0</v>
      </c>
      <c r="S19" s="191">
        <v>0</v>
      </c>
      <c r="T19" s="191">
        <v>0</v>
      </c>
      <c r="U19" s="191">
        <v>0</v>
      </c>
      <c r="V19" s="191">
        <v>0</v>
      </c>
      <c r="W19" s="191">
        <v>0</v>
      </c>
      <c r="X19" s="191">
        <v>0</v>
      </c>
      <c r="Y19" s="191">
        <v>0</v>
      </c>
      <c r="Z19" s="191">
        <v>0</v>
      </c>
      <c r="AA19" s="191">
        <v>0</v>
      </c>
      <c r="AB19" s="191">
        <v>0</v>
      </c>
      <c r="AC19" s="191">
        <v>0</v>
      </c>
      <c r="AD19" s="191">
        <v>0</v>
      </c>
      <c r="AE19" s="191">
        <v>0</v>
      </c>
      <c r="AF19" s="191">
        <v>0</v>
      </c>
      <c r="AG19" s="191">
        <v>0</v>
      </c>
      <c r="AH19" s="191">
        <v>0</v>
      </c>
      <c r="AI19" s="191">
        <v>0</v>
      </c>
    </row>
    <row r="20" spans="1:35" x14ac:dyDescent="0.25">
      <c r="A20" s="191" t="s">
        <v>124</v>
      </c>
      <c r="B20" s="191">
        <v>2402046583.9299998</v>
      </c>
      <c r="C20" s="191">
        <v>2271374497.6599998</v>
      </c>
      <c r="D20" s="191">
        <v>2112437777.6600001</v>
      </c>
      <c r="E20" s="191">
        <v>2093000843.8099999</v>
      </c>
      <c r="F20" s="191">
        <v>2063568581.04</v>
      </c>
      <c r="G20" s="191">
        <v>2009511221.3199999</v>
      </c>
      <c r="H20" s="191">
        <v>2034669122.5699999</v>
      </c>
      <c r="I20" s="191">
        <v>1936519930.01</v>
      </c>
      <c r="J20" s="191">
        <v>2444329318.0900002</v>
      </c>
      <c r="K20" s="191">
        <v>1810059356.75</v>
      </c>
      <c r="L20" s="191">
        <v>1890862156.46</v>
      </c>
      <c r="M20" s="191">
        <v>1833612223.0699999</v>
      </c>
      <c r="N20" s="191">
        <v>1759164953.72</v>
      </c>
      <c r="O20" s="191">
        <v>1665032972.1800001</v>
      </c>
      <c r="P20" s="191">
        <v>1681806865.8699999</v>
      </c>
      <c r="Q20" s="191">
        <v>728267619.88</v>
      </c>
      <c r="R20" s="191">
        <v>767370670.59000003</v>
      </c>
      <c r="S20" s="191">
        <v>712187038.22000003</v>
      </c>
      <c r="T20" s="191">
        <v>772811629.70000005</v>
      </c>
      <c r="U20" s="191">
        <v>765663321.25999999</v>
      </c>
      <c r="V20" s="191">
        <v>741279948.34000003</v>
      </c>
      <c r="W20" s="191">
        <v>736786026.55999994</v>
      </c>
      <c r="X20" s="191">
        <v>858238486.32000005</v>
      </c>
      <c r="Y20" s="191">
        <v>842727704.05999994</v>
      </c>
      <c r="Z20" s="191">
        <v>772296881.74000001</v>
      </c>
      <c r="AA20" s="191">
        <v>853814336.87</v>
      </c>
      <c r="AB20" s="191">
        <v>960759802.62</v>
      </c>
      <c r="AC20" s="191">
        <v>1161707996.48</v>
      </c>
      <c r="AD20" s="191">
        <v>307863233.81</v>
      </c>
      <c r="AE20" s="191">
        <v>355947820.94</v>
      </c>
      <c r="AF20" s="191">
        <v>346998421.74000001</v>
      </c>
      <c r="AG20" s="191">
        <v>368306389.49000001</v>
      </c>
      <c r="AH20" s="191">
        <v>302547364.92000002</v>
      </c>
      <c r="AI20" s="191">
        <v>0</v>
      </c>
    </row>
    <row r="21" spans="1:35" x14ac:dyDescent="0.25">
      <c r="A21" s="191" t="s">
        <v>125</v>
      </c>
    </row>
    <row r="22" spans="1:35" x14ac:dyDescent="0.25">
      <c r="A22" s="191" t="s">
        <v>126</v>
      </c>
      <c r="B22" s="191">
        <v>0</v>
      </c>
      <c r="C22" s="191">
        <v>0</v>
      </c>
      <c r="D22" s="191">
        <v>0</v>
      </c>
      <c r="E22" s="191">
        <v>0</v>
      </c>
      <c r="F22" s="191">
        <v>0</v>
      </c>
      <c r="G22" s="191">
        <v>0</v>
      </c>
      <c r="H22" s="191">
        <v>0</v>
      </c>
      <c r="I22" s="191">
        <v>0</v>
      </c>
      <c r="J22" s="191">
        <v>0</v>
      </c>
      <c r="K22" s="191">
        <v>0</v>
      </c>
      <c r="L22" s="191">
        <v>0</v>
      </c>
      <c r="M22" s="191">
        <v>0</v>
      </c>
      <c r="N22" s="191">
        <v>0</v>
      </c>
      <c r="O22" s="191">
        <v>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row>
    <row r="23" spans="1:35" x14ac:dyDescent="0.25">
      <c r="A23" s="191" t="s">
        <v>127</v>
      </c>
      <c r="B23" s="191">
        <v>0</v>
      </c>
      <c r="C23" s="191">
        <v>0</v>
      </c>
      <c r="D23" s="191">
        <v>0</v>
      </c>
      <c r="E23" s="191">
        <v>0</v>
      </c>
      <c r="F23" s="191">
        <v>0</v>
      </c>
      <c r="G23" s="191">
        <v>0</v>
      </c>
      <c r="H23" s="191">
        <v>0</v>
      </c>
      <c r="I23" s="191">
        <v>0</v>
      </c>
      <c r="J23" s="191">
        <v>0</v>
      </c>
      <c r="K23" s="191">
        <v>0</v>
      </c>
      <c r="L23" s="191">
        <v>0</v>
      </c>
      <c r="M23" s="191">
        <v>0</v>
      </c>
      <c r="N23" s="191">
        <v>0</v>
      </c>
      <c r="O23" s="191">
        <v>0</v>
      </c>
      <c r="P23" s="191">
        <v>0</v>
      </c>
      <c r="Q23" s="191">
        <v>0</v>
      </c>
      <c r="R23" s="191">
        <v>0</v>
      </c>
      <c r="S23" s="191">
        <v>0</v>
      </c>
      <c r="T23" s="191">
        <v>0</v>
      </c>
      <c r="U23" s="191">
        <v>0</v>
      </c>
      <c r="V23" s="191">
        <v>0</v>
      </c>
      <c r="W23" s="191">
        <v>0</v>
      </c>
      <c r="X23" s="191">
        <v>0</v>
      </c>
      <c r="Y23" s="191">
        <v>0</v>
      </c>
      <c r="Z23" s="191">
        <v>0</v>
      </c>
      <c r="AA23" s="191">
        <v>0</v>
      </c>
      <c r="AB23" s="191">
        <v>0</v>
      </c>
      <c r="AC23" s="191">
        <v>0</v>
      </c>
      <c r="AD23" s="191">
        <v>0</v>
      </c>
      <c r="AE23" s="191">
        <v>0</v>
      </c>
      <c r="AF23" s="191">
        <v>0</v>
      </c>
      <c r="AG23" s="191">
        <v>0</v>
      </c>
      <c r="AH23" s="191">
        <v>0</v>
      </c>
      <c r="AI23" s="191">
        <v>0</v>
      </c>
    </row>
    <row r="24" spans="1:35" x14ac:dyDescent="0.25">
      <c r="A24" s="191" t="s">
        <v>128</v>
      </c>
      <c r="B24" s="191">
        <v>0</v>
      </c>
      <c r="C24" s="191">
        <v>0</v>
      </c>
      <c r="D24" s="191">
        <v>0</v>
      </c>
      <c r="E24" s="191">
        <v>0</v>
      </c>
      <c r="F24" s="191">
        <v>0</v>
      </c>
      <c r="G24" s="191">
        <v>0</v>
      </c>
      <c r="H24" s="191">
        <v>0</v>
      </c>
      <c r="I24" s="191">
        <v>0</v>
      </c>
      <c r="J24" s="191">
        <v>0</v>
      </c>
      <c r="K24" s="191">
        <v>0</v>
      </c>
      <c r="L24" s="191">
        <v>0</v>
      </c>
      <c r="M24" s="191">
        <v>0</v>
      </c>
      <c r="N24" s="191">
        <v>0</v>
      </c>
      <c r="O24" s="191">
        <v>0</v>
      </c>
      <c r="P24" s="191">
        <v>0</v>
      </c>
      <c r="Q24" s="191">
        <v>0</v>
      </c>
      <c r="R24" s="191">
        <v>0</v>
      </c>
      <c r="S24" s="191">
        <v>0</v>
      </c>
      <c r="T24" s="191">
        <v>0</v>
      </c>
      <c r="U24" s="191">
        <v>0</v>
      </c>
      <c r="V24" s="191">
        <v>0</v>
      </c>
      <c r="W24" s="191">
        <v>0</v>
      </c>
      <c r="X24" s="191">
        <v>0</v>
      </c>
      <c r="Y24" s="191">
        <v>0</v>
      </c>
      <c r="Z24" s="191">
        <v>0</v>
      </c>
      <c r="AA24" s="191">
        <v>0</v>
      </c>
      <c r="AB24" s="191">
        <v>0</v>
      </c>
      <c r="AC24" s="191">
        <v>0</v>
      </c>
      <c r="AD24" s="191">
        <v>0</v>
      </c>
      <c r="AE24" s="191">
        <v>0</v>
      </c>
      <c r="AF24" s="191">
        <v>0</v>
      </c>
      <c r="AG24" s="191">
        <v>0</v>
      </c>
      <c r="AH24" s="191">
        <v>0</v>
      </c>
      <c r="AI24" s="191">
        <v>0</v>
      </c>
    </row>
    <row r="25" spans="1:35" x14ac:dyDescent="0.25">
      <c r="A25" s="191" t="s">
        <v>129</v>
      </c>
      <c r="B25" s="191">
        <v>0</v>
      </c>
      <c r="C25" s="191">
        <v>0</v>
      </c>
      <c r="D25" s="191">
        <v>0</v>
      </c>
      <c r="E25" s="191">
        <v>0</v>
      </c>
      <c r="F25" s="191">
        <v>0</v>
      </c>
      <c r="G25" s="191">
        <v>0</v>
      </c>
      <c r="H25" s="191">
        <v>0</v>
      </c>
      <c r="I25" s="191">
        <v>0</v>
      </c>
      <c r="J25" s="191">
        <v>0</v>
      </c>
      <c r="K25" s="191">
        <v>0</v>
      </c>
      <c r="L25" s="191">
        <v>0</v>
      </c>
      <c r="M25" s="191">
        <v>0</v>
      </c>
      <c r="N25" s="191">
        <v>0</v>
      </c>
      <c r="O25" s="191">
        <v>0</v>
      </c>
      <c r="P25" s="191">
        <v>0</v>
      </c>
      <c r="Q25" s="191">
        <v>0</v>
      </c>
      <c r="R25" s="191">
        <v>0</v>
      </c>
      <c r="S25" s="191">
        <v>0</v>
      </c>
      <c r="T25" s="191">
        <v>0</v>
      </c>
      <c r="U25" s="191">
        <v>0</v>
      </c>
      <c r="V25" s="191">
        <v>0</v>
      </c>
      <c r="W25" s="191">
        <v>0</v>
      </c>
      <c r="X25" s="191">
        <v>0</v>
      </c>
      <c r="Y25" s="191">
        <v>0</v>
      </c>
      <c r="Z25" s="191">
        <v>0</v>
      </c>
      <c r="AA25" s="191">
        <v>0</v>
      </c>
      <c r="AB25" s="191">
        <v>0</v>
      </c>
      <c r="AC25" s="191">
        <v>0</v>
      </c>
      <c r="AD25" s="191">
        <v>0</v>
      </c>
      <c r="AE25" s="191">
        <v>0</v>
      </c>
      <c r="AF25" s="191">
        <v>0</v>
      </c>
      <c r="AG25" s="191">
        <v>0</v>
      </c>
      <c r="AH25" s="191">
        <v>0</v>
      </c>
      <c r="AI25" s="191">
        <v>0</v>
      </c>
    </row>
    <row r="26" spans="1:35" x14ac:dyDescent="0.25">
      <c r="A26" s="191" t="s">
        <v>130</v>
      </c>
      <c r="B26" s="191">
        <v>18798751.239999998</v>
      </c>
      <c r="C26" s="191">
        <v>18798751.239999998</v>
      </c>
      <c r="D26" s="191">
        <v>19416080.27</v>
      </c>
      <c r="E26" s="191">
        <v>19416080.27</v>
      </c>
      <c r="F26" s="191">
        <v>17743024.609999999</v>
      </c>
      <c r="G26" s="191">
        <v>17743024.609999999</v>
      </c>
      <c r="H26" s="191">
        <v>22731749.920000002</v>
      </c>
      <c r="I26" s="191">
        <v>22731749.920000002</v>
      </c>
      <c r="J26" s="191">
        <v>28084982.890000001</v>
      </c>
      <c r="K26" s="191">
        <v>28084982.890000001</v>
      </c>
      <c r="L26" s="191">
        <v>27152779.940000001</v>
      </c>
      <c r="M26" s="191">
        <v>27152779.940000001</v>
      </c>
      <c r="N26" s="191">
        <v>17383078.079999998</v>
      </c>
      <c r="O26" s="191">
        <v>10543582.140000001</v>
      </c>
      <c r="P26" s="191">
        <v>10874322.380000001</v>
      </c>
      <c r="Q26" s="191">
        <v>10874322.380000001</v>
      </c>
      <c r="R26" s="191">
        <v>9729124.8499999996</v>
      </c>
      <c r="S26" s="191">
        <v>9729124.8499999996</v>
      </c>
      <c r="T26" s="191">
        <v>9757413.4000000004</v>
      </c>
      <c r="U26" s="191">
        <v>9757413.4000000004</v>
      </c>
      <c r="V26" s="191">
        <v>9452578.0399999991</v>
      </c>
      <c r="W26" s="191">
        <v>9452578.0399999991</v>
      </c>
      <c r="X26" s="191">
        <v>9569252.8100000005</v>
      </c>
      <c r="Y26" s="191">
        <v>9569252.8100000005</v>
      </c>
      <c r="Z26" s="191">
        <v>7757046</v>
      </c>
      <c r="AA26" s="191">
        <v>7757046</v>
      </c>
      <c r="AB26" s="191">
        <v>8770793.0600000005</v>
      </c>
      <c r="AC26" s="191">
        <v>8770793.0600000005</v>
      </c>
      <c r="AD26" s="191">
        <v>8652923.2200000007</v>
      </c>
      <c r="AE26" s="191">
        <v>8652923.2200000007</v>
      </c>
      <c r="AF26" s="191">
        <v>8086976.54</v>
      </c>
      <c r="AG26" s="191">
        <v>7235745.2300000004</v>
      </c>
      <c r="AH26" s="191">
        <v>8140066.6500000004</v>
      </c>
      <c r="AI26" s="191">
        <v>0</v>
      </c>
    </row>
    <row r="27" spans="1:35" x14ac:dyDescent="0.25">
      <c r="A27" s="191" t="s">
        <v>131</v>
      </c>
      <c r="B27" s="191">
        <v>0</v>
      </c>
      <c r="C27" s="191">
        <v>0</v>
      </c>
      <c r="D27" s="191">
        <v>0</v>
      </c>
      <c r="E27" s="191">
        <v>0</v>
      </c>
      <c r="F27" s="191">
        <v>0</v>
      </c>
      <c r="G27" s="191">
        <v>0</v>
      </c>
      <c r="H27" s="191">
        <v>0</v>
      </c>
      <c r="I27" s="191">
        <v>0</v>
      </c>
      <c r="J27" s="191">
        <v>0</v>
      </c>
      <c r="K27" s="191">
        <v>0</v>
      </c>
      <c r="L27" s="191">
        <v>4837055.33</v>
      </c>
      <c r="M27" s="191">
        <v>0</v>
      </c>
      <c r="N27" s="191">
        <v>0</v>
      </c>
      <c r="O27" s="191">
        <v>0</v>
      </c>
      <c r="P27" s="191">
        <v>0</v>
      </c>
      <c r="Q27" s="191">
        <v>0</v>
      </c>
      <c r="R27" s="191">
        <v>0</v>
      </c>
      <c r="S27" s="191">
        <v>0</v>
      </c>
      <c r="T27" s="191">
        <v>0</v>
      </c>
      <c r="U27" s="191">
        <v>0</v>
      </c>
      <c r="V27" s="191">
        <v>0</v>
      </c>
      <c r="W27" s="191">
        <v>0</v>
      </c>
      <c r="X27" s="191">
        <v>0</v>
      </c>
      <c r="Y27" s="191">
        <v>0</v>
      </c>
      <c r="Z27" s="191">
        <v>0</v>
      </c>
      <c r="AA27" s="191">
        <v>0</v>
      </c>
      <c r="AB27" s="191">
        <v>0</v>
      </c>
      <c r="AC27" s="191">
        <v>0</v>
      </c>
      <c r="AD27" s="191">
        <v>0</v>
      </c>
      <c r="AE27" s="191">
        <v>0</v>
      </c>
      <c r="AF27" s="191">
        <v>0</v>
      </c>
      <c r="AG27" s="191">
        <v>0</v>
      </c>
      <c r="AH27" s="191">
        <v>2426856.9700000002</v>
      </c>
      <c r="AI27" s="191">
        <v>0</v>
      </c>
    </row>
    <row r="28" spans="1:35" x14ac:dyDescent="0.25">
      <c r="A28" s="191" t="s">
        <v>132</v>
      </c>
      <c r="B28" s="191">
        <v>1386880640.49</v>
      </c>
      <c r="C28" s="191">
        <v>1342375708.76</v>
      </c>
      <c r="D28" s="191">
        <v>1358276837.48</v>
      </c>
      <c r="E28" s="191">
        <v>1407808329.28</v>
      </c>
      <c r="F28" s="191">
        <v>1327994325.1099999</v>
      </c>
      <c r="G28" s="191">
        <v>1090765616.02</v>
      </c>
      <c r="H28" s="191">
        <v>1096346620.8399999</v>
      </c>
      <c r="I28" s="191">
        <v>1147109480.9400001</v>
      </c>
      <c r="J28" s="191">
        <v>1028537189.73</v>
      </c>
      <c r="K28" s="191">
        <v>1032903264.25</v>
      </c>
      <c r="L28" s="191">
        <v>999829416.71000004</v>
      </c>
      <c r="M28" s="191">
        <v>971427872.14999998</v>
      </c>
      <c r="N28" s="191">
        <v>765150815.38999999</v>
      </c>
      <c r="O28" s="191">
        <v>605585717.96000004</v>
      </c>
      <c r="P28" s="191">
        <v>611232503.77999997</v>
      </c>
      <c r="Q28" s="191">
        <v>626050201.67999995</v>
      </c>
      <c r="R28" s="191">
        <v>492930704.68000001</v>
      </c>
      <c r="S28" s="191">
        <v>495337929.56999999</v>
      </c>
      <c r="T28" s="191">
        <v>505294519.75999999</v>
      </c>
      <c r="U28" s="191">
        <v>518069504.48000002</v>
      </c>
      <c r="V28" s="191">
        <v>498491588.25</v>
      </c>
      <c r="W28" s="191">
        <v>462358764.74000001</v>
      </c>
      <c r="X28" s="191">
        <v>361594285.97000003</v>
      </c>
      <c r="Y28" s="191">
        <v>368967236.35000002</v>
      </c>
      <c r="Z28" s="191">
        <v>371912158.13999999</v>
      </c>
      <c r="AA28" s="191">
        <v>286541051.58999997</v>
      </c>
      <c r="AB28" s="191">
        <v>286771606.66000003</v>
      </c>
      <c r="AC28" s="191">
        <v>289698829.98000002</v>
      </c>
      <c r="AD28" s="191">
        <v>267423996.31999999</v>
      </c>
      <c r="AE28" s="191">
        <v>262304981.87</v>
      </c>
      <c r="AF28" s="191">
        <v>262306611.97999999</v>
      </c>
      <c r="AG28" s="191">
        <v>150708089.31999999</v>
      </c>
      <c r="AH28" s="191">
        <v>146235755.78999999</v>
      </c>
      <c r="AI28" s="191">
        <v>0</v>
      </c>
    </row>
    <row r="29" spans="1:35" x14ac:dyDescent="0.25">
      <c r="A29" s="191" t="s">
        <v>133</v>
      </c>
      <c r="B29" s="191">
        <v>162696744.75999999</v>
      </c>
      <c r="C29" s="191">
        <v>180966472.41</v>
      </c>
      <c r="D29" s="191">
        <v>134231764.31999999</v>
      </c>
      <c r="E29" s="191">
        <v>113091733.05</v>
      </c>
      <c r="F29" s="191">
        <v>169915391.47</v>
      </c>
      <c r="G29" s="191">
        <v>390738533.88</v>
      </c>
      <c r="H29" s="191">
        <v>333097545.00999999</v>
      </c>
      <c r="I29" s="191">
        <v>279409961.33999997</v>
      </c>
      <c r="J29" s="191">
        <v>204331825.59</v>
      </c>
      <c r="K29" s="191">
        <v>102336399.09999999</v>
      </c>
      <c r="L29" s="191">
        <v>73660922.420000002</v>
      </c>
      <c r="M29" s="191">
        <v>48434821.799999997</v>
      </c>
      <c r="N29" s="191">
        <v>178745125.09</v>
      </c>
      <c r="O29" s="191">
        <v>287680029.07999998</v>
      </c>
      <c r="P29" s="191">
        <v>188489303.34</v>
      </c>
      <c r="Q29" s="191">
        <v>127767775.13</v>
      </c>
      <c r="R29" s="191">
        <v>231456132.97999999</v>
      </c>
      <c r="S29" s="191">
        <v>220190018.83000001</v>
      </c>
      <c r="T29" s="191">
        <v>193467042.68000001</v>
      </c>
      <c r="U29" s="191">
        <v>169380379.22</v>
      </c>
      <c r="V29" s="191">
        <v>153432736.44999999</v>
      </c>
      <c r="W29" s="191">
        <v>161499658.41</v>
      </c>
      <c r="X29" s="191">
        <v>253325619.31</v>
      </c>
      <c r="Y29" s="191">
        <v>210487489.62</v>
      </c>
      <c r="Z29" s="191">
        <v>113785816.63</v>
      </c>
      <c r="AA29" s="191">
        <v>132100748.42</v>
      </c>
      <c r="AB29" s="191">
        <v>94106720.329999998</v>
      </c>
      <c r="AC29" s="191">
        <v>79082365.659999996</v>
      </c>
      <c r="AD29" s="191">
        <v>82365259.859999999</v>
      </c>
      <c r="AE29" s="191">
        <v>75953231.200000003</v>
      </c>
      <c r="AF29" s="191">
        <v>36679712.399999999</v>
      </c>
      <c r="AG29" s="191">
        <v>23729794.98</v>
      </c>
      <c r="AH29" s="191">
        <v>5634372.7300000004</v>
      </c>
      <c r="AI29" s="191">
        <v>0</v>
      </c>
    </row>
    <row r="30" spans="1:35" x14ac:dyDescent="0.25">
      <c r="A30" s="191" t="s">
        <v>134</v>
      </c>
      <c r="B30" s="191">
        <v>0</v>
      </c>
      <c r="C30" s="191">
        <v>0</v>
      </c>
      <c r="D30" s="191">
        <v>0</v>
      </c>
      <c r="E30" s="191">
        <v>0</v>
      </c>
      <c r="F30" s="191">
        <v>0</v>
      </c>
      <c r="G30" s="191">
        <v>0</v>
      </c>
      <c r="H30" s="191">
        <v>0</v>
      </c>
      <c r="I30" s="191">
        <v>0</v>
      </c>
      <c r="J30" s="191">
        <v>0</v>
      </c>
      <c r="K30" s="191">
        <v>0</v>
      </c>
      <c r="L30" s="191">
        <v>0</v>
      </c>
      <c r="M30" s="191">
        <v>0</v>
      </c>
      <c r="N30" s="191">
        <v>0</v>
      </c>
      <c r="O30" s="191">
        <v>0</v>
      </c>
      <c r="P30" s="191">
        <v>0</v>
      </c>
      <c r="Q30" s="191">
        <v>0</v>
      </c>
      <c r="R30" s="191">
        <v>0</v>
      </c>
      <c r="S30" s="191">
        <v>0</v>
      </c>
      <c r="T30" s="191">
        <v>0</v>
      </c>
      <c r="U30" s="191">
        <v>0</v>
      </c>
      <c r="V30" s="191">
        <v>0</v>
      </c>
      <c r="W30" s="191">
        <v>0</v>
      </c>
      <c r="X30" s="191">
        <v>0</v>
      </c>
      <c r="Y30" s="191">
        <v>0</v>
      </c>
      <c r="Z30" s="191">
        <v>0</v>
      </c>
      <c r="AA30" s="191">
        <v>0</v>
      </c>
      <c r="AB30" s="191">
        <v>0</v>
      </c>
      <c r="AC30" s="191">
        <v>0</v>
      </c>
      <c r="AD30" s="191">
        <v>0</v>
      </c>
      <c r="AE30" s="191">
        <v>0</v>
      </c>
      <c r="AF30" s="191">
        <v>0</v>
      </c>
      <c r="AG30" s="191">
        <v>0</v>
      </c>
      <c r="AH30" s="191">
        <v>0</v>
      </c>
      <c r="AI30" s="191">
        <v>0</v>
      </c>
    </row>
    <row r="31" spans="1:35" x14ac:dyDescent="0.25">
      <c r="A31" s="191" t="s">
        <v>135</v>
      </c>
      <c r="B31" s="191">
        <v>0</v>
      </c>
      <c r="C31" s="191">
        <v>0</v>
      </c>
      <c r="D31" s="191">
        <v>0</v>
      </c>
      <c r="E31" s="191">
        <v>0</v>
      </c>
      <c r="F31" s="191">
        <v>0</v>
      </c>
      <c r="G31" s="191">
        <v>0</v>
      </c>
      <c r="H31" s="191">
        <v>0</v>
      </c>
      <c r="I31" s="191">
        <v>0</v>
      </c>
      <c r="J31" s="191">
        <v>0</v>
      </c>
      <c r="K31" s="191">
        <v>0</v>
      </c>
      <c r="L31" s="191">
        <v>0</v>
      </c>
      <c r="M31" s="191">
        <v>0</v>
      </c>
      <c r="N31" s="191">
        <v>0</v>
      </c>
      <c r="O31" s="191">
        <v>0</v>
      </c>
      <c r="P31" s="191">
        <v>0</v>
      </c>
      <c r="Q31" s="191">
        <v>0</v>
      </c>
      <c r="R31" s="191">
        <v>0</v>
      </c>
      <c r="S31" s="191">
        <v>0</v>
      </c>
      <c r="T31" s="191">
        <v>0</v>
      </c>
      <c r="U31" s="191">
        <v>0</v>
      </c>
      <c r="V31" s="191">
        <v>0</v>
      </c>
      <c r="W31" s="191">
        <v>0</v>
      </c>
      <c r="X31" s="191">
        <v>0</v>
      </c>
      <c r="Y31" s="191">
        <v>0</v>
      </c>
      <c r="Z31" s="191">
        <v>0</v>
      </c>
      <c r="AA31" s="191">
        <v>0</v>
      </c>
      <c r="AB31" s="191">
        <v>0</v>
      </c>
      <c r="AC31" s="191">
        <v>0</v>
      </c>
      <c r="AD31" s="191">
        <v>0</v>
      </c>
      <c r="AE31" s="191">
        <v>0</v>
      </c>
      <c r="AF31" s="191">
        <v>0</v>
      </c>
      <c r="AG31" s="191">
        <v>0</v>
      </c>
      <c r="AH31" s="191">
        <v>0</v>
      </c>
      <c r="AI31" s="191">
        <v>0</v>
      </c>
    </row>
    <row r="32" spans="1:35" x14ac:dyDescent="0.25">
      <c r="A32" s="191" t="s">
        <v>136</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row>
    <row r="33" spans="1:35" x14ac:dyDescent="0.25">
      <c r="A33" s="191" t="s">
        <v>137</v>
      </c>
      <c r="B33" s="191">
        <v>0</v>
      </c>
      <c r="C33" s="191">
        <v>0</v>
      </c>
      <c r="D33" s="191">
        <v>0</v>
      </c>
      <c r="E33" s="191">
        <v>0</v>
      </c>
      <c r="F33" s="191">
        <v>0</v>
      </c>
      <c r="G33" s="191">
        <v>0</v>
      </c>
      <c r="H33" s="191">
        <v>0</v>
      </c>
      <c r="I33" s="191">
        <v>0</v>
      </c>
      <c r="J33" s="191">
        <v>0</v>
      </c>
      <c r="K33" s="191">
        <v>0</v>
      </c>
      <c r="L33" s="191">
        <v>0</v>
      </c>
      <c r="M33" s="191">
        <v>0</v>
      </c>
      <c r="N33" s="191">
        <v>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row>
    <row r="34" spans="1:35" x14ac:dyDescent="0.25">
      <c r="A34" s="191" t="s">
        <v>138</v>
      </c>
      <c r="B34" s="191">
        <v>0</v>
      </c>
      <c r="C34" s="191">
        <v>0</v>
      </c>
      <c r="D34" s="191">
        <v>0</v>
      </c>
      <c r="E34" s="191">
        <v>0</v>
      </c>
      <c r="F34" s="191">
        <v>0</v>
      </c>
      <c r="G34" s="191">
        <v>0</v>
      </c>
      <c r="H34" s="191">
        <v>0</v>
      </c>
      <c r="I34" s="191">
        <v>0</v>
      </c>
      <c r="J34" s="191">
        <v>0</v>
      </c>
      <c r="K34" s="191">
        <v>0</v>
      </c>
      <c r="L34" s="191">
        <v>0</v>
      </c>
      <c r="M34" s="191">
        <v>0</v>
      </c>
      <c r="N34" s="191">
        <v>0</v>
      </c>
      <c r="O34" s="191">
        <v>0</v>
      </c>
      <c r="P34" s="191">
        <v>0</v>
      </c>
      <c r="Q34" s="191">
        <v>0</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row>
    <row r="35" spans="1:35" x14ac:dyDescent="0.25">
      <c r="A35" s="191" t="s">
        <v>139</v>
      </c>
      <c r="B35" s="191">
        <v>162503693.96000001</v>
      </c>
      <c r="C35" s="191">
        <v>162378448.84</v>
      </c>
      <c r="D35" s="191">
        <v>162991156.59</v>
      </c>
      <c r="E35" s="191">
        <v>165162064.53</v>
      </c>
      <c r="F35" s="191">
        <v>168385646.59</v>
      </c>
      <c r="G35" s="191">
        <v>171513331.06999999</v>
      </c>
      <c r="H35" s="191">
        <v>109591307.73999999</v>
      </c>
      <c r="I35" s="191">
        <v>111793887.12</v>
      </c>
      <c r="J35" s="191">
        <v>94067777.439999998</v>
      </c>
      <c r="K35" s="191">
        <v>95582655.099999994</v>
      </c>
      <c r="L35" s="191">
        <v>95745261.209999993</v>
      </c>
      <c r="M35" s="191">
        <v>91038152.359999999</v>
      </c>
      <c r="N35" s="191">
        <v>68400431.640000001</v>
      </c>
      <c r="O35" s="191">
        <v>69035022.489999995</v>
      </c>
      <c r="P35" s="191">
        <v>69762489.5</v>
      </c>
      <c r="Q35" s="191">
        <v>70515173.469999999</v>
      </c>
      <c r="R35" s="191">
        <v>71258656.549999997</v>
      </c>
      <c r="S35" s="191">
        <v>72043936.469999999</v>
      </c>
      <c r="T35" s="191">
        <v>71935028.560000002</v>
      </c>
      <c r="U35" s="191">
        <v>72591405.75</v>
      </c>
      <c r="V35" s="191">
        <v>73342903.370000005</v>
      </c>
      <c r="W35" s="191">
        <v>69982986.569999993</v>
      </c>
      <c r="X35" s="191">
        <v>55853402.700000003</v>
      </c>
      <c r="Y35" s="191">
        <v>56236552.57</v>
      </c>
      <c r="Z35" s="191">
        <v>56140966</v>
      </c>
      <c r="AA35" s="191">
        <v>30553867.210000001</v>
      </c>
      <c r="AB35" s="191">
        <v>30784611.100000001</v>
      </c>
      <c r="AC35" s="191">
        <v>30883998.02</v>
      </c>
      <c r="AD35" s="191">
        <v>31327306.539999999</v>
      </c>
      <c r="AE35" s="191">
        <v>31520155.059999999</v>
      </c>
      <c r="AF35" s="191">
        <v>31275028.030000001</v>
      </c>
      <c r="AG35" s="191">
        <v>17688197.780000001</v>
      </c>
      <c r="AH35" s="191">
        <v>17250697.210000001</v>
      </c>
      <c r="AI35" s="191">
        <v>0</v>
      </c>
    </row>
    <row r="36" spans="1:35" x14ac:dyDescent="0.25">
      <c r="A36" s="191" t="s">
        <v>140</v>
      </c>
      <c r="B36" s="191">
        <v>0</v>
      </c>
      <c r="C36" s="191">
        <v>0</v>
      </c>
      <c r="D36" s="191">
        <v>0</v>
      </c>
      <c r="E36" s="191">
        <v>0</v>
      </c>
      <c r="F36" s="191">
        <v>0</v>
      </c>
      <c r="G36" s="191">
        <v>0</v>
      </c>
      <c r="H36" s="191">
        <v>0</v>
      </c>
      <c r="I36" s="191">
        <v>0</v>
      </c>
      <c r="J36" s="191">
        <v>0</v>
      </c>
      <c r="K36" s="191">
        <v>0</v>
      </c>
      <c r="L36" s="191">
        <v>409921.75</v>
      </c>
      <c r="M36" s="191">
        <v>447143.41</v>
      </c>
      <c r="N36" s="191">
        <v>995781.95</v>
      </c>
      <c r="O36" s="191">
        <v>0</v>
      </c>
      <c r="P36" s="191">
        <v>0</v>
      </c>
      <c r="Q36" s="191">
        <v>0</v>
      </c>
      <c r="R36" s="191">
        <v>0</v>
      </c>
      <c r="S36" s="191">
        <v>0</v>
      </c>
      <c r="T36" s="191">
        <v>0</v>
      </c>
      <c r="U36" s="191">
        <v>0</v>
      </c>
      <c r="V36" s="191">
        <v>0</v>
      </c>
      <c r="W36" s="191">
        <v>0</v>
      </c>
      <c r="X36" s="191">
        <v>0</v>
      </c>
      <c r="Y36" s="191">
        <v>0</v>
      </c>
      <c r="Z36" s="191">
        <v>0</v>
      </c>
      <c r="AA36" s="191">
        <v>0</v>
      </c>
      <c r="AB36" s="191">
        <v>0</v>
      </c>
      <c r="AC36" s="191">
        <v>0</v>
      </c>
      <c r="AD36" s="191">
        <v>0</v>
      </c>
      <c r="AE36" s="191">
        <v>0</v>
      </c>
      <c r="AF36" s="191">
        <v>0</v>
      </c>
      <c r="AG36" s="191">
        <v>0</v>
      </c>
      <c r="AH36" s="191">
        <v>0</v>
      </c>
      <c r="AI36" s="191">
        <v>0</v>
      </c>
    </row>
    <row r="37" spans="1:35" x14ac:dyDescent="0.25">
      <c r="A37" s="191" t="s">
        <v>141</v>
      </c>
      <c r="B37" s="191">
        <v>730261957.53999996</v>
      </c>
      <c r="C37" s="191">
        <v>704026030.13999999</v>
      </c>
      <c r="D37" s="191">
        <v>669217863.13</v>
      </c>
      <c r="E37" s="191">
        <v>695294849.13</v>
      </c>
      <c r="F37" s="191">
        <v>705286965.25999999</v>
      </c>
      <c r="G37" s="191">
        <v>720746665.62</v>
      </c>
      <c r="H37" s="191">
        <v>732879192.63</v>
      </c>
      <c r="I37" s="191">
        <v>737975913.58000004</v>
      </c>
      <c r="J37" s="191">
        <v>802931740.98000002</v>
      </c>
      <c r="K37" s="191">
        <v>803665866.40999997</v>
      </c>
      <c r="L37" s="191">
        <v>726580468.24000001</v>
      </c>
      <c r="M37" s="191">
        <v>2924910.33</v>
      </c>
      <c r="N37" s="191">
        <v>2924910.33</v>
      </c>
      <c r="O37" s="191">
        <v>2924910.33</v>
      </c>
      <c r="P37" s="191">
        <v>2924910.33</v>
      </c>
      <c r="Q37" s="191">
        <v>2924910.33</v>
      </c>
      <c r="R37" s="191">
        <v>2924910.33</v>
      </c>
      <c r="S37" s="191">
        <v>2924910.33</v>
      </c>
      <c r="T37" s="191">
        <v>2924910.33</v>
      </c>
      <c r="U37" s="191">
        <v>2924910.33</v>
      </c>
      <c r="V37" s="191">
        <v>2924910.33</v>
      </c>
      <c r="W37" s="191">
        <v>2924910.33</v>
      </c>
      <c r="X37" s="191">
        <v>2924910.33</v>
      </c>
      <c r="Y37" s="191">
        <v>2924910.33</v>
      </c>
      <c r="Z37" s="191">
        <v>2924910.33</v>
      </c>
      <c r="AA37" s="191">
        <v>2924910.33</v>
      </c>
      <c r="AB37" s="191">
        <v>2924910.33</v>
      </c>
      <c r="AC37" s="191">
        <v>2924910.33</v>
      </c>
      <c r="AD37" s="191">
        <v>2924910.33</v>
      </c>
      <c r="AE37" s="191">
        <v>2924910.33</v>
      </c>
      <c r="AF37" s="191">
        <v>2924910.33</v>
      </c>
      <c r="AG37" s="191">
        <v>0</v>
      </c>
      <c r="AH37" s="191">
        <v>0</v>
      </c>
      <c r="AI37" s="191">
        <v>0</v>
      </c>
    </row>
    <row r="38" spans="1:35" x14ac:dyDescent="0.25">
      <c r="A38" s="191" t="s">
        <v>142</v>
      </c>
      <c r="B38" s="191">
        <v>8050031.1699999999</v>
      </c>
      <c r="C38" s="191">
        <v>8497675.0600000005</v>
      </c>
      <c r="D38" s="191">
        <v>8014804.5599999996</v>
      </c>
      <c r="E38" s="191">
        <v>8245160.0999999996</v>
      </c>
      <c r="F38" s="191">
        <v>8651767.6300000008</v>
      </c>
      <c r="G38" s="191">
        <v>9058375.1500000004</v>
      </c>
      <c r="H38" s="191">
        <v>9464982.6699999999</v>
      </c>
      <c r="I38" s="191">
        <v>8673391.9900000002</v>
      </c>
      <c r="J38" s="191">
        <v>8071096.2000000002</v>
      </c>
      <c r="K38" s="191">
        <v>8377229.4000000004</v>
      </c>
      <c r="L38" s="191">
        <v>8583029.2699999996</v>
      </c>
      <c r="M38" s="191">
        <v>9202457.9900000002</v>
      </c>
      <c r="N38" s="191">
        <v>6822996.5199999996</v>
      </c>
      <c r="O38" s="191">
        <v>7323084.8899999997</v>
      </c>
      <c r="P38" s="191">
        <v>7966314.2400000002</v>
      </c>
      <c r="Q38" s="191">
        <v>8653543.5899999999</v>
      </c>
      <c r="R38" s="191">
        <v>2902453.48</v>
      </c>
      <c r="S38" s="191">
        <v>516232.29</v>
      </c>
      <c r="T38" s="191">
        <v>503394.42</v>
      </c>
      <c r="U38" s="191">
        <v>556011.09</v>
      </c>
      <c r="V38" s="191">
        <v>390000</v>
      </c>
      <c r="W38" s="191">
        <v>420000</v>
      </c>
      <c r="X38" s="191">
        <v>450000</v>
      </c>
      <c r="Y38" s="191">
        <v>480000</v>
      </c>
      <c r="Z38" s="191">
        <v>510660</v>
      </c>
      <c r="AA38" s="191">
        <v>540000</v>
      </c>
      <c r="AB38" s="191">
        <v>0</v>
      </c>
      <c r="AC38" s="191">
        <v>0</v>
      </c>
      <c r="AD38" s="191">
        <v>0</v>
      </c>
      <c r="AE38" s="191">
        <v>0</v>
      </c>
      <c r="AF38" s="191">
        <v>5168.66</v>
      </c>
      <c r="AG38" s="191">
        <v>20675.419999999998</v>
      </c>
      <c r="AH38" s="191">
        <v>36182.18</v>
      </c>
      <c r="AI38" s="191">
        <v>0</v>
      </c>
    </row>
    <row r="39" spans="1:35" x14ac:dyDescent="0.25">
      <c r="A39" s="191" t="s">
        <v>143</v>
      </c>
      <c r="B39" s="191">
        <v>38307971.640000001</v>
      </c>
      <c r="C39" s="191">
        <v>38414270.829999998</v>
      </c>
      <c r="D39" s="191">
        <v>28257639.469999999</v>
      </c>
      <c r="E39" s="191">
        <v>28037801.629999999</v>
      </c>
      <c r="F39" s="191">
        <v>32173124.289999999</v>
      </c>
      <c r="G39" s="191">
        <v>31366998.219999999</v>
      </c>
      <c r="H39" s="191">
        <v>25533525.23</v>
      </c>
      <c r="I39" s="191">
        <v>24413957.199999999</v>
      </c>
      <c r="J39" s="191">
        <v>26745370.379999999</v>
      </c>
      <c r="K39" s="191">
        <v>27100437.719999999</v>
      </c>
      <c r="L39" s="191">
        <v>18620868.879999999</v>
      </c>
      <c r="M39" s="191">
        <v>17811897.559999999</v>
      </c>
      <c r="N39" s="191">
        <v>20198829.399999999</v>
      </c>
      <c r="O39" s="191">
        <v>20406023.93</v>
      </c>
      <c r="P39" s="191">
        <v>10097838.279999999</v>
      </c>
      <c r="Q39" s="191">
        <v>9061522.2599999998</v>
      </c>
      <c r="R39" s="191">
        <v>7484148.6900000004</v>
      </c>
      <c r="S39" s="191">
        <v>7284428.8499999996</v>
      </c>
      <c r="T39" s="191">
        <v>6859802.29</v>
      </c>
      <c r="U39" s="191">
        <v>6857699</v>
      </c>
      <c r="V39" s="191">
        <v>6396743.4100000001</v>
      </c>
      <c r="W39" s="191">
        <v>6334087.0999999996</v>
      </c>
      <c r="X39" s="191">
        <v>6458028.4000000004</v>
      </c>
      <c r="Y39" s="191">
        <v>6617114.5700000003</v>
      </c>
      <c r="Z39" s="191">
        <v>5636416.8300000001</v>
      </c>
      <c r="AA39" s="191">
        <v>5627683.4699999997</v>
      </c>
      <c r="AB39" s="191">
        <v>7381636.0599999996</v>
      </c>
      <c r="AC39" s="191">
        <v>7661810.2400000002</v>
      </c>
      <c r="AD39" s="191">
        <v>6784044.75</v>
      </c>
      <c r="AE39" s="191">
        <v>6514700.7599999998</v>
      </c>
      <c r="AF39" s="191">
        <v>3170786.84</v>
      </c>
      <c r="AG39" s="191">
        <v>3335824.8</v>
      </c>
      <c r="AH39" s="191">
        <v>1877635.82</v>
      </c>
      <c r="AI39" s="191">
        <v>0</v>
      </c>
    </row>
    <row r="40" spans="1:35" x14ac:dyDescent="0.25">
      <c r="A40" s="191" t="s">
        <v>144</v>
      </c>
      <c r="B40" s="191">
        <v>38552141.280000001</v>
      </c>
      <c r="C40" s="191">
        <v>34097842.149999999</v>
      </c>
      <c r="D40" s="191">
        <v>33887055.579999998</v>
      </c>
      <c r="E40" s="191">
        <v>21979229.539999999</v>
      </c>
      <c r="F40" s="191">
        <v>21731047.059999999</v>
      </c>
      <c r="G40" s="191">
        <v>22660234.050000001</v>
      </c>
      <c r="H40" s="191">
        <v>63046315.130000003</v>
      </c>
      <c r="I40" s="191">
        <v>31268924.77</v>
      </c>
      <c r="J40" s="191">
        <v>38720182.329999998</v>
      </c>
      <c r="K40" s="191">
        <v>18941406.050000001</v>
      </c>
      <c r="L40" s="191">
        <v>14697602.710000001</v>
      </c>
      <c r="M40" s="191">
        <v>16756097.619999999</v>
      </c>
      <c r="N40" s="191">
        <v>46334351.979999997</v>
      </c>
      <c r="O40" s="191">
        <v>37812519.68</v>
      </c>
      <c r="P40" s="191">
        <v>44119372.049999997</v>
      </c>
      <c r="Q40" s="191">
        <v>15603863.970000001</v>
      </c>
      <c r="R40" s="191">
        <v>0</v>
      </c>
      <c r="S40" s="191">
        <v>0</v>
      </c>
      <c r="T40" s="191">
        <v>0</v>
      </c>
      <c r="U40" s="191">
        <v>0</v>
      </c>
      <c r="V40" s="191">
        <v>0</v>
      </c>
      <c r="W40" s="191">
        <v>0</v>
      </c>
      <c r="X40" s="191">
        <v>0</v>
      </c>
      <c r="Y40" s="191">
        <v>0</v>
      </c>
      <c r="Z40" s="191">
        <v>0</v>
      </c>
      <c r="AA40" s="191">
        <v>0</v>
      </c>
      <c r="AB40" s="191">
        <v>0</v>
      </c>
      <c r="AC40" s="191">
        <v>0</v>
      </c>
      <c r="AD40" s="191">
        <v>0</v>
      </c>
      <c r="AE40" s="191">
        <v>0</v>
      </c>
      <c r="AF40" s="191">
        <v>0</v>
      </c>
      <c r="AG40" s="191">
        <v>0</v>
      </c>
      <c r="AH40" s="191">
        <v>0</v>
      </c>
      <c r="AI40" s="191">
        <v>0</v>
      </c>
    </row>
    <row r="41" spans="1:35" x14ac:dyDescent="0.25">
      <c r="A41" s="191" t="s">
        <v>145</v>
      </c>
      <c r="B41" s="191">
        <v>2546051932.0799999</v>
      </c>
      <c r="C41" s="191">
        <v>2489555199.4299998</v>
      </c>
      <c r="D41" s="191">
        <v>2414293201.4000001</v>
      </c>
      <c r="E41" s="191">
        <v>2459035247.5300002</v>
      </c>
      <c r="F41" s="191">
        <v>2451881292.02</v>
      </c>
      <c r="G41" s="191">
        <v>2454592778.6199999</v>
      </c>
      <c r="H41" s="191">
        <v>2392691239.1700001</v>
      </c>
      <c r="I41" s="191">
        <v>2363377266.8600001</v>
      </c>
      <c r="J41" s="191">
        <v>2231490165.54</v>
      </c>
      <c r="K41" s="191">
        <v>2116992240.9200001</v>
      </c>
      <c r="L41" s="191">
        <v>1970117326.46</v>
      </c>
      <c r="M41" s="191">
        <v>1185196133.1600001</v>
      </c>
      <c r="N41" s="191">
        <v>1106956320.3800001</v>
      </c>
      <c r="O41" s="191">
        <v>1041310890.5</v>
      </c>
      <c r="P41" s="191">
        <v>945467053.89999998</v>
      </c>
      <c r="Q41" s="191">
        <v>871451312.80999994</v>
      </c>
      <c r="R41" s="191">
        <v>818686131.55999994</v>
      </c>
      <c r="S41" s="191">
        <v>808026581.19000006</v>
      </c>
      <c r="T41" s="191">
        <v>790742111.44000006</v>
      </c>
      <c r="U41" s="191">
        <v>780137323.26999998</v>
      </c>
      <c r="V41" s="191">
        <v>744431459.85000002</v>
      </c>
      <c r="W41" s="191">
        <v>712972985.19000006</v>
      </c>
      <c r="X41" s="191">
        <v>690175499.51999998</v>
      </c>
      <c r="Y41" s="191">
        <v>655282556.25</v>
      </c>
      <c r="Z41" s="191">
        <v>558667973.92999995</v>
      </c>
      <c r="AA41" s="191">
        <v>466045307.01999998</v>
      </c>
      <c r="AB41" s="191">
        <v>430740277.54000002</v>
      </c>
      <c r="AC41" s="191">
        <v>419022707.29000002</v>
      </c>
      <c r="AD41" s="191">
        <v>399478441.01999998</v>
      </c>
      <c r="AE41" s="191">
        <v>387870902.44</v>
      </c>
      <c r="AF41" s="191">
        <v>344449194.77999997</v>
      </c>
      <c r="AG41" s="191">
        <v>202718327.53</v>
      </c>
      <c r="AH41" s="191">
        <v>181601567.34999999</v>
      </c>
      <c r="AI41" s="191">
        <v>0</v>
      </c>
    </row>
    <row r="42" spans="1:35" x14ac:dyDescent="0.25">
      <c r="A42" s="191" t="s">
        <v>146</v>
      </c>
      <c r="B42" s="191">
        <v>4948098516.0100002</v>
      </c>
      <c r="C42" s="191">
        <v>4760929697.0900002</v>
      </c>
      <c r="D42" s="191">
        <v>4526730979.0600004</v>
      </c>
      <c r="E42" s="191">
        <v>4552036091.3400002</v>
      </c>
      <c r="F42" s="191">
        <v>4515449873.0600004</v>
      </c>
      <c r="G42" s="191">
        <v>4464103999.9399996</v>
      </c>
      <c r="H42" s="191">
        <v>4427360361.7399998</v>
      </c>
      <c r="I42" s="191">
        <v>4299897196.8699999</v>
      </c>
      <c r="J42" s="191">
        <v>4675819483.6300001</v>
      </c>
      <c r="K42" s="191">
        <v>3927051597.6700001</v>
      </c>
      <c r="L42" s="191">
        <v>3860979482.9200001</v>
      </c>
      <c r="M42" s="191">
        <v>3018808356.23</v>
      </c>
      <c r="N42" s="191">
        <v>2866121274.0999999</v>
      </c>
      <c r="O42" s="191">
        <v>2706343862.6799998</v>
      </c>
      <c r="P42" s="191">
        <v>2627273919.77</v>
      </c>
      <c r="Q42" s="191">
        <v>1599718932.6900001</v>
      </c>
      <c r="R42" s="191">
        <v>1586056802.1500001</v>
      </c>
      <c r="S42" s="191">
        <v>1520213619.4100001</v>
      </c>
      <c r="T42" s="191">
        <v>1563553741.1400001</v>
      </c>
      <c r="U42" s="191">
        <v>1545800644.53</v>
      </c>
      <c r="V42" s="191">
        <v>1485711408.1900001</v>
      </c>
      <c r="W42" s="191">
        <v>1449759011.75</v>
      </c>
      <c r="X42" s="191">
        <v>1548413985.8399999</v>
      </c>
      <c r="Y42" s="191">
        <v>1498010260.3099999</v>
      </c>
      <c r="Z42" s="191">
        <v>1330964855.6700001</v>
      </c>
      <c r="AA42" s="191">
        <v>1319859643.8900001</v>
      </c>
      <c r="AB42" s="191">
        <v>1391500080.1600001</v>
      </c>
      <c r="AC42" s="191">
        <v>1580730703.77</v>
      </c>
      <c r="AD42" s="191">
        <v>707341674.83000004</v>
      </c>
      <c r="AE42" s="191">
        <v>743818723.38</v>
      </c>
      <c r="AF42" s="191">
        <v>691447616.51999998</v>
      </c>
      <c r="AG42" s="191">
        <v>571024717.01999998</v>
      </c>
      <c r="AH42" s="191">
        <v>484148932.26999998</v>
      </c>
      <c r="AI42" s="191">
        <v>0</v>
      </c>
    </row>
    <row r="43" spans="1:35" x14ac:dyDescent="0.25">
      <c r="A43" s="191" t="s">
        <v>147</v>
      </c>
    </row>
    <row r="44" spans="1:35" x14ac:dyDescent="0.25">
      <c r="A44" s="191" t="s">
        <v>148</v>
      </c>
      <c r="B44" s="191">
        <v>0</v>
      </c>
      <c r="C44" s="191">
        <v>0</v>
      </c>
      <c r="D44" s="191">
        <v>0</v>
      </c>
      <c r="E44" s="191">
        <v>0</v>
      </c>
      <c r="F44" s="191">
        <v>0</v>
      </c>
      <c r="G44" s="191">
        <v>0</v>
      </c>
      <c r="H44" s="191">
        <v>0</v>
      </c>
      <c r="I44" s="191">
        <v>0</v>
      </c>
      <c r="J44" s="191">
        <v>100000000</v>
      </c>
      <c r="K44" s="191">
        <v>220000000</v>
      </c>
      <c r="L44" s="191">
        <v>157000000</v>
      </c>
      <c r="M44" s="191">
        <v>0</v>
      </c>
      <c r="N44" s="191">
        <v>0</v>
      </c>
      <c r="O44" s="191">
        <v>0</v>
      </c>
      <c r="P44" s="191">
        <v>6400000</v>
      </c>
      <c r="Q44" s="191">
        <v>12400000</v>
      </c>
      <c r="R44" s="191">
        <v>12000000</v>
      </c>
      <c r="S44" s="191">
        <v>12000000</v>
      </c>
      <c r="T44" s="191">
        <v>24857676</v>
      </c>
      <c r="U44" s="191">
        <v>18437676</v>
      </c>
      <c r="V44" s="191">
        <v>10000000</v>
      </c>
      <c r="W44" s="191">
        <v>11178700</v>
      </c>
      <c r="X44" s="191">
        <v>100551802</v>
      </c>
      <c r="Y44" s="191">
        <v>88374130</v>
      </c>
      <c r="Z44" s="191">
        <v>0</v>
      </c>
      <c r="AA44" s="191">
        <v>0</v>
      </c>
      <c r="AB44" s="191">
        <v>36350000</v>
      </c>
      <c r="AC44" s="191">
        <v>153094962</v>
      </c>
      <c r="AD44" s="191">
        <v>73613130</v>
      </c>
      <c r="AE44" s="191">
        <v>118135472.91</v>
      </c>
      <c r="AF44" s="191">
        <v>137571048</v>
      </c>
      <c r="AG44" s="191">
        <v>70000000</v>
      </c>
      <c r="AH44" s="191">
        <v>180000000</v>
      </c>
      <c r="AI44" s="191">
        <v>0</v>
      </c>
    </row>
    <row r="45" spans="1:35" x14ac:dyDescent="0.25">
      <c r="A45" s="191" t="s">
        <v>149</v>
      </c>
      <c r="B45" s="191">
        <v>0</v>
      </c>
      <c r="C45" s="191">
        <v>0</v>
      </c>
      <c r="D45" s="191">
        <v>0</v>
      </c>
      <c r="E45" s="191">
        <v>0</v>
      </c>
      <c r="F45" s="191">
        <v>0</v>
      </c>
      <c r="G45" s="191">
        <v>0</v>
      </c>
      <c r="H45" s="191">
        <v>0</v>
      </c>
      <c r="I45" s="191">
        <v>0</v>
      </c>
      <c r="J45" s="191">
        <v>0</v>
      </c>
      <c r="K45" s="191">
        <v>0</v>
      </c>
      <c r="L45" s="191">
        <v>0</v>
      </c>
      <c r="M45" s="191">
        <v>0</v>
      </c>
      <c r="N45" s="191">
        <v>0</v>
      </c>
      <c r="O45" s="191">
        <v>0</v>
      </c>
      <c r="P45" s="191">
        <v>0</v>
      </c>
      <c r="Q45" s="191">
        <v>0</v>
      </c>
      <c r="R45" s="191">
        <v>0</v>
      </c>
      <c r="S45" s="191">
        <v>0</v>
      </c>
      <c r="T45" s="191">
        <v>0</v>
      </c>
      <c r="U45" s="191">
        <v>0</v>
      </c>
      <c r="V45" s="191">
        <v>0</v>
      </c>
      <c r="W45" s="191">
        <v>0</v>
      </c>
      <c r="X45" s="191">
        <v>0</v>
      </c>
      <c r="Y45" s="191">
        <v>0</v>
      </c>
      <c r="Z45" s="191">
        <v>0</v>
      </c>
      <c r="AA45" s="191">
        <v>0</v>
      </c>
      <c r="AB45" s="191">
        <v>0</v>
      </c>
      <c r="AC45" s="191">
        <v>0</v>
      </c>
      <c r="AD45" s="191">
        <v>0</v>
      </c>
      <c r="AE45" s="191">
        <v>0</v>
      </c>
      <c r="AF45" s="191">
        <v>0</v>
      </c>
      <c r="AG45" s="191">
        <v>0</v>
      </c>
      <c r="AH45" s="191">
        <v>0</v>
      </c>
      <c r="AI45" s="191">
        <v>0</v>
      </c>
    </row>
    <row r="46" spans="1:35" x14ac:dyDescent="0.25">
      <c r="A46" s="191" t="s">
        <v>150</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row>
    <row r="47" spans="1:35" x14ac:dyDescent="0.25">
      <c r="A47" s="191" t="s">
        <v>151</v>
      </c>
      <c r="B47" s="191">
        <v>0</v>
      </c>
      <c r="C47" s="191">
        <v>217506390.21000001</v>
      </c>
      <c r="D47" s="191">
        <v>205786252.25999999</v>
      </c>
      <c r="E47" s="191">
        <v>259242594.13999999</v>
      </c>
      <c r="F47" s="191">
        <v>251602181.19999999</v>
      </c>
      <c r="G47" s="191">
        <v>269053636.76999998</v>
      </c>
      <c r="H47" s="191">
        <v>235753116.55000001</v>
      </c>
      <c r="I47" s="191">
        <v>259842770.03</v>
      </c>
      <c r="J47" s="191">
        <v>236441117.68000001</v>
      </c>
      <c r="K47" s="191">
        <v>260548703.13999999</v>
      </c>
      <c r="L47" s="191">
        <v>280918166.41000003</v>
      </c>
      <c r="M47" s="191">
        <v>318922914.27999997</v>
      </c>
      <c r="N47" s="191">
        <v>225404975.72</v>
      </c>
      <c r="O47" s="191">
        <v>180706111.16</v>
      </c>
      <c r="P47" s="191">
        <v>140315224.65000001</v>
      </c>
      <c r="Q47" s="191">
        <v>148483465.80000001</v>
      </c>
      <c r="R47" s="191">
        <v>153736434.63999999</v>
      </c>
      <c r="S47" s="191">
        <v>136140102.69999999</v>
      </c>
      <c r="T47" s="191">
        <v>143567111.81999999</v>
      </c>
      <c r="U47" s="191">
        <v>149029418.02000001</v>
      </c>
      <c r="V47" s="191">
        <v>127096063.15000001</v>
      </c>
      <c r="W47" s="191">
        <v>129330219.93000001</v>
      </c>
      <c r="X47" s="191">
        <v>141333030.47</v>
      </c>
      <c r="Y47" s="191">
        <v>144768187.38</v>
      </c>
      <c r="Z47" s="191">
        <v>90962137.049999997</v>
      </c>
      <c r="AA47" s="191">
        <v>86833174.109999999</v>
      </c>
      <c r="AB47" s="191">
        <v>89647964.659999996</v>
      </c>
      <c r="AC47" s="191">
        <v>89376649.379999995</v>
      </c>
      <c r="AD47" s="191">
        <v>89927590.230000004</v>
      </c>
      <c r="AE47" s="191">
        <v>95645357.810000002</v>
      </c>
      <c r="AF47" s="191">
        <v>77977867.230000004</v>
      </c>
      <c r="AG47" s="191">
        <v>28273560.960000001</v>
      </c>
      <c r="AH47" s="191">
        <v>34648761.43</v>
      </c>
      <c r="AI47" s="191">
        <v>0</v>
      </c>
    </row>
    <row r="48" spans="1:35" x14ac:dyDescent="0.25">
      <c r="A48" s="191" t="s">
        <v>152</v>
      </c>
      <c r="B48" s="191">
        <v>37677413.530000001</v>
      </c>
      <c r="C48" s="191">
        <v>15834630.83</v>
      </c>
      <c r="D48" s="191">
        <v>19213908.489999998</v>
      </c>
      <c r="E48" s="191">
        <v>2206717.0099999998</v>
      </c>
      <c r="F48" s="191">
        <v>18761336.550000001</v>
      </c>
      <c r="G48" s="191">
        <v>20081627.260000002</v>
      </c>
      <c r="H48" s="191">
        <v>19320789.170000002</v>
      </c>
      <c r="I48" s="191">
        <v>1799513.57</v>
      </c>
      <c r="J48" s="191">
        <v>10312673.84</v>
      </c>
      <c r="K48" s="191">
        <v>8869768.8699999992</v>
      </c>
      <c r="L48" s="191">
        <v>788083.11</v>
      </c>
      <c r="M48" s="191">
        <v>476642.49</v>
      </c>
      <c r="N48" s="191">
        <v>6478353.0499999998</v>
      </c>
      <c r="O48" s="191">
        <v>1486485.68</v>
      </c>
      <c r="P48" s="191">
        <v>924314.22</v>
      </c>
      <c r="Q48" s="191">
        <v>757140.96</v>
      </c>
      <c r="R48" s="191">
        <v>430707.16</v>
      </c>
      <c r="S48" s="191">
        <v>54015.94</v>
      </c>
      <c r="T48" s="191">
        <v>287329.27</v>
      </c>
      <c r="U48" s="191">
        <v>280507.63</v>
      </c>
      <c r="V48" s="191">
        <v>674364.47</v>
      </c>
      <c r="W48" s="191">
        <v>11145.9</v>
      </c>
      <c r="X48" s="191">
        <v>232807.01</v>
      </c>
      <c r="Y48" s="191">
        <v>85151.15</v>
      </c>
      <c r="Z48" s="191">
        <v>397181.59</v>
      </c>
      <c r="AA48" s="191">
        <v>344580</v>
      </c>
      <c r="AB48" s="191">
        <v>591708.96</v>
      </c>
      <c r="AC48" s="191">
        <v>1200</v>
      </c>
      <c r="AD48" s="191">
        <v>120600</v>
      </c>
      <c r="AE48" s="191">
        <v>139838.96</v>
      </c>
      <c r="AF48" s="191">
        <v>192762.5</v>
      </c>
      <c r="AG48" s="191">
        <v>73642.14</v>
      </c>
      <c r="AH48" s="191">
        <v>1537.79</v>
      </c>
      <c r="AI48" s="191">
        <v>0</v>
      </c>
    </row>
    <row r="49" spans="1:35" x14ac:dyDescent="0.25">
      <c r="A49" s="191" t="s">
        <v>153</v>
      </c>
      <c r="B49" s="191">
        <v>0</v>
      </c>
      <c r="C49" s="191">
        <v>0</v>
      </c>
      <c r="D49" s="191">
        <v>0</v>
      </c>
      <c r="E49" s="191">
        <v>0</v>
      </c>
      <c r="F49" s="191">
        <v>0</v>
      </c>
      <c r="G49" s="191">
        <v>0</v>
      </c>
      <c r="H49" s="191">
        <v>0</v>
      </c>
      <c r="I49" s="191">
        <v>0</v>
      </c>
      <c r="J49" s="191">
        <v>0</v>
      </c>
      <c r="K49" s="191">
        <v>0</v>
      </c>
      <c r="L49" s="191">
        <v>0</v>
      </c>
      <c r="M49" s="191">
        <v>0</v>
      </c>
      <c r="N49" s="191">
        <v>0</v>
      </c>
      <c r="O49" s="191">
        <v>0</v>
      </c>
      <c r="P49" s="191">
        <v>0</v>
      </c>
      <c r="Q49" s="191">
        <v>0</v>
      </c>
      <c r="R49" s="191">
        <v>0</v>
      </c>
      <c r="S49" s="191">
        <v>0</v>
      </c>
      <c r="T49" s="191">
        <v>0</v>
      </c>
      <c r="U49" s="191">
        <v>0</v>
      </c>
      <c r="V49" s="191">
        <v>0</v>
      </c>
      <c r="W49" s="191">
        <v>0</v>
      </c>
      <c r="X49" s="191">
        <v>0</v>
      </c>
      <c r="Y49" s="191">
        <v>0</v>
      </c>
      <c r="Z49" s="191">
        <v>0</v>
      </c>
      <c r="AA49" s="191">
        <v>0</v>
      </c>
      <c r="AB49" s="191">
        <v>0</v>
      </c>
      <c r="AC49" s="191">
        <v>0</v>
      </c>
      <c r="AD49" s="191">
        <v>0</v>
      </c>
      <c r="AE49" s="191">
        <v>0</v>
      </c>
      <c r="AF49" s="191">
        <v>0</v>
      </c>
      <c r="AG49" s="191">
        <v>0</v>
      </c>
      <c r="AH49" s="191">
        <v>0</v>
      </c>
      <c r="AI49" s="191">
        <v>0</v>
      </c>
    </row>
    <row r="50" spans="1:35" x14ac:dyDescent="0.25">
      <c r="A50" s="191" t="s">
        <v>154</v>
      </c>
      <c r="B50" s="191">
        <v>135036785.02000001</v>
      </c>
      <c r="C50" s="191">
        <v>106756961.06</v>
      </c>
      <c r="D50" s="191">
        <v>80365403</v>
      </c>
      <c r="E50" s="191">
        <v>63918111.630000003</v>
      </c>
      <c r="F50" s="191">
        <v>129581960.88</v>
      </c>
      <c r="G50" s="191">
        <v>116698588.29000001</v>
      </c>
      <c r="H50" s="191">
        <v>92374449.599999994</v>
      </c>
      <c r="I50" s="191">
        <v>64856152.950000003</v>
      </c>
      <c r="J50" s="191">
        <v>120912330.94</v>
      </c>
      <c r="K50" s="191">
        <v>97266394.200000003</v>
      </c>
      <c r="L50" s="191">
        <v>83004254.370000005</v>
      </c>
      <c r="M50" s="191">
        <v>43766813.350000001</v>
      </c>
      <c r="N50" s="191">
        <v>103510981.95</v>
      </c>
      <c r="O50" s="191">
        <v>74591803</v>
      </c>
      <c r="P50" s="191">
        <v>24883752.760000002</v>
      </c>
      <c r="Q50" s="191">
        <v>6282587.7000000002</v>
      </c>
      <c r="R50" s="191">
        <v>25869982.940000001</v>
      </c>
      <c r="S50" s="191">
        <v>7456532.8499999996</v>
      </c>
      <c r="T50" s="191">
        <v>5650061.4900000002</v>
      </c>
      <c r="U50" s="191">
        <v>4920040.33</v>
      </c>
      <c r="V50" s="191">
        <v>13360432.4</v>
      </c>
      <c r="W50" s="191">
        <v>5498201.9500000002</v>
      </c>
      <c r="X50" s="191">
        <v>5567430.1699999999</v>
      </c>
      <c r="Y50" s="191">
        <v>8756933.1699999999</v>
      </c>
      <c r="Z50" s="191">
        <v>8378516.6299999999</v>
      </c>
      <c r="AA50" s="191">
        <v>2331725.9</v>
      </c>
      <c r="AB50" s="191">
        <v>2399002.98</v>
      </c>
      <c r="AC50" s="191">
        <v>7035607.9299999997</v>
      </c>
      <c r="AD50" s="191">
        <v>22772314.920000002</v>
      </c>
      <c r="AE50" s="191">
        <v>15126699.18</v>
      </c>
      <c r="AF50" s="191">
        <v>3917707.93</v>
      </c>
      <c r="AG50" s="191">
        <v>4023756.41</v>
      </c>
      <c r="AH50" s="191">
        <v>245862.98</v>
      </c>
      <c r="AI50" s="191">
        <v>0</v>
      </c>
    </row>
    <row r="51" spans="1:35" x14ac:dyDescent="0.25">
      <c r="A51" s="191" t="s">
        <v>155</v>
      </c>
      <c r="B51" s="191">
        <v>36906676.75</v>
      </c>
      <c r="C51" s="191">
        <v>35794490.649999999</v>
      </c>
      <c r="D51" s="191">
        <v>33765926.899999999</v>
      </c>
      <c r="E51" s="191">
        <v>52377299.350000001</v>
      </c>
      <c r="F51" s="191">
        <v>28546918.670000002</v>
      </c>
      <c r="G51" s="191">
        <v>41313036.990000002</v>
      </c>
      <c r="H51" s="191">
        <v>36481306.869999997</v>
      </c>
      <c r="I51" s="191">
        <v>35506760.590000004</v>
      </c>
      <c r="J51" s="191">
        <v>22994252.32</v>
      </c>
      <c r="K51" s="191">
        <v>31619847.280000001</v>
      </c>
      <c r="L51" s="191">
        <v>41348909.740000002</v>
      </c>
      <c r="M51" s="191">
        <v>32181720.289999999</v>
      </c>
      <c r="N51" s="191">
        <v>27305566.800000001</v>
      </c>
      <c r="O51" s="191">
        <v>21879832.41</v>
      </c>
      <c r="P51" s="191">
        <v>12744614.720000001</v>
      </c>
      <c r="Q51" s="191">
        <v>12911863.550000001</v>
      </c>
      <c r="R51" s="191">
        <v>10303285.699999999</v>
      </c>
      <c r="S51" s="191">
        <v>7712606.5700000003</v>
      </c>
      <c r="T51" s="191">
        <v>11825309.9</v>
      </c>
      <c r="U51" s="191">
        <v>12765222.02</v>
      </c>
      <c r="V51" s="191">
        <v>6622124.5999999996</v>
      </c>
      <c r="W51" s="191">
        <v>6054883.4100000001</v>
      </c>
      <c r="X51" s="191">
        <v>8956041.3399999999</v>
      </c>
      <c r="Y51" s="191">
        <v>-3620664.85</v>
      </c>
      <c r="Z51" s="191">
        <v>-1883970.67</v>
      </c>
      <c r="AA51" s="191">
        <v>9523213.6199999992</v>
      </c>
      <c r="AB51" s="191">
        <v>12378361.49</v>
      </c>
      <c r="AC51" s="191">
        <v>6386685.2699999996</v>
      </c>
      <c r="AD51" s="191">
        <v>5463987.1799999997</v>
      </c>
      <c r="AE51" s="191">
        <v>13633343.34</v>
      </c>
      <c r="AF51" s="191">
        <v>10580653.16</v>
      </c>
      <c r="AG51" s="191">
        <v>2413439.2000000002</v>
      </c>
      <c r="AH51" s="191">
        <v>-7498325.1100000003</v>
      </c>
      <c r="AI51" s="191">
        <v>0</v>
      </c>
    </row>
    <row r="52" spans="1:35" x14ac:dyDescent="0.25">
      <c r="A52" s="191" t="s">
        <v>156</v>
      </c>
      <c r="B52" s="191">
        <v>0</v>
      </c>
      <c r="C52" s="191">
        <v>0</v>
      </c>
      <c r="D52" s="191">
        <v>0</v>
      </c>
      <c r="E52" s="191">
        <v>0</v>
      </c>
      <c r="F52" s="191">
        <v>0</v>
      </c>
      <c r="G52" s="191">
        <v>0</v>
      </c>
      <c r="H52" s="191">
        <v>0</v>
      </c>
      <c r="I52" s="191">
        <v>0</v>
      </c>
      <c r="J52" s="191">
        <v>0</v>
      </c>
      <c r="K52" s="191">
        <v>0</v>
      </c>
      <c r="L52" s="191">
        <v>0</v>
      </c>
      <c r="M52" s="191">
        <v>0</v>
      </c>
      <c r="N52" s="191">
        <v>0</v>
      </c>
      <c r="O52" s="191">
        <v>0</v>
      </c>
      <c r="P52" s="191">
        <v>0</v>
      </c>
      <c r="Q52" s="191">
        <v>0</v>
      </c>
      <c r="R52" s="191">
        <v>0</v>
      </c>
      <c r="S52" s="191">
        <v>0</v>
      </c>
      <c r="T52" s="191">
        <v>0</v>
      </c>
      <c r="U52" s="191">
        <v>0</v>
      </c>
      <c r="V52" s="191">
        <v>0</v>
      </c>
      <c r="W52" s="191">
        <v>0</v>
      </c>
      <c r="X52" s="191">
        <v>0</v>
      </c>
      <c r="Y52" s="191">
        <v>0</v>
      </c>
      <c r="Z52" s="191">
        <v>0</v>
      </c>
      <c r="AA52" s="191">
        <v>0</v>
      </c>
      <c r="AB52" s="191">
        <v>0</v>
      </c>
      <c r="AC52" s="191">
        <v>0</v>
      </c>
      <c r="AD52" s="191">
        <v>0</v>
      </c>
      <c r="AE52" s="191">
        <v>0</v>
      </c>
      <c r="AF52" s="191">
        <v>0</v>
      </c>
      <c r="AG52" s="191">
        <v>0</v>
      </c>
      <c r="AH52" s="191">
        <v>0</v>
      </c>
      <c r="AI52" s="191">
        <v>0</v>
      </c>
    </row>
    <row r="53" spans="1:35" x14ac:dyDescent="0.25">
      <c r="A53" s="191" t="s">
        <v>157</v>
      </c>
      <c r="B53" s="191">
        <v>0</v>
      </c>
      <c r="C53" s="191">
        <v>0</v>
      </c>
      <c r="D53" s="191">
        <v>0</v>
      </c>
      <c r="E53" s="191">
        <v>0</v>
      </c>
      <c r="F53" s="191">
        <v>0</v>
      </c>
      <c r="G53" s="191">
        <v>0</v>
      </c>
      <c r="H53" s="191">
        <v>127278650.09999999</v>
      </c>
      <c r="I53" s="191">
        <v>0</v>
      </c>
      <c r="J53" s="191">
        <v>0</v>
      </c>
      <c r="K53" s="191">
        <v>0</v>
      </c>
      <c r="L53" s="191">
        <v>0</v>
      </c>
      <c r="M53" s="191">
        <v>0</v>
      </c>
      <c r="N53" s="191">
        <v>0</v>
      </c>
      <c r="O53" s="191">
        <v>0</v>
      </c>
      <c r="P53" s="191">
        <v>0</v>
      </c>
      <c r="Q53" s="191">
        <v>0</v>
      </c>
      <c r="R53" s="191">
        <v>0</v>
      </c>
      <c r="S53" s="191">
        <v>0</v>
      </c>
      <c r="T53" s="191">
        <v>0</v>
      </c>
      <c r="U53" s="191">
        <v>0</v>
      </c>
      <c r="V53" s="191">
        <v>0</v>
      </c>
      <c r="W53" s="191">
        <v>0</v>
      </c>
      <c r="X53" s="191">
        <v>0</v>
      </c>
      <c r="Y53" s="191">
        <v>0</v>
      </c>
      <c r="Z53" s="191">
        <v>0</v>
      </c>
      <c r="AA53" s="191">
        <v>0</v>
      </c>
      <c r="AB53" s="191">
        <v>68910000</v>
      </c>
      <c r="AC53" s="191">
        <v>0</v>
      </c>
      <c r="AD53" s="191">
        <v>0</v>
      </c>
      <c r="AE53" s="191">
        <v>0</v>
      </c>
      <c r="AF53" s="191">
        <v>0</v>
      </c>
      <c r="AG53" s="191">
        <v>0</v>
      </c>
      <c r="AH53" s="191">
        <v>0</v>
      </c>
      <c r="AI53" s="191">
        <v>0</v>
      </c>
    </row>
    <row r="54" spans="1:35" x14ac:dyDescent="0.25">
      <c r="A54" s="191" t="s">
        <v>158</v>
      </c>
      <c r="B54" s="191">
        <v>50604709.75</v>
      </c>
      <c r="C54" s="191">
        <v>40924383.149999999</v>
      </c>
      <c r="D54" s="191">
        <v>45024679.939999998</v>
      </c>
      <c r="E54" s="191">
        <v>49709791.909999996</v>
      </c>
      <c r="F54" s="191">
        <v>39500557.920000002</v>
      </c>
      <c r="G54" s="191">
        <v>41473895.990000002</v>
      </c>
      <c r="H54" s="191">
        <v>40860629.090000004</v>
      </c>
      <c r="I54" s="191">
        <v>30798743.030000001</v>
      </c>
      <c r="J54" s="191">
        <v>20067764.870000001</v>
      </c>
      <c r="K54" s="191">
        <v>13419661.65</v>
      </c>
      <c r="L54" s="191">
        <v>21577432.829999998</v>
      </c>
      <c r="M54" s="191">
        <v>9123735.5299999993</v>
      </c>
      <c r="N54" s="191">
        <v>6831941.9699999997</v>
      </c>
      <c r="O54" s="191">
        <v>6565746.4199999999</v>
      </c>
      <c r="P54" s="191">
        <v>5142971.21</v>
      </c>
      <c r="Q54" s="191">
        <v>4730151.87</v>
      </c>
      <c r="R54" s="191">
        <v>5763638</v>
      </c>
      <c r="S54" s="191">
        <v>4961341.53</v>
      </c>
      <c r="T54" s="191">
        <v>5009273.68</v>
      </c>
      <c r="U54" s="191">
        <v>4179207.81</v>
      </c>
      <c r="V54" s="191">
        <v>5126698.3600000003</v>
      </c>
      <c r="W54" s="191">
        <v>3674119.02</v>
      </c>
      <c r="X54" s="191">
        <v>4002852.99</v>
      </c>
      <c r="Y54" s="191">
        <v>3669565.98</v>
      </c>
      <c r="Z54" s="191">
        <v>4255449.8600000003</v>
      </c>
      <c r="AA54" s="191">
        <v>3703248.8</v>
      </c>
      <c r="AB54" s="191">
        <v>5047021.34</v>
      </c>
      <c r="AC54" s="191">
        <v>7289628.1699999999</v>
      </c>
      <c r="AD54" s="191">
        <v>18023160.82</v>
      </c>
      <c r="AE54" s="191">
        <v>16513163.5</v>
      </c>
      <c r="AF54" s="191">
        <v>41932081.890000001</v>
      </c>
      <c r="AG54" s="191">
        <v>37738663.57</v>
      </c>
      <c r="AH54" s="191">
        <v>32569373.59</v>
      </c>
      <c r="AI54" s="191">
        <v>0</v>
      </c>
    </row>
    <row r="55" spans="1:35" x14ac:dyDescent="0.25">
      <c r="A55" s="191" t="s">
        <v>159</v>
      </c>
      <c r="B55" s="191">
        <v>0</v>
      </c>
      <c r="C55" s="191">
        <v>0</v>
      </c>
      <c r="D55" s="191">
        <v>0</v>
      </c>
      <c r="E55" s="191">
        <v>0</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row>
    <row r="56" spans="1:35" x14ac:dyDescent="0.25">
      <c r="A56" s="191" t="s">
        <v>160</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row>
    <row r="57" spans="1:35" x14ac:dyDescent="0.25">
      <c r="A57" s="191" t="s">
        <v>161</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row>
    <row r="58" spans="1:35" x14ac:dyDescent="0.25">
      <c r="A58" s="191" t="s">
        <v>162</v>
      </c>
      <c r="B58" s="191">
        <v>1993398</v>
      </c>
      <c r="C58" s="191">
        <v>1940966.38</v>
      </c>
      <c r="D58" s="191">
        <v>1901131.58</v>
      </c>
      <c r="E58" s="191">
        <v>1931470.31</v>
      </c>
      <c r="F58" s="191">
        <v>1948951.34</v>
      </c>
      <c r="G58" s="191">
        <v>1603764.68</v>
      </c>
      <c r="H58" s="191">
        <v>1610046.15</v>
      </c>
      <c r="I58" s="191">
        <v>1785316.59</v>
      </c>
      <c r="J58" s="191">
        <v>1604314.74</v>
      </c>
      <c r="K58" s="191">
        <v>2038338.04</v>
      </c>
      <c r="L58" s="191">
        <v>1562478.14</v>
      </c>
      <c r="M58" s="191">
        <v>0</v>
      </c>
      <c r="N58" s="191">
        <v>0</v>
      </c>
      <c r="O58" s="191">
        <v>0</v>
      </c>
      <c r="P58" s="191">
        <v>0</v>
      </c>
      <c r="Q58" s="191">
        <v>0</v>
      </c>
      <c r="R58" s="191">
        <v>0</v>
      </c>
      <c r="S58" s="191">
        <v>0</v>
      </c>
      <c r="T58" s="191">
        <v>0</v>
      </c>
      <c r="U58" s="191">
        <v>0</v>
      </c>
      <c r="V58" s="191">
        <v>0</v>
      </c>
      <c r="W58" s="191">
        <v>0</v>
      </c>
      <c r="X58" s="191">
        <v>0</v>
      </c>
      <c r="Y58" s="191">
        <v>0</v>
      </c>
      <c r="Z58" s="191">
        <v>0</v>
      </c>
      <c r="AA58" s="191">
        <v>0</v>
      </c>
      <c r="AB58" s="191">
        <v>0</v>
      </c>
      <c r="AC58" s="191">
        <v>0</v>
      </c>
      <c r="AD58" s="191">
        <v>0</v>
      </c>
      <c r="AE58" s="191">
        <v>0</v>
      </c>
      <c r="AF58" s="191">
        <v>0</v>
      </c>
      <c r="AG58" s="191">
        <v>0</v>
      </c>
      <c r="AH58" s="191">
        <v>0</v>
      </c>
      <c r="AI58" s="191">
        <v>0</v>
      </c>
    </row>
    <row r="59" spans="1:35" x14ac:dyDescent="0.25">
      <c r="A59" s="191" t="s">
        <v>163</v>
      </c>
      <c r="B59" s="191">
        <v>0</v>
      </c>
      <c r="C59" s="191">
        <v>0</v>
      </c>
      <c r="D59" s="191">
        <v>0</v>
      </c>
      <c r="E59" s="191">
        <v>0</v>
      </c>
      <c r="F59" s="191">
        <v>0</v>
      </c>
      <c r="G59" s="191">
        <v>0</v>
      </c>
      <c r="H59" s="191">
        <v>0</v>
      </c>
      <c r="I59" s="191">
        <v>0</v>
      </c>
      <c r="J59" s="191">
        <v>0</v>
      </c>
      <c r="K59" s="191">
        <v>0</v>
      </c>
      <c r="L59" s="191">
        <v>2123367.7999999998</v>
      </c>
      <c r="M59" s="191">
        <v>0</v>
      </c>
      <c r="N59" s="191">
        <v>0</v>
      </c>
      <c r="O59" s="191">
        <v>0</v>
      </c>
      <c r="P59" s="191">
        <v>0</v>
      </c>
      <c r="Q59" s="191">
        <v>0</v>
      </c>
      <c r="R59" s="191">
        <v>0</v>
      </c>
      <c r="S59" s="191">
        <v>0</v>
      </c>
      <c r="T59" s="191">
        <v>0</v>
      </c>
      <c r="U59" s="191">
        <v>0</v>
      </c>
      <c r="V59" s="191">
        <v>0</v>
      </c>
      <c r="W59" s="191">
        <v>0</v>
      </c>
      <c r="X59" s="191">
        <v>0</v>
      </c>
      <c r="Y59" s="191">
        <v>0</v>
      </c>
      <c r="Z59" s="191">
        <v>0</v>
      </c>
      <c r="AA59" s="191">
        <v>0</v>
      </c>
      <c r="AB59" s="191">
        <v>0</v>
      </c>
      <c r="AC59" s="191">
        <v>0</v>
      </c>
      <c r="AD59" s="191">
        <v>0</v>
      </c>
      <c r="AE59" s="191">
        <v>0</v>
      </c>
      <c r="AF59" s="191">
        <v>0</v>
      </c>
      <c r="AG59" s="191">
        <v>0</v>
      </c>
      <c r="AH59" s="191">
        <v>0</v>
      </c>
      <c r="AI59" s="191">
        <v>0</v>
      </c>
    </row>
    <row r="60" spans="1:35" x14ac:dyDescent="0.25">
      <c r="A60" s="191" t="s">
        <v>164</v>
      </c>
      <c r="B60" s="191">
        <v>452452839.12</v>
      </c>
      <c r="C60" s="191">
        <v>418757822.27999997</v>
      </c>
      <c r="D60" s="191">
        <v>386057302.17000002</v>
      </c>
      <c r="E60" s="191">
        <v>429385984.35000002</v>
      </c>
      <c r="F60" s="191">
        <v>469941906.56</v>
      </c>
      <c r="G60" s="191">
        <v>490224549.98000002</v>
      </c>
      <c r="H60" s="191">
        <v>553678987.52999997</v>
      </c>
      <c r="I60" s="191">
        <v>394589256.75999999</v>
      </c>
      <c r="J60" s="191">
        <v>512332454.38999999</v>
      </c>
      <c r="K60" s="191">
        <v>633762713.17999995</v>
      </c>
      <c r="L60" s="191">
        <v>588322692.39999998</v>
      </c>
      <c r="M60" s="191">
        <v>404471825.94</v>
      </c>
      <c r="N60" s="191">
        <v>369531819.49000001</v>
      </c>
      <c r="O60" s="191">
        <v>285229978.67000002</v>
      </c>
      <c r="P60" s="191">
        <v>190410877.56</v>
      </c>
      <c r="Q60" s="191">
        <v>185565209.88</v>
      </c>
      <c r="R60" s="191">
        <v>208104048.44</v>
      </c>
      <c r="S60" s="191">
        <v>168324599.59</v>
      </c>
      <c r="T60" s="191">
        <v>191196762.16</v>
      </c>
      <c r="U60" s="191">
        <v>189612071.81</v>
      </c>
      <c r="V60" s="191">
        <v>162879682.97999999</v>
      </c>
      <c r="W60" s="191">
        <v>155747270.21000001</v>
      </c>
      <c r="X60" s="191">
        <v>260643963.97999999</v>
      </c>
      <c r="Y60" s="191">
        <v>242033302.83000001</v>
      </c>
      <c r="Z60" s="191">
        <v>102109314.45999999</v>
      </c>
      <c r="AA60" s="191">
        <v>102735942.43000001</v>
      </c>
      <c r="AB60" s="191">
        <v>215324059.43000001</v>
      </c>
      <c r="AC60" s="191">
        <v>263184732.75</v>
      </c>
      <c r="AD60" s="191">
        <v>209920783.15000001</v>
      </c>
      <c r="AE60" s="191">
        <v>259193875.69999999</v>
      </c>
      <c r="AF60" s="191">
        <v>272172120.70999998</v>
      </c>
      <c r="AG60" s="191">
        <v>142523062.28</v>
      </c>
      <c r="AH60" s="191">
        <v>239967210.68000001</v>
      </c>
      <c r="AI60" s="191">
        <v>0</v>
      </c>
    </row>
    <row r="61" spans="1:35" x14ac:dyDescent="0.25">
      <c r="A61" s="191" t="s">
        <v>165</v>
      </c>
    </row>
    <row r="62" spans="1:35" x14ac:dyDescent="0.25">
      <c r="A62" s="191" t="s">
        <v>166</v>
      </c>
      <c r="B62" s="191">
        <v>6593688.7400000002</v>
      </c>
      <c r="C62" s="191">
        <v>6941726.4900000002</v>
      </c>
      <c r="D62" s="191">
        <v>7275665.4100000001</v>
      </c>
      <c r="E62" s="191">
        <v>7863236.6100000003</v>
      </c>
      <c r="F62" s="191">
        <v>8388960.0700000003</v>
      </c>
      <c r="G62" s="191">
        <v>9278738.7200000007</v>
      </c>
      <c r="H62" s="191">
        <v>9803851.9199999999</v>
      </c>
      <c r="I62" s="191">
        <v>9799618.5399999991</v>
      </c>
      <c r="J62" s="191">
        <v>380150325.94</v>
      </c>
      <c r="K62" s="191">
        <v>578364955.11000001</v>
      </c>
      <c r="L62" s="191">
        <v>567460890.89999998</v>
      </c>
      <c r="M62" s="191">
        <v>0</v>
      </c>
      <c r="N62" s="191">
        <v>0</v>
      </c>
      <c r="O62" s="191">
        <v>0</v>
      </c>
      <c r="P62" s="191">
        <v>0</v>
      </c>
      <c r="Q62" s="191">
        <v>10000000</v>
      </c>
      <c r="R62" s="191">
        <v>10000000</v>
      </c>
      <c r="S62" s="191">
        <v>10000000</v>
      </c>
      <c r="T62" s="191">
        <v>0</v>
      </c>
      <c r="U62" s="191">
        <v>0</v>
      </c>
      <c r="V62" s="191">
        <v>0</v>
      </c>
      <c r="W62" s="191">
        <v>0</v>
      </c>
      <c r="X62" s="191">
        <v>0</v>
      </c>
      <c r="Y62" s="191">
        <v>0</v>
      </c>
      <c r="Z62" s="191">
        <v>0</v>
      </c>
      <c r="AA62" s="191">
        <v>0</v>
      </c>
      <c r="AB62" s="191">
        <v>0</v>
      </c>
      <c r="AC62" s="191">
        <v>100000000</v>
      </c>
      <c r="AD62" s="191">
        <v>112500000</v>
      </c>
      <c r="AE62" s="191">
        <v>125000000</v>
      </c>
      <c r="AF62" s="191">
        <v>99870000</v>
      </c>
      <c r="AG62" s="191">
        <v>156870000</v>
      </c>
      <c r="AH62" s="191">
        <v>0</v>
      </c>
      <c r="AI62" s="191">
        <v>0</v>
      </c>
    </row>
    <row r="63" spans="1:35" x14ac:dyDescent="0.25">
      <c r="A63" s="191" t="s">
        <v>167</v>
      </c>
      <c r="B63" s="191">
        <v>0</v>
      </c>
      <c r="C63" s="191">
        <v>0</v>
      </c>
      <c r="D63" s="191">
        <v>0</v>
      </c>
      <c r="E63" s="191">
        <v>0</v>
      </c>
      <c r="F63" s="191">
        <v>0</v>
      </c>
      <c r="G63" s="191">
        <v>0</v>
      </c>
      <c r="H63" s="191">
        <v>0</v>
      </c>
      <c r="I63" s="191">
        <v>0</v>
      </c>
      <c r="J63" s="191">
        <v>0</v>
      </c>
      <c r="K63" s="191">
        <v>0</v>
      </c>
      <c r="L63" s="191">
        <v>0</v>
      </c>
      <c r="M63" s="191">
        <v>0</v>
      </c>
      <c r="N63" s="191">
        <v>0</v>
      </c>
      <c r="O63" s="191">
        <v>0</v>
      </c>
      <c r="P63" s="191">
        <v>0</v>
      </c>
      <c r="Q63" s="191">
        <v>0</v>
      </c>
      <c r="R63" s="191">
        <v>0</v>
      </c>
      <c r="S63" s="191">
        <v>0</v>
      </c>
      <c r="T63" s="191">
        <v>0</v>
      </c>
      <c r="U63" s="191">
        <v>0</v>
      </c>
      <c r="V63" s="191">
        <v>0</v>
      </c>
      <c r="W63" s="191">
        <v>0</v>
      </c>
      <c r="X63" s="191">
        <v>0</v>
      </c>
      <c r="Y63" s="191">
        <v>0</v>
      </c>
      <c r="Z63" s="191">
        <v>0</v>
      </c>
      <c r="AA63" s="191">
        <v>0</v>
      </c>
      <c r="AB63" s="191">
        <v>0</v>
      </c>
      <c r="AC63" s="191">
        <v>0</v>
      </c>
      <c r="AD63" s="191">
        <v>0</v>
      </c>
      <c r="AE63" s="191">
        <v>0</v>
      </c>
      <c r="AF63" s="191">
        <v>0</v>
      </c>
      <c r="AG63" s="191">
        <v>0</v>
      </c>
      <c r="AH63" s="191">
        <v>0</v>
      </c>
      <c r="AI63" s="191">
        <v>0</v>
      </c>
    </row>
    <row r="64" spans="1:35" x14ac:dyDescent="0.25">
      <c r="A64" s="191" t="s">
        <v>168</v>
      </c>
      <c r="B64" s="191">
        <v>0</v>
      </c>
      <c r="C64" s="191">
        <v>0</v>
      </c>
      <c r="D64" s="191">
        <v>0</v>
      </c>
      <c r="E64" s="191">
        <v>0</v>
      </c>
      <c r="F64" s="191">
        <v>0</v>
      </c>
      <c r="G64" s="191">
        <v>0</v>
      </c>
      <c r="H64" s="191">
        <v>0</v>
      </c>
      <c r="I64" s="191">
        <v>0</v>
      </c>
      <c r="J64" s="191">
        <v>0</v>
      </c>
      <c r="K64" s="191">
        <v>0</v>
      </c>
      <c r="L64" s="191">
        <v>0</v>
      </c>
      <c r="M64" s="191">
        <v>0</v>
      </c>
      <c r="N64" s="191">
        <v>0</v>
      </c>
      <c r="O64" s="191">
        <v>0</v>
      </c>
      <c r="P64" s="191">
        <v>0</v>
      </c>
      <c r="Q64" s="191">
        <v>0</v>
      </c>
      <c r="R64" s="191">
        <v>0</v>
      </c>
      <c r="S64" s="191">
        <v>0</v>
      </c>
      <c r="T64" s="191">
        <v>0</v>
      </c>
      <c r="U64" s="191">
        <v>0</v>
      </c>
      <c r="V64" s="191">
        <v>0</v>
      </c>
      <c r="W64" s="191">
        <v>0</v>
      </c>
      <c r="X64" s="191">
        <v>0</v>
      </c>
      <c r="Y64" s="191">
        <v>0</v>
      </c>
      <c r="Z64" s="191">
        <v>0</v>
      </c>
      <c r="AA64" s="191">
        <v>0</v>
      </c>
      <c r="AB64" s="191">
        <v>0</v>
      </c>
      <c r="AC64" s="191">
        <v>0</v>
      </c>
      <c r="AD64" s="191">
        <v>0</v>
      </c>
      <c r="AE64" s="191">
        <v>0</v>
      </c>
      <c r="AF64" s="191">
        <v>0</v>
      </c>
      <c r="AG64" s="191">
        <v>0</v>
      </c>
      <c r="AH64" s="191">
        <v>0</v>
      </c>
      <c r="AI64" s="191">
        <v>0</v>
      </c>
    </row>
    <row r="65" spans="1:35" x14ac:dyDescent="0.25">
      <c r="A65" s="191" t="s">
        <v>169</v>
      </c>
      <c r="B65" s="191">
        <v>5053705.47</v>
      </c>
      <c r="C65" s="191">
        <v>4632268.43</v>
      </c>
      <c r="D65" s="191">
        <v>4121516.28</v>
      </c>
      <c r="E65" s="191">
        <v>3763588.12</v>
      </c>
      <c r="F65" s="191">
        <v>2339701.42</v>
      </c>
      <c r="G65" s="191">
        <v>1692346.74</v>
      </c>
      <c r="H65" s="191">
        <v>1636044.86</v>
      </c>
      <c r="I65" s="191">
        <v>1544183.14</v>
      </c>
      <c r="J65" s="191">
        <v>1665363.19</v>
      </c>
      <c r="K65" s="191">
        <v>1575082.41</v>
      </c>
      <c r="L65" s="191">
        <v>0</v>
      </c>
      <c r="M65" s="191">
        <v>0</v>
      </c>
      <c r="N65" s="191">
        <v>0</v>
      </c>
      <c r="O65" s="191">
        <v>0</v>
      </c>
      <c r="P65" s="191">
        <v>0</v>
      </c>
      <c r="Q65" s="191">
        <v>0</v>
      </c>
      <c r="R65" s="191">
        <v>0</v>
      </c>
      <c r="S65" s="191">
        <v>0</v>
      </c>
      <c r="T65" s="191">
        <v>0</v>
      </c>
      <c r="U65" s="191">
        <v>0</v>
      </c>
      <c r="V65" s="191">
        <v>0</v>
      </c>
      <c r="W65" s="191">
        <v>0</v>
      </c>
      <c r="X65" s="191">
        <v>0</v>
      </c>
      <c r="Y65" s="191">
        <v>0</v>
      </c>
      <c r="Z65" s="191">
        <v>0</v>
      </c>
      <c r="AA65" s="191">
        <v>0</v>
      </c>
      <c r="AB65" s="191">
        <v>0</v>
      </c>
      <c r="AC65" s="191">
        <v>0</v>
      </c>
      <c r="AD65" s="191">
        <v>0</v>
      </c>
      <c r="AE65" s="191">
        <v>0</v>
      </c>
      <c r="AF65" s="191">
        <v>0</v>
      </c>
      <c r="AG65" s="191">
        <v>0</v>
      </c>
      <c r="AH65" s="191">
        <v>0</v>
      </c>
      <c r="AI65" s="191">
        <v>0</v>
      </c>
    </row>
    <row r="66" spans="1:35" x14ac:dyDescent="0.25">
      <c r="A66" s="191" t="s">
        <v>170</v>
      </c>
      <c r="B66" s="191">
        <v>0</v>
      </c>
      <c r="C66" s="191">
        <v>0</v>
      </c>
      <c r="D66" s="191">
        <v>0</v>
      </c>
      <c r="E66" s="191">
        <v>0</v>
      </c>
      <c r="F66" s="191">
        <v>0</v>
      </c>
      <c r="G66" s="191">
        <v>0</v>
      </c>
      <c r="H66" s="191">
        <v>0</v>
      </c>
      <c r="I66" s="191">
        <v>0</v>
      </c>
      <c r="J66" s="191">
        <v>0</v>
      </c>
      <c r="K66" s="191">
        <v>0</v>
      </c>
      <c r="L66" s="191">
        <v>0</v>
      </c>
      <c r="M66" s="191">
        <v>0</v>
      </c>
      <c r="N66" s="191">
        <v>0</v>
      </c>
      <c r="O66" s="191">
        <v>0</v>
      </c>
      <c r="P66" s="191">
        <v>0</v>
      </c>
      <c r="Q66" s="191">
        <v>0</v>
      </c>
      <c r="R66" s="191">
        <v>0</v>
      </c>
      <c r="S66" s="191">
        <v>0</v>
      </c>
      <c r="T66" s="191">
        <v>0</v>
      </c>
      <c r="U66" s="191">
        <v>0</v>
      </c>
      <c r="V66" s="191">
        <v>0</v>
      </c>
      <c r="W66" s="191">
        <v>0</v>
      </c>
      <c r="X66" s="191">
        <v>0</v>
      </c>
      <c r="Y66" s="191">
        <v>0</v>
      </c>
      <c r="Z66" s="191">
        <v>0</v>
      </c>
      <c r="AA66" s="191">
        <v>0</v>
      </c>
      <c r="AB66" s="191">
        <v>0</v>
      </c>
      <c r="AC66" s="191">
        <v>0</v>
      </c>
      <c r="AD66" s="191">
        <v>0</v>
      </c>
      <c r="AE66" s="191">
        <v>0</v>
      </c>
      <c r="AF66" s="191">
        <v>0</v>
      </c>
      <c r="AG66" s="191">
        <v>0</v>
      </c>
      <c r="AH66" s="191">
        <v>0</v>
      </c>
      <c r="AI66" s="191">
        <v>0</v>
      </c>
    </row>
    <row r="67" spans="1:35" x14ac:dyDescent="0.25">
      <c r="A67" s="191" t="s">
        <v>171</v>
      </c>
      <c r="B67" s="191">
        <v>4198666.4000000004</v>
      </c>
      <c r="C67" s="191">
        <v>4092578.83</v>
      </c>
      <c r="D67" s="191">
        <v>3984298.75</v>
      </c>
      <c r="E67" s="191">
        <v>4245289.34</v>
      </c>
      <c r="F67" s="191">
        <v>4184591.94</v>
      </c>
      <c r="G67" s="191">
        <v>4316173.47</v>
      </c>
      <c r="H67" s="191">
        <v>4692939.12</v>
      </c>
      <c r="I67" s="191">
        <v>3598327.69</v>
      </c>
      <c r="J67" s="191">
        <v>507372.57</v>
      </c>
      <c r="K67" s="191">
        <v>1333640.42</v>
      </c>
      <c r="L67" s="191">
        <v>0</v>
      </c>
      <c r="M67" s="191">
        <v>0</v>
      </c>
      <c r="N67" s="191">
        <v>0</v>
      </c>
      <c r="O67" s="191">
        <v>0</v>
      </c>
      <c r="P67" s="191">
        <v>0</v>
      </c>
      <c r="Q67" s="191">
        <v>0</v>
      </c>
      <c r="R67" s="191">
        <v>0</v>
      </c>
      <c r="S67" s="191">
        <v>0</v>
      </c>
      <c r="T67" s="191">
        <v>0</v>
      </c>
      <c r="U67" s="191">
        <v>0</v>
      </c>
      <c r="V67" s="191">
        <v>0</v>
      </c>
      <c r="W67" s="191">
        <v>0</v>
      </c>
      <c r="X67" s="191">
        <v>0</v>
      </c>
      <c r="Y67" s="191">
        <v>0</v>
      </c>
      <c r="Z67" s="191">
        <v>0</v>
      </c>
      <c r="AA67" s="191">
        <v>0</v>
      </c>
      <c r="AB67" s="191">
        <v>0</v>
      </c>
      <c r="AC67" s="191">
        <v>0</v>
      </c>
      <c r="AD67" s="191">
        <v>0</v>
      </c>
      <c r="AE67" s="191">
        <v>0</v>
      </c>
      <c r="AF67" s="191">
        <v>0</v>
      </c>
      <c r="AG67" s="191">
        <v>0</v>
      </c>
      <c r="AH67" s="191">
        <v>0</v>
      </c>
      <c r="AI67" s="191">
        <v>0</v>
      </c>
    </row>
    <row r="68" spans="1:35" x14ac:dyDescent="0.25">
      <c r="A68" s="191" t="s">
        <v>172</v>
      </c>
      <c r="B68" s="191">
        <v>17087625.390000001</v>
      </c>
      <c r="C68" s="191">
        <v>17144366.41</v>
      </c>
      <c r="D68" s="191">
        <v>16926068.27</v>
      </c>
      <c r="E68" s="191">
        <v>18138372.920000002</v>
      </c>
      <c r="F68" s="191">
        <v>19811568.440000001</v>
      </c>
      <c r="G68" s="191">
        <v>20705994.91</v>
      </c>
      <c r="H68" s="191">
        <v>21661369.27</v>
      </c>
      <c r="I68" s="191">
        <v>22446413.469999999</v>
      </c>
      <c r="J68" s="191">
        <v>1982752.91</v>
      </c>
      <c r="K68" s="191">
        <v>2507088.25</v>
      </c>
      <c r="L68" s="191">
        <v>2605456.25</v>
      </c>
      <c r="M68" s="191">
        <v>987697.31</v>
      </c>
      <c r="N68" s="191">
        <v>555295.68000000005</v>
      </c>
      <c r="O68" s="191">
        <v>555295.68000000005</v>
      </c>
      <c r="P68" s="191">
        <v>1062471.71</v>
      </c>
      <c r="Q68" s="191">
        <v>1062471.71</v>
      </c>
      <c r="R68" s="191">
        <v>1281830.31</v>
      </c>
      <c r="S68" s="191">
        <v>1281830.31</v>
      </c>
      <c r="T68" s="191">
        <v>1492263.93</v>
      </c>
      <c r="U68" s="191">
        <v>1492263.93</v>
      </c>
      <c r="V68" s="191">
        <v>1641365.65</v>
      </c>
      <c r="W68" s="191">
        <v>1641365.65</v>
      </c>
      <c r="X68" s="191">
        <v>1685617.5</v>
      </c>
      <c r="Y68" s="191">
        <v>1685617.5</v>
      </c>
      <c r="Z68" s="191">
        <v>1677883.74</v>
      </c>
      <c r="AA68" s="191">
        <v>1677883.74</v>
      </c>
      <c r="AB68" s="191">
        <v>1661436.87</v>
      </c>
      <c r="AC68" s="191">
        <v>1661436.87</v>
      </c>
      <c r="AD68" s="191">
        <v>1784279.98</v>
      </c>
      <c r="AE68" s="191">
        <v>1784279.98</v>
      </c>
      <c r="AF68" s="191">
        <v>1826832.48</v>
      </c>
      <c r="AG68" s="191">
        <v>0</v>
      </c>
      <c r="AH68" s="191">
        <v>0</v>
      </c>
      <c r="AI68" s="191">
        <v>0</v>
      </c>
    </row>
    <row r="69" spans="1:35" x14ac:dyDescent="0.25">
      <c r="A69" s="191" t="s">
        <v>173</v>
      </c>
      <c r="B69" s="191">
        <v>16897350.030000001</v>
      </c>
      <c r="C69" s="191">
        <v>16780432</v>
      </c>
      <c r="D69" s="191">
        <v>17897878.629999999</v>
      </c>
      <c r="E69" s="191">
        <v>18265936.760000002</v>
      </c>
      <c r="F69" s="191">
        <v>15408994.99</v>
      </c>
      <c r="G69" s="191">
        <v>11208303.119999999</v>
      </c>
      <c r="H69" s="191">
        <v>12102611.34</v>
      </c>
      <c r="I69" s="191">
        <v>9686919.4800000004</v>
      </c>
      <c r="J69" s="191">
        <v>10029561.029999999</v>
      </c>
      <c r="K69" s="191">
        <v>11688869.17</v>
      </c>
      <c r="L69" s="191">
        <v>14348177.390000001</v>
      </c>
      <c r="M69" s="191">
        <v>14042485.529999999</v>
      </c>
      <c r="N69" s="191">
        <v>8468192.8699999992</v>
      </c>
      <c r="O69" s="191">
        <v>9359628.9399999995</v>
      </c>
      <c r="P69" s="191">
        <v>10304398.380000001</v>
      </c>
      <c r="Q69" s="191">
        <v>11249167.800000001</v>
      </c>
      <c r="R69" s="191">
        <v>0</v>
      </c>
      <c r="S69" s="191">
        <v>0</v>
      </c>
      <c r="T69" s="191">
        <v>0</v>
      </c>
      <c r="U69" s="191">
        <v>0</v>
      </c>
      <c r="V69" s="191">
        <v>0</v>
      </c>
      <c r="W69" s="191">
        <v>0</v>
      </c>
      <c r="X69" s="191">
        <v>0</v>
      </c>
      <c r="Y69" s="191">
        <v>0</v>
      </c>
      <c r="Z69" s="191">
        <v>0</v>
      </c>
      <c r="AA69" s="191">
        <v>0</v>
      </c>
      <c r="AB69" s="191">
        <v>0</v>
      </c>
      <c r="AC69" s="191">
        <v>0</v>
      </c>
      <c r="AD69" s="191">
        <v>0</v>
      </c>
      <c r="AE69" s="191">
        <v>0</v>
      </c>
      <c r="AF69" s="191">
        <v>0</v>
      </c>
      <c r="AG69" s="191">
        <v>0</v>
      </c>
      <c r="AH69" s="191">
        <v>0</v>
      </c>
      <c r="AI69" s="191">
        <v>0</v>
      </c>
    </row>
    <row r="70" spans="1:35" x14ac:dyDescent="0.25">
      <c r="A70" s="191" t="s">
        <v>174</v>
      </c>
      <c r="B70" s="191">
        <v>20269.98</v>
      </c>
      <c r="C70" s="191">
        <v>19757.169999999998</v>
      </c>
      <c r="D70" s="191">
        <v>22044.880000000001</v>
      </c>
      <c r="E70" s="191">
        <v>19792.09</v>
      </c>
      <c r="F70" s="191">
        <v>65183.34</v>
      </c>
      <c r="G70" s="191">
        <v>65554.45</v>
      </c>
      <c r="H70" s="191">
        <v>65809.66</v>
      </c>
      <c r="I70" s="191">
        <v>561892.91</v>
      </c>
      <c r="J70" s="191">
        <v>0</v>
      </c>
      <c r="K70" s="191">
        <v>0</v>
      </c>
      <c r="L70" s="191">
        <v>1543512.32</v>
      </c>
      <c r="M70" s="191">
        <v>0</v>
      </c>
      <c r="N70" s="191">
        <v>0</v>
      </c>
      <c r="O70" s="191">
        <v>0</v>
      </c>
      <c r="P70" s="191">
        <v>0</v>
      </c>
      <c r="Q70" s="191">
        <v>0</v>
      </c>
      <c r="R70" s="191">
        <v>8139770.5199999996</v>
      </c>
      <c r="S70" s="191">
        <v>8922039.9600000009</v>
      </c>
      <c r="T70" s="191">
        <v>9704309.4000000004</v>
      </c>
      <c r="U70" s="191">
        <v>10404068.43</v>
      </c>
      <c r="V70" s="191">
        <v>10343556.58</v>
      </c>
      <c r="W70" s="191">
        <v>8879678.1199999992</v>
      </c>
      <c r="X70" s="191">
        <v>9525266.2699999996</v>
      </c>
      <c r="Y70" s="191">
        <v>9833354.4800000004</v>
      </c>
      <c r="Z70" s="191">
        <v>10294880.039999999</v>
      </c>
      <c r="AA70" s="191">
        <v>10646405.76</v>
      </c>
      <c r="AB70" s="191">
        <v>11252931.48</v>
      </c>
      <c r="AC70" s="191">
        <v>11859457.199999999</v>
      </c>
      <c r="AD70" s="191">
        <v>826666.61</v>
      </c>
      <c r="AE70" s="191">
        <v>881666.63</v>
      </c>
      <c r="AF70" s="191">
        <v>991666.67</v>
      </c>
      <c r="AG70" s="191">
        <v>100000</v>
      </c>
      <c r="AH70" s="191">
        <v>0</v>
      </c>
      <c r="AI70" s="191">
        <v>0</v>
      </c>
    </row>
    <row r="71" spans="1:35" x14ac:dyDescent="0.25">
      <c r="A71" s="191" t="s">
        <v>175</v>
      </c>
      <c r="B71" s="191">
        <v>49851306.009999998</v>
      </c>
      <c r="C71" s="191">
        <v>49611129.329999998</v>
      </c>
      <c r="D71" s="191">
        <v>50227472.219999999</v>
      </c>
      <c r="E71" s="191">
        <v>52296215.840000004</v>
      </c>
      <c r="F71" s="191">
        <v>50199000.200000003</v>
      </c>
      <c r="G71" s="191">
        <v>47267111.409999996</v>
      </c>
      <c r="H71" s="191">
        <v>49962626.170000002</v>
      </c>
      <c r="I71" s="191">
        <v>47637355.229999997</v>
      </c>
      <c r="J71" s="191">
        <v>394335375.63999999</v>
      </c>
      <c r="K71" s="191">
        <v>595469635.36000001</v>
      </c>
      <c r="L71" s="191">
        <v>585958036.86000001</v>
      </c>
      <c r="M71" s="191">
        <v>15030182.84</v>
      </c>
      <c r="N71" s="191">
        <v>9023488.5500000007</v>
      </c>
      <c r="O71" s="191">
        <v>9914924.6199999992</v>
      </c>
      <c r="P71" s="191">
        <v>11366870.09</v>
      </c>
      <c r="Q71" s="191">
        <v>22311639.510000002</v>
      </c>
      <c r="R71" s="191">
        <v>19421600.829999998</v>
      </c>
      <c r="S71" s="191">
        <v>20203870.27</v>
      </c>
      <c r="T71" s="191">
        <v>11196573.33</v>
      </c>
      <c r="U71" s="191">
        <v>11896332.359999999</v>
      </c>
      <c r="V71" s="191">
        <v>11984922.23</v>
      </c>
      <c r="W71" s="191">
        <v>10521043.77</v>
      </c>
      <c r="X71" s="191">
        <v>11210883.77</v>
      </c>
      <c r="Y71" s="191">
        <v>11518971.98</v>
      </c>
      <c r="Z71" s="191">
        <v>11972763.779999999</v>
      </c>
      <c r="AA71" s="191">
        <v>12324289.5</v>
      </c>
      <c r="AB71" s="191">
        <v>12914368.35</v>
      </c>
      <c r="AC71" s="191">
        <v>113520894.06999999</v>
      </c>
      <c r="AD71" s="191">
        <v>115110946.59</v>
      </c>
      <c r="AE71" s="191">
        <v>127665946.61</v>
      </c>
      <c r="AF71" s="191">
        <v>102688499.15000001</v>
      </c>
      <c r="AG71" s="191">
        <v>156970000</v>
      </c>
      <c r="AH71" s="191">
        <v>0</v>
      </c>
      <c r="AI71" s="191">
        <v>0</v>
      </c>
    </row>
    <row r="72" spans="1:35" x14ac:dyDescent="0.25">
      <c r="A72" s="191" t="s">
        <v>176</v>
      </c>
      <c r="B72" s="191">
        <v>502304145.13</v>
      </c>
      <c r="C72" s="191">
        <v>468368951.61000001</v>
      </c>
      <c r="D72" s="191">
        <v>436284774.38999999</v>
      </c>
      <c r="E72" s="191">
        <v>481682200.19</v>
      </c>
      <c r="F72" s="191">
        <v>520140906.75999999</v>
      </c>
      <c r="G72" s="191">
        <v>537491661.38999999</v>
      </c>
      <c r="H72" s="191">
        <v>603641613.70000005</v>
      </c>
      <c r="I72" s="191">
        <v>442226611.99000001</v>
      </c>
      <c r="J72" s="191">
        <v>906667830.02999997</v>
      </c>
      <c r="K72" s="191">
        <v>1229232348.54</v>
      </c>
      <c r="L72" s="191">
        <v>1174280729.26</v>
      </c>
      <c r="M72" s="191">
        <v>419502008.77999997</v>
      </c>
      <c r="N72" s="191">
        <v>378555308.04000002</v>
      </c>
      <c r="O72" s="191">
        <v>295144903.29000002</v>
      </c>
      <c r="P72" s="191">
        <v>201777747.65000001</v>
      </c>
      <c r="Q72" s="191">
        <v>207876849.38999999</v>
      </c>
      <c r="R72" s="191">
        <v>227525649.27000001</v>
      </c>
      <c r="S72" s="191">
        <v>188528469.86000001</v>
      </c>
      <c r="T72" s="191">
        <v>202393335.49000001</v>
      </c>
      <c r="U72" s="191">
        <v>201508404.16999999</v>
      </c>
      <c r="V72" s="191">
        <v>174864605.21000001</v>
      </c>
      <c r="W72" s="191">
        <v>166268313.97999999</v>
      </c>
      <c r="X72" s="191">
        <v>271854847.75</v>
      </c>
      <c r="Y72" s="191">
        <v>253552274.81</v>
      </c>
      <c r="Z72" s="191">
        <v>114082078.23999999</v>
      </c>
      <c r="AA72" s="191">
        <v>115060231.93000001</v>
      </c>
      <c r="AB72" s="191">
        <v>228238427.78</v>
      </c>
      <c r="AC72" s="191">
        <v>376705626.81999999</v>
      </c>
      <c r="AD72" s="191">
        <v>325031729.74000001</v>
      </c>
      <c r="AE72" s="191">
        <v>386859822.31</v>
      </c>
      <c r="AF72" s="191">
        <v>374860619.86000001</v>
      </c>
      <c r="AG72" s="191">
        <v>299493062.27999997</v>
      </c>
      <c r="AH72" s="191">
        <v>239967210.68000001</v>
      </c>
      <c r="AI72" s="191">
        <v>0</v>
      </c>
    </row>
    <row r="73" spans="1:35" x14ac:dyDescent="0.25">
      <c r="A73" s="191" t="s">
        <v>177</v>
      </c>
    </row>
    <row r="74" spans="1:35" x14ac:dyDescent="0.25">
      <c r="A74" s="191" t="s">
        <v>178</v>
      </c>
      <c r="B74" s="191">
        <v>909133215</v>
      </c>
      <c r="C74" s="191">
        <v>909133215</v>
      </c>
      <c r="D74" s="191">
        <v>909133215</v>
      </c>
      <c r="E74" s="191">
        <v>909133215</v>
      </c>
      <c r="F74" s="191">
        <v>909133215</v>
      </c>
      <c r="G74" s="191">
        <v>909133215</v>
      </c>
      <c r="H74" s="191">
        <v>363653286</v>
      </c>
      <c r="I74" s="191">
        <v>363653286</v>
      </c>
      <c r="J74" s="191">
        <v>363653286</v>
      </c>
      <c r="K74" s="191">
        <v>339871250</v>
      </c>
      <c r="L74" s="191">
        <v>339871250</v>
      </c>
      <c r="M74" s="191">
        <v>339871250</v>
      </c>
      <c r="N74" s="191">
        <v>339871250</v>
      </c>
      <c r="O74" s="191">
        <v>339871250</v>
      </c>
      <c r="P74" s="191">
        <v>339871250</v>
      </c>
      <c r="Q74" s="191">
        <v>275640000</v>
      </c>
      <c r="R74" s="191">
        <v>275640000</v>
      </c>
      <c r="S74" s="191">
        <v>275640000</v>
      </c>
      <c r="T74" s="191">
        <v>275640000</v>
      </c>
      <c r="U74" s="191">
        <v>275640000</v>
      </c>
      <c r="V74" s="191">
        <v>275640000</v>
      </c>
      <c r="W74" s="191">
        <v>275640000</v>
      </c>
      <c r="X74" s="191">
        <v>137820000</v>
      </c>
      <c r="Y74" s="191">
        <v>137820000</v>
      </c>
      <c r="Z74" s="191">
        <v>137820000</v>
      </c>
      <c r="AA74" s="191">
        <v>137820000</v>
      </c>
      <c r="AB74" s="191">
        <v>137820000</v>
      </c>
      <c r="AC74" s="191">
        <v>137820000</v>
      </c>
      <c r="AD74" s="191">
        <v>103360000</v>
      </c>
      <c r="AE74" s="191">
        <v>103360000</v>
      </c>
      <c r="AF74" s="191">
        <v>103360000</v>
      </c>
      <c r="AG74" s="191">
        <v>103360000</v>
      </c>
      <c r="AH74" s="191">
        <v>103360000</v>
      </c>
      <c r="AI74" s="191">
        <v>0</v>
      </c>
    </row>
    <row r="75" spans="1:35" x14ac:dyDescent="0.25">
      <c r="A75" s="191" t="s">
        <v>179</v>
      </c>
      <c r="B75" s="191">
        <v>2078935908.6500001</v>
      </c>
      <c r="C75" s="191">
        <v>2078935908.6500001</v>
      </c>
      <c r="D75" s="191">
        <v>2065597354.03</v>
      </c>
      <c r="E75" s="191">
        <v>2065597354.03</v>
      </c>
      <c r="F75" s="191">
        <v>2065597354.03</v>
      </c>
      <c r="G75" s="191">
        <v>2065597354.03</v>
      </c>
      <c r="H75" s="191">
        <v>2611077283.0300002</v>
      </c>
      <c r="I75" s="191">
        <v>2611077283.0300002</v>
      </c>
      <c r="J75" s="191">
        <v>2611071295.29</v>
      </c>
      <c r="K75" s="191">
        <v>1629860693.6600001</v>
      </c>
      <c r="L75" s="191">
        <v>1629860693.6600001</v>
      </c>
      <c r="M75" s="191">
        <v>1629860693.6600001</v>
      </c>
      <c r="N75" s="191">
        <v>1629860693.6600001</v>
      </c>
      <c r="O75" s="191">
        <v>1629860693.6600001</v>
      </c>
      <c r="P75" s="191">
        <v>1621654522.49</v>
      </c>
      <c r="Q75" s="191">
        <v>676456672.49000001</v>
      </c>
      <c r="R75" s="191">
        <v>676456672.49000001</v>
      </c>
      <c r="S75" s="191">
        <v>676456672.49000001</v>
      </c>
      <c r="T75" s="191">
        <v>675760670.57000005</v>
      </c>
      <c r="U75" s="191">
        <v>675760670.57000005</v>
      </c>
      <c r="V75" s="191">
        <v>675760670.57000005</v>
      </c>
      <c r="W75" s="191">
        <v>675760670.57000005</v>
      </c>
      <c r="X75" s="191">
        <v>813580670.57000005</v>
      </c>
      <c r="Y75" s="191">
        <v>813580670.57000005</v>
      </c>
      <c r="Z75" s="191">
        <v>813580670.57000005</v>
      </c>
      <c r="AA75" s="191">
        <v>813580670.57000005</v>
      </c>
      <c r="AB75" s="191">
        <v>813580670.57000005</v>
      </c>
      <c r="AC75" s="191">
        <v>813580670.57000005</v>
      </c>
      <c r="AD75" s="191">
        <v>43730242.100000001</v>
      </c>
      <c r="AE75" s="191">
        <v>43730242.100000001</v>
      </c>
      <c r="AF75" s="191">
        <v>43730242.100000001</v>
      </c>
      <c r="AG75" s="191">
        <v>43730242.100000001</v>
      </c>
      <c r="AH75" s="191">
        <v>43730242.100000001</v>
      </c>
      <c r="AI75" s="191">
        <v>0</v>
      </c>
    </row>
    <row r="76" spans="1:35" x14ac:dyDescent="0.25">
      <c r="A76" s="191" t="s">
        <v>180</v>
      </c>
      <c r="B76" s="191">
        <v>0</v>
      </c>
      <c r="C76" s="191">
        <v>0</v>
      </c>
      <c r="D76" s="191">
        <v>0</v>
      </c>
      <c r="E76" s="191">
        <v>0</v>
      </c>
      <c r="F76" s="191">
        <v>0</v>
      </c>
      <c r="G76" s="191">
        <v>0</v>
      </c>
      <c r="H76" s="191">
        <v>0</v>
      </c>
      <c r="I76" s="191">
        <v>0</v>
      </c>
      <c r="J76" s="191">
        <v>0</v>
      </c>
      <c r="K76" s="191">
        <v>0</v>
      </c>
      <c r="L76" s="191">
        <v>0</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row>
    <row r="77" spans="1:35" x14ac:dyDescent="0.25">
      <c r="A77" s="191" t="s">
        <v>181</v>
      </c>
      <c r="B77" s="191">
        <v>28734213.379999999</v>
      </c>
      <c r="C77" s="191">
        <v>-8405130.3800000008</v>
      </c>
      <c r="D77" s="191">
        <v>-58214299.530000001</v>
      </c>
      <c r="E77" s="191">
        <v>-14266876.52</v>
      </c>
      <c r="F77" s="191">
        <v>-5767056.8099999996</v>
      </c>
      <c r="G77" s="191">
        <v>14682218.48</v>
      </c>
      <c r="H77" s="191">
        <v>26828215.25</v>
      </c>
      <c r="I77" s="191">
        <v>33807458.079999998</v>
      </c>
      <c r="J77" s="191">
        <v>14133959.609999999</v>
      </c>
      <c r="K77" s="191">
        <v>13835549.17</v>
      </c>
      <c r="L77" s="191">
        <v>-2968605.04</v>
      </c>
      <c r="M77" s="191">
        <v>0</v>
      </c>
      <c r="N77" s="191">
        <v>0</v>
      </c>
      <c r="O77" s="191">
        <v>0</v>
      </c>
      <c r="P77" s="191">
        <v>0</v>
      </c>
      <c r="Q77" s="191">
        <v>0</v>
      </c>
      <c r="R77" s="191">
        <v>0</v>
      </c>
      <c r="S77" s="191">
        <v>0</v>
      </c>
      <c r="T77" s="191">
        <v>0</v>
      </c>
      <c r="U77" s="191">
        <v>0</v>
      </c>
      <c r="V77" s="191">
        <v>0</v>
      </c>
      <c r="W77" s="191">
        <v>0</v>
      </c>
      <c r="X77" s="191">
        <v>0</v>
      </c>
      <c r="Y77" s="191">
        <v>0</v>
      </c>
      <c r="Z77" s="191">
        <v>0</v>
      </c>
      <c r="AA77" s="191">
        <v>0</v>
      </c>
      <c r="AB77" s="191">
        <v>0</v>
      </c>
      <c r="AC77" s="191">
        <v>0</v>
      </c>
      <c r="AD77" s="191">
        <v>0</v>
      </c>
      <c r="AE77" s="191">
        <v>0</v>
      </c>
      <c r="AF77" s="191">
        <v>0</v>
      </c>
      <c r="AG77" s="191">
        <v>0</v>
      </c>
      <c r="AH77" s="191">
        <v>0</v>
      </c>
      <c r="AI77" s="191">
        <v>0</v>
      </c>
    </row>
    <row r="78" spans="1:35" x14ac:dyDescent="0.25">
      <c r="A78" s="191" t="s">
        <v>182</v>
      </c>
      <c r="B78" s="191">
        <v>10880684.65</v>
      </c>
      <c r="C78" s="191">
        <v>10817820.359999999</v>
      </c>
      <c r="D78" s="191">
        <v>10441557.57</v>
      </c>
      <c r="E78" s="191">
        <v>9733305.5</v>
      </c>
      <c r="F78" s="191">
        <v>9335935.6899999995</v>
      </c>
      <c r="G78" s="191">
        <v>8675013.8900000006</v>
      </c>
      <c r="H78" s="191">
        <v>7834061.1200000001</v>
      </c>
      <c r="I78" s="191">
        <v>7018189.1799999997</v>
      </c>
      <c r="J78" s="191">
        <v>6292139.9500000002</v>
      </c>
      <c r="K78" s="191">
        <v>5552340.3200000003</v>
      </c>
      <c r="L78" s="191">
        <v>4892179.5999999996</v>
      </c>
      <c r="M78" s="191">
        <v>4194707.28</v>
      </c>
      <c r="N78" s="191">
        <v>4426762.9000000004</v>
      </c>
      <c r="O78" s="191">
        <v>3919748.8</v>
      </c>
      <c r="P78" s="191">
        <v>3492215.75</v>
      </c>
      <c r="Q78" s="191">
        <v>2948620.67</v>
      </c>
      <c r="R78" s="191">
        <v>3351809.25</v>
      </c>
      <c r="S78" s="191">
        <v>3136896.96</v>
      </c>
      <c r="T78" s="191">
        <v>2934096.78</v>
      </c>
      <c r="U78" s="191">
        <v>2642457.12</v>
      </c>
      <c r="V78" s="191">
        <v>2793494.74</v>
      </c>
      <c r="W78" s="191">
        <v>2794569.74</v>
      </c>
      <c r="X78" s="191">
        <v>3326676.61</v>
      </c>
      <c r="Y78" s="191">
        <v>1869530.41</v>
      </c>
      <c r="Z78" s="191">
        <v>1805099.27</v>
      </c>
      <c r="AA78" s="191">
        <v>2020491.41</v>
      </c>
      <c r="AB78" s="191">
        <v>2070928.67</v>
      </c>
      <c r="AC78" s="191">
        <v>1775710.75</v>
      </c>
      <c r="AD78" s="191">
        <v>2560766.17</v>
      </c>
      <c r="AE78" s="191">
        <v>2119081.59</v>
      </c>
      <c r="AF78" s="191">
        <v>2713164.15</v>
      </c>
      <c r="AG78" s="191">
        <v>612187.56999999995</v>
      </c>
      <c r="AH78" s="191">
        <v>485584.96</v>
      </c>
      <c r="AI78" s="191">
        <v>0</v>
      </c>
    </row>
    <row r="79" spans="1:35" x14ac:dyDescent="0.25">
      <c r="A79" s="191" t="s">
        <v>183</v>
      </c>
      <c r="B79" s="191">
        <v>161678313.06</v>
      </c>
      <c r="C79" s="191">
        <v>161678313.06</v>
      </c>
      <c r="D79" s="191">
        <v>161678313.06</v>
      </c>
      <c r="E79" s="191">
        <v>161678313.06</v>
      </c>
      <c r="F79" s="191">
        <v>125608622.54000001</v>
      </c>
      <c r="G79" s="191">
        <v>125608622.54000001</v>
      </c>
      <c r="H79" s="191">
        <v>125608622.54000001</v>
      </c>
      <c r="I79" s="191">
        <v>125608622.54000001</v>
      </c>
      <c r="J79" s="191">
        <v>93526769.629999995</v>
      </c>
      <c r="K79" s="191">
        <v>93526769.629999995</v>
      </c>
      <c r="L79" s="191">
        <v>93526769.629999995</v>
      </c>
      <c r="M79" s="191">
        <v>93526769.629999995</v>
      </c>
      <c r="N79" s="191">
        <v>69903721.870000005</v>
      </c>
      <c r="O79" s="191">
        <v>69903721.870000005</v>
      </c>
      <c r="P79" s="191">
        <v>69903721.870000005</v>
      </c>
      <c r="Q79" s="191">
        <v>69903721.870000005</v>
      </c>
      <c r="R79" s="191">
        <v>60512913.909999996</v>
      </c>
      <c r="S79" s="191">
        <v>60512913.909999996</v>
      </c>
      <c r="T79" s="191">
        <v>60512913.909999996</v>
      </c>
      <c r="U79" s="191">
        <v>60512913.909999996</v>
      </c>
      <c r="V79" s="191">
        <v>49229942.700000003</v>
      </c>
      <c r="W79" s="191">
        <v>49229942.700000003</v>
      </c>
      <c r="X79" s="191">
        <v>49229942.700000003</v>
      </c>
      <c r="Y79" s="191">
        <v>49229942.700000003</v>
      </c>
      <c r="Z79" s="191">
        <v>38763344.090000004</v>
      </c>
      <c r="AA79" s="191">
        <v>38763344.090000004</v>
      </c>
      <c r="AB79" s="191">
        <v>38763344.090000004</v>
      </c>
      <c r="AC79" s="191">
        <v>38763344.090000004</v>
      </c>
      <c r="AD79" s="191">
        <v>26018756.809999999</v>
      </c>
      <c r="AE79" s="191">
        <v>26018756.809999999</v>
      </c>
      <c r="AF79" s="191">
        <v>26018756.809999999</v>
      </c>
      <c r="AG79" s="191">
        <v>16038520.279999999</v>
      </c>
      <c r="AH79" s="191">
        <v>9698587.2300000004</v>
      </c>
      <c r="AI79" s="191">
        <v>0</v>
      </c>
    </row>
    <row r="80" spans="1:35" x14ac:dyDescent="0.25">
      <c r="A80" s="191" t="s">
        <v>184</v>
      </c>
      <c r="B80" s="191">
        <v>0</v>
      </c>
      <c r="C80" s="191">
        <v>0</v>
      </c>
      <c r="D80" s="191">
        <v>0</v>
      </c>
      <c r="E80" s="191">
        <v>0</v>
      </c>
      <c r="F80" s="191">
        <v>0</v>
      </c>
      <c r="G80" s="191">
        <v>0</v>
      </c>
      <c r="H80" s="191">
        <v>0</v>
      </c>
      <c r="I80" s="191">
        <v>0</v>
      </c>
      <c r="J80" s="191">
        <v>0</v>
      </c>
      <c r="K80" s="191">
        <v>0</v>
      </c>
      <c r="L80" s="191">
        <v>0</v>
      </c>
      <c r="M80" s="191">
        <v>0</v>
      </c>
      <c r="N80" s="191">
        <v>0</v>
      </c>
      <c r="O80" s="191">
        <v>0</v>
      </c>
      <c r="P80" s="191">
        <v>0</v>
      </c>
      <c r="Q80" s="191">
        <v>0</v>
      </c>
      <c r="R80" s="191">
        <v>0</v>
      </c>
      <c r="S80" s="191">
        <v>0</v>
      </c>
      <c r="T80" s="191">
        <v>0</v>
      </c>
      <c r="U80" s="191">
        <v>0</v>
      </c>
      <c r="V80" s="191">
        <v>0</v>
      </c>
      <c r="W80" s="191">
        <v>0</v>
      </c>
      <c r="X80" s="191">
        <v>0</v>
      </c>
      <c r="Y80" s="191">
        <v>0</v>
      </c>
      <c r="Z80" s="191">
        <v>0</v>
      </c>
      <c r="AA80" s="191">
        <v>0</v>
      </c>
      <c r="AB80" s="191">
        <v>0</v>
      </c>
      <c r="AC80" s="191">
        <v>0</v>
      </c>
      <c r="AD80" s="191">
        <v>0</v>
      </c>
      <c r="AE80" s="191">
        <v>0</v>
      </c>
      <c r="AF80" s="191">
        <v>0</v>
      </c>
      <c r="AG80" s="191">
        <v>0</v>
      </c>
      <c r="AH80" s="191">
        <v>0</v>
      </c>
      <c r="AI80" s="191">
        <v>0</v>
      </c>
    </row>
    <row r="81" spans="1:35" x14ac:dyDescent="0.25">
      <c r="A81" s="191" t="s">
        <v>185</v>
      </c>
      <c r="B81" s="191">
        <v>1097514459.0899999</v>
      </c>
      <c r="C81" s="191">
        <v>984120596.15999997</v>
      </c>
      <c r="D81" s="191">
        <v>994508543.42999995</v>
      </c>
      <c r="E81" s="191">
        <v>930383872.50999999</v>
      </c>
      <c r="F81" s="191">
        <v>883341124.33000004</v>
      </c>
      <c r="G81" s="191">
        <v>794838261.96000004</v>
      </c>
      <c r="H81" s="191">
        <v>680663307.17999995</v>
      </c>
      <c r="I81" s="191">
        <v>708453778.74000001</v>
      </c>
      <c r="J81" s="191">
        <v>672413569.78999996</v>
      </c>
      <c r="K81" s="191">
        <v>607155082.14999998</v>
      </c>
      <c r="L81" s="191">
        <v>613506795.20000005</v>
      </c>
      <c r="M81" s="191">
        <v>523844312.26999998</v>
      </c>
      <c r="N81" s="191">
        <v>435408006.12</v>
      </c>
      <c r="O81" s="191">
        <v>359669148.26999998</v>
      </c>
      <c r="P81" s="191">
        <v>374415448.94</v>
      </c>
      <c r="Q81" s="191">
        <v>350796697.31999999</v>
      </c>
      <c r="R81" s="191">
        <v>326814331.75</v>
      </c>
      <c r="S81" s="191">
        <v>300552893.77999997</v>
      </c>
      <c r="T81" s="191">
        <v>330254116.07999998</v>
      </c>
      <c r="U81" s="191">
        <v>313270464.06</v>
      </c>
      <c r="V81" s="191">
        <v>290944104.58999997</v>
      </c>
      <c r="W81" s="191">
        <v>263332878.65000001</v>
      </c>
      <c r="X81" s="191">
        <v>272601848.20999998</v>
      </c>
      <c r="Y81" s="191">
        <v>241957841.81999999</v>
      </c>
      <c r="Z81" s="191">
        <v>224913663.5</v>
      </c>
      <c r="AA81" s="191">
        <v>212614905.88999999</v>
      </c>
      <c r="AB81" s="191">
        <v>171026709.05000001</v>
      </c>
      <c r="AC81" s="191">
        <v>212085351.53999999</v>
      </c>
      <c r="AD81" s="191">
        <v>206640180.00999999</v>
      </c>
      <c r="AE81" s="191">
        <v>181730820.56999999</v>
      </c>
      <c r="AF81" s="191">
        <v>140764833.59999999</v>
      </c>
      <c r="AG81" s="191">
        <v>107790704.79000001</v>
      </c>
      <c r="AH81" s="191">
        <v>86907307.299999997</v>
      </c>
      <c r="AI81" s="191">
        <v>0</v>
      </c>
    </row>
    <row r="82" spans="1:35" x14ac:dyDescent="0.25">
      <c r="A82" s="191" t="s">
        <v>186</v>
      </c>
      <c r="B82" s="191">
        <v>4286876793.8299999</v>
      </c>
      <c r="C82" s="191">
        <v>4136280722.8499999</v>
      </c>
      <c r="D82" s="191">
        <v>4083144683.5599999</v>
      </c>
      <c r="E82" s="191">
        <v>4062259183.5799999</v>
      </c>
      <c r="F82" s="191">
        <v>3987249194.7800002</v>
      </c>
      <c r="G82" s="191">
        <v>3918534685.9000001</v>
      </c>
      <c r="H82" s="191">
        <v>3815664775.1199999</v>
      </c>
      <c r="I82" s="191">
        <v>3849618617.5700002</v>
      </c>
      <c r="J82" s="191">
        <v>3761091020.27</v>
      </c>
      <c r="K82" s="191">
        <v>2689801684.9299998</v>
      </c>
      <c r="L82" s="191">
        <v>2678689083.0500002</v>
      </c>
      <c r="M82" s="191">
        <v>2591297732.8400002</v>
      </c>
      <c r="N82" s="191">
        <v>2479470434.5500002</v>
      </c>
      <c r="O82" s="191">
        <v>2403224562.5999999</v>
      </c>
      <c r="P82" s="191">
        <v>2409337159.0500002</v>
      </c>
      <c r="Q82" s="191">
        <v>1375745712.3499999</v>
      </c>
      <c r="R82" s="191">
        <v>1342775727.4000001</v>
      </c>
      <c r="S82" s="191">
        <v>1316299377.1400001</v>
      </c>
      <c r="T82" s="191">
        <v>1345101797.3399999</v>
      </c>
      <c r="U82" s="191">
        <v>1327826505.6600001</v>
      </c>
      <c r="V82" s="191">
        <v>1294368212.5999999</v>
      </c>
      <c r="W82" s="191">
        <v>1266758061.6600001</v>
      </c>
      <c r="X82" s="191">
        <v>1276559138.0899999</v>
      </c>
      <c r="Y82" s="191">
        <v>1244457985.5</v>
      </c>
      <c r="Z82" s="191">
        <v>1216882777.4300001</v>
      </c>
      <c r="AA82" s="191">
        <v>1204799411.96</v>
      </c>
      <c r="AB82" s="191">
        <v>1163261652.3800001</v>
      </c>
      <c r="AC82" s="191">
        <v>1204025076.95</v>
      </c>
      <c r="AD82" s="191">
        <v>382309945.08999997</v>
      </c>
      <c r="AE82" s="191">
        <v>356958901.06999999</v>
      </c>
      <c r="AF82" s="191">
        <v>316586996.66000003</v>
      </c>
      <c r="AG82" s="191">
        <v>271531654.74000001</v>
      </c>
      <c r="AH82" s="191">
        <v>244181721.59</v>
      </c>
      <c r="AI82" s="191">
        <v>0</v>
      </c>
    </row>
    <row r="83" spans="1:35" x14ac:dyDescent="0.25">
      <c r="A83" s="191" t="s">
        <v>187</v>
      </c>
      <c r="B83" s="191">
        <v>158917577.05000001</v>
      </c>
      <c r="C83" s="191">
        <v>156280022.63</v>
      </c>
      <c r="D83" s="191">
        <v>7301521.1100000003</v>
      </c>
      <c r="E83" s="191">
        <v>8094707.5700000003</v>
      </c>
      <c r="F83" s="191">
        <v>8059771.5199999996</v>
      </c>
      <c r="G83" s="191">
        <v>8077652.6500000004</v>
      </c>
      <c r="H83" s="191">
        <v>8053972.9199999999</v>
      </c>
      <c r="I83" s="191">
        <v>8051967.3099999996</v>
      </c>
      <c r="J83" s="191">
        <v>8060633.3300000001</v>
      </c>
      <c r="K83" s="191">
        <v>8017564.2000000002</v>
      </c>
      <c r="L83" s="191">
        <v>8009670.6100000003</v>
      </c>
      <c r="M83" s="191">
        <v>8008614.6100000003</v>
      </c>
      <c r="N83" s="191">
        <v>8095531.5099999998</v>
      </c>
      <c r="O83" s="191">
        <v>7974396.79</v>
      </c>
      <c r="P83" s="191">
        <v>16159013.07</v>
      </c>
      <c r="Q83" s="191">
        <v>16096370.949999999</v>
      </c>
      <c r="R83" s="191">
        <v>15755425.48</v>
      </c>
      <c r="S83" s="191">
        <v>15385772.41</v>
      </c>
      <c r="T83" s="191">
        <v>16058608.310000001</v>
      </c>
      <c r="U83" s="191">
        <v>16465734.699999999</v>
      </c>
      <c r="V83" s="191">
        <v>16478590.380000001</v>
      </c>
      <c r="W83" s="191">
        <v>16732636.109999999</v>
      </c>
      <c r="X83" s="191">
        <v>0</v>
      </c>
      <c r="Y83" s="191">
        <v>0</v>
      </c>
      <c r="Z83" s="191">
        <v>0</v>
      </c>
      <c r="AA83" s="191">
        <v>0</v>
      </c>
      <c r="AB83" s="191">
        <v>0</v>
      </c>
      <c r="AC83" s="191">
        <v>0</v>
      </c>
      <c r="AD83" s="191">
        <v>0</v>
      </c>
      <c r="AE83" s="191">
        <v>0</v>
      </c>
      <c r="AF83" s="191">
        <v>0</v>
      </c>
      <c r="AG83" s="191">
        <v>0</v>
      </c>
      <c r="AH83" s="191">
        <v>0</v>
      </c>
      <c r="AI83" s="191">
        <v>0</v>
      </c>
    </row>
    <row r="84" spans="1:35" x14ac:dyDescent="0.25">
      <c r="A84" s="191" t="s">
        <v>188</v>
      </c>
      <c r="B84" s="191">
        <v>4445794370.8800001</v>
      </c>
      <c r="C84" s="191">
        <v>4292560745.48</v>
      </c>
      <c r="D84" s="191">
        <v>4090446204.6700001</v>
      </c>
      <c r="E84" s="191">
        <v>4070353891.1500001</v>
      </c>
      <c r="F84" s="191">
        <v>3995308966.3000002</v>
      </c>
      <c r="G84" s="191">
        <v>3926612338.5500002</v>
      </c>
      <c r="H84" s="191">
        <v>3823718748.04</v>
      </c>
      <c r="I84" s="191">
        <v>3857670584.8800001</v>
      </c>
      <c r="J84" s="191">
        <v>3769151653.5999999</v>
      </c>
      <c r="K84" s="191">
        <v>2697819249.1300001</v>
      </c>
      <c r="L84" s="191">
        <v>2686698753.6599998</v>
      </c>
      <c r="M84" s="191">
        <v>2599306347.4499998</v>
      </c>
      <c r="N84" s="191">
        <v>2487565966.0599999</v>
      </c>
      <c r="O84" s="191">
        <v>2411198959.3899999</v>
      </c>
      <c r="P84" s="191">
        <v>2425496172.1199999</v>
      </c>
      <c r="Q84" s="191">
        <v>1391842083.3</v>
      </c>
      <c r="R84" s="191">
        <v>1358531152.8800001</v>
      </c>
      <c r="S84" s="191">
        <v>1331685149.55</v>
      </c>
      <c r="T84" s="191">
        <v>1361160405.6500001</v>
      </c>
      <c r="U84" s="191">
        <v>1344292240.3599999</v>
      </c>
      <c r="V84" s="191">
        <v>1310846802.98</v>
      </c>
      <c r="W84" s="191">
        <v>1283490697.77</v>
      </c>
      <c r="X84" s="191">
        <v>1276559138.0899999</v>
      </c>
      <c r="Y84" s="191">
        <v>1244457985.5</v>
      </c>
      <c r="Z84" s="191">
        <v>1216882777.4300001</v>
      </c>
      <c r="AA84" s="191">
        <v>1204799411.96</v>
      </c>
      <c r="AB84" s="191">
        <v>1163261652.3800001</v>
      </c>
      <c r="AC84" s="191">
        <v>1204025076.95</v>
      </c>
      <c r="AD84" s="191">
        <v>382309945.08999997</v>
      </c>
      <c r="AE84" s="191">
        <v>356958901.06999999</v>
      </c>
      <c r="AF84" s="191">
        <v>316586996.66000003</v>
      </c>
      <c r="AG84" s="191">
        <v>271531654.74000001</v>
      </c>
      <c r="AH84" s="191">
        <v>244181721.59</v>
      </c>
      <c r="AI84" s="191">
        <v>0</v>
      </c>
    </row>
    <row r="85" spans="1:35" x14ac:dyDescent="0.25">
      <c r="A85" s="191" t="s">
        <v>189</v>
      </c>
      <c r="B85" s="191">
        <v>4948098516.0100002</v>
      </c>
      <c r="C85" s="191">
        <v>4760929697.0900002</v>
      </c>
      <c r="D85" s="191">
        <v>4526730979.0600004</v>
      </c>
      <c r="E85" s="191">
        <v>4552036091.3400002</v>
      </c>
      <c r="F85" s="191">
        <v>4515449873.0600004</v>
      </c>
      <c r="G85" s="191">
        <v>4464103999.9399996</v>
      </c>
      <c r="H85" s="191">
        <v>4427360361.7399998</v>
      </c>
      <c r="I85" s="191">
        <v>4299897196.8699999</v>
      </c>
      <c r="J85" s="191">
        <v>4675819483.6300001</v>
      </c>
      <c r="K85" s="191">
        <v>3927051597.6700001</v>
      </c>
      <c r="L85" s="191">
        <v>3860979482.9200001</v>
      </c>
      <c r="M85" s="191">
        <v>3018808356.23</v>
      </c>
      <c r="N85" s="191">
        <v>2866121274.0999999</v>
      </c>
      <c r="O85" s="191">
        <v>2706343862.6799998</v>
      </c>
      <c r="P85" s="191">
        <v>2627273919.77</v>
      </c>
      <c r="Q85" s="191">
        <v>1599718932.6900001</v>
      </c>
      <c r="R85" s="191">
        <v>1586056802.1500001</v>
      </c>
      <c r="S85" s="191">
        <v>1520213619.4100001</v>
      </c>
      <c r="T85" s="191">
        <v>1563553741.1400001</v>
      </c>
      <c r="U85" s="191">
        <v>1545800644.53</v>
      </c>
      <c r="V85" s="191">
        <v>1485711408.1900001</v>
      </c>
      <c r="W85" s="191">
        <v>1449759011.75</v>
      </c>
      <c r="X85" s="191">
        <v>1548413985.8399999</v>
      </c>
      <c r="Y85" s="191">
        <v>1498010260.3099999</v>
      </c>
      <c r="Z85" s="191">
        <v>1330964855.6700001</v>
      </c>
      <c r="AA85" s="191">
        <v>1319859643.8900001</v>
      </c>
      <c r="AB85" s="191">
        <v>1391500080.1600001</v>
      </c>
      <c r="AC85" s="191">
        <v>1580730703.77</v>
      </c>
      <c r="AD85" s="191">
        <v>707341674.83000004</v>
      </c>
      <c r="AE85" s="191">
        <v>743818723.38</v>
      </c>
      <c r="AF85" s="191">
        <v>691447616.51999998</v>
      </c>
      <c r="AG85" s="191">
        <v>571024717.01999998</v>
      </c>
      <c r="AH85" s="191">
        <v>484148932.26999998</v>
      </c>
      <c r="AI85" s="191">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RowHeight="14.4" x14ac:dyDescent="0.25"/>
  <cols>
    <col min="1" max="1" width="39.109375" style="191" bestFit="1" customWidth="1"/>
    <col min="2" max="3" width="12.77734375" style="191" hidden="1" customWidth="1"/>
    <col min="4" max="4" width="13.88671875" style="191" hidden="1" customWidth="1"/>
    <col min="5" max="5" width="12.77734375" style="191" bestFit="1" customWidth="1"/>
    <col min="6" max="6" width="13.88671875" style="191" hidden="1" customWidth="1"/>
    <col min="7" max="8" width="12.77734375" style="191" hidden="1" customWidth="1"/>
    <col min="9" max="9" width="12.77734375" style="191" bestFit="1" customWidth="1"/>
    <col min="10" max="12" width="12.77734375" style="191" hidden="1" customWidth="1"/>
    <col min="13" max="13" width="13.88671875" style="191" bestFit="1" customWidth="1"/>
    <col min="14" max="15" width="13.88671875" style="191" hidden="1" customWidth="1"/>
    <col min="16" max="16" width="12.77734375" style="191" hidden="1" customWidth="1"/>
    <col min="17" max="17" width="12.77734375" style="191" bestFit="1" customWidth="1"/>
    <col min="18" max="20" width="12.77734375" style="191" hidden="1" customWidth="1"/>
    <col min="21" max="21" width="12.77734375" style="191" bestFit="1" customWidth="1"/>
    <col min="22" max="24" width="12.77734375" style="191" hidden="1" customWidth="1"/>
    <col min="25" max="25" width="12.77734375" style="191" bestFit="1" customWidth="1"/>
    <col min="26" max="28" width="12.77734375" style="191" hidden="1" customWidth="1"/>
    <col min="29" max="29" width="12.77734375" style="191" bestFit="1" customWidth="1"/>
    <col min="30" max="32" width="12.77734375" style="191" hidden="1" customWidth="1"/>
    <col min="33" max="33" width="12.77734375" style="191" bestFit="1" customWidth="1"/>
    <col min="34" max="34" width="12.77734375" style="191" hidden="1" customWidth="1"/>
    <col min="35" max="36" width="12.77734375" style="191" bestFit="1" customWidth="1"/>
    <col min="37" max="37" width="9.5546875" style="191" hidden="1" customWidth="1"/>
    <col min="38" max="16384" width="8.88671875" style="191"/>
  </cols>
  <sheetData>
    <row r="1" spans="1:37"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20110331</v>
      </c>
      <c r="AG1" s="191">
        <v>20101231</v>
      </c>
      <c r="AH1" s="191">
        <v>20100930</v>
      </c>
      <c r="AI1" s="191">
        <v>20091231</v>
      </c>
      <c r="AJ1" s="191">
        <v>20081231</v>
      </c>
      <c r="AK1" s="191">
        <v>19700101</v>
      </c>
    </row>
    <row r="2" spans="1:37"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c r="AI2" s="191" t="s">
        <v>106</v>
      </c>
      <c r="AJ2" s="191" t="s">
        <v>106</v>
      </c>
    </row>
    <row r="3" spans="1:37" x14ac:dyDescent="0.25">
      <c r="A3" s="191" t="s">
        <v>190</v>
      </c>
      <c r="B3" s="191">
        <v>1849934355.4400001</v>
      </c>
      <c r="C3" s="191">
        <v>1277996624.8399999</v>
      </c>
      <c r="D3" s="191">
        <v>657642184.55999994</v>
      </c>
      <c r="E3" s="191">
        <v>2456391218.1599998</v>
      </c>
      <c r="F3" s="191">
        <v>1797303663.71</v>
      </c>
      <c r="G3" s="191">
        <v>1262280095.75</v>
      </c>
      <c r="H3" s="191">
        <v>612156580.71000004</v>
      </c>
      <c r="I3" s="191">
        <v>1847391081.8399999</v>
      </c>
      <c r="J3" s="191">
        <v>1324775375.3399999</v>
      </c>
      <c r="K3" s="191">
        <v>888376461.49000001</v>
      </c>
      <c r="L3" s="191">
        <v>423001389.69</v>
      </c>
      <c r="M3" s="191">
        <v>1631042560</v>
      </c>
      <c r="N3" s="191">
        <v>1022711562.04</v>
      </c>
      <c r="O3" s="191">
        <v>615138524.07000005</v>
      </c>
      <c r="P3" s="191">
        <v>265749041.91</v>
      </c>
      <c r="Q3" s="191">
        <v>1068796191.5700001</v>
      </c>
      <c r="R3" s="191">
        <v>705098562.99000001</v>
      </c>
      <c r="S3" s="191">
        <v>433011175.55000001</v>
      </c>
      <c r="T3" s="191">
        <v>196981639.65000001</v>
      </c>
      <c r="U3" s="191">
        <v>965382340.42999995</v>
      </c>
      <c r="V3" s="191">
        <v>705638264.82000005</v>
      </c>
      <c r="W3" s="191">
        <v>483178236.35000002</v>
      </c>
      <c r="X3" s="191">
        <v>221315195.03</v>
      </c>
      <c r="Y3" s="191">
        <v>789577816.87</v>
      </c>
      <c r="Z3" s="191">
        <v>539360672.49000001</v>
      </c>
      <c r="AA3" s="191">
        <v>394771497.57999998</v>
      </c>
      <c r="AB3" s="191">
        <v>177632246.53</v>
      </c>
      <c r="AC3" s="191">
        <v>820090562.65999997</v>
      </c>
      <c r="AD3" s="191">
        <v>640951585.91999996</v>
      </c>
      <c r="AE3" s="191">
        <v>469202622.25999999</v>
      </c>
      <c r="AF3" s="191">
        <v>205970417.91999999</v>
      </c>
      <c r="AG3" s="191">
        <v>731662751.10000002</v>
      </c>
      <c r="AH3" s="191">
        <v>538217516.25999999</v>
      </c>
      <c r="AI3" s="191">
        <v>404874884.06999999</v>
      </c>
      <c r="AJ3" s="191">
        <v>639478592.48000002</v>
      </c>
      <c r="AK3" s="191">
        <v>0</v>
      </c>
    </row>
    <row r="4" spans="1:37" x14ac:dyDescent="0.25">
      <c r="A4" s="191" t="s">
        <v>191</v>
      </c>
      <c r="B4" s="191">
        <v>1849934355.4400001</v>
      </c>
      <c r="C4" s="191">
        <v>1277996624.8399999</v>
      </c>
      <c r="D4" s="191">
        <v>657642184.55999994</v>
      </c>
      <c r="E4" s="191">
        <v>2456391218.1599998</v>
      </c>
      <c r="F4" s="191">
        <v>1797303663.71</v>
      </c>
      <c r="G4" s="191">
        <v>1262280095.75</v>
      </c>
      <c r="H4" s="191">
        <v>612156580.71000004</v>
      </c>
      <c r="I4" s="191">
        <v>1847391081.8399999</v>
      </c>
      <c r="J4" s="191">
        <v>1324775375.3399999</v>
      </c>
      <c r="K4" s="191">
        <v>888376461.49000001</v>
      </c>
      <c r="L4" s="191">
        <v>423001389.69</v>
      </c>
      <c r="M4" s="191">
        <v>1631042560</v>
      </c>
      <c r="N4" s="191">
        <v>1022711562.04</v>
      </c>
      <c r="O4" s="191">
        <v>615138524.07000005</v>
      </c>
      <c r="P4" s="191">
        <v>265749041.91</v>
      </c>
      <c r="Q4" s="191">
        <v>1068796191.5700001</v>
      </c>
      <c r="R4" s="191">
        <v>705098562.99000001</v>
      </c>
      <c r="S4" s="191">
        <v>433011175.55000001</v>
      </c>
      <c r="T4" s="191">
        <v>196981639.65000001</v>
      </c>
      <c r="U4" s="191">
        <v>965382340.42999995</v>
      </c>
      <c r="V4" s="191">
        <v>705638264.82000005</v>
      </c>
      <c r="W4" s="191">
        <v>483178236.35000002</v>
      </c>
      <c r="X4" s="191">
        <v>221315195.03</v>
      </c>
      <c r="Y4" s="191">
        <v>789577816.87</v>
      </c>
      <c r="Z4" s="191">
        <v>539360672.49000001</v>
      </c>
      <c r="AA4" s="191">
        <v>394771497.57999998</v>
      </c>
      <c r="AB4" s="191">
        <v>177632246.53</v>
      </c>
      <c r="AC4" s="191">
        <v>820090562.65999997</v>
      </c>
      <c r="AD4" s="191">
        <v>640951585.91999996</v>
      </c>
      <c r="AE4" s="191">
        <v>469202622.25999999</v>
      </c>
      <c r="AF4" s="191">
        <v>205970417.91999999</v>
      </c>
      <c r="AG4" s="191">
        <v>731662751.10000002</v>
      </c>
      <c r="AH4" s="191">
        <v>538217516.25999999</v>
      </c>
      <c r="AI4" s="191">
        <v>404874884.06999999</v>
      </c>
      <c r="AJ4" s="191">
        <v>639478592.48000002</v>
      </c>
      <c r="AK4" s="191">
        <v>0</v>
      </c>
    </row>
    <row r="5" spans="1:37" x14ac:dyDescent="0.25">
      <c r="A5" s="191" t="s">
        <v>192</v>
      </c>
      <c r="B5" s="191">
        <v>1504798094.1900001</v>
      </c>
      <c r="C5" s="191">
        <v>1067138382.58</v>
      </c>
      <c r="D5" s="191">
        <v>585194747</v>
      </c>
      <c r="E5" s="191">
        <v>2034281961.3199999</v>
      </c>
      <c r="F5" s="191">
        <v>1457109797.1099999</v>
      </c>
      <c r="G5" s="191">
        <v>1015661612.0599999</v>
      </c>
      <c r="H5" s="191">
        <v>496916255.81999999</v>
      </c>
      <c r="I5" s="191">
        <v>1503293744.5</v>
      </c>
      <c r="J5" s="191">
        <v>1055005318</v>
      </c>
      <c r="K5" s="191">
        <v>691278767.86000001</v>
      </c>
      <c r="L5" s="191">
        <v>326637699.12</v>
      </c>
      <c r="M5" s="191">
        <v>1354429993.1500001</v>
      </c>
      <c r="N5" s="191">
        <v>854800623.60000002</v>
      </c>
      <c r="O5" s="191">
        <v>536661937.56999999</v>
      </c>
      <c r="P5" s="191">
        <v>238240498.86000001</v>
      </c>
      <c r="Q5" s="191">
        <v>971029341.58000004</v>
      </c>
      <c r="R5" s="191">
        <v>637032973.20000005</v>
      </c>
      <c r="S5" s="191">
        <v>393250373.12</v>
      </c>
      <c r="T5" s="191">
        <v>177616863.99000001</v>
      </c>
      <c r="U5" s="191">
        <v>830397329.60000002</v>
      </c>
      <c r="V5" s="191">
        <v>608246035.66999996</v>
      </c>
      <c r="W5" s="191">
        <v>412618414.31999999</v>
      </c>
      <c r="X5" s="191">
        <v>185720043.25999999</v>
      </c>
      <c r="Y5" s="191">
        <v>673609188.85000002</v>
      </c>
      <c r="Z5" s="191">
        <v>449831558.39999998</v>
      </c>
      <c r="AA5" s="191">
        <v>318643361.12</v>
      </c>
      <c r="AB5" s="191">
        <v>148996615.50999999</v>
      </c>
      <c r="AC5" s="191">
        <v>691531940.67999995</v>
      </c>
      <c r="AD5" s="191">
        <v>530909389.60000002</v>
      </c>
      <c r="AE5" s="191">
        <v>385869638.37</v>
      </c>
      <c r="AF5" s="191">
        <v>170809610.47</v>
      </c>
      <c r="AG5" s="191">
        <v>619633275.08000004</v>
      </c>
      <c r="AH5" s="191">
        <v>452364901.25</v>
      </c>
      <c r="AI5" s="191">
        <v>331072789.50999999</v>
      </c>
      <c r="AJ5" s="191">
        <v>536507956.55000001</v>
      </c>
      <c r="AK5" s="191">
        <v>0</v>
      </c>
    </row>
    <row r="6" spans="1:37" x14ac:dyDescent="0.25">
      <c r="A6" s="191" t="s">
        <v>193</v>
      </c>
      <c r="B6" s="191">
        <v>1135658201.5899999</v>
      </c>
      <c r="C6" s="191">
        <v>804497078.79999995</v>
      </c>
      <c r="D6" s="191">
        <v>437269597.19999999</v>
      </c>
      <c r="E6" s="191">
        <v>1483217632.6600001</v>
      </c>
      <c r="F6" s="191">
        <v>1076327673.26</v>
      </c>
      <c r="G6" s="191">
        <v>763209419.25999999</v>
      </c>
      <c r="H6" s="191">
        <v>379066624.18000001</v>
      </c>
      <c r="I6" s="191">
        <v>1093192340.75</v>
      </c>
      <c r="J6" s="191">
        <v>774816435.69000006</v>
      </c>
      <c r="K6" s="191">
        <v>523069803.54000002</v>
      </c>
      <c r="L6" s="191">
        <v>261347307.03</v>
      </c>
      <c r="M6" s="191">
        <v>1072076772.12</v>
      </c>
      <c r="N6" s="191">
        <v>666132747.07000005</v>
      </c>
      <c r="O6" s="191">
        <v>408201899.26999998</v>
      </c>
      <c r="P6" s="191">
        <v>177861626.05000001</v>
      </c>
      <c r="Q6" s="191">
        <v>768038724.02999997</v>
      </c>
      <c r="R6" s="191">
        <v>507051456.85000002</v>
      </c>
      <c r="S6" s="191">
        <v>315018885.75999999</v>
      </c>
      <c r="T6" s="191">
        <v>139161166.72</v>
      </c>
      <c r="U6" s="191">
        <v>670813034.48000002</v>
      </c>
      <c r="V6" s="191">
        <v>496650507.01999998</v>
      </c>
      <c r="W6" s="191">
        <v>341931917.73000002</v>
      </c>
      <c r="X6" s="191">
        <v>156289971.44999999</v>
      </c>
      <c r="Y6" s="191">
        <v>521890826.97000003</v>
      </c>
      <c r="Z6" s="191">
        <v>355153963.38</v>
      </c>
      <c r="AA6" s="191">
        <v>254538342.21000001</v>
      </c>
      <c r="AB6" s="191">
        <v>119441195.91</v>
      </c>
      <c r="AC6" s="191">
        <v>531176597.10000002</v>
      </c>
      <c r="AD6" s="191">
        <v>402979000.42000002</v>
      </c>
      <c r="AE6" s="191">
        <v>294317658.50999999</v>
      </c>
      <c r="AF6" s="191">
        <v>134954397.66</v>
      </c>
      <c r="AG6" s="191">
        <v>498840802.37</v>
      </c>
      <c r="AH6" s="191">
        <v>366482751.81999999</v>
      </c>
      <c r="AI6" s="191">
        <v>249155678</v>
      </c>
      <c r="AJ6" s="191">
        <v>447889209.37</v>
      </c>
      <c r="AK6" s="191">
        <v>0</v>
      </c>
    </row>
    <row r="7" spans="1:37" x14ac:dyDescent="0.25">
      <c r="A7" s="191" t="s">
        <v>194</v>
      </c>
      <c r="B7" s="191">
        <v>23191224.52</v>
      </c>
      <c r="C7" s="191">
        <v>16542253.810000001</v>
      </c>
      <c r="D7" s="191">
        <v>8779622.5099999998</v>
      </c>
      <c r="E7" s="191">
        <v>29290483.289999999</v>
      </c>
      <c r="F7" s="191">
        <v>20515098.809999999</v>
      </c>
      <c r="G7" s="191">
        <v>14190798.9</v>
      </c>
      <c r="H7" s="191">
        <v>7259068.7199999997</v>
      </c>
      <c r="I7" s="191">
        <v>19407331.18</v>
      </c>
      <c r="J7" s="191">
        <v>7888050.0099999998</v>
      </c>
      <c r="K7" s="191">
        <v>5589750.1100000003</v>
      </c>
      <c r="L7" s="191">
        <v>1931265.36</v>
      </c>
      <c r="M7" s="191">
        <v>13891686.960000001</v>
      </c>
      <c r="N7" s="191">
        <v>11091047.01</v>
      </c>
      <c r="O7" s="191">
        <v>7469738.3899999997</v>
      </c>
      <c r="P7" s="191">
        <v>3557840.46</v>
      </c>
      <c r="Q7" s="191">
        <v>9556522.0099999998</v>
      </c>
      <c r="R7" s="191">
        <v>6871760.4199999999</v>
      </c>
      <c r="S7" s="191">
        <v>4342226.78</v>
      </c>
      <c r="T7" s="191">
        <v>2075024.7</v>
      </c>
      <c r="U7" s="191">
        <v>7449893.2199999997</v>
      </c>
      <c r="V7" s="191">
        <v>4833119.1500000004</v>
      </c>
      <c r="W7" s="191">
        <v>2868816.48</v>
      </c>
      <c r="X7" s="191">
        <v>591991.57999999996</v>
      </c>
      <c r="Y7" s="191">
        <v>6498688.8600000003</v>
      </c>
      <c r="Z7" s="191">
        <v>5460486.7300000004</v>
      </c>
      <c r="AA7" s="191">
        <v>3884074.67</v>
      </c>
      <c r="AB7" s="191">
        <v>1261607.6399999999</v>
      </c>
      <c r="AC7" s="191">
        <v>7563965.7599999998</v>
      </c>
      <c r="AD7" s="191">
        <v>6183916.9900000002</v>
      </c>
      <c r="AE7" s="191">
        <v>3394963.58</v>
      </c>
      <c r="AF7" s="191">
        <v>1168668.52</v>
      </c>
      <c r="AG7" s="191">
        <v>5622497.25</v>
      </c>
      <c r="AH7" s="191">
        <v>4295612.0999999996</v>
      </c>
      <c r="AI7" s="191">
        <v>4126801.4</v>
      </c>
      <c r="AJ7" s="191">
        <v>4576691.03</v>
      </c>
      <c r="AK7" s="191">
        <v>0</v>
      </c>
    </row>
    <row r="8" spans="1:37" x14ac:dyDescent="0.25">
      <c r="A8" s="191" t="s">
        <v>195</v>
      </c>
      <c r="B8" s="191">
        <v>110648258.59999999</v>
      </c>
      <c r="C8" s="191">
        <v>72758768.090000004</v>
      </c>
      <c r="D8" s="191">
        <v>28654047.329999998</v>
      </c>
      <c r="E8" s="191">
        <v>161946615.94</v>
      </c>
      <c r="F8" s="191">
        <v>115835567.73999999</v>
      </c>
      <c r="G8" s="191">
        <v>79063494.579999998</v>
      </c>
      <c r="H8" s="191">
        <v>38085936.170000002</v>
      </c>
      <c r="I8" s="191">
        <v>127782137.45999999</v>
      </c>
      <c r="J8" s="191">
        <v>79823343.730000004</v>
      </c>
      <c r="K8" s="191">
        <v>44739353.159999996</v>
      </c>
      <c r="L8" s="191">
        <v>4311945.47</v>
      </c>
      <c r="M8" s="191">
        <v>38193258.799999997</v>
      </c>
      <c r="N8" s="191">
        <v>30523308.300000001</v>
      </c>
      <c r="O8" s="191">
        <v>16053033.359999999</v>
      </c>
      <c r="P8" s="191">
        <v>7590713.0899999999</v>
      </c>
      <c r="Q8" s="191">
        <v>24163207.609999999</v>
      </c>
      <c r="R8" s="191">
        <v>15881130.720000001</v>
      </c>
      <c r="S8" s="191">
        <v>11730498.82</v>
      </c>
      <c r="T8" s="191">
        <v>5135968.8099999996</v>
      </c>
      <c r="U8" s="191">
        <v>16340221.83</v>
      </c>
      <c r="V8" s="191">
        <v>12802972.93</v>
      </c>
      <c r="W8" s="191">
        <v>7576609.4900000002</v>
      </c>
      <c r="X8" s="191">
        <v>2902536.7</v>
      </c>
      <c r="Y8" s="191">
        <v>17382391.079999998</v>
      </c>
      <c r="Z8" s="191">
        <v>10896233.470000001</v>
      </c>
      <c r="AA8" s="191">
        <v>7025899.1500000004</v>
      </c>
      <c r="AB8" s="191">
        <v>4075108.68</v>
      </c>
      <c r="AC8" s="191">
        <v>18337717.219999999</v>
      </c>
      <c r="AD8" s="191">
        <v>16095605.960000001</v>
      </c>
      <c r="AE8" s="191">
        <v>11738887.710000001</v>
      </c>
      <c r="AF8" s="191">
        <v>3767219.08</v>
      </c>
      <c r="AG8" s="191">
        <v>10156455.640000001</v>
      </c>
      <c r="AH8" s="191">
        <v>7771348.21</v>
      </c>
      <c r="AI8" s="191">
        <v>6459453.6500000004</v>
      </c>
      <c r="AJ8" s="191">
        <v>6710158.71</v>
      </c>
      <c r="AK8" s="191">
        <v>0</v>
      </c>
    </row>
    <row r="9" spans="1:37" x14ac:dyDescent="0.25">
      <c r="A9" s="191" t="s">
        <v>196</v>
      </c>
      <c r="B9" s="191">
        <v>145536471.53999999</v>
      </c>
      <c r="C9" s="191">
        <v>181401307.44999999</v>
      </c>
      <c r="D9" s="191">
        <v>91954482.650000006</v>
      </c>
      <c r="E9" s="191">
        <v>322376512.32999998</v>
      </c>
      <c r="F9" s="191">
        <v>227571290.36000001</v>
      </c>
      <c r="G9" s="191">
        <v>149051947.09</v>
      </c>
      <c r="H9" s="191">
        <v>70210928.969999999</v>
      </c>
      <c r="I9" s="191">
        <v>248517248.97</v>
      </c>
      <c r="J9" s="191">
        <v>179481284.69999999</v>
      </c>
      <c r="K9" s="191">
        <v>114411910.42</v>
      </c>
      <c r="L9" s="191">
        <v>50658210.920000002</v>
      </c>
      <c r="M9" s="191">
        <v>251304890.34999999</v>
      </c>
      <c r="N9" s="191">
        <v>172162246.28</v>
      </c>
      <c r="O9" s="191">
        <v>121462995.86</v>
      </c>
      <c r="P9" s="191">
        <v>51106501.609999999</v>
      </c>
      <c r="Q9" s="191">
        <v>159983783.44</v>
      </c>
      <c r="R9" s="191">
        <v>111377146.03</v>
      </c>
      <c r="S9" s="191">
        <v>65725165.530000001</v>
      </c>
      <c r="T9" s="191">
        <v>31816342.18</v>
      </c>
      <c r="U9" s="191">
        <v>122575848.34999999</v>
      </c>
      <c r="V9" s="191">
        <v>86828470.189999998</v>
      </c>
      <c r="W9" s="191">
        <v>53964969.229999997</v>
      </c>
      <c r="X9" s="191">
        <v>25488351.719999999</v>
      </c>
      <c r="Y9" s="191">
        <v>116980991.06999999</v>
      </c>
      <c r="Z9" s="191">
        <v>78100978.640000001</v>
      </c>
      <c r="AA9" s="191">
        <v>49409278.43</v>
      </c>
      <c r="AB9" s="191">
        <v>23011740.16</v>
      </c>
      <c r="AC9" s="191">
        <v>102116537.31</v>
      </c>
      <c r="AD9" s="191">
        <v>82818317.629999995</v>
      </c>
      <c r="AE9" s="191">
        <v>57192219.799999997</v>
      </c>
      <c r="AF9" s="191">
        <v>26394348.949999999</v>
      </c>
      <c r="AG9" s="191">
        <v>80905786.969999999</v>
      </c>
      <c r="AH9" s="191">
        <v>58116124.539999999</v>
      </c>
      <c r="AI9" s="191">
        <v>49034496.270000003</v>
      </c>
      <c r="AJ9" s="191">
        <v>47734088.259999998</v>
      </c>
      <c r="AK9" s="191">
        <v>0</v>
      </c>
    </row>
    <row r="10" spans="1:37" x14ac:dyDescent="0.25">
      <c r="A10" s="191" t="s">
        <v>197</v>
      </c>
      <c r="B10" s="191">
        <v>-41517260.700000003</v>
      </c>
      <c r="C10" s="191">
        <v>-16547966.6</v>
      </c>
      <c r="D10" s="191">
        <v>18019538.379999999</v>
      </c>
      <c r="E10" s="191">
        <v>18774405.699999999</v>
      </c>
      <c r="F10" s="191">
        <v>12811691.41</v>
      </c>
      <c r="G10" s="191">
        <v>6341483.3700000001</v>
      </c>
      <c r="H10" s="191">
        <v>2323167.48</v>
      </c>
      <c r="I10" s="191">
        <v>-1729116.22</v>
      </c>
      <c r="J10" s="191">
        <v>10100781.220000001</v>
      </c>
      <c r="K10" s="191">
        <v>1886322.93</v>
      </c>
      <c r="L10" s="191">
        <v>8726252.4700000007</v>
      </c>
      <c r="M10" s="191">
        <v>-50415377.359999999</v>
      </c>
      <c r="N10" s="191">
        <v>-21080294.359999999</v>
      </c>
      <c r="O10" s="191">
        <v>-12497298.609999999</v>
      </c>
      <c r="P10" s="191">
        <v>-1876182.35</v>
      </c>
      <c r="Q10" s="191">
        <v>-5830414.0300000003</v>
      </c>
      <c r="R10" s="191">
        <v>-4825255.8600000003</v>
      </c>
      <c r="S10" s="191">
        <v>-4243138.8099999996</v>
      </c>
      <c r="T10" s="191">
        <v>-571638.42000000004</v>
      </c>
      <c r="U10" s="191">
        <v>7763315.3799999999</v>
      </c>
      <c r="V10" s="191">
        <v>6252847.4400000004</v>
      </c>
      <c r="W10" s="191">
        <v>5397982.4500000002</v>
      </c>
      <c r="X10" s="191">
        <v>447191.81</v>
      </c>
      <c r="Y10" s="191">
        <v>-3248124.57</v>
      </c>
      <c r="Z10" s="191">
        <v>-2438942.9900000002</v>
      </c>
      <c r="AA10" s="191">
        <v>-826896.2</v>
      </c>
      <c r="AB10" s="191">
        <v>1206963.1200000001</v>
      </c>
      <c r="AC10" s="191">
        <v>15704298.779999999</v>
      </c>
      <c r="AD10" s="191">
        <v>12927230.65</v>
      </c>
      <c r="AE10" s="191">
        <v>9320590.8200000003</v>
      </c>
      <c r="AF10" s="191">
        <v>3892186.12</v>
      </c>
      <c r="AG10" s="191">
        <v>13156554.99</v>
      </c>
      <c r="AH10" s="191">
        <v>7153456.8099999996</v>
      </c>
      <c r="AI10" s="191">
        <v>14830022.32</v>
      </c>
      <c r="AJ10" s="191">
        <v>26978204.850000001</v>
      </c>
      <c r="AK10" s="191">
        <v>0</v>
      </c>
    </row>
    <row r="11" spans="1:37" x14ac:dyDescent="0.25">
      <c r="A11" s="191" t="s">
        <v>198</v>
      </c>
      <c r="B11" s="191">
        <v>8686952.8499999996</v>
      </c>
      <c r="C11" s="191">
        <v>8486941.0299999993</v>
      </c>
      <c r="D11" s="191">
        <v>517458.93</v>
      </c>
      <c r="E11" s="191">
        <v>18676311.399999999</v>
      </c>
      <c r="F11" s="191">
        <v>4048475.53</v>
      </c>
      <c r="G11" s="191">
        <v>3804468.86</v>
      </c>
      <c r="H11" s="191">
        <v>-29469.7</v>
      </c>
      <c r="I11" s="191">
        <v>16123802.359999999</v>
      </c>
      <c r="J11" s="191">
        <v>2895422.65</v>
      </c>
      <c r="K11" s="191">
        <v>1581627.7</v>
      </c>
      <c r="L11" s="191">
        <v>-337282.13</v>
      </c>
      <c r="M11" s="191">
        <v>29378762.280000001</v>
      </c>
      <c r="N11" s="191">
        <v>-4028430.7</v>
      </c>
      <c r="O11" s="191">
        <v>-4028430.7</v>
      </c>
      <c r="P11" s="191">
        <v>0</v>
      </c>
      <c r="Q11" s="191">
        <v>15117518.52</v>
      </c>
      <c r="R11" s="191">
        <v>676735.04</v>
      </c>
      <c r="S11" s="191">
        <v>676735.04</v>
      </c>
      <c r="T11" s="191">
        <v>0</v>
      </c>
      <c r="U11" s="191">
        <v>5455016.3399999999</v>
      </c>
      <c r="V11" s="191">
        <v>878118.94</v>
      </c>
      <c r="W11" s="191">
        <v>878118.94</v>
      </c>
      <c r="X11" s="191">
        <v>0</v>
      </c>
      <c r="Y11" s="191">
        <v>14104415.439999999</v>
      </c>
      <c r="Z11" s="191">
        <v>2658839.17</v>
      </c>
      <c r="AA11" s="191">
        <v>4612662.8600000003</v>
      </c>
      <c r="AB11" s="191">
        <v>0</v>
      </c>
      <c r="AC11" s="191">
        <v>16632824.51</v>
      </c>
      <c r="AD11" s="191">
        <v>9905317.9499999993</v>
      </c>
      <c r="AE11" s="191">
        <v>9905317.9499999993</v>
      </c>
      <c r="AF11" s="191">
        <v>632790.14</v>
      </c>
      <c r="AG11" s="191">
        <v>10951177.859999999</v>
      </c>
      <c r="AH11" s="191">
        <v>8545607.7699999996</v>
      </c>
      <c r="AI11" s="191">
        <v>7466337.8700000001</v>
      </c>
      <c r="AJ11" s="191">
        <v>2619604.33</v>
      </c>
      <c r="AK11" s="191">
        <v>0</v>
      </c>
    </row>
    <row r="12" spans="1:37" x14ac:dyDescent="0.25">
      <c r="A12" s="191" t="s">
        <v>199</v>
      </c>
      <c r="B12" s="191">
        <v>0</v>
      </c>
      <c r="C12" s="191">
        <v>0</v>
      </c>
      <c r="D12" s="191">
        <v>0</v>
      </c>
      <c r="E12" s="191">
        <v>0</v>
      </c>
      <c r="F12" s="191">
        <v>0</v>
      </c>
      <c r="G12" s="191">
        <v>0</v>
      </c>
      <c r="H12" s="191">
        <v>0</v>
      </c>
      <c r="I12" s="191">
        <v>0</v>
      </c>
      <c r="J12" s="191">
        <v>0</v>
      </c>
      <c r="K12" s="191">
        <v>0</v>
      </c>
      <c r="L12" s="191">
        <v>0</v>
      </c>
      <c r="M12" s="191">
        <v>0</v>
      </c>
      <c r="N12" s="191">
        <v>0</v>
      </c>
      <c r="O12" s="191">
        <v>0</v>
      </c>
      <c r="P12" s="191">
        <v>0</v>
      </c>
      <c r="Q12" s="191">
        <v>0</v>
      </c>
      <c r="R12" s="191">
        <v>0</v>
      </c>
      <c r="S12" s="191">
        <v>0</v>
      </c>
      <c r="T12" s="191">
        <v>0</v>
      </c>
      <c r="U12" s="191">
        <v>0</v>
      </c>
      <c r="V12" s="191">
        <v>0</v>
      </c>
      <c r="W12" s="191">
        <v>0</v>
      </c>
      <c r="X12" s="191">
        <v>0</v>
      </c>
      <c r="Y12" s="191">
        <v>0</v>
      </c>
      <c r="Z12" s="191">
        <v>0</v>
      </c>
      <c r="AA12" s="191">
        <v>0</v>
      </c>
      <c r="AB12" s="191">
        <v>0</v>
      </c>
      <c r="AC12" s="191">
        <v>0</v>
      </c>
      <c r="AD12" s="191">
        <v>0</v>
      </c>
      <c r="AE12" s="191">
        <v>0</v>
      </c>
      <c r="AF12" s="191">
        <v>0</v>
      </c>
      <c r="AG12" s="191">
        <v>0</v>
      </c>
      <c r="AH12" s="191">
        <v>0</v>
      </c>
      <c r="AI12" s="191">
        <v>0</v>
      </c>
      <c r="AJ12" s="191">
        <v>0</v>
      </c>
      <c r="AK12" s="191">
        <v>0</v>
      </c>
    </row>
    <row r="13" spans="1:37" x14ac:dyDescent="0.25">
      <c r="A13" s="191" t="s">
        <v>200</v>
      </c>
      <c r="B13" s="191">
        <v>6630461.0800000001</v>
      </c>
      <c r="C13" s="191">
        <v>3985461.08</v>
      </c>
      <c r="D13" s="191">
        <v>2777250</v>
      </c>
      <c r="E13" s="191">
        <v>11424551.82</v>
      </c>
      <c r="F13" s="191">
        <v>5958671.5499999998</v>
      </c>
      <c r="G13" s="191">
        <v>2948671.55</v>
      </c>
      <c r="H13" s="191">
        <v>2796666.67</v>
      </c>
      <c r="I13" s="191">
        <v>16636609.83</v>
      </c>
      <c r="J13" s="191">
        <v>19035752.93</v>
      </c>
      <c r="K13" s="191">
        <v>15160752.93</v>
      </c>
      <c r="L13" s="191">
        <v>9125000</v>
      </c>
      <c r="M13" s="191">
        <v>17046857.07</v>
      </c>
      <c r="N13" s="191">
        <v>921630.25</v>
      </c>
      <c r="O13" s="191">
        <v>963291.36</v>
      </c>
      <c r="P13" s="191">
        <v>0</v>
      </c>
      <c r="Q13" s="191">
        <v>2084177.5</v>
      </c>
      <c r="R13" s="191">
        <v>917949.38</v>
      </c>
      <c r="S13" s="191">
        <v>917949.38</v>
      </c>
      <c r="T13" s="191">
        <v>0</v>
      </c>
      <c r="U13" s="191">
        <v>1109427.94</v>
      </c>
      <c r="V13" s="191">
        <v>685467.8</v>
      </c>
      <c r="W13" s="191">
        <v>685467.8</v>
      </c>
      <c r="X13" s="191">
        <v>0</v>
      </c>
      <c r="Y13" s="191">
        <v>1641093.94</v>
      </c>
      <c r="Z13" s="191">
        <v>97671.69</v>
      </c>
      <c r="AA13" s="191">
        <v>97671.69</v>
      </c>
      <c r="AB13" s="191">
        <v>0</v>
      </c>
      <c r="AC13" s="191">
        <v>1854065.85</v>
      </c>
      <c r="AD13" s="191">
        <v>960699.51</v>
      </c>
      <c r="AE13" s="191">
        <v>960699.51</v>
      </c>
      <c r="AF13" s="191">
        <v>0</v>
      </c>
      <c r="AG13" s="191">
        <v>1618437.56</v>
      </c>
      <c r="AH13" s="191">
        <v>461717.08</v>
      </c>
      <c r="AI13" s="191">
        <v>529831.25</v>
      </c>
      <c r="AJ13" s="191">
        <v>2975960.3</v>
      </c>
      <c r="AK13" s="191">
        <v>0</v>
      </c>
    </row>
    <row r="14" spans="1:37" x14ac:dyDescent="0.25">
      <c r="A14" s="191" t="s">
        <v>201</v>
      </c>
      <c r="B14" s="191">
        <v>1208211.08</v>
      </c>
      <c r="C14" s="191">
        <v>1208211.08</v>
      </c>
      <c r="D14" s="191">
        <v>0</v>
      </c>
      <c r="E14" s="191">
        <v>-734614.85</v>
      </c>
      <c r="F14" s="191">
        <v>-2437995.12</v>
      </c>
      <c r="G14" s="191">
        <v>-2437995.12</v>
      </c>
      <c r="H14" s="191">
        <v>0</v>
      </c>
      <c r="I14" s="191">
        <v>-2525890.17</v>
      </c>
      <c r="J14" s="191">
        <v>3168252.93</v>
      </c>
      <c r="K14" s="191">
        <v>3168252.93</v>
      </c>
      <c r="L14" s="191">
        <v>0</v>
      </c>
      <c r="M14" s="191">
        <v>10697542</v>
      </c>
      <c r="N14" s="191">
        <v>921630.25</v>
      </c>
      <c r="O14" s="191">
        <v>963291.36</v>
      </c>
      <c r="P14" s="191">
        <v>0</v>
      </c>
      <c r="Q14" s="191">
        <v>2084177.5</v>
      </c>
      <c r="R14" s="191">
        <v>917949.38</v>
      </c>
      <c r="S14" s="191">
        <v>917949.38</v>
      </c>
      <c r="T14" s="191">
        <v>0</v>
      </c>
      <c r="U14" s="191">
        <v>1109427.94</v>
      </c>
      <c r="V14" s="191">
        <v>685467.8</v>
      </c>
      <c r="W14" s="191">
        <v>685467.8</v>
      </c>
      <c r="X14" s="191">
        <v>0</v>
      </c>
      <c r="Y14" s="191">
        <v>1641093.94</v>
      </c>
      <c r="Z14" s="191">
        <v>0</v>
      </c>
      <c r="AA14" s="191">
        <v>97671.69</v>
      </c>
      <c r="AB14" s="191">
        <v>0</v>
      </c>
      <c r="AC14" s="191">
        <v>1854065.85</v>
      </c>
      <c r="AD14" s="191">
        <v>0</v>
      </c>
      <c r="AE14" s="191">
        <v>960699.51</v>
      </c>
      <c r="AF14" s="191">
        <v>0</v>
      </c>
      <c r="AG14" s="191">
        <v>1618437.56</v>
      </c>
      <c r="AH14" s="191">
        <v>0</v>
      </c>
      <c r="AI14" s="191">
        <v>529831.25</v>
      </c>
      <c r="AJ14" s="191">
        <v>2975960.3</v>
      </c>
      <c r="AK14" s="191">
        <v>0</v>
      </c>
    </row>
    <row r="15" spans="1:37" x14ac:dyDescent="0.25">
      <c r="A15" s="191" t="s">
        <v>202</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row>
    <row r="16" spans="1:37" x14ac:dyDescent="0.25">
      <c r="A16" s="191" t="s">
        <v>203</v>
      </c>
      <c r="B16" s="191">
        <v>354958312.56999999</v>
      </c>
      <c r="C16" s="191">
        <v>216924255.5</v>
      </c>
      <c r="D16" s="191">
        <v>76086846.319999993</v>
      </c>
      <c r="E16" s="191">
        <v>441138642.75</v>
      </c>
      <c r="F16" s="191">
        <v>346152538.14999998</v>
      </c>
      <c r="G16" s="191">
        <v>249567155.24000001</v>
      </c>
      <c r="H16" s="191">
        <v>118036991.56</v>
      </c>
      <c r="I16" s="191">
        <v>360733947.17000002</v>
      </c>
      <c r="J16" s="191">
        <v>288805810.26999998</v>
      </c>
      <c r="K16" s="191">
        <v>212258446.56</v>
      </c>
      <c r="L16" s="191">
        <v>105488690.56999999</v>
      </c>
      <c r="M16" s="191">
        <v>293659423.92000002</v>
      </c>
      <c r="N16" s="191">
        <v>168832568.69</v>
      </c>
      <c r="O16" s="191">
        <v>79439877.859999999</v>
      </c>
      <c r="P16" s="191">
        <v>27508543.050000001</v>
      </c>
      <c r="Q16" s="191">
        <v>99851027.489999995</v>
      </c>
      <c r="R16" s="191">
        <v>68983539.170000002</v>
      </c>
      <c r="S16" s="191">
        <v>40678751.810000002</v>
      </c>
      <c r="T16" s="191">
        <v>19364775.66</v>
      </c>
      <c r="U16" s="191">
        <v>136094438.77000001</v>
      </c>
      <c r="V16" s="191">
        <v>98077696.950000003</v>
      </c>
      <c r="W16" s="191">
        <v>71245289.829999998</v>
      </c>
      <c r="X16" s="191">
        <v>35595151.770000003</v>
      </c>
      <c r="Y16" s="191">
        <v>117609721.95999999</v>
      </c>
      <c r="Z16" s="191">
        <v>89626785.780000001</v>
      </c>
      <c r="AA16" s="191">
        <v>76225808.150000006</v>
      </c>
      <c r="AB16" s="191">
        <v>28635631.02</v>
      </c>
      <c r="AC16" s="191">
        <v>130412687.83</v>
      </c>
      <c r="AD16" s="191">
        <v>111002895.83</v>
      </c>
      <c r="AE16" s="191">
        <v>84293683.400000006</v>
      </c>
      <c r="AF16" s="191">
        <v>35160807.450000003</v>
      </c>
      <c r="AG16" s="191">
        <v>113647913.58</v>
      </c>
      <c r="AH16" s="191">
        <v>86314332.090000004</v>
      </c>
      <c r="AI16" s="191">
        <v>74331925.810000002</v>
      </c>
      <c r="AJ16" s="191">
        <v>105946596.23</v>
      </c>
      <c r="AK16" s="191">
        <v>0</v>
      </c>
    </row>
    <row r="17" spans="1:37" x14ac:dyDescent="0.25">
      <c r="A17" s="191" t="s">
        <v>204</v>
      </c>
      <c r="B17" s="191">
        <v>2706759.17</v>
      </c>
      <c r="C17" s="191">
        <v>2392385.86</v>
      </c>
      <c r="D17" s="191">
        <v>819230.38</v>
      </c>
      <c r="E17" s="191">
        <v>4132920.46</v>
      </c>
      <c r="F17" s="191">
        <v>7197083.2400000002</v>
      </c>
      <c r="G17" s="191">
        <v>3270422.03</v>
      </c>
      <c r="H17" s="191">
        <v>907992.32</v>
      </c>
      <c r="I17" s="191">
        <v>10882263.08</v>
      </c>
      <c r="J17" s="191">
        <v>8499527.3699999992</v>
      </c>
      <c r="K17" s="191">
        <v>5445432.7999999998</v>
      </c>
      <c r="L17" s="191">
        <v>951099.03</v>
      </c>
      <c r="M17" s="191">
        <v>5967218.29</v>
      </c>
      <c r="N17" s="191">
        <v>3446853.7</v>
      </c>
      <c r="O17" s="191">
        <v>2166220.73</v>
      </c>
      <c r="P17" s="191">
        <v>1043398.09</v>
      </c>
      <c r="Q17" s="191">
        <v>14535979.99</v>
      </c>
      <c r="R17" s="191">
        <v>6270270.7699999996</v>
      </c>
      <c r="S17" s="191">
        <v>2107251.66</v>
      </c>
      <c r="T17" s="191">
        <v>1008542.13</v>
      </c>
      <c r="U17" s="191">
        <v>9922765.7899999991</v>
      </c>
      <c r="V17" s="191">
        <v>8009245.6500000004</v>
      </c>
      <c r="W17" s="191">
        <v>2068378.58</v>
      </c>
      <c r="X17" s="191">
        <v>780628.21</v>
      </c>
      <c r="Y17" s="191">
        <v>9537453.9399999995</v>
      </c>
      <c r="Z17" s="191">
        <v>6208491.6500000004</v>
      </c>
      <c r="AA17" s="191">
        <v>4951952.37</v>
      </c>
      <c r="AB17" s="191">
        <v>4191715.87</v>
      </c>
      <c r="AC17" s="191">
        <v>10576468.130000001</v>
      </c>
      <c r="AD17" s="191">
        <v>8574065.5999999996</v>
      </c>
      <c r="AE17" s="191">
        <v>5185333.8</v>
      </c>
      <c r="AF17" s="191">
        <v>319680.62</v>
      </c>
      <c r="AG17" s="191">
        <v>768060.65</v>
      </c>
      <c r="AH17" s="191">
        <v>474871.71</v>
      </c>
      <c r="AI17" s="191">
        <v>445565.69</v>
      </c>
      <c r="AJ17" s="191">
        <v>627227.28</v>
      </c>
      <c r="AK17" s="191">
        <v>0</v>
      </c>
    </row>
    <row r="18" spans="1:37" x14ac:dyDescent="0.25">
      <c r="A18" s="191" t="s">
        <v>205</v>
      </c>
      <c r="B18" s="191">
        <v>1053240.6399999999</v>
      </c>
      <c r="C18" s="191">
        <v>706097.36</v>
      </c>
      <c r="D18" s="191">
        <v>234495.82</v>
      </c>
      <c r="E18" s="191">
        <v>1488939.12</v>
      </c>
      <c r="F18" s="191">
        <v>1215204.83</v>
      </c>
      <c r="G18" s="191">
        <v>477646.97</v>
      </c>
      <c r="H18" s="191">
        <v>170917.41</v>
      </c>
      <c r="I18" s="191">
        <v>3371951.22</v>
      </c>
      <c r="J18" s="191">
        <v>1955593.33</v>
      </c>
      <c r="K18" s="191">
        <v>1072725.5900000001</v>
      </c>
      <c r="L18" s="191">
        <v>410638.17</v>
      </c>
      <c r="M18" s="191">
        <v>1775061.59</v>
      </c>
      <c r="N18" s="191">
        <v>777840.97</v>
      </c>
      <c r="O18" s="191">
        <v>411840.47</v>
      </c>
      <c r="P18" s="191">
        <v>277119.46999999997</v>
      </c>
      <c r="Q18" s="191">
        <v>2698975.3</v>
      </c>
      <c r="R18" s="191">
        <v>1162569.75</v>
      </c>
      <c r="S18" s="191">
        <v>524424.22</v>
      </c>
      <c r="T18" s="191">
        <v>372603.87</v>
      </c>
      <c r="U18" s="191">
        <v>923645.96</v>
      </c>
      <c r="V18" s="191">
        <v>328291.57</v>
      </c>
      <c r="W18" s="191">
        <v>267917.84000000003</v>
      </c>
      <c r="X18" s="191">
        <v>62001.53</v>
      </c>
      <c r="Y18" s="191">
        <v>319454.45</v>
      </c>
      <c r="Z18" s="191">
        <v>293894.90000000002</v>
      </c>
      <c r="AA18" s="191">
        <v>140250.95000000001</v>
      </c>
      <c r="AB18" s="191">
        <v>40974.43</v>
      </c>
      <c r="AC18" s="191">
        <v>592960.87</v>
      </c>
      <c r="AD18" s="191">
        <v>585080.53</v>
      </c>
      <c r="AE18" s="191">
        <v>486783.88</v>
      </c>
      <c r="AF18" s="191">
        <v>191011.66</v>
      </c>
      <c r="AG18" s="191">
        <v>483767.13</v>
      </c>
      <c r="AH18" s="191">
        <v>296715.90999999997</v>
      </c>
      <c r="AI18" s="191">
        <v>23732.639999999999</v>
      </c>
      <c r="AJ18" s="191">
        <v>351518.25</v>
      </c>
      <c r="AK18" s="191">
        <v>0</v>
      </c>
    </row>
    <row r="19" spans="1:37" x14ac:dyDescent="0.25">
      <c r="A19" s="191" t="s">
        <v>206</v>
      </c>
      <c r="B19" s="191">
        <v>0</v>
      </c>
      <c r="C19" s="191">
        <v>0</v>
      </c>
      <c r="D19" s="191">
        <v>0</v>
      </c>
      <c r="E19" s="191">
        <v>0</v>
      </c>
      <c r="F19" s="191">
        <v>1158503.93</v>
      </c>
      <c r="G19" s="191">
        <v>445267.8</v>
      </c>
      <c r="H19" s="191">
        <v>149162.16</v>
      </c>
      <c r="I19" s="191">
        <v>2634995.87</v>
      </c>
      <c r="J19" s="191">
        <v>1284388.68</v>
      </c>
      <c r="K19" s="191">
        <v>621694.43000000005</v>
      </c>
      <c r="L19" s="191">
        <v>405893.24</v>
      </c>
      <c r="M19" s="191">
        <v>1760397.97</v>
      </c>
      <c r="N19" s="191">
        <v>696185.19</v>
      </c>
      <c r="O19" s="191">
        <v>406369.04</v>
      </c>
      <c r="P19" s="191">
        <v>277119.46999999997</v>
      </c>
      <c r="Q19" s="191">
        <v>2678344.2200000002</v>
      </c>
      <c r="R19" s="191">
        <v>1146891.82</v>
      </c>
      <c r="S19" s="191">
        <v>521158.62</v>
      </c>
      <c r="T19" s="191">
        <v>370255.56</v>
      </c>
      <c r="U19" s="191">
        <v>801986.97</v>
      </c>
      <c r="V19" s="191">
        <v>210742.57</v>
      </c>
      <c r="W19" s="191">
        <v>161485.84</v>
      </c>
      <c r="X19" s="191">
        <v>60311.53</v>
      </c>
      <c r="Y19" s="191">
        <v>311289.92</v>
      </c>
      <c r="Z19" s="191">
        <v>288963.52</v>
      </c>
      <c r="AA19" s="191">
        <v>136247.95000000001</v>
      </c>
      <c r="AB19" s="191">
        <v>0</v>
      </c>
      <c r="AC19" s="191">
        <v>589960.87</v>
      </c>
      <c r="AD19" s="191">
        <v>0</v>
      </c>
      <c r="AE19" s="191">
        <v>483783.88</v>
      </c>
      <c r="AF19" s="191">
        <v>0</v>
      </c>
      <c r="AG19" s="191">
        <v>373767.13</v>
      </c>
      <c r="AH19" s="191">
        <v>0</v>
      </c>
      <c r="AI19" s="191">
        <v>3732.64</v>
      </c>
      <c r="AJ19" s="191">
        <v>161925.24</v>
      </c>
      <c r="AK19" s="191">
        <v>0</v>
      </c>
    </row>
    <row r="20" spans="1:37" x14ac:dyDescent="0.25">
      <c r="A20" s="191" t="s">
        <v>207</v>
      </c>
      <c r="B20" s="191">
        <v>356611831.10000002</v>
      </c>
      <c r="C20" s="191">
        <v>218610544</v>
      </c>
      <c r="D20" s="191">
        <v>76671580.879999995</v>
      </c>
      <c r="E20" s="191">
        <v>443782624.08999997</v>
      </c>
      <c r="F20" s="191">
        <v>352134416.56</v>
      </c>
      <c r="G20" s="191">
        <v>252359930.30000001</v>
      </c>
      <c r="H20" s="191">
        <v>118774066.47</v>
      </c>
      <c r="I20" s="191">
        <v>368244259.02999997</v>
      </c>
      <c r="J20" s="191">
        <v>295349744.31</v>
      </c>
      <c r="K20" s="191">
        <v>216631153.77000001</v>
      </c>
      <c r="L20" s="191">
        <v>106029151.43000001</v>
      </c>
      <c r="M20" s="191">
        <v>297851580.62</v>
      </c>
      <c r="N20" s="191">
        <v>171501581.41999999</v>
      </c>
      <c r="O20" s="191">
        <v>81194258.120000005</v>
      </c>
      <c r="P20" s="191">
        <v>28274821.670000002</v>
      </c>
      <c r="Q20" s="191">
        <v>111688032.18000001</v>
      </c>
      <c r="R20" s="191">
        <v>74091240.189999998</v>
      </c>
      <c r="S20" s="191">
        <v>42261579.25</v>
      </c>
      <c r="T20" s="191">
        <v>20000713.920000002</v>
      </c>
      <c r="U20" s="191">
        <v>145093558.59999999</v>
      </c>
      <c r="V20" s="191">
        <v>105758651.03</v>
      </c>
      <c r="W20" s="191">
        <v>73045750.569999993</v>
      </c>
      <c r="X20" s="191">
        <v>36313778.450000003</v>
      </c>
      <c r="Y20" s="191">
        <v>126827721.45</v>
      </c>
      <c r="Z20" s="191">
        <v>95541382.530000001</v>
      </c>
      <c r="AA20" s="191">
        <v>81037509.569999993</v>
      </c>
      <c r="AB20" s="191">
        <v>32786372.460000001</v>
      </c>
      <c r="AC20" s="191">
        <v>140396195.09</v>
      </c>
      <c r="AD20" s="191">
        <v>118991880.90000001</v>
      </c>
      <c r="AE20" s="191">
        <v>88992233.319999993</v>
      </c>
      <c r="AF20" s="191">
        <v>35289476.409999996</v>
      </c>
      <c r="AG20" s="191">
        <v>113932207.09999999</v>
      </c>
      <c r="AH20" s="191">
        <v>86492487.890000001</v>
      </c>
      <c r="AI20" s="191">
        <v>74753758.859999999</v>
      </c>
      <c r="AJ20" s="191">
        <v>106222305.26000001</v>
      </c>
      <c r="AK20" s="191">
        <v>0</v>
      </c>
    </row>
    <row r="21" spans="1:37" x14ac:dyDescent="0.25">
      <c r="A21" s="191" t="s">
        <v>208</v>
      </c>
      <c r="B21" s="191">
        <v>47822442.520000003</v>
      </c>
      <c r="C21" s="191">
        <v>25852572.77</v>
      </c>
      <c r="D21" s="191">
        <v>13340096.42</v>
      </c>
      <c r="E21" s="191">
        <v>58461449.439999998</v>
      </c>
      <c r="F21" s="191">
        <v>49960616.659999996</v>
      </c>
      <c r="G21" s="191">
        <v>38671111.640000001</v>
      </c>
      <c r="H21" s="191">
        <v>19283882.32</v>
      </c>
      <c r="I21" s="191">
        <v>49548211.950000003</v>
      </c>
      <c r="J21" s="191">
        <v>44767093.07</v>
      </c>
      <c r="K21" s="191">
        <v>31350059.300000001</v>
      </c>
      <c r="L21" s="191">
        <v>16365612.5</v>
      </c>
      <c r="M21" s="191">
        <v>39930961.119999997</v>
      </c>
      <c r="N21" s="191">
        <v>25553398.93</v>
      </c>
      <c r="O21" s="191">
        <v>11106068.199999999</v>
      </c>
      <c r="P21" s="191">
        <v>4593427.93</v>
      </c>
      <c r="Q21" s="191">
        <v>14829152.789999999</v>
      </c>
      <c r="R21" s="191">
        <v>10946479.800000001</v>
      </c>
      <c r="S21" s="191">
        <v>5747909.9000000004</v>
      </c>
      <c r="T21" s="191">
        <v>3424188.29</v>
      </c>
      <c r="U21" s="191">
        <v>21556230.449999999</v>
      </c>
      <c r="V21" s="191">
        <v>15817797.880000001</v>
      </c>
      <c r="W21" s="191">
        <v>10462077.630000001</v>
      </c>
      <c r="X21" s="191">
        <v>5669772.0599999996</v>
      </c>
      <c r="Y21" s="191">
        <v>17578632.559999999</v>
      </c>
      <c r="Z21" s="191">
        <v>13803070.57</v>
      </c>
      <c r="AA21" s="191">
        <v>11597955.220000001</v>
      </c>
      <c r="AB21" s="191">
        <v>4935014.95</v>
      </c>
      <c r="AC21" s="191">
        <v>20155089.870000001</v>
      </c>
      <c r="AD21" s="191">
        <v>16940534.489999998</v>
      </c>
      <c r="AE21" s="191">
        <v>11850246.35</v>
      </c>
      <c r="AF21" s="191">
        <v>5659989.3600000003</v>
      </c>
      <c r="AG21" s="191">
        <v>14129841.76</v>
      </c>
      <c r="AH21" s="191">
        <v>11796294.48</v>
      </c>
      <c r="AI21" s="191">
        <v>11354428.32</v>
      </c>
      <c r="AJ21" s="191">
        <v>12598035.869999999</v>
      </c>
      <c r="AK21" s="191">
        <v>0</v>
      </c>
    </row>
    <row r="22" spans="1:37" x14ac:dyDescent="0.25">
      <c r="A22" s="191" t="s">
        <v>209</v>
      </c>
      <c r="B22" s="191">
        <v>308789388.57999998</v>
      </c>
      <c r="C22" s="191">
        <v>192757971.22999999</v>
      </c>
      <c r="D22" s="191">
        <v>63331484.460000001</v>
      </c>
      <c r="E22" s="191">
        <v>385321174.64999998</v>
      </c>
      <c r="F22" s="191">
        <v>302173799.89999998</v>
      </c>
      <c r="G22" s="191">
        <v>213688818.66</v>
      </c>
      <c r="H22" s="191">
        <v>99490184.150000006</v>
      </c>
      <c r="I22" s="191">
        <v>318696047.07999998</v>
      </c>
      <c r="J22" s="191">
        <v>250582651.24000001</v>
      </c>
      <c r="K22" s="191">
        <v>185281094.47</v>
      </c>
      <c r="L22" s="191">
        <v>89663538.930000007</v>
      </c>
      <c r="M22" s="191">
        <v>257920619.5</v>
      </c>
      <c r="N22" s="191">
        <v>145948182.49000001</v>
      </c>
      <c r="O22" s="191">
        <v>70088189.920000002</v>
      </c>
      <c r="P22" s="191">
        <v>23681393.739999998</v>
      </c>
      <c r="Q22" s="191">
        <v>96858879.390000001</v>
      </c>
      <c r="R22" s="191">
        <v>63144760.390000001</v>
      </c>
      <c r="S22" s="191">
        <v>36513669.350000001</v>
      </c>
      <c r="T22" s="191">
        <v>16576525.630000001</v>
      </c>
      <c r="U22" s="191">
        <v>123537328.15000001</v>
      </c>
      <c r="V22" s="191">
        <v>89940853.150000006</v>
      </c>
      <c r="W22" s="191">
        <v>62583672.939999998</v>
      </c>
      <c r="X22" s="191">
        <v>30644006.390000001</v>
      </c>
      <c r="Y22" s="191">
        <v>109249088.89</v>
      </c>
      <c r="Z22" s="191">
        <v>81738311.959999993</v>
      </c>
      <c r="AA22" s="191">
        <v>69439554.349999994</v>
      </c>
      <c r="AB22" s="191">
        <v>27851357.510000002</v>
      </c>
      <c r="AC22" s="191">
        <v>120241105.22</v>
      </c>
      <c r="AD22" s="191">
        <v>102051346.41</v>
      </c>
      <c r="AE22" s="191">
        <v>77141986.969999999</v>
      </c>
      <c r="AF22" s="191">
        <v>29629487.050000001</v>
      </c>
      <c r="AG22" s="191">
        <v>99802365.340000004</v>
      </c>
      <c r="AH22" s="191">
        <v>74696193.409999996</v>
      </c>
      <c r="AI22" s="191">
        <v>63399330.539999999</v>
      </c>
      <c r="AJ22" s="191">
        <v>93624269.390000001</v>
      </c>
      <c r="AK22" s="191">
        <v>0</v>
      </c>
    </row>
    <row r="23" spans="1:37" x14ac:dyDescent="0.25">
      <c r="A23" s="191" t="s">
        <v>210</v>
      </c>
      <c r="B23" s="191">
        <v>306227968.48000002</v>
      </c>
      <c r="C23" s="191">
        <v>192834105.55000001</v>
      </c>
      <c r="D23" s="191">
        <v>64124670.920000002</v>
      </c>
      <c r="E23" s="191">
        <v>385278434.38999999</v>
      </c>
      <c r="F23" s="191">
        <v>302165995.69</v>
      </c>
      <c r="G23" s="191">
        <v>213663133.31999999</v>
      </c>
      <c r="H23" s="191">
        <v>99488178.540000007</v>
      </c>
      <c r="I23" s="191">
        <v>318652694.38</v>
      </c>
      <c r="J23" s="191">
        <v>250530632.52000001</v>
      </c>
      <c r="K23" s="191">
        <v>185272144.88</v>
      </c>
      <c r="L23" s="191">
        <v>89662482.930000007</v>
      </c>
      <c r="M23" s="191">
        <v>257847487.71000001</v>
      </c>
      <c r="N23" s="191">
        <v>145788133.80000001</v>
      </c>
      <c r="O23" s="191">
        <v>70049275.950000003</v>
      </c>
      <c r="P23" s="191">
        <v>23618751.620000001</v>
      </c>
      <c r="Q23" s="191">
        <v>96532241.219999999</v>
      </c>
      <c r="R23" s="191">
        <v>63159067.689999998</v>
      </c>
      <c r="S23" s="191">
        <v>36897629.719999999</v>
      </c>
      <c r="T23" s="191">
        <v>16983652.02</v>
      </c>
      <c r="U23" s="191">
        <v>123941593.45</v>
      </c>
      <c r="V23" s="191">
        <v>90332262.769999996</v>
      </c>
      <c r="W23" s="191">
        <v>62721036.829999998</v>
      </c>
      <c r="X23" s="191">
        <v>30644006.390000001</v>
      </c>
      <c r="Y23" s="191">
        <v>109249088.89</v>
      </c>
      <c r="Z23" s="191">
        <v>81738311.959999993</v>
      </c>
      <c r="AA23" s="191">
        <v>69439554.349999994</v>
      </c>
      <c r="AB23" s="191">
        <v>27851357.510000002</v>
      </c>
      <c r="AC23" s="191">
        <v>120241105.22</v>
      </c>
      <c r="AD23" s="191">
        <v>102051346.41</v>
      </c>
      <c r="AE23" s="191">
        <v>77141986.969999999</v>
      </c>
      <c r="AF23" s="191">
        <v>29629487.050000001</v>
      </c>
      <c r="AG23" s="191">
        <v>99802365.340000004</v>
      </c>
      <c r="AH23" s="191">
        <v>74696193.409999996</v>
      </c>
      <c r="AI23" s="191">
        <v>63399330.539999999</v>
      </c>
      <c r="AJ23" s="191">
        <v>93624269.390000001</v>
      </c>
      <c r="AK23" s="191">
        <v>0</v>
      </c>
    </row>
    <row r="24" spans="1:37" x14ac:dyDescent="0.25">
      <c r="A24" s="191" t="s">
        <v>211</v>
      </c>
      <c r="B24" s="191">
        <v>2561420.1</v>
      </c>
      <c r="C24" s="191">
        <v>-76134.320000000007</v>
      </c>
      <c r="D24" s="191">
        <v>-793186.46</v>
      </c>
      <c r="E24" s="191">
        <v>42740.26</v>
      </c>
      <c r="F24" s="191">
        <v>7804.21</v>
      </c>
      <c r="G24" s="191">
        <v>25685.34</v>
      </c>
      <c r="H24" s="191">
        <v>2005.61</v>
      </c>
      <c r="I24" s="191">
        <v>43352.7</v>
      </c>
      <c r="J24" s="191">
        <v>52018.720000000001</v>
      </c>
      <c r="K24" s="191">
        <v>8949.59</v>
      </c>
      <c r="L24" s="191">
        <v>1056</v>
      </c>
      <c r="M24" s="191">
        <v>73131.789999999994</v>
      </c>
      <c r="N24" s="191">
        <v>160048.69</v>
      </c>
      <c r="O24" s="191">
        <v>38913.97</v>
      </c>
      <c r="P24" s="191">
        <v>62642.12</v>
      </c>
      <c r="Q24" s="191">
        <v>326638.17</v>
      </c>
      <c r="R24" s="191">
        <v>-14307.3</v>
      </c>
      <c r="S24" s="191">
        <v>-383960.37</v>
      </c>
      <c r="T24" s="191">
        <v>-407126.39</v>
      </c>
      <c r="U24" s="191">
        <v>-404265.3</v>
      </c>
      <c r="V24" s="191">
        <v>-391409.62</v>
      </c>
      <c r="W24" s="191">
        <v>-137363.89000000001</v>
      </c>
      <c r="X24" s="191">
        <v>0</v>
      </c>
      <c r="Y24" s="191">
        <v>0</v>
      </c>
      <c r="Z24" s="191">
        <v>0</v>
      </c>
      <c r="AA24" s="191">
        <v>0</v>
      </c>
      <c r="AB24" s="191">
        <v>0</v>
      </c>
      <c r="AC24" s="191">
        <v>0</v>
      </c>
      <c r="AD24" s="191">
        <v>0</v>
      </c>
      <c r="AE24" s="191">
        <v>0</v>
      </c>
      <c r="AF24" s="191">
        <v>0</v>
      </c>
      <c r="AG24" s="191">
        <v>0</v>
      </c>
      <c r="AH24" s="191">
        <v>0</v>
      </c>
      <c r="AI24" s="191">
        <v>0</v>
      </c>
      <c r="AJ24" s="191">
        <v>0</v>
      </c>
      <c r="AK24" s="191">
        <v>0</v>
      </c>
    </row>
    <row r="25" spans="1:37" x14ac:dyDescent="0.25">
      <c r="A25" s="191" t="s">
        <v>212</v>
      </c>
    </row>
    <row r="26" spans="1:37" x14ac:dyDescent="0.25">
      <c r="A26" s="191" t="s">
        <v>213</v>
      </c>
      <c r="B26" s="191">
        <v>0.34</v>
      </c>
      <c r="C26" s="191">
        <v>0.21</v>
      </c>
      <c r="D26" s="191">
        <v>7.0000000000000007E-2</v>
      </c>
      <c r="E26" s="191">
        <v>0.42</v>
      </c>
      <c r="F26" s="191">
        <v>0.33</v>
      </c>
      <c r="G26" s="191">
        <v>0.24</v>
      </c>
      <c r="H26" s="191">
        <v>0.27</v>
      </c>
      <c r="I26" s="191">
        <v>0.92</v>
      </c>
      <c r="J26" s="191">
        <v>0.73</v>
      </c>
      <c r="K26" s="191">
        <v>0.55000000000000004</v>
      </c>
      <c r="L26" s="191">
        <v>0.26</v>
      </c>
      <c r="M26" s="191">
        <v>0.78</v>
      </c>
      <c r="N26" s="191">
        <v>0.45</v>
      </c>
      <c r="O26" s="191">
        <v>0.22</v>
      </c>
      <c r="P26" s="191">
        <v>0.08</v>
      </c>
      <c r="Q26" s="191">
        <v>0.35</v>
      </c>
      <c r="R26" s="191">
        <v>0.23</v>
      </c>
      <c r="S26" s="191">
        <v>0.13</v>
      </c>
      <c r="T26" s="191">
        <v>0.06</v>
      </c>
      <c r="U26" s="191">
        <v>0.45</v>
      </c>
      <c r="V26" s="191">
        <v>0.33</v>
      </c>
      <c r="W26" s="191">
        <v>0.23</v>
      </c>
      <c r="X26" s="191">
        <v>0.22</v>
      </c>
      <c r="Y26" s="191">
        <v>0.79</v>
      </c>
      <c r="Z26" s="191">
        <v>0.59</v>
      </c>
      <c r="AA26" s="191">
        <v>0.5</v>
      </c>
      <c r="AB26" s="191">
        <v>0.2</v>
      </c>
      <c r="AC26" s="191">
        <v>1.1599999999999999</v>
      </c>
      <c r="AD26" s="191">
        <v>0</v>
      </c>
      <c r="AE26" s="191">
        <v>0.75</v>
      </c>
      <c r="AF26" s="191">
        <v>0.28999999999999998</v>
      </c>
      <c r="AG26" s="191">
        <v>0.97</v>
      </c>
      <c r="AH26" s="191">
        <v>0</v>
      </c>
      <c r="AI26" s="191">
        <v>0.61</v>
      </c>
      <c r="AJ26" s="191">
        <v>0.91</v>
      </c>
      <c r="AK26" s="191">
        <v>0</v>
      </c>
    </row>
    <row r="27" spans="1:37" x14ac:dyDescent="0.25">
      <c r="A27" s="191" t="s">
        <v>214</v>
      </c>
      <c r="B27" s="191">
        <v>0.34</v>
      </c>
      <c r="C27" s="191">
        <v>0.21</v>
      </c>
      <c r="D27" s="191">
        <v>7.0000000000000007E-2</v>
      </c>
      <c r="E27" s="191">
        <v>0.42</v>
      </c>
      <c r="F27" s="191">
        <v>0.33</v>
      </c>
      <c r="G27" s="191">
        <v>0.24</v>
      </c>
      <c r="H27" s="191">
        <v>0.27</v>
      </c>
      <c r="I27" s="191">
        <v>0.92</v>
      </c>
      <c r="J27" s="191">
        <v>0.73</v>
      </c>
      <c r="K27" s="191">
        <v>0.55000000000000004</v>
      </c>
      <c r="L27" s="191">
        <v>0.26</v>
      </c>
      <c r="M27" s="191">
        <v>0.78</v>
      </c>
      <c r="N27" s="191">
        <v>0.45</v>
      </c>
      <c r="O27" s="191">
        <v>0.22</v>
      </c>
      <c r="P27" s="191">
        <v>0.08</v>
      </c>
      <c r="Q27" s="191">
        <v>0.35</v>
      </c>
      <c r="R27" s="191">
        <v>0.23</v>
      </c>
      <c r="S27" s="191">
        <v>0.13</v>
      </c>
      <c r="T27" s="191">
        <v>0.06</v>
      </c>
      <c r="U27" s="191">
        <v>0.45</v>
      </c>
      <c r="V27" s="191">
        <v>0.33</v>
      </c>
      <c r="W27" s="191">
        <v>0.23</v>
      </c>
      <c r="X27" s="191">
        <v>0.22</v>
      </c>
      <c r="Y27" s="191">
        <v>0.79</v>
      </c>
      <c r="Z27" s="191">
        <v>0.59</v>
      </c>
      <c r="AA27" s="191">
        <v>0.5</v>
      </c>
      <c r="AB27" s="191">
        <v>0.2</v>
      </c>
      <c r="AC27" s="191">
        <v>1.1599999999999999</v>
      </c>
      <c r="AD27" s="191">
        <v>0</v>
      </c>
      <c r="AE27" s="191">
        <v>0.75</v>
      </c>
      <c r="AF27" s="191">
        <v>0.28999999999999998</v>
      </c>
      <c r="AG27" s="191">
        <v>0.97</v>
      </c>
      <c r="AH27" s="191">
        <v>0</v>
      </c>
      <c r="AI27" s="191">
        <v>0.61</v>
      </c>
      <c r="AJ27" s="191">
        <v>0.91</v>
      </c>
      <c r="AK27" s="191">
        <v>0</v>
      </c>
    </row>
    <row r="28" spans="1:37" x14ac:dyDescent="0.25">
      <c r="A28" s="191" t="s">
        <v>215</v>
      </c>
      <c r="B28" s="191">
        <v>43001089.899999999</v>
      </c>
      <c r="C28" s="191">
        <v>5861746.1399999997</v>
      </c>
      <c r="D28" s="191">
        <v>-43947423.009999998</v>
      </c>
      <c r="E28" s="191">
        <v>-48074334.600000001</v>
      </c>
      <c r="F28" s="191">
        <v>-39574514.890000001</v>
      </c>
      <c r="G28" s="191">
        <v>-19125239.600000001</v>
      </c>
      <c r="H28" s="191">
        <v>-6979242.8300000001</v>
      </c>
      <c r="I28" s="191">
        <v>33807458.079999998</v>
      </c>
      <c r="J28" s="191">
        <v>14133959.609999999</v>
      </c>
      <c r="K28" s="191">
        <v>13835549.17</v>
      </c>
      <c r="L28" s="191">
        <v>-2968605.04</v>
      </c>
      <c r="M28" s="191">
        <v>0</v>
      </c>
      <c r="N28" s="191">
        <v>0</v>
      </c>
      <c r="O28" s="191">
        <v>0</v>
      </c>
      <c r="P28" s="191">
        <v>0</v>
      </c>
      <c r="Q28" s="191">
        <v>0</v>
      </c>
      <c r="R28" s="191">
        <v>0</v>
      </c>
      <c r="S28" s="191">
        <v>0</v>
      </c>
      <c r="T28" s="191">
        <v>0</v>
      </c>
      <c r="U28" s="191">
        <v>0</v>
      </c>
      <c r="V28" s="191">
        <v>0</v>
      </c>
      <c r="W28" s="191">
        <v>0</v>
      </c>
      <c r="X28" s="191">
        <v>0</v>
      </c>
      <c r="Y28" s="191">
        <v>0</v>
      </c>
      <c r="Z28" s="191">
        <v>0</v>
      </c>
      <c r="AA28" s="191">
        <v>0</v>
      </c>
      <c r="AB28" s="191">
        <v>0</v>
      </c>
      <c r="AC28" s="191">
        <v>0</v>
      </c>
      <c r="AD28" s="191">
        <v>0</v>
      </c>
      <c r="AE28" s="191">
        <v>0</v>
      </c>
      <c r="AF28" s="191">
        <v>0</v>
      </c>
      <c r="AG28" s="191">
        <v>0</v>
      </c>
      <c r="AH28" s="191">
        <v>0</v>
      </c>
      <c r="AI28" s="191">
        <v>0</v>
      </c>
      <c r="AJ28" s="191">
        <v>45000</v>
      </c>
      <c r="AK28" s="191">
        <v>0</v>
      </c>
    </row>
    <row r="29" spans="1:37" x14ac:dyDescent="0.25">
      <c r="A29" s="191" t="s">
        <v>216</v>
      </c>
      <c r="B29" s="191">
        <v>351790478.48000002</v>
      </c>
      <c r="C29" s="191">
        <v>198619717.37</v>
      </c>
      <c r="D29" s="191">
        <v>19384061.449999999</v>
      </c>
      <c r="E29" s="191">
        <v>337246840.05000001</v>
      </c>
      <c r="F29" s="191">
        <v>262599285.00999999</v>
      </c>
      <c r="G29" s="191">
        <v>194563579.06</v>
      </c>
      <c r="H29" s="191">
        <v>92510941.319999993</v>
      </c>
      <c r="I29" s="191">
        <v>352503505.16000003</v>
      </c>
      <c r="J29" s="191">
        <v>264716610.84999999</v>
      </c>
      <c r="K29" s="191">
        <v>199116643.63999999</v>
      </c>
      <c r="L29" s="191">
        <v>86694933.890000001</v>
      </c>
      <c r="M29" s="191">
        <v>257920619.5</v>
      </c>
      <c r="N29" s="191">
        <v>145948182.49000001</v>
      </c>
      <c r="O29" s="191">
        <v>70088189.920000002</v>
      </c>
      <c r="P29" s="191">
        <v>23681393.739999998</v>
      </c>
      <c r="Q29" s="191">
        <v>96858879.390000001</v>
      </c>
      <c r="R29" s="191">
        <v>63144760.390000001</v>
      </c>
      <c r="S29" s="191">
        <v>36513669.350000001</v>
      </c>
      <c r="T29" s="191">
        <v>16576525.630000001</v>
      </c>
      <c r="U29" s="191">
        <v>123537328.15000001</v>
      </c>
      <c r="V29" s="191">
        <v>89940853.150000006</v>
      </c>
      <c r="W29" s="191">
        <v>62583672.939999998</v>
      </c>
      <c r="X29" s="191">
        <v>30644006.390000001</v>
      </c>
      <c r="Y29" s="191">
        <v>109249088.89</v>
      </c>
      <c r="Z29" s="191">
        <v>81738311.959999993</v>
      </c>
      <c r="AA29" s="191">
        <v>69439554.349999994</v>
      </c>
      <c r="AB29" s="191">
        <v>27851357.510000002</v>
      </c>
      <c r="AC29" s="191">
        <v>120241105.22</v>
      </c>
      <c r="AD29" s="191">
        <v>0</v>
      </c>
      <c r="AE29" s="191">
        <v>77141986.969999999</v>
      </c>
      <c r="AF29" s="191">
        <v>29629487.050000001</v>
      </c>
      <c r="AG29" s="191">
        <v>99802365.340000004</v>
      </c>
      <c r="AH29" s="191">
        <v>0</v>
      </c>
      <c r="AI29" s="191">
        <v>63399330.539999999</v>
      </c>
      <c r="AJ29" s="191">
        <v>93669269.390000001</v>
      </c>
      <c r="AK29" s="191">
        <v>0</v>
      </c>
    </row>
    <row r="30" spans="1:37" x14ac:dyDescent="0.25">
      <c r="A30" s="191" t="s">
        <v>217</v>
      </c>
      <c r="B30" s="191">
        <v>349229058.38</v>
      </c>
      <c r="C30" s="191">
        <v>198695851.69</v>
      </c>
      <c r="D30" s="191">
        <v>20177247.91</v>
      </c>
      <c r="E30" s="191">
        <v>337204099.79000002</v>
      </c>
      <c r="F30" s="191">
        <v>262591480.80000001</v>
      </c>
      <c r="G30" s="191">
        <v>194537893.72</v>
      </c>
      <c r="H30" s="191">
        <v>92508935.709999993</v>
      </c>
      <c r="I30" s="191">
        <v>352460152.45999998</v>
      </c>
      <c r="J30" s="191">
        <v>264664592.13</v>
      </c>
      <c r="K30" s="191">
        <v>199107694.05000001</v>
      </c>
      <c r="L30" s="191">
        <v>86693877.890000001</v>
      </c>
      <c r="M30" s="191">
        <v>257847487.71000001</v>
      </c>
      <c r="N30" s="191">
        <v>145788133.80000001</v>
      </c>
      <c r="O30" s="191">
        <v>70049275.950000003</v>
      </c>
      <c r="P30" s="191">
        <v>23618751.620000001</v>
      </c>
      <c r="Q30" s="191">
        <v>96532241.219999999</v>
      </c>
      <c r="R30" s="191">
        <v>63159067.689999998</v>
      </c>
      <c r="S30" s="191">
        <v>36897629.719999999</v>
      </c>
      <c r="T30" s="191">
        <v>16983652.02</v>
      </c>
      <c r="U30" s="191">
        <v>123941593.45</v>
      </c>
      <c r="V30" s="191">
        <v>90332262.769999996</v>
      </c>
      <c r="W30" s="191">
        <v>62721036.829999998</v>
      </c>
      <c r="X30" s="191">
        <v>30644006.390000001</v>
      </c>
      <c r="Y30" s="191">
        <v>109249088.89</v>
      </c>
      <c r="Z30" s="191">
        <v>81738311.959999993</v>
      </c>
      <c r="AA30" s="191">
        <v>69439554.349999994</v>
      </c>
      <c r="AB30" s="191">
        <v>27851357.510000002</v>
      </c>
      <c r="AC30" s="191">
        <v>120241105.22</v>
      </c>
      <c r="AD30" s="191">
        <v>0</v>
      </c>
      <c r="AE30" s="191">
        <v>77141986.969999999</v>
      </c>
      <c r="AF30" s="191">
        <v>29629487.050000001</v>
      </c>
      <c r="AG30" s="191">
        <v>99802365.340000004</v>
      </c>
      <c r="AH30" s="191">
        <v>0</v>
      </c>
      <c r="AI30" s="191">
        <v>63399330.539999999</v>
      </c>
      <c r="AJ30" s="191">
        <v>93669269.390000001</v>
      </c>
      <c r="AK30" s="191">
        <v>0</v>
      </c>
    </row>
    <row r="31" spans="1:37" x14ac:dyDescent="0.25">
      <c r="A31" s="191" t="s">
        <v>218</v>
      </c>
      <c r="B31" s="191">
        <v>2561420.1</v>
      </c>
      <c r="C31" s="191">
        <v>-76134.320000000007</v>
      </c>
      <c r="D31" s="191">
        <v>-793186.46</v>
      </c>
      <c r="E31" s="191">
        <v>42740.26</v>
      </c>
      <c r="F31" s="191">
        <v>7804.21</v>
      </c>
      <c r="G31" s="191">
        <v>25685.34</v>
      </c>
      <c r="H31" s="191">
        <v>2005.61</v>
      </c>
      <c r="I31" s="191">
        <v>43352.7</v>
      </c>
      <c r="J31" s="191">
        <v>52018.720000000001</v>
      </c>
      <c r="K31" s="191">
        <v>8949.59</v>
      </c>
      <c r="L31" s="191">
        <v>1056</v>
      </c>
      <c r="M31" s="191">
        <v>73131.789999999994</v>
      </c>
      <c r="N31" s="191">
        <v>160048.69</v>
      </c>
      <c r="O31" s="191">
        <v>38913.97</v>
      </c>
      <c r="P31" s="191">
        <v>62642.12</v>
      </c>
      <c r="Q31" s="191">
        <v>326638.17</v>
      </c>
      <c r="R31" s="191">
        <v>-14307.3</v>
      </c>
      <c r="S31" s="191">
        <v>-383960.37</v>
      </c>
      <c r="T31" s="191">
        <v>-407126.39</v>
      </c>
      <c r="U31" s="191">
        <v>-404265.3</v>
      </c>
      <c r="V31" s="191">
        <v>-391409.62</v>
      </c>
      <c r="W31" s="191">
        <v>-137363.89000000001</v>
      </c>
      <c r="X31" s="191">
        <v>0</v>
      </c>
      <c r="Y31" s="191">
        <v>0</v>
      </c>
      <c r="Z31" s="191">
        <v>0</v>
      </c>
      <c r="AA31" s="191">
        <v>0</v>
      </c>
      <c r="AB31" s="191">
        <v>0</v>
      </c>
      <c r="AC31" s="191">
        <v>0</v>
      </c>
      <c r="AD31" s="191">
        <v>0</v>
      </c>
      <c r="AE31" s="191">
        <v>0</v>
      </c>
      <c r="AF31" s="191">
        <v>0</v>
      </c>
      <c r="AG31" s="191">
        <v>0</v>
      </c>
      <c r="AH31" s="191">
        <v>0</v>
      </c>
      <c r="AI31" s="191">
        <v>0</v>
      </c>
      <c r="AJ31" s="191">
        <v>0</v>
      </c>
      <c r="AK31" s="19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RowHeight="14.4" x14ac:dyDescent="0.25"/>
  <cols>
    <col min="1" max="1" width="57.77734375" style="191" bestFit="1" customWidth="1"/>
    <col min="2" max="4" width="13.88671875" style="191" hidden="1" customWidth="1"/>
    <col min="5" max="5" width="13.88671875" style="191" bestFit="1" customWidth="1"/>
    <col min="6" max="7" width="13.88671875" style="191" hidden="1" customWidth="1"/>
    <col min="8" max="8" width="12.77734375" style="191" hidden="1" customWidth="1"/>
    <col min="9" max="9" width="13.88671875" style="191" bestFit="1" customWidth="1"/>
    <col min="10" max="12" width="13.88671875" style="191" hidden="1" customWidth="1"/>
    <col min="13" max="13" width="13.88671875" style="191" bestFit="1" customWidth="1"/>
    <col min="14" max="16" width="13.88671875" style="191" hidden="1" customWidth="1"/>
    <col min="17" max="17" width="13.88671875" style="191" bestFit="1" customWidth="1"/>
    <col min="18" max="20" width="13.88671875" style="191" hidden="1" customWidth="1"/>
    <col min="21" max="21" width="13.88671875" style="191" bestFit="1" customWidth="1"/>
    <col min="22" max="24" width="13.88671875" style="191" hidden="1" customWidth="1"/>
    <col min="25" max="25" width="13.88671875" style="191" bestFit="1" customWidth="1"/>
    <col min="26" max="28" width="13.88671875" style="191" hidden="1" customWidth="1"/>
    <col min="29" max="29" width="13.88671875" style="191" bestFit="1" customWidth="1"/>
    <col min="30" max="32" width="13.88671875" style="191" hidden="1" customWidth="1"/>
    <col min="33" max="33" width="13.88671875" style="191" bestFit="1" customWidth="1"/>
    <col min="34" max="34" width="13.88671875" style="191" hidden="1" customWidth="1"/>
    <col min="35" max="36" width="13.88671875" style="191" bestFit="1" customWidth="1"/>
    <col min="37" max="37" width="9.5546875" style="191" hidden="1" customWidth="1"/>
    <col min="38" max="16384" width="8.88671875" style="191"/>
  </cols>
  <sheetData>
    <row r="1" spans="1:37" x14ac:dyDescent="0.25">
      <c r="A1" s="19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20110331</v>
      </c>
      <c r="AG1" s="191">
        <v>20101231</v>
      </c>
      <c r="AH1" s="191">
        <v>20100930</v>
      </c>
      <c r="AI1" s="191">
        <v>20091231</v>
      </c>
      <c r="AJ1" s="191">
        <v>20081231</v>
      </c>
      <c r="AK1" s="191">
        <v>19700101</v>
      </c>
    </row>
    <row r="2" spans="1:37" x14ac:dyDescent="0.25">
      <c r="A2" s="191" t="s">
        <v>105</v>
      </c>
      <c r="B2" s="191" t="s">
        <v>106</v>
      </c>
      <c r="C2" s="191" t="s">
        <v>106</v>
      </c>
      <c r="D2" s="191" t="s">
        <v>106</v>
      </c>
      <c r="E2" s="191" t="s">
        <v>106</v>
      </c>
      <c r="F2" s="191" t="s">
        <v>106</v>
      </c>
      <c r="G2" s="191" t="s">
        <v>106</v>
      </c>
      <c r="H2" s="191" t="s">
        <v>106</v>
      </c>
      <c r="I2" s="191" t="s">
        <v>106</v>
      </c>
      <c r="J2" s="191" t="s">
        <v>106</v>
      </c>
      <c r="K2" s="191" t="s">
        <v>106</v>
      </c>
      <c r="L2" s="191" t="s">
        <v>106</v>
      </c>
      <c r="M2" s="191" t="s">
        <v>106</v>
      </c>
      <c r="N2" s="191" t="s">
        <v>106</v>
      </c>
      <c r="O2" s="191" t="s">
        <v>106</v>
      </c>
      <c r="P2" s="191" t="s">
        <v>106</v>
      </c>
      <c r="Q2" s="191" t="s">
        <v>106</v>
      </c>
      <c r="R2" s="191" t="s">
        <v>106</v>
      </c>
      <c r="S2" s="191" t="s">
        <v>106</v>
      </c>
      <c r="T2" s="191" t="s">
        <v>106</v>
      </c>
      <c r="U2" s="191" t="s">
        <v>106</v>
      </c>
      <c r="V2" s="191" t="s">
        <v>106</v>
      </c>
      <c r="W2" s="191" t="s">
        <v>106</v>
      </c>
      <c r="X2" s="191" t="s">
        <v>106</v>
      </c>
      <c r="Y2" s="191" t="s">
        <v>106</v>
      </c>
      <c r="Z2" s="191" t="s">
        <v>106</v>
      </c>
      <c r="AA2" s="191" t="s">
        <v>106</v>
      </c>
      <c r="AB2" s="191" t="s">
        <v>106</v>
      </c>
      <c r="AC2" s="191" t="s">
        <v>106</v>
      </c>
      <c r="AD2" s="191" t="s">
        <v>106</v>
      </c>
      <c r="AE2" s="191" t="s">
        <v>106</v>
      </c>
      <c r="AF2" s="191" t="s">
        <v>106</v>
      </c>
      <c r="AG2" s="191" t="s">
        <v>106</v>
      </c>
      <c r="AH2" s="191" t="s">
        <v>106</v>
      </c>
      <c r="AI2" s="191" t="s">
        <v>106</v>
      </c>
      <c r="AJ2" s="191" t="s">
        <v>106</v>
      </c>
    </row>
    <row r="3" spans="1:37" x14ac:dyDescent="0.25">
      <c r="A3" s="191" t="s">
        <v>219</v>
      </c>
    </row>
    <row r="4" spans="1:37" x14ac:dyDescent="0.25">
      <c r="A4" s="191" t="s">
        <v>220</v>
      </c>
      <c r="B4" s="191">
        <v>1871037108.6900001</v>
      </c>
      <c r="C4" s="191">
        <v>1260175619.3099999</v>
      </c>
      <c r="D4" s="191">
        <v>623842872.50999999</v>
      </c>
      <c r="E4" s="191">
        <v>2489562200.3600001</v>
      </c>
      <c r="F4" s="191">
        <v>1838587599.73</v>
      </c>
      <c r="G4" s="191">
        <v>1227179259.3599999</v>
      </c>
      <c r="H4" s="191">
        <v>633299706.84000003</v>
      </c>
      <c r="I4" s="191">
        <v>1892641802.0599999</v>
      </c>
      <c r="J4" s="191">
        <v>1423140723.1199999</v>
      </c>
      <c r="K4" s="191">
        <v>915875965.85000002</v>
      </c>
      <c r="L4" s="191">
        <v>455359540.66000003</v>
      </c>
      <c r="M4" s="191">
        <v>1674998666.6600001</v>
      </c>
      <c r="N4" s="191">
        <v>1190075144.3099999</v>
      </c>
      <c r="O4" s="191">
        <v>734399973.87</v>
      </c>
      <c r="P4" s="191">
        <v>403182544.54000002</v>
      </c>
      <c r="Q4" s="191">
        <v>1048135260.59</v>
      </c>
      <c r="R4" s="191">
        <v>731066760.69000006</v>
      </c>
      <c r="S4" s="191">
        <v>435723810.61000001</v>
      </c>
      <c r="T4" s="191">
        <v>215608725.69999999</v>
      </c>
      <c r="U4" s="191">
        <v>983713246.05999994</v>
      </c>
      <c r="V4" s="191">
        <v>721943336.62</v>
      </c>
      <c r="W4" s="191">
        <v>488581898.77999997</v>
      </c>
      <c r="X4" s="191">
        <v>225880062.72999999</v>
      </c>
      <c r="Y4" s="191">
        <v>759883190.20000005</v>
      </c>
      <c r="Z4" s="191">
        <v>526886508.75</v>
      </c>
      <c r="AA4" s="191">
        <v>343834032.43000001</v>
      </c>
      <c r="AB4" s="191">
        <v>137433502.61000001</v>
      </c>
      <c r="AC4" s="191">
        <v>838331857.85000002</v>
      </c>
      <c r="AD4" s="191">
        <v>675453758.52999997</v>
      </c>
      <c r="AE4" s="191">
        <v>455254637.06</v>
      </c>
      <c r="AF4" s="191">
        <v>196764019.13</v>
      </c>
      <c r="AG4" s="191">
        <v>727807694.75999999</v>
      </c>
      <c r="AH4" s="191">
        <v>538178721.91999996</v>
      </c>
      <c r="AI4" s="191">
        <v>370270549.44999999</v>
      </c>
      <c r="AJ4" s="191">
        <v>541440474.25</v>
      </c>
      <c r="AK4" s="191">
        <v>0</v>
      </c>
    </row>
    <row r="5" spans="1:37" x14ac:dyDescent="0.25">
      <c r="A5" s="191" t="s">
        <v>221</v>
      </c>
      <c r="B5" s="191">
        <v>13314542.300000001</v>
      </c>
      <c r="C5" s="191">
        <v>8106733.1299999999</v>
      </c>
      <c r="D5" s="191">
        <v>6020330.2999999998</v>
      </c>
      <c r="E5" s="191">
        <v>22358031.190000001</v>
      </c>
      <c r="F5" s="191">
        <v>17914912.800000001</v>
      </c>
      <c r="G5" s="191">
        <v>11581656.92</v>
      </c>
      <c r="H5" s="191">
        <v>9589512.2899999991</v>
      </c>
      <c r="I5" s="191">
        <v>29510947</v>
      </c>
      <c r="J5" s="191">
        <v>25273092.41</v>
      </c>
      <c r="K5" s="191">
        <v>20930244.48</v>
      </c>
      <c r="L5" s="191">
        <v>15217112.16</v>
      </c>
      <c r="M5" s="191">
        <v>22733672.649999999</v>
      </c>
      <c r="N5" s="191">
        <v>16338576.380000001</v>
      </c>
      <c r="O5" s="191">
        <v>12504257.529999999</v>
      </c>
      <c r="P5" s="191">
        <v>8170555.8200000003</v>
      </c>
      <c r="Q5" s="191">
        <v>16508113.08</v>
      </c>
      <c r="R5" s="191">
        <v>12615783.91</v>
      </c>
      <c r="S5" s="191">
        <v>11955281.300000001</v>
      </c>
      <c r="T5" s="191">
        <v>7448425.6299999999</v>
      </c>
      <c r="U5" s="191">
        <v>28605412.300000001</v>
      </c>
      <c r="V5" s="191">
        <v>27509461.760000002</v>
      </c>
      <c r="W5" s="191">
        <v>23786767.219999999</v>
      </c>
      <c r="X5" s="191">
        <v>19426136.210000001</v>
      </c>
      <c r="Y5" s="191">
        <v>17994515.140000001</v>
      </c>
      <c r="Z5" s="191">
        <v>7855676.5899999999</v>
      </c>
      <c r="AA5" s="191">
        <v>6059358.1799999997</v>
      </c>
      <c r="AB5" s="191">
        <v>3519149.44</v>
      </c>
      <c r="AC5" s="191">
        <v>15189857.189999999</v>
      </c>
      <c r="AD5" s="191">
        <v>11413050.98</v>
      </c>
      <c r="AE5" s="191">
        <v>9604024.3399999999</v>
      </c>
      <c r="AF5" s="191">
        <v>5360119.9000000004</v>
      </c>
      <c r="AG5" s="191">
        <v>12303324.1</v>
      </c>
      <c r="AH5" s="191">
        <v>5986543.4900000002</v>
      </c>
      <c r="AI5" s="191">
        <v>3058585.25</v>
      </c>
      <c r="AJ5" s="191">
        <v>3482022.34</v>
      </c>
      <c r="AK5" s="191">
        <v>0</v>
      </c>
    </row>
    <row r="6" spans="1:37" x14ac:dyDescent="0.25">
      <c r="A6" s="191" t="s">
        <v>222</v>
      </c>
      <c r="B6" s="191">
        <v>11756065.890000001</v>
      </c>
      <c r="C6" s="191">
        <v>5402037.5599999996</v>
      </c>
      <c r="D6" s="191">
        <v>2198865.62</v>
      </c>
      <c r="E6" s="191">
        <v>53075452.509999998</v>
      </c>
      <c r="F6" s="191">
        <v>41604647.350000001</v>
      </c>
      <c r="G6" s="191">
        <v>32968165.289999999</v>
      </c>
      <c r="H6" s="191">
        <v>29900940.210000001</v>
      </c>
      <c r="I6" s="191">
        <v>21797862.16</v>
      </c>
      <c r="J6" s="191">
        <v>17958870.43</v>
      </c>
      <c r="K6" s="191">
        <v>14271849.66</v>
      </c>
      <c r="L6" s="191">
        <v>3574443.62</v>
      </c>
      <c r="M6" s="191">
        <v>20897343.890000001</v>
      </c>
      <c r="N6" s="191">
        <v>8369375.0300000003</v>
      </c>
      <c r="O6" s="191">
        <v>6437917.71</v>
      </c>
      <c r="P6" s="191">
        <v>2360047.2400000002</v>
      </c>
      <c r="Q6" s="191">
        <v>20886532.350000001</v>
      </c>
      <c r="R6" s="191">
        <v>8698485.6600000001</v>
      </c>
      <c r="S6" s="191">
        <v>3926409.3</v>
      </c>
      <c r="T6" s="191">
        <v>2419497.7599999998</v>
      </c>
      <c r="U6" s="191">
        <v>22398287.27</v>
      </c>
      <c r="V6" s="191">
        <v>19690520.620000001</v>
      </c>
      <c r="W6" s="191">
        <v>9675322.4299999997</v>
      </c>
      <c r="X6" s="191">
        <v>6082605.2800000003</v>
      </c>
      <c r="Y6" s="191">
        <v>19723875.600000001</v>
      </c>
      <c r="Z6" s="191">
        <v>9896101.5500000007</v>
      </c>
      <c r="AA6" s="191">
        <v>7147520.0800000001</v>
      </c>
      <c r="AB6" s="191">
        <v>5183978.75</v>
      </c>
      <c r="AC6" s="191">
        <v>15278139.109999999</v>
      </c>
      <c r="AD6" s="191">
        <v>14087972.630000001</v>
      </c>
      <c r="AE6" s="191">
        <v>7498986.5999999996</v>
      </c>
      <c r="AF6" s="191">
        <v>1170173.8999999999</v>
      </c>
      <c r="AG6" s="191">
        <v>4502476.57</v>
      </c>
      <c r="AH6" s="191">
        <v>1548912.12</v>
      </c>
      <c r="AI6" s="191">
        <v>3047555.55</v>
      </c>
      <c r="AJ6" s="191">
        <v>4510110.59</v>
      </c>
      <c r="AK6" s="191">
        <v>0</v>
      </c>
    </row>
    <row r="7" spans="1:37" x14ac:dyDescent="0.25">
      <c r="A7" s="191" t="s">
        <v>223</v>
      </c>
      <c r="B7" s="191">
        <v>1896107716.8800001</v>
      </c>
      <c r="C7" s="191">
        <v>1273684390</v>
      </c>
      <c r="D7" s="191">
        <v>632062068.42999995</v>
      </c>
      <c r="E7" s="191">
        <v>2564995684.0599999</v>
      </c>
      <c r="F7" s="191">
        <v>1898107159.8800001</v>
      </c>
      <c r="G7" s="191">
        <v>1271729081.5699999</v>
      </c>
      <c r="H7" s="191">
        <v>672790159.34000003</v>
      </c>
      <c r="I7" s="191">
        <v>1943950611.22</v>
      </c>
      <c r="J7" s="191">
        <v>1466372685.96</v>
      </c>
      <c r="K7" s="191">
        <v>951078059.99000001</v>
      </c>
      <c r="L7" s="191">
        <v>474151096.44</v>
      </c>
      <c r="M7" s="191">
        <v>1718629683.2</v>
      </c>
      <c r="N7" s="191">
        <v>1214783095.72</v>
      </c>
      <c r="O7" s="191">
        <v>753342149.11000001</v>
      </c>
      <c r="P7" s="191">
        <v>413713147.60000002</v>
      </c>
      <c r="Q7" s="191">
        <v>1085529906.02</v>
      </c>
      <c r="R7" s="191">
        <v>752381030.25999999</v>
      </c>
      <c r="S7" s="191">
        <v>451605501.20999998</v>
      </c>
      <c r="T7" s="191">
        <v>225476649.09</v>
      </c>
      <c r="U7" s="191">
        <v>1034716945.63</v>
      </c>
      <c r="V7" s="191">
        <v>769143319</v>
      </c>
      <c r="W7" s="191">
        <v>522043988.43000001</v>
      </c>
      <c r="X7" s="191">
        <v>251388804.22</v>
      </c>
      <c r="Y7" s="191">
        <v>797601580.94000006</v>
      </c>
      <c r="Z7" s="191">
        <v>544638286.88999999</v>
      </c>
      <c r="AA7" s="191">
        <v>357040910.69</v>
      </c>
      <c r="AB7" s="191">
        <v>146136630.80000001</v>
      </c>
      <c r="AC7" s="191">
        <v>868799854.14999998</v>
      </c>
      <c r="AD7" s="191">
        <v>700954782.13999999</v>
      </c>
      <c r="AE7" s="191">
        <v>472357648</v>
      </c>
      <c r="AF7" s="191">
        <v>203294312.93000001</v>
      </c>
      <c r="AG7" s="191">
        <v>744613495.42999995</v>
      </c>
      <c r="AH7" s="191">
        <v>545714177.52999997</v>
      </c>
      <c r="AI7" s="191">
        <v>376376690.25</v>
      </c>
      <c r="AJ7" s="191">
        <v>549432607.17999995</v>
      </c>
      <c r="AK7" s="191">
        <v>0</v>
      </c>
    </row>
    <row r="8" spans="1:37" x14ac:dyDescent="0.25">
      <c r="A8" s="191" t="s">
        <v>224</v>
      </c>
      <c r="B8" s="191">
        <v>906055274.52999997</v>
      </c>
      <c r="C8" s="191">
        <v>609767201.38</v>
      </c>
      <c r="D8" s="191">
        <v>307181791.18000001</v>
      </c>
      <c r="E8" s="191">
        <v>1046759094.41</v>
      </c>
      <c r="F8" s="191">
        <v>771127965.14999998</v>
      </c>
      <c r="G8" s="191">
        <v>501812262.50999999</v>
      </c>
      <c r="H8" s="191">
        <v>240075390.88999999</v>
      </c>
      <c r="I8" s="191">
        <v>1080398728.6600001</v>
      </c>
      <c r="J8" s="191">
        <v>827331652.34000003</v>
      </c>
      <c r="K8" s="191">
        <v>571192503.84000003</v>
      </c>
      <c r="L8" s="191">
        <v>273597225.42000002</v>
      </c>
      <c r="M8" s="191">
        <v>868983590.24000001</v>
      </c>
      <c r="N8" s="191">
        <v>620991183.94000006</v>
      </c>
      <c r="O8" s="191">
        <v>389469548.67000002</v>
      </c>
      <c r="P8" s="191">
        <v>184052871.40000001</v>
      </c>
      <c r="Q8" s="191">
        <v>616488817.42999995</v>
      </c>
      <c r="R8" s="191">
        <v>404166157.33999997</v>
      </c>
      <c r="S8" s="191">
        <v>254757898.31999999</v>
      </c>
      <c r="T8" s="191">
        <v>122442118.84</v>
      </c>
      <c r="U8" s="191">
        <v>557865131.52999997</v>
      </c>
      <c r="V8" s="191">
        <v>448603807.57999998</v>
      </c>
      <c r="W8" s="191">
        <v>326353073.56</v>
      </c>
      <c r="X8" s="191">
        <v>159682846.5</v>
      </c>
      <c r="Y8" s="191">
        <v>479195758.54000002</v>
      </c>
      <c r="Z8" s="191">
        <v>301155917.61000001</v>
      </c>
      <c r="AA8" s="191">
        <v>205883625.25</v>
      </c>
      <c r="AB8" s="191">
        <v>87800254.319999993</v>
      </c>
      <c r="AC8" s="191">
        <v>442559102.07999998</v>
      </c>
      <c r="AD8" s="191">
        <v>308902899.94999999</v>
      </c>
      <c r="AE8" s="191">
        <v>211258065.16</v>
      </c>
      <c r="AF8" s="191">
        <v>105168769.86</v>
      </c>
      <c r="AG8" s="191">
        <v>437170485.63999999</v>
      </c>
      <c r="AH8" s="191">
        <v>336271096.13999999</v>
      </c>
      <c r="AI8" s="191">
        <v>197307762.19999999</v>
      </c>
      <c r="AJ8" s="191">
        <v>343892052.47000003</v>
      </c>
      <c r="AK8" s="191">
        <v>0</v>
      </c>
    </row>
    <row r="9" spans="1:37" x14ac:dyDescent="0.25">
      <c r="A9" s="191" t="s">
        <v>225</v>
      </c>
      <c r="B9" s="191">
        <v>370457456.11000001</v>
      </c>
      <c r="C9" s="191">
        <v>247471045.88</v>
      </c>
      <c r="D9" s="191">
        <v>132302205.14</v>
      </c>
      <c r="E9" s="191">
        <v>584602969.13999999</v>
      </c>
      <c r="F9" s="191">
        <v>351153722.91000003</v>
      </c>
      <c r="G9" s="191">
        <v>227990666.15000001</v>
      </c>
      <c r="H9" s="191">
        <v>104858704.03</v>
      </c>
      <c r="I9" s="191">
        <v>458392878.60000002</v>
      </c>
      <c r="J9" s="191">
        <v>276703592.47000003</v>
      </c>
      <c r="K9" s="191">
        <v>162898403.28999999</v>
      </c>
      <c r="L9" s="191">
        <v>59049377.810000002</v>
      </c>
      <c r="M9" s="191">
        <v>302493403.18000001</v>
      </c>
      <c r="N9" s="191">
        <v>165962481.62</v>
      </c>
      <c r="O9" s="191">
        <v>108924806.89</v>
      </c>
      <c r="P9" s="191">
        <v>57275289.619999997</v>
      </c>
      <c r="Q9" s="191">
        <v>209530674.25999999</v>
      </c>
      <c r="R9" s="191">
        <v>128613183.97</v>
      </c>
      <c r="S9" s="191">
        <v>87086253.810000002</v>
      </c>
      <c r="T9" s="191">
        <v>50911026.490000002</v>
      </c>
      <c r="U9" s="191">
        <v>188038844.43000001</v>
      </c>
      <c r="V9" s="191">
        <v>120754294.19</v>
      </c>
      <c r="W9" s="191">
        <v>80928091.840000004</v>
      </c>
      <c r="X9" s="191">
        <v>45955424.100000001</v>
      </c>
      <c r="Y9" s="191">
        <v>169029470.63999999</v>
      </c>
      <c r="Z9" s="191">
        <v>109662200.76000001</v>
      </c>
      <c r="AA9" s="191">
        <v>74656945.480000004</v>
      </c>
      <c r="AB9" s="191">
        <v>41627579.07</v>
      </c>
      <c r="AC9" s="191">
        <v>144541341.15000001</v>
      </c>
      <c r="AD9" s="191">
        <v>91804107.409999996</v>
      </c>
      <c r="AE9" s="191">
        <v>59743370.229999997</v>
      </c>
      <c r="AF9" s="191">
        <v>29303456.59</v>
      </c>
      <c r="AG9" s="191">
        <v>82039052.959999993</v>
      </c>
      <c r="AH9" s="191">
        <v>47018674.25</v>
      </c>
      <c r="AI9" s="191">
        <v>57164739.579999998</v>
      </c>
      <c r="AJ9" s="191">
        <v>61967595.829999998</v>
      </c>
      <c r="AK9" s="191">
        <v>0</v>
      </c>
    </row>
    <row r="10" spans="1:37" x14ac:dyDescent="0.25">
      <c r="A10" s="191" t="s">
        <v>226</v>
      </c>
      <c r="B10" s="191">
        <v>134850414.84999999</v>
      </c>
      <c r="C10" s="191">
        <v>92690267.170000002</v>
      </c>
      <c r="D10" s="191">
        <v>42187860.990000002</v>
      </c>
      <c r="E10" s="191">
        <v>158526599.24000001</v>
      </c>
      <c r="F10" s="191">
        <v>122813706.14</v>
      </c>
      <c r="G10" s="191">
        <v>81870526.629999995</v>
      </c>
      <c r="H10" s="191">
        <v>31931269.449999999</v>
      </c>
      <c r="I10" s="191">
        <v>120155701.97</v>
      </c>
      <c r="J10" s="191">
        <v>114129384.90000001</v>
      </c>
      <c r="K10" s="191">
        <v>74392187.489999995</v>
      </c>
      <c r="L10" s="191">
        <v>23520014.039999999</v>
      </c>
      <c r="M10" s="191">
        <v>77361364.340000004</v>
      </c>
      <c r="N10" s="191">
        <v>56215018.899999999</v>
      </c>
      <c r="O10" s="191">
        <v>38067910.939999998</v>
      </c>
      <c r="P10" s="191">
        <v>18523570.039999999</v>
      </c>
      <c r="Q10" s="191">
        <v>53625030.109999999</v>
      </c>
      <c r="R10" s="191">
        <v>39148629.579999998</v>
      </c>
      <c r="S10" s="191">
        <v>27305298.309999999</v>
      </c>
      <c r="T10" s="191">
        <v>13745777.83</v>
      </c>
      <c r="U10" s="191">
        <v>44434533.43</v>
      </c>
      <c r="V10" s="191">
        <v>31906362.84</v>
      </c>
      <c r="W10" s="191">
        <v>19037747.91</v>
      </c>
      <c r="X10" s="191">
        <v>4613813.79</v>
      </c>
      <c r="Y10" s="191">
        <v>40026520.5</v>
      </c>
      <c r="Z10" s="191">
        <v>32582231.02</v>
      </c>
      <c r="AA10" s="191">
        <v>18476310.32</v>
      </c>
      <c r="AB10" s="191">
        <v>4124985.49</v>
      </c>
      <c r="AC10" s="191">
        <v>47853822.740000002</v>
      </c>
      <c r="AD10" s="191">
        <v>37601387.18</v>
      </c>
      <c r="AE10" s="191">
        <v>20753002.91</v>
      </c>
      <c r="AF10" s="191">
        <v>6631862.3700000001</v>
      </c>
      <c r="AG10" s="191">
        <v>23763393.539999999</v>
      </c>
      <c r="AH10" s="191">
        <v>18455043.559999999</v>
      </c>
      <c r="AI10" s="191">
        <v>12496354.5</v>
      </c>
      <c r="AJ10" s="191">
        <v>55432131.82</v>
      </c>
      <c r="AK10" s="191">
        <v>0</v>
      </c>
    </row>
    <row r="11" spans="1:37" x14ac:dyDescent="0.25">
      <c r="A11" s="191" t="s">
        <v>227</v>
      </c>
      <c r="B11" s="191">
        <v>148499420.58000001</v>
      </c>
      <c r="C11" s="191">
        <v>101591924.02</v>
      </c>
      <c r="D11" s="191">
        <v>54752075.979999997</v>
      </c>
      <c r="E11" s="191">
        <v>162826606.13999999</v>
      </c>
      <c r="F11" s="191">
        <v>128998080.12</v>
      </c>
      <c r="G11" s="191">
        <v>71308163.959999993</v>
      </c>
      <c r="H11" s="191">
        <v>38630973.990000002</v>
      </c>
      <c r="I11" s="191">
        <v>132348838.81999999</v>
      </c>
      <c r="J11" s="191">
        <v>102854154.76000001</v>
      </c>
      <c r="K11" s="191">
        <v>56482302.859999999</v>
      </c>
      <c r="L11" s="191">
        <v>15645385.01</v>
      </c>
      <c r="M11" s="191">
        <v>103191774.17</v>
      </c>
      <c r="N11" s="191">
        <v>70215895.140000001</v>
      </c>
      <c r="O11" s="191">
        <v>40492751.619999997</v>
      </c>
      <c r="P11" s="191">
        <v>20175175.899999999</v>
      </c>
      <c r="Q11" s="191">
        <v>62509719.890000001</v>
      </c>
      <c r="R11" s="191">
        <v>51133327.840000004</v>
      </c>
      <c r="S11" s="191">
        <v>26351099.640000001</v>
      </c>
      <c r="T11" s="191">
        <v>13376711.57</v>
      </c>
      <c r="U11" s="191">
        <v>46235131.009999998</v>
      </c>
      <c r="V11" s="191">
        <v>39007316.390000001</v>
      </c>
      <c r="W11" s="191">
        <v>30333339.050000001</v>
      </c>
      <c r="X11" s="191">
        <v>12733678.109999999</v>
      </c>
      <c r="Y11" s="191">
        <v>42935047.460000001</v>
      </c>
      <c r="Z11" s="191">
        <v>37436401.710000001</v>
      </c>
      <c r="AA11" s="191">
        <v>26686914.73</v>
      </c>
      <c r="AB11" s="191">
        <v>12524428.23</v>
      </c>
      <c r="AC11" s="191">
        <v>44766399.649999999</v>
      </c>
      <c r="AD11" s="191">
        <v>46086209.079999998</v>
      </c>
      <c r="AE11" s="191">
        <v>36392192.82</v>
      </c>
      <c r="AF11" s="191">
        <v>10091431.17</v>
      </c>
      <c r="AG11" s="191">
        <v>45571710.57</v>
      </c>
      <c r="AH11" s="191">
        <v>26548796.199999999</v>
      </c>
      <c r="AI11" s="191">
        <v>14702918.24</v>
      </c>
      <c r="AJ11" s="191">
        <v>23182867.420000002</v>
      </c>
      <c r="AK11" s="191">
        <v>0</v>
      </c>
    </row>
    <row r="12" spans="1:37" x14ac:dyDescent="0.25">
      <c r="A12" s="191" t="s">
        <v>228</v>
      </c>
      <c r="B12" s="191">
        <v>1559862566.0699999</v>
      </c>
      <c r="C12" s="191">
        <v>1051520438.45</v>
      </c>
      <c r="D12" s="191">
        <v>536423933.29000002</v>
      </c>
      <c r="E12" s="191">
        <v>1952715268.9300001</v>
      </c>
      <c r="F12" s="191">
        <v>1374093474.3199999</v>
      </c>
      <c r="G12" s="191">
        <v>882981619.25</v>
      </c>
      <c r="H12" s="191">
        <v>415496338.36000001</v>
      </c>
      <c r="I12" s="191">
        <v>1791296148.05</v>
      </c>
      <c r="J12" s="191">
        <v>1321018784.47</v>
      </c>
      <c r="K12" s="191">
        <v>864965397.48000002</v>
      </c>
      <c r="L12" s="191">
        <v>371812002.27999997</v>
      </c>
      <c r="M12" s="191">
        <v>1352030131.9300001</v>
      </c>
      <c r="N12" s="191">
        <v>913384579.60000002</v>
      </c>
      <c r="O12" s="191">
        <v>576955018.12</v>
      </c>
      <c r="P12" s="191">
        <v>280026906.95999998</v>
      </c>
      <c r="Q12" s="191">
        <v>942154241.69000006</v>
      </c>
      <c r="R12" s="191">
        <v>623061298.73000002</v>
      </c>
      <c r="S12" s="191">
        <v>395500550.07999998</v>
      </c>
      <c r="T12" s="191">
        <v>200475634.72999999</v>
      </c>
      <c r="U12" s="191">
        <v>836573640.39999998</v>
      </c>
      <c r="V12" s="191">
        <v>640271781</v>
      </c>
      <c r="W12" s="191">
        <v>456652252.36000001</v>
      </c>
      <c r="X12" s="191">
        <v>222985762.5</v>
      </c>
      <c r="Y12" s="191">
        <v>731186797.13999999</v>
      </c>
      <c r="Z12" s="191">
        <v>480836751.10000002</v>
      </c>
      <c r="AA12" s="191">
        <v>325703795.77999997</v>
      </c>
      <c r="AB12" s="191">
        <v>146077247.11000001</v>
      </c>
      <c r="AC12" s="191">
        <v>679720665.62</v>
      </c>
      <c r="AD12" s="191">
        <v>484394603.62</v>
      </c>
      <c r="AE12" s="191">
        <v>328146631.12</v>
      </c>
      <c r="AF12" s="191">
        <v>151195519.99000001</v>
      </c>
      <c r="AG12" s="191">
        <v>588544642.71000004</v>
      </c>
      <c r="AH12" s="191">
        <v>428293610.14999998</v>
      </c>
      <c r="AI12" s="191">
        <v>281671774.51999998</v>
      </c>
      <c r="AJ12" s="191">
        <v>484474647.54000002</v>
      </c>
      <c r="AK12" s="191">
        <v>0</v>
      </c>
    </row>
    <row r="13" spans="1:37" x14ac:dyDescent="0.25">
      <c r="A13" s="191" t="s">
        <v>229</v>
      </c>
      <c r="B13" s="191">
        <v>336245150.81</v>
      </c>
      <c r="C13" s="191">
        <v>222163951.55000001</v>
      </c>
      <c r="D13" s="191">
        <v>95638135.140000001</v>
      </c>
      <c r="E13" s="191">
        <v>612280415.13</v>
      </c>
      <c r="F13" s="191">
        <v>524013685.56</v>
      </c>
      <c r="G13" s="191">
        <v>388747462.31999999</v>
      </c>
      <c r="H13" s="191">
        <v>257293820.97999999</v>
      </c>
      <c r="I13" s="191">
        <v>152654463.16999999</v>
      </c>
      <c r="J13" s="191">
        <v>145353901.49000001</v>
      </c>
      <c r="K13" s="191">
        <v>86112662.510000005</v>
      </c>
      <c r="L13" s="191">
        <v>102339094.16</v>
      </c>
      <c r="M13" s="191">
        <v>366599551.26999998</v>
      </c>
      <c r="N13" s="191">
        <v>301398516.12</v>
      </c>
      <c r="O13" s="191">
        <v>176387130.99000001</v>
      </c>
      <c r="P13" s="191">
        <v>133686240.64</v>
      </c>
      <c r="Q13" s="191">
        <v>143375664.33000001</v>
      </c>
      <c r="R13" s="191">
        <v>129319731.53</v>
      </c>
      <c r="S13" s="191">
        <v>56104951.130000003</v>
      </c>
      <c r="T13" s="191">
        <v>25001014.359999999</v>
      </c>
      <c r="U13" s="191">
        <v>198143305.22999999</v>
      </c>
      <c r="V13" s="191">
        <v>128871538</v>
      </c>
      <c r="W13" s="191">
        <v>65391736.07</v>
      </c>
      <c r="X13" s="191">
        <v>28403041.719999999</v>
      </c>
      <c r="Y13" s="191">
        <v>66414783.799999997</v>
      </c>
      <c r="Z13" s="191">
        <v>63801535.789999999</v>
      </c>
      <c r="AA13" s="191">
        <v>31337114.91</v>
      </c>
      <c r="AB13" s="191">
        <v>59383.69</v>
      </c>
      <c r="AC13" s="191">
        <v>189079188.53</v>
      </c>
      <c r="AD13" s="191">
        <v>216560178.52000001</v>
      </c>
      <c r="AE13" s="191">
        <v>144211016.88</v>
      </c>
      <c r="AF13" s="191">
        <v>52098792.939999998</v>
      </c>
      <c r="AG13" s="191">
        <v>156068852.72</v>
      </c>
      <c r="AH13" s="191">
        <v>117420567.38</v>
      </c>
      <c r="AI13" s="191">
        <v>94704915.730000004</v>
      </c>
      <c r="AJ13" s="191">
        <v>64957959.640000001</v>
      </c>
      <c r="AK13" s="191">
        <v>0</v>
      </c>
    </row>
    <row r="14" spans="1:37" x14ac:dyDescent="0.25">
      <c r="A14" s="191" t="s">
        <v>230</v>
      </c>
    </row>
    <row r="15" spans="1:37" x14ac:dyDescent="0.25">
      <c r="A15" s="191" t="s">
        <v>231</v>
      </c>
      <c r="B15" s="191">
        <v>0</v>
      </c>
      <c r="C15" s="191">
        <v>0</v>
      </c>
      <c r="D15" s="191">
        <v>0</v>
      </c>
      <c r="E15" s="191">
        <v>0</v>
      </c>
      <c r="F15" s="191">
        <v>0</v>
      </c>
      <c r="G15" s="191">
        <v>0</v>
      </c>
      <c r="H15" s="191">
        <v>0</v>
      </c>
      <c r="I15" s="191">
        <v>0</v>
      </c>
      <c r="J15" s="191">
        <v>3238347.51</v>
      </c>
      <c r="K15" s="191">
        <v>3211382.4</v>
      </c>
      <c r="L15" s="191">
        <v>0</v>
      </c>
      <c r="M15" s="191">
        <v>113300</v>
      </c>
      <c r="N15" s="191">
        <v>500113300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row>
    <row r="16" spans="1:37" x14ac:dyDescent="0.25">
      <c r="A16" s="191" t="s">
        <v>232</v>
      </c>
      <c r="B16" s="191">
        <v>7418190.5300000003</v>
      </c>
      <c r="C16" s="191">
        <v>4773190.53</v>
      </c>
      <c r="D16" s="191">
        <v>2777250</v>
      </c>
      <c r="E16" s="191">
        <v>14938212.85</v>
      </c>
      <c r="F16" s="191">
        <v>11175712.85</v>
      </c>
      <c r="G16" s="191">
        <v>8165712.8499999996</v>
      </c>
      <c r="H16" s="191">
        <v>2796666.67</v>
      </c>
      <c r="I16" s="191">
        <v>21519281.039999999</v>
      </c>
      <c r="J16" s="191">
        <v>18224281.039999999</v>
      </c>
      <c r="K16" s="191">
        <v>14349281.039999999</v>
      </c>
      <c r="L16" s="191">
        <v>9125000</v>
      </c>
      <c r="M16" s="191">
        <v>7713408.6500000004</v>
      </c>
      <c r="N16" s="191">
        <v>7713408.6500000004</v>
      </c>
      <c r="O16" s="191">
        <v>1364093.58</v>
      </c>
      <c r="P16" s="191">
        <v>0</v>
      </c>
      <c r="Q16" s="191">
        <v>1034528.12</v>
      </c>
      <c r="R16" s="191">
        <v>1034528.12</v>
      </c>
      <c r="S16" s="191">
        <v>1034528.12</v>
      </c>
      <c r="T16" s="191">
        <v>0</v>
      </c>
      <c r="U16" s="191">
        <v>856247.79</v>
      </c>
      <c r="V16" s="191">
        <v>856247.79</v>
      </c>
      <c r="W16" s="191">
        <v>856247.79</v>
      </c>
      <c r="X16" s="191">
        <v>0</v>
      </c>
      <c r="Y16" s="191">
        <v>965977.34</v>
      </c>
      <c r="Z16" s="191">
        <v>965977.34</v>
      </c>
      <c r="AA16" s="191">
        <v>965977.34</v>
      </c>
      <c r="AB16" s="191">
        <v>0</v>
      </c>
      <c r="AC16" s="191">
        <v>1082643.8</v>
      </c>
      <c r="AD16" s="191">
        <v>373611.15</v>
      </c>
      <c r="AE16" s="191">
        <v>373611.15</v>
      </c>
      <c r="AF16" s="191">
        <v>0</v>
      </c>
      <c r="AG16" s="191">
        <v>963169.19</v>
      </c>
      <c r="AH16" s="191">
        <v>963169.19</v>
      </c>
      <c r="AI16" s="191">
        <v>1560755.28</v>
      </c>
      <c r="AJ16" s="191">
        <v>0</v>
      </c>
      <c r="AK16" s="191">
        <v>0</v>
      </c>
    </row>
    <row r="17" spans="1:37" x14ac:dyDescent="0.25">
      <c r="A17" s="191" t="s">
        <v>233</v>
      </c>
      <c r="B17" s="191">
        <v>129388.2</v>
      </c>
      <c r="C17" s="191">
        <v>71940.2</v>
      </c>
      <c r="D17" s="191">
        <v>25253</v>
      </c>
      <c r="E17" s="191">
        <v>500821.88</v>
      </c>
      <c r="F17" s="191">
        <v>256335.39</v>
      </c>
      <c r="G17" s="191">
        <v>186055.39</v>
      </c>
      <c r="H17" s="191">
        <v>14831.3</v>
      </c>
      <c r="I17" s="191">
        <v>509414.36</v>
      </c>
      <c r="J17" s="191">
        <v>336576.14</v>
      </c>
      <c r="K17" s="191">
        <v>275103.32</v>
      </c>
      <c r="L17" s="191">
        <v>39875.42</v>
      </c>
      <c r="M17" s="191">
        <v>1327190.75</v>
      </c>
      <c r="N17" s="191">
        <v>232587.08</v>
      </c>
      <c r="O17" s="191">
        <v>118967.9</v>
      </c>
      <c r="P17" s="191">
        <v>55815.9</v>
      </c>
      <c r="Q17" s="191">
        <v>673654.08</v>
      </c>
      <c r="R17" s="191">
        <v>267127.71999999997</v>
      </c>
      <c r="S17" s="191">
        <v>130191.1</v>
      </c>
      <c r="T17" s="191">
        <v>35145.730000000003</v>
      </c>
      <c r="U17" s="191">
        <v>294821.3</v>
      </c>
      <c r="V17" s="191">
        <v>187875.19</v>
      </c>
      <c r="W17" s="191">
        <v>146367.4</v>
      </c>
      <c r="X17" s="191">
        <v>26896</v>
      </c>
      <c r="Y17" s="191">
        <v>240565.67</v>
      </c>
      <c r="Z17" s="191">
        <v>188909.4</v>
      </c>
      <c r="AA17" s="191">
        <v>161853.79999999999</v>
      </c>
      <c r="AB17" s="191">
        <v>40311</v>
      </c>
      <c r="AC17" s="191">
        <v>948399.81</v>
      </c>
      <c r="AD17" s="191">
        <v>409720.02</v>
      </c>
      <c r="AE17" s="191">
        <v>208457.01</v>
      </c>
      <c r="AF17" s="191">
        <v>40738.6</v>
      </c>
      <c r="AG17" s="191">
        <v>204761.65</v>
      </c>
      <c r="AH17" s="191">
        <v>117257.1</v>
      </c>
      <c r="AI17" s="191">
        <v>0</v>
      </c>
      <c r="AJ17" s="191">
        <v>1452357</v>
      </c>
      <c r="AK17" s="191">
        <v>0</v>
      </c>
    </row>
    <row r="18" spans="1:37" x14ac:dyDescent="0.25">
      <c r="A18" s="191" t="s">
        <v>234</v>
      </c>
      <c r="B18" s="191">
        <v>0</v>
      </c>
      <c r="C18" s="191">
        <v>0</v>
      </c>
      <c r="D18" s="191">
        <v>0</v>
      </c>
      <c r="E18" s="191">
        <v>0</v>
      </c>
      <c r="F18" s="191">
        <v>0</v>
      </c>
      <c r="G18" s="191">
        <v>0</v>
      </c>
      <c r="H18" s="191">
        <v>0</v>
      </c>
      <c r="I18" s="191">
        <v>0</v>
      </c>
      <c r="J18" s="191">
        <v>0</v>
      </c>
      <c r="K18" s="191">
        <v>0</v>
      </c>
      <c r="L18" s="191">
        <v>0</v>
      </c>
      <c r="M18" s="191">
        <v>0</v>
      </c>
      <c r="N18" s="191">
        <v>0</v>
      </c>
      <c r="O18" s="191">
        <v>0</v>
      </c>
      <c r="P18" s="191">
        <v>0</v>
      </c>
      <c r="Q18" s="191">
        <v>0</v>
      </c>
      <c r="R18" s="191">
        <v>0</v>
      </c>
      <c r="S18" s="191">
        <v>0</v>
      </c>
      <c r="T18" s="191">
        <v>0</v>
      </c>
      <c r="U18" s="191">
        <v>0</v>
      </c>
      <c r="V18" s="191">
        <v>0</v>
      </c>
      <c r="W18" s="191">
        <v>0</v>
      </c>
      <c r="X18" s="191">
        <v>0</v>
      </c>
      <c r="Y18" s="191">
        <v>0</v>
      </c>
      <c r="Z18" s="191">
        <v>0</v>
      </c>
      <c r="AA18" s="191">
        <v>0</v>
      </c>
      <c r="AB18" s="191">
        <v>0</v>
      </c>
      <c r="AC18" s="191">
        <v>0</v>
      </c>
      <c r="AD18" s="191">
        <v>0</v>
      </c>
      <c r="AE18" s="191">
        <v>0</v>
      </c>
      <c r="AF18" s="191">
        <v>0</v>
      </c>
      <c r="AG18" s="191">
        <v>0</v>
      </c>
      <c r="AH18" s="191">
        <v>0</v>
      </c>
      <c r="AI18" s="191">
        <v>0</v>
      </c>
      <c r="AJ18" s="191">
        <v>0</v>
      </c>
      <c r="AK18" s="191">
        <v>0</v>
      </c>
    </row>
    <row r="19" spans="1:37" x14ac:dyDescent="0.25">
      <c r="A19" s="191" t="s">
        <v>235</v>
      </c>
      <c r="B19" s="191">
        <v>592000000</v>
      </c>
      <c r="C19" s="191">
        <v>350000000</v>
      </c>
      <c r="D19" s="191">
        <v>350000000</v>
      </c>
      <c r="E19" s="191">
        <v>1290000000</v>
      </c>
      <c r="F19" s="191">
        <v>940000000</v>
      </c>
      <c r="G19" s="191">
        <v>660000000</v>
      </c>
      <c r="H19" s="191">
        <v>380000000</v>
      </c>
      <c r="I19" s="191">
        <v>1825261600</v>
      </c>
      <c r="J19" s="191">
        <v>1395261600</v>
      </c>
      <c r="K19" s="191">
        <v>895261600</v>
      </c>
      <c r="L19" s="191">
        <v>500000000</v>
      </c>
      <c r="M19" s="191">
        <v>500000000</v>
      </c>
      <c r="N19" s="191">
        <v>0</v>
      </c>
      <c r="O19" s="191">
        <v>0</v>
      </c>
      <c r="P19" s="191">
        <v>0</v>
      </c>
      <c r="Q19" s="191">
        <v>0</v>
      </c>
      <c r="R19" s="191">
        <v>0</v>
      </c>
      <c r="S19" s="191">
        <v>0</v>
      </c>
      <c r="T19" s="191">
        <v>0</v>
      </c>
      <c r="U19" s="191">
        <v>0</v>
      </c>
      <c r="V19" s="191">
        <v>0</v>
      </c>
      <c r="W19" s="191">
        <v>0</v>
      </c>
      <c r="X19" s="191">
        <v>0</v>
      </c>
      <c r="Y19" s="191">
        <v>0</v>
      </c>
      <c r="Z19" s="191">
        <v>0</v>
      </c>
      <c r="AA19" s="191">
        <v>0</v>
      </c>
      <c r="AB19" s="191">
        <v>0</v>
      </c>
      <c r="AC19" s="191">
        <v>0</v>
      </c>
      <c r="AD19" s="191">
        <v>0</v>
      </c>
      <c r="AE19" s="191">
        <v>0</v>
      </c>
      <c r="AF19" s="191">
        <v>0</v>
      </c>
      <c r="AG19" s="191">
        <v>295909.3</v>
      </c>
      <c r="AH19" s="191">
        <v>0</v>
      </c>
      <c r="AI19" s="191">
        <v>0</v>
      </c>
      <c r="AJ19" s="191">
        <v>0</v>
      </c>
      <c r="AK19" s="191">
        <v>0</v>
      </c>
    </row>
    <row r="20" spans="1:37" x14ac:dyDescent="0.25">
      <c r="A20" s="191" t="s">
        <v>236</v>
      </c>
      <c r="B20" s="191">
        <v>599547578.73000002</v>
      </c>
      <c r="C20" s="191">
        <v>354845130.73000002</v>
      </c>
      <c r="D20" s="191">
        <v>352802503</v>
      </c>
      <c r="E20" s="191">
        <v>1305439034.73</v>
      </c>
      <c r="F20" s="191">
        <v>951432048.24000001</v>
      </c>
      <c r="G20" s="191">
        <v>668351768.24000001</v>
      </c>
      <c r="H20" s="191">
        <v>382811497.97000003</v>
      </c>
      <c r="I20" s="191">
        <v>1847290295.4000001</v>
      </c>
      <c r="J20" s="191">
        <v>1417060804.6900001</v>
      </c>
      <c r="K20" s="191">
        <v>913097366.75999999</v>
      </c>
      <c r="L20" s="191">
        <v>509164875.42000002</v>
      </c>
      <c r="M20" s="191">
        <v>509153899.39999998</v>
      </c>
      <c r="N20" s="191">
        <v>508059295.73000002</v>
      </c>
      <c r="O20" s="191">
        <v>1483061.48</v>
      </c>
      <c r="P20" s="191">
        <v>55815.9</v>
      </c>
      <c r="Q20" s="191">
        <v>1708182.2</v>
      </c>
      <c r="R20" s="191">
        <v>1301655.8400000001</v>
      </c>
      <c r="S20" s="191">
        <v>1164719.22</v>
      </c>
      <c r="T20" s="191">
        <v>35145.730000000003</v>
      </c>
      <c r="U20" s="191">
        <v>1151069.0900000001</v>
      </c>
      <c r="V20" s="191">
        <v>1044122.98</v>
      </c>
      <c r="W20" s="191">
        <v>1002615.19</v>
      </c>
      <c r="X20" s="191">
        <v>26896</v>
      </c>
      <c r="Y20" s="191">
        <v>1206543.01</v>
      </c>
      <c r="Z20" s="191">
        <v>1154886.74</v>
      </c>
      <c r="AA20" s="191">
        <v>1127831.1399999999</v>
      </c>
      <c r="AB20" s="191">
        <v>40311</v>
      </c>
      <c r="AC20" s="191">
        <v>2031043.61</v>
      </c>
      <c r="AD20" s="191">
        <v>783331.17</v>
      </c>
      <c r="AE20" s="191">
        <v>582068.16</v>
      </c>
      <c r="AF20" s="191">
        <v>40738.6</v>
      </c>
      <c r="AG20" s="191">
        <v>1463840.14</v>
      </c>
      <c r="AH20" s="191">
        <v>1080426.29</v>
      </c>
      <c r="AI20" s="191">
        <v>1560755.28</v>
      </c>
      <c r="AJ20" s="191">
        <v>1452357</v>
      </c>
      <c r="AK20" s="191">
        <v>0</v>
      </c>
    </row>
    <row r="21" spans="1:37" x14ac:dyDescent="0.25">
      <c r="A21" s="191" t="s">
        <v>237</v>
      </c>
      <c r="B21" s="191">
        <v>285538820.86000001</v>
      </c>
      <c r="C21" s="191">
        <v>209989508.33000001</v>
      </c>
      <c r="D21" s="191">
        <v>103997142.14</v>
      </c>
      <c r="E21" s="191">
        <v>383482606.77999997</v>
      </c>
      <c r="F21" s="191">
        <v>275734020.55000001</v>
      </c>
      <c r="G21" s="191">
        <v>216983104.25999999</v>
      </c>
      <c r="H21" s="191">
        <v>103896644.69</v>
      </c>
      <c r="I21" s="191">
        <v>444285488.91000003</v>
      </c>
      <c r="J21" s="191">
        <v>322844853.11000001</v>
      </c>
      <c r="K21" s="191">
        <v>164773450.24000001</v>
      </c>
      <c r="L21" s="191">
        <v>59555754.280000001</v>
      </c>
      <c r="M21" s="191">
        <v>356578634</v>
      </c>
      <c r="N21" s="191">
        <v>277935839.25</v>
      </c>
      <c r="O21" s="191">
        <v>202616698.78</v>
      </c>
      <c r="P21" s="191">
        <v>106473734.16</v>
      </c>
      <c r="Q21" s="191">
        <v>189462606.18000001</v>
      </c>
      <c r="R21" s="191">
        <v>130049784.45999999</v>
      </c>
      <c r="S21" s="191">
        <v>84986028.730000004</v>
      </c>
      <c r="T21" s="191">
        <v>42901551.719999999</v>
      </c>
      <c r="U21" s="191">
        <v>190463988.16999999</v>
      </c>
      <c r="V21" s="191">
        <v>129631786.98999999</v>
      </c>
      <c r="W21" s="191">
        <v>80028428.140000001</v>
      </c>
      <c r="X21" s="191">
        <v>50144035.409999996</v>
      </c>
      <c r="Y21" s="191">
        <v>244190255.53</v>
      </c>
      <c r="Z21" s="191">
        <v>172122744.43000001</v>
      </c>
      <c r="AA21" s="191">
        <v>90616778.060000002</v>
      </c>
      <c r="AB21" s="191">
        <v>26177655.390000001</v>
      </c>
      <c r="AC21" s="191">
        <v>127262489.27</v>
      </c>
      <c r="AD21" s="191">
        <v>101090715.77</v>
      </c>
      <c r="AE21" s="191">
        <v>75148807.060000002</v>
      </c>
      <c r="AF21" s="191">
        <v>37253138.159999996</v>
      </c>
      <c r="AG21" s="191">
        <v>82339064.920000002</v>
      </c>
      <c r="AH21" s="191">
        <v>57371568.490000002</v>
      </c>
      <c r="AI21" s="191">
        <v>39015549.149999999</v>
      </c>
      <c r="AJ21" s="191">
        <v>37084603.770000003</v>
      </c>
      <c r="AK21" s="191">
        <v>0</v>
      </c>
    </row>
    <row r="22" spans="1:37" x14ac:dyDescent="0.25">
      <c r="A22" s="191" t="s">
        <v>238</v>
      </c>
      <c r="B22" s="191">
        <v>0</v>
      </c>
      <c r="C22" s="191">
        <v>0</v>
      </c>
      <c r="D22" s="191">
        <v>0</v>
      </c>
      <c r="E22" s="191">
        <v>0</v>
      </c>
      <c r="F22" s="191">
        <v>0</v>
      </c>
      <c r="G22" s="191">
        <v>0</v>
      </c>
      <c r="H22" s="191">
        <v>0</v>
      </c>
      <c r="I22" s="191">
        <v>0</v>
      </c>
      <c r="J22" s="191">
        <v>0</v>
      </c>
      <c r="K22" s="191">
        <v>0</v>
      </c>
      <c r="L22" s="191">
        <v>0</v>
      </c>
      <c r="M22" s="191">
        <v>7000000</v>
      </c>
      <c r="N22" s="191">
        <v>1007000000</v>
      </c>
      <c r="O22" s="191">
        <v>500000000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c r="AJ22" s="191">
        <v>0</v>
      </c>
      <c r="AK22" s="191">
        <v>0</v>
      </c>
    </row>
    <row r="23" spans="1:37" x14ac:dyDescent="0.25">
      <c r="A23" s="191" t="s">
        <v>239</v>
      </c>
      <c r="B23" s="191">
        <v>0</v>
      </c>
      <c r="C23" s="191">
        <v>0</v>
      </c>
      <c r="D23" s="191">
        <v>0</v>
      </c>
      <c r="E23" s="191">
        <v>0</v>
      </c>
      <c r="F23" s="191">
        <v>0</v>
      </c>
      <c r="G23" s="191">
        <v>0</v>
      </c>
      <c r="H23" s="191">
        <v>0</v>
      </c>
      <c r="I23" s="191">
        <v>891869702.13</v>
      </c>
      <c r="J23" s="191">
        <v>891869702.51999998</v>
      </c>
      <c r="K23" s="191">
        <v>896988543.84000003</v>
      </c>
      <c r="L23" s="191">
        <v>906764353.39999998</v>
      </c>
      <c r="M23" s="191">
        <v>0</v>
      </c>
      <c r="N23" s="191">
        <v>0</v>
      </c>
      <c r="O23" s="191">
        <v>0</v>
      </c>
      <c r="P23" s="191">
        <v>0</v>
      </c>
      <c r="Q23" s="191">
        <v>0</v>
      </c>
      <c r="R23" s="191">
        <v>0</v>
      </c>
      <c r="S23" s="191">
        <v>0</v>
      </c>
      <c r="T23" s="191">
        <v>0</v>
      </c>
      <c r="U23" s="191">
        <v>0</v>
      </c>
      <c r="V23" s="191">
        <v>0</v>
      </c>
      <c r="W23" s="191">
        <v>0</v>
      </c>
      <c r="X23" s="191">
        <v>0</v>
      </c>
      <c r="Y23" s="191">
        <v>0</v>
      </c>
      <c r="Z23" s="191">
        <v>0</v>
      </c>
      <c r="AA23" s="191">
        <v>0</v>
      </c>
      <c r="AB23" s="191">
        <v>0</v>
      </c>
      <c r="AC23" s="191">
        <v>35607731.289999999</v>
      </c>
      <c r="AD23" s="191">
        <v>35607731.289999999</v>
      </c>
      <c r="AE23" s="191">
        <v>35607731.289999999</v>
      </c>
      <c r="AF23" s="191">
        <v>29547519.329999998</v>
      </c>
      <c r="AG23" s="191">
        <v>13414505.08</v>
      </c>
      <c r="AH23" s="191">
        <v>0</v>
      </c>
      <c r="AI23" s="191">
        <v>0</v>
      </c>
      <c r="AJ23" s="191">
        <v>0</v>
      </c>
      <c r="AK23" s="191">
        <v>0</v>
      </c>
    </row>
    <row r="24" spans="1:37" x14ac:dyDescent="0.25">
      <c r="A24" s="191" t="s">
        <v>240</v>
      </c>
      <c r="B24" s="191">
        <v>416000000</v>
      </c>
      <c r="C24" s="191">
        <v>266000000</v>
      </c>
      <c r="D24" s="191">
        <v>0</v>
      </c>
      <c r="E24" s="191">
        <v>1260000000</v>
      </c>
      <c r="F24" s="191">
        <v>910000000</v>
      </c>
      <c r="G24" s="191">
        <v>560000000</v>
      </c>
      <c r="H24" s="191">
        <v>280000000</v>
      </c>
      <c r="I24" s="191">
        <v>1680000000</v>
      </c>
      <c r="J24" s="191">
        <v>1300031268</v>
      </c>
      <c r="K24" s="191">
        <v>870000000</v>
      </c>
      <c r="L24" s="191">
        <v>370000000</v>
      </c>
      <c r="M24" s="191">
        <v>1025261600</v>
      </c>
      <c r="N24" s="191">
        <v>0</v>
      </c>
      <c r="O24" s="191">
        <v>0</v>
      </c>
      <c r="P24" s="191">
        <v>0</v>
      </c>
      <c r="Q24" s="191">
        <v>0</v>
      </c>
      <c r="R24" s="191">
        <v>0</v>
      </c>
      <c r="S24" s="191">
        <v>0</v>
      </c>
      <c r="T24" s="191">
        <v>0</v>
      </c>
      <c r="U24" s="191">
        <v>0</v>
      </c>
      <c r="V24" s="191">
        <v>0</v>
      </c>
      <c r="W24" s="191">
        <v>0</v>
      </c>
      <c r="X24" s="191">
        <v>0</v>
      </c>
      <c r="Y24" s="191">
        <v>0</v>
      </c>
      <c r="Z24" s="191">
        <v>0</v>
      </c>
      <c r="AA24" s="191">
        <v>0</v>
      </c>
      <c r="AB24" s="191">
        <v>0</v>
      </c>
      <c r="AC24" s="191">
        <v>0</v>
      </c>
      <c r="AD24" s="191">
        <v>0</v>
      </c>
      <c r="AE24" s="191">
        <v>0</v>
      </c>
      <c r="AF24" s="191">
        <v>0</v>
      </c>
      <c r="AG24" s="191">
        <v>20295909.300000001</v>
      </c>
      <c r="AH24" s="191">
        <v>295909.3</v>
      </c>
      <c r="AI24" s="191">
        <v>0</v>
      </c>
      <c r="AJ24" s="191">
        <v>0</v>
      </c>
      <c r="AK24" s="191">
        <v>0</v>
      </c>
    </row>
    <row r="25" spans="1:37" x14ac:dyDescent="0.25">
      <c r="A25" s="191" t="s">
        <v>241</v>
      </c>
      <c r="B25" s="191">
        <v>701538820.86000001</v>
      </c>
      <c r="C25" s="191">
        <v>475989508.32999998</v>
      </c>
      <c r="D25" s="191">
        <v>103997142.14</v>
      </c>
      <c r="E25" s="191">
        <v>1643482606.78</v>
      </c>
      <c r="F25" s="191">
        <v>1185734020.55</v>
      </c>
      <c r="G25" s="191">
        <v>776983104.25999999</v>
      </c>
      <c r="H25" s="191">
        <v>383896644.69</v>
      </c>
      <c r="I25" s="191">
        <v>3016155191.04</v>
      </c>
      <c r="J25" s="191">
        <v>2514745823.6300001</v>
      </c>
      <c r="K25" s="191">
        <v>1931761994.0799999</v>
      </c>
      <c r="L25" s="191">
        <v>1336320107.6800001</v>
      </c>
      <c r="M25" s="191">
        <v>1388840234</v>
      </c>
      <c r="N25" s="191">
        <v>1284935839.25</v>
      </c>
      <c r="O25" s="191">
        <v>702616698.77999997</v>
      </c>
      <c r="P25" s="191">
        <v>106473734.16</v>
      </c>
      <c r="Q25" s="191">
        <v>189462606.18000001</v>
      </c>
      <c r="R25" s="191">
        <v>130049784.45999999</v>
      </c>
      <c r="S25" s="191">
        <v>84986028.730000004</v>
      </c>
      <c r="T25" s="191">
        <v>42901551.719999999</v>
      </c>
      <c r="U25" s="191">
        <v>190463988.16999999</v>
      </c>
      <c r="V25" s="191">
        <v>129631786.98999999</v>
      </c>
      <c r="W25" s="191">
        <v>80028428.140000001</v>
      </c>
      <c r="X25" s="191">
        <v>50144035.409999996</v>
      </c>
      <c r="Y25" s="191">
        <v>244190255.53</v>
      </c>
      <c r="Z25" s="191">
        <v>172122744.43000001</v>
      </c>
      <c r="AA25" s="191">
        <v>90616778.060000002</v>
      </c>
      <c r="AB25" s="191">
        <v>26177655.390000001</v>
      </c>
      <c r="AC25" s="191">
        <v>162870220.56</v>
      </c>
      <c r="AD25" s="191">
        <v>136698447.06</v>
      </c>
      <c r="AE25" s="191">
        <v>110756538.34999999</v>
      </c>
      <c r="AF25" s="191">
        <v>66800657.490000002</v>
      </c>
      <c r="AG25" s="191">
        <v>116049479.3</v>
      </c>
      <c r="AH25" s="191">
        <v>57667477.789999999</v>
      </c>
      <c r="AI25" s="191">
        <v>39015549.149999999</v>
      </c>
      <c r="AJ25" s="191">
        <v>37084603.770000003</v>
      </c>
      <c r="AK25" s="191">
        <v>0</v>
      </c>
    </row>
    <row r="26" spans="1:37" x14ac:dyDescent="0.25">
      <c r="A26" s="191" t="s">
        <v>242</v>
      </c>
      <c r="B26" s="191">
        <v>-101991242.13</v>
      </c>
      <c r="C26" s="191">
        <v>-121144377.59999999</v>
      </c>
      <c r="D26" s="191">
        <v>248805360.86000001</v>
      </c>
      <c r="E26" s="191">
        <v>-338043572.05000001</v>
      </c>
      <c r="F26" s="191">
        <v>-234301972.31</v>
      </c>
      <c r="G26" s="191">
        <v>-108631336.02</v>
      </c>
      <c r="H26" s="191">
        <v>-1085146.72</v>
      </c>
      <c r="I26" s="191">
        <v>-1168864895.6400001</v>
      </c>
      <c r="J26" s="191">
        <v>-1097685018.9400001</v>
      </c>
      <c r="K26" s="191">
        <v>-1018664627.3200001</v>
      </c>
      <c r="L26" s="191">
        <v>-827155232.25999999</v>
      </c>
      <c r="M26" s="191">
        <v>-879686334.60000002</v>
      </c>
      <c r="N26" s="191">
        <v>-776876543.51999998</v>
      </c>
      <c r="O26" s="191">
        <v>-701133637.29999995</v>
      </c>
      <c r="P26" s="191">
        <v>-106417918.26000001</v>
      </c>
      <c r="Q26" s="191">
        <v>-187754423.97999999</v>
      </c>
      <c r="R26" s="191">
        <v>-128748128.62</v>
      </c>
      <c r="S26" s="191">
        <v>-83821309.510000005</v>
      </c>
      <c r="T26" s="191">
        <v>-42866405.990000002</v>
      </c>
      <c r="U26" s="191">
        <v>-189312919.08000001</v>
      </c>
      <c r="V26" s="191">
        <v>-128587664.01000001</v>
      </c>
      <c r="W26" s="191">
        <v>-79025812.950000003</v>
      </c>
      <c r="X26" s="191">
        <v>-50117139.409999996</v>
      </c>
      <c r="Y26" s="191">
        <v>-242983712.52000001</v>
      </c>
      <c r="Z26" s="191">
        <v>-170967857.69</v>
      </c>
      <c r="AA26" s="191">
        <v>-89488946.920000002</v>
      </c>
      <c r="AB26" s="191">
        <v>-26137344.390000001</v>
      </c>
      <c r="AC26" s="191">
        <v>-160839176.94999999</v>
      </c>
      <c r="AD26" s="191">
        <v>-135915115.88999999</v>
      </c>
      <c r="AE26" s="191">
        <v>-110174470.19</v>
      </c>
      <c r="AF26" s="191">
        <v>-66759918.890000001</v>
      </c>
      <c r="AG26" s="191">
        <v>-114585639.16</v>
      </c>
      <c r="AH26" s="191">
        <v>-56587051.5</v>
      </c>
      <c r="AI26" s="191">
        <v>-37454793.869999997</v>
      </c>
      <c r="AJ26" s="191">
        <v>-35632246.770000003</v>
      </c>
      <c r="AK26" s="191">
        <v>0</v>
      </c>
    </row>
    <row r="27" spans="1:37" x14ac:dyDescent="0.25">
      <c r="A27" s="191" t="s">
        <v>243</v>
      </c>
    </row>
    <row r="28" spans="1:37" x14ac:dyDescent="0.25">
      <c r="A28" s="191" t="s">
        <v>244</v>
      </c>
      <c r="B28" s="191">
        <v>161600004</v>
      </c>
      <c r="C28" s="191">
        <v>161600004</v>
      </c>
      <c r="D28" s="191">
        <v>0</v>
      </c>
      <c r="E28" s="191">
        <v>0</v>
      </c>
      <c r="F28" s="191">
        <v>0</v>
      </c>
      <c r="G28" s="191">
        <v>0</v>
      </c>
      <c r="H28" s="191">
        <v>0</v>
      </c>
      <c r="I28" s="191">
        <v>1004999979.16</v>
      </c>
      <c r="J28" s="191">
        <v>1004999979.16</v>
      </c>
      <c r="K28" s="191">
        <v>0</v>
      </c>
      <c r="L28" s="191">
        <v>0</v>
      </c>
      <c r="M28" s="191">
        <v>1010229100</v>
      </c>
      <c r="N28" s="191">
        <v>1010229100</v>
      </c>
      <c r="O28" s="191">
        <v>1010229100</v>
      </c>
      <c r="P28" s="191">
        <v>1010229100</v>
      </c>
      <c r="Q28" s="191">
        <v>0</v>
      </c>
      <c r="R28" s="191">
        <v>0</v>
      </c>
      <c r="S28" s="191">
        <v>0</v>
      </c>
      <c r="T28" s="191">
        <v>0</v>
      </c>
      <c r="U28" s="191">
        <v>2367600</v>
      </c>
      <c r="V28" s="191">
        <v>2367600</v>
      </c>
      <c r="W28" s="191">
        <v>2367600</v>
      </c>
      <c r="X28" s="191">
        <v>0</v>
      </c>
      <c r="Y28" s="191">
        <v>0</v>
      </c>
      <c r="Z28" s="191">
        <v>0</v>
      </c>
      <c r="AA28" s="191">
        <v>0</v>
      </c>
      <c r="AB28" s="191">
        <v>0</v>
      </c>
      <c r="AC28" s="191">
        <v>815170000</v>
      </c>
      <c r="AD28" s="191">
        <v>0</v>
      </c>
      <c r="AE28" s="191">
        <v>0</v>
      </c>
      <c r="AF28" s="191">
        <v>0</v>
      </c>
      <c r="AG28" s="191">
        <v>0</v>
      </c>
      <c r="AH28" s="191">
        <v>0</v>
      </c>
      <c r="AI28" s="191">
        <v>0</v>
      </c>
      <c r="AJ28" s="191">
        <v>0</v>
      </c>
      <c r="AK28" s="191">
        <v>0</v>
      </c>
    </row>
    <row r="29" spans="1:37" x14ac:dyDescent="0.25">
      <c r="A29" s="191" t="s">
        <v>245</v>
      </c>
      <c r="B29" s="191">
        <v>161600004</v>
      </c>
      <c r="C29" s="191">
        <v>161600004</v>
      </c>
      <c r="D29" s="191">
        <v>0</v>
      </c>
      <c r="E29" s="191">
        <v>0</v>
      </c>
      <c r="F29" s="191">
        <v>0</v>
      </c>
      <c r="G29" s="191">
        <v>0</v>
      </c>
      <c r="H29" s="191">
        <v>0</v>
      </c>
      <c r="I29" s="191">
        <v>0</v>
      </c>
      <c r="J29" s="191">
        <v>0</v>
      </c>
      <c r="K29" s="191">
        <v>0</v>
      </c>
      <c r="L29" s="191">
        <v>0</v>
      </c>
      <c r="M29" s="191">
        <v>0</v>
      </c>
      <c r="N29" s="191">
        <v>0</v>
      </c>
      <c r="O29" s="191">
        <v>0</v>
      </c>
      <c r="P29" s="191">
        <v>0</v>
      </c>
      <c r="Q29" s="191">
        <v>0</v>
      </c>
      <c r="R29" s="191">
        <v>0</v>
      </c>
      <c r="S29" s="191">
        <v>0</v>
      </c>
      <c r="T29" s="191">
        <v>0</v>
      </c>
      <c r="U29" s="191">
        <v>2367600</v>
      </c>
      <c r="V29" s="191">
        <v>2367600</v>
      </c>
      <c r="W29" s="191">
        <v>2367600</v>
      </c>
      <c r="X29" s="191">
        <v>0</v>
      </c>
      <c r="Y29" s="191">
        <v>0</v>
      </c>
      <c r="Z29" s="191">
        <v>0</v>
      </c>
      <c r="AA29" s="191">
        <v>0</v>
      </c>
      <c r="AB29" s="191">
        <v>0</v>
      </c>
      <c r="AC29" s="191">
        <v>0</v>
      </c>
      <c r="AD29" s="191">
        <v>0</v>
      </c>
      <c r="AE29" s="191">
        <v>0</v>
      </c>
      <c r="AF29" s="191">
        <v>0</v>
      </c>
      <c r="AG29" s="191">
        <v>0</v>
      </c>
      <c r="AH29" s="191">
        <v>0</v>
      </c>
      <c r="AI29" s="191">
        <v>0</v>
      </c>
      <c r="AJ29" s="191">
        <v>0</v>
      </c>
      <c r="AK29" s="191">
        <v>0</v>
      </c>
    </row>
    <row r="30" spans="1:37" x14ac:dyDescent="0.25">
      <c r="A30" s="191" t="s">
        <v>246</v>
      </c>
      <c r="B30" s="191">
        <v>0</v>
      </c>
      <c r="C30" s="191">
        <v>0</v>
      </c>
      <c r="D30" s="191">
        <v>0</v>
      </c>
      <c r="E30" s="191">
        <v>0</v>
      </c>
      <c r="F30" s="191">
        <v>0</v>
      </c>
      <c r="G30" s="191">
        <v>0</v>
      </c>
      <c r="H30" s="191">
        <v>0</v>
      </c>
      <c r="I30" s="191">
        <v>888968300</v>
      </c>
      <c r="J30" s="191">
        <v>886671322.96000004</v>
      </c>
      <c r="K30" s="191">
        <v>778075600</v>
      </c>
      <c r="L30" s="191">
        <v>714938800</v>
      </c>
      <c r="M30" s="191">
        <v>0</v>
      </c>
      <c r="N30" s="191">
        <v>0</v>
      </c>
      <c r="O30" s="191">
        <v>0</v>
      </c>
      <c r="P30" s="191">
        <v>0</v>
      </c>
      <c r="Q30" s="191">
        <v>41820000</v>
      </c>
      <c r="R30" s="191">
        <v>34420000</v>
      </c>
      <c r="S30" s="191">
        <v>28420000</v>
      </c>
      <c r="T30" s="191">
        <v>12420000</v>
      </c>
      <c r="U30" s="191">
        <v>84989480</v>
      </c>
      <c r="V30" s="191">
        <v>66464900</v>
      </c>
      <c r="W30" s="191">
        <v>61464900</v>
      </c>
      <c r="X30" s="191">
        <v>50196000</v>
      </c>
      <c r="Y30" s="191">
        <v>88437836</v>
      </c>
      <c r="Z30" s="191">
        <v>0</v>
      </c>
      <c r="AA30" s="191">
        <v>0</v>
      </c>
      <c r="AB30" s="191">
        <v>0</v>
      </c>
      <c r="AC30" s="191">
        <v>333935853.41000003</v>
      </c>
      <c r="AD30" s="191">
        <v>199930237.41</v>
      </c>
      <c r="AE30" s="191">
        <v>138755646.87</v>
      </c>
      <c r="AF30" s="191">
        <v>81719313.329999998</v>
      </c>
      <c r="AG30" s="191">
        <v>220530859</v>
      </c>
      <c r="AH30" s="191">
        <v>104141968</v>
      </c>
      <c r="AI30" s="191">
        <v>256870000</v>
      </c>
      <c r="AJ30" s="191">
        <v>256770517.59999999</v>
      </c>
      <c r="AK30" s="191">
        <v>0</v>
      </c>
    </row>
    <row r="31" spans="1:37" x14ac:dyDescent="0.25">
      <c r="A31" s="191" t="s">
        <v>247</v>
      </c>
      <c r="B31" s="191">
        <v>0</v>
      </c>
      <c r="C31" s="191">
        <v>0</v>
      </c>
      <c r="D31" s="191">
        <v>0</v>
      </c>
      <c r="E31" s="191">
        <v>0</v>
      </c>
      <c r="F31" s="191">
        <v>0</v>
      </c>
      <c r="G31" s="191">
        <v>0</v>
      </c>
      <c r="H31" s="191">
        <v>0</v>
      </c>
      <c r="I31" s="191">
        <v>0</v>
      </c>
      <c r="J31" s="191">
        <v>0</v>
      </c>
      <c r="K31" s="191">
        <v>0</v>
      </c>
      <c r="L31" s="191">
        <v>0</v>
      </c>
      <c r="M31" s="191">
        <v>0</v>
      </c>
      <c r="N31" s="191">
        <v>0</v>
      </c>
      <c r="O31" s="191">
        <v>0</v>
      </c>
      <c r="P31" s="191">
        <v>0</v>
      </c>
      <c r="Q31" s="191">
        <v>0</v>
      </c>
      <c r="R31" s="191">
        <v>0</v>
      </c>
      <c r="S31" s="191">
        <v>0</v>
      </c>
      <c r="T31" s="191">
        <v>0</v>
      </c>
      <c r="U31" s="191">
        <v>0</v>
      </c>
      <c r="V31" s="191">
        <v>0</v>
      </c>
      <c r="W31" s="191">
        <v>0</v>
      </c>
      <c r="X31" s="191">
        <v>0</v>
      </c>
      <c r="Y31" s="191">
        <v>0</v>
      </c>
      <c r="Z31" s="191">
        <v>0</v>
      </c>
      <c r="AA31" s="191">
        <v>0</v>
      </c>
      <c r="AB31" s="191">
        <v>0</v>
      </c>
      <c r="AC31" s="191">
        <v>0</v>
      </c>
      <c r="AD31" s="191">
        <v>0</v>
      </c>
      <c r="AE31" s="191">
        <v>0</v>
      </c>
      <c r="AF31" s="191">
        <v>0</v>
      </c>
      <c r="AG31" s="191">
        <v>0</v>
      </c>
      <c r="AH31" s="191">
        <v>0</v>
      </c>
      <c r="AI31" s="191">
        <v>0</v>
      </c>
      <c r="AJ31" s="191">
        <v>0</v>
      </c>
      <c r="AK31" s="191">
        <v>0</v>
      </c>
    </row>
    <row r="32" spans="1:37" x14ac:dyDescent="0.25">
      <c r="A32" s="191" t="s">
        <v>248</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320800</v>
      </c>
      <c r="AE32" s="191">
        <v>0</v>
      </c>
      <c r="AF32" s="191">
        <v>0</v>
      </c>
      <c r="AG32" s="191">
        <v>0</v>
      </c>
      <c r="AH32" s="191">
        <v>0</v>
      </c>
      <c r="AI32" s="191">
        <v>0</v>
      </c>
      <c r="AJ32" s="191">
        <v>0</v>
      </c>
      <c r="AK32" s="191">
        <v>0</v>
      </c>
    </row>
    <row r="33" spans="1:37" x14ac:dyDescent="0.25">
      <c r="A33" s="191" t="s">
        <v>249</v>
      </c>
      <c r="B33" s="191">
        <v>161600004</v>
      </c>
      <c r="C33" s="191">
        <v>161600004</v>
      </c>
      <c r="D33" s="191">
        <v>0</v>
      </c>
      <c r="E33" s="191">
        <v>0</v>
      </c>
      <c r="F33" s="191">
        <v>0</v>
      </c>
      <c r="G33" s="191">
        <v>0</v>
      </c>
      <c r="H33" s="191">
        <v>0</v>
      </c>
      <c r="I33" s="191">
        <v>1893968279.1600001</v>
      </c>
      <c r="J33" s="191">
        <v>1891671302.1199999</v>
      </c>
      <c r="K33" s="191">
        <v>778075600</v>
      </c>
      <c r="L33" s="191">
        <v>714938800</v>
      </c>
      <c r="M33" s="191">
        <v>1010229100</v>
      </c>
      <c r="N33" s="191">
        <v>1010229100</v>
      </c>
      <c r="O33" s="191">
        <v>1010229100</v>
      </c>
      <c r="P33" s="191">
        <v>1010229100</v>
      </c>
      <c r="Q33" s="191">
        <v>41820000</v>
      </c>
      <c r="R33" s="191">
        <v>34420000</v>
      </c>
      <c r="S33" s="191">
        <v>28420000</v>
      </c>
      <c r="T33" s="191">
        <v>12420000</v>
      </c>
      <c r="U33" s="191">
        <v>87357080</v>
      </c>
      <c r="V33" s="191">
        <v>68832500</v>
      </c>
      <c r="W33" s="191">
        <v>63832500</v>
      </c>
      <c r="X33" s="191">
        <v>50196000</v>
      </c>
      <c r="Y33" s="191">
        <v>88437836</v>
      </c>
      <c r="Z33" s="191">
        <v>0</v>
      </c>
      <c r="AA33" s="191">
        <v>0</v>
      </c>
      <c r="AB33" s="191">
        <v>0</v>
      </c>
      <c r="AC33" s="191">
        <v>1149105853.4100001</v>
      </c>
      <c r="AD33" s="191">
        <v>200251037.41</v>
      </c>
      <c r="AE33" s="191">
        <v>138755646.87</v>
      </c>
      <c r="AF33" s="191">
        <v>81719313.329999998</v>
      </c>
      <c r="AG33" s="191">
        <v>220530859</v>
      </c>
      <c r="AH33" s="191">
        <v>104141968</v>
      </c>
      <c r="AI33" s="191">
        <v>256870000</v>
      </c>
      <c r="AJ33" s="191">
        <v>256770517.59999999</v>
      </c>
      <c r="AK33" s="191">
        <v>0</v>
      </c>
    </row>
    <row r="34" spans="1:37" x14ac:dyDescent="0.25">
      <c r="A34" s="191" t="s">
        <v>250</v>
      </c>
      <c r="B34" s="191">
        <v>1587899.24</v>
      </c>
      <c r="C34" s="191">
        <v>995962.21</v>
      </c>
      <c r="D34" s="191">
        <v>391254.89</v>
      </c>
      <c r="E34" s="191">
        <v>1153135.1000000001</v>
      </c>
      <c r="F34" s="191">
        <v>1788802.08</v>
      </c>
      <c r="G34" s="191">
        <v>1184532.03</v>
      </c>
      <c r="H34" s="191">
        <v>570558.6</v>
      </c>
      <c r="I34" s="191">
        <v>891343215.74000001</v>
      </c>
      <c r="J34" s="191">
        <v>423927036.30000001</v>
      </c>
      <c r="K34" s="191">
        <v>701674</v>
      </c>
      <c r="L34" s="191">
        <v>0</v>
      </c>
      <c r="M34" s="191">
        <v>22400000</v>
      </c>
      <c r="N34" s="191">
        <v>22400000</v>
      </c>
      <c r="O34" s="191">
        <v>22400000</v>
      </c>
      <c r="P34" s="191">
        <v>16000000</v>
      </c>
      <c r="Q34" s="191">
        <v>36983544</v>
      </c>
      <c r="R34" s="191">
        <v>31076160</v>
      </c>
      <c r="S34" s="191">
        <v>25076160</v>
      </c>
      <c r="T34" s="191">
        <v>6000000</v>
      </c>
      <c r="U34" s="191">
        <v>154078426.22999999</v>
      </c>
      <c r="V34" s="191">
        <v>144078426.22999999</v>
      </c>
      <c r="W34" s="191">
        <v>137928726.22999999</v>
      </c>
      <c r="X34" s="191">
        <v>38018328</v>
      </c>
      <c r="Y34" s="191">
        <v>253388464</v>
      </c>
      <c r="Z34" s="191">
        <v>253388464</v>
      </c>
      <c r="AA34" s="191">
        <v>253388464</v>
      </c>
      <c r="AB34" s="191">
        <v>217038464</v>
      </c>
      <c r="AC34" s="191">
        <v>316354604.79000002</v>
      </c>
      <c r="AD34" s="191">
        <v>249964604.78999999</v>
      </c>
      <c r="AE34" s="191">
        <v>132196434.7</v>
      </c>
      <c r="AF34" s="191">
        <v>68706483.799999997</v>
      </c>
      <c r="AG34" s="191">
        <v>227411447.61000001</v>
      </c>
      <c r="AH34" s="191">
        <v>154010250.13</v>
      </c>
      <c r="AI34" s="191">
        <v>210000000</v>
      </c>
      <c r="AJ34" s="191">
        <v>186700517.59999999</v>
      </c>
      <c r="AK34" s="191">
        <v>0</v>
      </c>
    </row>
    <row r="35" spans="1:37" x14ac:dyDescent="0.25">
      <c r="A35" s="191" t="s">
        <v>552</v>
      </c>
      <c r="B35" s="191">
        <v>139255681.34999999</v>
      </c>
      <c r="C35" s="191">
        <v>139252065.52000001</v>
      </c>
      <c r="D35" s="191">
        <v>152990.75</v>
      </c>
      <c r="E35" s="191">
        <v>128860877.98</v>
      </c>
      <c r="F35" s="191">
        <v>127278650.09999999</v>
      </c>
      <c r="G35" s="191">
        <v>128182234.73</v>
      </c>
      <c r="H35" s="191">
        <v>211993.45</v>
      </c>
      <c r="I35" s="191">
        <v>131009363.17</v>
      </c>
      <c r="J35" s="191">
        <v>129627148.7</v>
      </c>
      <c r="K35" s="191">
        <v>120608760.58</v>
      </c>
      <c r="L35" s="191">
        <v>10933428.57</v>
      </c>
      <c r="M35" s="191">
        <v>61500538.759999998</v>
      </c>
      <c r="N35" s="191">
        <v>61500538.759999998</v>
      </c>
      <c r="O35" s="191">
        <v>61500538.759999998</v>
      </c>
      <c r="P35" s="191">
        <v>234333.32</v>
      </c>
      <c r="Q35" s="191">
        <v>51001114.409999996</v>
      </c>
      <c r="R35" s="191">
        <v>50527513.039999999</v>
      </c>
      <c r="S35" s="191">
        <v>50169309.310000002</v>
      </c>
      <c r="T35" s="191">
        <v>176825.59</v>
      </c>
      <c r="U35" s="191">
        <v>43043014.240000002</v>
      </c>
      <c r="V35" s="191">
        <v>42885879.799999997</v>
      </c>
      <c r="W35" s="191">
        <v>42679373.490000002</v>
      </c>
      <c r="X35" s="191">
        <v>371366.31</v>
      </c>
      <c r="Y35" s="191">
        <v>71819594.109999999</v>
      </c>
      <c r="Z35" s="191">
        <v>71819594.109999999</v>
      </c>
      <c r="AA35" s="191">
        <v>71819594.109999999</v>
      </c>
      <c r="AB35" s="191">
        <v>2529330.36</v>
      </c>
      <c r="AC35" s="191">
        <v>51964353.670000002</v>
      </c>
      <c r="AD35" s="191">
        <v>48425377.539999999</v>
      </c>
      <c r="AE35" s="191">
        <v>44452481.969999999</v>
      </c>
      <c r="AF35" s="191">
        <v>1705284.62</v>
      </c>
      <c r="AG35" s="191">
        <v>68961299.260000005</v>
      </c>
      <c r="AH35" s="191">
        <v>77101494.010000005</v>
      </c>
      <c r="AI35" s="191">
        <v>49426205.950000003</v>
      </c>
      <c r="AJ35" s="191">
        <v>59097105.920000002</v>
      </c>
      <c r="AK35" s="191">
        <v>0</v>
      </c>
    </row>
    <row r="36" spans="1:37" x14ac:dyDescent="0.25">
      <c r="A36" s="191" t="s">
        <v>251</v>
      </c>
      <c r="B36" s="191">
        <v>0</v>
      </c>
      <c r="C36" s="191">
        <v>0</v>
      </c>
      <c r="D36" s="191">
        <v>0</v>
      </c>
      <c r="E36" s="191">
        <v>0</v>
      </c>
      <c r="F36" s="191">
        <v>0</v>
      </c>
      <c r="G36" s="191">
        <v>0</v>
      </c>
      <c r="H36" s="191">
        <v>0</v>
      </c>
      <c r="I36" s="191">
        <v>0</v>
      </c>
      <c r="J36" s="191">
        <v>0</v>
      </c>
      <c r="K36" s="191">
        <v>0</v>
      </c>
      <c r="L36" s="191">
        <v>0</v>
      </c>
      <c r="M36" s="191">
        <v>0</v>
      </c>
      <c r="N36" s="191">
        <v>0</v>
      </c>
      <c r="O36" s="191">
        <v>0</v>
      </c>
      <c r="P36" s="191">
        <v>0</v>
      </c>
      <c r="Q36" s="191">
        <v>0</v>
      </c>
      <c r="R36" s="191">
        <v>0</v>
      </c>
      <c r="S36" s="191">
        <v>0</v>
      </c>
      <c r="T36" s="191">
        <v>0</v>
      </c>
      <c r="U36" s="191">
        <v>0</v>
      </c>
      <c r="V36" s="191">
        <v>0</v>
      </c>
      <c r="W36" s="191">
        <v>0</v>
      </c>
      <c r="X36" s="191">
        <v>0</v>
      </c>
      <c r="Y36" s="191">
        <v>0</v>
      </c>
      <c r="Z36" s="191">
        <v>0</v>
      </c>
      <c r="AA36" s="191">
        <v>0</v>
      </c>
      <c r="AB36" s="191">
        <v>0</v>
      </c>
      <c r="AC36" s="191">
        <v>0</v>
      </c>
      <c r="AD36" s="191">
        <v>0</v>
      </c>
      <c r="AE36" s="191">
        <v>0</v>
      </c>
      <c r="AF36" s="191">
        <v>0</v>
      </c>
      <c r="AG36" s="191">
        <v>0</v>
      </c>
      <c r="AH36" s="191">
        <v>0</v>
      </c>
      <c r="AI36" s="191">
        <v>0</v>
      </c>
      <c r="AJ36" s="191">
        <v>0</v>
      </c>
      <c r="AK36" s="191">
        <v>0</v>
      </c>
    </row>
    <row r="37" spans="1:37" x14ac:dyDescent="0.25">
      <c r="A37" s="191" t="s">
        <v>252</v>
      </c>
      <c r="B37" s="191">
        <v>0</v>
      </c>
      <c r="C37" s="191">
        <v>0</v>
      </c>
      <c r="D37" s="191">
        <v>0</v>
      </c>
      <c r="E37" s="191">
        <v>0</v>
      </c>
      <c r="F37" s="191">
        <v>0</v>
      </c>
      <c r="G37" s="191">
        <v>0</v>
      </c>
      <c r="H37" s="191">
        <v>0</v>
      </c>
      <c r="I37" s="191">
        <v>1507782.04</v>
      </c>
      <c r="J37" s="191">
        <v>1507782.04</v>
      </c>
      <c r="K37" s="191">
        <v>0</v>
      </c>
      <c r="L37" s="191">
        <v>0</v>
      </c>
      <c r="M37" s="191">
        <v>800000</v>
      </c>
      <c r="N37" s="191">
        <v>800000</v>
      </c>
      <c r="O37" s="191">
        <v>800000</v>
      </c>
      <c r="P37" s="191">
        <v>600000</v>
      </c>
      <c r="Q37" s="191">
        <v>0</v>
      </c>
      <c r="R37" s="191">
        <v>0</v>
      </c>
      <c r="S37" s="191">
        <v>0</v>
      </c>
      <c r="T37" s="191">
        <v>0</v>
      </c>
      <c r="U37" s="191">
        <v>0</v>
      </c>
      <c r="V37" s="191">
        <v>0</v>
      </c>
      <c r="W37" s="191">
        <v>0</v>
      </c>
      <c r="X37" s="191">
        <v>0</v>
      </c>
      <c r="Y37" s="191">
        <v>2319887.91</v>
      </c>
      <c r="Z37" s="191">
        <v>2319887.91</v>
      </c>
      <c r="AA37" s="191">
        <v>2319887.91</v>
      </c>
      <c r="AB37" s="191">
        <v>2319887.91</v>
      </c>
      <c r="AC37" s="191">
        <v>8926854.5299999993</v>
      </c>
      <c r="AD37" s="191">
        <v>407170.92</v>
      </c>
      <c r="AE37" s="191">
        <v>337763.91</v>
      </c>
      <c r="AF37" s="191">
        <v>158582.09</v>
      </c>
      <c r="AG37" s="191">
        <v>12658033.369999999</v>
      </c>
      <c r="AH37" s="191">
        <v>0</v>
      </c>
      <c r="AI37" s="191">
        <v>0</v>
      </c>
      <c r="AJ37" s="191">
        <v>0</v>
      </c>
      <c r="AK37" s="191">
        <v>0</v>
      </c>
    </row>
    <row r="38" spans="1:37" x14ac:dyDescent="0.25">
      <c r="A38" s="191" t="s">
        <v>253</v>
      </c>
      <c r="B38" s="191">
        <v>140843580.59</v>
      </c>
      <c r="C38" s="191">
        <v>140248027.72999999</v>
      </c>
      <c r="D38" s="191">
        <v>544245.64</v>
      </c>
      <c r="E38" s="191">
        <v>130014013.08</v>
      </c>
      <c r="F38" s="191">
        <v>129067452.18000001</v>
      </c>
      <c r="G38" s="191">
        <v>129366766.76000001</v>
      </c>
      <c r="H38" s="191">
        <v>782552.05</v>
      </c>
      <c r="I38" s="191">
        <v>1023860360.95</v>
      </c>
      <c r="J38" s="191">
        <v>555061967.03999996</v>
      </c>
      <c r="K38" s="191">
        <v>121310434.58</v>
      </c>
      <c r="L38" s="191">
        <v>10933428.57</v>
      </c>
      <c r="M38" s="191">
        <v>84700538.760000005</v>
      </c>
      <c r="N38" s="191">
        <v>84700538.760000005</v>
      </c>
      <c r="O38" s="191">
        <v>84700538.760000005</v>
      </c>
      <c r="P38" s="191">
        <v>16834333.32</v>
      </c>
      <c r="Q38" s="191">
        <v>87984658.409999996</v>
      </c>
      <c r="R38" s="191">
        <v>81603673.040000007</v>
      </c>
      <c r="S38" s="191">
        <v>75245469.310000002</v>
      </c>
      <c r="T38" s="191">
        <v>6176825.5899999999</v>
      </c>
      <c r="U38" s="191">
        <v>197121440.47</v>
      </c>
      <c r="V38" s="191">
        <v>186964306.03</v>
      </c>
      <c r="W38" s="191">
        <v>180608099.72</v>
      </c>
      <c r="X38" s="191">
        <v>38389694.310000002</v>
      </c>
      <c r="Y38" s="191">
        <v>327527946.01999998</v>
      </c>
      <c r="Z38" s="191">
        <v>327527946.01999998</v>
      </c>
      <c r="AA38" s="191">
        <v>327527946.01999998</v>
      </c>
      <c r="AB38" s="191">
        <v>221887682.27000001</v>
      </c>
      <c r="AC38" s="191">
        <v>377245812.99000001</v>
      </c>
      <c r="AD38" s="191">
        <v>298797153.25</v>
      </c>
      <c r="AE38" s="191">
        <v>176986680.58000001</v>
      </c>
      <c r="AF38" s="191">
        <v>70570350.510000005</v>
      </c>
      <c r="AG38" s="191">
        <v>309030780.24000001</v>
      </c>
      <c r="AH38" s="191">
        <v>231111744.13999999</v>
      </c>
      <c r="AI38" s="191">
        <v>259426205.94999999</v>
      </c>
      <c r="AJ38" s="191">
        <v>245797623.52000001</v>
      </c>
      <c r="AK38" s="191">
        <v>0</v>
      </c>
    </row>
    <row r="39" spans="1:37" x14ac:dyDescent="0.25">
      <c r="A39" s="191" t="s">
        <v>254</v>
      </c>
      <c r="B39" s="191">
        <v>20756423.41</v>
      </c>
      <c r="C39" s="191">
        <v>21351976.27</v>
      </c>
      <c r="D39" s="191">
        <v>-544245.64</v>
      </c>
      <c r="E39" s="191">
        <v>-130014013.08</v>
      </c>
      <c r="F39" s="191">
        <v>-129067452.18000001</v>
      </c>
      <c r="G39" s="191">
        <v>-129366766.76000001</v>
      </c>
      <c r="H39" s="191">
        <v>-782552.05</v>
      </c>
      <c r="I39" s="191">
        <v>870107918.21000004</v>
      </c>
      <c r="J39" s="191">
        <v>1336609335.0799999</v>
      </c>
      <c r="K39" s="191">
        <v>656765165.41999996</v>
      </c>
      <c r="L39" s="191">
        <v>704005371.42999995</v>
      </c>
      <c r="M39" s="191">
        <v>925528561.24000001</v>
      </c>
      <c r="N39" s="191">
        <v>925528561.24000001</v>
      </c>
      <c r="O39" s="191">
        <v>925528561.24000001</v>
      </c>
      <c r="P39" s="191">
        <v>993394766.67999995</v>
      </c>
      <c r="Q39" s="191">
        <v>-46164658.409999996</v>
      </c>
      <c r="R39" s="191">
        <v>-47183673.039999999</v>
      </c>
      <c r="S39" s="191">
        <v>-46825469.310000002</v>
      </c>
      <c r="T39" s="191">
        <v>6243174.4100000001</v>
      </c>
      <c r="U39" s="191">
        <v>-109764360.47</v>
      </c>
      <c r="V39" s="191">
        <v>-118131806.03</v>
      </c>
      <c r="W39" s="191">
        <v>-116775599.72</v>
      </c>
      <c r="X39" s="191">
        <v>11806305.689999999</v>
      </c>
      <c r="Y39" s="191">
        <v>-239090110.02000001</v>
      </c>
      <c r="Z39" s="191">
        <v>-327527946.01999998</v>
      </c>
      <c r="AA39" s="191">
        <v>-327527946.01999998</v>
      </c>
      <c r="AB39" s="191">
        <v>-221887682.27000001</v>
      </c>
      <c r="AC39" s="191">
        <v>771860040.41999996</v>
      </c>
      <c r="AD39" s="191">
        <v>-98546115.840000004</v>
      </c>
      <c r="AE39" s="191">
        <v>-38231033.710000001</v>
      </c>
      <c r="AF39" s="191">
        <v>11148962.82</v>
      </c>
      <c r="AG39" s="191">
        <v>-88499921.239999995</v>
      </c>
      <c r="AH39" s="191">
        <v>-126969776.14</v>
      </c>
      <c r="AI39" s="191">
        <v>-2556205.9500000002</v>
      </c>
      <c r="AJ39" s="191">
        <v>10972894.08</v>
      </c>
      <c r="AK39" s="191">
        <v>0</v>
      </c>
    </row>
    <row r="40" spans="1:37" x14ac:dyDescent="0.25">
      <c r="A40" s="191" t="s">
        <v>255</v>
      </c>
      <c r="B40" s="191">
        <v>29330813.629999999</v>
      </c>
      <c r="C40" s="191">
        <v>12092184.609999999</v>
      </c>
      <c r="D40" s="191">
        <v>-11567890.369999999</v>
      </c>
      <c r="E40" s="191">
        <v>-10597132.619999999</v>
      </c>
      <c r="F40" s="191">
        <v>-7399732.8499999996</v>
      </c>
      <c r="G40" s="191">
        <v>-3696491.62</v>
      </c>
      <c r="H40" s="191">
        <v>-672242.67</v>
      </c>
      <c r="I40" s="191">
        <v>-29336375.050000001</v>
      </c>
      <c r="J40" s="191">
        <v>-11474080.949999999</v>
      </c>
      <c r="K40" s="191">
        <v>-4529793.42</v>
      </c>
      <c r="L40" s="191">
        <v>495921.11</v>
      </c>
      <c r="M40" s="191">
        <v>22149777.359999999</v>
      </c>
      <c r="N40" s="191">
        <v>6220041.7599999998</v>
      </c>
      <c r="O40" s="191">
        <v>6159463.7599999998</v>
      </c>
      <c r="P40" s="191">
        <v>201634.71</v>
      </c>
      <c r="Q40" s="191">
        <v>3193390.51</v>
      </c>
      <c r="R40" s="191">
        <v>1445815.77</v>
      </c>
      <c r="S40" s="191">
        <v>1346849.31</v>
      </c>
      <c r="T40" s="191">
        <v>218.23</v>
      </c>
      <c r="U40" s="191">
        <v>-6513064.46</v>
      </c>
      <c r="V40" s="191">
        <v>-4495833.12</v>
      </c>
      <c r="W40" s="191">
        <v>-3295471.39</v>
      </c>
      <c r="X40" s="191">
        <v>-50800.2</v>
      </c>
      <c r="Y40" s="191">
        <v>-2609212.09</v>
      </c>
      <c r="Z40" s="191">
        <v>959164.15</v>
      </c>
      <c r="AA40" s="191">
        <v>959164.15</v>
      </c>
      <c r="AB40" s="191">
        <v>0</v>
      </c>
      <c r="AC40" s="191">
        <v>-2228635.19</v>
      </c>
      <c r="AD40" s="191">
        <v>-2169278.58</v>
      </c>
      <c r="AE40" s="191">
        <v>-1358869.98</v>
      </c>
      <c r="AF40" s="191">
        <v>-400344.82</v>
      </c>
      <c r="AG40" s="191">
        <v>-2926983.43</v>
      </c>
      <c r="AH40" s="191">
        <v>-448911.57</v>
      </c>
      <c r="AI40" s="191">
        <v>-439945.58</v>
      </c>
      <c r="AJ40" s="191">
        <v>-1856558.51</v>
      </c>
      <c r="AK40" s="191">
        <v>0</v>
      </c>
    </row>
    <row r="41" spans="1:37" x14ac:dyDescent="0.25">
      <c r="A41" s="191" t="s">
        <v>256</v>
      </c>
      <c r="B41" s="191">
        <v>284341145.72000003</v>
      </c>
      <c r="C41" s="191">
        <v>134463734.83000001</v>
      </c>
      <c r="D41" s="191">
        <v>332331359.99000001</v>
      </c>
      <c r="E41" s="191">
        <v>133625697.38</v>
      </c>
      <c r="F41" s="191">
        <v>153244528.22</v>
      </c>
      <c r="G41" s="191">
        <v>147052867.91999999</v>
      </c>
      <c r="H41" s="191">
        <v>254753879.53999999</v>
      </c>
      <c r="I41" s="191">
        <v>-175438889.31</v>
      </c>
      <c r="J41" s="191">
        <v>372804136.68000001</v>
      </c>
      <c r="K41" s="191">
        <v>-280316592.81</v>
      </c>
      <c r="L41" s="191">
        <v>-20314845.559999999</v>
      </c>
      <c r="M41" s="191">
        <v>434591555.26999998</v>
      </c>
      <c r="N41" s="191">
        <v>456270575.60000002</v>
      </c>
      <c r="O41" s="191">
        <v>406941518.69</v>
      </c>
      <c r="P41" s="191">
        <v>1020864723.77</v>
      </c>
      <c r="Q41" s="191">
        <v>-87350027.549999997</v>
      </c>
      <c r="R41" s="191">
        <v>-45166254.359999999</v>
      </c>
      <c r="S41" s="191">
        <v>-73194978.379999995</v>
      </c>
      <c r="T41" s="191">
        <v>-11621998.99</v>
      </c>
      <c r="U41" s="191">
        <v>-107447038.78</v>
      </c>
      <c r="V41" s="191">
        <v>-122343765.16</v>
      </c>
      <c r="W41" s="191">
        <v>-133705147.98999999</v>
      </c>
      <c r="X41" s="191">
        <v>-9958592.1999999993</v>
      </c>
      <c r="Y41" s="191">
        <v>-418268250.82999998</v>
      </c>
      <c r="Z41" s="191">
        <v>-433735103.76999998</v>
      </c>
      <c r="AA41" s="191">
        <v>-384720613.88</v>
      </c>
      <c r="AB41" s="191">
        <v>-247965642.97</v>
      </c>
      <c r="AC41" s="191">
        <v>797871416.80999994</v>
      </c>
      <c r="AD41" s="191">
        <v>-20070331.789999999</v>
      </c>
      <c r="AE41" s="191">
        <v>-5553357</v>
      </c>
      <c r="AF41" s="191">
        <v>-3912507.95</v>
      </c>
      <c r="AG41" s="191">
        <v>-49943691.109999999</v>
      </c>
      <c r="AH41" s="191">
        <v>-66585171.829999998</v>
      </c>
      <c r="AI41" s="191">
        <v>54253970.329999998</v>
      </c>
      <c r="AJ41" s="191">
        <v>38442048.439999998</v>
      </c>
      <c r="AK41" s="191">
        <v>0</v>
      </c>
    </row>
    <row r="42" spans="1:37" x14ac:dyDescent="0.25">
      <c r="A42" s="191" t="s">
        <v>257</v>
      </c>
      <c r="B42" s="191">
        <v>627279567.75999999</v>
      </c>
      <c r="C42" s="191">
        <v>627279567.75999999</v>
      </c>
      <c r="D42" s="191">
        <v>627279567.75999999</v>
      </c>
      <c r="E42" s="191">
        <v>493653870.38</v>
      </c>
      <c r="F42" s="191">
        <v>493653870.38</v>
      </c>
      <c r="G42" s="191">
        <v>493653870.38</v>
      </c>
      <c r="H42" s="191">
        <v>493653870.38</v>
      </c>
      <c r="I42" s="191">
        <v>669092759.69000006</v>
      </c>
      <c r="J42" s="191">
        <v>669092759.69000006</v>
      </c>
      <c r="K42" s="191">
        <v>669092759.69000006</v>
      </c>
      <c r="L42" s="191">
        <v>696067859.69000006</v>
      </c>
      <c r="M42" s="191">
        <v>234501204.41999999</v>
      </c>
      <c r="N42" s="191">
        <v>234501204.41999999</v>
      </c>
      <c r="O42" s="191">
        <v>234501204.41999999</v>
      </c>
      <c r="P42" s="191">
        <v>234501204.41999999</v>
      </c>
      <c r="Q42" s="191">
        <v>321851231.97000003</v>
      </c>
      <c r="R42" s="191">
        <v>321851231.97000003</v>
      </c>
      <c r="S42" s="191">
        <v>321851231.97000003</v>
      </c>
      <c r="T42" s="191">
        <v>321851231.97000003</v>
      </c>
      <c r="U42" s="191">
        <v>429298270.75</v>
      </c>
      <c r="V42" s="191">
        <v>429298270.75</v>
      </c>
      <c r="W42" s="191">
        <v>429298270.75</v>
      </c>
      <c r="X42" s="191">
        <v>429298270.75</v>
      </c>
      <c r="Y42" s="191">
        <v>847566521.58000004</v>
      </c>
      <c r="Z42" s="191">
        <v>847566521.58000004</v>
      </c>
      <c r="AA42" s="191">
        <v>847566521.58000004</v>
      </c>
      <c r="AB42" s="191">
        <v>847566521.58000004</v>
      </c>
      <c r="AC42" s="191">
        <v>49695104.770000003</v>
      </c>
      <c r="AD42" s="191">
        <v>49695104.770000003</v>
      </c>
      <c r="AE42" s="191">
        <v>49695104.770000003</v>
      </c>
      <c r="AF42" s="191">
        <v>49695104.770000003</v>
      </c>
      <c r="AG42" s="191">
        <v>99638795.879999995</v>
      </c>
      <c r="AH42" s="191">
        <v>99638795.879999995</v>
      </c>
      <c r="AI42" s="191">
        <v>45384825.549999997</v>
      </c>
      <c r="AJ42" s="191">
        <v>6942777.1100000003</v>
      </c>
      <c r="AK42" s="191">
        <v>0</v>
      </c>
    </row>
    <row r="43" spans="1:37" x14ac:dyDescent="0.25">
      <c r="A43" s="191" t="s">
        <v>258</v>
      </c>
      <c r="B43" s="191">
        <v>911620713.48000002</v>
      </c>
      <c r="C43" s="191">
        <v>761743302.59000003</v>
      </c>
      <c r="D43" s="191">
        <v>959610927.75</v>
      </c>
      <c r="E43" s="191">
        <v>627279567.75999999</v>
      </c>
      <c r="F43" s="191">
        <v>646898398.60000002</v>
      </c>
      <c r="G43" s="191">
        <v>640706738.29999995</v>
      </c>
      <c r="H43" s="191">
        <v>748407749.91999996</v>
      </c>
      <c r="I43" s="191">
        <v>493653870.38</v>
      </c>
      <c r="J43" s="191">
        <v>1041896896.37</v>
      </c>
      <c r="K43" s="191">
        <v>388776166.88</v>
      </c>
      <c r="L43" s="191">
        <v>675753014.13</v>
      </c>
      <c r="M43" s="191">
        <v>669092759.69000006</v>
      </c>
      <c r="N43" s="191">
        <v>690771780.01999998</v>
      </c>
      <c r="O43" s="191">
        <v>641442723.11000001</v>
      </c>
      <c r="P43" s="191">
        <v>1255365928.1900001</v>
      </c>
      <c r="Q43" s="191">
        <v>234501204.41999999</v>
      </c>
      <c r="R43" s="191">
        <v>276684977.61000001</v>
      </c>
      <c r="S43" s="191">
        <v>248656253.59</v>
      </c>
      <c r="T43" s="191">
        <v>310229232.98000002</v>
      </c>
      <c r="U43" s="191">
        <v>321851231.97000003</v>
      </c>
      <c r="V43" s="191">
        <v>306954505.58999997</v>
      </c>
      <c r="W43" s="191">
        <v>295593122.75999999</v>
      </c>
      <c r="X43" s="191">
        <v>419339678.55000001</v>
      </c>
      <c r="Y43" s="191">
        <v>429298270.75</v>
      </c>
      <c r="Z43" s="191">
        <v>413831417.81</v>
      </c>
      <c r="AA43" s="191">
        <v>462845907.69999999</v>
      </c>
      <c r="AB43" s="191">
        <v>599600878.61000001</v>
      </c>
      <c r="AC43" s="191">
        <v>847566521.58000004</v>
      </c>
      <c r="AD43" s="191">
        <v>29624772.98</v>
      </c>
      <c r="AE43" s="191">
        <v>44141747.770000003</v>
      </c>
      <c r="AF43" s="191">
        <v>45782596.82</v>
      </c>
      <c r="AG43" s="191">
        <v>49695104.770000003</v>
      </c>
      <c r="AH43" s="191">
        <v>33053624.050000001</v>
      </c>
      <c r="AI43" s="191">
        <v>99638795.879999995</v>
      </c>
      <c r="AJ43" s="191">
        <v>45384825.549999997</v>
      </c>
      <c r="AK43" s="191">
        <v>0</v>
      </c>
    </row>
    <row r="44" spans="1:37" x14ac:dyDescent="0.25">
      <c r="A44" s="191" t="s">
        <v>259</v>
      </c>
    </row>
    <row r="45" spans="1:37" x14ac:dyDescent="0.25">
      <c r="A45" s="191" t="s">
        <v>260</v>
      </c>
      <c r="B45" s="191">
        <v>0</v>
      </c>
      <c r="C45" s="191">
        <v>192757971.22999999</v>
      </c>
      <c r="D45" s="191">
        <v>0</v>
      </c>
      <c r="E45" s="191">
        <v>385321174.64999998</v>
      </c>
      <c r="F45" s="191">
        <v>0</v>
      </c>
      <c r="G45" s="191">
        <v>213688818.66</v>
      </c>
      <c r="H45" s="191">
        <v>0</v>
      </c>
      <c r="I45" s="191">
        <v>318696047.07999998</v>
      </c>
      <c r="J45" s="191">
        <v>0</v>
      </c>
      <c r="K45" s="191">
        <v>185281094.47</v>
      </c>
      <c r="L45" s="191">
        <v>0</v>
      </c>
      <c r="M45" s="191">
        <v>257920619.5</v>
      </c>
      <c r="N45" s="191">
        <v>0</v>
      </c>
      <c r="O45" s="191">
        <v>70088189.920000002</v>
      </c>
      <c r="P45" s="191">
        <v>0</v>
      </c>
      <c r="Q45" s="191">
        <v>96858879.390000001</v>
      </c>
      <c r="R45" s="191">
        <v>0</v>
      </c>
      <c r="S45" s="191">
        <v>36513669.350000001</v>
      </c>
      <c r="T45" s="191">
        <v>0</v>
      </c>
      <c r="U45" s="191">
        <v>123537328.15000001</v>
      </c>
      <c r="V45" s="191">
        <v>0</v>
      </c>
      <c r="W45" s="191">
        <v>62583672.939999998</v>
      </c>
      <c r="X45" s="191">
        <v>0</v>
      </c>
      <c r="Y45" s="191">
        <v>109249088.89</v>
      </c>
      <c r="Z45" s="191">
        <v>0</v>
      </c>
      <c r="AA45" s="191">
        <v>69439554.349999994</v>
      </c>
      <c r="AB45" s="191">
        <v>0</v>
      </c>
      <c r="AC45" s="191">
        <v>120241105.22</v>
      </c>
      <c r="AD45" s="191">
        <v>0</v>
      </c>
      <c r="AE45" s="191">
        <v>77141986.969999999</v>
      </c>
      <c r="AF45" s="191">
        <v>0</v>
      </c>
      <c r="AG45" s="191">
        <v>99802365.340000004</v>
      </c>
      <c r="AH45" s="191">
        <v>0</v>
      </c>
      <c r="AI45" s="191">
        <v>63399330.539999999</v>
      </c>
      <c r="AJ45" s="191">
        <v>93624269.390000001</v>
      </c>
      <c r="AK45" s="191">
        <v>0</v>
      </c>
    </row>
    <row r="46" spans="1:37" x14ac:dyDescent="0.25">
      <c r="A46" s="191" t="s">
        <v>187</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c r="AJ46" s="191">
        <v>0</v>
      </c>
      <c r="AK46" s="191">
        <v>0</v>
      </c>
    </row>
    <row r="47" spans="1:37" x14ac:dyDescent="0.25">
      <c r="A47" s="191" t="s">
        <v>261</v>
      </c>
      <c r="B47" s="191">
        <v>0</v>
      </c>
      <c r="C47" s="191">
        <v>0</v>
      </c>
      <c r="D47" s="191">
        <v>0</v>
      </c>
      <c r="E47" s="191">
        <v>0</v>
      </c>
      <c r="F47" s="191">
        <v>0</v>
      </c>
      <c r="G47" s="191">
        <v>0</v>
      </c>
      <c r="H47" s="191">
        <v>0</v>
      </c>
      <c r="I47" s="191">
        <v>0</v>
      </c>
      <c r="J47" s="191">
        <v>0</v>
      </c>
      <c r="K47" s="191">
        <v>0</v>
      </c>
      <c r="L47" s="191">
        <v>0</v>
      </c>
      <c r="M47" s="191">
        <v>0</v>
      </c>
      <c r="N47" s="191">
        <v>0</v>
      </c>
      <c r="O47" s="191">
        <v>0</v>
      </c>
      <c r="P47" s="191">
        <v>0</v>
      </c>
      <c r="Q47" s="191">
        <v>0</v>
      </c>
      <c r="R47" s="191">
        <v>0</v>
      </c>
      <c r="S47" s="191">
        <v>0</v>
      </c>
      <c r="T47" s="191">
        <v>0</v>
      </c>
      <c r="U47" s="191">
        <v>0</v>
      </c>
      <c r="V47" s="191">
        <v>0</v>
      </c>
      <c r="W47" s="191">
        <v>0</v>
      </c>
      <c r="X47" s="191">
        <v>0</v>
      </c>
      <c r="Y47" s="191">
        <v>0</v>
      </c>
      <c r="Z47" s="191">
        <v>0</v>
      </c>
      <c r="AA47" s="191">
        <v>0</v>
      </c>
      <c r="AB47" s="191">
        <v>0</v>
      </c>
      <c r="AC47" s="191">
        <v>0</v>
      </c>
      <c r="AD47" s="191">
        <v>0</v>
      </c>
      <c r="AE47" s="191">
        <v>0</v>
      </c>
      <c r="AF47" s="191">
        <v>0</v>
      </c>
      <c r="AG47" s="191">
        <v>0</v>
      </c>
      <c r="AH47" s="191">
        <v>0</v>
      </c>
      <c r="AI47" s="191">
        <v>0</v>
      </c>
      <c r="AJ47" s="191">
        <v>0</v>
      </c>
      <c r="AK47" s="191">
        <v>0</v>
      </c>
    </row>
    <row r="48" spans="1:37" x14ac:dyDescent="0.25">
      <c r="A48" s="191" t="s">
        <v>262</v>
      </c>
      <c r="B48" s="191">
        <v>0</v>
      </c>
      <c r="C48" s="191">
        <v>8486941.0299999993</v>
      </c>
      <c r="D48" s="191">
        <v>0</v>
      </c>
      <c r="E48" s="191">
        <v>18676311.399999999</v>
      </c>
      <c r="F48" s="191">
        <v>0</v>
      </c>
      <c r="G48" s="191">
        <v>3804468.86</v>
      </c>
      <c r="H48" s="191">
        <v>0</v>
      </c>
      <c r="I48" s="191">
        <v>16123802.359999999</v>
      </c>
      <c r="J48" s="191">
        <v>0</v>
      </c>
      <c r="K48" s="191">
        <v>1581627.7</v>
      </c>
      <c r="L48" s="191">
        <v>0</v>
      </c>
      <c r="M48" s="191">
        <v>29378762.280000001</v>
      </c>
      <c r="N48" s="191">
        <v>0</v>
      </c>
      <c r="O48" s="191">
        <v>-4028430.7</v>
      </c>
      <c r="P48" s="191">
        <v>0</v>
      </c>
      <c r="Q48" s="191">
        <v>15117518.52</v>
      </c>
      <c r="R48" s="191">
        <v>0</v>
      </c>
      <c r="S48" s="191">
        <v>676735.04</v>
      </c>
      <c r="T48" s="191">
        <v>0</v>
      </c>
      <c r="U48" s="191">
        <v>5455016.3399999999</v>
      </c>
      <c r="V48" s="191">
        <v>0</v>
      </c>
      <c r="W48" s="191">
        <v>878118.94</v>
      </c>
      <c r="X48" s="191">
        <v>0</v>
      </c>
      <c r="Y48" s="191">
        <v>14104415.439999999</v>
      </c>
      <c r="Z48" s="191">
        <v>0</v>
      </c>
      <c r="AA48" s="191">
        <v>4612662.8600000003</v>
      </c>
      <c r="AB48" s="191">
        <v>0</v>
      </c>
      <c r="AC48" s="191">
        <v>16632824.51</v>
      </c>
      <c r="AD48" s="191">
        <v>0</v>
      </c>
      <c r="AE48" s="191">
        <v>9905317.9499999993</v>
      </c>
      <c r="AF48" s="191">
        <v>0</v>
      </c>
      <c r="AG48" s="191">
        <v>10951177.859999999</v>
      </c>
      <c r="AH48" s="191">
        <v>0</v>
      </c>
      <c r="AI48" s="191">
        <v>7466337.8700000001</v>
      </c>
      <c r="AJ48" s="191">
        <v>2619604.33</v>
      </c>
      <c r="AK48" s="191">
        <v>0</v>
      </c>
    </row>
    <row r="49" spans="1:37" x14ac:dyDescent="0.25">
      <c r="A49" s="191" t="s">
        <v>263</v>
      </c>
      <c r="B49" s="191">
        <v>0</v>
      </c>
      <c r="C49" s="191">
        <v>102766484.88</v>
      </c>
      <c r="D49" s="191">
        <v>0</v>
      </c>
      <c r="E49" s="191">
        <v>173230418.30000001</v>
      </c>
      <c r="F49" s="191">
        <v>0</v>
      </c>
      <c r="G49" s="191">
        <v>79854733.640000001</v>
      </c>
      <c r="H49" s="191">
        <v>0</v>
      </c>
      <c r="I49" s="191">
        <v>150031056.47999999</v>
      </c>
      <c r="J49" s="191">
        <v>0</v>
      </c>
      <c r="K49" s="191">
        <v>67914415.5</v>
      </c>
      <c r="L49" s="191">
        <v>0</v>
      </c>
      <c r="M49" s="191">
        <v>96675925.170000002</v>
      </c>
      <c r="N49" s="191">
        <v>0</v>
      </c>
      <c r="O49" s="191">
        <v>44409696.719999999</v>
      </c>
      <c r="P49" s="191">
        <v>0</v>
      </c>
      <c r="Q49" s="191">
        <v>76072722.219999999</v>
      </c>
      <c r="R49" s="191">
        <v>0</v>
      </c>
      <c r="S49" s="191">
        <v>36401626.950000003</v>
      </c>
      <c r="T49" s="191">
        <v>0</v>
      </c>
      <c r="U49" s="191">
        <v>62226272.899999999</v>
      </c>
      <c r="V49" s="191">
        <v>0</v>
      </c>
      <c r="W49" s="191">
        <v>27338084.989999998</v>
      </c>
      <c r="X49" s="191">
        <v>0</v>
      </c>
      <c r="Y49" s="191">
        <v>45232711.859999999</v>
      </c>
      <c r="Z49" s="191">
        <v>0</v>
      </c>
      <c r="AA49" s="191">
        <v>20451241.800000001</v>
      </c>
      <c r="AB49" s="191">
        <v>0</v>
      </c>
      <c r="AC49" s="191">
        <v>35284248.549999997</v>
      </c>
      <c r="AD49" s="191">
        <v>0</v>
      </c>
      <c r="AE49" s="191">
        <v>16920517.710000001</v>
      </c>
      <c r="AF49" s="191">
        <v>0</v>
      </c>
      <c r="AG49" s="191">
        <v>22557386.629999999</v>
      </c>
      <c r="AH49" s="191">
        <v>0</v>
      </c>
      <c r="AI49" s="191">
        <v>18490294.390000001</v>
      </c>
      <c r="AJ49" s="191">
        <v>16791841.57</v>
      </c>
      <c r="AK49" s="191">
        <v>0</v>
      </c>
    </row>
    <row r="50" spans="1:37" x14ac:dyDescent="0.25">
      <c r="A50" s="191" t="s">
        <v>264</v>
      </c>
      <c r="B50" s="191">
        <v>0</v>
      </c>
      <c r="C50" s="191">
        <v>6571291.8600000003</v>
      </c>
      <c r="D50" s="191">
        <v>0</v>
      </c>
      <c r="E50" s="191">
        <v>11700805.390000001</v>
      </c>
      <c r="F50" s="191">
        <v>0</v>
      </c>
      <c r="G50" s="191">
        <v>5321577.1900000004</v>
      </c>
      <c r="H50" s="191">
        <v>0</v>
      </c>
      <c r="I50" s="191">
        <v>8666877.9299999997</v>
      </c>
      <c r="J50" s="191">
        <v>0</v>
      </c>
      <c r="K50" s="191">
        <v>3284233.46</v>
      </c>
      <c r="L50" s="191">
        <v>0</v>
      </c>
      <c r="M50" s="191">
        <v>3584346.75</v>
      </c>
      <c r="N50" s="191">
        <v>0</v>
      </c>
      <c r="O50" s="191">
        <v>1593132.18</v>
      </c>
      <c r="P50" s="191">
        <v>0</v>
      </c>
      <c r="Q50" s="191">
        <v>3129421</v>
      </c>
      <c r="R50" s="191">
        <v>0</v>
      </c>
      <c r="S50" s="191">
        <v>1598201.93</v>
      </c>
      <c r="T50" s="191">
        <v>0</v>
      </c>
      <c r="U50" s="191">
        <v>2483597.77</v>
      </c>
      <c r="V50" s="191">
        <v>0</v>
      </c>
      <c r="W50" s="191">
        <v>914265.14</v>
      </c>
      <c r="X50" s="191">
        <v>0</v>
      </c>
      <c r="Y50" s="191">
        <v>1348313.89</v>
      </c>
      <c r="Z50" s="191">
        <v>0</v>
      </c>
      <c r="AA50" s="191">
        <v>535823.12</v>
      </c>
      <c r="AB50" s="191">
        <v>0</v>
      </c>
      <c r="AC50" s="191">
        <v>970913.64</v>
      </c>
      <c r="AD50" s="191">
        <v>0</v>
      </c>
      <c r="AE50" s="191">
        <v>466446.08000000002</v>
      </c>
      <c r="AF50" s="191">
        <v>0</v>
      </c>
      <c r="AG50" s="191">
        <v>570064.04</v>
      </c>
      <c r="AH50" s="191">
        <v>0</v>
      </c>
      <c r="AI50" s="191">
        <v>535006.5</v>
      </c>
      <c r="AJ50" s="191">
        <v>548148.18999999994</v>
      </c>
      <c r="AK50" s="191">
        <v>0</v>
      </c>
    </row>
    <row r="51" spans="1:37" x14ac:dyDescent="0.25">
      <c r="A51" s="191" t="s">
        <v>265</v>
      </c>
      <c r="B51" s="191">
        <v>0</v>
      </c>
      <c r="C51" s="191">
        <v>842831.44</v>
      </c>
      <c r="D51" s="191">
        <v>0</v>
      </c>
      <c r="E51" s="191">
        <v>1626430.09</v>
      </c>
      <c r="F51" s="191">
        <v>0</v>
      </c>
      <c r="G51" s="191">
        <v>813215.04</v>
      </c>
      <c r="H51" s="191">
        <v>0</v>
      </c>
      <c r="I51" s="191">
        <v>1549161.68</v>
      </c>
      <c r="J51" s="191">
        <v>0</v>
      </c>
      <c r="K51" s="191">
        <v>937228.59</v>
      </c>
      <c r="L51" s="191">
        <v>0</v>
      </c>
      <c r="M51" s="191">
        <v>2792414.15</v>
      </c>
      <c r="N51" s="191">
        <v>0</v>
      </c>
      <c r="O51" s="191">
        <v>1379958.7</v>
      </c>
      <c r="P51" s="191">
        <v>0</v>
      </c>
      <c r="Q51" s="191">
        <v>762424.54</v>
      </c>
      <c r="R51" s="191">
        <v>0</v>
      </c>
      <c r="S51" s="191">
        <v>111778.8</v>
      </c>
      <c r="T51" s="191">
        <v>0</v>
      </c>
      <c r="U51" s="191">
        <v>195388.91</v>
      </c>
      <c r="V51" s="191">
        <v>0</v>
      </c>
      <c r="W51" s="191">
        <v>60000</v>
      </c>
      <c r="X51" s="191">
        <v>0</v>
      </c>
      <c r="Y51" s="191">
        <v>120000</v>
      </c>
      <c r="Z51" s="191">
        <v>0</v>
      </c>
      <c r="AA51" s="191">
        <v>60000</v>
      </c>
      <c r="AB51" s="191">
        <v>0</v>
      </c>
      <c r="AC51" s="191">
        <v>5168.66</v>
      </c>
      <c r="AD51" s="191">
        <v>0</v>
      </c>
      <c r="AE51" s="191">
        <v>5168.66</v>
      </c>
      <c r="AF51" s="191">
        <v>0</v>
      </c>
      <c r="AG51" s="191">
        <v>15506.76</v>
      </c>
      <c r="AH51" s="191">
        <v>0</v>
      </c>
      <c r="AI51" s="191">
        <v>15506.76</v>
      </c>
      <c r="AJ51" s="191">
        <v>15506.76</v>
      </c>
      <c r="AK51" s="191">
        <v>0</v>
      </c>
    </row>
    <row r="52" spans="1:37" x14ac:dyDescent="0.25">
      <c r="A52" s="191" t="s">
        <v>266</v>
      </c>
      <c r="B52" s="191">
        <v>0</v>
      </c>
      <c r="C52" s="191">
        <v>0</v>
      </c>
      <c r="D52" s="191">
        <v>0</v>
      </c>
      <c r="E52" s="191">
        <v>0</v>
      </c>
      <c r="F52" s="191">
        <v>0</v>
      </c>
      <c r="G52" s="191">
        <v>0</v>
      </c>
      <c r="H52" s="191">
        <v>0</v>
      </c>
      <c r="I52" s="191">
        <v>0</v>
      </c>
      <c r="J52" s="191">
        <v>0</v>
      </c>
      <c r="K52" s="191">
        <v>0</v>
      </c>
      <c r="L52" s="191">
        <v>0</v>
      </c>
      <c r="M52" s="191">
        <v>0</v>
      </c>
      <c r="N52" s="191">
        <v>0</v>
      </c>
      <c r="O52" s="191">
        <v>0</v>
      </c>
      <c r="P52" s="191">
        <v>0</v>
      </c>
      <c r="Q52" s="191">
        <v>0</v>
      </c>
      <c r="R52" s="191">
        <v>0</v>
      </c>
      <c r="S52" s="191">
        <v>0</v>
      </c>
      <c r="T52" s="191">
        <v>0</v>
      </c>
      <c r="U52" s="191">
        <v>0</v>
      </c>
      <c r="V52" s="191">
        <v>0</v>
      </c>
      <c r="W52" s="191">
        <v>0</v>
      </c>
      <c r="X52" s="191">
        <v>0</v>
      </c>
      <c r="Y52" s="191">
        <v>0</v>
      </c>
      <c r="Z52" s="191">
        <v>0</v>
      </c>
      <c r="AA52" s="191">
        <v>0</v>
      </c>
      <c r="AB52" s="191">
        <v>0</v>
      </c>
      <c r="AC52" s="191">
        <v>0</v>
      </c>
      <c r="AD52" s="191">
        <v>0</v>
      </c>
      <c r="AE52" s="191">
        <v>0</v>
      </c>
      <c r="AF52" s="191">
        <v>0</v>
      </c>
      <c r="AG52" s="191">
        <v>0</v>
      </c>
      <c r="AH52" s="191">
        <v>0</v>
      </c>
      <c r="AI52" s="191">
        <v>0</v>
      </c>
      <c r="AJ52" s="191">
        <v>0</v>
      </c>
      <c r="AK52" s="191">
        <v>0</v>
      </c>
    </row>
    <row r="53" spans="1:37" x14ac:dyDescent="0.25">
      <c r="A53" s="191" t="s">
        <v>267</v>
      </c>
      <c r="B53" s="191">
        <v>0</v>
      </c>
      <c r="C53" s="191">
        <v>0</v>
      </c>
      <c r="D53" s="191">
        <v>0</v>
      </c>
      <c r="E53" s="191">
        <v>0</v>
      </c>
      <c r="F53" s="191">
        <v>0</v>
      </c>
      <c r="G53" s="191">
        <v>0</v>
      </c>
      <c r="H53" s="191">
        <v>0</v>
      </c>
      <c r="I53" s="191">
        <v>0</v>
      </c>
      <c r="J53" s="191">
        <v>0</v>
      </c>
      <c r="K53" s="191">
        <v>0</v>
      </c>
      <c r="L53" s="191">
        <v>0</v>
      </c>
      <c r="M53" s="191">
        <v>0</v>
      </c>
      <c r="N53" s="191">
        <v>0</v>
      </c>
      <c r="O53" s="191">
        <v>0</v>
      </c>
      <c r="P53" s="191">
        <v>0</v>
      </c>
      <c r="Q53" s="191">
        <v>0</v>
      </c>
      <c r="R53" s="191">
        <v>0</v>
      </c>
      <c r="S53" s="191">
        <v>0</v>
      </c>
      <c r="T53" s="191">
        <v>0</v>
      </c>
      <c r="U53" s="191">
        <v>0</v>
      </c>
      <c r="V53" s="191">
        <v>0</v>
      </c>
      <c r="W53" s="191">
        <v>0</v>
      </c>
      <c r="X53" s="191">
        <v>0</v>
      </c>
      <c r="Y53" s="191">
        <v>0</v>
      </c>
      <c r="Z53" s="191">
        <v>0</v>
      </c>
      <c r="AA53" s="191">
        <v>0</v>
      </c>
      <c r="AB53" s="191">
        <v>0</v>
      </c>
      <c r="AC53" s="191">
        <v>0</v>
      </c>
      <c r="AD53" s="191">
        <v>0</v>
      </c>
      <c r="AE53" s="191">
        <v>0</v>
      </c>
      <c r="AF53" s="191">
        <v>0</v>
      </c>
      <c r="AG53" s="191">
        <v>0</v>
      </c>
      <c r="AH53" s="191">
        <v>0</v>
      </c>
      <c r="AI53" s="191">
        <v>0</v>
      </c>
      <c r="AJ53" s="191">
        <v>0</v>
      </c>
      <c r="AK53" s="191">
        <v>0</v>
      </c>
    </row>
    <row r="54" spans="1:37" x14ac:dyDescent="0.25">
      <c r="A54" s="191" t="s">
        <v>268</v>
      </c>
      <c r="B54" s="191">
        <v>0</v>
      </c>
      <c r="C54" s="191">
        <v>-5047.3999999999996</v>
      </c>
      <c r="D54" s="191">
        <v>0</v>
      </c>
      <c r="E54" s="191">
        <v>-327151.37</v>
      </c>
      <c r="F54" s="191">
        <v>0</v>
      </c>
      <c r="G54" s="191">
        <v>388967.5</v>
      </c>
      <c r="H54" s="191">
        <v>0</v>
      </c>
      <c r="I54" s="191">
        <v>2556655.06</v>
      </c>
      <c r="J54" s="191">
        <v>0</v>
      </c>
      <c r="K54" s="191">
        <v>583822.57999999996</v>
      </c>
      <c r="L54" s="191">
        <v>0</v>
      </c>
      <c r="M54" s="191">
        <v>1641970.2</v>
      </c>
      <c r="N54" s="191">
        <v>0</v>
      </c>
      <c r="O54" s="191">
        <v>362534.43</v>
      </c>
      <c r="P54" s="191">
        <v>0</v>
      </c>
      <c r="Q54" s="191">
        <v>2632793.41</v>
      </c>
      <c r="R54" s="191">
        <v>0</v>
      </c>
      <c r="S54" s="191">
        <v>521158.62</v>
      </c>
      <c r="T54" s="191">
        <v>0</v>
      </c>
      <c r="U54" s="191">
        <v>738515.9</v>
      </c>
      <c r="V54" s="191">
        <v>0</v>
      </c>
      <c r="W54" s="191">
        <v>47657.3</v>
      </c>
      <c r="X54" s="191">
        <v>0</v>
      </c>
      <c r="Y54" s="191">
        <v>231372.54</v>
      </c>
      <c r="Z54" s="191">
        <v>0</v>
      </c>
      <c r="AA54" s="191">
        <v>148114.17000000001</v>
      </c>
      <c r="AB54" s="191">
        <v>0</v>
      </c>
      <c r="AC54" s="191">
        <v>458098.69</v>
      </c>
      <c r="AD54" s="191">
        <v>0</v>
      </c>
      <c r="AE54" s="191">
        <v>465390.72</v>
      </c>
      <c r="AF54" s="191">
        <v>0</v>
      </c>
      <c r="AG54" s="191">
        <v>319153.53000000003</v>
      </c>
      <c r="AH54" s="191">
        <v>0</v>
      </c>
      <c r="AI54" s="191">
        <v>3732.64</v>
      </c>
      <c r="AJ54" s="191">
        <v>144334.32999999999</v>
      </c>
      <c r="AK54" s="191">
        <v>0</v>
      </c>
    </row>
    <row r="55" spans="1:37" x14ac:dyDescent="0.25">
      <c r="A55" s="191" t="s">
        <v>269</v>
      </c>
      <c r="B55" s="191">
        <v>0</v>
      </c>
      <c r="C55" s="191">
        <v>604355.14</v>
      </c>
      <c r="D55" s="191">
        <v>0</v>
      </c>
      <c r="E55" s="191">
        <v>1421535.04</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c r="AJ55" s="191">
        <v>0</v>
      </c>
      <c r="AK55" s="191">
        <v>0</v>
      </c>
    </row>
    <row r="56" spans="1:37" x14ac:dyDescent="0.25">
      <c r="A56" s="191" t="s">
        <v>270</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c r="AJ56" s="191">
        <v>0</v>
      </c>
      <c r="AK56" s="191">
        <v>0</v>
      </c>
    </row>
    <row r="57" spans="1:37" x14ac:dyDescent="0.25">
      <c r="A57" s="191" t="s">
        <v>271</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c r="AJ57" s="191">
        <v>0</v>
      </c>
      <c r="AK57" s="191">
        <v>0</v>
      </c>
    </row>
    <row r="58" spans="1:37" x14ac:dyDescent="0.25">
      <c r="A58" s="191" t="s">
        <v>272</v>
      </c>
      <c r="B58" s="191">
        <v>0</v>
      </c>
      <c r="C58" s="191">
        <v>0</v>
      </c>
      <c r="D58" s="191">
        <v>0</v>
      </c>
      <c r="E58" s="191">
        <v>0</v>
      </c>
      <c r="F58" s="191">
        <v>0</v>
      </c>
      <c r="G58" s="191">
        <v>0</v>
      </c>
      <c r="H58" s="191">
        <v>0</v>
      </c>
      <c r="I58" s="191">
        <v>0</v>
      </c>
      <c r="J58" s="191">
        <v>0</v>
      </c>
      <c r="K58" s="191">
        <v>0</v>
      </c>
      <c r="L58" s="191">
        <v>0</v>
      </c>
      <c r="M58" s="191">
        <v>0</v>
      </c>
      <c r="N58" s="191">
        <v>0</v>
      </c>
      <c r="O58" s="191">
        <v>0</v>
      </c>
      <c r="P58" s="191">
        <v>0</v>
      </c>
      <c r="Q58" s="191">
        <v>0</v>
      </c>
      <c r="R58" s="191">
        <v>0</v>
      </c>
      <c r="S58" s="191">
        <v>0</v>
      </c>
      <c r="T58" s="191">
        <v>0</v>
      </c>
      <c r="U58" s="191">
        <v>0</v>
      </c>
      <c r="V58" s="191">
        <v>0</v>
      </c>
      <c r="W58" s="191">
        <v>0</v>
      </c>
      <c r="X58" s="191">
        <v>0</v>
      </c>
      <c r="Y58" s="191">
        <v>0</v>
      </c>
      <c r="Z58" s="191">
        <v>0</v>
      </c>
      <c r="AA58" s="191">
        <v>0</v>
      </c>
      <c r="AB58" s="191">
        <v>0</v>
      </c>
      <c r="AC58" s="191">
        <v>0</v>
      </c>
      <c r="AD58" s="191">
        <v>0</v>
      </c>
      <c r="AE58" s="191">
        <v>0</v>
      </c>
      <c r="AF58" s="191">
        <v>0</v>
      </c>
      <c r="AG58" s="191">
        <v>0</v>
      </c>
      <c r="AH58" s="191">
        <v>0</v>
      </c>
      <c r="AI58" s="191">
        <v>0</v>
      </c>
      <c r="AJ58" s="191">
        <v>0</v>
      </c>
      <c r="AK58" s="191">
        <v>0</v>
      </c>
    </row>
    <row r="59" spans="1:37" x14ac:dyDescent="0.25">
      <c r="A59" s="191" t="s">
        <v>197</v>
      </c>
      <c r="B59" s="191">
        <v>0</v>
      </c>
      <c r="C59" s="191">
        <v>-10592937.93</v>
      </c>
      <c r="D59" s="191">
        <v>0</v>
      </c>
      <c r="E59" s="191">
        <v>6166195</v>
      </c>
      <c r="F59" s="191">
        <v>0</v>
      </c>
      <c r="G59" s="191">
        <v>1560488.71</v>
      </c>
      <c r="H59" s="191">
        <v>0</v>
      </c>
      <c r="I59" s="191">
        <v>22652354.219999999</v>
      </c>
      <c r="J59" s="191">
        <v>0</v>
      </c>
      <c r="K59" s="191">
        <v>10052786.15</v>
      </c>
      <c r="L59" s="191">
        <v>0</v>
      </c>
      <c r="M59" s="191">
        <v>-21905396.93</v>
      </c>
      <c r="N59" s="191">
        <v>0</v>
      </c>
      <c r="O59" s="191">
        <v>-5915083.3300000001</v>
      </c>
      <c r="P59" s="191">
        <v>0</v>
      </c>
      <c r="Q59" s="191">
        <v>-2233977.64</v>
      </c>
      <c r="R59" s="191">
        <v>0</v>
      </c>
      <c r="S59" s="191">
        <v>-653025.55000000005</v>
      </c>
      <c r="T59" s="191">
        <v>0</v>
      </c>
      <c r="U59" s="191">
        <v>7297185.9199999999</v>
      </c>
      <c r="V59" s="191">
        <v>0</v>
      </c>
      <c r="W59" s="191">
        <v>3956003.25</v>
      </c>
      <c r="X59" s="191">
        <v>0</v>
      </c>
      <c r="Y59" s="191">
        <v>4947429.59</v>
      </c>
      <c r="Z59" s="191">
        <v>0</v>
      </c>
      <c r="AA59" s="191">
        <v>1683139.85</v>
      </c>
      <c r="AB59" s="191">
        <v>0</v>
      </c>
      <c r="AC59" s="191">
        <v>11706100.68</v>
      </c>
      <c r="AD59" s="191">
        <v>0</v>
      </c>
      <c r="AE59" s="191">
        <v>6837293.7599999998</v>
      </c>
      <c r="AF59" s="191">
        <v>0</v>
      </c>
      <c r="AG59" s="191">
        <v>5320069.2300000004</v>
      </c>
      <c r="AH59" s="191">
        <v>0</v>
      </c>
      <c r="AI59" s="191">
        <v>15016555.880000001</v>
      </c>
      <c r="AJ59" s="191">
        <v>22059780.489999998</v>
      </c>
      <c r="AK59" s="191">
        <v>0</v>
      </c>
    </row>
    <row r="60" spans="1:37" x14ac:dyDescent="0.25">
      <c r="A60" s="191" t="s">
        <v>273</v>
      </c>
      <c r="B60" s="191">
        <v>0</v>
      </c>
      <c r="C60" s="191">
        <v>-3985461.08</v>
      </c>
      <c r="D60" s="191">
        <v>0</v>
      </c>
      <c r="E60" s="191">
        <v>-11424551.82</v>
      </c>
      <c r="F60" s="191">
        <v>0</v>
      </c>
      <c r="G60" s="191">
        <v>-2948671.55</v>
      </c>
      <c r="H60" s="191">
        <v>0</v>
      </c>
      <c r="I60" s="191">
        <v>-16636609.83</v>
      </c>
      <c r="J60" s="191">
        <v>0</v>
      </c>
      <c r="K60" s="191">
        <v>-15160752.93</v>
      </c>
      <c r="L60" s="191">
        <v>0</v>
      </c>
      <c r="M60" s="191">
        <v>-17046857.07</v>
      </c>
      <c r="N60" s="191">
        <v>0</v>
      </c>
      <c r="O60" s="191">
        <v>-963291.36</v>
      </c>
      <c r="P60" s="191">
        <v>0</v>
      </c>
      <c r="Q60" s="191">
        <v>-2084177.5</v>
      </c>
      <c r="R60" s="191">
        <v>0</v>
      </c>
      <c r="S60" s="191">
        <v>-917949.38</v>
      </c>
      <c r="T60" s="191">
        <v>0</v>
      </c>
      <c r="U60" s="191">
        <v>-1109427.94</v>
      </c>
      <c r="V60" s="191">
        <v>0</v>
      </c>
      <c r="W60" s="191">
        <v>-685467.8</v>
      </c>
      <c r="X60" s="191">
        <v>0</v>
      </c>
      <c r="Y60" s="191">
        <v>-1641093.94</v>
      </c>
      <c r="Z60" s="191">
        <v>0</v>
      </c>
      <c r="AA60" s="191">
        <v>-97671.69</v>
      </c>
      <c r="AB60" s="191">
        <v>0</v>
      </c>
      <c r="AC60" s="191">
        <v>-1854065.85</v>
      </c>
      <c r="AD60" s="191">
        <v>0</v>
      </c>
      <c r="AE60" s="191">
        <v>-960699.51</v>
      </c>
      <c r="AF60" s="191">
        <v>0</v>
      </c>
      <c r="AG60" s="191">
        <v>-1618437.56</v>
      </c>
      <c r="AH60" s="191">
        <v>0</v>
      </c>
      <c r="AI60" s="191">
        <v>-529831.25</v>
      </c>
      <c r="AJ60" s="191">
        <v>-2975960.3</v>
      </c>
      <c r="AK60" s="191">
        <v>0</v>
      </c>
    </row>
    <row r="61" spans="1:37" x14ac:dyDescent="0.25">
      <c r="A61" s="191" t="s">
        <v>274</v>
      </c>
      <c r="B61" s="191">
        <v>0</v>
      </c>
      <c r="C61" s="191">
        <v>-10376469.199999999</v>
      </c>
      <c r="D61" s="191">
        <v>0</v>
      </c>
      <c r="E61" s="191">
        <v>-3896384.11</v>
      </c>
      <c r="F61" s="191">
        <v>0</v>
      </c>
      <c r="G61" s="191">
        <v>-6953041.0199999996</v>
      </c>
      <c r="H61" s="191">
        <v>0</v>
      </c>
      <c r="I61" s="191">
        <v>-5825572.2999999998</v>
      </c>
      <c r="J61" s="191">
        <v>0</v>
      </c>
      <c r="K61" s="191">
        <v>-8812083.25</v>
      </c>
      <c r="L61" s="191">
        <v>0</v>
      </c>
      <c r="M61" s="191">
        <v>-8750375.3000000007</v>
      </c>
      <c r="N61" s="191">
        <v>0</v>
      </c>
      <c r="O61" s="191">
        <v>-11344501.67</v>
      </c>
      <c r="P61" s="191">
        <v>0</v>
      </c>
      <c r="Q61" s="191">
        <v>-2203823.2599999998</v>
      </c>
      <c r="R61" s="191">
        <v>0</v>
      </c>
      <c r="S61" s="191">
        <v>-426729.85</v>
      </c>
      <c r="T61" s="191">
        <v>0</v>
      </c>
      <c r="U61" s="191">
        <v>-240584.43</v>
      </c>
      <c r="V61" s="191">
        <v>0</v>
      </c>
      <c r="W61" s="191">
        <v>283027.46999999997</v>
      </c>
      <c r="X61" s="191">
        <v>0</v>
      </c>
      <c r="Y61" s="191">
        <v>1044695.67</v>
      </c>
      <c r="Z61" s="191">
        <v>0</v>
      </c>
      <c r="AA61" s="191">
        <v>2034126.77</v>
      </c>
      <c r="AB61" s="191">
        <v>0</v>
      </c>
      <c r="AC61" s="191">
        <v>-4491023.4000000004</v>
      </c>
      <c r="AD61" s="191">
        <v>0</v>
      </c>
      <c r="AE61" s="191">
        <v>-3343913.92</v>
      </c>
      <c r="AF61" s="191">
        <v>0</v>
      </c>
      <c r="AG61" s="191">
        <v>623422.14</v>
      </c>
      <c r="AH61" s="191">
        <v>0</v>
      </c>
      <c r="AI61" s="191">
        <v>-1458188.98</v>
      </c>
      <c r="AJ61" s="191">
        <v>1103989.32</v>
      </c>
      <c r="AK61" s="191">
        <v>0</v>
      </c>
    </row>
    <row r="62" spans="1:37" x14ac:dyDescent="0.25">
      <c r="A62" s="191" t="s">
        <v>275</v>
      </c>
      <c r="B62" s="191">
        <v>0</v>
      </c>
      <c r="C62" s="191">
        <v>-994006.51</v>
      </c>
      <c r="D62" s="191">
        <v>0</v>
      </c>
      <c r="E62" s="191">
        <v>-3182712.51</v>
      </c>
      <c r="F62" s="191">
        <v>0</v>
      </c>
      <c r="G62" s="191">
        <v>-1740418.56</v>
      </c>
      <c r="H62" s="191">
        <v>0</v>
      </c>
      <c r="I62" s="191">
        <v>-2216696.38</v>
      </c>
      <c r="J62" s="191">
        <v>0</v>
      </c>
      <c r="K62" s="191">
        <v>273594.64</v>
      </c>
      <c r="L62" s="191">
        <v>0</v>
      </c>
      <c r="M62" s="191">
        <v>-74774.399999999994</v>
      </c>
      <c r="N62" s="191">
        <v>0</v>
      </c>
      <c r="O62" s="191">
        <v>-507176.03</v>
      </c>
      <c r="P62" s="191">
        <v>0</v>
      </c>
      <c r="Q62" s="191">
        <v>-429792.22</v>
      </c>
      <c r="R62" s="191">
        <v>0</v>
      </c>
      <c r="S62" s="191">
        <v>-210433.62</v>
      </c>
      <c r="T62" s="191">
        <v>0</v>
      </c>
      <c r="U62" s="191">
        <v>-193353.57</v>
      </c>
      <c r="V62" s="191">
        <v>0</v>
      </c>
      <c r="W62" s="191">
        <v>-44251.85</v>
      </c>
      <c r="X62" s="191">
        <v>0</v>
      </c>
      <c r="Y62" s="191">
        <v>24180.63</v>
      </c>
      <c r="Z62" s="191">
        <v>0</v>
      </c>
      <c r="AA62" s="191">
        <v>16446.87</v>
      </c>
      <c r="AB62" s="191">
        <v>0</v>
      </c>
      <c r="AC62" s="191">
        <v>-165395.60999999999</v>
      </c>
      <c r="AD62" s="191">
        <v>0</v>
      </c>
      <c r="AE62" s="191">
        <v>-42552.5</v>
      </c>
      <c r="AF62" s="191">
        <v>0</v>
      </c>
      <c r="AG62" s="191">
        <v>0</v>
      </c>
      <c r="AH62" s="191">
        <v>0</v>
      </c>
      <c r="AI62" s="191">
        <v>0</v>
      </c>
      <c r="AJ62" s="191">
        <v>0</v>
      </c>
      <c r="AK62" s="191">
        <v>0</v>
      </c>
    </row>
    <row r="63" spans="1:37" x14ac:dyDescent="0.25">
      <c r="A63" s="191" t="s">
        <v>276</v>
      </c>
      <c r="B63" s="191">
        <v>0</v>
      </c>
      <c r="C63" s="191">
        <v>1873653.8</v>
      </c>
      <c r="D63" s="191">
        <v>0</v>
      </c>
      <c r="E63" s="191">
        <v>-13735896.41</v>
      </c>
      <c r="F63" s="191">
        <v>0</v>
      </c>
      <c r="G63" s="191">
        <v>58320439.399999999</v>
      </c>
      <c r="H63" s="191">
        <v>0</v>
      </c>
      <c r="I63" s="191">
        <v>-216990428.78999999</v>
      </c>
      <c r="J63" s="191">
        <v>0</v>
      </c>
      <c r="K63" s="191">
        <v>-102861343.3</v>
      </c>
      <c r="L63" s="191">
        <v>0</v>
      </c>
      <c r="M63" s="191">
        <v>-127424271.89</v>
      </c>
      <c r="N63" s="191">
        <v>0</v>
      </c>
      <c r="O63" s="191">
        <v>-97804618.109999999</v>
      </c>
      <c r="P63" s="191">
        <v>0</v>
      </c>
      <c r="Q63" s="191">
        <v>-17485690.140000001</v>
      </c>
      <c r="R63" s="191">
        <v>0</v>
      </c>
      <c r="S63" s="191">
        <v>-3600433.17</v>
      </c>
      <c r="T63" s="191">
        <v>0</v>
      </c>
      <c r="U63" s="191">
        <v>-33393919.210000001</v>
      </c>
      <c r="V63" s="191">
        <v>0</v>
      </c>
      <c r="W63" s="191">
        <v>-15802891.060000001</v>
      </c>
      <c r="X63" s="191">
        <v>0</v>
      </c>
      <c r="Y63" s="191">
        <v>-43268701.5</v>
      </c>
      <c r="Z63" s="191">
        <v>0</v>
      </c>
      <c r="AA63" s="191">
        <v>7306475.9800000004</v>
      </c>
      <c r="AB63" s="191">
        <v>0</v>
      </c>
      <c r="AC63" s="191">
        <v>-12765711.91</v>
      </c>
      <c r="AD63" s="191">
        <v>0</v>
      </c>
      <c r="AE63" s="191">
        <v>5662761.71</v>
      </c>
      <c r="AF63" s="191">
        <v>0</v>
      </c>
      <c r="AG63" s="191">
        <v>-15318460.800000001</v>
      </c>
      <c r="AH63" s="191">
        <v>0</v>
      </c>
      <c r="AI63" s="191">
        <v>23140395.559999999</v>
      </c>
      <c r="AJ63" s="191">
        <v>-22893193.93</v>
      </c>
      <c r="AK63" s="191">
        <v>0</v>
      </c>
    </row>
    <row r="64" spans="1:37" x14ac:dyDescent="0.25">
      <c r="A64" s="191" t="s">
        <v>277</v>
      </c>
      <c r="B64" s="191">
        <v>0</v>
      </c>
      <c r="C64" s="191">
        <v>-139091608.19999999</v>
      </c>
      <c r="D64" s="191">
        <v>0</v>
      </c>
      <c r="E64" s="191">
        <v>-56395049.920000002</v>
      </c>
      <c r="F64" s="191">
        <v>0</v>
      </c>
      <c r="G64" s="191">
        <v>-107003276.56999999</v>
      </c>
      <c r="H64" s="191">
        <v>0</v>
      </c>
      <c r="I64" s="191">
        <v>-40371982.450000003</v>
      </c>
      <c r="J64" s="191">
        <v>0</v>
      </c>
      <c r="K64" s="191">
        <v>-37557249.560000002</v>
      </c>
      <c r="L64" s="191">
        <v>0</v>
      </c>
      <c r="M64" s="191">
        <v>-32451742.219999999</v>
      </c>
      <c r="N64" s="191">
        <v>0</v>
      </c>
      <c r="O64" s="191">
        <v>79191226.150000006</v>
      </c>
      <c r="P64" s="191">
        <v>0</v>
      </c>
      <c r="Q64" s="191">
        <v>-59408808.939999998</v>
      </c>
      <c r="R64" s="191">
        <v>0</v>
      </c>
      <c r="S64" s="191">
        <v>-33391381.379999999</v>
      </c>
      <c r="T64" s="191">
        <v>0</v>
      </c>
      <c r="U64" s="191">
        <v>-1221967.49</v>
      </c>
      <c r="V64" s="191">
        <v>0</v>
      </c>
      <c r="W64" s="191">
        <v>-12388605.939999999</v>
      </c>
      <c r="X64" s="191">
        <v>0</v>
      </c>
      <c r="Y64" s="191">
        <v>-67464248.379999995</v>
      </c>
      <c r="Z64" s="191">
        <v>0</v>
      </c>
      <c r="AA64" s="191">
        <v>-66690961.979999997</v>
      </c>
      <c r="AB64" s="191">
        <v>0</v>
      </c>
      <c r="AC64" s="191">
        <v>-15891290.779999999</v>
      </c>
      <c r="AD64" s="191">
        <v>0</v>
      </c>
      <c r="AE64" s="191">
        <v>-26081552.18</v>
      </c>
      <c r="AF64" s="191">
        <v>0</v>
      </c>
      <c r="AG64" s="191">
        <v>-18905707.390000001</v>
      </c>
      <c r="AH64" s="191">
        <v>0</v>
      </c>
      <c r="AI64" s="191">
        <v>-40279616.909999996</v>
      </c>
      <c r="AJ64" s="191">
        <v>4878523.7699999996</v>
      </c>
      <c r="AK64" s="191">
        <v>0</v>
      </c>
    </row>
    <row r="65" spans="1:37" x14ac:dyDescent="0.25">
      <c r="A65" s="191" t="s">
        <v>278</v>
      </c>
      <c r="B65" s="191">
        <v>0</v>
      </c>
      <c r="C65" s="191">
        <v>73305952.489999995</v>
      </c>
      <c r="D65" s="191">
        <v>0</v>
      </c>
      <c r="E65" s="191">
        <v>103099291.40000001</v>
      </c>
      <c r="F65" s="191">
        <v>0</v>
      </c>
      <c r="G65" s="191">
        <v>143640161.02000001</v>
      </c>
      <c r="H65" s="191">
        <v>0</v>
      </c>
      <c r="I65" s="191">
        <v>-85580201.890000001</v>
      </c>
      <c r="J65" s="191">
        <v>0</v>
      </c>
      <c r="K65" s="191">
        <v>-19404711.539999999</v>
      </c>
      <c r="L65" s="191">
        <v>0</v>
      </c>
      <c r="M65" s="191">
        <v>182258931.03</v>
      </c>
      <c r="N65" s="191">
        <v>0</v>
      </c>
      <c r="O65" s="191">
        <v>99925494.090000004</v>
      </c>
      <c r="P65" s="191">
        <v>0</v>
      </c>
      <c r="Q65" s="191">
        <v>32648174.949999999</v>
      </c>
      <c r="R65" s="191">
        <v>0</v>
      </c>
      <c r="S65" s="191">
        <v>19481733.390000001</v>
      </c>
      <c r="T65" s="191">
        <v>0</v>
      </c>
      <c r="U65" s="191">
        <v>32369251.98</v>
      </c>
      <c r="V65" s="191">
        <v>0</v>
      </c>
      <c r="W65" s="191">
        <v>-1747877.31</v>
      </c>
      <c r="X65" s="191">
        <v>0</v>
      </c>
      <c r="Y65" s="191">
        <v>2949342.96</v>
      </c>
      <c r="Z65" s="191">
        <v>0</v>
      </c>
      <c r="AA65" s="191">
        <v>-8161837.1900000004</v>
      </c>
      <c r="AB65" s="191">
        <v>0</v>
      </c>
      <c r="AC65" s="191">
        <v>38948216.130000003</v>
      </c>
      <c r="AD65" s="191">
        <v>0</v>
      </c>
      <c r="AE65" s="191">
        <v>57234851.43</v>
      </c>
      <c r="AF65" s="191">
        <v>0</v>
      </c>
      <c r="AG65" s="191">
        <v>51752312.939999998</v>
      </c>
      <c r="AH65" s="191">
        <v>0</v>
      </c>
      <c r="AI65" s="191">
        <v>8905392.7300000004</v>
      </c>
      <c r="AJ65" s="191">
        <v>-50958884.280000001</v>
      </c>
      <c r="AK65" s="191">
        <v>0</v>
      </c>
    </row>
    <row r="66" spans="1:37" x14ac:dyDescent="0.25">
      <c r="A66" s="191" t="s">
        <v>279</v>
      </c>
      <c r="B66" s="191">
        <v>0</v>
      </c>
      <c r="C66" s="191">
        <v>0</v>
      </c>
      <c r="D66" s="191">
        <v>0</v>
      </c>
      <c r="E66" s="191">
        <v>0</v>
      </c>
      <c r="F66" s="191">
        <v>0</v>
      </c>
      <c r="G66" s="191">
        <v>0</v>
      </c>
      <c r="H66" s="191">
        <v>0</v>
      </c>
      <c r="I66" s="191">
        <v>0</v>
      </c>
      <c r="J66" s="191">
        <v>0</v>
      </c>
      <c r="K66" s="191">
        <v>0</v>
      </c>
      <c r="L66" s="191">
        <v>0</v>
      </c>
      <c r="M66" s="191">
        <v>0</v>
      </c>
      <c r="N66" s="191">
        <v>0</v>
      </c>
      <c r="O66" s="191">
        <v>0</v>
      </c>
      <c r="P66" s="191">
        <v>0</v>
      </c>
      <c r="Q66" s="191">
        <v>0</v>
      </c>
      <c r="R66" s="191">
        <v>0</v>
      </c>
      <c r="S66" s="191">
        <v>0</v>
      </c>
      <c r="T66" s="191">
        <v>0</v>
      </c>
      <c r="U66" s="191">
        <v>0</v>
      </c>
      <c r="V66" s="191">
        <v>0</v>
      </c>
      <c r="W66" s="191">
        <v>0</v>
      </c>
      <c r="X66" s="191">
        <v>0</v>
      </c>
      <c r="Y66" s="191">
        <v>0</v>
      </c>
      <c r="Z66" s="191">
        <v>0</v>
      </c>
      <c r="AA66" s="191">
        <v>0</v>
      </c>
      <c r="AB66" s="191">
        <v>0</v>
      </c>
      <c r="AC66" s="191">
        <v>0</v>
      </c>
      <c r="AD66" s="191">
        <v>0</v>
      </c>
      <c r="AE66" s="191">
        <v>0</v>
      </c>
      <c r="AF66" s="191">
        <v>0</v>
      </c>
      <c r="AG66" s="191">
        <v>0</v>
      </c>
      <c r="AH66" s="191">
        <v>0</v>
      </c>
      <c r="AI66" s="191">
        <v>0</v>
      </c>
      <c r="AJ66" s="191">
        <v>0</v>
      </c>
      <c r="AK66" s="191">
        <v>0</v>
      </c>
    </row>
    <row r="67" spans="1:37" x14ac:dyDescent="0.25">
      <c r="A67" s="191" t="s">
        <v>280</v>
      </c>
      <c r="B67" s="191">
        <v>0</v>
      </c>
      <c r="C67" s="191">
        <v>0</v>
      </c>
      <c r="D67" s="191">
        <v>0</v>
      </c>
      <c r="E67" s="191">
        <v>0</v>
      </c>
      <c r="F67" s="191">
        <v>0</v>
      </c>
      <c r="G67" s="191">
        <v>0</v>
      </c>
      <c r="H67" s="191">
        <v>0</v>
      </c>
      <c r="I67" s="191">
        <v>0</v>
      </c>
      <c r="J67" s="191">
        <v>0</v>
      </c>
      <c r="K67" s="191">
        <v>0</v>
      </c>
      <c r="L67" s="191">
        <v>0</v>
      </c>
      <c r="M67" s="191">
        <v>0</v>
      </c>
      <c r="N67" s="191">
        <v>0</v>
      </c>
      <c r="O67" s="191">
        <v>0</v>
      </c>
      <c r="P67" s="191">
        <v>0</v>
      </c>
      <c r="Q67" s="191">
        <v>0</v>
      </c>
      <c r="R67" s="191">
        <v>0</v>
      </c>
      <c r="S67" s="191">
        <v>0</v>
      </c>
      <c r="T67" s="191">
        <v>0</v>
      </c>
      <c r="U67" s="191">
        <v>0</v>
      </c>
      <c r="V67" s="191">
        <v>0</v>
      </c>
      <c r="W67" s="191">
        <v>0</v>
      </c>
      <c r="X67" s="191">
        <v>0</v>
      </c>
      <c r="Y67" s="191">
        <v>0</v>
      </c>
      <c r="Z67" s="191">
        <v>0</v>
      </c>
      <c r="AA67" s="191">
        <v>0</v>
      </c>
      <c r="AB67" s="191">
        <v>0</v>
      </c>
      <c r="AC67" s="191">
        <v>0</v>
      </c>
      <c r="AD67" s="191">
        <v>0</v>
      </c>
      <c r="AE67" s="191">
        <v>0</v>
      </c>
      <c r="AF67" s="191">
        <v>0</v>
      </c>
      <c r="AG67" s="191">
        <v>0</v>
      </c>
      <c r="AH67" s="191">
        <v>0</v>
      </c>
      <c r="AI67" s="191">
        <v>0</v>
      </c>
      <c r="AJ67" s="191">
        <v>0</v>
      </c>
      <c r="AK67" s="191">
        <v>0</v>
      </c>
    </row>
    <row r="68" spans="1:37" x14ac:dyDescent="0.25">
      <c r="A68" s="191" t="s">
        <v>281</v>
      </c>
      <c r="B68" s="191">
        <v>0</v>
      </c>
      <c r="C68" s="191">
        <v>0</v>
      </c>
      <c r="D68" s="191">
        <v>0</v>
      </c>
      <c r="E68" s="191">
        <v>0</v>
      </c>
      <c r="F68" s="191">
        <v>0</v>
      </c>
      <c r="G68" s="191">
        <v>0</v>
      </c>
      <c r="H68" s="191">
        <v>0</v>
      </c>
      <c r="I68" s="191">
        <v>0</v>
      </c>
      <c r="J68" s="191">
        <v>0</v>
      </c>
      <c r="K68" s="191">
        <v>0</v>
      </c>
      <c r="L68" s="191">
        <v>0</v>
      </c>
      <c r="M68" s="191">
        <v>0</v>
      </c>
      <c r="N68" s="191">
        <v>0</v>
      </c>
      <c r="O68" s="191">
        <v>0</v>
      </c>
      <c r="P68" s="191">
        <v>0</v>
      </c>
      <c r="Q68" s="191">
        <v>0</v>
      </c>
      <c r="R68" s="191">
        <v>0</v>
      </c>
      <c r="S68" s="191">
        <v>0</v>
      </c>
      <c r="T68" s="191">
        <v>0</v>
      </c>
      <c r="U68" s="191">
        <v>0</v>
      </c>
      <c r="V68" s="191">
        <v>0</v>
      </c>
      <c r="W68" s="191">
        <v>0</v>
      </c>
      <c r="X68" s="191">
        <v>0</v>
      </c>
      <c r="Y68" s="191">
        <v>-462723.85</v>
      </c>
      <c r="Z68" s="191">
        <v>0</v>
      </c>
      <c r="AA68" s="191">
        <v>0</v>
      </c>
      <c r="AB68" s="191">
        <v>0</v>
      </c>
      <c r="AC68" s="191">
        <v>0</v>
      </c>
      <c r="AD68" s="191">
        <v>0</v>
      </c>
      <c r="AE68" s="191">
        <v>0</v>
      </c>
      <c r="AF68" s="191">
        <v>0</v>
      </c>
      <c r="AG68" s="191">
        <v>0</v>
      </c>
      <c r="AH68" s="191">
        <v>0</v>
      </c>
      <c r="AI68" s="191">
        <v>0</v>
      </c>
      <c r="AJ68" s="191">
        <v>0</v>
      </c>
      <c r="AK68" s="191">
        <v>0</v>
      </c>
    </row>
    <row r="69" spans="1:37" x14ac:dyDescent="0.25">
      <c r="A69" s="191" t="s">
        <v>282</v>
      </c>
      <c r="B69" s="191">
        <v>0</v>
      </c>
      <c r="C69" s="191">
        <v>222163951.55000001</v>
      </c>
      <c r="D69" s="191">
        <v>0</v>
      </c>
      <c r="E69" s="191">
        <v>612280415.13</v>
      </c>
      <c r="F69" s="191">
        <v>0</v>
      </c>
      <c r="G69" s="191">
        <v>388747462.31999999</v>
      </c>
      <c r="H69" s="191">
        <v>0</v>
      </c>
      <c r="I69" s="191">
        <v>152654463.16999999</v>
      </c>
      <c r="J69" s="191">
        <v>0</v>
      </c>
      <c r="K69" s="191">
        <v>86112662.510000005</v>
      </c>
      <c r="L69" s="191">
        <v>0</v>
      </c>
      <c r="M69" s="191">
        <v>366599551.26999998</v>
      </c>
      <c r="N69" s="191">
        <v>0</v>
      </c>
      <c r="O69" s="191">
        <v>176387130.99000001</v>
      </c>
      <c r="P69" s="191">
        <v>0</v>
      </c>
      <c r="Q69" s="191">
        <v>143375664.33000001</v>
      </c>
      <c r="R69" s="191">
        <v>0</v>
      </c>
      <c r="S69" s="191">
        <v>56104951.130000003</v>
      </c>
      <c r="T69" s="191">
        <v>0</v>
      </c>
      <c r="U69" s="191">
        <v>198143305.22999999</v>
      </c>
      <c r="V69" s="191">
        <v>0</v>
      </c>
      <c r="W69" s="191">
        <v>65391736.07</v>
      </c>
      <c r="X69" s="191">
        <v>0</v>
      </c>
      <c r="Y69" s="191">
        <v>66414783.799999997</v>
      </c>
      <c r="Z69" s="191">
        <v>0</v>
      </c>
      <c r="AA69" s="191">
        <v>31337114.91</v>
      </c>
      <c r="AB69" s="191">
        <v>0</v>
      </c>
      <c r="AC69" s="191">
        <v>189079188.53</v>
      </c>
      <c r="AD69" s="191">
        <v>0</v>
      </c>
      <c r="AE69" s="191">
        <v>144211016.88</v>
      </c>
      <c r="AF69" s="191">
        <v>0</v>
      </c>
      <c r="AG69" s="191">
        <v>156068852.72</v>
      </c>
      <c r="AH69" s="191">
        <v>0</v>
      </c>
      <c r="AI69" s="191">
        <v>94704915.730000004</v>
      </c>
      <c r="AJ69" s="191">
        <v>64957959.640000001</v>
      </c>
      <c r="AK69" s="191">
        <v>0</v>
      </c>
    </row>
    <row r="70" spans="1:37" x14ac:dyDescent="0.25">
      <c r="A70" s="191" t="s">
        <v>283</v>
      </c>
      <c r="B70" s="191">
        <v>0</v>
      </c>
      <c r="C70" s="191">
        <v>0</v>
      </c>
      <c r="D70" s="191">
        <v>0</v>
      </c>
      <c r="E70" s="191">
        <v>0</v>
      </c>
      <c r="F70" s="191">
        <v>0</v>
      </c>
      <c r="G70" s="191">
        <v>0</v>
      </c>
      <c r="H70" s="191">
        <v>0</v>
      </c>
      <c r="I70" s="191">
        <v>0</v>
      </c>
      <c r="J70" s="191">
        <v>0</v>
      </c>
      <c r="K70" s="191">
        <v>0</v>
      </c>
      <c r="L70" s="191">
        <v>0</v>
      </c>
      <c r="M70" s="191">
        <v>0</v>
      </c>
      <c r="N70" s="191">
        <v>0</v>
      </c>
      <c r="O70" s="191">
        <v>0</v>
      </c>
      <c r="P70" s="191">
        <v>0</v>
      </c>
      <c r="Q70" s="191">
        <v>0</v>
      </c>
      <c r="R70" s="191">
        <v>0</v>
      </c>
      <c r="S70" s="191">
        <v>0</v>
      </c>
      <c r="T70" s="191">
        <v>0</v>
      </c>
      <c r="U70" s="191">
        <v>0</v>
      </c>
      <c r="V70" s="191">
        <v>0</v>
      </c>
      <c r="W70" s="191">
        <v>0</v>
      </c>
      <c r="X70" s="191">
        <v>0</v>
      </c>
      <c r="Y70" s="191">
        <v>0</v>
      </c>
      <c r="Z70" s="191">
        <v>0</v>
      </c>
      <c r="AA70" s="191">
        <v>0</v>
      </c>
      <c r="AB70" s="191">
        <v>0</v>
      </c>
      <c r="AC70" s="191">
        <v>0</v>
      </c>
      <c r="AD70" s="191">
        <v>0</v>
      </c>
      <c r="AE70" s="191">
        <v>0</v>
      </c>
      <c r="AF70" s="191">
        <v>0</v>
      </c>
      <c r="AG70" s="191">
        <v>0</v>
      </c>
      <c r="AH70" s="191">
        <v>0</v>
      </c>
      <c r="AI70" s="191">
        <v>0</v>
      </c>
      <c r="AJ70" s="191">
        <v>0</v>
      </c>
      <c r="AK70" s="191">
        <v>0</v>
      </c>
    </row>
    <row r="71" spans="1:37" x14ac:dyDescent="0.25">
      <c r="A71" s="191" t="s">
        <v>284</v>
      </c>
      <c r="B71" s="191">
        <v>0</v>
      </c>
      <c r="C71" s="191">
        <v>0</v>
      </c>
      <c r="D71" s="191">
        <v>0</v>
      </c>
      <c r="E71" s="191">
        <v>0</v>
      </c>
      <c r="F71" s="191">
        <v>0</v>
      </c>
      <c r="G71" s="191">
        <v>0</v>
      </c>
      <c r="H71" s="191">
        <v>0</v>
      </c>
      <c r="I71" s="191">
        <v>0</v>
      </c>
      <c r="J71" s="191">
        <v>0</v>
      </c>
      <c r="K71" s="191">
        <v>0</v>
      </c>
      <c r="L71" s="191">
        <v>0</v>
      </c>
      <c r="M71" s="191">
        <v>0</v>
      </c>
      <c r="N71" s="191">
        <v>0</v>
      </c>
      <c r="O71" s="191">
        <v>0</v>
      </c>
      <c r="P71" s="191">
        <v>0</v>
      </c>
      <c r="Q71" s="191">
        <v>0</v>
      </c>
      <c r="R71" s="191">
        <v>0</v>
      </c>
      <c r="S71" s="191">
        <v>0</v>
      </c>
      <c r="T71" s="191">
        <v>0</v>
      </c>
      <c r="U71" s="191">
        <v>0</v>
      </c>
      <c r="V71" s="191">
        <v>0</v>
      </c>
      <c r="W71" s="191">
        <v>0</v>
      </c>
      <c r="X71" s="191">
        <v>0</v>
      </c>
      <c r="Y71" s="191">
        <v>0</v>
      </c>
      <c r="Z71" s="191">
        <v>0</v>
      </c>
      <c r="AA71" s="191">
        <v>0</v>
      </c>
      <c r="AB71" s="191">
        <v>0</v>
      </c>
      <c r="AC71" s="191">
        <v>0</v>
      </c>
      <c r="AD71" s="191">
        <v>0</v>
      </c>
      <c r="AE71" s="191">
        <v>0</v>
      </c>
      <c r="AF71" s="191">
        <v>0</v>
      </c>
      <c r="AG71" s="191">
        <v>0</v>
      </c>
      <c r="AH71" s="191">
        <v>0</v>
      </c>
      <c r="AI71" s="191">
        <v>0</v>
      </c>
      <c r="AJ71" s="191">
        <v>0</v>
      </c>
      <c r="AK71" s="191">
        <v>0</v>
      </c>
    </row>
    <row r="72" spans="1:37" x14ac:dyDescent="0.25">
      <c r="A72" s="191" t="s">
        <v>285</v>
      </c>
      <c r="B72" s="191">
        <v>0</v>
      </c>
      <c r="C72" s="191">
        <v>0</v>
      </c>
      <c r="D72" s="191">
        <v>0</v>
      </c>
      <c r="E72" s="191">
        <v>0</v>
      </c>
      <c r="F72" s="191">
        <v>0</v>
      </c>
      <c r="G72" s="191">
        <v>0</v>
      </c>
      <c r="H72" s="191">
        <v>0</v>
      </c>
      <c r="I72" s="191">
        <v>0</v>
      </c>
      <c r="J72" s="191">
        <v>0</v>
      </c>
      <c r="K72" s="191">
        <v>0</v>
      </c>
      <c r="L72" s="191">
        <v>0</v>
      </c>
      <c r="M72" s="191">
        <v>0</v>
      </c>
      <c r="N72" s="191">
        <v>0</v>
      </c>
      <c r="O72" s="191">
        <v>0</v>
      </c>
      <c r="P72" s="191">
        <v>0</v>
      </c>
      <c r="Q72" s="191">
        <v>0</v>
      </c>
      <c r="R72" s="191">
        <v>0</v>
      </c>
      <c r="S72" s="191">
        <v>0</v>
      </c>
      <c r="T72" s="191">
        <v>0</v>
      </c>
      <c r="U72" s="191">
        <v>0</v>
      </c>
      <c r="V72" s="191">
        <v>0</v>
      </c>
      <c r="W72" s="191">
        <v>0</v>
      </c>
      <c r="X72" s="191">
        <v>0</v>
      </c>
      <c r="Y72" s="191">
        <v>0</v>
      </c>
      <c r="Z72" s="191">
        <v>0</v>
      </c>
      <c r="AA72" s="191">
        <v>0</v>
      </c>
      <c r="AB72" s="191">
        <v>0</v>
      </c>
      <c r="AC72" s="191">
        <v>0</v>
      </c>
      <c r="AD72" s="191">
        <v>0</v>
      </c>
      <c r="AE72" s="191">
        <v>0</v>
      </c>
      <c r="AF72" s="191">
        <v>0</v>
      </c>
      <c r="AG72" s="191">
        <v>0</v>
      </c>
      <c r="AH72" s="191">
        <v>0</v>
      </c>
      <c r="AI72" s="191">
        <v>0</v>
      </c>
      <c r="AJ72" s="191">
        <v>0</v>
      </c>
      <c r="AK72" s="191">
        <v>0</v>
      </c>
    </row>
    <row r="73" spans="1:37" x14ac:dyDescent="0.25">
      <c r="A73" s="191" t="s">
        <v>286</v>
      </c>
      <c r="B73" s="191">
        <v>0</v>
      </c>
      <c r="C73" s="191">
        <v>761743302.59000003</v>
      </c>
      <c r="D73" s="191">
        <v>0</v>
      </c>
      <c r="E73" s="191">
        <v>627279567.75999999</v>
      </c>
      <c r="F73" s="191">
        <v>0</v>
      </c>
      <c r="G73" s="191">
        <v>640706738.29999995</v>
      </c>
      <c r="H73" s="191">
        <v>0</v>
      </c>
      <c r="I73" s="191">
        <v>493653870.38</v>
      </c>
      <c r="J73" s="191">
        <v>0</v>
      </c>
      <c r="K73" s="191">
        <v>388776166.88</v>
      </c>
      <c r="L73" s="191">
        <v>0</v>
      </c>
      <c r="M73" s="191">
        <v>669092759.69000006</v>
      </c>
      <c r="N73" s="191">
        <v>0</v>
      </c>
      <c r="O73" s="191">
        <v>641442723.11000001</v>
      </c>
      <c r="P73" s="191">
        <v>0</v>
      </c>
      <c r="Q73" s="191">
        <v>234501204.41999999</v>
      </c>
      <c r="R73" s="191">
        <v>0</v>
      </c>
      <c r="S73" s="191">
        <v>248656253.59</v>
      </c>
      <c r="T73" s="191">
        <v>0</v>
      </c>
      <c r="U73" s="191">
        <v>321851231.97000003</v>
      </c>
      <c r="V73" s="191">
        <v>0</v>
      </c>
      <c r="W73" s="191">
        <v>295593122.75999999</v>
      </c>
      <c r="X73" s="191">
        <v>0</v>
      </c>
      <c r="Y73" s="191">
        <v>429298270.75</v>
      </c>
      <c r="Z73" s="191">
        <v>0</v>
      </c>
      <c r="AA73" s="191">
        <v>460824111.80000001</v>
      </c>
      <c r="AB73" s="191">
        <v>0</v>
      </c>
      <c r="AC73" s="191">
        <v>847566521.58000004</v>
      </c>
      <c r="AD73" s="191">
        <v>0</v>
      </c>
      <c r="AE73" s="191">
        <v>44141747.770000003</v>
      </c>
      <c r="AF73" s="191">
        <v>0</v>
      </c>
      <c r="AG73" s="191">
        <v>49695104.770000003</v>
      </c>
      <c r="AH73" s="191">
        <v>0</v>
      </c>
      <c r="AI73" s="191">
        <v>99638795.879999995</v>
      </c>
      <c r="AJ73" s="191">
        <v>45384825.549999997</v>
      </c>
      <c r="AK73" s="191">
        <v>0</v>
      </c>
    </row>
    <row r="74" spans="1:37" x14ac:dyDescent="0.25">
      <c r="A74" s="191" t="s">
        <v>287</v>
      </c>
      <c r="B74" s="191">
        <v>0</v>
      </c>
      <c r="C74" s="191">
        <v>627279567.75999999</v>
      </c>
      <c r="D74" s="191">
        <v>0</v>
      </c>
      <c r="E74" s="191">
        <v>493653870.38</v>
      </c>
      <c r="F74" s="191">
        <v>0</v>
      </c>
      <c r="G74" s="191">
        <v>493653870.38</v>
      </c>
      <c r="H74" s="191">
        <v>0</v>
      </c>
      <c r="I74" s="191">
        <v>669092759.69000006</v>
      </c>
      <c r="J74" s="191">
        <v>0</v>
      </c>
      <c r="K74" s="191">
        <v>669092759.69000006</v>
      </c>
      <c r="L74" s="191">
        <v>0</v>
      </c>
      <c r="M74" s="191">
        <v>234501204.41999999</v>
      </c>
      <c r="N74" s="191">
        <v>0</v>
      </c>
      <c r="O74" s="191">
        <v>234501204.41999999</v>
      </c>
      <c r="P74" s="191">
        <v>0</v>
      </c>
      <c r="Q74" s="191">
        <v>321851231.97000003</v>
      </c>
      <c r="R74" s="191">
        <v>0</v>
      </c>
      <c r="S74" s="191">
        <v>321851231.97000003</v>
      </c>
      <c r="T74" s="191">
        <v>0</v>
      </c>
      <c r="U74" s="191">
        <v>429298270.75</v>
      </c>
      <c r="V74" s="191">
        <v>0</v>
      </c>
      <c r="W74" s="191">
        <v>429298270.75</v>
      </c>
      <c r="X74" s="191">
        <v>0</v>
      </c>
      <c r="Y74" s="191">
        <v>847566521.58000004</v>
      </c>
      <c r="Z74" s="191">
        <v>0</v>
      </c>
      <c r="AA74" s="191">
        <v>847566521.58000004</v>
      </c>
      <c r="AB74" s="191">
        <v>0</v>
      </c>
      <c r="AC74" s="191">
        <v>49695104.770000003</v>
      </c>
      <c r="AD74" s="191">
        <v>0</v>
      </c>
      <c r="AE74" s="191">
        <v>49695104.770000003</v>
      </c>
      <c r="AF74" s="191">
        <v>0</v>
      </c>
      <c r="AG74" s="191">
        <v>99638795.879999995</v>
      </c>
      <c r="AH74" s="191">
        <v>0</v>
      </c>
      <c r="AI74" s="191">
        <v>45384825.549999997</v>
      </c>
      <c r="AJ74" s="191">
        <v>6942777.1100000003</v>
      </c>
      <c r="AK74" s="191">
        <v>0</v>
      </c>
    </row>
    <row r="75" spans="1:37" x14ac:dyDescent="0.25">
      <c r="A75" s="191" t="s">
        <v>288</v>
      </c>
      <c r="B75" s="191">
        <v>0</v>
      </c>
      <c r="C75" s="191">
        <v>0</v>
      </c>
      <c r="D75" s="191">
        <v>0</v>
      </c>
      <c r="E75" s="191">
        <v>0</v>
      </c>
      <c r="F75" s="191">
        <v>0</v>
      </c>
      <c r="G75" s="191">
        <v>0</v>
      </c>
      <c r="H75" s="191">
        <v>0</v>
      </c>
      <c r="I75" s="191">
        <v>0</v>
      </c>
      <c r="J75" s="191">
        <v>0</v>
      </c>
      <c r="K75" s="191">
        <v>0</v>
      </c>
      <c r="L75" s="191">
        <v>0</v>
      </c>
      <c r="M75" s="191">
        <v>0</v>
      </c>
      <c r="N75" s="191">
        <v>0</v>
      </c>
      <c r="O75" s="191">
        <v>0</v>
      </c>
      <c r="P75" s="191">
        <v>0</v>
      </c>
      <c r="Q75" s="191">
        <v>0</v>
      </c>
      <c r="R75" s="191">
        <v>0</v>
      </c>
      <c r="S75" s="191">
        <v>0</v>
      </c>
      <c r="T75" s="191">
        <v>0</v>
      </c>
      <c r="U75" s="191">
        <v>0</v>
      </c>
      <c r="V75" s="191">
        <v>0</v>
      </c>
      <c r="W75" s="191">
        <v>0</v>
      </c>
      <c r="X75" s="191">
        <v>0</v>
      </c>
      <c r="Y75" s="191">
        <v>0</v>
      </c>
      <c r="Z75" s="191">
        <v>0</v>
      </c>
      <c r="AA75" s="191">
        <v>2021795.9</v>
      </c>
      <c r="AB75" s="191">
        <v>0</v>
      </c>
      <c r="AC75" s="191">
        <v>0</v>
      </c>
      <c r="AD75" s="191">
        <v>0</v>
      </c>
      <c r="AE75" s="191">
        <v>0</v>
      </c>
      <c r="AF75" s="191">
        <v>0</v>
      </c>
      <c r="AG75" s="191">
        <v>0</v>
      </c>
      <c r="AH75" s="191">
        <v>0</v>
      </c>
      <c r="AI75" s="191">
        <v>0</v>
      </c>
      <c r="AJ75" s="191">
        <v>0</v>
      </c>
      <c r="AK75" s="191">
        <v>0</v>
      </c>
    </row>
    <row r="76" spans="1:37" x14ac:dyDescent="0.25">
      <c r="A76" s="191" t="s">
        <v>289</v>
      </c>
      <c r="B76" s="191">
        <v>0</v>
      </c>
      <c r="C76" s="191">
        <v>0</v>
      </c>
      <c r="D76" s="191">
        <v>0</v>
      </c>
      <c r="E76" s="191">
        <v>0</v>
      </c>
      <c r="F76" s="191">
        <v>0</v>
      </c>
      <c r="G76" s="191">
        <v>0</v>
      </c>
      <c r="H76" s="191">
        <v>0</v>
      </c>
      <c r="I76" s="191">
        <v>0</v>
      </c>
      <c r="J76" s="191">
        <v>0</v>
      </c>
      <c r="K76" s="191">
        <v>0</v>
      </c>
      <c r="L76" s="191">
        <v>0</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c r="AJ76" s="191">
        <v>0</v>
      </c>
      <c r="AK76" s="191">
        <v>0</v>
      </c>
    </row>
    <row r="77" spans="1:37" x14ac:dyDescent="0.25">
      <c r="A77" s="191" t="s">
        <v>290</v>
      </c>
      <c r="B77" s="191">
        <v>0</v>
      </c>
      <c r="C77" s="191">
        <v>134463734.83000001</v>
      </c>
      <c r="D77" s="191">
        <v>0</v>
      </c>
      <c r="E77" s="191">
        <v>133625697.38</v>
      </c>
      <c r="F77" s="191">
        <v>0</v>
      </c>
      <c r="G77" s="191">
        <v>147052867.91999999</v>
      </c>
      <c r="H77" s="191">
        <v>0</v>
      </c>
      <c r="I77" s="191">
        <v>-175438889.31</v>
      </c>
      <c r="J77" s="191">
        <v>0</v>
      </c>
      <c r="K77" s="191">
        <v>-280316592.81</v>
      </c>
      <c r="L77" s="191">
        <v>0</v>
      </c>
      <c r="M77" s="191">
        <v>434591555.26999998</v>
      </c>
      <c r="N77" s="191">
        <v>0</v>
      </c>
      <c r="O77" s="191">
        <v>406941518.69</v>
      </c>
      <c r="P77" s="191">
        <v>0</v>
      </c>
      <c r="Q77" s="191">
        <v>-87350027.549999997</v>
      </c>
      <c r="R77" s="191">
        <v>0</v>
      </c>
      <c r="S77" s="191">
        <v>-73194978.379999995</v>
      </c>
      <c r="T77" s="191">
        <v>0</v>
      </c>
      <c r="U77" s="191">
        <v>-107447038.78</v>
      </c>
      <c r="V77" s="191">
        <v>0</v>
      </c>
      <c r="W77" s="191">
        <v>-133705147.98999999</v>
      </c>
      <c r="X77" s="191">
        <v>0</v>
      </c>
      <c r="Y77" s="191">
        <v>-418268250.82999998</v>
      </c>
      <c r="Z77" s="191">
        <v>0</v>
      </c>
      <c r="AA77" s="191">
        <v>-384720613.88</v>
      </c>
      <c r="AB77" s="191">
        <v>0</v>
      </c>
      <c r="AC77" s="191">
        <v>797871416.80999994</v>
      </c>
      <c r="AD77" s="191">
        <v>0</v>
      </c>
      <c r="AE77" s="191">
        <v>-5553357</v>
      </c>
      <c r="AF77" s="191">
        <v>0</v>
      </c>
      <c r="AG77" s="191">
        <v>-49943691.109999999</v>
      </c>
      <c r="AH77" s="191">
        <v>0</v>
      </c>
      <c r="AI77" s="191">
        <v>54253970.329999998</v>
      </c>
      <c r="AJ77" s="191">
        <v>38442048.439999998</v>
      </c>
      <c r="AK77" s="191">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 hidden="1" customWidth="1"/>
    <col min="32" max="34" width="19" bestFit="1" customWidth="1"/>
    <col min="35" max="35" width="9.5546875" hidden="1" customWidth="1"/>
    <col min="36" max="61" width="19.33203125" bestFit="1" customWidth="1"/>
    <col min="62" max="75" width="17.21875" bestFit="1" customWidth="1"/>
    <col min="76" max="76" width="16.109375" bestFit="1" customWidth="1"/>
    <col min="77" max="77" width="7.109375" bestFit="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2643</v>
      </c>
      <c r="B1" s="191">
        <v>20180930</v>
      </c>
      <c r="C1" s="191">
        <v>20180630</v>
      </c>
      <c r="D1" s="191">
        <v>20180331</v>
      </c>
      <c r="E1" s="191">
        <v>20171231</v>
      </c>
      <c r="F1" s="191">
        <v>20170930</v>
      </c>
      <c r="G1" s="191">
        <v>20170630</v>
      </c>
      <c r="H1" s="191">
        <v>20170331</v>
      </c>
      <c r="I1" s="191">
        <v>20161231</v>
      </c>
      <c r="J1" s="191">
        <v>20160930</v>
      </c>
      <c r="K1" s="191">
        <v>20160630</v>
      </c>
      <c r="L1" s="191">
        <v>20160331</v>
      </c>
      <c r="M1" s="191">
        <v>20151231</v>
      </c>
      <c r="N1" s="191">
        <v>20150930</v>
      </c>
      <c r="O1" s="191">
        <v>20150630</v>
      </c>
      <c r="P1" s="191">
        <v>20150331</v>
      </c>
      <c r="Q1" s="191">
        <v>20141231</v>
      </c>
      <c r="R1" s="191">
        <v>20140930</v>
      </c>
      <c r="S1" s="191">
        <v>20140630</v>
      </c>
      <c r="T1" s="191">
        <v>20140331</v>
      </c>
      <c r="U1" s="191">
        <v>20131231</v>
      </c>
      <c r="V1" s="191">
        <v>20130930</v>
      </c>
      <c r="W1" s="191">
        <v>20130630</v>
      </c>
      <c r="X1" s="191">
        <v>20130331</v>
      </c>
      <c r="Y1" s="191">
        <v>20121231</v>
      </c>
      <c r="Z1" s="191">
        <v>20120930</v>
      </c>
      <c r="AA1" s="191">
        <v>20120630</v>
      </c>
      <c r="AB1" s="191">
        <v>20120331</v>
      </c>
      <c r="AC1" s="191">
        <v>20111231</v>
      </c>
      <c r="AD1" s="191">
        <v>20110930</v>
      </c>
      <c r="AE1" s="191">
        <v>20110630</v>
      </c>
      <c r="AF1" s="191">
        <v>20101231</v>
      </c>
      <c r="AG1" s="191">
        <v>20091231</v>
      </c>
      <c r="AH1" s="191">
        <v>20081231</v>
      </c>
      <c r="AI1" s="191">
        <v>19700101</v>
      </c>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1">
        <v>911620713.48000002</v>
      </c>
      <c r="C4" s="191">
        <v>762603460.59000003</v>
      </c>
      <c r="D4" s="191">
        <v>959610927.75</v>
      </c>
      <c r="E4" s="191">
        <v>627279567.75999999</v>
      </c>
      <c r="F4" s="191">
        <v>646898398.60000002</v>
      </c>
      <c r="G4" s="191">
        <v>640706738.29999995</v>
      </c>
      <c r="H4" s="191">
        <v>748407749.91999996</v>
      </c>
      <c r="I4" s="191">
        <v>497200922.38</v>
      </c>
      <c r="J4" s="191">
        <v>1041896896.37</v>
      </c>
      <c r="K4" s="191">
        <v>388776166.88</v>
      </c>
      <c r="L4" s="191">
        <v>675753014.13</v>
      </c>
      <c r="M4" s="191">
        <v>696067859.69000006</v>
      </c>
      <c r="N4" s="191">
        <v>690771780.01999998</v>
      </c>
      <c r="O4" s="191">
        <v>641442723.11000001</v>
      </c>
      <c r="P4" s="191">
        <v>1255365928.1900001</v>
      </c>
      <c r="Q4" s="191">
        <v>234501204.41999999</v>
      </c>
      <c r="R4" s="191">
        <v>276684977.61000001</v>
      </c>
      <c r="S4" s="191">
        <v>248656253.59</v>
      </c>
      <c r="T4" s="191">
        <v>310229232.98000002</v>
      </c>
      <c r="U4" s="191">
        <v>321851231.97000003</v>
      </c>
      <c r="V4" s="191">
        <v>306954505.58999997</v>
      </c>
      <c r="W4" s="191">
        <v>295593122.75999999</v>
      </c>
      <c r="X4" s="191">
        <v>419339678.55000001</v>
      </c>
      <c r="Y4" s="191">
        <v>429298270.75</v>
      </c>
      <c r="Z4" s="191">
        <v>413831417.81</v>
      </c>
      <c r="AA4" s="191">
        <v>460824111.80000001</v>
      </c>
      <c r="AB4" s="191">
        <v>596710534.11000001</v>
      </c>
      <c r="AC4" s="191">
        <v>847566521.58000004</v>
      </c>
      <c r="AD4" s="191">
        <v>29624772.98</v>
      </c>
      <c r="AE4" s="191">
        <v>44141747.770000003</v>
      </c>
      <c r="AF4" s="191">
        <v>49695104.770000003</v>
      </c>
      <c r="AG4" s="191">
        <v>99638795.879999995</v>
      </c>
      <c r="AH4" s="191">
        <v>45384825.549999997</v>
      </c>
      <c r="AI4" s="191">
        <v>0</v>
      </c>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c r="BM4" s="191"/>
      <c r="BN4" s="191"/>
      <c r="BO4" s="191"/>
      <c r="BP4" s="191"/>
      <c r="BQ4" s="191"/>
      <c r="BR4" s="191"/>
      <c r="BS4" s="191"/>
      <c r="BT4" s="191"/>
      <c r="BU4" s="191"/>
      <c r="BV4" s="191"/>
      <c r="BW4" s="191"/>
      <c r="BX4" s="191"/>
      <c r="BY4" s="191"/>
      <c r="BZ4" s="40"/>
      <c r="CA4" s="40"/>
      <c r="CB4" s="40"/>
      <c r="CC4" s="40"/>
      <c r="CD4" s="40"/>
      <c r="CE4" s="40"/>
      <c r="CF4" s="40"/>
      <c r="CG4" s="40"/>
      <c r="CH4" s="40"/>
      <c r="CI4" s="40"/>
      <c r="CJ4" s="40"/>
      <c r="CK4" s="40"/>
      <c r="CL4" s="40"/>
    </row>
    <row r="5" spans="1:90" x14ac:dyDescent="0.25">
      <c r="A5" s="17" t="s">
        <v>2</v>
      </c>
      <c r="B5" s="191">
        <v>0</v>
      </c>
      <c r="C5" s="191">
        <v>0</v>
      </c>
      <c r="D5" s="191">
        <v>0</v>
      </c>
      <c r="E5" s="191">
        <v>0</v>
      </c>
      <c r="F5" s="191">
        <v>0</v>
      </c>
      <c r="G5" s="191">
        <v>0</v>
      </c>
      <c r="H5" s="191">
        <v>0</v>
      </c>
      <c r="I5" s="191">
        <v>0</v>
      </c>
      <c r="J5" s="191">
        <v>0</v>
      </c>
      <c r="K5" s="191">
        <v>0</v>
      </c>
      <c r="L5" s="191">
        <v>0</v>
      </c>
      <c r="M5" s="191">
        <v>0</v>
      </c>
      <c r="N5" s="191">
        <v>0</v>
      </c>
      <c r="O5" s="191">
        <v>0</v>
      </c>
      <c r="P5" s="191">
        <v>0</v>
      </c>
      <c r="Q5" s="191">
        <v>0</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c r="BH5" s="191"/>
      <c r="BI5" s="191"/>
      <c r="BJ5" s="191"/>
      <c r="BK5" s="191"/>
      <c r="BL5" s="191"/>
      <c r="BM5" s="191"/>
      <c r="BN5" s="191"/>
      <c r="BO5" s="191"/>
      <c r="BP5" s="191"/>
      <c r="BQ5" s="191"/>
      <c r="BR5" s="191"/>
      <c r="BS5" s="191"/>
      <c r="BT5" s="191"/>
      <c r="BU5" s="191"/>
      <c r="BV5" s="191"/>
      <c r="BW5" s="191"/>
      <c r="BX5" s="191"/>
      <c r="BY5" s="191"/>
      <c r="BZ5" s="40"/>
      <c r="CA5" s="40"/>
      <c r="CB5" s="40"/>
      <c r="CC5" s="40"/>
      <c r="CD5" s="40"/>
      <c r="CE5" s="40"/>
      <c r="CF5" s="40"/>
      <c r="CG5" s="40"/>
      <c r="CH5" s="40"/>
      <c r="CI5" s="40"/>
      <c r="CJ5" s="40"/>
      <c r="CK5" s="40"/>
      <c r="CL5" s="40"/>
    </row>
    <row r="6" spans="1:90" x14ac:dyDescent="0.25">
      <c r="A6" s="17" t="s">
        <v>13</v>
      </c>
      <c r="B6" s="191">
        <v>0</v>
      </c>
      <c r="C6" s="191">
        <v>0</v>
      </c>
      <c r="D6" s="191">
        <v>0</v>
      </c>
      <c r="E6" s="191">
        <v>0</v>
      </c>
      <c r="F6" s="191">
        <v>0</v>
      </c>
      <c r="G6" s="191">
        <v>0</v>
      </c>
      <c r="H6" s="191">
        <v>0</v>
      </c>
      <c r="I6" s="191">
        <v>0</v>
      </c>
      <c r="J6" s="191">
        <v>0</v>
      </c>
      <c r="K6" s="191">
        <v>0</v>
      </c>
      <c r="L6" s="191">
        <v>0</v>
      </c>
      <c r="M6" s="191">
        <v>0</v>
      </c>
      <c r="N6" s="191">
        <v>0</v>
      </c>
      <c r="O6" s="191">
        <v>0</v>
      </c>
      <c r="P6" s="191">
        <v>0</v>
      </c>
      <c r="Q6" s="191">
        <v>0</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c r="BH6" s="191"/>
      <c r="BI6" s="191"/>
      <c r="BJ6" s="191"/>
      <c r="BK6" s="191"/>
      <c r="BL6" s="191"/>
      <c r="BM6" s="191"/>
      <c r="BN6" s="191"/>
      <c r="BO6" s="191"/>
      <c r="BP6" s="191"/>
      <c r="BQ6" s="191"/>
      <c r="BR6" s="191"/>
      <c r="BS6" s="191"/>
      <c r="BT6" s="191"/>
      <c r="BU6" s="191"/>
      <c r="BV6" s="191"/>
      <c r="BW6" s="191"/>
      <c r="BX6" s="191"/>
      <c r="BY6" s="191"/>
      <c r="BZ6" s="40"/>
      <c r="CA6" s="40"/>
      <c r="CB6" s="40"/>
      <c r="CC6" s="40"/>
      <c r="CD6" s="40"/>
      <c r="CE6" s="40"/>
      <c r="CF6" s="40"/>
      <c r="CG6" s="40"/>
      <c r="CH6" s="40"/>
      <c r="CI6" s="40"/>
      <c r="CJ6" s="40"/>
      <c r="CK6" s="40"/>
      <c r="CL6" s="40"/>
    </row>
    <row r="7" spans="1:90" x14ac:dyDescent="0.25">
      <c r="A7" s="17" t="s">
        <v>4</v>
      </c>
      <c r="B7" s="191">
        <v>0</v>
      </c>
      <c r="C7" s="191">
        <v>0</v>
      </c>
      <c r="D7" s="191">
        <v>0</v>
      </c>
      <c r="E7" s="191">
        <v>0</v>
      </c>
      <c r="F7" s="191">
        <v>0</v>
      </c>
      <c r="G7" s="191">
        <v>0</v>
      </c>
      <c r="H7" s="191">
        <v>0</v>
      </c>
      <c r="I7" s="191">
        <v>0</v>
      </c>
      <c r="J7" s="191">
        <v>0</v>
      </c>
      <c r="K7" s="191">
        <v>0</v>
      </c>
      <c r="L7" s="191">
        <v>0</v>
      </c>
      <c r="M7" s="191">
        <v>0</v>
      </c>
      <c r="N7" s="191">
        <v>0</v>
      </c>
      <c r="O7" s="191">
        <v>0</v>
      </c>
      <c r="P7" s="191">
        <v>0</v>
      </c>
      <c r="Q7" s="191">
        <v>0</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c r="AK7" s="191"/>
      <c r="AL7" s="191"/>
      <c r="AM7" s="191"/>
      <c r="AN7" s="191"/>
      <c r="AO7" s="191"/>
      <c r="AP7" s="191"/>
      <c r="AQ7" s="191"/>
      <c r="AR7" s="191"/>
      <c r="AS7" s="191"/>
      <c r="AT7" s="191"/>
      <c r="AU7" s="191"/>
      <c r="AV7" s="191"/>
      <c r="AW7" s="191"/>
      <c r="AX7" s="191"/>
      <c r="AY7" s="191"/>
      <c r="AZ7" s="191"/>
      <c r="BA7" s="191"/>
      <c r="BB7" s="191"/>
      <c r="BC7" s="191"/>
      <c r="BD7" s="191"/>
      <c r="BE7" s="191"/>
      <c r="BF7" s="191"/>
      <c r="BG7" s="191"/>
      <c r="BH7" s="191"/>
      <c r="BI7" s="191"/>
      <c r="BJ7" s="191"/>
      <c r="BK7" s="191"/>
      <c r="BL7" s="191"/>
      <c r="BM7" s="191"/>
      <c r="BN7" s="191"/>
      <c r="BO7" s="191"/>
      <c r="BP7" s="191"/>
      <c r="BQ7" s="191"/>
      <c r="BR7" s="191"/>
      <c r="BS7" s="191"/>
      <c r="BT7" s="191"/>
      <c r="BU7" s="191"/>
      <c r="BV7" s="191"/>
      <c r="BW7" s="191"/>
      <c r="BX7" s="191"/>
      <c r="BY7" s="191"/>
      <c r="BZ7" s="40"/>
      <c r="CA7" s="40"/>
      <c r="CB7" s="40"/>
      <c r="CC7" s="40"/>
      <c r="CD7" s="40"/>
      <c r="CE7" s="40"/>
      <c r="CF7" s="40"/>
      <c r="CG7" s="40"/>
      <c r="CH7" s="40"/>
      <c r="CI7" s="40"/>
      <c r="CJ7" s="40"/>
      <c r="CK7" s="40"/>
      <c r="CL7" s="40"/>
    </row>
    <row r="8" spans="1:90" x14ac:dyDescent="0.25">
      <c r="A8" s="17" t="s">
        <v>5</v>
      </c>
      <c r="B8" s="191">
        <v>0</v>
      </c>
      <c r="C8" s="191">
        <v>0</v>
      </c>
      <c r="D8" s="191">
        <v>0</v>
      </c>
      <c r="E8" s="191">
        <v>0</v>
      </c>
      <c r="F8" s="191">
        <v>0</v>
      </c>
      <c r="G8" s="191">
        <v>0</v>
      </c>
      <c r="H8" s="191">
        <v>0</v>
      </c>
      <c r="I8" s="191">
        <v>0</v>
      </c>
      <c r="J8" s="191">
        <v>0</v>
      </c>
      <c r="K8" s="191">
        <v>0</v>
      </c>
      <c r="L8" s="191">
        <v>0</v>
      </c>
      <c r="M8" s="191">
        <v>0</v>
      </c>
      <c r="N8" s="191">
        <v>0</v>
      </c>
      <c r="O8" s="191">
        <v>0</v>
      </c>
      <c r="P8" s="191">
        <v>0</v>
      </c>
      <c r="Q8" s="191">
        <v>0</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c r="AK8" s="191"/>
      <c r="AL8" s="191"/>
      <c r="AM8" s="191"/>
      <c r="AN8" s="191"/>
      <c r="AO8" s="191"/>
      <c r="AP8" s="191"/>
      <c r="AQ8" s="191"/>
      <c r="AR8" s="191"/>
      <c r="AS8" s="191"/>
      <c r="AT8" s="191"/>
      <c r="AU8" s="191"/>
      <c r="AV8" s="191"/>
      <c r="AW8" s="191"/>
      <c r="AX8" s="191"/>
      <c r="AY8" s="191"/>
      <c r="AZ8" s="191"/>
      <c r="BA8" s="191"/>
      <c r="BB8" s="191"/>
      <c r="BC8" s="191"/>
      <c r="BD8" s="191"/>
      <c r="BE8" s="191"/>
      <c r="BF8" s="191"/>
      <c r="BG8" s="191"/>
      <c r="BH8" s="191"/>
      <c r="BI8" s="191"/>
      <c r="BJ8" s="191"/>
      <c r="BK8" s="191"/>
      <c r="BL8" s="191"/>
      <c r="BM8" s="191"/>
      <c r="BN8" s="191"/>
      <c r="BO8" s="191"/>
      <c r="BP8" s="191"/>
      <c r="BQ8" s="191"/>
      <c r="BR8" s="191"/>
      <c r="BS8" s="191"/>
      <c r="BT8" s="191"/>
      <c r="BU8" s="191"/>
      <c r="BV8" s="191"/>
      <c r="BW8" s="191"/>
      <c r="BX8" s="191"/>
      <c r="BY8" s="191"/>
      <c r="BZ8" s="40"/>
      <c r="CA8" s="40"/>
      <c r="CB8" s="40"/>
      <c r="CC8" s="40"/>
      <c r="CD8" s="40"/>
      <c r="CE8" s="40"/>
      <c r="CF8" s="40"/>
      <c r="CG8" s="40"/>
      <c r="CH8" s="40"/>
      <c r="CI8" s="40"/>
      <c r="CJ8" s="40"/>
      <c r="CK8" s="40"/>
      <c r="CL8" s="40"/>
    </row>
    <row r="9" spans="1:90" x14ac:dyDescent="0.25">
      <c r="A9" s="17" t="s">
        <v>6</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c r="AK9" s="191"/>
      <c r="AL9" s="191"/>
      <c r="AM9" s="191"/>
      <c r="AN9" s="191"/>
      <c r="AO9" s="191"/>
      <c r="AP9" s="191"/>
      <c r="AQ9" s="191"/>
      <c r="AR9" s="191"/>
      <c r="AS9" s="191"/>
      <c r="AT9" s="191"/>
      <c r="AU9" s="191"/>
      <c r="AV9" s="191"/>
      <c r="AW9" s="191"/>
      <c r="AX9" s="191"/>
      <c r="AY9" s="191"/>
      <c r="AZ9" s="191"/>
      <c r="BA9" s="191"/>
      <c r="BB9" s="191"/>
      <c r="BC9" s="191"/>
      <c r="BD9" s="191"/>
      <c r="BE9" s="191"/>
      <c r="BF9" s="191"/>
      <c r="BG9" s="191"/>
      <c r="BH9" s="191"/>
      <c r="BI9" s="191"/>
      <c r="BJ9" s="191"/>
      <c r="BK9" s="191"/>
      <c r="BL9" s="191"/>
      <c r="BM9" s="191"/>
      <c r="BN9" s="191"/>
      <c r="BO9" s="191"/>
      <c r="BP9" s="191"/>
      <c r="BQ9" s="191"/>
      <c r="BR9" s="191"/>
      <c r="BS9" s="191"/>
      <c r="BT9" s="191"/>
      <c r="BU9" s="191"/>
      <c r="BV9" s="191"/>
      <c r="BW9" s="191"/>
      <c r="BX9" s="191"/>
      <c r="BY9" s="191"/>
      <c r="BZ9" s="40"/>
      <c r="CA9" s="40"/>
      <c r="CB9" s="40"/>
      <c r="CC9" s="40"/>
      <c r="CD9" s="40"/>
      <c r="CE9" s="40"/>
      <c r="CF9" s="40"/>
      <c r="CG9" s="40"/>
      <c r="CH9" s="40"/>
      <c r="CI9" s="40"/>
      <c r="CJ9" s="40"/>
      <c r="CK9" s="40"/>
      <c r="CL9" s="40"/>
    </row>
    <row r="10" spans="1:90" x14ac:dyDescent="0.25">
      <c r="A10" s="19" t="s">
        <v>7</v>
      </c>
      <c r="B10" s="191">
        <v>0</v>
      </c>
      <c r="C10" s="191">
        <v>0</v>
      </c>
      <c r="D10" s="191">
        <v>0</v>
      </c>
      <c r="E10" s="191">
        <v>0</v>
      </c>
      <c r="F10" s="191">
        <v>0</v>
      </c>
      <c r="G10" s="191">
        <v>0</v>
      </c>
      <c r="H10" s="191">
        <v>0</v>
      </c>
      <c r="I10" s="191">
        <v>0</v>
      </c>
      <c r="J10" s="191">
        <v>0</v>
      </c>
      <c r="K10" s="191">
        <v>0</v>
      </c>
      <c r="L10" s="191">
        <v>4837055.33</v>
      </c>
      <c r="M10" s="191">
        <v>0</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2426856.9700000002</v>
      </c>
      <c r="AI10" s="191">
        <v>0</v>
      </c>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c r="BL10" s="191"/>
      <c r="BM10" s="191"/>
      <c r="BN10" s="191"/>
      <c r="BO10" s="191"/>
      <c r="BP10" s="191"/>
      <c r="BQ10" s="191"/>
      <c r="BR10" s="191"/>
      <c r="BS10" s="191"/>
      <c r="BT10" s="191"/>
      <c r="BU10" s="191"/>
      <c r="BV10" s="191"/>
      <c r="BW10" s="191"/>
      <c r="BX10" s="191"/>
      <c r="BY10" s="191"/>
      <c r="BZ10" s="40"/>
      <c r="CA10" s="40"/>
      <c r="CB10" s="40"/>
      <c r="CC10" s="40"/>
      <c r="CD10" s="40"/>
      <c r="CE10" s="40"/>
      <c r="CF10" s="40"/>
      <c r="CG10" s="40"/>
      <c r="CH10" s="40"/>
      <c r="CI10" s="40"/>
      <c r="CJ10" s="40"/>
      <c r="CK10" s="40"/>
      <c r="CL10" s="40"/>
    </row>
    <row r="11" spans="1:90" x14ac:dyDescent="0.25">
      <c r="A11" s="17" t="s">
        <v>8</v>
      </c>
      <c r="B11" s="191">
        <v>0</v>
      </c>
      <c r="C11" s="191">
        <v>0</v>
      </c>
      <c r="D11" s="191">
        <v>0</v>
      </c>
      <c r="E11" s="191">
        <v>0</v>
      </c>
      <c r="F11" s="191">
        <v>0</v>
      </c>
      <c r="G11" s="191">
        <v>0</v>
      </c>
      <c r="H11" s="191">
        <v>0</v>
      </c>
      <c r="I11" s="191">
        <v>0</v>
      </c>
      <c r="J11" s="191">
        <v>0</v>
      </c>
      <c r="K11" s="191">
        <v>0</v>
      </c>
      <c r="L11" s="191">
        <v>0</v>
      </c>
      <c r="M11" s="191">
        <v>0</v>
      </c>
      <c r="N11" s="191">
        <v>0</v>
      </c>
      <c r="O11" s="191">
        <v>0</v>
      </c>
      <c r="P11" s="191">
        <v>0</v>
      </c>
      <c r="Q11" s="191">
        <v>0</v>
      </c>
      <c r="R11" s="191">
        <v>0</v>
      </c>
      <c r="S11" s="191">
        <v>0</v>
      </c>
      <c r="T11" s="191">
        <v>0</v>
      </c>
      <c r="U11" s="191">
        <v>0</v>
      </c>
      <c r="V11" s="191">
        <v>0</v>
      </c>
      <c r="W11" s="191">
        <v>0</v>
      </c>
      <c r="X11" s="191">
        <v>0</v>
      </c>
      <c r="Y11" s="191">
        <v>0</v>
      </c>
      <c r="Z11" s="191">
        <v>0</v>
      </c>
      <c r="AA11" s="191">
        <v>0</v>
      </c>
      <c r="AB11" s="191">
        <v>0</v>
      </c>
      <c r="AC11" s="191">
        <v>0</v>
      </c>
      <c r="AD11" s="191">
        <v>0</v>
      </c>
      <c r="AE11" s="191">
        <v>0</v>
      </c>
      <c r="AF11" s="191">
        <v>0</v>
      </c>
      <c r="AG11" s="191">
        <v>0</v>
      </c>
      <c r="AH11" s="191">
        <v>0</v>
      </c>
      <c r="AI11" s="191">
        <v>0</v>
      </c>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40"/>
      <c r="CA11" s="40"/>
      <c r="CB11" s="40"/>
      <c r="CC11" s="40"/>
      <c r="CD11" s="40"/>
      <c r="CE11" s="40"/>
      <c r="CF11" s="40"/>
      <c r="CG11" s="40"/>
      <c r="CH11" s="40"/>
      <c r="CI11" s="40"/>
      <c r="CJ11" s="40"/>
      <c r="CK11" s="40"/>
      <c r="CL11" s="40"/>
    </row>
    <row r="12" spans="1:90" x14ac:dyDescent="0.25">
      <c r="A12" s="17" t="s">
        <v>9</v>
      </c>
      <c r="B12" s="191">
        <v>0</v>
      </c>
      <c r="C12" s="191">
        <v>0</v>
      </c>
      <c r="D12" s="191">
        <v>0</v>
      </c>
      <c r="E12" s="191">
        <v>0</v>
      </c>
      <c r="F12" s="191">
        <v>0</v>
      </c>
      <c r="G12" s="191">
        <v>0</v>
      </c>
      <c r="H12" s="191">
        <v>0</v>
      </c>
      <c r="I12" s="191">
        <v>0</v>
      </c>
      <c r="J12" s="191">
        <v>0</v>
      </c>
      <c r="K12" s="191">
        <v>0</v>
      </c>
      <c r="L12" s="191">
        <v>0</v>
      </c>
      <c r="M12" s="191">
        <v>0</v>
      </c>
      <c r="N12" s="191">
        <v>0</v>
      </c>
      <c r="O12" s="191">
        <v>0</v>
      </c>
      <c r="P12" s="191">
        <v>0</v>
      </c>
      <c r="Q12" s="191">
        <v>0</v>
      </c>
      <c r="R12" s="191">
        <v>0</v>
      </c>
      <c r="S12" s="191">
        <v>0</v>
      </c>
      <c r="T12" s="191">
        <v>0</v>
      </c>
      <c r="U12" s="191">
        <v>0</v>
      </c>
      <c r="V12" s="191">
        <v>0</v>
      </c>
      <c r="W12" s="191">
        <v>0</v>
      </c>
      <c r="X12" s="191">
        <v>0</v>
      </c>
      <c r="Y12" s="191">
        <v>0</v>
      </c>
      <c r="Z12" s="191">
        <v>0</v>
      </c>
      <c r="AA12" s="191">
        <v>0</v>
      </c>
      <c r="AB12" s="191">
        <v>0</v>
      </c>
      <c r="AC12" s="191">
        <v>0</v>
      </c>
      <c r="AD12" s="191">
        <v>0</v>
      </c>
      <c r="AE12" s="191">
        <v>0</v>
      </c>
      <c r="AF12" s="191">
        <v>0</v>
      </c>
      <c r="AG12" s="191">
        <v>0</v>
      </c>
      <c r="AH12" s="191">
        <v>0</v>
      </c>
      <c r="AI12" s="191">
        <v>0</v>
      </c>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c r="BO12" s="191"/>
      <c r="BP12" s="191"/>
      <c r="BQ12" s="191"/>
      <c r="BR12" s="191"/>
      <c r="BS12" s="191"/>
      <c r="BT12" s="191"/>
      <c r="BU12" s="191"/>
      <c r="BV12" s="191"/>
      <c r="BW12" s="191"/>
      <c r="BX12" s="191"/>
      <c r="BY12" s="191"/>
      <c r="BZ12" s="40"/>
      <c r="CA12" s="40"/>
      <c r="CB12" s="40"/>
      <c r="CC12" s="40"/>
      <c r="CD12" s="40"/>
      <c r="CE12" s="40"/>
      <c r="CF12" s="40"/>
      <c r="CG12" s="40"/>
      <c r="CH12" s="40"/>
      <c r="CI12" s="40"/>
      <c r="CJ12" s="40"/>
      <c r="CK12" s="40"/>
      <c r="CL12" s="40"/>
    </row>
    <row r="13" spans="1:90" x14ac:dyDescent="0.25">
      <c r="A13" s="17" t="s">
        <v>10</v>
      </c>
      <c r="B13" s="191">
        <v>0</v>
      </c>
      <c r="C13" s="191">
        <v>0</v>
      </c>
      <c r="D13" s="191">
        <v>0</v>
      </c>
      <c r="E13" s="191">
        <v>0</v>
      </c>
      <c r="F13" s="191">
        <v>10830.97</v>
      </c>
      <c r="G13" s="191">
        <v>0</v>
      </c>
      <c r="H13" s="191">
        <v>0</v>
      </c>
      <c r="I13" s="191">
        <v>193750</v>
      </c>
      <c r="J13" s="191">
        <v>0</v>
      </c>
      <c r="K13" s="191">
        <v>0</v>
      </c>
      <c r="L13" s="191">
        <v>8306.99</v>
      </c>
      <c r="M13" s="191">
        <v>129925.53</v>
      </c>
      <c r="N13" s="191">
        <v>18955.82</v>
      </c>
      <c r="O13" s="191">
        <v>82599.98</v>
      </c>
      <c r="P13" s="191">
        <v>0</v>
      </c>
      <c r="Q13" s="191">
        <v>131048.02</v>
      </c>
      <c r="R13" s="191">
        <v>0</v>
      </c>
      <c r="S13" s="191">
        <v>522726.33</v>
      </c>
      <c r="T13" s="191">
        <v>0</v>
      </c>
      <c r="U13" s="191">
        <v>609629.63</v>
      </c>
      <c r="V13" s="191">
        <v>0</v>
      </c>
      <c r="W13" s="191">
        <v>716588.88</v>
      </c>
      <c r="X13" s="191">
        <v>0</v>
      </c>
      <c r="Y13" s="191">
        <v>4121250.02</v>
      </c>
      <c r="Z13" s="191">
        <v>0</v>
      </c>
      <c r="AA13" s="191">
        <v>0</v>
      </c>
      <c r="AB13" s="191">
        <v>0</v>
      </c>
      <c r="AC13" s="191">
        <v>0</v>
      </c>
      <c r="AD13" s="191">
        <v>0</v>
      </c>
      <c r="AE13" s="191">
        <v>0</v>
      </c>
      <c r="AF13" s="191">
        <v>0</v>
      </c>
      <c r="AG13" s="191">
        <v>0</v>
      </c>
      <c r="AH13" s="191">
        <v>0</v>
      </c>
      <c r="AI13" s="191">
        <v>0</v>
      </c>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c r="BX13" s="191"/>
      <c r="BY13" s="191"/>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1">
        <v>18798751.239999998</v>
      </c>
      <c r="C19" s="191">
        <v>18798751.239999998</v>
      </c>
      <c r="D19" s="191">
        <v>19416080.27</v>
      </c>
      <c r="E19" s="191">
        <v>19416080.27</v>
      </c>
      <c r="F19" s="191">
        <v>17743024.609999999</v>
      </c>
      <c r="G19" s="191">
        <v>17743024.609999999</v>
      </c>
      <c r="H19" s="191">
        <v>22731749.920000002</v>
      </c>
      <c r="I19" s="191">
        <v>22731749.920000002</v>
      </c>
      <c r="J19" s="191">
        <v>28084982.890000001</v>
      </c>
      <c r="K19" s="191">
        <v>28084982.890000001</v>
      </c>
      <c r="L19" s="191">
        <v>27152779.940000001</v>
      </c>
      <c r="M19" s="191">
        <v>27152779.940000001</v>
      </c>
      <c r="N19" s="191">
        <v>17383078.079999998</v>
      </c>
      <c r="O19" s="191">
        <v>10543582.140000001</v>
      </c>
      <c r="P19" s="191">
        <v>10874322.380000001</v>
      </c>
      <c r="Q19" s="191">
        <v>10874322.380000001</v>
      </c>
      <c r="R19" s="191">
        <v>9729124.8499999996</v>
      </c>
      <c r="S19" s="191">
        <v>9729124.8499999996</v>
      </c>
      <c r="T19" s="191">
        <v>9757413.4000000004</v>
      </c>
      <c r="U19" s="191">
        <v>9757413.4000000004</v>
      </c>
      <c r="V19" s="191">
        <v>9452578.0399999991</v>
      </c>
      <c r="W19" s="191">
        <v>9452578.0399999991</v>
      </c>
      <c r="X19" s="191">
        <v>9569252.8100000005</v>
      </c>
      <c r="Y19" s="191">
        <v>9569252.8100000005</v>
      </c>
      <c r="Z19" s="191">
        <v>7757046</v>
      </c>
      <c r="AA19" s="191">
        <v>7757046</v>
      </c>
      <c r="AB19" s="191">
        <v>8770793.0600000005</v>
      </c>
      <c r="AC19" s="191">
        <v>8770793.0600000005</v>
      </c>
      <c r="AD19" s="191">
        <v>8652923.2200000007</v>
      </c>
      <c r="AE19" s="191">
        <v>8652923.2200000007</v>
      </c>
      <c r="AF19" s="191">
        <v>8086976.54</v>
      </c>
      <c r="AG19" s="191">
        <v>7235745.2300000004</v>
      </c>
      <c r="AH19" s="191">
        <v>8140066.6500000004</v>
      </c>
      <c r="AI19" s="191">
        <v>0</v>
      </c>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c r="BH19" s="191"/>
      <c r="BI19" s="191"/>
      <c r="BJ19" s="191"/>
      <c r="BK19" s="191"/>
      <c r="BL19" s="191"/>
      <c r="BM19" s="191"/>
      <c r="BN19" s="191"/>
      <c r="BO19" s="191"/>
      <c r="BP19" s="191"/>
      <c r="BQ19" s="191"/>
      <c r="BR19" s="191"/>
      <c r="BS19" s="191"/>
      <c r="BT19" s="191"/>
      <c r="BU19" s="191"/>
      <c r="BV19" s="191"/>
      <c r="BW19" s="191"/>
      <c r="BX19" s="191"/>
      <c r="BY19" s="191"/>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1">
        <v>200000</v>
      </c>
      <c r="C22" s="191">
        <v>245995.03</v>
      </c>
      <c r="D22" s="191">
        <v>215924</v>
      </c>
      <c r="E22" s="191">
        <v>150000</v>
      </c>
      <c r="F22" s="191">
        <v>150000</v>
      </c>
      <c r="G22" s="191">
        <v>200000</v>
      </c>
      <c r="H22" s="191">
        <v>50000</v>
      </c>
      <c r="I22" s="191">
        <v>0</v>
      </c>
      <c r="J22" s="191">
        <v>0</v>
      </c>
      <c r="K22" s="191">
        <v>0</v>
      </c>
      <c r="L22" s="191">
        <v>300000</v>
      </c>
      <c r="M22" s="191">
        <v>0</v>
      </c>
      <c r="N22" s="191">
        <v>0</v>
      </c>
      <c r="O22" s="191">
        <v>250000</v>
      </c>
      <c r="P22" s="191">
        <v>0</v>
      </c>
      <c r="Q22" s="191">
        <v>0</v>
      </c>
      <c r="R22" s="191">
        <v>0</v>
      </c>
      <c r="S22" s="191">
        <v>0</v>
      </c>
      <c r="T22" s="191">
        <v>0</v>
      </c>
      <c r="U22" s="191">
        <v>0</v>
      </c>
      <c r="V22" s="191">
        <v>0</v>
      </c>
      <c r="W22" s="191">
        <v>0</v>
      </c>
      <c r="X22" s="191">
        <v>0</v>
      </c>
      <c r="Y22" s="191">
        <v>0</v>
      </c>
      <c r="Z22" s="191">
        <v>0</v>
      </c>
      <c r="AA22" s="191">
        <v>2021795.9</v>
      </c>
      <c r="AB22" s="191">
        <v>2890344.5</v>
      </c>
      <c r="AC22" s="191">
        <v>0</v>
      </c>
      <c r="AD22" s="191">
        <v>0</v>
      </c>
      <c r="AE22" s="191">
        <v>0</v>
      </c>
      <c r="AF22" s="191">
        <v>700000</v>
      </c>
      <c r="AG22" s="191">
        <v>0</v>
      </c>
      <c r="AH22" s="191">
        <v>0</v>
      </c>
      <c r="AI22" s="191">
        <v>0</v>
      </c>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c r="BO22" s="191"/>
      <c r="BP22" s="191"/>
      <c r="BQ22" s="191"/>
      <c r="BR22" s="191"/>
      <c r="BS22" s="191"/>
      <c r="BT22" s="191"/>
      <c r="BU22" s="191"/>
      <c r="BV22" s="191"/>
      <c r="BW22" s="191"/>
      <c r="BX22" s="191"/>
      <c r="BY22" s="191"/>
      <c r="BZ22" s="40"/>
      <c r="CA22" s="40"/>
      <c r="CB22" s="40"/>
      <c r="CC22" s="40"/>
      <c r="CD22" s="40"/>
      <c r="CE22" s="40"/>
      <c r="CF22" s="40"/>
      <c r="CG22" s="40"/>
      <c r="CH22" s="40"/>
      <c r="CI22" s="40"/>
      <c r="CJ22" s="40"/>
      <c r="CK22" s="40"/>
      <c r="CL22" s="40"/>
    </row>
    <row r="23" spans="1:90" x14ac:dyDescent="0.25">
      <c r="A23" s="17" t="s">
        <v>15</v>
      </c>
      <c r="B23" s="191">
        <v>457190186.55000001</v>
      </c>
      <c r="C23" s="191">
        <v>474913355.95999998</v>
      </c>
      <c r="D23" s="191">
        <v>410902234.14999998</v>
      </c>
      <c r="E23" s="191">
        <v>373451431.31</v>
      </c>
      <c r="F23" s="191">
        <v>347931994.82999998</v>
      </c>
      <c r="G23" s="191">
        <v>405676474.32999998</v>
      </c>
      <c r="H23" s="191">
        <v>313810139.07999998</v>
      </c>
      <c r="I23" s="191">
        <v>307783204.54000002</v>
      </c>
      <c r="J23" s="191">
        <v>260242607.81</v>
      </c>
      <c r="K23" s="191">
        <v>296398356.31999999</v>
      </c>
      <c r="L23" s="191">
        <v>269991616.93000001</v>
      </c>
      <c r="M23" s="191">
        <v>222867349.44</v>
      </c>
      <c r="N23" s="191">
        <v>88412590.75</v>
      </c>
      <c r="O23" s="191">
        <v>103816020.16</v>
      </c>
      <c r="P23" s="191">
        <v>64141687.369999997</v>
      </c>
      <c r="Q23" s="191">
        <v>187564063.86000001</v>
      </c>
      <c r="R23" s="191">
        <v>134053584.65000001</v>
      </c>
      <c r="S23" s="191">
        <v>150050878.96000001</v>
      </c>
      <c r="T23" s="191">
        <v>128964561.05</v>
      </c>
      <c r="U23" s="191">
        <v>139562369.38</v>
      </c>
      <c r="V23" s="191">
        <v>139746153.44</v>
      </c>
      <c r="W23" s="191">
        <v>142377419.00999999</v>
      </c>
      <c r="X23" s="191">
        <v>137417365.5</v>
      </c>
      <c r="Y23" s="191">
        <v>129806174.02</v>
      </c>
      <c r="Z23" s="191">
        <v>93912473.459999993</v>
      </c>
      <c r="AA23" s="191">
        <v>130530903.56</v>
      </c>
      <c r="AB23" s="191">
        <v>108929604.27</v>
      </c>
      <c r="AC23" s="191">
        <v>69329634.230000004</v>
      </c>
      <c r="AD23" s="191">
        <v>26735843.48</v>
      </c>
      <c r="AE23" s="191">
        <v>73948032.310000002</v>
      </c>
      <c r="AF23" s="191">
        <v>56862294.119999997</v>
      </c>
      <c r="AG23" s="191">
        <v>63810060.219999999</v>
      </c>
      <c r="AH23" s="191">
        <v>28635847.510000002</v>
      </c>
      <c r="AI23" s="191">
        <v>0</v>
      </c>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c r="BN23" s="191"/>
      <c r="BO23" s="191"/>
      <c r="BP23" s="191"/>
      <c r="BQ23" s="191"/>
      <c r="BR23" s="191"/>
      <c r="BS23" s="191"/>
      <c r="BT23" s="191"/>
      <c r="BU23" s="191"/>
      <c r="BV23" s="191"/>
      <c r="BW23" s="191"/>
      <c r="BX23" s="191"/>
      <c r="BY23" s="191"/>
      <c r="BZ23" s="40"/>
      <c r="CA23" s="40"/>
      <c r="CB23" s="40"/>
      <c r="CC23" s="40"/>
      <c r="CD23" s="40"/>
      <c r="CE23" s="40"/>
      <c r="CF23" s="40"/>
      <c r="CG23" s="40"/>
      <c r="CH23" s="40"/>
      <c r="CI23" s="40"/>
      <c r="CJ23" s="40"/>
      <c r="CK23" s="40"/>
      <c r="CL23" s="40"/>
    </row>
    <row r="24" spans="1:90" x14ac:dyDescent="0.25">
      <c r="A24" s="17" t="s">
        <v>16</v>
      </c>
      <c r="B24" s="191">
        <v>27989384.73</v>
      </c>
      <c r="C24" s="191">
        <v>28174278.510000002</v>
      </c>
      <c r="D24" s="191">
        <v>35750698.869999997</v>
      </c>
      <c r="E24" s="191">
        <v>16430807.369999999</v>
      </c>
      <c r="F24" s="191">
        <v>26347563.100000001</v>
      </c>
      <c r="G24" s="191">
        <v>17028922.52</v>
      </c>
      <c r="H24" s="191">
        <v>20455038.829999998</v>
      </c>
      <c r="I24" s="191">
        <v>9276964.5700000003</v>
      </c>
      <c r="J24" s="191">
        <v>13217972</v>
      </c>
      <c r="K24" s="191">
        <v>15560880.02</v>
      </c>
      <c r="L24" s="191">
        <v>14278129.439999999</v>
      </c>
      <c r="M24" s="191">
        <v>7496965.7300000004</v>
      </c>
      <c r="N24" s="191">
        <v>16994138.399999999</v>
      </c>
      <c r="O24" s="191">
        <v>11305014.26</v>
      </c>
      <c r="P24" s="191">
        <v>8490318.7899999991</v>
      </c>
      <c r="Q24" s="191">
        <v>8104557.8399999999</v>
      </c>
      <c r="R24" s="191">
        <v>30787904.620000001</v>
      </c>
      <c r="S24" s="191">
        <v>17307519.850000001</v>
      </c>
      <c r="T24" s="191">
        <v>20586311.920000002</v>
      </c>
      <c r="U24" s="191">
        <v>11808182.1</v>
      </c>
      <c r="V24" s="191">
        <v>15424653.300000001</v>
      </c>
      <c r="W24" s="191">
        <v>19715557.359999999</v>
      </c>
      <c r="X24" s="191">
        <v>21883154.760000002</v>
      </c>
      <c r="Y24" s="191">
        <v>19571910.260000002</v>
      </c>
      <c r="Z24" s="191">
        <v>22571122.300000001</v>
      </c>
      <c r="AA24" s="191">
        <v>39704930.030000001</v>
      </c>
      <c r="AB24" s="191">
        <v>21889293.039999999</v>
      </c>
      <c r="AC24" s="191">
        <v>14169699.310000001</v>
      </c>
      <c r="AD24" s="191">
        <v>17268750.989999998</v>
      </c>
      <c r="AE24" s="191">
        <v>16816626.960000001</v>
      </c>
      <c r="AF24" s="191">
        <v>8472559.4700000007</v>
      </c>
      <c r="AG24" s="191">
        <v>6859299.8099999996</v>
      </c>
      <c r="AH24" s="191">
        <v>3387968.79</v>
      </c>
      <c r="AI24" s="191">
        <v>0</v>
      </c>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c r="BH24" s="191"/>
      <c r="BI24" s="191"/>
      <c r="BJ24" s="191"/>
      <c r="BK24" s="191"/>
      <c r="BL24" s="191"/>
      <c r="BM24" s="191"/>
      <c r="BN24" s="191"/>
      <c r="BO24" s="191"/>
      <c r="BP24" s="191"/>
      <c r="BQ24" s="191"/>
      <c r="BR24" s="191"/>
      <c r="BS24" s="191"/>
      <c r="BT24" s="191"/>
      <c r="BU24" s="191"/>
      <c r="BV24" s="191"/>
      <c r="BW24" s="191"/>
      <c r="BX24" s="191"/>
      <c r="BY24" s="191"/>
      <c r="BZ24" s="40"/>
      <c r="CA24" s="40"/>
      <c r="CB24" s="40"/>
      <c r="CC24" s="40"/>
      <c r="CD24" s="40"/>
      <c r="CE24" s="40"/>
      <c r="CF24" s="40"/>
      <c r="CG24" s="40"/>
      <c r="CH24" s="40"/>
      <c r="CI24" s="40"/>
      <c r="CJ24" s="40"/>
      <c r="CK24" s="40"/>
      <c r="CL24" s="40"/>
    </row>
    <row r="25" spans="1:90" x14ac:dyDescent="0.25">
      <c r="A25" s="17" t="s">
        <v>17</v>
      </c>
      <c r="B25" s="191">
        <v>19937282.710000001</v>
      </c>
      <c r="C25" s="191">
        <v>37125081.630000003</v>
      </c>
      <c r="D25" s="191">
        <v>35043837.350000001</v>
      </c>
      <c r="E25" s="191">
        <v>20183993.539999999</v>
      </c>
      <c r="F25" s="191">
        <v>19551545.969999999</v>
      </c>
      <c r="G25" s="191">
        <v>19769029.32</v>
      </c>
      <c r="H25" s="191">
        <v>20214448.02</v>
      </c>
      <c r="I25" s="191">
        <v>22495177.010000002</v>
      </c>
      <c r="J25" s="191">
        <v>12955267.68</v>
      </c>
      <c r="K25" s="191">
        <v>10682420.949999999</v>
      </c>
      <c r="L25" s="191">
        <v>37340759.840000004</v>
      </c>
      <c r="M25" s="191">
        <v>5812950.0099999998</v>
      </c>
      <c r="N25" s="191">
        <v>8009865.1900000004</v>
      </c>
      <c r="O25" s="191">
        <v>6727090.9699999997</v>
      </c>
      <c r="P25" s="191">
        <v>7434514.1600000001</v>
      </c>
      <c r="Q25" s="191">
        <v>5572281.7999999998</v>
      </c>
      <c r="R25" s="191">
        <v>13651129.630000001</v>
      </c>
      <c r="S25" s="191">
        <v>6774735.7800000003</v>
      </c>
      <c r="T25" s="191">
        <v>6429637.2400000002</v>
      </c>
      <c r="U25" s="191">
        <v>6586460.2800000003</v>
      </c>
      <c r="V25" s="191">
        <v>6255076.7300000004</v>
      </c>
      <c r="W25" s="191">
        <v>6106708.0099999998</v>
      </c>
      <c r="X25" s="191">
        <v>6493551.2699999996</v>
      </c>
      <c r="Y25" s="191">
        <v>3459452.6</v>
      </c>
      <c r="Z25" s="191">
        <v>7525596.2000000002</v>
      </c>
      <c r="AA25" s="191">
        <v>4907998.07</v>
      </c>
      <c r="AB25" s="191">
        <v>6183559.4299999997</v>
      </c>
      <c r="AC25" s="191">
        <v>6151751.8700000001</v>
      </c>
      <c r="AD25" s="191">
        <v>6434584.7300000004</v>
      </c>
      <c r="AE25" s="191">
        <v>7853661.7699999996</v>
      </c>
      <c r="AF25" s="191">
        <v>3474200.07</v>
      </c>
      <c r="AG25" s="191">
        <v>1846889.36</v>
      </c>
      <c r="AH25" s="191">
        <v>1502403.77</v>
      </c>
      <c r="AI25" s="191">
        <v>0</v>
      </c>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c r="BN25" s="191"/>
      <c r="BO25" s="191"/>
      <c r="BP25" s="191"/>
      <c r="BQ25" s="191"/>
      <c r="BR25" s="191"/>
      <c r="BS25" s="191"/>
      <c r="BT25" s="191"/>
      <c r="BU25" s="191"/>
      <c r="BV25" s="191"/>
      <c r="BW25" s="191"/>
      <c r="BX25" s="191"/>
      <c r="BY25" s="191"/>
      <c r="BZ25" s="40"/>
      <c r="CA25" s="40"/>
      <c r="CB25" s="40"/>
      <c r="CC25" s="40"/>
      <c r="CD25" s="40"/>
      <c r="CE25" s="40"/>
      <c r="CF25" s="40"/>
      <c r="CG25" s="40"/>
      <c r="CH25" s="40"/>
      <c r="CI25" s="40"/>
      <c r="CJ25" s="40"/>
      <c r="CK25" s="40"/>
      <c r="CL25" s="40"/>
    </row>
    <row r="26" spans="1:90" x14ac:dyDescent="0.25">
      <c r="A26" s="17" t="s">
        <v>18</v>
      </c>
      <c r="B26" s="191">
        <v>800982418.14999998</v>
      </c>
      <c r="C26" s="191">
        <v>692097814.60000002</v>
      </c>
      <c r="D26" s="191">
        <v>664238165.96000004</v>
      </c>
      <c r="E26" s="191">
        <v>693441799.19000006</v>
      </c>
      <c r="F26" s="191">
        <v>664605855.32000005</v>
      </c>
      <c r="G26" s="191">
        <v>638743101.07000005</v>
      </c>
      <c r="H26" s="191">
        <v>644547802.22000003</v>
      </c>
      <c r="I26" s="191">
        <v>697079591.05999994</v>
      </c>
      <c r="J26" s="191">
        <v>681821488.59000003</v>
      </c>
      <c r="K26" s="191">
        <v>592297432.84000003</v>
      </c>
      <c r="L26" s="191">
        <v>521266645.61000001</v>
      </c>
      <c r="M26" s="191">
        <v>390328020.83999997</v>
      </c>
      <c r="N26" s="191">
        <v>441613151.01999998</v>
      </c>
      <c r="O26" s="191">
        <v>387700988.93000001</v>
      </c>
      <c r="P26" s="191">
        <v>342844806.60000002</v>
      </c>
      <c r="Q26" s="191">
        <v>289896370.81999999</v>
      </c>
      <c r="R26" s="191">
        <v>312193074.07999998</v>
      </c>
      <c r="S26" s="191">
        <v>288874923.70999998</v>
      </c>
      <c r="T26" s="191">
        <v>306601886.50999999</v>
      </c>
      <c r="U26" s="191">
        <v>285245447.89999998</v>
      </c>
      <c r="V26" s="191">
        <v>272899559.27999997</v>
      </c>
      <c r="W26" s="191">
        <v>272276630.54000002</v>
      </c>
      <c r="X26" s="191">
        <v>273104736.24000001</v>
      </c>
      <c r="Y26" s="191">
        <v>256470646.41</v>
      </c>
      <c r="Z26" s="191">
        <v>234456271.97</v>
      </c>
      <c r="AA26" s="191">
        <v>215824597.50999999</v>
      </c>
      <c r="AB26" s="191">
        <v>224156467.27000001</v>
      </c>
      <c r="AC26" s="191">
        <v>224490389.49000001</v>
      </c>
      <c r="AD26" s="191">
        <v>227799281.63</v>
      </c>
      <c r="AE26" s="191">
        <v>213187752.13</v>
      </c>
      <c r="AF26" s="191">
        <v>227794263.31</v>
      </c>
      <c r="AG26" s="191">
        <v>196151344.22</v>
      </c>
      <c r="AH26" s="191">
        <v>223636319.30000001</v>
      </c>
      <c r="AI26" s="191">
        <v>0</v>
      </c>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40"/>
      <c r="CA26" s="40"/>
      <c r="CB26" s="40"/>
      <c r="CC26" s="40"/>
      <c r="CD26" s="40"/>
      <c r="CE26" s="40"/>
      <c r="CF26" s="40"/>
      <c r="CG26" s="40"/>
      <c r="CH26" s="40"/>
      <c r="CI26" s="40"/>
      <c r="CJ26" s="40"/>
      <c r="CK26" s="40"/>
      <c r="CL26" s="40"/>
    </row>
    <row r="27" spans="1:90" x14ac:dyDescent="0.25">
      <c r="A27" s="17" t="s">
        <v>19</v>
      </c>
      <c r="B27" s="191">
        <v>184126598.31</v>
      </c>
      <c r="C27" s="191">
        <v>276214511.33999997</v>
      </c>
      <c r="D27" s="191">
        <v>6675989.5800000001</v>
      </c>
      <c r="E27" s="191">
        <v>362063244.63999999</v>
      </c>
      <c r="F27" s="191">
        <v>358072392.25</v>
      </c>
      <c r="G27" s="191">
        <v>287386955.77999997</v>
      </c>
      <c r="H27" s="191">
        <v>287183944.5</v>
      </c>
      <c r="I27" s="191">
        <v>402490320.44999999</v>
      </c>
      <c r="J27" s="191">
        <v>434195085.63999999</v>
      </c>
      <c r="K27" s="191">
        <v>506344099.74000001</v>
      </c>
      <c r="L27" s="191">
        <v>371923683.51999998</v>
      </c>
      <c r="M27" s="191">
        <v>510909151.82999998</v>
      </c>
      <c r="N27" s="191">
        <v>513344472.51999998</v>
      </c>
      <c r="O27" s="191">
        <v>513708534.76999998</v>
      </c>
      <c r="P27" s="191">
        <v>3529610.76</v>
      </c>
      <c r="Q27" s="191">
        <v>2498093.12</v>
      </c>
      <c r="R27" s="191">
        <v>0</v>
      </c>
      <c r="S27" s="191">
        <v>0</v>
      </c>
      <c r="T27" s="191">
        <v>0</v>
      </c>
      <c r="U27" s="191">
        <v>0</v>
      </c>
      <c r="V27" s="191">
        <v>0</v>
      </c>
      <c r="W27" s="191">
        <v>0</v>
      </c>
      <c r="X27" s="191">
        <v>0</v>
      </c>
      <c r="Y27" s="191">
        <v>0</v>
      </c>
      <c r="Z27" s="191">
        <v>0</v>
      </c>
      <c r="AA27" s="191">
        <v>0</v>
      </c>
      <c r="AB27" s="191">
        <v>0</v>
      </c>
      <c r="AC27" s="191">
        <v>0</v>
      </c>
      <c r="AD27" s="191">
        <v>0</v>
      </c>
      <c r="AE27" s="191">
        <v>0</v>
      </c>
      <c r="AF27" s="191">
        <v>0</v>
      </c>
      <c r="AG27" s="191">
        <v>0</v>
      </c>
      <c r="AH27" s="191">
        <v>0</v>
      </c>
      <c r="AI27" s="191">
        <v>0</v>
      </c>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c r="BL27" s="191"/>
      <c r="BM27" s="191"/>
      <c r="BN27" s="191"/>
      <c r="BO27" s="191"/>
      <c r="BP27" s="191"/>
      <c r="BQ27" s="191"/>
      <c r="BR27" s="191"/>
      <c r="BS27" s="191"/>
      <c r="BT27" s="191"/>
      <c r="BU27" s="191"/>
      <c r="BV27" s="191"/>
      <c r="BW27" s="191"/>
      <c r="BX27" s="191"/>
      <c r="BY27" s="191"/>
      <c r="BZ27" s="40"/>
      <c r="CA27" s="40"/>
      <c r="CB27" s="40"/>
      <c r="CC27" s="40"/>
      <c r="CD27" s="40"/>
      <c r="CE27" s="40"/>
      <c r="CF27" s="40"/>
      <c r="CG27" s="40"/>
      <c r="CH27" s="40"/>
      <c r="CI27" s="40"/>
      <c r="CJ27" s="40"/>
      <c r="CK27" s="40"/>
      <c r="CL27" s="40"/>
    </row>
    <row r="28" spans="1:90" x14ac:dyDescent="0.25">
      <c r="A28" s="17" t="s">
        <v>76</v>
      </c>
      <c r="B28" s="191">
        <v>0</v>
      </c>
      <c r="C28" s="191">
        <v>0</v>
      </c>
      <c r="D28" s="191">
        <v>0</v>
      </c>
      <c r="E28" s="191">
        <v>0</v>
      </c>
      <c r="F28" s="191">
        <v>0</v>
      </c>
      <c r="G28" s="191">
        <v>0</v>
      </c>
      <c r="H28" s="191">
        <v>0</v>
      </c>
      <c r="I28" s="191">
        <v>0</v>
      </c>
      <c r="J28" s="191">
        <v>0</v>
      </c>
      <c r="K28" s="191">
        <v>0</v>
      </c>
      <c r="L28" s="191">
        <v>0</v>
      </c>
      <c r="M28" s="191">
        <v>0</v>
      </c>
      <c r="N28" s="191">
        <v>0</v>
      </c>
      <c r="O28" s="191">
        <v>0</v>
      </c>
      <c r="P28" s="191">
        <v>0</v>
      </c>
      <c r="Q28" s="191">
        <v>0</v>
      </c>
      <c r="R28" s="191">
        <v>0</v>
      </c>
      <c r="S28" s="191">
        <v>0</v>
      </c>
      <c r="T28" s="191">
        <v>0</v>
      </c>
      <c r="U28" s="191">
        <v>0</v>
      </c>
      <c r="V28" s="191">
        <v>0</v>
      </c>
      <c r="W28" s="191">
        <v>0</v>
      </c>
      <c r="X28" s="191">
        <v>0</v>
      </c>
      <c r="Y28" s="191">
        <v>0</v>
      </c>
      <c r="Z28" s="191">
        <v>0</v>
      </c>
      <c r="AA28" s="191">
        <v>0</v>
      </c>
      <c r="AB28" s="191">
        <v>0</v>
      </c>
      <c r="AC28" s="191">
        <v>0</v>
      </c>
      <c r="AD28" s="191">
        <v>0</v>
      </c>
      <c r="AE28" s="191">
        <v>0</v>
      </c>
      <c r="AF28" s="191">
        <v>0</v>
      </c>
      <c r="AG28" s="191">
        <v>0</v>
      </c>
      <c r="AH28" s="191">
        <v>0</v>
      </c>
      <c r="AI28" s="191">
        <v>0</v>
      </c>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c r="BH28" s="191"/>
      <c r="BI28" s="191"/>
      <c r="BJ28" s="191"/>
      <c r="BK28" s="191"/>
      <c r="BL28" s="191"/>
      <c r="BM28" s="191"/>
      <c r="BN28" s="191"/>
      <c r="BO28" s="191"/>
      <c r="BP28" s="191"/>
      <c r="BQ28" s="191"/>
      <c r="BR28" s="191"/>
      <c r="BS28" s="191"/>
      <c r="BT28" s="191"/>
      <c r="BU28" s="191"/>
      <c r="BV28" s="191"/>
      <c r="BW28" s="191"/>
      <c r="BX28" s="191"/>
      <c r="BY28" s="191"/>
      <c r="BZ28" s="40"/>
      <c r="CA28" s="40"/>
      <c r="CB28" s="40"/>
      <c r="CC28" s="40"/>
      <c r="CD28" s="40"/>
      <c r="CE28" s="40"/>
      <c r="CF28" s="40"/>
      <c r="CG28" s="40"/>
      <c r="CH28" s="40"/>
      <c r="CI28" s="40"/>
      <c r="CJ28" s="40"/>
      <c r="CK28" s="40"/>
      <c r="CL28" s="40"/>
    </row>
    <row r="29" spans="1:90" x14ac:dyDescent="0.25">
      <c r="A29" s="17" t="s">
        <v>3</v>
      </c>
      <c r="B29" s="191">
        <v>0</v>
      </c>
      <c r="C29" s="191">
        <v>0</v>
      </c>
      <c r="D29" s="191">
        <v>0</v>
      </c>
      <c r="E29" s="191">
        <v>0</v>
      </c>
      <c r="F29" s="191">
        <v>0</v>
      </c>
      <c r="G29" s="191">
        <v>0</v>
      </c>
      <c r="H29" s="191">
        <v>0</v>
      </c>
      <c r="I29" s="191">
        <v>0</v>
      </c>
      <c r="J29" s="191">
        <v>0</v>
      </c>
      <c r="K29" s="191">
        <v>0</v>
      </c>
      <c r="L29" s="191">
        <v>0</v>
      </c>
      <c r="M29" s="191">
        <v>0</v>
      </c>
      <c r="N29" s="191">
        <v>0</v>
      </c>
      <c r="O29" s="191">
        <v>0</v>
      </c>
      <c r="P29" s="191">
        <v>0</v>
      </c>
      <c r="Q29" s="191">
        <v>0</v>
      </c>
      <c r="R29" s="191">
        <v>0</v>
      </c>
      <c r="S29" s="191">
        <v>0</v>
      </c>
      <c r="T29" s="191">
        <v>0</v>
      </c>
      <c r="U29" s="191">
        <v>0</v>
      </c>
      <c r="V29" s="191">
        <v>0</v>
      </c>
      <c r="W29" s="191">
        <v>0</v>
      </c>
      <c r="X29" s="191">
        <v>0</v>
      </c>
      <c r="Y29" s="191">
        <v>0</v>
      </c>
      <c r="Z29" s="191">
        <v>0</v>
      </c>
      <c r="AA29" s="191">
        <v>0</v>
      </c>
      <c r="AB29" s="191">
        <v>0</v>
      </c>
      <c r="AC29" s="191">
        <v>0</v>
      </c>
      <c r="AD29" s="191">
        <v>0</v>
      </c>
      <c r="AE29" s="191">
        <v>0</v>
      </c>
      <c r="AF29" s="191">
        <v>0</v>
      </c>
      <c r="AG29" s="191">
        <v>0</v>
      </c>
      <c r="AH29" s="191">
        <v>0</v>
      </c>
      <c r="AI29" s="191">
        <v>0</v>
      </c>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c r="BH29" s="191"/>
      <c r="BI29" s="191"/>
      <c r="BJ29" s="191"/>
      <c r="BK29" s="191"/>
      <c r="BL29" s="191"/>
      <c r="BM29" s="191"/>
      <c r="BN29" s="191"/>
      <c r="BO29" s="191"/>
      <c r="BP29" s="191"/>
      <c r="BQ29" s="191"/>
      <c r="BR29" s="191"/>
      <c r="BS29" s="191"/>
      <c r="BT29" s="191"/>
      <c r="BU29" s="191"/>
      <c r="BV29" s="191"/>
      <c r="BW29" s="191"/>
      <c r="BX29" s="191"/>
      <c r="BY29" s="191"/>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1">
        <v>0</v>
      </c>
      <c r="C35" s="191">
        <v>0</v>
      </c>
      <c r="D35" s="191">
        <v>0</v>
      </c>
      <c r="E35" s="191">
        <v>0</v>
      </c>
      <c r="F35" s="191">
        <v>0</v>
      </c>
      <c r="G35" s="191">
        <v>0</v>
      </c>
      <c r="H35" s="191">
        <v>0</v>
      </c>
      <c r="I35" s="191">
        <v>0</v>
      </c>
      <c r="J35" s="191">
        <v>0</v>
      </c>
      <c r="K35" s="191">
        <v>0</v>
      </c>
      <c r="L35" s="191">
        <v>0</v>
      </c>
      <c r="M35" s="191">
        <v>0</v>
      </c>
      <c r="N35" s="191">
        <v>0</v>
      </c>
      <c r="O35" s="191">
        <v>0</v>
      </c>
      <c r="P35" s="191">
        <v>0</v>
      </c>
      <c r="Q35" s="191">
        <v>0</v>
      </c>
      <c r="R35" s="191">
        <v>0</v>
      </c>
      <c r="S35" s="191">
        <v>0</v>
      </c>
      <c r="T35" s="191">
        <v>0</v>
      </c>
      <c r="U35" s="191">
        <v>0</v>
      </c>
      <c r="V35" s="191">
        <v>0</v>
      </c>
      <c r="W35" s="191">
        <v>0</v>
      </c>
      <c r="X35" s="191">
        <v>0</v>
      </c>
      <c r="Y35" s="191">
        <v>0</v>
      </c>
      <c r="Z35" s="191">
        <v>0</v>
      </c>
      <c r="AA35" s="191">
        <v>0</v>
      </c>
      <c r="AB35" s="191">
        <v>0</v>
      </c>
      <c r="AC35" s="191">
        <v>0</v>
      </c>
      <c r="AD35" s="191">
        <v>0</v>
      </c>
      <c r="AE35" s="191">
        <v>0</v>
      </c>
      <c r="AF35" s="191">
        <v>0</v>
      </c>
      <c r="AG35" s="191">
        <v>0</v>
      </c>
      <c r="AH35" s="191">
        <v>0</v>
      </c>
      <c r="AI35" s="191">
        <v>0</v>
      </c>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c r="BH35" s="191"/>
      <c r="BI35" s="191"/>
      <c r="BJ35" s="191"/>
      <c r="BK35" s="191"/>
      <c r="BL35" s="191"/>
      <c r="BM35" s="191"/>
      <c r="BN35" s="191"/>
      <c r="BO35" s="191"/>
      <c r="BP35" s="191"/>
      <c r="BQ35" s="191"/>
      <c r="BR35" s="191"/>
      <c r="BS35" s="191"/>
      <c r="BT35" s="191"/>
      <c r="BU35" s="191"/>
      <c r="BV35" s="191"/>
      <c r="BW35" s="191"/>
      <c r="BX35" s="191"/>
      <c r="BY35" s="191"/>
      <c r="BZ35" s="40"/>
      <c r="CA35" s="40"/>
      <c r="CB35" s="40"/>
      <c r="CC35" s="40"/>
      <c r="CD35" s="40"/>
      <c r="CE35" s="40"/>
      <c r="CF35" s="40"/>
      <c r="CG35" s="40"/>
      <c r="CH35" s="40"/>
      <c r="CI35" s="40"/>
      <c r="CJ35" s="40"/>
      <c r="CK35" s="40"/>
      <c r="CL35" s="40"/>
    </row>
    <row r="36" spans="1:90" x14ac:dyDescent="0.25">
      <c r="A36" s="17" t="s">
        <v>22</v>
      </c>
      <c r="B36" s="191">
        <v>0</v>
      </c>
      <c r="C36" s="191">
        <v>217506390.21000001</v>
      </c>
      <c r="D36" s="191">
        <v>205786252.25999999</v>
      </c>
      <c r="E36" s="191">
        <v>259242594.13999999</v>
      </c>
      <c r="F36" s="191">
        <v>251602181.19999999</v>
      </c>
      <c r="G36" s="191">
        <v>269053636.76999998</v>
      </c>
      <c r="H36" s="191">
        <v>235753116.55000001</v>
      </c>
      <c r="I36" s="191">
        <v>259842770.03</v>
      </c>
      <c r="J36" s="191">
        <v>236441117.68000001</v>
      </c>
      <c r="K36" s="191">
        <v>260548703.13999999</v>
      </c>
      <c r="L36" s="191">
        <v>280918166.41000003</v>
      </c>
      <c r="M36" s="191">
        <v>318922914.27999997</v>
      </c>
      <c r="N36" s="191">
        <v>225404975.72</v>
      </c>
      <c r="O36" s="191">
        <v>180706111.16</v>
      </c>
      <c r="P36" s="191">
        <v>140315224.65000001</v>
      </c>
      <c r="Q36" s="191">
        <v>148483465.80000001</v>
      </c>
      <c r="R36" s="191">
        <v>153736434.63999999</v>
      </c>
      <c r="S36" s="191">
        <v>136140102.69999999</v>
      </c>
      <c r="T36" s="191">
        <v>143567111.81999999</v>
      </c>
      <c r="U36" s="191">
        <v>149029418.02000001</v>
      </c>
      <c r="V36" s="191">
        <v>127096063.15000001</v>
      </c>
      <c r="W36" s="191">
        <v>129330219.93000001</v>
      </c>
      <c r="X36" s="191">
        <v>141333030.47</v>
      </c>
      <c r="Y36" s="191">
        <v>144768187.38</v>
      </c>
      <c r="Z36" s="191">
        <v>90962137.049999997</v>
      </c>
      <c r="AA36" s="191">
        <v>86833174.109999999</v>
      </c>
      <c r="AB36" s="191">
        <v>89647964.659999996</v>
      </c>
      <c r="AC36" s="191">
        <v>89376649.379999995</v>
      </c>
      <c r="AD36" s="191">
        <v>89927590.230000004</v>
      </c>
      <c r="AE36" s="191">
        <v>95645357.810000002</v>
      </c>
      <c r="AF36" s="191">
        <v>77977867.230000004</v>
      </c>
      <c r="AG36" s="191">
        <v>28273560.960000001</v>
      </c>
      <c r="AH36" s="191">
        <v>34648761.43</v>
      </c>
      <c r="AI36" s="191">
        <v>0</v>
      </c>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c r="BN36" s="191"/>
      <c r="BO36" s="191"/>
      <c r="BP36" s="191"/>
      <c r="BQ36" s="191"/>
      <c r="BR36" s="191"/>
      <c r="BS36" s="191"/>
      <c r="BT36" s="191"/>
      <c r="BU36" s="191"/>
      <c r="BV36" s="191"/>
      <c r="BW36" s="191"/>
      <c r="BX36" s="191"/>
      <c r="BY36" s="191"/>
      <c r="BZ36" s="40"/>
      <c r="CA36" s="40"/>
      <c r="CB36" s="40"/>
      <c r="CC36" s="40"/>
      <c r="CD36" s="40"/>
      <c r="CE36" s="40"/>
      <c r="CF36" s="40"/>
      <c r="CG36" s="40"/>
      <c r="CH36" s="40"/>
      <c r="CI36" s="40"/>
      <c r="CJ36" s="40"/>
      <c r="CK36" s="40"/>
      <c r="CL36" s="40"/>
    </row>
    <row r="37" spans="1:90" x14ac:dyDescent="0.25">
      <c r="A37" s="17" t="s">
        <v>23</v>
      </c>
      <c r="B37" s="191">
        <v>37677413.530000001</v>
      </c>
      <c r="C37" s="191">
        <v>15834630.83</v>
      </c>
      <c r="D37" s="191">
        <v>19213908.489999998</v>
      </c>
      <c r="E37" s="191">
        <v>2206717.0099999998</v>
      </c>
      <c r="F37" s="191">
        <v>18761336.550000001</v>
      </c>
      <c r="G37" s="191">
        <v>20081627.260000002</v>
      </c>
      <c r="H37" s="191">
        <v>19320789.170000002</v>
      </c>
      <c r="I37" s="191">
        <v>1799513.57</v>
      </c>
      <c r="J37" s="191">
        <v>10312673.84</v>
      </c>
      <c r="K37" s="191">
        <v>8869768.8699999992</v>
      </c>
      <c r="L37" s="191">
        <v>788083.11</v>
      </c>
      <c r="M37" s="191">
        <v>476642.49</v>
      </c>
      <c r="N37" s="191">
        <v>6478353.0499999998</v>
      </c>
      <c r="O37" s="191">
        <v>1486485.68</v>
      </c>
      <c r="P37" s="191">
        <v>924314.22</v>
      </c>
      <c r="Q37" s="191">
        <v>757140.96</v>
      </c>
      <c r="R37" s="191">
        <v>430707.16</v>
      </c>
      <c r="S37" s="191">
        <v>54015.94</v>
      </c>
      <c r="T37" s="191">
        <v>287329.27</v>
      </c>
      <c r="U37" s="191">
        <v>280507.63</v>
      </c>
      <c r="V37" s="191">
        <v>674364.47</v>
      </c>
      <c r="W37" s="191">
        <v>11145.9</v>
      </c>
      <c r="X37" s="191">
        <v>232807.01</v>
      </c>
      <c r="Y37" s="191">
        <v>85151.15</v>
      </c>
      <c r="Z37" s="191">
        <v>397181.59</v>
      </c>
      <c r="AA37" s="191">
        <v>344580</v>
      </c>
      <c r="AB37" s="191">
        <v>591708.96</v>
      </c>
      <c r="AC37" s="191">
        <v>1200</v>
      </c>
      <c r="AD37" s="191">
        <v>120600</v>
      </c>
      <c r="AE37" s="191">
        <v>139838.96</v>
      </c>
      <c r="AF37" s="191">
        <v>192762.5</v>
      </c>
      <c r="AG37" s="191">
        <v>73642.14</v>
      </c>
      <c r="AH37" s="191">
        <v>1537.79</v>
      </c>
      <c r="AI37" s="191">
        <v>0</v>
      </c>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c r="BH37" s="191"/>
      <c r="BI37" s="191"/>
      <c r="BJ37" s="191"/>
      <c r="BK37" s="191"/>
      <c r="BL37" s="191"/>
      <c r="BM37" s="191"/>
      <c r="BN37" s="191"/>
      <c r="BO37" s="191"/>
      <c r="BP37" s="191"/>
      <c r="BQ37" s="191"/>
      <c r="BR37" s="191"/>
      <c r="BS37" s="191"/>
      <c r="BT37" s="191"/>
      <c r="BU37" s="191"/>
      <c r="BV37" s="191"/>
      <c r="BW37" s="191"/>
      <c r="BX37" s="191"/>
      <c r="BY37" s="191"/>
      <c r="BZ37" s="40"/>
      <c r="CA37" s="40"/>
      <c r="CB37" s="40"/>
      <c r="CC37" s="40"/>
      <c r="CD37" s="40"/>
      <c r="CE37" s="40"/>
      <c r="CF37" s="40"/>
      <c r="CG37" s="40"/>
      <c r="CH37" s="40"/>
      <c r="CI37" s="40"/>
      <c r="CJ37" s="40"/>
      <c r="CK37" s="40"/>
      <c r="CL37" s="40"/>
    </row>
    <row r="38" spans="1:90" x14ac:dyDescent="0.25">
      <c r="A38" s="17" t="s">
        <v>24</v>
      </c>
      <c r="B38" s="191">
        <v>0</v>
      </c>
      <c r="C38" s="191">
        <v>0</v>
      </c>
      <c r="D38" s="191">
        <v>0</v>
      </c>
      <c r="E38" s="191">
        <v>0</v>
      </c>
      <c r="F38" s="191">
        <v>0</v>
      </c>
      <c r="G38" s="191">
        <v>0</v>
      </c>
      <c r="H38" s="191">
        <v>0</v>
      </c>
      <c r="I38" s="191">
        <v>0</v>
      </c>
      <c r="J38" s="191">
        <v>0</v>
      </c>
      <c r="K38" s="191">
        <v>0</v>
      </c>
      <c r="L38" s="191">
        <v>0</v>
      </c>
      <c r="M38" s="191">
        <v>0</v>
      </c>
      <c r="N38" s="191">
        <v>0</v>
      </c>
      <c r="O38" s="191">
        <v>0</v>
      </c>
      <c r="P38" s="191">
        <v>0</v>
      </c>
      <c r="Q38" s="191">
        <v>0</v>
      </c>
      <c r="R38" s="191">
        <v>0</v>
      </c>
      <c r="S38" s="191">
        <v>0</v>
      </c>
      <c r="T38" s="191">
        <v>0</v>
      </c>
      <c r="U38" s="191">
        <v>0</v>
      </c>
      <c r="V38" s="191">
        <v>0</v>
      </c>
      <c r="W38" s="191">
        <v>0</v>
      </c>
      <c r="X38" s="191">
        <v>0</v>
      </c>
      <c r="Y38" s="191">
        <v>0</v>
      </c>
      <c r="Z38" s="191">
        <v>0</v>
      </c>
      <c r="AA38" s="191">
        <v>0</v>
      </c>
      <c r="AB38" s="191">
        <v>0</v>
      </c>
      <c r="AC38" s="191">
        <v>0</v>
      </c>
      <c r="AD38" s="191">
        <v>0</v>
      </c>
      <c r="AE38" s="191">
        <v>0</v>
      </c>
      <c r="AF38" s="191">
        <v>0</v>
      </c>
      <c r="AG38" s="191">
        <v>0</v>
      </c>
      <c r="AH38" s="191">
        <v>0</v>
      </c>
      <c r="AI38" s="191">
        <v>0</v>
      </c>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c r="BH38" s="191"/>
      <c r="BI38" s="191"/>
      <c r="BJ38" s="191"/>
      <c r="BK38" s="191"/>
      <c r="BL38" s="191"/>
      <c r="BM38" s="191"/>
      <c r="BN38" s="191"/>
      <c r="BO38" s="191"/>
      <c r="BP38" s="191"/>
      <c r="BQ38" s="191"/>
      <c r="BR38" s="191"/>
      <c r="BS38" s="191"/>
      <c r="BT38" s="191"/>
      <c r="BU38" s="191"/>
      <c r="BV38" s="191"/>
      <c r="BW38" s="191"/>
      <c r="BX38" s="191"/>
      <c r="BY38" s="191"/>
      <c r="BZ38" s="40"/>
      <c r="CA38" s="40"/>
      <c r="CB38" s="40"/>
      <c r="CC38" s="40"/>
      <c r="CD38" s="40"/>
      <c r="CE38" s="40"/>
      <c r="CF38" s="40"/>
      <c r="CG38" s="40"/>
      <c r="CH38" s="40"/>
      <c r="CI38" s="40"/>
      <c r="CJ38" s="40"/>
      <c r="CK38" s="40"/>
      <c r="CL38" s="40"/>
    </row>
    <row r="39" spans="1:90" x14ac:dyDescent="0.25">
      <c r="A39" s="17" t="s">
        <v>25</v>
      </c>
      <c r="B39" s="191">
        <v>135036785.02000001</v>
      </c>
      <c r="C39" s="191">
        <v>106756961.06</v>
      </c>
      <c r="D39" s="191">
        <v>80365403</v>
      </c>
      <c r="E39" s="191">
        <v>63918111.630000003</v>
      </c>
      <c r="F39" s="191">
        <v>129581960.88</v>
      </c>
      <c r="G39" s="191">
        <v>116698588.29000001</v>
      </c>
      <c r="H39" s="191">
        <v>92374449.599999994</v>
      </c>
      <c r="I39" s="191">
        <v>64856152.950000003</v>
      </c>
      <c r="J39" s="191">
        <v>120912330.94</v>
      </c>
      <c r="K39" s="191">
        <v>97266394.200000003</v>
      </c>
      <c r="L39" s="191">
        <v>83004254.370000005</v>
      </c>
      <c r="M39" s="191">
        <v>43766813.350000001</v>
      </c>
      <c r="N39" s="191">
        <v>103510981.95</v>
      </c>
      <c r="O39" s="191">
        <v>74591803</v>
      </c>
      <c r="P39" s="191">
        <v>24883752.760000002</v>
      </c>
      <c r="Q39" s="191">
        <v>6282587.7000000002</v>
      </c>
      <c r="R39" s="191">
        <v>25869982.940000001</v>
      </c>
      <c r="S39" s="191">
        <v>7456532.8499999996</v>
      </c>
      <c r="T39" s="191">
        <v>5650061.4900000002</v>
      </c>
      <c r="U39" s="191">
        <v>4920040.33</v>
      </c>
      <c r="V39" s="191">
        <v>13360432.4</v>
      </c>
      <c r="W39" s="191">
        <v>5498201.9500000002</v>
      </c>
      <c r="X39" s="191">
        <v>5567430.1699999999</v>
      </c>
      <c r="Y39" s="191">
        <v>8756933.1699999999</v>
      </c>
      <c r="Z39" s="191">
        <v>8378516.6299999999</v>
      </c>
      <c r="AA39" s="191">
        <v>2331725.9</v>
      </c>
      <c r="AB39" s="191">
        <v>2399002.98</v>
      </c>
      <c r="AC39" s="191">
        <v>7035607.9299999997</v>
      </c>
      <c r="AD39" s="191">
        <v>22772314.920000002</v>
      </c>
      <c r="AE39" s="191">
        <v>15126699.18</v>
      </c>
      <c r="AF39" s="191">
        <v>3917707.93</v>
      </c>
      <c r="AG39" s="191">
        <v>4023756.41</v>
      </c>
      <c r="AH39" s="191">
        <v>245862.98</v>
      </c>
      <c r="AI39" s="191">
        <v>0</v>
      </c>
      <c r="AJ39" s="191"/>
      <c r="AK39" s="191"/>
      <c r="AL39" s="191"/>
      <c r="AM39" s="191"/>
      <c r="AN39" s="191"/>
      <c r="AO39" s="191"/>
      <c r="AP39" s="191"/>
      <c r="AQ39" s="191"/>
      <c r="AR39" s="191"/>
      <c r="AS39" s="191"/>
      <c r="AT39" s="191"/>
      <c r="AU39" s="191"/>
      <c r="AV39" s="191"/>
      <c r="AW39" s="191"/>
      <c r="AX39" s="191"/>
      <c r="AY39" s="191"/>
      <c r="AZ39" s="191"/>
      <c r="BA39" s="191"/>
      <c r="BB39" s="191"/>
      <c r="BC39" s="191"/>
      <c r="BD39" s="191"/>
      <c r="BE39" s="191"/>
      <c r="BF39" s="191"/>
      <c r="BG39" s="191"/>
      <c r="BH39" s="191"/>
      <c r="BI39" s="191"/>
      <c r="BJ39" s="191"/>
      <c r="BK39" s="191"/>
      <c r="BL39" s="191"/>
      <c r="BM39" s="191"/>
      <c r="BN39" s="191"/>
      <c r="BO39" s="191"/>
      <c r="BP39" s="191"/>
      <c r="BQ39" s="191"/>
      <c r="BR39" s="191"/>
      <c r="BS39" s="191"/>
      <c r="BT39" s="191"/>
      <c r="BU39" s="191"/>
      <c r="BV39" s="191"/>
      <c r="BW39" s="191"/>
      <c r="BX39" s="191"/>
      <c r="BY39" s="191"/>
      <c r="BZ39" s="40"/>
      <c r="CA39" s="40"/>
      <c r="CB39" s="40"/>
      <c r="CC39" s="40"/>
      <c r="CD39" s="40"/>
      <c r="CE39" s="40"/>
      <c r="CF39" s="40"/>
      <c r="CG39" s="40"/>
      <c r="CH39" s="40"/>
      <c r="CI39" s="40"/>
      <c r="CJ39" s="40"/>
      <c r="CK39" s="40"/>
      <c r="CL39" s="40"/>
    </row>
    <row r="40" spans="1:90" x14ac:dyDescent="0.25">
      <c r="A40" s="17" t="s">
        <v>26</v>
      </c>
      <c r="B40" s="191">
        <v>36906676.75</v>
      </c>
      <c r="C40" s="191">
        <v>35794490.649999999</v>
      </c>
      <c r="D40" s="191">
        <v>33765926.899999999</v>
      </c>
      <c r="E40" s="191">
        <v>52377299.350000001</v>
      </c>
      <c r="F40" s="191">
        <v>28546918.670000002</v>
      </c>
      <c r="G40" s="191">
        <v>41313036.990000002</v>
      </c>
      <c r="H40" s="191">
        <v>36481306.869999997</v>
      </c>
      <c r="I40" s="191">
        <v>35506760.590000004</v>
      </c>
      <c r="J40" s="191">
        <v>22994252.32</v>
      </c>
      <c r="K40" s="191">
        <v>31619847.280000001</v>
      </c>
      <c r="L40" s="191">
        <v>41348909.740000002</v>
      </c>
      <c r="M40" s="191">
        <v>32181720.289999999</v>
      </c>
      <c r="N40" s="191">
        <v>27305566.800000001</v>
      </c>
      <c r="O40" s="191">
        <v>21879832.41</v>
      </c>
      <c r="P40" s="191">
        <v>12744614.720000001</v>
      </c>
      <c r="Q40" s="191">
        <v>12911863.550000001</v>
      </c>
      <c r="R40" s="191">
        <v>10303285.699999999</v>
      </c>
      <c r="S40" s="191">
        <v>7712606.5700000003</v>
      </c>
      <c r="T40" s="191">
        <v>11825309.9</v>
      </c>
      <c r="U40" s="191">
        <v>12765222.02</v>
      </c>
      <c r="V40" s="191">
        <v>6622124.5999999996</v>
      </c>
      <c r="W40" s="191">
        <v>6054883.4100000001</v>
      </c>
      <c r="X40" s="191">
        <v>8956041.3399999999</v>
      </c>
      <c r="Y40" s="191">
        <v>-3620664.85</v>
      </c>
      <c r="Z40" s="191">
        <v>-1883970.67</v>
      </c>
      <c r="AA40" s="191">
        <v>9523213.6199999992</v>
      </c>
      <c r="AB40" s="191">
        <v>12378361.49</v>
      </c>
      <c r="AC40" s="191">
        <v>6386685.2699999996</v>
      </c>
      <c r="AD40" s="191">
        <v>5463987.1799999997</v>
      </c>
      <c r="AE40" s="191">
        <v>13633343.34</v>
      </c>
      <c r="AF40" s="191">
        <v>10580653.16</v>
      </c>
      <c r="AG40" s="191">
        <v>2413439.2000000002</v>
      </c>
      <c r="AH40" s="191">
        <v>-7498325.1100000003</v>
      </c>
      <c r="AI40" s="191">
        <v>0</v>
      </c>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1"/>
      <c r="BI40" s="191"/>
      <c r="BJ40" s="191"/>
      <c r="BK40" s="191"/>
      <c r="BL40" s="191"/>
      <c r="BM40" s="191"/>
      <c r="BN40" s="191"/>
      <c r="BO40" s="191"/>
      <c r="BP40" s="191"/>
      <c r="BQ40" s="191"/>
      <c r="BR40" s="191"/>
      <c r="BS40" s="191"/>
      <c r="BT40" s="191"/>
      <c r="BU40" s="191"/>
      <c r="BV40" s="191"/>
      <c r="BW40" s="191"/>
      <c r="BX40" s="191"/>
      <c r="BY40" s="191"/>
      <c r="BZ40" s="40"/>
      <c r="CA40" s="40"/>
      <c r="CB40" s="40"/>
      <c r="CC40" s="40"/>
      <c r="CD40" s="40"/>
      <c r="CE40" s="40"/>
      <c r="CF40" s="40"/>
      <c r="CG40" s="40"/>
      <c r="CH40" s="40"/>
      <c r="CI40" s="40"/>
      <c r="CJ40" s="40"/>
      <c r="CK40" s="40"/>
      <c r="CL40" s="40"/>
    </row>
    <row r="41" spans="1:90" x14ac:dyDescent="0.25">
      <c r="A41" s="17" t="s">
        <v>27</v>
      </c>
      <c r="B41" s="191">
        <v>50604709.75</v>
      </c>
      <c r="C41" s="191">
        <v>40924383.149999999</v>
      </c>
      <c r="D41" s="191">
        <v>45024679.939999998</v>
      </c>
      <c r="E41" s="191">
        <v>49709791.909999996</v>
      </c>
      <c r="F41" s="191">
        <v>39500557.920000002</v>
      </c>
      <c r="G41" s="191">
        <v>41473895.990000002</v>
      </c>
      <c r="H41" s="191">
        <v>40860629.090000004</v>
      </c>
      <c r="I41" s="191">
        <v>30798743.030000001</v>
      </c>
      <c r="J41" s="191">
        <v>20067764.870000001</v>
      </c>
      <c r="K41" s="191">
        <v>13419661.65</v>
      </c>
      <c r="L41" s="191">
        <v>21577432.829999998</v>
      </c>
      <c r="M41" s="191">
        <v>9123735.5299999993</v>
      </c>
      <c r="N41" s="191">
        <v>6831941.9699999997</v>
      </c>
      <c r="O41" s="191">
        <v>6565746.4199999999</v>
      </c>
      <c r="P41" s="191">
        <v>5142971.21</v>
      </c>
      <c r="Q41" s="191">
        <v>4730151.87</v>
      </c>
      <c r="R41" s="191">
        <v>5763638</v>
      </c>
      <c r="S41" s="191">
        <v>4961341.53</v>
      </c>
      <c r="T41" s="191">
        <v>5009273.68</v>
      </c>
      <c r="U41" s="191">
        <v>4179207.81</v>
      </c>
      <c r="V41" s="191">
        <v>5126698.3600000003</v>
      </c>
      <c r="W41" s="191">
        <v>3674119.02</v>
      </c>
      <c r="X41" s="191">
        <v>4002852.99</v>
      </c>
      <c r="Y41" s="191">
        <v>3669565.98</v>
      </c>
      <c r="Z41" s="191">
        <v>4255449.8600000003</v>
      </c>
      <c r="AA41" s="191">
        <v>3703248.8</v>
      </c>
      <c r="AB41" s="191">
        <v>5047021.34</v>
      </c>
      <c r="AC41" s="191">
        <v>7289628.1699999999</v>
      </c>
      <c r="AD41" s="191">
        <v>18023160.82</v>
      </c>
      <c r="AE41" s="191">
        <v>16513163.5</v>
      </c>
      <c r="AF41" s="191">
        <v>41932081.890000001</v>
      </c>
      <c r="AG41" s="191">
        <v>37738663.57</v>
      </c>
      <c r="AH41" s="191">
        <v>32569373.59</v>
      </c>
      <c r="AI41" s="191">
        <v>0</v>
      </c>
      <c r="AJ41" s="191"/>
      <c r="AK41" s="191"/>
      <c r="AL41" s="191"/>
      <c r="AM41" s="191"/>
      <c r="AN41" s="191"/>
      <c r="AO41" s="191"/>
      <c r="AP41" s="191"/>
      <c r="AQ41" s="191"/>
      <c r="AR41" s="191"/>
      <c r="AS41" s="191"/>
      <c r="AT41" s="191"/>
      <c r="AU41" s="191"/>
      <c r="AV41" s="191"/>
      <c r="AW41" s="191"/>
      <c r="AX41" s="191"/>
      <c r="AY41" s="191"/>
      <c r="AZ41" s="191"/>
      <c r="BA41" s="191"/>
      <c r="BB41" s="191"/>
      <c r="BC41" s="191"/>
      <c r="BD41" s="191"/>
      <c r="BE41" s="191"/>
      <c r="BF41" s="191"/>
      <c r="BG41" s="191"/>
      <c r="BH41" s="191"/>
      <c r="BI41" s="191"/>
      <c r="BJ41" s="191"/>
      <c r="BK41" s="191"/>
      <c r="BL41" s="191"/>
      <c r="BM41" s="191"/>
      <c r="BN41" s="191"/>
      <c r="BO41" s="191"/>
      <c r="BP41" s="191"/>
      <c r="BQ41" s="191"/>
      <c r="BR41" s="191"/>
      <c r="BS41" s="191"/>
      <c r="BT41" s="191"/>
      <c r="BU41" s="191"/>
      <c r="BV41" s="191"/>
      <c r="BW41" s="191"/>
      <c r="BX41" s="191"/>
      <c r="BY41" s="191"/>
      <c r="BZ41" s="40"/>
      <c r="CA41" s="40"/>
      <c r="CB41" s="40"/>
      <c r="CC41" s="40"/>
      <c r="CD41" s="40"/>
      <c r="CE41" s="40"/>
      <c r="CF41" s="40"/>
      <c r="CG41" s="40"/>
      <c r="CH41" s="40"/>
      <c r="CI41" s="40"/>
      <c r="CJ41" s="40"/>
      <c r="CK41" s="40"/>
      <c r="CL41" s="40"/>
    </row>
    <row r="42" spans="1:90" s="39" customFormat="1" x14ac:dyDescent="0.25">
      <c r="A42" s="125" t="s">
        <v>28</v>
      </c>
      <c r="B42" s="191">
        <v>5053705.47</v>
      </c>
      <c r="C42" s="191">
        <v>4632268.43</v>
      </c>
      <c r="D42" s="191">
        <v>4121516.28</v>
      </c>
      <c r="E42" s="191">
        <v>3763588.12</v>
      </c>
      <c r="F42" s="191">
        <v>2339701.42</v>
      </c>
      <c r="G42" s="191">
        <v>1692346.74</v>
      </c>
      <c r="H42" s="191">
        <v>1636044.86</v>
      </c>
      <c r="I42" s="191">
        <v>1544183.14</v>
      </c>
      <c r="J42" s="191">
        <v>1665363.19</v>
      </c>
      <c r="K42" s="191">
        <v>1575082.41</v>
      </c>
      <c r="L42" s="191">
        <v>0</v>
      </c>
      <c r="M42" s="191">
        <v>0</v>
      </c>
      <c r="N42" s="191">
        <v>0</v>
      </c>
      <c r="O42" s="191">
        <v>0</v>
      </c>
      <c r="P42" s="191">
        <v>0</v>
      </c>
      <c r="Q42" s="191">
        <v>0</v>
      </c>
      <c r="R42" s="191">
        <v>0</v>
      </c>
      <c r="S42" s="191">
        <v>0</v>
      </c>
      <c r="T42" s="191">
        <v>0</v>
      </c>
      <c r="U42" s="191">
        <v>0</v>
      </c>
      <c r="V42" s="191">
        <v>0</v>
      </c>
      <c r="W42" s="191">
        <v>0</v>
      </c>
      <c r="X42" s="191">
        <v>0</v>
      </c>
      <c r="Y42" s="191">
        <v>0</v>
      </c>
      <c r="Z42" s="191">
        <v>0</v>
      </c>
      <c r="AA42" s="191">
        <v>0</v>
      </c>
      <c r="AB42" s="191">
        <v>0</v>
      </c>
      <c r="AC42" s="191">
        <v>0</v>
      </c>
      <c r="AD42" s="191">
        <v>0</v>
      </c>
      <c r="AE42" s="191">
        <v>0</v>
      </c>
      <c r="AF42" s="191">
        <v>0</v>
      </c>
      <c r="AG42" s="191">
        <v>0</v>
      </c>
      <c r="AH42" s="191">
        <v>0</v>
      </c>
      <c r="AI42" s="191">
        <v>0</v>
      </c>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c r="BN42" s="191"/>
      <c r="BO42" s="191"/>
      <c r="BP42" s="191"/>
      <c r="BQ42" s="191"/>
      <c r="BR42" s="191"/>
      <c r="BS42" s="191"/>
      <c r="BT42" s="191"/>
      <c r="BU42" s="191"/>
      <c r="BV42" s="191"/>
      <c r="BW42" s="191"/>
      <c r="BX42" s="191"/>
      <c r="BY42" s="191"/>
      <c r="BZ42" s="40"/>
      <c r="CA42" s="40"/>
      <c r="CB42" s="40"/>
      <c r="CC42" s="40"/>
      <c r="CD42" s="40"/>
      <c r="CE42" s="40"/>
      <c r="CF42" s="40"/>
      <c r="CG42" s="40"/>
      <c r="CH42" s="40"/>
      <c r="CI42" s="40"/>
      <c r="CJ42" s="40"/>
      <c r="CK42" s="40"/>
      <c r="CL42" s="40"/>
    </row>
    <row r="43" spans="1:90" x14ac:dyDescent="0.25">
      <c r="A43" s="17" t="s">
        <v>29</v>
      </c>
      <c r="B43" s="191">
        <v>16897350.030000001</v>
      </c>
      <c r="C43" s="191">
        <v>16780432</v>
      </c>
      <c r="D43" s="191">
        <v>17897878.629999999</v>
      </c>
      <c r="E43" s="191">
        <v>18265936.760000002</v>
      </c>
      <c r="F43" s="191">
        <v>15408994.99</v>
      </c>
      <c r="G43" s="191">
        <v>11208303.119999999</v>
      </c>
      <c r="H43" s="191">
        <v>12102611.34</v>
      </c>
      <c r="I43" s="191">
        <v>9686919.4800000004</v>
      </c>
      <c r="J43" s="191">
        <v>10029561.029999999</v>
      </c>
      <c r="K43" s="191">
        <v>11688869.17</v>
      </c>
      <c r="L43" s="191">
        <v>14348177.390000001</v>
      </c>
      <c r="M43" s="191">
        <v>14042485.529999999</v>
      </c>
      <c r="N43" s="191">
        <v>8468192.8699999992</v>
      </c>
      <c r="O43" s="191">
        <v>9359628.9399999995</v>
      </c>
      <c r="P43" s="191">
        <v>10304398.380000001</v>
      </c>
      <c r="Q43" s="191">
        <v>11249167.800000001</v>
      </c>
      <c r="R43" s="191">
        <v>0</v>
      </c>
      <c r="S43" s="191">
        <v>0</v>
      </c>
      <c r="T43" s="191">
        <v>0</v>
      </c>
      <c r="U43" s="191">
        <v>0</v>
      </c>
      <c r="V43" s="191">
        <v>0</v>
      </c>
      <c r="W43" s="191">
        <v>0</v>
      </c>
      <c r="X43" s="191">
        <v>0</v>
      </c>
      <c r="Y43" s="191">
        <v>0</v>
      </c>
      <c r="Z43" s="191">
        <v>0</v>
      </c>
      <c r="AA43" s="191">
        <v>0</v>
      </c>
      <c r="AB43" s="191">
        <v>0</v>
      </c>
      <c r="AC43" s="191">
        <v>0</v>
      </c>
      <c r="AD43" s="191">
        <v>0</v>
      </c>
      <c r="AE43" s="191">
        <v>0</v>
      </c>
      <c r="AF43" s="191">
        <v>0</v>
      </c>
      <c r="AG43" s="191">
        <v>0</v>
      </c>
      <c r="AH43" s="191">
        <v>0</v>
      </c>
      <c r="AI43" s="191">
        <v>0</v>
      </c>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c r="BH43" s="191"/>
      <c r="BI43" s="191"/>
      <c r="BJ43" s="191"/>
      <c r="BK43" s="191"/>
      <c r="BL43" s="191"/>
      <c r="BM43" s="191"/>
      <c r="BN43" s="191"/>
      <c r="BO43" s="191"/>
      <c r="BP43" s="191"/>
      <c r="BQ43" s="191"/>
      <c r="BR43" s="191"/>
      <c r="BS43" s="191"/>
      <c r="BT43" s="191"/>
      <c r="BU43" s="191"/>
      <c r="BV43" s="191"/>
      <c r="BW43" s="191"/>
      <c r="BX43" s="191"/>
      <c r="BY43" s="191"/>
      <c r="BZ43" s="40"/>
      <c r="CA43" s="40"/>
      <c r="CB43" s="40"/>
      <c r="CC43" s="40"/>
      <c r="CD43" s="40"/>
      <c r="CE43" s="40"/>
      <c r="CF43" s="40"/>
      <c r="CG43" s="40"/>
      <c r="CH43" s="40"/>
      <c r="CI43" s="40"/>
      <c r="CJ43" s="40"/>
      <c r="CK43" s="40"/>
      <c r="CL43" s="40"/>
    </row>
    <row r="44" spans="1:90" x14ac:dyDescent="0.25">
      <c r="A44" s="17" t="s">
        <v>30</v>
      </c>
      <c r="B44" s="191">
        <v>0</v>
      </c>
      <c r="C44" s="191">
        <v>0</v>
      </c>
      <c r="D44" s="191">
        <v>0</v>
      </c>
      <c r="E44" s="191">
        <v>0</v>
      </c>
      <c r="F44" s="191">
        <v>0</v>
      </c>
      <c r="G44" s="191">
        <v>0</v>
      </c>
      <c r="H44" s="191">
        <v>0</v>
      </c>
      <c r="I44" s="191">
        <v>0</v>
      </c>
      <c r="J44" s="191">
        <v>0</v>
      </c>
      <c r="K44" s="191">
        <v>0</v>
      </c>
      <c r="L44" s="191">
        <v>0</v>
      </c>
      <c r="M44" s="191">
        <v>0</v>
      </c>
      <c r="N44" s="191">
        <v>0</v>
      </c>
      <c r="O44" s="191">
        <v>0</v>
      </c>
      <c r="P44" s="191">
        <v>0</v>
      </c>
      <c r="Q44" s="191">
        <v>0</v>
      </c>
      <c r="R44" s="191">
        <v>0</v>
      </c>
      <c r="S44" s="191">
        <v>0</v>
      </c>
      <c r="T44" s="191">
        <v>0</v>
      </c>
      <c r="U44" s="191">
        <v>0</v>
      </c>
      <c r="V44" s="191">
        <v>0</v>
      </c>
      <c r="W44" s="191">
        <v>0</v>
      </c>
      <c r="X44" s="191">
        <v>0</v>
      </c>
      <c r="Y44" s="191">
        <v>0</v>
      </c>
      <c r="Z44" s="191">
        <v>0</v>
      </c>
      <c r="AA44" s="191">
        <v>0</v>
      </c>
      <c r="AB44" s="191">
        <v>0</v>
      </c>
      <c r="AC44" s="191">
        <v>0</v>
      </c>
      <c r="AD44" s="191">
        <v>0</v>
      </c>
      <c r="AE44" s="191">
        <v>0</v>
      </c>
      <c r="AF44" s="191">
        <v>0</v>
      </c>
      <c r="AG44" s="191">
        <v>0</v>
      </c>
      <c r="AH44" s="191">
        <v>0</v>
      </c>
      <c r="AI44" s="191">
        <v>0</v>
      </c>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c r="BH44" s="191"/>
      <c r="BI44" s="191"/>
      <c r="BJ44" s="191"/>
      <c r="BK44" s="191"/>
      <c r="BL44" s="191"/>
      <c r="BM44" s="191"/>
      <c r="BN44" s="191"/>
      <c r="BO44" s="191"/>
      <c r="BP44" s="191"/>
      <c r="BQ44" s="191"/>
      <c r="BR44" s="191"/>
      <c r="BS44" s="191"/>
      <c r="BT44" s="191"/>
      <c r="BU44" s="191"/>
      <c r="BV44" s="191"/>
      <c r="BW44" s="191"/>
      <c r="BX44" s="191"/>
      <c r="BY44" s="191"/>
      <c r="BZ44" s="40"/>
      <c r="CA44" s="40"/>
      <c r="CB44" s="40"/>
      <c r="CC44" s="40"/>
      <c r="CD44" s="40"/>
      <c r="CE44" s="40"/>
      <c r="CF44" s="40"/>
      <c r="CG44" s="40"/>
      <c r="CH44" s="40"/>
      <c r="CI44" s="40"/>
      <c r="CJ44" s="40"/>
      <c r="CK44" s="40"/>
      <c r="CL44" s="40"/>
    </row>
    <row r="45" spans="1:90" x14ac:dyDescent="0.25">
      <c r="A45" s="17" t="s">
        <v>31</v>
      </c>
      <c r="B45" s="191">
        <v>0</v>
      </c>
      <c r="C45" s="191">
        <v>0</v>
      </c>
      <c r="D45" s="191">
        <v>0</v>
      </c>
      <c r="E45" s="191">
        <v>0</v>
      </c>
      <c r="F45" s="191">
        <v>0</v>
      </c>
      <c r="G45" s="191">
        <v>0</v>
      </c>
      <c r="H45" s="191">
        <v>0</v>
      </c>
      <c r="I45" s="191">
        <v>0</v>
      </c>
      <c r="J45" s="191">
        <v>0</v>
      </c>
      <c r="K45" s="191">
        <v>0</v>
      </c>
      <c r="L45" s="191">
        <v>2123367.7999999998</v>
      </c>
      <c r="M45" s="191">
        <v>0</v>
      </c>
      <c r="N45" s="191">
        <v>0</v>
      </c>
      <c r="O45" s="191">
        <v>0</v>
      </c>
      <c r="P45" s="191">
        <v>0</v>
      </c>
      <c r="Q45" s="191">
        <v>0</v>
      </c>
      <c r="R45" s="191">
        <v>0</v>
      </c>
      <c r="S45" s="191">
        <v>0</v>
      </c>
      <c r="T45" s="191">
        <v>0</v>
      </c>
      <c r="U45" s="191">
        <v>0</v>
      </c>
      <c r="V45" s="191">
        <v>0</v>
      </c>
      <c r="W45" s="191">
        <v>0</v>
      </c>
      <c r="X45" s="191">
        <v>0</v>
      </c>
      <c r="Y45" s="191">
        <v>0</v>
      </c>
      <c r="Z45" s="191">
        <v>0</v>
      </c>
      <c r="AA45" s="191">
        <v>0</v>
      </c>
      <c r="AB45" s="191">
        <v>0</v>
      </c>
      <c r="AC45" s="191">
        <v>0</v>
      </c>
      <c r="AD45" s="191">
        <v>0</v>
      </c>
      <c r="AE45" s="191">
        <v>0</v>
      </c>
      <c r="AF45" s="191">
        <v>0</v>
      </c>
      <c r="AG45" s="191">
        <v>0</v>
      </c>
      <c r="AH45" s="191">
        <v>0</v>
      </c>
      <c r="AI45" s="191">
        <v>0</v>
      </c>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c r="BH45" s="191"/>
      <c r="BI45" s="191"/>
      <c r="BJ45" s="191"/>
      <c r="BK45" s="191"/>
      <c r="BL45" s="191"/>
      <c r="BM45" s="191"/>
      <c r="BN45" s="191"/>
      <c r="BO45" s="191"/>
      <c r="BP45" s="191"/>
      <c r="BQ45" s="191"/>
      <c r="BR45" s="191"/>
      <c r="BS45" s="191"/>
      <c r="BT45" s="191"/>
      <c r="BU45" s="191"/>
      <c r="BV45" s="191"/>
      <c r="BW45" s="191"/>
      <c r="BX45" s="191"/>
      <c r="BY45" s="191"/>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4" customFormat="1" x14ac:dyDescent="0.25">
      <c r="A51" s="194" t="s">
        <v>33</v>
      </c>
    </row>
    <row r="52" spans="1:89" s="194" customFormat="1" x14ac:dyDescent="0.25">
      <c r="A52" s="194" t="s">
        <v>34</v>
      </c>
      <c r="B52" s="191">
        <v>1386880640.49</v>
      </c>
      <c r="C52" s="191">
        <v>1342375708.76</v>
      </c>
      <c r="D52" s="191">
        <v>1358276837.48</v>
      </c>
      <c r="E52" s="191">
        <v>1407808329.28</v>
      </c>
      <c r="F52" s="191">
        <v>1327994325.1099999</v>
      </c>
      <c r="G52" s="191">
        <v>1090765616.02</v>
      </c>
      <c r="H52" s="191">
        <v>1096346620.8399999</v>
      </c>
      <c r="I52" s="191">
        <v>1147109480.9400001</v>
      </c>
      <c r="J52" s="191">
        <v>1028537189.73</v>
      </c>
      <c r="K52" s="191">
        <v>1032903264.25</v>
      </c>
      <c r="L52" s="191">
        <v>999829416.71000004</v>
      </c>
      <c r="M52" s="191">
        <v>971427872.14999998</v>
      </c>
      <c r="N52" s="191">
        <v>765150815.38999999</v>
      </c>
      <c r="O52" s="191">
        <v>605585717.96000004</v>
      </c>
      <c r="P52" s="191">
        <v>611232503.77999997</v>
      </c>
      <c r="Q52" s="191">
        <v>626050201.67999995</v>
      </c>
      <c r="R52" s="191">
        <v>492930704.68000001</v>
      </c>
      <c r="S52" s="191">
        <v>495337929.56999999</v>
      </c>
      <c r="T52" s="191">
        <v>505294519.75999999</v>
      </c>
      <c r="U52" s="191">
        <v>518069504.48000002</v>
      </c>
      <c r="V52" s="191">
        <v>498491588.25</v>
      </c>
      <c r="W52" s="191">
        <v>462358764.74000001</v>
      </c>
      <c r="X52" s="191">
        <v>361594285.97000003</v>
      </c>
      <c r="Y52" s="191">
        <v>368967236.35000002</v>
      </c>
      <c r="Z52" s="191">
        <v>371912158.13999999</v>
      </c>
      <c r="AA52" s="191">
        <v>286541051.58999997</v>
      </c>
      <c r="AB52" s="191">
        <v>286771606.66000003</v>
      </c>
      <c r="AC52" s="191">
        <v>289698829.98000002</v>
      </c>
      <c r="AD52" s="191">
        <v>267423996.31999999</v>
      </c>
      <c r="AE52" s="191">
        <v>262304981.87</v>
      </c>
      <c r="AF52" s="191">
        <v>262306611.97999999</v>
      </c>
      <c r="AG52" s="191">
        <v>150708089.31999999</v>
      </c>
      <c r="AH52" s="191">
        <v>146235755.78999999</v>
      </c>
      <c r="AI52" s="191">
        <v>0</v>
      </c>
    </row>
    <row r="53" spans="1:89" s="194" customFormat="1" x14ac:dyDescent="0.25">
      <c r="A53" s="194" t="s">
        <v>35</v>
      </c>
      <c r="B53" s="191">
        <v>162696744.75999999</v>
      </c>
      <c r="C53" s="191">
        <v>180966472.41</v>
      </c>
      <c r="D53" s="191">
        <v>134231764.31999999</v>
      </c>
      <c r="E53" s="191">
        <v>113091733.05</v>
      </c>
      <c r="F53" s="191">
        <v>169915391.47</v>
      </c>
      <c r="G53" s="191">
        <v>390738533.88</v>
      </c>
      <c r="H53" s="191">
        <v>333097545.00999999</v>
      </c>
      <c r="I53" s="191">
        <v>279409961.33999997</v>
      </c>
      <c r="J53" s="191">
        <v>204331825.59</v>
      </c>
      <c r="K53" s="191">
        <v>102336399.09999999</v>
      </c>
      <c r="L53" s="191">
        <v>73660922.420000002</v>
      </c>
      <c r="M53" s="191">
        <v>48434821.799999997</v>
      </c>
      <c r="N53" s="191">
        <v>178745125.09</v>
      </c>
      <c r="O53" s="191">
        <v>287680029.07999998</v>
      </c>
      <c r="P53" s="191">
        <v>188489303.34</v>
      </c>
      <c r="Q53" s="191">
        <v>127767775.13</v>
      </c>
      <c r="R53" s="191">
        <v>231456132.97999999</v>
      </c>
      <c r="S53" s="191">
        <v>220190018.83000001</v>
      </c>
      <c r="T53" s="191">
        <v>193467042.68000001</v>
      </c>
      <c r="U53" s="191">
        <v>169380379.22</v>
      </c>
      <c r="V53" s="191">
        <v>153432736.44999999</v>
      </c>
      <c r="W53" s="191">
        <v>161499658.41</v>
      </c>
      <c r="X53" s="191">
        <v>253325619.31</v>
      </c>
      <c r="Y53" s="191">
        <v>210487489.62</v>
      </c>
      <c r="Z53" s="191">
        <v>113785816.63</v>
      </c>
      <c r="AA53" s="191">
        <v>132100748.42</v>
      </c>
      <c r="AB53" s="191">
        <v>94106720.329999998</v>
      </c>
      <c r="AC53" s="191">
        <v>79082365.659999996</v>
      </c>
      <c r="AD53" s="191">
        <v>82365259.859999999</v>
      </c>
      <c r="AE53" s="191">
        <v>75953231.200000003</v>
      </c>
      <c r="AF53" s="191">
        <v>36679712.399999999</v>
      </c>
      <c r="AG53" s="191">
        <v>23729794.98</v>
      </c>
      <c r="AH53" s="191">
        <v>5634372.7300000004</v>
      </c>
      <c r="AI53" s="191">
        <v>0</v>
      </c>
    </row>
    <row r="54" spans="1:89" s="194" customFormat="1" x14ac:dyDescent="0.25">
      <c r="A54" s="194" t="s">
        <v>36</v>
      </c>
      <c r="B54" s="191">
        <v>0</v>
      </c>
      <c r="C54" s="191">
        <v>0</v>
      </c>
      <c r="D54" s="191">
        <v>0</v>
      </c>
      <c r="E54" s="191">
        <v>0</v>
      </c>
      <c r="F54" s="191">
        <v>0</v>
      </c>
      <c r="G54" s="191">
        <v>0</v>
      </c>
      <c r="H54" s="191">
        <v>0</v>
      </c>
      <c r="I54" s="191">
        <v>0</v>
      </c>
      <c r="J54" s="191">
        <v>0</v>
      </c>
      <c r="K54" s="191">
        <v>0</v>
      </c>
      <c r="L54" s="191">
        <v>0</v>
      </c>
      <c r="M54" s="191">
        <v>0</v>
      </c>
      <c r="N54" s="191">
        <v>0</v>
      </c>
      <c r="O54" s="191">
        <v>0</v>
      </c>
      <c r="P54" s="191">
        <v>0</v>
      </c>
      <c r="Q54" s="191">
        <v>0</v>
      </c>
      <c r="R54" s="191">
        <v>0</v>
      </c>
      <c r="S54" s="191">
        <v>0</v>
      </c>
      <c r="T54" s="191">
        <v>0</v>
      </c>
      <c r="U54" s="191">
        <v>0</v>
      </c>
      <c r="V54" s="191">
        <v>0</v>
      </c>
      <c r="W54" s="191">
        <v>0</v>
      </c>
      <c r="X54" s="191">
        <v>0</v>
      </c>
      <c r="Y54" s="191">
        <v>0</v>
      </c>
      <c r="Z54" s="191">
        <v>0</v>
      </c>
      <c r="AA54" s="191">
        <v>0</v>
      </c>
      <c r="AB54" s="191">
        <v>0</v>
      </c>
      <c r="AC54" s="191">
        <v>0</v>
      </c>
      <c r="AD54" s="191">
        <v>0</v>
      </c>
      <c r="AE54" s="191">
        <v>0</v>
      </c>
      <c r="AF54" s="191">
        <v>0</v>
      </c>
      <c r="AG54" s="191">
        <v>0</v>
      </c>
      <c r="AH54" s="191">
        <v>0</v>
      </c>
      <c r="AI54" s="191">
        <v>0</v>
      </c>
    </row>
    <row r="55" spans="1:89" s="194" customFormat="1" x14ac:dyDescent="0.25">
      <c r="A55" s="194" t="s">
        <v>37</v>
      </c>
      <c r="B55" s="191">
        <v>0</v>
      </c>
      <c r="C55" s="191">
        <v>0</v>
      </c>
      <c r="D55" s="191">
        <v>0</v>
      </c>
      <c r="E55" s="191">
        <v>0</v>
      </c>
      <c r="F55" s="191">
        <v>0</v>
      </c>
      <c r="G55" s="191">
        <v>0</v>
      </c>
      <c r="H55" s="191">
        <v>0</v>
      </c>
      <c r="I55" s="191">
        <v>0</v>
      </c>
      <c r="J55" s="191">
        <v>0</v>
      </c>
      <c r="K55" s="191">
        <v>0</v>
      </c>
      <c r="L55" s="191">
        <v>0</v>
      </c>
      <c r="M55" s="191">
        <v>0</v>
      </c>
      <c r="N55" s="191">
        <v>0</v>
      </c>
      <c r="O55" s="191">
        <v>0</v>
      </c>
      <c r="P55" s="191">
        <v>0</v>
      </c>
      <c r="Q55" s="191">
        <v>0</v>
      </c>
      <c r="R55" s="191">
        <v>0</v>
      </c>
      <c r="S55" s="191">
        <v>0</v>
      </c>
      <c r="T55" s="191">
        <v>0</v>
      </c>
      <c r="U55" s="191">
        <v>0</v>
      </c>
      <c r="V55" s="191">
        <v>0</v>
      </c>
      <c r="W55" s="191">
        <v>0</v>
      </c>
      <c r="X55" s="191">
        <v>0</v>
      </c>
      <c r="Y55" s="191">
        <v>0</v>
      </c>
      <c r="Z55" s="191">
        <v>0</v>
      </c>
      <c r="AA55" s="191">
        <v>0</v>
      </c>
      <c r="AB55" s="191">
        <v>0</v>
      </c>
      <c r="AC55" s="191">
        <v>0</v>
      </c>
      <c r="AD55" s="191">
        <v>0</v>
      </c>
      <c r="AE55" s="191">
        <v>0</v>
      </c>
      <c r="AF55" s="191">
        <v>0</v>
      </c>
      <c r="AG55" s="191">
        <v>0</v>
      </c>
      <c r="AH55" s="191">
        <v>0</v>
      </c>
      <c r="AI55" s="191">
        <v>0</v>
      </c>
    </row>
    <row r="56" spans="1:89" s="194" customFormat="1" x14ac:dyDescent="0.25">
      <c r="A56" s="194" t="s">
        <v>38</v>
      </c>
      <c r="B56" s="191">
        <v>0</v>
      </c>
      <c r="C56" s="191">
        <v>0</v>
      </c>
      <c r="D56" s="191">
        <v>0</v>
      </c>
      <c r="E56" s="191">
        <v>0</v>
      </c>
      <c r="F56" s="191">
        <v>0</v>
      </c>
      <c r="G56" s="191">
        <v>0</v>
      </c>
      <c r="H56" s="191">
        <v>0</v>
      </c>
      <c r="I56" s="191">
        <v>0</v>
      </c>
      <c r="J56" s="191">
        <v>0</v>
      </c>
      <c r="K56" s="191">
        <v>0</v>
      </c>
      <c r="L56" s="191">
        <v>0</v>
      </c>
      <c r="M56" s="191">
        <v>0</v>
      </c>
      <c r="N56" s="191">
        <v>0</v>
      </c>
      <c r="O56" s="191">
        <v>0</v>
      </c>
      <c r="P56" s="191">
        <v>0</v>
      </c>
      <c r="Q56" s="191">
        <v>0</v>
      </c>
      <c r="R56" s="191">
        <v>0</v>
      </c>
      <c r="S56" s="191">
        <v>0</v>
      </c>
      <c r="T56" s="191">
        <v>0</v>
      </c>
      <c r="U56" s="191">
        <v>0</v>
      </c>
      <c r="V56" s="191">
        <v>0</v>
      </c>
      <c r="W56" s="191">
        <v>0</v>
      </c>
      <c r="X56" s="191">
        <v>0</v>
      </c>
      <c r="Y56" s="191">
        <v>0</v>
      </c>
      <c r="Z56" s="191">
        <v>0</v>
      </c>
      <c r="AA56" s="191">
        <v>0</v>
      </c>
      <c r="AB56" s="191">
        <v>0</v>
      </c>
      <c r="AC56" s="191">
        <v>0</v>
      </c>
      <c r="AD56" s="191">
        <v>0</v>
      </c>
      <c r="AE56" s="191">
        <v>0</v>
      </c>
      <c r="AF56" s="191">
        <v>0</v>
      </c>
      <c r="AG56" s="191">
        <v>0</v>
      </c>
      <c r="AH56" s="191">
        <v>0</v>
      </c>
      <c r="AI56" s="191">
        <v>0</v>
      </c>
    </row>
    <row r="57" spans="1:89" s="194" customFormat="1" x14ac:dyDescent="0.25">
      <c r="A57" s="194" t="s">
        <v>39</v>
      </c>
      <c r="B57" s="191">
        <v>0</v>
      </c>
      <c r="C57" s="191">
        <v>0</v>
      </c>
      <c r="D57" s="191">
        <v>0</v>
      </c>
      <c r="E57" s="191">
        <v>0</v>
      </c>
      <c r="F57" s="191">
        <v>0</v>
      </c>
      <c r="G57" s="191">
        <v>0</v>
      </c>
      <c r="H57" s="191">
        <v>0</v>
      </c>
      <c r="I57" s="191">
        <v>0</v>
      </c>
      <c r="J57" s="191">
        <v>0</v>
      </c>
      <c r="K57" s="191">
        <v>0</v>
      </c>
      <c r="L57" s="191">
        <v>0</v>
      </c>
      <c r="M57" s="191">
        <v>0</v>
      </c>
      <c r="N57" s="191">
        <v>0</v>
      </c>
      <c r="O57" s="191">
        <v>0</v>
      </c>
      <c r="P57" s="191">
        <v>0</v>
      </c>
      <c r="Q57" s="191">
        <v>0</v>
      </c>
      <c r="R57" s="191">
        <v>0</v>
      </c>
      <c r="S57" s="191">
        <v>0</v>
      </c>
      <c r="T57" s="191">
        <v>0</v>
      </c>
      <c r="U57" s="191">
        <v>0</v>
      </c>
      <c r="V57" s="191">
        <v>0</v>
      </c>
      <c r="W57" s="191">
        <v>0</v>
      </c>
      <c r="X57" s="191">
        <v>0</v>
      </c>
      <c r="Y57" s="191">
        <v>0</v>
      </c>
      <c r="Z57" s="191">
        <v>0</v>
      </c>
      <c r="AA57" s="191">
        <v>0</v>
      </c>
      <c r="AB57" s="191">
        <v>0</v>
      </c>
      <c r="AC57" s="191">
        <v>0</v>
      </c>
      <c r="AD57" s="191">
        <v>0</v>
      </c>
      <c r="AE57" s="191">
        <v>0</v>
      </c>
      <c r="AF57" s="191">
        <v>0</v>
      </c>
      <c r="AG57" s="191">
        <v>0</v>
      </c>
      <c r="AH57" s="191">
        <v>0</v>
      </c>
      <c r="AI57" s="191">
        <v>0</v>
      </c>
    </row>
    <row r="58" spans="1:89" s="194" customFormat="1" x14ac:dyDescent="0.25">
      <c r="A58" s="194" t="s">
        <v>40</v>
      </c>
      <c r="B58" s="191">
        <v>162503693.96000001</v>
      </c>
      <c r="C58" s="191">
        <v>162378448.84</v>
      </c>
      <c r="D58" s="191">
        <v>162991156.59</v>
      </c>
      <c r="E58" s="191">
        <v>165162064.53</v>
      </c>
      <c r="F58" s="191">
        <v>168385646.59</v>
      </c>
      <c r="G58" s="191">
        <v>171513331.06999999</v>
      </c>
      <c r="H58" s="191">
        <v>109591307.73999999</v>
      </c>
      <c r="I58" s="191">
        <v>111793887.12</v>
      </c>
      <c r="J58" s="191">
        <v>94067777.439999998</v>
      </c>
      <c r="K58" s="191">
        <v>95582655.099999994</v>
      </c>
      <c r="L58" s="191">
        <v>95745261.209999993</v>
      </c>
      <c r="M58" s="191">
        <v>91038152.359999999</v>
      </c>
      <c r="N58" s="191">
        <v>68400431.640000001</v>
      </c>
      <c r="O58" s="191">
        <v>69035022.489999995</v>
      </c>
      <c r="P58" s="191">
        <v>69762489.5</v>
      </c>
      <c r="Q58" s="191">
        <v>70515173.469999999</v>
      </c>
      <c r="R58" s="191">
        <v>71258656.549999997</v>
      </c>
      <c r="S58" s="191">
        <v>72043936.469999999</v>
      </c>
      <c r="T58" s="191">
        <v>71935028.560000002</v>
      </c>
      <c r="U58" s="191">
        <v>72591405.75</v>
      </c>
      <c r="V58" s="191">
        <v>73342903.370000005</v>
      </c>
      <c r="W58" s="191">
        <v>69982986.569999993</v>
      </c>
      <c r="X58" s="191">
        <v>55853402.700000003</v>
      </c>
      <c r="Y58" s="191">
        <v>56236552.57</v>
      </c>
      <c r="Z58" s="191">
        <v>56140966</v>
      </c>
      <c r="AA58" s="191">
        <v>30553867.210000001</v>
      </c>
      <c r="AB58" s="191">
        <v>30784611.100000001</v>
      </c>
      <c r="AC58" s="191">
        <v>30883998.02</v>
      </c>
      <c r="AD58" s="191">
        <v>31327306.539999999</v>
      </c>
      <c r="AE58" s="191">
        <v>31520155.059999999</v>
      </c>
      <c r="AF58" s="191">
        <v>31275028.030000001</v>
      </c>
      <c r="AG58" s="191">
        <v>17688197.780000001</v>
      </c>
      <c r="AH58" s="191">
        <v>17250697.210000001</v>
      </c>
      <c r="AI58" s="191">
        <v>0</v>
      </c>
    </row>
    <row r="59" spans="1:89" s="194" customFormat="1" x14ac:dyDescent="0.25">
      <c r="A59" s="194" t="s">
        <v>41</v>
      </c>
      <c r="B59" s="191">
        <v>0</v>
      </c>
      <c r="C59" s="191">
        <v>0</v>
      </c>
      <c r="D59" s="191">
        <v>0</v>
      </c>
      <c r="E59" s="191">
        <v>0</v>
      </c>
      <c r="F59" s="191">
        <v>0</v>
      </c>
      <c r="G59" s="191">
        <v>0</v>
      </c>
      <c r="H59" s="191">
        <v>0</v>
      </c>
      <c r="I59" s="191">
        <v>0</v>
      </c>
      <c r="J59" s="191">
        <v>0</v>
      </c>
      <c r="K59" s="191">
        <v>0</v>
      </c>
      <c r="L59" s="191">
        <v>409921.75</v>
      </c>
      <c r="M59" s="191">
        <v>447143.41</v>
      </c>
      <c r="N59" s="191">
        <v>995781.95</v>
      </c>
      <c r="O59" s="191">
        <v>0</v>
      </c>
      <c r="P59" s="191">
        <v>0</v>
      </c>
      <c r="Q59" s="191">
        <v>0</v>
      </c>
      <c r="R59" s="191">
        <v>0</v>
      </c>
      <c r="S59" s="191">
        <v>0</v>
      </c>
      <c r="T59" s="191">
        <v>0</v>
      </c>
      <c r="U59" s="191">
        <v>0</v>
      </c>
      <c r="V59" s="191">
        <v>0</v>
      </c>
      <c r="W59" s="191">
        <v>0</v>
      </c>
      <c r="X59" s="191">
        <v>0</v>
      </c>
      <c r="Y59" s="191">
        <v>0</v>
      </c>
      <c r="Z59" s="191">
        <v>0</v>
      </c>
      <c r="AA59" s="191">
        <v>0</v>
      </c>
      <c r="AB59" s="191">
        <v>0</v>
      </c>
      <c r="AC59" s="191">
        <v>0</v>
      </c>
      <c r="AD59" s="191">
        <v>0</v>
      </c>
      <c r="AE59" s="191">
        <v>0</v>
      </c>
      <c r="AF59" s="191">
        <v>0</v>
      </c>
      <c r="AG59" s="191">
        <v>0</v>
      </c>
      <c r="AH59" s="191">
        <v>0</v>
      </c>
      <c r="AI59" s="191">
        <v>0</v>
      </c>
    </row>
    <row r="60" spans="1:89" s="194" customFormat="1" x14ac:dyDescent="0.25">
      <c r="A60" s="194" t="s">
        <v>42</v>
      </c>
      <c r="B60" s="191">
        <v>730261957.53999996</v>
      </c>
      <c r="C60" s="191">
        <v>704026030.13999999</v>
      </c>
      <c r="D60" s="191">
        <v>669217863.13</v>
      </c>
      <c r="E60" s="191">
        <v>695294849.13</v>
      </c>
      <c r="F60" s="191">
        <v>705286965.25999999</v>
      </c>
      <c r="G60" s="191">
        <v>720746665.62</v>
      </c>
      <c r="H60" s="191">
        <v>732879192.63</v>
      </c>
      <c r="I60" s="191">
        <v>737975913.58000004</v>
      </c>
      <c r="J60" s="191">
        <v>802931740.98000002</v>
      </c>
      <c r="K60" s="191">
        <v>803665866.40999997</v>
      </c>
      <c r="L60" s="191">
        <v>726580468.24000001</v>
      </c>
      <c r="M60" s="191">
        <v>2924910.33</v>
      </c>
      <c r="N60" s="191">
        <v>2924910.33</v>
      </c>
      <c r="O60" s="191">
        <v>2924910.33</v>
      </c>
      <c r="P60" s="191">
        <v>2924910.33</v>
      </c>
      <c r="Q60" s="191">
        <v>2924910.33</v>
      </c>
      <c r="R60" s="191">
        <v>2924910.33</v>
      </c>
      <c r="S60" s="191">
        <v>2924910.33</v>
      </c>
      <c r="T60" s="191">
        <v>2924910.33</v>
      </c>
      <c r="U60" s="191">
        <v>2924910.33</v>
      </c>
      <c r="V60" s="191">
        <v>2924910.33</v>
      </c>
      <c r="W60" s="191">
        <v>2924910.33</v>
      </c>
      <c r="X60" s="191">
        <v>2924910.33</v>
      </c>
      <c r="Y60" s="191">
        <v>2924910.33</v>
      </c>
      <c r="Z60" s="191">
        <v>2924910.33</v>
      </c>
      <c r="AA60" s="191">
        <v>2924910.33</v>
      </c>
      <c r="AB60" s="191">
        <v>2924910.33</v>
      </c>
      <c r="AC60" s="191">
        <v>2924910.33</v>
      </c>
      <c r="AD60" s="191">
        <v>2924910.33</v>
      </c>
      <c r="AE60" s="191">
        <v>2924910.33</v>
      </c>
      <c r="AF60" s="191">
        <v>2924910.33</v>
      </c>
      <c r="AG60" s="191">
        <v>0</v>
      </c>
      <c r="AH60" s="191">
        <v>0</v>
      </c>
      <c r="AI60" s="191">
        <v>0</v>
      </c>
    </row>
    <row r="61" spans="1:89" s="194" customFormat="1" x14ac:dyDescent="0.25">
      <c r="A61" s="194" t="s">
        <v>43</v>
      </c>
      <c r="B61" s="191">
        <v>8050031.1699999999</v>
      </c>
      <c r="C61" s="191">
        <v>8497675.0600000005</v>
      </c>
      <c r="D61" s="191">
        <v>8014804.5599999996</v>
      </c>
      <c r="E61" s="191">
        <v>8245160.0999999996</v>
      </c>
      <c r="F61" s="191">
        <v>8651767.6300000008</v>
      </c>
      <c r="G61" s="191">
        <v>9058375.1500000004</v>
      </c>
      <c r="H61" s="191">
        <v>9464982.6699999999</v>
      </c>
      <c r="I61" s="191">
        <v>8673391.9900000002</v>
      </c>
      <c r="J61" s="191">
        <v>8071096.2000000002</v>
      </c>
      <c r="K61" s="191">
        <v>8377229.4000000004</v>
      </c>
      <c r="L61" s="191">
        <v>8583029.2699999996</v>
      </c>
      <c r="M61" s="191">
        <v>9202457.9900000002</v>
      </c>
      <c r="N61" s="191">
        <v>6822996.5199999996</v>
      </c>
      <c r="O61" s="191">
        <v>7323084.8899999997</v>
      </c>
      <c r="P61" s="191">
        <v>7966314.2400000002</v>
      </c>
      <c r="Q61" s="191">
        <v>8653543.5899999999</v>
      </c>
      <c r="R61" s="191">
        <v>2902453.48</v>
      </c>
      <c r="S61" s="191">
        <v>516232.29</v>
      </c>
      <c r="T61" s="191">
        <v>503394.42</v>
      </c>
      <c r="U61" s="191">
        <v>556011.09</v>
      </c>
      <c r="V61" s="191">
        <v>390000</v>
      </c>
      <c r="W61" s="191">
        <v>420000</v>
      </c>
      <c r="X61" s="191">
        <v>450000</v>
      </c>
      <c r="Y61" s="191">
        <v>480000</v>
      </c>
      <c r="Z61" s="191">
        <v>510660</v>
      </c>
      <c r="AA61" s="191">
        <v>540000</v>
      </c>
      <c r="AB61" s="191">
        <v>0</v>
      </c>
      <c r="AC61" s="191">
        <v>0</v>
      </c>
      <c r="AD61" s="191">
        <v>0</v>
      </c>
      <c r="AE61" s="191">
        <v>0</v>
      </c>
      <c r="AF61" s="191">
        <v>5168.66</v>
      </c>
      <c r="AG61" s="191">
        <v>20675.419999999998</v>
      </c>
      <c r="AH61" s="191">
        <v>36182.18</v>
      </c>
      <c r="AI61" s="191">
        <v>0</v>
      </c>
    </row>
    <row r="62" spans="1:89" s="194" customFormat="1" x14ac:dyDescent="0.25">
      <c r="A62" s="194" t="s">
        <v>44</v>
      </c>
      <c r="B62" s="191">
        <v>38307971.640000001</v>
      </c>
      <c r="C62" s="191">
        <v>38414270.829999998</v>
      </c>
      <c r="D62" s="191">
        <v>28257639.469999999</v>
      </c>
      <c r="E62" s="191">
        <v>28037801.629999999</v>
      </c>
      <c r="F62" s="191">
        <v>32173124.289999999</v>
      </c>
      <c r="G62" s="191">
        <v>31366998.219999999</v>
      </c>
      <c r="H62" s="191">
        <v>25533525.23</v>
      </c>
      <c r="I62" s="191">
        <v>24413957.199999999</v>
      </c>
      <c r="J62" s="191">
        <v>26745370.379999999</v>
      </c>
      <c r="K62" s="191">
        <v>27100437.719999999</v>
      </c>
      <c r="L62" s="191">
        <v>18620868.879999999</v>
      </c>
      <c r="M62" s="191">
        <v>17811897.559999999</v>
      </c>
      <c r="N62" s="191">
        <v>20198829.399999999</v>
      </c>
      <c r="O62" s="191">
        <v>20406023.93</v>
      </c>
      <c r="P62" s="191">
        <v>10097838.279999999</v>
      </c>
      <c r="Q62" s="191">
        <v>9061522.2599999998</v>
      </c>
      <c r="R62" s="191">
        <v>7484148.6900000004</v>
      </c>
      <c r="S62" s="191">
        <v>7284428.8499999996</v>
      </c>
      <c r="T62" s="191">
        <v>6859802.29</v>
      </c>
      <c r="U62" s="191">
        <v>6857699</v>
      </c>
      <c r="V62" s="191">
        <v>6396743.4100000001</v>
      </c>
      <c r="W62" s="191">
        <v>6334087.0999999996</v>
      </c>
      <c r="X62" s="191">
        <v>6458028.4000000004</v>
      </c>
      <c r="Y62" s="191">
        <v>6617114.5700000003</v>
      </c>
      <c r="Z62" s="191">
        <v>5636416.8300000001</v>
      </c>
      <c r="AA62" s="191">
        <v>5627683.4699999997</v>
      </c>
      <c r="AB62" s="191">
        <v>7381636.0599999996</v>
      </c>
      <c r="AC62" s="191">
        <v>7661810.2400000002</v>
      </c>
      <c r="AD62" s="191">
        <v>6784044.75</v>
      </c>
      <c r="AE62" s="191">
        <v>6514700.7599999998</v>
      </c>
      <c r="AF62" s="191">
        <v>3170786.84</v>
      </c>
      <c r="AG62" s="191">
        <v>3335824.8</v>
      </c>
      <c r="AH62" s="191">
        <v>1877635.82</v>
      </c>
      <c r="AI62" s="191">
        <v>0</v>
      </c>
    </row>
    <row r="63" spans="1:89" s="194" customFormat="1" x14ac:dyDescent="0.25">
      <c r="A63" s="194" t="s">
        <v>45</v>
      </c>
      <c r="B63" s="191">
        <v>17087625.390000001</v>
      </c>
      <c r="C63" s="191">
        <v>17144366.41</v>
      </c>
      <c r="D63" s="191">
        <v>16926068.27</v>
      </c>
      <c r="E63" s="191">
        <v>18138372.920000002</v>
      </c>
      <c r="F63" s="191">
        <v>19811568.440000001</v>
      </c>
      <c r="G63" s="191">
        <v>20705994.91</v>
      </c>
      <c r="H63" s="191">
        <v>21661369.27</v>
      </c>
      <c r="I63" s="191">
        <v>22446413.469999999</v>
      </c>
      <c r="J63" s="191">
        <v>1982752.91</v>
      </c>
      <c r="K63" s="191">
        <v>2507088.25</v>
      </c>
      <c r="L63" s="191">
        <v>2605456.25</v>
      </c>
      <c r="M63" s="191">
        <v>987697.31</v>
      </c>
      <c r="N63" s="191">
        <v>555295.68000000005</v>
      </c>
      <c r="O63" s="191">
        <v>555295.68000000005</v>
      </c>
      <c r="P63" s="191">
        <v>1062471.71</v>
      </c>
      <c r="Q63" s="191">
        <v>1062471.71</v>
      </c>
      <c r="R63" s="191">
        <v>1281830.31</v>
      </c>
      <c r="S63" s="191">
        <v>1281830.31</v>
      </c>
      <c r="T63" s="191">
        <v>1492263.93</v>
      </c>
      <c r="U63" s="191">
        <v>1492263.93</v>
      </c>
      <c r="V63" s="191">
        <v>1641365.65</v>
      </c>
      <c r="W63" s="191">
        <v>1641365.65</v>
      </c>
      <c r="X63" s="191">
        <v>1685617.5</v>
      </c>
      <c r="Y63" s="191">
        <v>1685617.5</v>
      </c>
      <c r="Z63" s="191">
        <v>1677883.74</v>
      </c>
      <c r="AA63" s="191">
        <v>1677883.74</v>
      </c>
      <c r="AB63" s="191">
        <v>1661436.87</v>
      </c>
      <c r="AC63" s="191">
        <v>1661436.87</v>
      </c>
      <c r="AD63" s="191">
        <v>1784279.98</v>
      </c>
      <c r="AE63" s="191">
        <v>1784279.98</v>
      </c>
      <c r="AF63" s="191">
        <v>1826832.48</v>
      </c>
      <c r="AG63" s="191">
        <v>0</v>
      </c>
      <c r="AH63" s="191">
        <v>0</v>
      </c>
      <c r="AI63" s="191">
        <v>0</v>
      </c>
    </row>
    <row r="64" spans="1:89" s="194" customFormat="1" x14ac:dyDescent="0.25">
      <c r="A64" s="194" t="s">
        <v>46</v>
      </c>
      <c r="B64" s="191">
        <v>38552141.280000001</v>
      </c>
      <c r="C64" s="191">
        <v>34097842.149999999</v>
      </c>
      <c r="D64" s="191">
        <v>33887055.579999998</v>
      </c>
      <c r="E64" s="191">
        <v>21979229.539999999</v>
      </c>
      <c r="F64" s="191">
        <v>21731047.059999999</v>
      </c>
      <c r="G64" s="191">
        <v>22660234.050000001</v>
      </c>
      <c r="H64" s="191">
        <v>63046315.130000003</v>
      </c>
      <c r="I64" s="191">
        <v>31268924.77</v>
      </c>
      <c r="J64" s="191">
        <v>38720182.329999998</v>
      </c>
      <c r="K64" s="191">
        <v>18941406.050000001</v>
      </c>
      <c r="L64" s="191">
        <v>14697602.710000001</v>
      </c>
      <c r="M64" s="191">
        <v>16756097.619999999</v>
      </c>
      <c r="N64" s="191">
        <v>46334351.979999997</v>
      </c>
      <c r="O64" s="191">
        <v>37812519.68</v>
      </c>
      <c r="P64" s="191">
        <v>44119372.049999997</v>
      </c>
      <c r="Q64" s="191">
        <v>15603863.970000001</v>
      </c>
      <c r="R64" s="191">
        <v>0</v>
      </c>
      <c r="S64" s="191">
        <v>0</v>
      </c>
      <c r="T64" s="191">
        <v>0</v>
      </c>
      <c r="U64" s="191">
        <v>0</v>
      </c>
      <c r="V64" s="191">
        <v>0</v>
      </c>
      <c r="W64" s="191">
        <v>0</v>
      </c>
      <c r="X64" s="191">
        <v>0</v>
      </c>
      <c r="Y64" s="191">
        <v>0</v>
      </c>
      <c r="Z64" s="191">
        <v>0</v>
      </c>
      <c r="AA64" s="191">
        <v>0</v>
      </c>
      <c r="AB64" s="191">
        <v>0</v>
      </c>
      <c r="AC64" s="191">
        <v>0</v>
      </c>
      <c r="AD64" s="191">
        <v>0</v>
      </c>
      <c r="AE64" s="191">
        <v>0</v>
      </c>
      <c r="AF64" s="191">
        <v>0</v>
      </c>
      <c r="AG64" s="191">
        <v>0</v>
      </c>
      <c r="AH64" s="191">
        <v>0</v>
      </c>
      <c r="AI64" s="191">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1">
        <v>0</v>
      </c>
      <c r="C73" s="191">
        <v>0</v>
      </c>
      <c r="D73" s="191">
        <v>0</v>
      </c>
      <c r="E73" s="191">
        <v>0</v>
      </c>
      <c r="F73" s="191">
        <v>0</v>
      </c>
      <c r="G73" s="191">
        <v>0</v>
      </c>
      <c r="H73" s="191">
        <v>0</v>
      </c>
      <c r="I73" s="191">
        <v>0</v>
      </c>
      <c r="J73" s="191">
        <v>100000000</v>
      </c>
      <c r="K73" s="191">
        <v>220000000</v>
      </c>
      <c r="L73" s="191">
        <v>157000000</v>
      </c>
      <c r="M73" s="191">
        <v>0</v>
      </c>
      <c r="N73" s="191">
        <v>0</v>
      </c>
      <c r="O73" s="191">
        <v>0</v>
      </c>
      <c r="P73" s="191">
        <v>6400000</v>
      </c>
      <c r="Q73" s="191">
        <v>12400000</v>
      </c>
      <c r="R73" s="191">
        <v>12000000</v>
      </c>
      <c r="S73" s="191">
        <v>12000000</v>
      </c>
      <c r="T73" s="191">
        <v>24857676</v>
      </c>
      <c r="U73" s="191">
        <v>18437676</v>
      </c>
      <c r="V73" s="191">
        <v>10000000</v>
      </c>
      <c r="W73" s="191">
        <v>11178700</v>
      </c>
      <c r="X73" s="191">
        <v>100551802</v>
      </c>
      <c r="Y73" s="191">
        <v>88374130</v>
      </c>
      <c r="Z73" s="191">
        <v>0</v>
      </c>
      <c r="AA73" s="191">
        <v>0</v>
      </c>
      <c r="AB73" s="191">
        <v>36350000</v>
      </c>
      <c r="AC73" s="191">
        <v>153094962</v>
      </c>
      <c r="AD73" s="191">
        <v>73613130</v>
      </c>
      <c r="AE73" s="191">
        <v>118135472.91</v>
      </c>
      <c r="AF73" s="191">
        <v>137571048</v>
      </c>
      <c r="AG73" s="191">
        <v>70000000</v>
      </c>
      <c r="AH73" s="191">
        <v>180000000</v>
      </c>
      <c r="AI73" s="191">
        <v>0</v>
      </c>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c r="BH73" s="191"/>
      <c r="BI73" s="191"/>
      <c r="BJ73" s="191"/>
      <c r="BK73" s="191"/>
      <c r="BL73" s="191"/>
      <c r="BM73" s="191"/>
      <c r="BN73" s="191"/>
      <c r="BO73" s="191"/>
      <c r="BP73" s="191"/>
      <c r="BQ73" s="191"/>
      <c r="BR73" s="191"/>
      <c r="BS73" s="191"/>
      <c r="BT73" s="191"/>
      <c r="BU73" s="191"/>
      <c r="BV73" s="191"/>
      <c r="BW73" s="191"/>
      <c r="BX73" s="191"/>
      <c r="BY73" s="191"/>
      <c r="BZ73" s="40"/>
      <c r="CA73" s="40"/>
      <c r="CB73" s="40"/>
      <c r="CC73" s="40"/>
      <c r="CD73" s="40"/>
      <c r="CE73" s="40"/>
      <c r="CF73" s="40"/>
      <c r="CG73" s="40"/>
      <c r="CH73" s="40"/>
      <c r="CI73" s="40"/>
      <c r="CJ73" s="40"/>
      <c r="CK73" s="40"/>
      <c r="CL73" s="40"/>
    </row>
    <row r="74" spans="1:90" x14ac:dyDescent="0.25">
      <c r="A74" s="129" t="s">
        <v>77</v>
      </c>
      <c r="B74" s="191">
        <v>0</v>
      </c>
      <c r="C74" s="191">
        <v>0</v>
      </c>
      <c r="D74" s="191">
        <v>0</v>
      </c>
      <c r="E74" s="191">
        <v>0</v>
      </c>
      <c r="F74" s="191">
        <v>0</v>
      </c>
      <c r="G74" s="191">
        <v>0</v>
      </c>
      <c r="H74" s="191">
        <v>0</v>
      </c>
      <c r="I74" s="191">
        <v>0</v>
      </c>
      <c r="J74" s="191">
        <v>0</v>
      </c>
      <c r="K74" s="191">
        <v>0</v>
      </c>
      <c r="L74" s="191">
        <v>0</v>
      </c>
      <c r="M74" s="191">
        <v>0</v>
      </c>
      <c r="N74" s="191">
        <v>0</v>
      </c>
      <c r="O74" s="191">
        <v>0</v>
      </c>
      <c r="P74" s="191">
        <v>0</v>
      </c>
      <c r="Q74" s="191">
        <v>0</v>
      </c>
      <c r="R74" s="191">
        <v>0</v>
      </c>
      <c r="S74" s="191">
        <v>0</v>
      </c>
      <c r="T74" s="191">
        <v>0</v>
      </c>
      <c r="U74" s="191">
        <v>0</v>
      </c>
      <c r="V74" s="191">
        <v>0</v>
      </c>
      <c r="W74" s="191">
        <v>0</v>
      </c>
      <c r="X74" s="191">
        <v>0</v>
      </c>
      <c r="Y74" s="191">
        <v>0</v>
      </c>
      <c r="Z74" s="191">
        <v>0</v>
      </c>
      <c r="AA74" s="191">
        <v>0</v>
      </c>
      <c r="AB74" s="191">
        <v>0</v>
      </c>
      <c r="AC74" s="191">
        <v>0</v>
      </c>
      <c r="AD74" s="191">
        <v>0</v>
      </c>
      <c r="AE74" s="191">
        <v>0</v>
      </c>
      <c r="AF74" s="191">
        <v>0</v>
      </c>
      <c r="AG74" s="191">
        <v>0</v>
      </c>
      <c r="AH74" s="191">
        <v>0</v>
      </c>
      <c r="AI74" s="191">
        <v>0</v>
      </c>
      <c r="AJ74" s="191"/>
      <c r="AK74" s="191"/>
      <c r="AL74" s="191"/>
      <c r="AM74" s="191"/>
      <c r="AN74" s="191"/>
      <c r="AO74" s="191"/>
      <c r="AP74" s="191"/>
      <c r="AQ74" s="191"/>
      <c r="AR74" s="191"/>
      <c r="AS74" s="191"/>
      <c r="AT74" s="191"/>
      <c r="AU74" s="191"/>
      <c r="AV74" s="191"/>
      <c r="AW74" s="191"/>
      <c r="AX74" s="191"/>
      <c r="AY74" s="191"/>
      <c r="AZ74" s="191"/>
      <c r="BA74" s="191"/>
      <c r="BB74" s="191"/>
      <c r="BC74" s="191"/>
      <c r="BD74" s="191"/>
      <c r="BE74" s="191"/>
      <c r="BF74" s="191"/>
      <c r="BG74" s="191"/>
      <c r="BH74" s="191"/>
      <c r="BI74" s="191"/>
      <c r="BJ74" s="191"/>
      <c r="BK74" s="191"/>
      <c r="BL74" s="191"/>
      <c r="BM74" s="191"/>
      <c r="BN74" s="191"/>
      <c r="BO74" s="191"/>
      <c r="BP74" s="191"/>
      <c r="BQ74" s="191"/>
      <c r="BR74" s="191"/>
      <c r="BS74" s="191"/>
      <c r="BT74" s="191"/>
      <c r="BU74" s="191"/>
      <c r="BV74" s="191"/>
      <c r="BW74" s="191"/>
      <c r="BX74" s="191"/>
      <c r="BY74" s="191"/>
      <c r="BZ74" s="40"/>
      <c r="CA74" s="40"/>
      <c r="CB74" s="40"/>
      <c r="CC74" s="40"/>
      <c r="CD74" s="40"/>
      <c r="CE74" s="40"/>
      <c r="CF74" s="40"/>
      <c r="CG74" s="40"/>
      <c r="CH74" s="40"/>
      <c r="CI74" s="40"/>
      <c r="CJ74" s="40"/>
      <c r="CK74" s="40"/>
      <c r="CL74" s="40"/>
    </row>
    <row r="75" spans="1:90" x14ac:dyDescent="0.25">
      <c r="A75" s="129" t="s">
        <v>53</v>
      </c>
      <c r="B75" s="191">
        <v>0</v>
      </c>
      <c r="C75" s="191">
        <v>0</v>
      </c>
      <c r="D75" s="191">
        <v>0</v>
      </c>
      <c r="E75" s="191">
        <v>0</v>
      </c>
      <c r="F75" s="191">
        <v>0</v>
      </c>
      <c r="G75" s="191">
        <v>0</v>
      </c>
      <c r="H75" s="191">
        <v>0</v>
      </c>
      <c r="I75" s="191">
        <v>0</v>
      </c>
      <c r="J75" s="191">
        <v>0</v>
      </c>
      <c r="K75" s="191">
        <v>0</v>
      </c>
      <c r="L75" s="191">
        <v>0</v>
      </c>
      <c r="M75" s="191">
        <v>0</v>
      </c>
      <c r="N75" s="191">
        <v>0</v>
      </c>
      <c r="O75" s="191">
        <v>0</v>
      </c>
      <c r="P75" s="191">
        <v>0</v>
      </c>
      <c r="Q75" s="191">
        <v>0</v>
      </c>
      <c r="R75" s="191">
        <v>0</v>
      </c>
      <c r="S75" s="191">
        <v>0</v>
      </c>
      <c r="T75" s="191">
        <v>0</v>
      </c>
      <c r="U75" s="191">
        <v>0</v>
      </c>
      <c r="V75" s="191">
        <v>0</v>
      </c>
      <c r="W75" s="191">
        <v>0</v>
      </c>
      <c r="X75" s="191">
        <v>0</v>
      </c>
      <c r="Y75" s="191">
        <v>0</v>
      </c>
      <c r="Z75" s="191">
        <v>0</v>
      </c>
      <c r="AA75" s="191">
        <v>0</v>
      </c>
      <c r="AB75" s="191">
        <v>0</v>
      </c>
      <c r="AC75" s="191">
        <v>0</v>
      </c>
      <c r="AD75" s="191">
        <v>0</v>
      </c>
      <c r="AE75" s="191">
        <v>0</v>
      </c>
      <c r="AF75" s="191">
        <v>0</v>
      </c>
      <c r="AG75" s="191">
        <v>0</v>
      </c>
      <c r="AH75" s="191">
        <v>0</v>
      </c>
      <c r="AI75" s="191">
        <v>0</v>
      </c>
      <c r="AJ75" s="191"/>
      <c r="AK75" s="191"/>
      <c r="AL75" s="191"/>
      <c r="AM75" s="191"/>
      <c r="AN75" s="191"/>
      <c r="AO75" s="191"/>
      <c r="AP75" s="191"/>
      <c r="AQ75" s="191"/>
      <c r="AR75" s="191"/>
      <c r="AS75" s="191"/>
      <c r="AT75" s="191"/>
      <c r="AU75" s="191"/>
      <c r="AV75" s="191"/>
      <c r="AW75" s="191"/>
      <c r="AX75" s="191"/>
      <c r="AY75" s="191"/>
      <c r="AZ75" s="191"/>
      <c r="BA75" s="191"/>
      <c r="BB75" s="191"/>
      <c r="BC75" s="191"/>
      <c r="BD75" s="191"/>
      <c r="BE75" s="191"/>
      <c r="BF75" s="191"/>
      <c r="BG75" s="191"/>
      <c r="BH75" s="191"/>
      <c r="BI75" s="191"/>
      <c r="BJ75" s="191"/>
      <c r="BK75" s="191"/>
      <c r="BL75" s="191"/>
      <c r="BM75" s="191"/>
      <c r="BN75" s="191"/>
      <c r="BO75" s="191"/>
      <c r="BP75" s="191"/>
      <c r="BQ75" s="191"/>
      <c r="BR75" s="191"/>
      <c r="BS75" s="191"/>
      <c r="BT75" s="191"/>
      <c r="BU75" s="191"/>
      <c r="BV75" s="191"/>
      <c r="BW75" s="191"/>
      <c r="BX75" s="191"/>
      <c r="BY75" s="191"/>
      <c r="BZ75" s="40"/>
      <c r="CA75" s="40"/>
      <c r="CB75" s="40"/>
      <c r="CC75" s="40"/>
      <c r="CD75" s="40"/>
      <c r="CE75" s="40"/>
      <c r="CF75" s="40"/>
      <c r="CG75" s="40"/>
      <c r="CH75" s="40"/>
      <c r="CI75" s="40"/>
      <c r="CJ75" s="40"/>
      <c r="CK75" s="40"/>
      <c r="CL75" s="40"/>
    </row>
    <row r="76" spans="1:90" x14ac:dyDescent="0.25">
      <c r="A76" s="129" t="s">
        <v>54</v>
      </c>
      <c r="B76" s="191">
        <v>1993398</v>
      </c>
      <c r="C76" s="191">
        <v>1940966.38</v>
      </c>
      <c r="D76" s="191">
        <v>1901131.58</v>
      </c>
      <c r="E76" s="191">
        <v>1931470.31</v>
      </c>
      <c r="F76" s="191">
        <v>1948951.34</v>
      </c>
      <c r="G76" s="191">
        <v>1603764.68</v>
      </c>
      <c r="H76" s="191">
        <v>1610046.15</v>
      </c>
      <c r="I76" s="191">
        <v>1785316.59</v>
      </c>
      <c r="J76" s="191">
        <v>1604314.74</v>
      </c>
      <c r="K76" s="191">
        <v>2038338.04</v>
      </c>
      <c r="L76" s="191">
        <v>1562478.14</v>
      </c>
      <c r="M76" s="191">
        <v>0</v>
      </c>
      <c r="N76" s="191">
        <v>0</v>
      </c>
      <c r="O76" s="191">
        <v>0</v>
      </c>
      <c r="P76" s="191">
        <v>0</v>
      </c>
      <c r="Q76" s="191">
        <v>0</v>
      </c>
      <c r="R76" s="191">
        <v>0</v>
      </c>
      <c r="S76" s="191">
        <v>0</v>
      </c>
      <c r="T76" s="191">
        <v>0</v>
      </c>
      <c r="U76" s="191">
        <v>0</v>
      </c>
      <c r="V76" s="191">
        <v>0</v>
      </c>
      <c r="W76" s="191">
        <v>0</v>
      </c>
      <c r="X76" s="191">
        <v>0</v>
      </c>
      <c r="Y76" s="191">
        <v>0</v>
      </c>
      <c r="Z76" s="191">
        <v>0</v>
      </c>
      <c r="AA76" s="191">
        <v>0</v>
      </c>
      <c r="AB76" s="191">
        <v>0</v>
      </c>
      <c r="AC76" s="191">
        <v>0</v>
      </c>
      <c r="AD76" s="191">
        <v>0</v>
      </c>
      <c r="AE76" s="191">
        <v>0</v>
      </c>
      <c r="AF76" s="191">
        <v>0</v>
      </c>
      <c r="AG76" s="191">
        <v>0</v>
      </c>
      <c r="AH76" s="191">
        <v>0</v>
      </c>
      <c r="AI76" s="191">
        <v>0</v>
      </c>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91"/>
      <c r="BJ76" s="191"/>
      <c r="BK76" s="191"/>
      <c r="BL76" s="191"/>
      <c r="BM76" s="191"/>
      <c r="BN76" s="191"/>
      <c r="BO76" s="191"/>
      <c r="BP76" s="191"/>
      <c r="BQ76" s="191"/>
      <c r="BR76" s="191"/>
      <c r="BS76" s="191"/>
      <c r="BT76" s="191"/>
      <c r="BU76" s="191"/>
      <c r="BV76" s="191"/>
      <c r="BW76" s="191"/>
      <c r="BX76" s="191"/>
      <c r="BY76" s="191"/>
      <c r="BZ76" s="40"/>
      <c r="CA76" s="40"/>
      <c r="CB76" s="40"/>
      <c r="CC76" s="40"/>
      <c r="CD76" s="40"/>
      <c r="CE76" s="40"/>
      <c r="CF76" s="40"/>
      <c r="CG76" s="40"/>
      <c r="CH76" s="40"/>
      <c r="CI76" s="40"/>
      <c r="CJ76" s="40"/>
      <c r="CK76" s="40"/>
      <c r="CL76" s="40"/>
    </row>
    <row r="77" spans="1:90" x14ac:dyDescent="0.25">
      <c r="A77" s="129" t="s">
        <v>55</v>
      </c>
      <c r="B77" s="191">
        <v>0</v>
      </c>
      <c r="C77" s="191">
        <v>0</v>
      </c>
      <c r="D77" s="191">
        <v>0</v>
      </c>
      <c r="E77" s="191">
        <v>0</v>
      </c>
      <c r="F77" s="191">
        <v>0</v>
      </c>
      <c r="G77" s="191">
        <v>0</v>
      </c>
      <c r="H77" s="191">
        <v>0</v>
      </c>
      <c r="I77" s="191">
        <v>0</v>
      </c>
      <c r="J77" s="191">
        <v>0</v>
      </c>
      <c r="K77" s="191">
        <v>0</v>
      </c>
      <c r="L77" s="191">
        <v>0</v>
      </c>
      <c r="M77" s="191">
        <v>0</v>
      </c>
      <c r="N77" s="191">
        <v>0</v>
      </c>
      <c r="O77" s="191">
        <v>0</v>
      </c>
      <c r="P77" s="191">
        <v>0</v>
      </c>
      <c r="Q77" s="191">
        <v>0</v>
      </c>
      <c r="R77" s="191">
        <v>0</v>
      </c>
      <c r="S77" s="191">
        <v>0</v>
      </c>
      <c r="T77" s="191">
        <v>0</v>
      </c>
      <c r="U77" s="191">
        <v>0</v>
      </c>
      <c r="V77" s="191">
        <v>0</v>
      </c>
      <c r="W77" s="191">
        <v>0</v>
      </c>
      <c r="X77" s="191">
        <v>0</v>
      </c>
      <c r="Y77" s="191">
        <v>0</v>
      </c>
      <c r="Z77" s="191">
        <v>0</v>
      </c>
      <c r="AA77" s="191">
        <v>0</v>
      </c>
      <c r="AB77" s="191">
        <v>0</v>
      </c>
      <c r="AC77" s="191">
        <v>0</v>
      </c>
      <c r="AD77" s="191">
        <v>0</v>
      </c>
      <c r="AE77" s="191">
        <v>0</v>
      </c>
      <c r="AF77" s="191">
        <v>0</v>
      </c>
      <c r="AG77" s="191">
        <v>0</v>
      </c>
      <c r="AH77" s="191">
        <v>0</v>
      </c>
      <c r="AI77" s="191">
        <v>0</v>
      </c>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91"/>
      <c r="BJ77" s="191"/>
      <c r="BK77" s="191"/>
      <c r="BL77" s="191"/>
      <c r="BM77" s="191"/>
      <c r="BN77" s="191"/>
      <c r="BO77" s="191"/>
      <c r="BP77" s="191"/>
      <c r="BQ77" s="191"/>
      <c r="BR77" s="191"/>
      <c r="BS77" s="191"/>
      <c r="BT77" s="191"/>
      <c r="BU77" s="191"/>
      <c r="BV77" s="191"/>
      <c r="BW77" s="191"/>
      <c r="BX77" s="191"/>
      <c r="BY77" s="191"/>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1">
        <v>6593688.7400000002</v>
      </c>
      <c r="C82" s="191">
        <v>6941726.4900000002</v>
      </c>
      <c r="D82" s="191">
        <v>7275665.4100000001</v>
      </c>
      <c r="E82" s="191">
        <v>7863236.6100000003</v>
      </c>
      <c r="F82" s="191">
        <v>8388960.0700000003</v>
      </c>
      <c r="G82" s="191">
        <v>9278738.7200000007</v>
      </c>
      <c r="H82" s="191">
        <v>9803851.9199999999</v>
      </c>
      <c r="I82" s="191">
        <v>9799618.5399999991</v>
      </c>
      <c r="J82" s="191">
        <v>380150325.94</v>
      </c>
      <c r="K82" s="191">
        <v>578364955.11000001</v>
      </c>
      <c r="L82" s="191">
        <v>567460890.89999998</v>
      </c>
      <c r="M82" s="191">
        <v>0</v>
      </c>
      <c r="N82" s="191">
        <v>0</v>
      </c>
      <c r="O82" s="191">
        <v>0</v>
      </c>
      <c r="P82" s="191">
        <v>0</v>
      </c>
      <c r="Q82" s="191">
        <v>10000000</v>
      </c>
      <c r="R82" s="191">
        <v>10000000</v>
      </c>
      <c r="S82" s="191">
        <v>10000000</v>
      </c>
      <c r="T82" s="191">
        <v>0</v>
      </c>
      <c r="U82" s="191">
        <v>0</v>
      </c>
      <c r="V82" s="191">
        <v>0</v>
      </c>
      <c r="W82" s="191">
        <v>0</v>
      </c>
      <c r="X82" s="191">
        <v>0</v>
      </c>
      <c r="Y82" s="191">
        <v>0</v>
      </c>
      <c r="Z82" s="191">
        <v>0</v>
      </c>
      <c r="AA82" s="191">
        <v>0</v>
      </c>
      <c r="AB82" s="191">
        <v>0</v>
      </c>
      <c r="AC82" s="191">
        <v>100000000</v>
      </c>
      <c r="AD82" s="191">
        <v>112500000</v>
      </c>
      <c r="AE82" s="191">
        <v>125000000</v>
      </c>
      <c r="AF82" s="191">
        <v>99870000</v>
      </c>
      <c r="AG82" s="191">
        <v>156870000</v>
      </c>
      <c r="AH82" s="191">
        <v>0</v>
      </c>
      <c r="AI82" s="191">
        <v>0</v>
      </c>
      <c r="AJ82" s="191"/>
      <c r="AK82" s="191"/>
      <c r="AL82" s="191"/>
      <c r="AM82" s="191"/>
      <c r="AN82" s="191"/>
      <c r="AO82" s="191"/>
      <c r="AP82" s="191"/>
      <c r="AQ82" s="191"/>
      <c r="AR82" s="191"/>
      <c r="AS82" s="191"/>
      <c r="AT82" s="191"/>
      <c r="AU82" s="191"/>
      <c r="AV82" s="191"/>
      <c r="AW82" s="191"/>
      <c r="AX82" s="191"/>
      <c r="AY82" s="191"/>
      <c r="AZ82" s="191"/>
      <c r="BA82" s="191"/>
      <c r="BB82" s="191"/>
      <c r="BC82" s="191"/>
      <c r="BD82" s="191"/>
      <c r="BE82" s="191"/>
      <c r="BF82" s="191"/>
      <c r="BG82" s="191"/>
      <c r="BH82" s="191"/>
      <c r="BI82" s="191"/>
      <c r="BJ82" s="191"/>
      <c r="BK82" s="191"/>
      <c r="BL82" s="191"/>
      <c r="BM82" s="191"/>
      <c r="BN82" s="191"/>
      <c r="BO82" s="191"/>
      <c r="BP82" s="191"/>
      <c r="BQ82" s="191"/>
      <c r="BR82" s="191"/>
      <c r="BS82" s="191"/>
      <c r="BT82" s="191"/>
      <c r="BU82" s="191"/>
      <c r="BV82" s="191"/>
      <c r="BW82" s="191"/>
      <c r="BX82" s="191"/>
      <c r="BY82" s="191"/>
      <c r="BZ82" s="40"/>
      <c r="CA82" s="40"/>
      <c r="CB82" s="40"/>
      <c r="CC82" s="40"/>
      <c r="CD82" s="40"/>
      <c r="CE82" s="40"/>
      <c r="CF82" s="40"/>
      <c r="CG82" s="40"/>
      <c r="CH82" s="40"/>
      <c r="CI82" s="40"/>
      <c r="CJ82" s="40"/>
      <c r="CK82" s="40"/>
      <c r="CL82" s="40"/>
    </row>
    <row r="83" spans="1:90" x14ac:dyDescent="0.25">
      <c r="A83" s="129" t="s">
        <v>58</v>
      </c>
      <c r="B83" s="191">
        <v>0</v>
      </c>
      <c r="C83" s="191">
        <v>0</v>
      </c>
      <c r="D83" s="191">
        <v>0</v>
      </c>
      <c r="E83" s="191">
        <v>0</v>
      </c>
      <c r="F83" s="191">
        <v>0</v>
      </c>
      <c r="G83" s="191">
        <v>0</v>
      </c>
      <c r="H83" s="191">
        <v>0</v>
      </c>
      <c r="I83" s="191">
        <v>0</v>
      </c>
      <c r="J83" s="191">
        <v>0</v>
      </c>
      <c r="K83" s="191">
        <v>0</v>
      </c>
      <c r="L83" s="191">
        <v>0</v>
      </c>
      <c r="M83" s="191">
        <v>0</v>
      </c>
      <c r="N83" s="191">
        <v>0</v>
      </c>
      <c r="O83" s="191">
        <v>0</v>
      </c>
      <c r="P83" s="191">
        <v>0</v>
      </c>
      <c r="Q83" s="191">
        <v>0</v>
      </c>
      <c r="R83" s="191">
        <v>0</v>
      </c>
      <c r="S83" s="191">
        <v>0</v>
      </c>
      <c r="T83" s="191">
        <v>0</v>
      </c>
      <c r="U83" s="191">
        <v>0</v>
      </c>
      <c r="V83" s="191">
        <v>0</v>
      </c>
      <c r="W83" s="191">
        <v>0</v>
      </c>
      <c r="X83" s="191">
        <v>0</v>
      </c>
      <c r="Y83" s="191">
        <v>0</v>
      </c>
      <c r="Z83" s="191">
        <v>0</v>
      </c>
      <c r="AA83" s="191">
        <v>0</v>
      </c>
      <c r="AB83" s="191">
        <v>0</v>
      </c>
      <c r="AC83" s="191">
        <v>0</v>
      </c>
      <c r="AD83" s="191">
        <v>0</v>
      </c>
      <c r="AE83" s="191">
        <v>0</v>
      </c>
      <c r="AF83" s="191">
        <v>0</v>
      </c>
      <c r="AG83" s="191">
        <v>0</v>
      </c>
      <c r="AH83" s="191">
        <v>0</v>
      </c>
      <c r="AI83" s="191">
        <v>0</v>
      </c>
      <c r="AJ83" s="191"/>
      <c r="AK83" s="191"/>
      <c r="AL83" s="191"/>
      <c r="AM83" s="191"/>
      <c r="AN83" s="191"/>
      <c r="AO83" s="191"/>
      <c r="AP83" s="191"/>
      <c r="AQ83" s="191"/>
      <c r="AR83" s="191"/>
      <c r="AS83" s="191"/>
      <c r="AT83" s="191"/>
      <c r="AU83" s="191"/>
      <c r="AV83" s="191"/>
      <c r="AW83" s="191"/>
      <c r="AX83" s="191"/>
      <c r="AY83" s="191"/>
      <c r="AZ83" s="191"/>
      <c r="BA83" s="191"/>
      <c r="BB83" s="191"/>
      <c r="BC83" s="191"/>
      <c r="BD83" s="191"/>
      <c r="BE83" s="191"/>
      <c r="BF83" s="191"/>
      <c r="BG83" s="191"/>
      <c r="BH83" s="191"/>
      <c r="BI83" s="191"/>
      <c r="BJ83" s="191"/>
      <c r="BK83" s="191"/>
      <c r="BL83" s="191"/>
      <c r="BM83" s="191"/>
      <c r="BN83" s="191"/>
      <c r="BO83" s="191"/>
      <c r="BP83" s="191"/>
      <c r="BQ83" s="191"/>
      <c r="BR83" s="191"/>
      <c r="BS83" s="191"/>
      <c r="BT83" s="191"/>
      <c r="BU83" s="191"/>
      <c r="BV83" s="191"/>
      <c r="BW83" s="191"/>
      <c r="BX83" s="191"/>
      <c r="BY83" s="191"/>
      <c r="BZ83" s="40"/>
      <c r="CA83" s="40"/>
      <c r="CB83" s="40"/>
      <c r="CC83" s="40"/>
      <c r="CD83" s="40"/>
      <c r="CE83" s="40"/>
      <c r="CF83" s="40"/>
      <c r="CG83" s="40"/>
      <c r="CH83" s="40"/>
      <c r="CI83" s="40"/>
      <c r="CJ83" s="40"/>
      <c r="CK83" s="40"/>
      <c r="CL83" s="40"/>
    </row>
    <row r="84" spans="1:90" x14ac:dyDescent="0.25">
      <c r="A84" s="129" t="s">
        <v>59</v>
      </c>
      <c r="B84" s="191">
        <v>0</v>
      </c>
      <c r="C84" s="191">
        <v>0</v>
      </c>
      <c r="D84" s="191">
        <v>0</v>
      </c>
      <c r="E84" s="191">
        <v>0</v>
      </c>
      <c r="F84" s="191">
        <v>0</v>
      </c>
      <c r="G84" s="191">
        <v>0</v>
      </c>
      <c r="H84" s="191">
        <v>0</v>
      </c>
      <c r="I84" s="191">
        <v>0</v>
      </c>
      <c r="J84" s="191">
        <v>0</v>
      </c>
      <c r="K84" s="191">
        <v>0</v>
      </c>
      <c r="L84" s="191">
        <v>0</v>
      </c>
      <c r="M84" s="191">
        <v>0</v>
      </c>
      <c r="N84" s="191">
        <v>0</v>
      </c>
      <c r="O84" s="191">
        <v>0</v>
      </c>
      <c r="P84" s="191">
        <v>0</v>
      </c>
      <c r="Q84" s="191">
        <v>0</v>
      </c>
      <c r="R84" s="191">
        <v>0</v>
      </c>
      <c r="S84" s="191">
        <v>0</v>
      </c>
      <c r="T84" s="191">
        <v>0</v>
      </c>
      <c r="U84" s="191">
        <v>0</v>
      </c>
      <c r="V84" s="191">
        <v>0</v>
      </c>
      <c r="W84" s="191">
        <v>0</v>
      </c>
      <c r="X84" s="191">
        <v>0</v>
      </c>
      <c r="Y84" s="191">
        <v>0</v>
      </c>
      <c r="Z84" s="191">
        <v>0</v>
      </c>
      <c r="AA84" s="191">
        <v>0</v>
      </c>
      <c r="AB84" s="191">
        <v>0</v>
      </c>
      <c r="AC84" s="191">
        <v>0</v>
      </c>
      <c r="AD84" s="191">
        <v>0</v>
      </c>
      <c r="AE84" s="191">
        <v>0</v>
      </c>
      <c r="AF84" s="191">
        <v>0</v>
      </c>
      <c r="AG84" s="191">
        <v>0</v>
      </c>
      <c r="AH84" s="191">
        <v>0</v>
      </c>
      <c r="AI84" s="191">
        <v>0</v>
      </c>
      <c r="AJ84" s="191"/>
      <c r="AK84" s="191"/>
      <c r="AL84" s="191"/>
      <c r="AM84" s="191"/>
      <c r="AN84" s="191"/>
      <c r="AO84" s="191"/>
      <c r="AP84" s="191"/>
      <c r="AQ84" s="191"/>
      <c r="AR84" s="191"/>
      <c r="AS84" s="191"/>
      <c r="AT84" s="191"/>
      <c r="AU84" s="191"/>
      <c r="AV84" s="191"/>
      <c r="AW84" s="191"/>
      <c r="AX84" s="191"/>
      <c r="AY84" s="191"/>
      <c r="AZ84" s="191"/>
      <c r="BA84" s="191"/>
      <c r="BB84" s="191"/>
      <c r="BC84" s="191"/>
      <c r="BD84" s="191"/>
      <c r="BE84" s="191"/>
      <c r="BF84" s="191"/>
      <c r="BG84" s="191"/>
      <c r="BH84" s="191"/>
      <c r="BI84" s="191"/>
      <c r="BJ84" s="191"/>
      <c r="BK84" s="191"/>
      <c r="BL84" s="191"/>
      <c r="BM84" s="191"/>
      <c r="BN84" s="191"/>
      <c r="BO84" s="191"/>
      <c r="BP84" s="191"/>
      <c r="BQ84" s="191"/>
      <c r="BR84" s="191"/>
      <c r="BS84" s="191"/>
      <c r="BT84" s="191"/>
      <c r="BU84" s="191"/>
      <c r="BV84" s="191"/>
      <c r="BW84" s="191"/>
      <c r="BX84" s="191"/>
      <c r="BY84" s="191"/>
      <c r="BZ84" s="40"/>
      <c r="CA84" s="40"/>
      <c r="CB84" s="40"/>
      <c r="CC84" s="40"/>
      <c r="CD84" s="40"/>
      <c r="CE84" s="40"/>
      <c r="CF84" s="40"/>
      <c r="CG84" s="40"/>
      <c r="CH84" s="40"/>
      <c r="CI84" s="40"/>
      <c r="CJ84" s="40"/>
      <c r="CK84" s="40"/>
      <c r="CL84" s="40"/>
    </row>
    <row r="85" spans="1:90" x14ac:dyDescent="0.25">
      <c r="A85" s="129" t="s">
        <v>83</v>
      </c>
      <c r="B85" s="191">
        <v>20269.98</v>
      </c>
      <c r="C85" s="191">
        <v>19757.169999999998</v>
      </c>
      <c r="D85" s="191">
        <v>22044.880000000001</v>
      </c>
      <c r="E85" s="191">
        <v>19792.09</v>
      </c>
      <c r="F85" s="191">
        <v>65183.34</v>
      </c>
      <c r="G85" s="191">
        <v>65554.45</v>
      </c>
      <c r="H85" s="191">
        <v>65809.66</v>
      </c>
      <c r="I85" s="191">
        <v>561892.91</v>
      </c>
      <c r="J85" s="191">
        <v>0</v>
      </c>
      <c r="K85" s="191">
        <v>0</v>
      </c>
      <c r="L85" s="191">
        <v>1543512.32</v>
      </c>
      <c r="M85" s="191">
        <v>0</v>
      </c>
      <c r="N85" s="191">
        <v>0</v>
      </c>
      <c r="O85" s="191">
        <v>0</v>
      </c>
      <c r="P85" s="191">
        <v>0</v>
      </c>
      <c r="Q85" s="191">
        <v>0</v>
      </c>
      <c r="R85" s="191">
        <v>8139770.5199999996</v>
      </c>
      <c r="S85" s="191">
        <v>8922039.9600000009</v>
      </c>
      <c r="T85" s="191">
        <v>9704309.4000000004</v>
      </c>
      <c r="U85" s="191">
        <v>10404068.43</v>
      </c>
      <c r="V85" s="191">
        <v>10343556.58</v>
      </c>
      <c r="W85" s="191">
        <v>8879678.1199999992</v>
      </c>
      <c r="X85" s="191">
        <v>9525266.2699999996</v>
      </c>
      <c r="Y85" s="191">
        <v>9833354.4800000004</v>
      </c>
      <c r="Z85" s="191">
        <v>10294880.039999999</v>
      </c>
      <c r="AA85" s="191">
        <v>10646405.76</v>
      </c>
      <c r="AB85" s="191">
        <v>11252931.48</v>
      </c>
      <c r="AC85" s="191">
        <v>11859457.199999999</v>
      </c>
      <c r="AD85" s="191">
        <v>826666.61</v>
      </c>
      <c r="AE85" s="191">
        <v>881666.63</v>
      </c>
      <c r="AF85" s="191">
        <v>991666.67</v>
      </c>
      <c r="AG85" s="191">
        <v>100000</v>
      </c>
      <c r="AH85" s="191">
        <v>0</v>
      </c>
      <c r="AI85" s="191">
        <v>0</v>
      </c>
      <c r="AJ85" s="191"/>
      <c r="AK85" s="191"/>
      <c r="AL85" s="191"/>
      <c r="AM85" s="191"/>
      <c r="AN85" s="191"/>
      <c r="AO85" s="191"/>
      <c r="AP85" s="191"/>
      <c r="AQ85" s="191"/>
      <c r="AR85" s="191"/>
      <c r="AS85" s="191"/>
      <c r="AT85" s="191"/>
      <c r="AU85" s="191"/>
      <c r="AV85" s="191"/>
      <c r="AW85" s="191"/>
      <c r="AX85" s="191"/>
      <c r="AY85" s="191"/>
      <c r="AZ85" s="191"/>
      <c r="BA85" s="191"/>
      <c r="BB85" s="191"/>
      <c r="BC85" s="191"/>
      <c r="BD85" s="191"/>
      <c r="BE85" s="191"/>
      <c r="BF85" s="191"/>
      <c r="BG85" s="191"/>
      <c r="BH85" s="191"/>
      <c r="BI85" s="191"/>
      <c r="BJ85" s="191"/>
      <c r="BK85" s="191"/>
      <c r="BL85" s="191"/>
      <c r="BM85" s="191"/>
      <c r="BN85" s="191"/>
      <c r="BO85" s="191"/>
      <c r="BP85" s="191"/>
      <c r="BQ85" s="191"/>
      <c r="BR85" s="191"/>
      <c r="BS85" s="191"/>
      <c r="BT85" s="191"/>
      <c r="BU85" s="191"/>
      <c r="BV85" s="191"/>
      <c r="BW85" s="191"/>
      <c r="BX85" s="191"/>
      <c r="BY85" s="191"/>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1">
        <v>909133215</v>
      </c>
      <c r="C91" s="191">
        <v>909133215</v>
      </c>
      <c r="D91" s="191">
        <v>909133215</v>
      </c>
      <c r="E91" s="191">
        <v>909133215</v>
      </c>
      <c r="F91" s="191">
        <v>909133215</v>
      </c>
      <c r="G91" s="191">
        <v>909133215</v>
      </c>
      <c r="H91" s="191">
        <v>363653286</v>
      </c>
      <c r="I91" s="191">
        <v>363653286</v>
      </c>
      <c r="J91" s="191">
        <v>363653286</v>
      </c>
      <c r="K91" s="191">
        <v>339871250</v>
      </c>
      <c r="L91" s="191">
        <v>339871250</v>
      </c>
      <c r="M91" s="191">
        <v>339871250</v>
      </c>
      <c r="N91" s="191">
        <v>339871250</v>
      </c>
      <c r="O91" s="191">
        <v>339871250</v>
      </c>
      <c r="P91" s="191">
        <v>339871250</v>
      </c>
      <c r="Q91" s="191">
        <v>275640000</v>
      </c>
      <c r="R91" s="191">
        <v>275640000</v>
      </c>
      <c r="S91" s="191">
        <v>275640000</v>
      </c>
      <c r="T91" s="191">
        <v>275640000</v>
      </c>
      <c r="U91" s="191">
        <v>275640000</v>
      </c>
      <c r="V91" s="191">
        <v>275640000</v>
      </c>
      <c r="W91" s="191">
        <v>275640000</v>
      </c>
      <c r="X91" s="191">
        <v>137820000</v>
      </c>
      <c r="Y91" s="191">
        <v>137820000</v>
      </c>
      <c r="Z91" s="191">
        <v>137820000</v>
      </c>
      <c r="AA91" s="191">
        <v>137820000</v>
      </c>
      <c r="AB91" s="191">
        <v>137820000</v>
      </c>
      <c r="AC91" s="191">
        <v>137820000</v>
      </c>
      <c r="AD91" s="191">
        <v>103360000</v>
      </c>
      <c r="AE91" s="191">
        <v>103360000</v>
      </c>
      <c r="AF91" s="191">
        <v>103360000</v>
      </c>
      <c r="AG91" s="191">
        <v>103360000</v>
      </c>
      <c r="AH91" s="191">
        <v>103360000</v>
      </c>
      <c r="AI91" s="191">
        <v>0</v>
      </c>
      <c r="AJ91" s="191"/>
      <c r="AK91" s="191"/>
      <c r="AL91" s="191"/>
      <c r="AM91" s="191"/>
      <c r="AN91" s="191"/>
      <c r="AO91" s="191"/>
      <c r="AP91" s="191"/>
      <c r="AQ91" s="191"/>
      <c r="AR91" s="191"/>
      <c r="AS91" s="191"/>
      <c r="AT91" s="191"/>
      <c r="AU91" s="191"/>
      <c r="AV91" s="191"/>
      <c r="AW91" s="191"/>
      <c r="AX91" s="191"/>
      <c r="AY91" s="191"/>
      <c r="AZ91" s="191"/>
      <c r="BA91" s="191"/>
      <c r="BB91" s="191"/>
      <c r="BC91" s="191"/>
      <c r="BD91" s="191"/>
      <c r="BE91" s="191"/>
      <c r="BF91" s="191"/>
      <c r="BG91" s="191"/>
      <c r="BH91" s="191"/>
      <c r="BI91" s="191"/>
      <c r="BJ91" s="191"/>
      <c r="BK91" s="191"/>
      <c r="BL91" s="191"/>
      <c r="BM91" s="191"/>
      <c r="BN91" s="191"/>
      <c r="BO91" s="191"/>
      <c r="BP91" s="191"/>
      <c r="BQ91" s="191"/>
      <c r="BR91" s="191"/>
      <c r="BS91" s="191"/>
      <c r="BT91" s="191"/>
      <c r="BU91" s="191"/>
      <c r="BV91" s="191"/>
      <c r="BW91" s="191"/>
      <c r="BX91" s="191"/>
      <c r="BY91" s="191"/>
      <c r="BZ91" s="40"/>
      <c r="CA91" s="40"/>
      <c r="CB91" s="40"/>
      <c r="CC91" s="40"/>
      <c r="CD91" s="40"/>
      <c r="CE91" s="40"/>
      <c r="CF91" s="40"/>
      <c r="CG91" s="40"/>
      <c r="CH91" s="40"/>
      <c r="CI91" s="40"/>
      <c r="CJ91" s="40"/>
      <c r="CK91" s="40"/>
      <c r="CL91" s="40"/>
    </row>
    <row r="92" spans="1:90" x14ac:dyDescent="0.25">
      <c r="A92" s="129" t="s">
        <v>63</v>
      </c>
      <c r="B92" s="191">
        <v>2078935908.6500001</v>
      </c>
      <c r="C92" s="191">
        <v>2078935908.6500001</v>
      </c>
      <c r="D92" s="191">
        <v>2065597354.03</v>
      </c>
      <c r="E92" s="191">
        <v>2065597354.03</v>
      </c>
      <c r="F92" s="191">
        <v>2065597354.03</v>
      </c>
      <c r="G92" s="191">
        <v>2065597354.03</v>
      </c>
      <c r="H92" s="191">
        <v>2611077283.0300002</v>
      </c>
      <c r="I92" s="191">
        <v>2611077283.0300002</v>
      </c>
      <c r="J92" s="191">
        <v>2611071295.29</v>
      </c>
      <c r="K92" s="191">
        <v>1629860693.6600001</v>
      </c>
      <c r="L92" s="191">
        <v>1629860693.6600001</v>
      </c>
      <c r="M92" s="191">
        <v>1629860693.6600001</v>
      </c>
      <c r="N92" s="191">
        <v>1629860693.6600001</v>
      </c>
      <c r="O92" s="191">
        <v>1629860693.6600001</v>
      </c>
      <c r="P92" s="191">
        <v>1621654522.49</v>
      </c>
      <c r="Q92" s="191">
        <v>676456672.49000001</v>
      </c>
      <c r="R92" s="191">
        <v>676456672.49000001</v>
      </c>
      <c r="S92" s="191">
        <v>676456672.49000001</v>
      </c>
      <c r="T92" s="191">
        <v>675760670.57000005</v>
      </c>
      <c r="U92" s="191">
        <v>675760670.57000005</v>
      </c>
      <c r="V92" s="191">
        <v>675760670.57000005</v>
      </c>
      <c r="W92" s="191">
        <v>675760670.57000005</v>
      </c>
      <c r="X92" s="191">
        <v>813580670.57000005</v>
      </c>
      <c r="Y92" s="191">
        <v>813580670.57000005</v>
      </c>
      <c r="Z92" s="191">
        <v>813580670.57000005</v>
      </c>
      <c r="AA92" s="191">
        <v>813580670.57000005</v>
      </c>
      <c r="AB92" s="191">
        <v>813580670.57000005</v>
      </c>
      <c r="AC92" s="191">
        <v>813580670.57000005</v>
      </c>
      <c r="AD92" s="191">
        <v>43730242.100000001</v>
      </c>
      <c r="AE92" s="191">
        <v>43730242.100000001</v>
      </c>
      <c r="AF92" s="191">
        <v>43730242.100000001</v>
      </c>
      <c r="AG92" s="191">
        <v>43730242.100000001</v>
      </c>
      <c r="AH92" s="191">
        <v>43730242.100000001</v>
      </c>
      <c r="AI92" s="191">
        <v>0</v>
      </c>
      <c r="AJ92" s="191"/>
      <c r="AK92" s="191"/>
      <c r="AL92" s="191"/>
      <c r="AM92" s="191"/>
      <c r="AN92" s="191"/>
      <c r="AO92" s="191"/>
      <c r="AP92" s="191"/>
      <c r="AQ92" s="191"/>
      <c r="AR92" s="191"/>
      <c r="AS92" s="191"/>
      <c r="AT92" s="191"/>
      <c r="AU92" s="191"/>
      <c r="AV92" s="191"/>
      <c r="AW92" s="191"/>
      <c r="AX92" s="191"/>
      <c r="AY92" s="191"/>
      <c r="AZ92" s="191"/>
      <c r="BA92" s="191"/>
      <c r="BB92" s="191"/>
      <c r="BC92" s="191"/>
      <c r="BD92" s="191"/>
      <c r="BE92" s="191"/>
      <c r="BF92" s="191"/>
      <c r="BG92" s="191"/>
      <c r="BH92" s="191"/>
      <c r="BI92" s="191"/>
      <c r="BJ92" s="191"/>
      <c r="BK92" s="191"/>
      <c r="BL92" s="191"/>
      <c r="BM92" s="191"/>
      <c r="BN92" s="191"/>
      <c r="BO92" s="191"/>
      <c r="BP92" s="191"/>
      <c r="BQ92" s="191"/>
      <c r="BR92" s="191"/>
      <c r="BS92" s="191"/>
      <c r="BT92" s="191"/>
      <c r="BU92" s="191"/>
      <c r="BV92" s="191"/>
      <c r="BW92" s="191"/>
      <c r="BX92" s="191"/>
      <c r="BY92" s="191"/>
      <c r="BZ92" s="40"/>
      <c r="CA92" s="40"/>
      <c r="CB92" s="40"/>
      <c r="CC92" s="40"/>
      <c r="CD92" s="40"/>
      <c r="CE92" s="40"/>
      <c r="CF92" s="40"/>
      <c r="CG92" s="40"/>
      <c r="CH92" s="40"/>
      <c r="CI92" s="40"/>
      <c r="CJ92" s="40"/>
      <c r="CK92" s="40"/>
      <c r="CL92" s="40"/>
    </row>
    <row r="93" spans="1:90" x14ac:dyDescent="0.25">
      <c r="A93" s="129" t="s">
        <v>64</v>
      </c>
      <c r="B93" s="191">
        <v>0</v>
      </c>
      <c r="C93" s="191">
        <v>0</v>
      </c>
      <c r="D93" s="191">
        <v>0</v>
      </c>
      <c r="E93" s="191">
        <v>0</v>
      </c>
      <c r="F93" s="191">
        <v>0</v>
      </c>
      <c r="G93" s="191">
        <v>0</v>
      </c>
      <c r="H93" s="191">
        <v>0</v>
      </c>
      <c r="I93" s="191">
        <v>0</v>
      </c>
      <c r="J93" s="191">
        <v>0</v>
      </c>
      <c r="K93" s="191">
        <v>0</v>
      </c>
      <c r="L93" s="191">
        <v>0</v>
      </c>
      <c r="M93" s="191">
        <v>0</v>
      </c>
      <c r="N93" s="191">
        <v>0</v>
      </c>
      <c r="O93" s="191">
        <v>0</v>
      </c>
      <c r="P93" s="191">
        <v>0</v>
      </c>
      <c r="Q93" s="191">
        <v>0</v>
      </c>
      <c r="R93" s="191">
        <v>0</v>
      </c>
      <c r="S93" s="191">
        <v>0</v>
      </c>
      <c r="T93" s="191">
        <v>0</v>
      </c>
      <c r="U93" s="191">
        <v>0</v>
      </c>
      <c r="V93" s="191">
        <v>0</v>
      </c>
      <c r="W93" s="191">
        <v>0</v>
      </c>
      <c r="X93" s="191">
        <v>0</v>
      </c>
      <c r="Y93" s="191">
        <v>0</v>
      </c>
      <c r="Z93" s="191">
        <v>0</v>
      </c>
      <c r="AA93" s="191">
        <v>0</v>
      </c>
      <c r="AB93" s="191">
        <v>0</v>
      </c>
      <c r="AC93" s="191">
        <v>0</v>
      </c>
      <c r="AD93" s="191">
        <v>0</v>
      </c>
      <c r="AE93" s="191">
        <v>0</v>
      </c>
      <c r="AF93" s="191">
        <v>0</v>
      </c>
      <c r="AG93" s="191">
        <v>0</v>
      </c>
      <c r="AH93" s="191">
        <v>0</v>
      </c>
      <c r="AI93" s="191">
        <v>0</v>
      </c>
      <c r="AJ93" s="191">
        <v>0</v>
      </c>
      <c r="AK93" s="191">
        <v>0</v>
      </c>
      <c r="AL93" s="191">
        <v>0</v>
      </c>
      <c r="AM93" s="191">
        <v>0</v>
      </c>
      <c r="AN93" s="191">
        <v>0</v>
      </c>
      <c r="AO93" s="191">
        <v>0</v>
      </c>
      <c r="AP93" s="191">
        <v>0</v>
      </c>
      <c r="AQ93" s="191">
        <v>0</v>
      </c>
      <c r="AR93" s="191">
        <v>0</v>
      </c>
      <c r="AS93" s="191">
        <v>0</v>
      </c>
      <c r="AT93" s="191">
        <v>0</v>
      </c>
      <c r="AU93" s="191">
        <v>0</v>
      </c>
      <c r="AV93" s="191">
        <v>0</v>
      </c>
      <c r="AW93" s="191">
        <v>0</v>
      </c>
      <c r="AX93" s="191">
        <v>0</v>
      </c>
      <c r="AY93" s="191">
        <v>0</v>
      </c>
      <c r="AZ93" s="191">
        <v>0</v>
      </c>
      <c r="BA93" s="191">
        <v>0</v>
      </c>
      <c r="BB93" s="191">
        <v>0</v>
      </c>
      <c r="BC93" s="191">
        <v>0</v>
      </c>
      <c r="BD93" s="191">
        <v>0</v>
      </c>
      <c r="BE93" s="191">
        <v>0</v>
      </c>
      <c r="BF93" s="191">
        <v>0</v>
      </c>
      <c r="BG93" s="191">
        <v>0</v>
      </c>
      <c r="BH93" s="191">
        <v>0</v>
      </c>
      <c r="BI93" s="191">
        <v>0</v>
      </c>
      <c r="BJ93" s="191">
        <v>0</v>
      </c>
      <c r="BK93" s="191">
        <v>0</v>
      </c>
      <c r="BL93" s="191">
        <v>0</v>
      </c>
      <c r="BM93" s="191">
        <v>0</v>
      </c>
      <c r="BN93" s="191">
        <v>0</v>
      </c>
      <c r="BO93" s="191">
        <v>0</v>
      </c>
      <c r="BP93" s="191">
        <v>0</v>
      </c>
      <c r="BQ93" s="191">
        <v>0</v>
      </c>
      <c r="BR93" s="191">
        <v>0</v>
      </c>
      <c r="BS93" s="191">
        <v>0</v>
      </c>
      <c r="BT93" s="191">
        <v>0</v>
      </c>
      <c r="BU93" s="191">
        <v>0</v>
      </c>
      <c r="BV93" s="191">
        <v>0</v>
      </c>
      <c r="BW93" s="191">
        <v>0</v>
      </c>
      <c r="BX93" s="191">
        <v>0</v>
      </c>
      <c r="BY93" s="191">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1">
        <v>28734213.379999999</v>
      </c>
      <c r="C94" s="191">
        <v>-8405130.3800000008</v>
      </c>
      <c r="D94" s="191">
        <v>-58214299.530000001</v>
      </c>
      <c r="E94" s="191">
        <v>-14266876.52</v>
      </c>
      <c r="F94" s="191">
        <v>-5767056.8099999996</v>
      </c>
      <c r="G94" s="191">
        <v>14682218.48</v>
      </c>
      <c r="H94" s="191">
        <v>26828215.25</v>
      </c>
      <c r="I94" s="191">
        <v>33807458.079999998</v>
      </c>
      <c r="J94" s="191">
        <v>14133959.609999999</v>
      </c>
      <c r="K94" s="191">
        <v>13835549.17</v>
      </c>
      <c r="L94" s="191">
        <v>-2968605.04</v>
      </c>
      <c r="M94" s="191">
        <v>0</v>
      </c>
      <c r="N94" s="191">
        <v>0</v>
      </c>
      <c r="O94" s="191">
        <v>0</v>
      </c>
      <c r="P94" s="191">
        <v>0</v>
      </c>
      <c r="Q94" s="191">
        <v>0</v>
      </c>
      <c r="R94" s="191">
        <v>0</v>
      </c>
      <c r="S94" s="191">
        <v>0</v>
      </c>
      <c r="T94" s="191">
        <v>0</v>
      </c>
      <c r="U94" s="191">
        <v>0</v>
      </c>
      <c r="V94" s="191">
        <v>0</v>
      </c>
      <c r="W94" s="191">
        <v>0</v>
      </c>
      <c r="X94" s="191">
        <v>0</v>
      </c>
      <c r="Y94" s="191">
        <v>0</v>
      </c>
      <c r="Z94" s="191">
        <v>0</v>
      </c>
      <c r="AA94" s="191">
        <v>0</v>
      </c>
      <c r="AB94" s="191">
        <v>0</v>
      </c>
      <c r="AC94" s="191">
        <v>0</v>
      </c>
      <c r="AD94" s="191">
        <v>0</v>
      </c>
      <c r="AE94" s="191">
        <v>0</v>
      </c>
      <c r="AF94" s="191">
        <v>0</v>
      </c>
      <c r="AG94" s="191">
        <v>0</v>
      </c>
      <c r="AH94" s="191">
        <v>0</v>
      </c>
      <c r="AI94" s="191">
        <v>0</v>
      </c>
      <c r="AJ94" s="191">
        <v>0</v>
      </c>
      <c r="AK94" s="191">
        <v>0</v>
      </c>
      <c r="AL94" s="191">
        <v>0</v>
      </c>
      <c r="AM94" s="191">
        <v>0</v>
      </c>
      <c r="AN94" s="191">
        <v>0</v>
      </c>
      <c r="AO94" s="191">
        <v>0</v>
      </c>
      <c r="AP94" s="191">
        <v>0</v>
      </c>
      <c r="AQ94" s="191">
        <v>0</v>
      </c>
      <c r="AR94" s="191">
        <v>0</v>
      </c>
      <c r="AS94" s="191">
        <v>0</v>
      </c>
      <c r="AT94" s="191">
        <v>0</v>
      </c>
      <c r="AU94" s="191">
        <v>0</v>
      </c>
      <c r="AV94" s="191">
        <v>0</v>
      </c>
      <c r="AW94" s="191">
        <v>0</v>
      </c>
      <c r="AX94" s="191">
        <v>0</v>
      </c>
      <c r="AY94" s="191">
        <v>0</v>
      </c>
      <c r="AZ94" s="191">
        <v>0</v>
      </c>
      <c r="BA94" s="191">
        <v>0</v>
      </c>
      <c r="BB94" s="191">
        <v>0</v>
      </c>
      <c r="BC94" s="191">
        <v>0</v>
      </c>
      <c r="BD94" s="191">
        <v>0</v>
      </c>
      <c r="BE94" s="191">
        <v>0</v>
      </c>
      <c r="BF94" s="191">
        <v>0</v>
      </c>
      <c r="BG94" s="191">
        <v>0</v>
      </c>
      <c r="BH94" s="191">
        <v>0</v>
      </c>
      <c r="BI94" s="191">
        <v>0</v>
      </c>
      <c r="BJ94" s="191">
        <v>0</v>
      </c>
      <c r="BK94" s="191">
        <v>0</v>
      </c>
      <c r="BL94" s="191">
        <v>0</v>
      </c>
      <c r="BM94" s="191">
        <v>0</v>
      </c>
      <c r="BN94" s="191">
        <v>0</v>
      </c>
      <c r="BO94" s="191">
        <v>0</v>
      </c>
      <c r="BP94" s="191">
        <v>0</v>
      </c>
      <c r="BQ94" s="191">
        <v>0</v>
      </c>
      <c r="BR94" s="191">
        <v>0</v>
      </c>
      <c r="BS94" s="191">
        <v>0</v>
      </c>
      <c r="BT94" s="191">
        <v>0</v>
      </c>
      <c r="BU94" s="191">
        <v>0</v>
      </c>
      <c r="BV94" s="191">
        <v>0</v>
      </c>
      <c r="BW94" s="191">
        <v>0</v>
      </c>
      <c r="BX94" s="191">
        <v>0</v>
      </c>
      <c r="BY94" s="191">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1">
        <v>10880684.65</v>
      </c>
      <c r="C95" s="191">
        <v>10817820.359999999</v>
      </c>
      <c r="D95" s="191">
        <v>10441557.57</v>
      </c>
      <c r="E95" s="191">
        <v>9733305.5</v>
      </c>
      <c r="F95" s="191">
        <v>9335935.6899999995</v>
      </c>
      <c r="G95" s="191">
        <v>8675013.8900000006</v>
      </c>
      <c r="H95" s="191">
        <v>7834061.1200000001</v>
      </c>
      <c r="I95" s="191">
        <v>7018189.1799999997</v>
      </c>
      <c r="J95" s="191">
        <v>6292139.9500000002</v>
      </c>
      <c r="K95" s="191">
        <v>5552340.3200000003</v>
      </c>
      <c r="L95" s="191">
        <v>4892179.5999999996</v>
      </c>
      <c r="M95" s="191">
        <v>4194707.28</v>
      </c>
      <c r="N95" s="191">
        <v>4426762.9000000004</v>
      </c>
      <c r="O95" s="191">
        <v>3919748.8</v>
      </c>
      <c r="P95" s="191">
        <v>3492215.75</v>
      </c>
      <c r="Q95" s="191">
        <v>2948620.67</v>
      </c>
      <c r="R95" s="191">
        <v>3351809.25</v>
      </c>
      <c r="S95" s="191">
        <v>3136896.96</v>
      </c>
      <c r="T95" s="191">
        <v>2934096.78</v>
      </c>
      <c r="U95" s="191">
        <v>2642457.12</v>
      </c>
      <c r="V95" s="191">
        <v>2793494.74</v>
      </c>
      <c r="W95" s="191">
        <v>2794569.74</v>
      </c>
      <c r="X95" s="191">
        <v>3326676.61</v>
      </c>
      <c r="Y95" s="191">
        <v>1869530.41</v>
      </c>
      <c r="Z95" s="191">
        <v>1805099.27</v>
      </c>
      <c r="AA95" s="191">
        <v>2020491.41</v>
      </c>
      <c r="AB95" s="191">
        <v>2070928.67</v>
      </c>
      <c r="AC95" s="191">
        <v>1775710.75</v>
      </c>
      <c r="AD95" s="191">
        <v>2560766.17</v>
      </c>
      <c r="AE95" s="191">
        <v>2119081.59</v>
      </c>
      <c r="AF95" s="191">
        <v>2713164.15</v>
      </c>
      <c r="AG95" s="191">
        <v>612187.56999999995</v>
      </c>
      <c r="AH95" s="191">
        <v>485584.96</v>
      </c>
      <c r="AI95" s="191">
        <v>0</v>
      </c>
      <c r="AJ95" s="191">
        <v>1551967.96</v>
      </c>
      <c r="AK95" s="191">
        <v>0</v>
      </c>
      <c r="AL95" s="191">
        <v>0</v>
      </c>
      <c r="AM95" s="191">
        <v>0</v>
      </c>
      <c r="AN95" s="191">
        <v>0</v>
      </c>
      <c r="AO95" s="191">
        <v>0</v>
      </c>
      <c r="AP95" s="191">
        <v>0</v>
      </c>
      <c r="AQ95" s="191">
        <v>0</v>
      </c>
      <c r="AR95" s="191">
        <v>0</v>
      </c>
      <c r="AS95" s="191">
        <v>0</v>
      </c>
      <c r="AT95" s="191">
        <v>0</v>
      </c>
      <c r="AU95" s="191">
        <v>0</v>
      </c>
      <c r="AV95" s="191">
        <v>0</v>
      </c>
      <c r="AW95" s="191">
        <v>0</v>
      </c>
      <c r="AX95" s="191">
        <v>0</v>
      </c>
      <c r="AY95" s="191">
        <v>0</v>
      </c>
      <c r="AZ95" s="191">
        <v>0</v>
      </c>
      <c r="BA95" s="191">
        <v>0</v>
      </c>
      <c r="BB95" s="191">
        <v>0</v>
      </c>
      <c r="BC95" s="191">
        <v>0</v>
      </c>
      <c r="BD95" s="191">
        <v>0</v>
      </c>
      <c r="BE95" s="191">
        <v>0</v>
      </c>
      <c r="BF95" s="191">
        <v>0</v>
      </c>
      <c r="BG95" s="191">
        <v>0</v>
      </c>
      <c r="BH95" s="191">
        <v>0</v>
      </c>
      <c r="BI95" s="191">
        <v>0</v>
      </c>
      <c r="BJ95" s="191">
        <v>0</v>
      </c>
      <c r="BK95" s="191">
        <v>0</v>
      </c>
      <c r="BL95" s="191">
        <v>0</v>
      </c>
      <c r="BM95" s="191">
        <v>0</v>
      </c>
      <c r="BN95" s="191">
        <v>0</v>
      </c>
      <c r="BO95" s="191">
        <v>0</v>
      </c>
      <c r="BP95" s="191">
        <v>0</v>
      </c>
      <c r="BQ95" s="191">
        <v>0</v>
      </c>
      <c r="BR95" s="191">
        <v>0</v>
      </c>
      <c r="BS95" s="191">
        <v>0</v>
      </c>
      <c r="BT95" s="191">
        <v>0</v>
      </c>
      <c r="BU95" s="191">
        <v>0</v>
      </c>
      <c r="BV95" s="191">
        <v>0</v>
      </c>
      <c r="BW95" s="191">
        <v>0</v>
      </c>
      <c r="BX95" s="191">
        <v>0</v>
      </c>
      <c r="BY95" s="191">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1">
        <v>161678313.06</v>
      </c>
      <c r="C96" s="191">
        <v>161678313.06</v>
      </c>
      <c r="D96" s="191">
        <v>161678313.06</v>
      </c>
      <c r="E96" s="191">
        <v>161678313.06</v>
      </c>
      <c r="F96" s="191">
        <v>125608622.54000001</v>
      </c>
      <c r="G96" s="191">
        <v>125608622.54000001</v>
      </c>
      <c r="H96" s="191">
        <v>125608622.54000001</v>
      </c>
      <c r="I96" s="191">
        <v>125608622.54000001</v>
      </c>
      <c r="J96" s="191">
        <v>93526769.629999995</v>
      </c>
      <c r="K96" s="191">
        <v>93526769.629999995</v>
      </c>
      <c r="L96" s="191">
        <v>93526769.629999995</v>
      </c>
      <c r="M96" s="191">
        <v>93526769.629999995</v>
      </c>
      <c r="N96" s="191">
        <v>69903721.870000005</v>
      </c>
      <c r="O96" s="191">
        <v>69903721.870000005</v>
      </c>
      <c r="P96" s="191">
        <v>69903721.870000005</v>
      </c>
      <c r="Q96" s="191">
        <v>69903721.870000005</v>
      </c>
      <c r="R96" s="191">
        <v>60512913.909999996</v>
      </c>
      <c r="S96" s="191">
        <v>60512913.909999996</v>
      </c>
      <c r="T96" s="191">
        <v>60512913.909999996</v>
      </c>
      <c r="U96" s="191">
        <v>60512913.909999996</v>
      </c>
      <c r="V96" s="191">
        <v>49229942.700000003</v>
      </c>
      <c r="W96" s="191">
        <v>49229942.700000003</v>
      </c>
      <c r="X96" s="191">
        <v>49229942.700000003</v>
      </c>
      <c r="Y96" s="191">
        <v>49229942.700000003</v>
      </c>
      <c r="Z96" s="191">
        <v>38763344.090000004</v>
      </c>
      <c r="AA96" s="191">
        <v>38763344.090000004</v>
      </c>
      <c r="AB96" s="191">
        <v>38763344.090000004</v>
      </c>
      <c r="AC96" s="191">
        <v>38763344.090000004</v>
      </c>
      <c r="AD96" s="191">
        <v>26018756.809999999</v>
      </c>
      <c r="AE96" s="191">
        <v>26018756.809999999</v>
      </c>
      <c r="AF96" s="191">
        <v>26018756.809999999</v>
      </c>
      <c r="AG96" s="191">
        <v>16038520.279999999</v>
      </c>
      <c r="AH96" s="191">
        <v>9698587.2300000004</v>
      </c>
      <c r="AI96" s="191">
        <v>0</v>
      </c>
      <c r="AJ96" s="191">
        <v>963714323.86000001</v>
      </c>
      <c r="AK96" s="191">
        <v>963714323.86000001</v>
      </c>
      <c r="AL96" s="191">
        <v>818420076.46000004</v>
      </c>
      <c r="AM96" s="191">
        <v>818420076.46000004</v>
      </c>
      <c r="AN96" s="191">
        <v>818420076.46000004</v>
      </c>
      <c r="AO96" s="191">
        <v>818420076.46000004</v>
      </c>
      <c r="AP96" s="191">
        <v>621628353.90999997</v>
      </c>
      <c r="AQ96" s="191">
        <v>621628353.90999997</v>
      </c>
      <c r="AR96" s="191">
        <v>621628353.90999997</v>
      </c>
      <c r="AS96" s="191">
        <v>621628353.90999997</v>
      </c>
      <c r="AT96" s="191">
        <v>592322663.15999997</v>
      </c>
      <c r="AU96" s="191">
        <v>592322663.15999997</v>
      </c>
      <c r="AV96" s="191">
        <v>592491649.66999996</v>
      </c>
      <c r="AW96" s="191">
        <v>576705891.12</v>
      </c>
      <c r="AX96" s="191">
        <v>397235332.06</v>
      </c>
      <c r="AY96" s="191">
        <v>397235332.06</v>
      </c>
      <c r="AZ96" s="191">
        <v>397235332.06</v>
      </c>
      <c r="BA96" s="191">
        <v>397235332.06</v>
      </c>
      <c r="BB96" s="191">
        <v>241084797.59</v>
      </c>
      <c r="BC96" s="191">
        <v>241084797.59</v>
      </c>
      <c r="BD96" s="191">
        <v>241084797.59</v>
      </c>
      <c r="BE96" s="191">
        <v>241084797.59</v>
      </c>
      <c r="BF96" s="191">
        <v>139540139.34</v>
      </c>
      <c r="BG96" s="191">
        <v>139540139.34</v>
      </c>
      <c r="BH96" s="191">
        <v>139540139.34</v>
      </c>
      <c r="BI96" s="191">
        <v>139540139.34</v>
      </c>
      <c r="BJ96" s="191">
        <v>81470601.019999996</v>
      </c>
      <c r="BK96" s="191">
        <v>81470601.019999996</v>
      </c>
      <c r="BL96" s="191">
        <v>81470601.019999996</v>
      </c>
      <c r="BM96" s="191">
        <v>81470601.019999996</v>
      </c>
      <c r="BN96" s="191">
        <v>42888991.719999999</v>
      </c>
      <c r="BO96" s="191">
        <v>42888991.719999999</v>
      </c>
      <c r="BP96" s="191">
        <v>42888991.719999999</v>
      </c>
      <c r="BQ96" s="191">
        <v>42888991.719999999</v>
      </c>
      <c r="BR96" s="191">
        <v>0</v>
      </c>
      <c r="BS96" s="191">
        <v>17706893.420000002</v>
      </c>
      <c r="BT96" s="191">
        <v>17706893.420000002</v>
      </c>
      <c r="BU96" s="191">
        <v>5256015.32</v>
      </c>
      <c r="BV96" s="191">
        <v>5256015.32</v>
      </c>
      <c r="BW96" s="191">
        <v>0</v>
      </c>
      <c r="BX96" s="191">
        <v>0</v>
      </c>
      <c r="BY96" s="191">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1">
        <v>0</v>
      </c>
      <c r="C97" s="191">
        <v>0</v>
      </c>
      <c r="D97" s="191">
        <v>0</v>
      </c>
      <c r="E97" s="191">
        <v>0</v>
      </c>
      <c r="F97" s="191">
        <v>0</v>
      </c>
      <c r="G97" s="191">
        <v>0</v>
      </c>
      <c r="H97" s="191">
        <v>0</v>
      </c>
      <c r="I97" s="191">
        <v>0</v>
      </c>
      <c r="J97" s="191">
        <v>0</v>
      </c>
      <c r="K97" s="191">
        <v>0</v>
      </c>
      <c r="L97" s="191">
        <v>0</v>
      </c>
      <c r="M97" s="191">
        <v>0</v>
      </c>
      <c r="N97" s="191">
        <v>0</v>
      </c>
      <c r="O97" s="191">
        <v>0</v>
      </c>
      <c r="P97" s="191">
        <v>0</v>
      </c>
      <c r="Q97" s="191">
        <v>0</v>
      </c>
      <c r="R97" s="191">
        <v>0</v>
      </c>
      <c r="S97" s="191">
        <v>0</v>
      </c>
      <c r="T97" s="191">
        <v>0</v>
      </c>
      <c r="U97" s="191">
        <v>0</v>
      </c>
      <c r="V97" s="191">
        <v>0</v>
      </c>
      <c r="W97" s="191">
        <v>0</v>
      </c>
      <c r="X97" s="191">
        <v>0</v>
      </c>
      <c r="Y97" s="191">
        <v>0</v>
      </c>
      <c r="Z97" s="191">
        <v>0</v>
      </c>
      <c r="AA97" s="191">
        <v>0</v>
      </c>
      <c r="AB97" s="191">
        <v>0</v>
      </c>
      <c r="AC97" s="191">
        <v>0</v>
      </c>
      <c r="AD97" s="191">
        <v>0</v>
      </c>
      <c r="AE97" s="191">
        <v>0</v>
      </c>
      <c r="AF97" s="191">
        <v>0</v>
      </c>
      <c r="AG97" s="191">
        <v>0</v>
      </c>
      <c r="AH97" s="191">
        <v>0</v>
      </c>
      <c r="AI97" s="191">
        <v>0</v>
      </c>
      <c r="AJ97" s="191">
        <v>0</v>
      </c>
      <c r="AK97" s="191">
        <v>0</v>
      </c>
      <c r="AL97" s="191">
        <v>0</v>
      </c>
      <c r="AM97" s="191">
        <v>0</v>
      </c>
      <c r="AN97" s="191">
        <v>0</v>
      </c>
      <c r="AO97" s="191">
        <v>0</v>
      </c>
      <c r="AP97" s="191">
        <v>0</v>
      </c>
      <c r="AQ97" s="191">
        <v>0</v>
      </c>
      <c r="AR97" s="191">
        <v>0</v>
      </c>
      <c r="AS97" s="191">
        <v>0</v>
      </c>
      <c r="AT97" s="191">
        <v>0</v>
      </c>
      <c r="AU97" s="191">
        <v>0</v>
      </c>
      <c r="AV97" s="191">
        <v>0</v>
      </c>
      <c r="AW97" s="191">
        <v>0</v>
      </c>
      <c r="AX97" s="191">
        <v>0</v>
      </c>
      <c r="AY97" s="191">
        <v>0</v>
      </c>
      <c r="AZ97" s="191">
        <v>0</v>
      </c>
      <c r="BA97" s="191">
        <v>0</v>
      </c>
      <c r="BB97" s="191">
        <v>0</v>
      </c>
      <c r="BC97" s="191">
        <v>0</v>
      </c>
      <c r="BD97" s="191">
        <v>0</v>
      </c>
      <c r="BE97" s="191">
        <v>0</v>
      </c>
      <c r="BF97" s="191">
        <v>0</v>
      </c>
      <c r="BG97" s="191">
        <v>0</v>
      </c>
      <c r="BH97" s="191">
        <v>0</v>
      </c>
      <c r="BI97" s="191">
        <v>0</v>
      </c>
      <c r="BJ97" s="191">
        <v>0</v>
      </c>
      <c r="BK97" s="191">
        <v>0</v>
      </c>
      <c r="BL97" s="191">
        <v>0</v>
      </c>
      <c r="BM97" s="191">
        <v>0</v>
      </c>
      <c r="BN97" s="191">
        <v>0</v>
      </c>
      <c r="BO97" s="191">
        <v>0</v>
      </c>
      <c r="BP97" s="191">
        <v>0</v>
      </c>
      <c r="BQ97" s="191">
        <v>0</v>
      </c>
      <c r="BR97" s="191">
        <v>0</v>
      </c>
      <c r="BS97" s="191">
        <v>0</v>
      </c>
      <c r="BT97" s="191">
        <v>0</v>
      </c>
      <c r="BU97" s="191">
        <v>0</v>
      </c>
      <c r="BV97" s="191">
        <v>0</v>
      </c>
      <c r="BW97" s="191">
        <v>0</v>
      </c>
      <c r="BX97" s="191">
        <v>0</v>
      </c>
      <c r="BY97" s="191">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1">
        <v>1097514459.0899999</v>
      </c>
      <c r="C98" s="191">
        <v>984120596.15999997</v>
      </c>
      <c r="D98" s="191">
        <v>994508543.42999995</v>
      </c>
      <c r="E98" s="191">
        <v>930383872.50999999</v>
      </c>
      <c r="F98" s="191">
        <v>883341124.33000004</v>
      </c>
      <c r="G98" s="191">
        <v>794838261.96000004</v>
      </c>
      <c r="H98" s="191">
        <v>680663307.17999995</v>
      </c>
      <c r="I98" s="191">
        <v>708453778.74000001</v>
      </c>
      <c r="J98" s="191">
        <v>672413569.78999996</v>
      </c>
      <c r="K98" s="191">
        <v>607155082.14999998</v>
      </c>
      <c r="L98" s="191">
        <v>613506795.20000005</v>
      </c>
      <c r="M98" s="191">
        <v>523844312.26999998</v>
      </c>
      <c r="N98" s="191">
        <v>435408006.12</v>
      </c>
      <c r="O98" s="191">
        <v>359669148.26999998</v>
      </c>
      <c r="P98" s="191">
        <v>374415448.94</v>
      </c>
      <c r="Q98" s="191">
        <v>350796697.31999999</v>
      </c>
      <c r="R98" s="191">
        <v>326814331.75</v>
      </c>
      <c r="S98" s="191">
        <v>300552893.77999997</v>
      </c>
      <c r="T98" s="191">
        <v>330254116.07999998</v>
      </c>
      <c r="U98" s="191">
        <v>313270464.06</v>
      </c>
      <c r="V98" s="191">
        <v>290944104.58999997</v>
      </c>
      <c r="W98" s="191">
        <v>263332878.65000001</v>
      </c>
      <c r="X98" s="191">
        <v>272601848.20999998</v>
      </c>
      <c r="Y98" s="191">
        <v>241957841.81999999</v>
      </c>
      <c r="Z98" s="191">
        <v>224913663.5</v>
      </c>
      <c r="AA98" s="191">
        <v>212614905.88999999</v>
      </c>
      <c r="AB98" s="191">
        <v>171026709.05000001</v>
      </c>
      <c r="AC98" s="191">
        <v>212085351.53999999</v>
      </c>
      <c r="AD98" s="191">
        <v>206640180.00999999</v>
      </c>
      <c r="AE98" s="191">
        <v>181730820.56999999</v>
      </c>
      <c r="AF98" s="191">
        <v>140764833.59999999</v>
      </c>
      <c r="AG98" s="191">
        <v>107790704.79000001</v>
      </c>
      <c r="AH98" s="191">
        <v>86907307.299999997</v>
      </c>
      <c r="AI98" s="191">
        <v>0</v>
      </c>
      <c r="AJ98" s="191">
        <v>2626452412.21</v>
      </c>
      <c r="AK98" s="191">
        <v>2375758008.4699998</v>
      </c>
      <c r="AL98" s="191">
        <v>2318734264.23</v>
      </c>
      <c r="AM98" s="191">
        <v>1957121490.8800001</v>
      </c>
      <c r="AN98" s="191">
        <v>1646015531.5699999</v>
      </c>
      <c r="AO98" s="191">
        <v>2286340877.0999999</v>
      </c>
      <c r="AP98" s="191">
        <v>2144026850.47</v>
      </c>
      <c r="AQ98" s="191">
        <v>1815028972.0799999</v>
      </c>
      <c r="AR98" s="191">
        <v>1310575566.74</v>
      </c>
      <c r="AS98" s="191">
        <v>1599625590.21</v>
      </c>
      <c r="AT98" s="191">
        <v>1205036648.6099999</v>
      </c>
      <c r="AU98" s="191">
        <v>1187801160.9100001</v>
      </c>
      <c r="AV98" s="191">
        <v>1021560591.4</v>
      </c>
      <c r="AW98" s="191">
        <v>681228072.42999995</v>
      </c>
      <c r="AX98" s="191">
        <v>613695017.59000003</v>
      </c>
      <c r="AY98" s="191">
        <v>353316020.97000003</v>
      </c>
      <c r="AZ98" s="191">
        <v>679548415.61000001</v>
      </c>
      <c r="BA98" s="191">
        <v>501491847.06999999</v>
      </c>
      <c r="BB98" s="191">
        <v>520254651.60000002</v>
      </c>
      <c r="BC98" s="191">
        <v>368309344.67000002</v>
      </c>
      <c r="BD98" s="191">
        <v>523055535.56</v>
      </c>
      <c r="BE98" s="191">
        <v>366412157.57999998</v>
      </c>
      <c r="BF98" s="191">
        <v>379317072.97000003</v>
      </c>
      <c r="BG98" s="191">
        <v>279732865.20999998</v>
      </c>
      <c r="BH98" s="191">
        <v>315338311.29000002</v>
      </c>
      <c r="BI98" s="191">
        <v>218052371.97999999</v>
      </c>
      <c r="BJ98" s="191">
        <v>230483116.19999999</v>
      </c>
      <c r="BK98" s="191">
        <v>182126950.84</v>
      </c>
      <c r="BL98" s="191">
        <v>101831572.37</v>
      </c>
      <c r="BM98" s="191">
        <v>43843757.030000001</v>
      </c>
      <c r="BN98" s="191">
        <v>129264055.06999999</v>
      </c>
      <c r="BO98" s="191">
        <v>97938789.680000007</v>
      </c>
      <c r="BP98" s="191">
        <v>64592394.740000002</v>
      </c>
      <c r="BQ98" s="191">
        <v>28898929.140000001</v>
      </c>
      <c r="BR98" s="191">
        <v>0</v>
      </c>
      <c r="BS98" s="191">
        <v>64124081.960000001</v>
      </c>
      <c r="BT98" s="191">
        <v>25352634.260000002</v>
      </c>
      <c r="BU98" s="191">
        <v>26896127.27</v>
      </c>
      <c r="BV98" s="191">
        <v>7970356.0700000003</v>
      </c>
      <c r="BW98" s="191">
        <v>-653705.18999999994</v>
      </c>
      <c r="BX98" s="191">
        <v>0</v>
      </c>
      <c r="BY98" s="191">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1">
        <v>0</v>
      </c>
      <c r="C99" s="191">
        <v>0</v>
      </c>
      <c r="D99" s="191">
        <v>0</v>
      </c>
      <c r="E99" s="191">
        <v>0</v>
      </c>
      <c r="F99" s="191">
        <v>0</v>
      </c>
      <c r="G99" s="191">
        <v>0</v>
      </c>
      <c r="H99" s="191">
        <v>127278650.09999999</v>
      </c>
      <c r="I99" s="191">
        <v>0</v>
      </c>
      <c r="J99" s="191">
        <v>0</v>
      </c>
      <c r="K99" s="191">
        <v>0</v>
      </c>
      <c r="L99" s="191">
        <v>0</v>
      </c>
      <c r="M99" s="191">
        <v>0</v>
      </c>
      <c r="N99" s="191">
        <v>0</v>
      </c>
      <c r="O99" s="191">
        <v>0</v>
      </c>
      <c r="P99" s="191">
        <v>0</v>
      </c>
      <c r="Q99" s="191">
        <v>0</v>
      </c>
      <c r="R99" s="191">
        <v>0</v>
      </c>
      <c r="S99" s="191">
        <v>0</v>
      </c>
      <c r="T99" s="191">
        <v>0</v>
      </c>
      <c r="U99" s="191">
        <v>0</v>
      </c>
      <c r="V99" s="191">
        <v>0</v>
      </c>
      <c r="W99" s="191">
        <v>0</v>
      </c>
      <c r="X99" s="191">
        <v>0</v>
      </c>
      <c r="Y99" s="191">
        <v>0</v>
      </c>
      <c r="Z99" s="191">
        <v>0</v>
      </c>
      <c r="AA99" s="191">
        <v>0</v>
      </c>
      <c r="AB99" s="191">
        <v>68910000</v>
      </c>
      <c r="AC99" s="191">
        <v>0</v>
      </c>
      <c r="AD99" s="191">
        <v>0</v>
      </c>
      <c r="AE99" s="191">
        <v>0</v>
      </c>
      <c r="AF99" s="191">
        <v>0</v>
      </c>
      <c r="AG99" s="191">
        <v>0</v>
      </c>
      <c r="AH99" s="191">
        <v>0</v>
      </c>
      <c r="AI99" s="191">
        <v>0</v>
      </c>
      <c r="AJ99" s="191">
        <v>0</v>
      </c>
      <c r="AK99" s="191">
        <v>0</v>
      </c>
      <c r="AL99" s="191">
        <v>0</v>
      </c>
      <c r="AM99" s="191">
        <v>0</v>
      </c>
      <c r="AN99" s="191">
        <v>951007200</v>
      </c>
      <c r="AO99" s="191">
        <v>0</v>
      </c>
      <c r="AP99" s="191">
        <v>0</v>
      </c>
      <c r="AQ99" s="191">
        <v>0</v>
      </c>
      <c r="AR99" s="191">
        <v>665333760</v>
      </c>
      <c r="AS99" s="191">
        <v>0</v>
      </c>
      <c r="AT99" s="191">
        <v>0</v>
      </c>
      <c r="AU99" s="191">
        <v>164709600</v>
      </c>
      <c r="AV99" s="191">
        <v>0</v>
      </c>
      <c r="AW99" s="191">
        <v>0</v>
      </c>
      <c r="AX99" s="191">
        <v>0</v>
      </c>
      <c r="AY99" s="191">
        <v>0</v>
      </c>
      <c r="AZ99" s="191">
        <v>0</v>
      </c>
      <c r="BA99" s="191">
        <v>0</v>
      </c>
      <c r="BB99" s="191">
        <v>0</v>
      </c>
      <c r="BC99" s="191">
        <v>0</v>
      </c>
      <c r="BD99" s="191">
        <v>0</v>
      </c>
      <c r="BE99" s="191">
        <v>0</v>
      </c>
      <c r="BF99" s="191">
        <v>0</v>
      </c>
      <c r="BG99" s="191">
        <v>0</v>
      </c>
      <c r="BH99" s="191">
        <v>0</v>
      </c>
      <c r="BI99" s="191">
        <v>0</v>
      </c>
      <c r="BJ99" s="191">
        <v>0</v>
      </c>
      <c r="BK99" s="191">
        <v>0</v>
      </c>
      <c r="BL99" s="191">
        <v>76800000</v>
      </c>
      <c r="BM99" s="191">
        <v>76800000</v>
      </c>
      <c r="BN99" s="191">
        <v>0</v>
      </c>
      <c r="BO99" s="191">
        <v>0</v>
      </c>
      <c r="BP99" s="191">
        <v>48000000</v>
      </c>
      <c r="BQ99" s="191">
        <v>48000000</v>
      </c>
      <c r="BR99" s="191">
        <v>0</v>
      </c>
      <c r="BS99" s="191">
        <v>7970356.0700000003</v>
      </c>
      <c r="BT99" s="191">
        <v>17570356.07</v>
      </c>
      <c r="BU99" s="191">
        <v>16628762.310000001</v>
      </c>
      <c r="BV99" s="191">
        <v>20370356.07</v>
      </c>
      <c r="BW99" s="191">
        <v>0</v>
      </c>
      <c r="BX99" s="191">
        <v>0</v>
      </c>
      <c r="BY99" s="191">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1">
        <v>0</v>
      </c>
      <c r="C101" s="191">
        <v>0</v>
      </c>
      <c r="D101" s="191">
        <v>0</v>
      </c>
      <c r="E101" s="191">
        <v>0</v>
      </c>
      <c r="F101" s="191">
        <v>0</v>
      </c>
      <c r="G101" s="191">
        <v>0</v>
      </c>
      <c r="H101" s="191">
        <v>0</v>
      </c>
      <c r="I101" s="191">
        <v>0</v>
      </c>
      <c r="J101" s="191">
        <v>0</v>
      </c>
      <c r="K101" s="191">
        <v>0</v>
      </c>
      <c r="L101" s="191">
        <v>0</v>
      </c>
      <c r="M101" s="191">
        <v>0</v>
      </c>
      <c r="N101" s="191">
        <v>0</v>
      </c>
      <c r="O101" s="191">
        <v>0</v>
      </c>
      <c r="P101" s="191">
        <v>0</v>
      </c>
      <c r="Q101" s="191">
        <v>0</v>
      </c>
      <c r="R101" s="191">
        <v>0</v>
      </c>
      <c r="S101" s="191">
        <v>0</v>
      </c>
      <c r="T101" s="191">
        <v>0</v>
      </c>
      <c r="U101" s="191">
        <v>0</v>
      </c>
      <c r="V101" s="191">
        <v>0</v>
      </c>
      <c r="W101" s="191">
        <v>0</v>
      </c>
      <c r="X101" s="191">
        <v>0</v>
      </c>
      <c r="Y101" s="191">
        <v>0</v>
      </c>
      <c r="Z101" s="191">
        <v>0</v>
      </c>
      <c r="AA101" s="191">
        <v>0</v>
      </c>
      <c r="AB101" s="191">
        <v>0</v>
      </c>
      <c r="AC101" s="191">
        <v>0</v>
      </c>
      <c r="AD101" s="191">
        <v>0</v>
      </c>
      <c r="AE101" s="191">
        <v>0</v>
      </c>
      <c r="AF101" s="191">
        <v>0</v>
      </c>
      <c r="AG101" s="191">
        <v>0</v>
      </c>
      <c r="AH101" s="191">
        <v>0</v>
      </c>
      <c r="AI101" s="191">
        <v>0</v>
      </c>
      <c r="AJ101" s="191">
        <v>0</v>
      </c>
      <c r="AK101" s="191">
        <v>0</v>
      </c>
      <c r="AL101" s="191">
        <v>0</v>
      </c>
      <c r="AM101" s="191">
        <v>0</v>
      </c>
      <c r="AN101" s="191">
        <v>0</v>
      </c>
      <c r="AO101" s="191">
        <v>0</v>
      </c>
      <c r="AP101" s="191">
        <v>0</v>
      </c>
      <c r="AQ101" s="191">
        <v>0</v>
      </c>
      <c r="AR101" s="191">
        <v>0</v>
      </c>
      <c r="AS101" s="191">
        <v>0</v>
      </c>
      <c r="AT101" s="191">
        <v>0</v>
      </c>
      <c r="AU101" s="191">
        <v>0</v>
      </c>
      <c r="AV101" s="191">
        <v>0</v>
      </c>
      <c r="AW101" s="191">
        <v>0</v>
      </c>
      <c r="AX101" s="191">
        <v>0</v>
      </c>
      <c r="AY101" s="191">
        <v>0</v>
      </c>
      <c r="AZ101" s="191">
        <v>0</v>
      </c>
      <c r="BA101" s="191">
        <v>0</v>
      </c>
      <c r="BB101" s="191">
        <v>0</v>
      </c>
      <c r="BC101" s="191">
        <v>0</v>
      </c>
      <c r="BD101" s="191">
        <v>0</v>
      </c>
      <c r="BE101" s="191">
        <v>0</v>
      </c>
      <c r="BF101" s="191">
        <v>0</v>
      </c>
      <c r="BG101" s="191">
        <v>0</v>
      </c>
      <c r="BH101" s="191">
        <v>0</v>
      </c>
      <c r="BI101" s="191">
        <v>0</v>
      </c>
      <c r="BJ101" s="191">
        <v>0</v>
      </c>
      <c r="BK101" s="191">
        <v>0</v>
      </c>
      <c r="BL101" s="191">
        <v>0</v>
      </c>
      <c r="BM101" s="191">
        <v>0</v>
      </c>
      <c r="BN101" s="191">
        <v>0</v>
      </c>
      <c r="BO101" s="191">
        <v>0</v>
      </c>
      <c r="BP101" s="191">
        <v>0</v>
      </c>
      <c r="BQ101" s="191">
        <v>0</v>
      </c>
      <c r="BR101" s="191">
        <v>0</v>
      </c>
      <c r="BS101" s="191">
        <v>0</v>
      </c>
      <c r="BT101" s="191">
        <v>0</v>
      </c>
      <c r="BU101" s="191"/>
      <c r="BV101" s="191"/>
      <c r="BW101" s="191"/>
      <c r="BX101" s="191"/>
      <c r="BY101" s="191"/>
      <c r="BZ101" s="40"/>
      <c r="CA101" s="40"/>
      <c r="CB101" s="40"/>
      <c r="CC101" s="40"/>
      <c r="CD101" s="40"/>
      <c r="CE101" s="40"/>
      <c r="CF101" s="40"/>
      <c r="CG101" s="40"/>
      <c r="CH101" s="40"/>
      <c r="CI101" s="40"/>
      <c r="CJ101" s="40"/>
      <c r="CK101" s="40"/>
      <c r="CL101" s="40"/>
    </row>
    <row r="102" spans="1:90" x14ac:dyDescent="0.25">
      <c r="A102" s="129" t="s">
        <v>72</v>
      </c>
      <c r="B102" s="191">
        <v>4286876793.8299999</v>
      </c>
      <c r="C102" s="191">
        <v>4136280722.8499999</v>
      </c>
      <c r="D102" s="191">
        <v>4083144683.5599999</v>
      </c>
      <c r="E102" s="191">
        <v>4062259183.5799999</v>
      </c>
      <c r="F102" s="191">
        <v>3987249194.7800002</v>
      </c>
      <c r="G102" s="191">
        <v>3918534685.9000001</v>
      </c>
      <c r="H102" s="191">
        <v>3815664775.1199999</v>
      </c>
      <c r="I102" s="191">
        <v>3849618617.5700002</v>
      </c>
      <c r="J102" s="191">
        <v>3761091020.27</v>
      </c>
      <c r="K102" s="191">
        <v>2689801684.9299998</v>
      </c>
      <c r="L102" s="191">
        <v>2678689083.0500002</v>
      </c>
      <c r="M102" s="191">
        <v>2591297732.8400002</v>
      </c>
      <c r="N102" s="191">
        <v>2479470434.5500002</v>
      </c>
      <c r="O102" s="191">
        <v>2403224562.5999999</v>
      </c>
      <c r="P102" s="191">
        <v>2409337159.0500002</v>
      </c>
      <c r="Q102" s="191">
        <v>1375745712.3499999</v>
      </c>
      <c r="R102" s="191">
        <v>1342775727.4000001</v>
      </c>
      <c r="S102" s="191">
        <v>1316299377.1400001</v>
      </c>
      <c r="T102" s="191">
        <v>1345101797.3399999</v>
      </c>
      <c r="U102" s="191">
        <v>1327826505.6600001</v>
      </c>
      <c r="V102" s="191">
        <v>1294368212.5999999</v>
      </c>
      <c r="W102" s="191">
        <v>1266758061.6600001</v>
      </c>
      <c r="X102" s="191">
        <v>1276559138.0899999</v>
      </c>
      <c r="Y102" s="191">
        <v>1244457985.5</v>
      </c>
      <c r="Z102" s="191">
        <v>1216882777.4300001</v>
      </c>
      <c r="AA102" s="191">
        <v>1204799411.96</v>
      </c>
      <c r="AB102" s="191">
        <v>1163261652.3800001</v>
      </c>
      <c r="AC102" s="191">
        <v>1204025076.95</v>
      </c>
      <c r="AD102" s="191">
        <v>382309945.08999997</v>
      </c>
      <c r="AE102" s="191">
        <v>356958901.06999999</v>
      </c>
      <c r="AF102" s="191">
        <v>316586996.66000003</v>
      </c>
      <c r="AG102" s="191">
        <v>271531654.74000001</v>
      </c>
      <c r="AH102" s="191">
        <v>244181721.59</v>
      </c>
      <c r="AI102" s="191">
        <v>0</v>
      </c>
      <c r="AJ102" s="191">
        <v>5341196617.0299997</v>
      </c>
      <c r="AK102" s="191">
        <v>5051236705.5500002</v>
      </c>
      <c r="AL102" s="191">
        <v>4848250345.4300003</v>
      </c>
      <c r="AM102" s="191">
        <v>4488287554.1099997</v>
      </c>
      <c r="AN102" s="191">
        <v>4177908501.96</v>
      </c>
      <c r="AO102" s="191">
        <v>4817456931.3400002</v>
      </c>
      <c r="AP102" s="191">
        <v>4477787263.29</v>
      </c>
      <c r="AQ102" s="191">
        <v>4148533020.7399998</v>
      </c>
      <c r="AR102" s="191">
        <v>3635964250.9499998</v>
      </c>
      <c r="AS102" s="191">
        <v>3924015709.2199998</v>
      </c>
      <c r="AT102" s="191">
        <v>3499729124.0900002</v>
      </c>
      <c r="AU102" s="191">
        <v>3007024908.1999998</v>
      </c>
      <c r="AV102" s="191">
        <v>2833639454.2199998</v>
      </c>
      <c r="AW102" s="191">
        <v>2477426469.6300001</v>
      </c>
      <c r="AX102" s="191">
        <v>2231356366.6500001</v>
      </c>
      <c r="AY102" s="191">
        <v>1970977370.03</v>
      </c>
      <c r="AZ102" s="191">
        <v>1956516331.6099999</v>
      </c>
      <c r="BA102" s="191">
        <v>1778435527.8699999</v>
      </c>
      <c r="BB102" s="191">
        <v>1641047797.9300001</v>
      </c>
      <c r="BC102" s="191">
        <v>1489102491</v>
      </c>
      <c r="BD102" s="191">
        <v>1447583996.9100001</v>
      </c>
      <c r="BE102" s="191">
        <v>1290940618.9300001</v>
      </c>
      <c r="BF102" s="191">
        <v>1202220566.6300001</v>
      </c>
      <c r="BG102" s="191">
        <v>1102636808.8699999</v>
      </c>
      <c r="BH102" s="191">
        <v>1061442254.95</v>
      </c>
      <c r="BI102" s="191">
        <v>964156315.63999999</v>
      </c>
      <c r="BJ102" s="191">
        <v>918556647.08000004</v>
      </c>
      <c r="BK102" s="191">
        <v>870142014.30999994</v>
      </c>
      <c r="BL102" s="191">
        <v>789846635.84000003</v>
      </c>
      <c r="BM102" s="191">
        <v>808658820.5</v>
      </c>
      <c r="BN102" s="191">
        <v>778165133.73000002</v>
      </c>
      <c r="BO102" s="191">
        <v>746839868.34000003</v>
      </c>
      <c r="BP102" s="191">
        <v>689491725.37</v>
      </c>
      <c r="BQ102" s="191">
        <v>653798259.76999998</v>
      </c>
      <c r="BR102" s="191">
        <v>687705800</v>
      </c>
      <c r="BS102" s="191">
        <v>663841314.28999996</v>
      </c>
      <c r="BT102" s="191">
        <v>601069866.59000003</v>
      </c>
      <c r="BU102" s="191">
        <v>155202681.5</v>
      </c>
      <c r="BV102" s="191">
        <v>128306554.23</v>
      </c>
      <c r="BW102" s="191">
        <v>122396833.72</v>
      </c>
      <c r="BX102" s="191">
        <v>70008325.519999996</v>
      </c>
      <c r="BY102" s="191">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1">
        <v>158917577.05000001</v>
      </c>
      <c r="C103" s="191">
        <v>156280022.63</v>
      </c>
      <c r="D103" s="191">
        <v>7301521.1100000003</v>
      </c>
      <c r="E103" s="191">
        <v>8094707.5700000003</v>
      </c>
      <c r="F103" s="191">
        <v>8059771.5199999996</v>
      </c>
      <c r="G103" s="191">
        <v>8077652.6500000004</v>
      </c>
      <c r="H103" s="191">
        <v>8053972.9199999999</v>
      </c>
      <c r="I103" s="191">
        <v>8051967.3099999996</v>
      </c>
      <c r="J103" s="191">
        <v>8060633.3300000001</v>
      </c>
      <c r="K103" s="191">
        <v>8017564.2000000002</v>
      </c>
      <c r="L103" s="191">
        <v>8009670.6100000003</v>
      </c>
      <c r="M103" s="191">
        <v>8008614.6100000003</v>
      </c>
      <c r="N103" s="191">
        <v>8095531.5099999998</v>
      </c>
      <c r="O103" s="191">
        <v>7974396.79</v>
      </c>
      <c r="P103" s="191">
        <v>16159013.07</v>
      </c>
      <c r="Q103" s="191">
        <v>16096370.949999999</v>
      </c>
      <c r="R103" s="191">
        <v>15755425.48</v>
      </c>
      <c r="S103" s="191">
        <v>15385772.41</v>
      </c>
      <c r="T103" s="191">
        <v>16058608.310000001</v>
      </c>
      <c r="U103" s="191">
        <v>16465734.699999999</v>
      </c>
      <c r="V103" s="191">
        <v>16478590.380000001</v>
      </c>
      <c r="W103" s="191">
        <v>16732636.109999999</v>
      </c>
      <c r="X103" s="191">
        <v>0</v>
      </c>
      <c r="Y103" s="191">
        <v>0</v>
      </c>
      <c r="Z103" s="191">
        <v>0</v>
      </c>
      <c r="AA103" s="191">
        <v>0</v>
      </c>
      <c r="AB103" s="191">
        <v>0</v>
      </c>
      <c r="AC103" s="191">
        <v>0</v>
      </c>
      <c r="AD103" s="191">
        <v>0</v>
      </c>
      <c r="AE103" s="191">
        <v>0</v>
      </c>
      <c r="AF103" s="191">
        <v>0</v>
      </c>
      <c r="AG103" s="191">
        <v>0</v>
      </c>
      <c r="AH103" s="191">
        <v>0</v>
      </c>
      <c r="AI103" s="191">
        <v>0</v>
      </c>
      <c r="AJ103" s="191">
        <v>804966272.05999994</v>
      </c>
      <c r="AK103" s="191">
        <v>773881633.17999995</v>
      </c>
      <c r="AL103" s="191">
        <v>728282702.60000002</v>
      </c>
      <c r="AM103" s="191">
        <v>649261921.52999997</v>
      </c>
      <c r="AN103" s="191">
        <v>541200964.52999997</v>
      </c>
      <c r="AO103" s="191">
        <v>631957305.69000006</v>
      </c>
      <c r="AP103" s="191">
        <v>569251664.46000004</v>
      </c>
      <c r="AQ103" s="191">
        <v>515681053.38999999</v>
      </c>
      <c r="AR103" s="191">
        <v>385986526.14999998</v>
      </c>
      <c r="AS103" s="191">
        <v>514461139.75</v>
      </c>
      <c r="AT103" s="191">
        <v>443556823.94</v>
      </c>
      <c r="AU103" s="191">
        <v>394170221.25</v>
      </c>
      <c r="AV103" s="191">
        <v>422515795.08999997</v>
      </c>
      <c r="AW103" s="191">
        <v>342337783.56</v>
      </c>
      <c r="AX103" s="191">
        <v>318517901.66000003</v>
      </c>
      <c r="AY103" s="191">
        <v>274763019.31999999</v>
      </c>
      <c r="AZ103" s="191">
        <v>266893856.94</v>
      </c>
      <c r="BA103" s="191">
        <v>76967924.849999994</v>
      </c>
      <c r="BB103" s="191">
        <v>74206073.739999995</v>
      </c>
      <c r="BC103" s="191">
        <v>74096419.620000005</v>
      </c>
      <c r="BD103" s="191">
        <v>73864189.609999999</v>
      </c>
      <c r="BE103" s="191">
        <v>73828709.079999998</v>
      </c>
      <c r="BF103" s="191">
        <v>73773300.180000007</v>
      </c>
      <c r="BG103" s="191">
        <v>73740285.659999996</v>
      </c>
      <c r="BH103" s="191">
        <v>73734515.349999994</v>
      </c>
      <c r="BI103" s="191">
        <v>73742160.650000006</v>
      </c>
      <c r="BJ103" s="191">
        <v>73750000</v>
      </c>
      <c r="BK103" s="191">
        <v>0</v>
      </c>
      <c r="BL103" s="191">
        <v>0</v>
      </c>
      <c r="BM103" s="191">
        <v>0</v>
      </c>
      <c r="BN103" s="191">
        <v>0</v>
      </c>
      <c r="BO103" s="191">
        <v>0</v>
      </c>
      <c r="BP103" s="191">
        <v>0</v>
      </c>
      <c r="BQ103" s="191">
        <v>0</v>
      </c>
      <c r="BR103" s="191">
        <v>0</v>
      </c>
      <c r="BS103" s="191">
        <v>0</v>
      </c>
      <c r="BT103" s="191">
        <v>0</v>
      </c>
      <c r="BU103" s="191">
        <v>0</v>
      </c>
      <c r="BV103" s="191">
        <v>0</v>
      </c>
      <c r="BW103" s="191">
        <v>0</v>
      </c>
      <c r="BX103" s="191">
        <v>0</v>
      </c>
      <c r="BY103" s="191">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E52" sqref="E52:AG55"/>
    </sheetView>
  </sheetViews>
  <sheetFormatPr defaultRowHeight="14.4" x14ac:dyDescent="0.25"/>
  <cols>
    <col min="1" max="1" width="57.21875" style="17" bestFit="1" customWidth="1"/>
    <col min="2" max="2" width="19" hidden="1" customWidth="1"/>
    <col min="3" max="4" width="20.21875" hidden="1" customWidth="1"/>
    <col min="5" max="5" width="20.21875" bestFit="1" customWidth="1"/>
    <col min="6" max="6" width="19" hidden="1" customWidth="1"/>
    <col min="7" max="8" width="20.21875" hidden="1" customWidth="1"/>
    <col min="9" max="9" width="19" bestFit="1" customWidth="1"/>
    <col min="10" max="11" width="19" hidden="1" customWidth="1"/>
    <col min="12" max="12" width="20.21875" hidden="1" customWidth="1"/>
    <col min="13" max="13" width="20.21875" bestFit="1" customWidth="1"/>
    <col min="14" max="14" width="19" hidden="1" customWidth="1"/>
    <col min="15" max="16" width="20.218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7734375" hidden="1" customWidth="1"/>
    <col min="33" max="33" width="19" bestFit="1" customWidth="1"/>
    <col min="34" max="34" width="17.77734375" hidden="1" customWidth="1"/>
    <col min="35" max="35" width="17.77734375" bestFit="1" customWidth="1"/>
    <col min="36" max="36" width="19" bestFit="1" customWidth="1"/>
    <col min="37" max="37" width="19" hidden="1" customWidth="1"/>
    <col min="38" max="40" width="20.21875" bestFit="1" customWidth="1"/>
    <col min="41" max="41" width="25.109375" bestFit="1" customWidth="1"/>
    <col min="42" max="45" width="20.21875" bestFit="1" customWidth="1"/>
    <col min="46" max="46" width="23.88671875" bestFit="1" customWidth="1"/>
    <col min="47" max="49" width="20.21875" bestFit="1" customWidth="1"/>
    <col min="50" max="50" width="21.44140625" bestFit="1" customWidth="1"/>
    <col min="51" max="51" width="22.6640625" bestFit="1" customWidth="1"/>
    <col min="52" max="63" width="20.21875" bestFit="1" customWidth="1"/>
    <col min="64" max="76" width="19" bestFit="1" customWidth="1"/>
    <col min="77" max="77" width="9.5546875" bestFit="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1">
        <v>1849934355.4400001</v>
      </c>
      <c r="C4" s="191">
        <v>1277996624.8399999</v>
      </c>
      <c r="D4" s="191">
        <v>657642184.55999994</v>
      </c>
      <c r="E4" s="191">
        <v>2456391218.1599998</v>
      </c>
      <c r="F4" s="191">
        <v>1797303663.71</v>
      </c>
      <c r="G4" s="191">
        <v>1262280095.75</v>
      </c>
      <c r="H4" s="191">
        <v>612156580.71000004</v>
      </c>
      <c r="I4" s="191">
        <v>1847391081.8399999</v>
      </c>
      <c r="J4" s="191">
        <v>1324775375.3399999</v>
      </c>
      <c r="K4" s="191">
        <v>888376461.49000001</v>
      </c>
      <c r="L4" s="191">
        <v>423001389.69</v>
      </c>
      <c r="M4" s="191">
        <v>1631042560</v>
      </c>
      <c r="N4" s="191">
        <v>1022711562.04</v>
      </c>
      <c r="O4" s="191">
        <v>615138524.07000005</v>
      </c>
      <c r="P4" s="191">
        <v>265749041.91</v>
      </c>
      <c r="Q4" s="191">
        <v>1068796191.5700001</v>
      </c>
      <c r="R4" s="191">
        <v>705098562.99000001</v>
      </c>
      <c r="S4" s="191">
        <v>433011175.55000001</v>
      </c>
      <c r="T4" s="191">
        <v>196981639.65000001</v>
      </c>
      <c r="U4" s="191">
        <v>965382340.42999995</v>
      </c>
      <c r="V4" s="191">
        <v>705638264.82000005</v>
      </c>
      <c r="W4" s="191">
        <v>483178236.35000002</v>
      </c>
      <c r="X4" s="191">
        <v>221315195.03</v>
      </c>
      <c r="Y4" s="191">
        <v>789577816.87</v>
      </c>
      <c r="Z4" s="191">
        <v>539360672.49000001</v>
      </c>
      <c r="AA4" s="191">
        <v>394771497.57999998</v>
      </c>
      <c r="AB4" s="191">
        <v>177632246.53</v>
      </c>
      <c r="AC4" s="191">
        <v>820090562.65999997</v>
      </c>
      <c r="AD4" s="191">
        <v>640951585.91999996</v>
      </c>
      <c r="AE4" s="191">
        <v>469202622.25999999</v>
      </c>
      <c r="AF4" s="191">
        <v>205970417.91999999</v>
      </c>
      <c r="AG4" s="191">
        <v>731662751.10000002</v>
      </c>
      <c r="AH4" s="191">
        <v>538217516.25999999</v>
      </c>
      <c r="AI4" s="191">
        <v>404874884.06999999</v>
      </c>
      <c r="AJ4" s="191">
        <v>639478592.48000002</v>
      </c>
      <c r="AK4" s="191">
        <v>0</v>
      </c>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c r="BM4" s="191"/>
      <c r="BN4" s="191"/>
      <c r="BO4" s="191"/>
      <c r="BP4" s="191"/>
      <c r="BQ4" s="191"/>
      <c r="BR4" s="191"/>
      <c r="BS4" s="191"/>
      <c r="BT4" s="191"/>
      <c r="BU4" s="191"/>
      <c r="BV4" s="191"/>
      <c r="BW4" s="191"/>
      <c r="BX4" s="191"/>
      <c r="BY4" s="191"/>
      <c r="BZ4" s="40"/>
      <c r="CA4" s="40"/>
      <c r="CB4" s="40"/>
      <c r="CC4" s="40"/>
      <c r="CD4" s="40"/>
      <c r="CE4" s="40"/>
      <c r="CF4" s="40"/>
      <c r="CG4" s="40"/>
      <c r="CH4" s="40"/>
      <c r="CI4" s="40"/>
      <c r="CJ4" s="40"/>
      <c r="CK4" s="40"/>
    </row>
    <row r="5" spans="1:89" x14ac:dyDescent="0.25">
      <c r="A5" s="19" t="s">
        <v>386</v>
      </c>
      <c r="B5" s="191">
        <v>1135658201.5899999</v>
      </c>
      <c r="C5" s="191">
        <v>804497078.79999995</v>
      </c>
      <c r="D5" s="191">
        <v>437269597.19999999</v>
      </c>
      <c r="E5" s="191">
        <v>1483217632.6600001</v>
      </c>
      <c r="F5" s="191">
        <v>1076327673.26</v>
      </c>
      <c r="G5" s="191">
        <v>763209419.25999999</v>
      </c>
      <c r="H5" s="191">
        <v>379066624.18000001</v>
      </c>
      <c r="I5" s="191">
        <v>1093192340.75</v>
      </c>
      <c r="J5" s="191">
        <v>774816435.69000006</v>
      </c>
      <c r="K5" s="191">
        <v>523069803.54000002</v>
      </c>
      <c r="L5" s="191">
        <v>261347307.03</v>
      </c>
      <c r="M5" s="191">
        <v>1072076772.12</v>
      </c>
      <c r="N5" s="191">
        <v>666132747.07000005</v>
      </c>
      <c r="O5" s="191">
        <v>408201899.26999998</v>
      </c>
      <c r="P5" s="191">
        <v>177861626.05000001</v>
      </c>
      <c r="Q5" s="191">
        <v>768038724.02999997</v>
      </c>
      <c r="R5" s="191">
        <v>507051456.85000002</v>
      </c>
      <c r="S5" s="191">
        <v>315018885.75999999</v>
      </c>
      <c r="T5" s="191">
        <v>139161166.72</v>
      </c>
      <c r="U5" s="191">
        <v>670813034.48000002</v>
      </c>
      <c r="V5" s="191">
        <v>496650507.01999998</v>
      </c>
      <c r="W5" s="191">
        <v>341931917.73000002</v>
      </c>
      <c r="X5" s="191">
        <v>156289971.44999999</v>
      </c>
      <c r="Y5" s="191">
        <v>521890826.97000003</v>
      </c>
      <c r="Z5" s="191">
        <v>355153963.38</v>
      </c>
      <c r="AA5" s="191">
        <v>254538342.21000001</v>
      </c>
      <c r="AB5" s="191">
        <v>119441195.91</v>
      </c>
      <c r="AC5" s="191">
        <v>531176597.10000002</v>
      </c>
      <c r="AD5" s="191">
        <v>402979000.42000002</v>
      </c>
      <c r="AE5" s="191">
        <v>294317658.50999999</v>
      </c>
      <c r="AF5" s="191">
        <v>134954397.66</v>
      </c>
      <c r="AG5" s="191">
        <v>498840802.37</v>
      </c>
      <c r="AH5" s="191">
        <v>366482751.81999999</v>
      </c>
      <c r="AI5" s="191">
        <v>249155678</v>
      </c>
      <c r="AJ5" s="191">
        <v>447889209.37</v>
      </c>
      <c r="AK5" s="191">
        <v>0</v>
      </c>
      <c r="AL5" s="191"/>
      <c r="AM5" s="191"/>
      <c r="AN5" s="191"/>
      <c r="AO5" s="191"/>
      <c r="AP5" s="191"/>
      <c r="AQ5" s="191"/>
      <c r="AR5" s="191"/>
      <c r="AS5" s="191"/>
      <c r="AT5" s="191"/>
      <c r="AU5" s="191"/>
      <c r="AV5" s="191"/>
      <c r="AW5" s="191"/>
      <c r="AX5" s="191"/>
      <c r="AY5" s="191"/>
      <c r="AZ5" s="191"/>
      <c r="BA5" s="191"/>
      <c r="BB5" s="191"/>
      <c r="BC5" s="191"/>
      <c r="BD5" s="191"/>
      <c r="BE5" s="191"/>
      <c r="BF5" s="191"/>
      <c r="BG5" s="191"/>
      <c r="BH5" s="191"/>
      <c r="BI5" s="191"/>
      <c r="BJ5" s="191"/>
      <c r="BK5" s="191"/>
      <c r="BL5" s="191"/>
      <c r="BM5" s="191"/>
      <c r="BN5" s="191"/>
      <c r="BO5" s="191"/>
      <c r="BP5" s="191"/>
      <c r="BQ5" s="191"/>
      <c r="BR5" s="191"/>
      <c r="BS5" s="191"/>
      <c r="BT5" s="191"/>
      <c r="BU5" s="191"/>
      <c r="BV5" s="191"/>
      <c r="BW5" s="191"/>
      <c r="BX5" s="191"/>
      <c r="BY5" s="191"/>
      <c r="BZ5" s="40"/>
      <c r="CA5" s="40"/>
      <c r="CB5" s="40"/>
      <c r="CC5" s="40"/>
      <c r="CD5" s="40"/>
      <c r="CE5" s="40"/>
      <c r="CF5" s="40"/>
      <c r="CG5" s="40"/>
      <c r="CH5" s="40"/>
      <c r="CI5" s="40"/>
      <c r="CJ5" s="40"/>
      <c r="CK5" s="40"/>
    </row>
    <row r="6" spans="1:89" s="3" customFormat="1" x14ac:dyDescent="0.25">
      <c r="A6" s="20" t="s">
        <v>387</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1">
        <v>23191224.52</v>
      </c>
      <c r="C8" s="191">
        <v>16542253.810000001</v>
      </c>
      <c r="D8" s="191">
        <v>8779622.5099999998</v>
      </c>
      <c r="E8" s="191">
        <v>29290483.289999999</v>
      </c>
      <c r="F8" s="191">
        <v>20515098.809999999</v>
      </c>
      <c r="G8" s="191">
        <v>14190798.9</v>
      </c>
      <c r="H8" s="191">
        <v>7259068.7199999997</v>
      </c>
      <c r="I8" s="191">
        <v>19407331.18</v>
      </c>
      <c r="J8" s="191">
        <v>7888050.0099999998</v>
      </c>
      <c r="K8" s="191">
        <v>5589750.1100000003</v>
      </c>
      <c r="L8" s="191">
        <v>1931265.36</v>
      </c>
      <c r="M8" s="191">
        <v>13891686.960000001</v>
      </c>
      <c r="N8" s="191">
        <v>11091047.01</v>
      </c>
      <c r="O8" s="191">
        <v>7469738.3899999997</v>
      </c>
      <c r="P8" s="191">
        <v>3557840.46</v>
      </c>
      <c r="Q8" s="191">
        <v>9556522.0099999998</v>
      </c>
      <c r="R8" s="191">
        <v>6871760.4199999999</v>
      </c>
      <c r="S8" s="191">
        <v>4342226.78</v>
      </c>
      <c r="T8" s="191">
        <v>2075024.7</v>
      </c>
      <c r="U8" s="191">
        <v>7449893.2199999997</v>
      </c>
      <c r="V8" s="191">
        <v>4833119.1500000004</v>
      </c>
      <c r="W8" s="191">
        <v>2868816.48</v>
      </c>
      <c r="X8" s="191">
        <v>591991.57999999996</v>
      </c>
      <c r="Y8" s="191">
        <v>6498688.8600000003</v>
      </c>
      <c r="Z8" s="191">
        <v>5460486.7300000004</v>
      </c>
      <c r="AA8" s="191">
        <v>3884074.67</v>
      </c>
      <c r="AB8" s="191">
        <v>1261607.6399999999</v>
      </c>
      <c r="AC8" s="191">
        <v>7563965.7599999998</v>
      </c>
      <c r="AD8" s="191">
        <v>6183916.9900000002</v>
      </c>
      <c r="AE8" s="191">
        <v>3394963.58</v>
      </c>
      <c r="AF8" s="191">
        <v>1168668.52</v>
      </c>
      <c r="AG8" s="191">
        <v>5622497.25</v>
      </c>
      <c r="AH8" s="191">
        <v>4295612.0999999996</v>
      </c>
      <c r="AI8" s="191">
        <v>4126801.4</v>
      </c>
      <c r="AJ8" s="191">
        <v>4576691.03</v>
      </c>
      <c r="AK8" s="191">
        <v>0</v>
      </c>
      <c r="AL8" s="191"/>
      <c r="AM8" s="191"/>
      <c r="AN8" s="191"/>
      <c r="AO8" s="191"/>
      <c r="AP8" s="191"/>
      <c r="AQ8" s="191"/>
      <c r="AR8" s="191"/>
      <c r="AS8" s="191"/>
      <c r="AT8" s="191"/>
      <c r="AU8" s="191"/>
      <c r="AV8" s="191"/>
      <c r="AW8" s="191"/>
      <c r="AX8" s="191"/>
      <c r="AY8" s="191"/>
      <c r="AZ8" s="191"/>
      <c r="BA8" s="191"/>
      <c r="BB8" s="191"/>
      <c r="BC8" s="191"/>
      <c r="BD8" s="191"/>
      <c r="BE8" s="191"/>
      <c r="BF8" s="191"/>
      <c r="BG8" s="191"/>
      <c r="BH8" s="191"/>
      <c r="BI8" s="191"/>
      <c r="BJ8" s="191"/>
      <c r="BK8" s="191"/>
      <c r="BL8" s="191"/>
      <c r="BM8" s="191"/>
      <c r="BN8" s="191"/>
      <c r="BO8" s="191"/>
      <c r="BP8" s="191"/>
      <c r="BQ8" s="191"/>
      <c r="BR8" s="191"/>
      <c r="BS8" s="191"/>
      <c r="BT8" s="191"/>
      <c r="BU8" s="191"/>
      <c r="BV8" s="191"/>
      <c r="BW8" s="191"/>
      <c r="BX8" s="191"/>
      <c r="BY8" s="191"/>
      <c r="BZ8" s="40"/>
      <c r="CA8" s="40"/>
      <c r="CB8" s="40"/>
      <c r="CC8" s="40"/>
      <c r="CD8" s="40"/>
      <c r="CE8" s="40"/>
      <c r="CF8" s="40"/>
      <c r="CG8" s="40"/>
      <c r="CH8" s="40"/>
      <c r="CI8" s="40"/>
      <c r="CJ8" s="40"/>
      <c r="CK8" s="40"/>
    </row>
    <row r="9" spans="1:89" x14ac:dyDescent="0.25">
      <c r="A9" s="17" t="s">
        <v>390</v>
      </c>
      <c r="B9" s="191">
        <v>110648258.59999999</v>
      </c>
      <c r="C9" s="191">
        <v>72758768.090000004</v>
      </c>
      <c r="D9" s="191">
        <v>28654047.329999998</v>
      </c>
      <c r="E9" s="191">
        <v>161946615.94</v>
      </c>
      <c r="F9" s="191">
        <v>115835567.73999999</v>
      </c>
      <c r="G9" s="191">
        <v>79063494.579999998</v>
      </c>
      <c r="H9" s="191">
        <v>38085936.170000002</v>
      </c>
      <c r="I9" s="191">
        <v>127782137.45999999</v>
      </c>
      <c r="J9" s="191">
        <v>79823343.730000004</v>
      </c>
      <c r="K9" s="191">
        <v>44739353.159999996</v>
      </c>
      <c r="L9" s="191">
        <v>4311945.47</v>
      </c>
      <c r="M9" s="191">
        <v>38193258.799999997</v>
      </c>
      <c r="N9" s="191">
        <v>30523308.300000001</v>
      </c>
      <c r="O9" s="191">
        <v>16053033.359999999</v>
      </c>
      <c r="P9" s="191">
        <v>7590713.0899999999</v>
      </c>
      <c r="Q9" s="191">
        <v>24163207.609999999</v>
      </c>
      <c r="R9" s="191">
        <v>15881130.720000001</v>
      </c>
      <c r="S9" s="191">
        <v>11730498.82</v>
      </c>
      <c r="T9" s="191">
        <v>5135968.8099999996</v>
      </c>
      <c r="U9" s="191">
        <v>16340221.83</v>
      </c>
      <c r="V9" s="191">
        <v>12802972.93</v>
      </c>
      <c r="W9" s="191">
        <v>7576609.4900000002</v>
      </c>
      <c r="X9" s="191">
        <v>2902536.7</v>
      </c>
      <c r="Y9" s="191">
        <v>17382391.079999998</v>
      </c>
      <c r="Z9" s="191">
        <v>10896233.470000001</v>
      </c>
      <c r="AA9" s="191">
        <v>7025899.1500000004</v>
      </c>
      <c r="AB9" s="191">
        <v>4075108.68</v>
      </c>
      <c r="AC9" s="191">
        <v>18337717.219999999</v>
      </c>
      <c r="AD9" s="191">
        <v>16095605.960000001</v>
      </c>
      <c r="AE9" s="191">
        <v>11738887.710000001</v>
      </c>
      <c r="AF9" s="191">
        <v>3767219.08</v>
      </c>
      <c r="AG9" s="191">
        <v>10156455.640000001</v>
      </c>
      <c r="AH9" s="191">
        <v>7771348.21</v>
      </c>
      <c r="AI9" s="191">
        <v>6459453.6500000004</v>
      </c>
      <c r="AJ9" s="191">
        <v>6710158.71</v>
      </c>
      <c r="AK9" s="191">
        <v>0</v>
      </c>
      <c r="AL9" s="191"/>
      <c r="AM9" s="191"/>
      <c r="AN9" s="191"/>
      <c r="AO9" s="191"/>
      <c r="AP9" s="191"/>
      <c r="AQ9" s="191"/>
      <c r="AR9" s="191"/>
      <c r="AS9" s="191"/>
      <c r="AT9" s="191"/>
      <c r="AU9" s="191"/>
      <c r="AV9" s="191"/>
      <c r="AW9" s="191"/>
      <c r="AX9" s="191"/>
      <c r="AY9" s="191"/>
      <c r="AZ9" s="191"/>
      <c r="BA9" s="191"/>
      <c r="BB9" s="191"/>
      <c r="BC9" s="191"/>
      <c r="BD9" s="191"/>
      <c r="BE9" s="191"/>
      <c r="BF9" s="191"/>
      <c r="BG9" s="191"/>
      <c r="BH9" s="191"/>
      <c r="BI9" s="191"/>
      <c r="BJ9" s="191"/>
      <c r="BK9" s="191"/>
      <c r="BL9" s="191"/>
      <c r="BM9" s="191"/>
      <c r="BN9" s="191"/>
      <c r="BO9" s="191"/>
      <c r="BP9" s="191"/>
      <c r="BQ9" s="191"/>
      <c r="BR9" s="191"/>
      <c r="BS9" s="191"/>
      <c r="BT9" s="191"/>
      <c r="BU9" s="191"/>
      <c r="BV9" s="191"/>
      <c r="BW9" s="191"/>
      <c r="BX9" s="191"/>
      <c r="BY9" s="191"/>
      <c r="BZ9" s="40"/>
      <c r="CA9" s="40"/>
      <c r="CB9" s="40"/>
      <c r="CC9" s="40"/>
      <c r="CD9" s="40"/>
      <c r="CE9" s="40"/>
      <c r="CF9" s="40"/>
      <c r="CG9" s="40"/>
      <c r="CH9" s="40"/>
      <c r="CI9" s="40"/>
      <c r="CJ9" s="40"/>
      <c r="CK9" s="40"/>
    </row>
    <row r="10" spans="1:89" x14ac:dyDescent="0.25">
      <c r="A10" s="17" t="s">
        <v>391</v>
      </c>
      <c r="B10" s="191">
        <v>145536471.53999999</v>
      </c>
      <c r="C10" s="191">
        <v>181401307.44999999</v>
      </c>
      <c r="D10" s="191">
        <v>91954482.650000006</v>
      </c>
      <c r="E10" s="191">
        <v>322376512.32999998</v>
      </c>
      <c r="F10" s="191">
        <v>227571290.36000001</v>
      </c>
      <c r="G10" s="191">
        <v>149051947.09</v>
      </c>
      <c r="H10" s="191">
        <v>70210928.969999999</v>
      </c>
      <c r="I10" s="191">
        <v>248517248.97</v>
      </c>
      <c r="J10" s="191">
        <v>179481284.69999999</v>
      </c>
      <c r="K10" s="191">
        <v>114411910.42</v>
      </c>
      <c r="L10" s="191">
        <v>50658210.920000002</v>
      </c>
      <c r="M10" s="191">
        <v>251304890.34999999</v>
      </c>
      <c r="N10" s="191">
        <v>172162246.28</v>
      </c>
      <c r="O10" s="191">
        <v>121462995.86</v>
      </c>
      <c r="P10" s="191">
        <v>51106501.609999999</v>
      </c>
      <c r="Q10" s="191">
        <v>159983783.44</v>
      </c>
      <c r="R10" s="191">
        <v>111377146.03</v>
      </c>
      <c r="S10" s="191">
        <v>65725165.530000001</v>
      </c>
      <c r="T10" s="191">
        <v>31816342.18</v>
      </c>
      <c r="U10" s="191">
        <v>122575848.34999999</v>
      </c>
      <c r="V10" s="191">
        <v>86828470.189999998</v>
      </c>
      <c r="W10" s="191">
        <v>53964969.229999997</v>
      </c>
      <c r="X10" s="191">
        <v>25488351.719999999</v>
      </c>
      <c r="Y10" s="191">
        <v>116980991.06999999</v>
      </c>
      <c r="Z10" s="191">
        <v>78100978.640000001</v>
      </c>
      <c r="AA10" s="191">
        <v>49409278.43</v>
      </c>
      <c r="AB10" s="191">
        <v>23011740.16</v>
      </c>
      <c r="AC10" s="191">
        <v>102116537.31</v>
      </c>
      <c r="AD10" s="191">
        <v>82818317.629999995</v>
      </c>
      <c r="AE10" s="191">
        <v>57192219.799999997</v>
      </c>
      <c r="AF10" s="191">
        <v>26394348.949999999</v>
      </c>
      <c r="AG10" s="191">
        <v>80905786.969999999</v>
      </c>
      <c r="AH10" s="191">
        <v>58116124.539999999</v>
      </c>
      <c r="AI10" s="191">
        <v>49034496.270000003</v>
      </c>
      <c r="AJ10" s="191">
        <v>47734088.259999998</v>
      </c>
      <c r="AK10" s="191">
        <v>0</v>
      </c>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c r="BL10" s="191"/>
      <c r="BM10" s="191"/>
      <c r="BN10" s="191"/>
      <c r="BO10" s="191"/>
      <c r="BP10" s="191"/>
      <c r="BQ10" s="191"/>
      <c r="BR10" s="191"/>
      <c r="BS10" s="191"/>
      <c r="BT10" s="191"/>
      <c r="BU10" s="191"/>
      <c r="BV10" s="191"/>
      <c r="BW10" s="191"/>
      <c r="BX10" s="191"/>
      <c r="BY10" s="191"/>
      <c r="BZ10" s="40"/>
      <c r="CA10" s="40"/>
      <c r="CB10" s="40"/>
      <c r="CC10" s="40"/>
      <c r="CD10" s="40"/>
      <c r="CE10" s="40"/>
      <c r="CF10" s="40"/>
      <c r="CG10" s="40"/>
      <c r="CH10" s="40"/>
      <c r="CI10" s="40"/>
      <c r="CJ10" s="40"/>
      <c r="CK10" s="40"/>
    </row>
    <row r="11" spans="1:89" x14ac:dyDescent="0.25">
      <c r="A11" s="17" t="s">
        <v>392</v>
      </c>
      <c r="B11" s="191">
        <v>8686952.8499999996</v>
      </c>
      <c r="C11" s="191">
        <v>8486941.0299999993</v>
      </c>
      <c r="D11" s="191">
        <v>517458.93</v>
      </c>
      <c r="E11" s="191">
        <v>18676311.399999999</v>
      </c>
      <c r="F11" s="191">
        <v>4048475.53</v>
      </c>
      <c r="G11" s="191">
        <v>3804468.86</v>
      </c>
      <c r="H11" s="191">
        <v>-29469.7</v>
      </c>
      <c r="I11" s="191">
        <v>16123802.359999999</v>
      </c>
      <c r="J11" s="191">
        <v>2895422.65</v>
      </c>
      <c r="K11" s="191">
        <v>1581627.7</v>
      </c>
      <c r="L11" s="191">
        <v>-337282.13</v>
      </c>
      <c r="M11" s="191">
        <v>29378762.280000001</v>
      </c>
      <c r="N11" s="191">
        <v>-4028430.7</v>
      </c>
      <c r="O11" s="191">
        <v>-4028430.7</v>
      </c>
      <c r="P11" s="191">
        <v>0</v>
      </c>
      <c r="Q11" s="191">
        <v>15117518.52</v>
      </c>
      <c r="R11" s="191">
        <v>676735.04</v>
      </c>
      <c r="S11" s="191">
        <v>676735.04</v>
      </c>
      <c r="T11" s="191">
        <v>0</v>
      </c>
      <c r="U11" s="191">
        <v>5455016.3399999999</v>
      </c>
      <c r="V11" s="191">
        <v>878118.94</v>
      </c>
      <c r="W11" s="191">
        <v>878118.94</v>
      </c>
      <c r="X11" s="191">
        <v>0</v>
      </c>
      <c r="Y11" s="191">
        <v>14104415.439999999</v>
      </c>
      <c r="Z11" s="191">
        <v>2658839.17</v>
      </c>
      <c r="AA11" s="191">
        <v>4612662.8600000003</v>
      </c>
      <c r="AB11" s="191">
        <v>0</v>
      </c>
      <c r="AC11" s="191">
        <v>16632824.51</v>
      </c>
      <c r="AD11" s="191">
        <v>9905317.9499999993</v>
      </c>
      <c r="AE11" s="191">
        <v>9905317.9499999993</v>
      </c>
      <c r="AF11" s="191">
        <v>632790.14</v>
      </c>
      <c r="AG11" s="191">
        <v>10951177.859999999</v>
      </c>
      <c r="AH11" s="191">
        <v>8545607.7699999996</v>
      </c>
      <c r="AI11" s="191">
        <v>7466337.8700000001</v>
      </c>
      <c r="AJ11" s="191">
        <v>2619604.33</v>
      </c>
      <c r="AK11" s="191">
        <v>0</v>
      </c>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1">
        <v>2706759.17</v>
      </c>
      <c r="C13" s="191">
        <v>2392385.86</v>
      </c>
      <c r="D13" s="191">
        <v>819230.38</v>
      </c>
      <c r="E13" s="191">
        <v>4132920.46</v>
      </c>
      <c r="F13" s="191">
        <v>7197083.2400000002</v>
      </c>
      <c r="G13" s="191">
        <v>3270422.03</v>
      </c>
      <c r="H13" s="191">
        <v>907992.32</v>
      </c>
      <c r="I13" s="191">
        <v>10882263.08</v>
      </c>
      <c r="J13" s="191">
        <v>8499527.3699999992</v>
      </c>
      <c r="K13" s="191">
        <v>5445432.7999999998</v>
      </c>
      <c r="L13" s="191">
        <v>951099.03</v>
      </c>
      <c r="M13" s="191">
        <v>5967218.29</v>
      </c>
      <c r="N13" s="191">
        <v>3446853.7</v>
      </c>
      <c r="O13" s="191">
        <v>2166220.73</v>
      </c>
      <c r="P13" s="191">
        <v>1043398.09</v>
      </c>
      <c r="Q13" s="191">
        <v>14535979.99</v>
      </c>
      <c r="R13" s="191">
        <v>6270270.7699999996</v>
      </c>
      <c r="S13" s="191">
        <v>2107251.66</v>
      </c>
      <c r="T13" s="191">
        <v>1008542.13</v>
      </c>
      <c r="U13" s="191">
        <v>9922765.7899999991</v>
      </c>
      <c r="V13" s="191">
        <v>8009245.6500000004</v>
      </c>
      <c r="W13" s="191">
        <v>2068378.58</v>
      </c>
      <c r="X13" s="191">
        <v>780628.21</v>
      </c>
      <c r="Y13" s="191">
        <v>9537453.9399999995</v>
      </c>
      <c r="Z13" s="191">
        <v>6208491.6500000004</v>
      </c>
      <c r="AA13" s="191">
        <v>4951952.37</v>
      </c>
      <c r="AB13" s="191">
        <v>4191715.87</v>
      </c>
      <c r="AC13" s="191">
        <v>10576468.130000001</v>
      </c>
      <c r="AD13" s="191">
        <v>8574065.5999999996</v>
      </c>
      <c r="AE13" s="191">
        <v>5185333.8</v>
      </c>
      <c r="AF13" s="191">
        <v>319680.62</v>
      </c>
      <c r="AG13" s="191">
        <v>768060.65</v>
      </c>
      <c r="AH13" s="191">
        <v>474871.71</v>
      </c>
      <c r="AI13" s="191">
        <v>445565.69</v>
      </c>
      <c r="AJ13" s="191">
        <v>627227.28</v>
      </c>
      <c r="AK13" s="191">
        <v>0</v>
      </c>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c r="BX13" s="191"/>
      <c r="BY13" s="191"/>
      <c r="BZ13" s="40"/>
      <c r="CA13" s="40"/>
      <c r="CB13" s="40"/>
      <c r="CC13" s="40"/>
      <c r="CD13" s="40"/>
      <c r="CE13" s="40"/>
      <c r="CF13" s="40"/>
      <c r="CG13" s="40"/>
      <c r="CH13" s="40"/>
      <c r="CI13" s="40"/>
      <c r="CJ13" s="40"/>
      <c r="CK13" s="40"/>
    </row>
    <row r="14" spans="1:89" x14ac:dyDescent="0.25">
      <c r="A14" s="17" t="s">
        <v>395</v>
      </c>
      <c r="B14" s="191">
        <v>1053240.6399999999</v>
      </c>
      <c r="C14" s="191">
        <v>706097.36</v>
      </c>
      <c r="D14" s="191">
        <v>234495.82</v>
      </c>
      <c r="E14" s="191">
        <v>1488939.12</v>
      </c>
      <c r="F14" s="191">
        <v>1215204.83</v>
      </c>
      <c r="G14" s="191">
        <v>477646.97</v>
      </c>
      <c r="H14" s="191">
        <v>170917.41</v>
      </c>
      <c r="I14" s="191">
        <v>3371951.22</v>
      </c>
      <c r="J14" s="191">
        <v>1955593.33</v>
      </c>
      <c r="K14" s="191">
        <v>1072725.5900000001</v>
      </c>
      <c r="L14" s="191">
        <v>410638.17</v>
      </c>
      <c r="M14" s="191">
        <v>1775061.59</v>
      </c>
      <c r="N14" s="191">
        <v>777840.97</v>
      </c>
      <c r="O14" s="191">
        <v>411840.47</v>
      </c>
      <c r="P14" s="191">
        <v>277119.46999999997</v>
      </c>
      <c r="Q14" s="191">
        <v>2698975.3</v>
      </c>
      <c r="R14" s="191">
        <v>1162569.75</v>
      </c>
      <c r="S14" s="191">
        <v>524424.22</v>
      </c>
      <c r="T14" s="191">
        <v>372603.87</v>
      </c>
      <c r="U14" s="191">
        <v>923645.96</v>
      </c>
      <c r="V14" s="191">
        <v>328291.57</v>
      </c>
      <c r="W14" s="191">
        <v>267917.84000000003</v>
      </c>
      <c r="X14" s="191">
        <v>62001.53</v>
      </c>
      <c r="Y14" s="191">
        <v>319454.45</v>
      </c>
      <c r="Z14" s="191">
        <v>293894.90000000002</v>
      </c>
      <c r="AA14" s="191">
        <v>140250.95000000001</v>
      </c>
      <c r="AB14" s="191">
        <v>40974.43</v>
      </c>
      <c r="AC14" s="191">
        <v>592960.87</v>
      </c>
      <c r="AD14" s="191">
        <v>585080.53</v>
      </c>
      <c r="AE14" s="191">
        <v>486783.88</v>
      </c>
      <c r="AF14" s="191">
        <v>191011.66</v>
      </c>
      <c r="AG14" s="191">
        <v>483767.13</v>
      </c>
      <c r="AH14" s="191">
        <v>296715.90999999997</v>
      </c>
      <c r="AI14" s="191">
        <v>23732.639999999999</v>
      </c>
      <c r="AJ14" s="191">
        <v>351518.25</v>
      </c>
      <c r="AK14" s="191">
        <v>0</v>
      </c>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c r="BH14" s="191"/>
      <c r="BI14" s="191"/>
      <c r="BJ14" s="191"/>
      <c r="BK14" s="191"/>
      <c r="BL14" s="191"/>
      <c r="BM14" s="191"/>
      <c r="BN14" s="191"/>
      <c r="BO14" s="191"/>
      <c r="BP14" s="191"/>
      <c r="BQ14" s="191"/>
      <c r="BR14" s="191"/>
      <c r="BS14" s="191"/>
      <c r="BT14" s="191"/>
      <c r="BU14" s="191"/>
      <c r="BV14" s="191"/>
      <c r="BW14" s="191"/>
      <c r="BX14" s="191"/>
      <c r="BY14" s="191"/>
      <c r="BZ14" s="40"/>
      <c r="CA14" s="40"/>
      <c r="CB14" s="40"/>
      <c r="CC14" s="40"/>
      <c r="CD14" s="40"/>
      <c r="CE14" s="40"/>
      <c r="CF14" s="40"/>
      <c r="CG14" s="40"/>
      <c r="CH14" s="40"/>
      <c r="CI14" s="40"/>
      <c r="CJ14" s="40"/>
      <c r="CK14" s="40"/>
    </row>
    <row r="15" spans="1:89" s="2" customFormat="1" x14ac:dyDescent="0.25">
      <c r="A15" s="20" t="s">
        <v>398</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1">
        <v>1208211.08</v>
      </c>
      <c r="C20" s="191">
        <v>1208211.08</v>
      </c>
      <c r="D20" s="191">
        <v>0</v>
      </c>
      <c r="E20" s="191">
        <v>-734614.85</v>
      </c>
      <c r="F20" s="191">
        <v>-2437995.12</v>
      </c>
      <c r="G20" s="191">
        <v>-2437995.12</v>
      </c>
      <c r="H20" s="191">
        <v>0</v>
      </c>
      <c r="I20" s="191">
        <v>-2525890.17</v>
      </c>
      <c r="J20" s="191">
        <v>3168252.93</v>
      </c>
      <c r="K20" s="191">
        <v>3168252.93</v>
      </c>
      <c r="L20" s="191">
        <v>0</v>
      </c>
      <c r="M20" s="191">
        <v>10697542</v>
      </c>
      <c r="N20" s="191">
        <v>921630.25</v>
      </c>
      <c r="O20" s="191">
        <v>963291.36</v>
      </c>
      <c r="P20" s="191">
        <v>0</v>
      </c>
      <c r="Q20" s="191">
        <v>2084177.5</v>
      </c>
      <c r="R20" s="191">
        <v>917949.38</v>
      </c>
      <c r="S20" s="191">
        <v>917949.38</v>
      </c>
      <c r="T20" s="191">
        <v>0</v>
      </c>
      <c r="U20" s="191">
        <v>1109427.94</v>
      </c>
      <c r="V20" s="191">
        <v>685467.8</v>
      </c>
      <c r="W20" s="191">
        <v>685467.8</v>
      </c>
      <c r="X20" s="191">
        <v>0</v>
      </c>
      <c r="Y20" s="191">
        <v>1641093.94</v>
      </c>
      <c r="Z20" s="191">
        <v>0</v>
      </c>
      <c r="AA20" s="191">
        <v>97671.69</v>
      </c>
      <c r="AB20" s="191">
        <v>0</v>
      </c>
      <c r="AC20" s="191">
        <v>1854065.85</v>
      </c>
      <c r="AD20" s="191">
        <v>0</v>
      </c>
      <c r="AE20" s="191">
        <v>960699.51</v>
      </c>
      <c r="AF20" s="191">
        <v>0</v>
      </c>
      <c r="AG20" s="191">
        <v>1618437.56</v>
      </c>
      <c r="AH20" s="191">
        <v>0</v>
      </c>
      <c r="AI20" s="191">
        <v>529831.25</v>
      </c>
      <c r="AJ20" s="191">
        <v>2975960.3</v>
      </c>
      <c r="AK20" s="191">
        <v>0</v>
      </c>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c r="BH20" s="191"/>
      <c r="BI20" s="191"/>
      <c r="BJ20" s="191"/>
      <c r="BK20" s="191"/>
      <c r="BL20" s="191"/>
      <c r="BM20" s="191"/>
      <c r="BN20" s="191"/>
      <c r="BO20" s="191"/>
      <c r="BP20" s="191"/>
      <c r="BQ20" s="191"/>
      <c r="BR20" s="191"/>
      <c r="BS20" s="191"/>
      <c r="BT20" s="191"/>
      <c r="BU20" s="191"/>
      <c r="BV20" s="191"/>
      <c r="BW20" s="191"/>
      <c r="BX20" s="191"/>
      <c r="BY20" s="191"/>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1">
        <v>0</v>
      </c>
      <c r="C22" s="191">
        <v>0</v>
      </c>
      <c r="D22" s="191">
        <v>0</v>
      </c>
      <c r="E22" s="191">
        <v>0</v>
      </c>
      <c r="F22" s="191">
        <v>0</v>
      </c>
      <c r="G22" s="191">
        <v>0</v>
      </c>
      <c r="H22" s="191">
        <v>0</v>
      </c>
      <c r="I22" s="191">
        <v>0</v>
      </c>
      <c r="J22" s="191">
        <v>0</v>
      </c>
      <c r="K22" s="191">
        <v>0</v>
      </c>
      <c r="L22" s="191">
        <v>0</v>
      </c>
      <c r="M22" s="191">
        <v>0</v>
      </c>
      <c r="N22" s="191">
        <v>0</v>
      </c>
      <c r="O22" s="191">
        <v>0</v>
      </c>
      <c r="P22" s="191">
        <v>0</v>
      </c>
      <c r="Q22" s="191">
        <v>0</v>
      </c>
      <c r="R22" s="191">
        <v>0</v>
      </c>
      <c r="S22" s="191">
        <v>0</v>
      </c>
      <c r="T22" s="191">
        <v>0</v>
      </c>
      <c r="U22" s="191">
        <v>0</v>
      </c>
      <c r="V22" s="191">
        <v>0</v>
      </c>
      <c r="W22" s="191">
        <v>0</v>
      </c>
      <c r="X22" s="191">
        <v>0</v>
      </c>
      <c r="Y22" s="191">
        <v>0</v>
      </c>
      <c r="Z22" s="191">
        <v>0</v>
      </c>
      <c r="AA22" s="191">
        <v>0</v>
      </c>
      <c r="AB22" s="191">
        <v>0</v>
      </c>
      <c r="AC22" s="191">
        <v>0</v>
      </c>
      <c r="AD22" s="191">
        <v>0</v>
      </c>
      <c r="AE22" s="191">
        <v>0</v>
      </c>
      <c r="AF22" s="191">
        <v>0</v>
      </c>
      <c r="AG22" s="191">
        <v>0</v>
      </c>
      <c r="AH22" s="191">
        <v>0</v>
      </c>
      <c r="AI22" s="191">
        <v>0</v>
      </c>
      <c r="AJ22" s="191">
        <v>0</v>
      </c>
      <c r="AK22" s="191">
        <v>0</v>
      </c>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c r="BO22" s="191"/>
      <c r="BP22" s="191"/>
      <c r="BQ22" s="191"/>
      <c r="BR22" s="191"/>
      <c r="BS22" s="191"/>
      <c r="BT22" s="191"/>
      <c r="BU22" s="191"/>
      <c r="BV22" s="191"/>
      <c r="BW22" s="191"/>
      <c r="BX22" s="191"/>
      <c r="BY22" s="191"/>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1">
        <v>43001089.899999999</v>
      </c>
      <c r="C26" s="191">
        <v>5861746.1399999997</v>
      </c>
      <c r="D26" s="191">
        <v>-43947423.009999998</v>
      </c>
      <c r="E26" s="191">
        <v>-48074334.600000001</v>
      </c>
      <c r="F26" s="191">
        <v>-39574514.890000001</v>
      </c>
      <c r="G26" s="191">
        <v>-19125239.600000001</v>
      </c>
      <c r="H26" s="191">
        <v>-6979242.8300000001</v>
      </c>
      <c r="I26" s="191">
        <v>33807458.079999998</v>
      </c>
      <c r="J26" s="191">
        <v>14133959.609999999</v>
      </c>
      <c r="K26" s="191">
        <v>13835549.17</v>
      </c>
      <c r="L26" s="191">
        <v>-2968605.04</v>
      </c>
      <c r="M26" s="191">
        <v>0</v>
      </c>
      <c r="N26" s="191">
        <v>0</v>
      </c>
      <c r="O26" s="191">
        <v>0</v>
      </c>
      <c r="P26" s="191">
        <v>0</v>
      </c>
      <c r="Q26" s="191">
        <v>0</v>
      </c>
      <c r="R26" s="191">
        <v>0</v>
      </c>
      <c r="S26" s="191">
        <v>0</v>
      </c>
      <c r="T26" s="191">
        <v>0</v>
      </c>
      <c r="U26" s="191">
        <v>0</v>
      </c>
      <c r="V26" s="191">
        <v>0</v>
      </c>
      <c r="W26" s="191">
        <v>0</v>
      </c>
      <c r="X26" s="191">
        <v>0</v>
      </c>
      <c r="Y26" s="191">
        <v>0</v>
      </c>
      <c r="Z26" s="191">
        <v>0</v>
      </c>
      <c r="AA26" s="191">
        <v>0</v>
      </c>
      <c r="AB26" s="191">
        <v>0</v>
      </c>
      <c r="AC26" s="191">
        <v>0</v>
      </c>
      <c r="AD26" s="191">
        <v>0</v>
      </c>
      <c r="AE26" s="191">
        <v>0</v>
      </c>
      <c r="AF26" s="191">
        <v>0</v>
      </c>
      <c r="AG26" s="191">
        <v>0</v>
      </c>
      <c r="AH26" s="191">
        <v>0</v>
      </c>
      <c r="AI26" s="191">
        <v>0</v>
      </c>
      <c r="AJ26" s="191">
        <v>45000</v>
      </c>
      <c r="AK26" s="191">
        <v>0</v>
      </c>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40"/>
      <c r="CA26" s="40"/>
      <c r="CB26" s="40"/>
      <c r="CC26" s="40"/>
      <c r="CD26" s="40"/>
      <c r="CE26" s="40"/>
      <c r="CF26" s="40"/>
      <c r="CG26" s="40"/>
      <c r="CH26" s="40"/>
      <c r="CI26" s="40"/>
      <c r="CJ26" s="40"/>
      <c r="CK26" s="40"/>
    </row>
    <row r="27" spans="1:89" x14ac:dyDescent="0.25">
      <c r="A27" s="17" t="s">
        <v>406</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1">
        <v>20180930</v>
      </c>
      <c r="C51" s="191">
        <v>20180630</v>
      </c>
      <c r="D51" s="191">
        <v>20180331</v>
      </c>
      <c r="E51" s="191">
        <v>20171231</v>
      </c>
      <c r="F51" s="191">
        <v>20170930</v>
      </c>
      <c r="G51" s="191">
        <v>20170630</v>
      </c>
      <c r="H51" s="191">
        <v>20170331</v>
      </c>
      <c r="I51" s="191">
        <v>20161231</v>
      </c>
      <c r="J51" s="191">
        <v>20160930</v>
      </c>
      <c r="K51" s="191">
        <v>20160630</v>
      </c>
      <c r="L51" s="191">
        <v>20160331</v>
      </c>
      <c r="M51" s="191">
        <v>20151231</v>
      </c>
      <c r="N51" s="191">
        <v>20150930</v>
      </c>
      <c r="O51" s="191">
        <v>20150630</v>
      </c>
      <c r="P51" s="191">
        <v>20150331</v>
      </c>
      <c r="Q51" s="191">
        <v>20141231</v>
      </c>
      <c r="R51" s="191">
        <v>20140930</v>
      </c>
      <c r="S51" s="191">
        <v>20140630</v>
      </c>
      <c r="T51" s="191">
        <v>20140331</v>
      </c>
      <c r="U51" s="191">
        <v>20131231</v>
      </c>
      <c r="V51" s="191">
        <v>20130930</v>
      </c>
      <c r="W51" s="191">
        <v>20130630</v>
      </c>
      <c r="X51" s="191">
        <v>20130331</v>
      </c>
      <c r="Y51" s="191">
        <v>20121231</v>
      </c>
      <c r="Z51" s="191">
        <v>20120930</v>
      </c>
      <c r="AA51" s="191">
        <v>20120630</v>
      </c>
      <c r="AB51" s="191">
        <v>20120331</v>
      </c>
      <c r="AC51" s="191">
        <v>20111231</v>
      </c>
      <c r="AD51" s="191">
        <v>20110930</v>
      </c>
      <c r="AE51" s="191">
        <v>20110630</v>
      </c>
      <c r="AF51" s="191">
        <v>20110331</v>
      </c>
      <c r="AG51" s="191">
        <v>20101231</v>
      </c>
      <c r="AH51" s="191">
        <v>20100930</v>
      </c>
      <c r="AI51" s="191">
        <v>20091231</v>
      </c>
      <c r="AJ51" s="191">
        <v>20081231</v>
      </c>
      <c r="AK51" s="191">
        <v>19700101</v>
      </c>
      <c r="AL51" s="191">
        <v>20090930</v>
      </c>
      <c r="AM51" s="191">
        <v>20090630</v>
      </c>
      <c r="AN51" s="191">
        <v>20090331</v>
      </c>
      <c r="AO51" s="191">
        <v>20081231</v>
      </c>
      <c r="AP51" s="191">
        <v>20080930</v>
      </c>
      <c r="AQ51" s="191">
        <v>20080630</v>
      </c>
      <c r="AR51" s="191">
        <v>20080331</v>
      </c>
      <c r="AS51" s="191">
        <v>20071231</v>
      </c>
      <c r="AT51" s="191">
        <v>20070930</v>
      </c>
      <c r="AU51" s="191">
        <v>20070630</v>
      </c>
      <c r="AV51" s="191">
        <v>20070331</v>
      </c>
      <c r="AW51" s="191">
        <v>20061231</v>
      </c>
      <c r="AX51" s="191">
        <v>20060930</v>
      </c>
      <c r="AY51" s="191">
        <v>20060630</v>
      </c>
      <c r="AZ51" s="191">
        <v>20060331</v>
      </c>
      <c r="BA51" s="191">
        <v>20051231</v>
      </c>
      <c r="BB51" s="191">
        <v>20050930</v>
      </c>
      <c r="BC51" s="191">
        <v>20050630</v>
      </c>
      <c r="BD51" s="191">
        <v>20050331</v>
      </c>
      <c r="BE51" s="191">
        <v>20041231</v>
      </c>
      <c r="BF51" s="191">
        <v>20040930</v>
      </c>
      <c r="BG51" s="191">
        <v>20040630</v>
      </c>
      <c r="BH51" s="191">
        <v>20040331</v>
      </c>
      <c r="BI51" s="191">
        <v>20031231</v>
      </c>
      <c r="BJ51" s="191">
        <v>20030930</v>
      </c>
      <c r="BK51" s="191">
        <v>20030630</v>
      </c>
      <c r="BL51" s="191">
        <v>20030331</v>
      </c>
      <c r="BM51" s="191">
        <v>20021231</v>
      </c>
      <c r="BN51" s="191">
        <v>20020930</v>
      </c>
      <c r="BO51" s="191">
        <v>20020630</v>
      </c>
      <c r="BP51" s="191">
        <v>20020331</v>
      </c>
      <c r="BQ51" s="191">
        <v>20011231</v>
      </c>
      <c r="BR51" s="191">
        <v>20010930</v>
      </c>
      <c r="BS51" s="191">
        <v>20010630</v>
      </c>
      <c r="BT51" s="191">
        <v>20001231</v>
      </c>
      <c r="BU51" s="191">
        <v>20000630</v>
      </c>
      <c r="BV51" s="191">
        <v>19991231</v>
      </c>
      <c r="BW51" s="191">
        <v>19981231</v>
      </c>
      <c r="BX51" s="191">
        <v>19971231</v>
      </c>
      <c r="BY51" s="191">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572</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42">
        <v>3026262.43</v>
      </c>
      <c r="F55" s="42"/>
      <c r="G55" s="42"/>
      <c r="H55" s="42"/>
      <c r="I55" s="42">
        <v>2421047.4300000002</v>
      </c>
      <c r="J55" s="42"/>
      <c r="K55" s="42"/>
      <c r="M55" s="265">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1">
        <v>308789388.57999998</v>
      </c>
      <c r="C59" s="191">
        <v>192757971.22999999</v>
      </c>
      <c r="D59" s="191">
        <v>63331484.460000001</v>
      </c>
      <c r="E59" s="191">
        <v>385321174.64999998</v>
      </c>
      <c r="F59" s="191">
        <v>302173799.89999998</v>
      </c>
      <c r="G59" s="191">
        <v>213688818.66</v>
      </c>
      <c r="H59" s="191">
        <v>99490184.150000006</v>
      </c>
      <c r="I59" s="191">
        <v>318696047.07999998</v>
      </c>
      <c r="J59" s="191">
        <v>250582651.24000001</v>
      </c>
      <c r="K59" s="191">
        <v>185281094.47</v>
      </c>
      <c r="L59" s="191">
        <v>89663538.930000007</v>
      </c>
      <c r="M59" s="191">
        <v>257920619.5</v>
      </c>
      <c r="N59" s="191">
        <v>145948182.49000001</v>
      </c>
      <c r="O59" s="191">
        <v>70088189.920000002</v>
      </c>
      <c r="P59" s="191">
        <v>23681393.739999998</v>
      </c>
      <c r="Q59" s="191">
        <v>96858879.390000001</v>
      </c>
      <c r="R59" s="191">
        <v>63144760.390000001</v>
      </c>
      <c r="S59" s="191">
        <v>36513669.350000001</v>
      </c>
      <c r="T59" s="191">
        <v>16576525.630000001</v>
      </c>
      <c r="U59" s="191">
        <v>123537328.15000001</v>
      </c>
      <c r="V59" s="191">
        <v>89940853.150000006</v>
      </c>
      <c r="W59" s="191">
        <v>62583672.939999998</v>
      </c>
      <c r="X59" s="191">
        <v>30644006.390000001</v>
      </c>
      <c r="Y59" s="191">
        <v>109249088.89</v>
      </c>
      <c r="Z59" s="191">
        <v>81738311.959999993</v>
      </c>
      <c r="AA59" s="191">
        <v>69439554.349999994</v>
      </c>
      <c r="AB59" s="191">
        <v>27851357.510000002</v>
      </c>
      <c r="AC59" s="191">
        <v>120241105.22</v>
      </c>
      <c r="AD59" s="191">
        <v>102051346.41</v>
      </c>
      <c r="AE59" s="191">
        <v>77141986.969999999</v>
      </c>
      <c r="AF59" s="191">
        <v>29629487.050000001</v>
      </c>
      <c r="AG59" s="191">
        <v>99802365.340000004</v>
      </c>
      <c r="AH59" s="191">
        <v>74696193.409999996</v>
      </c>
      <c r="AI59" s="191">
        <v>63399330.539999999</v>
      </c>
      <c r="AJ59" s="191">
        <v>93624269.390000001</v>
      </c>
      <c r="AK59" s="191">
        <v>0</v>
      </c>
      <c r="AL59" s="191">
        <v>1031806446.51</v>
      </c>
      <c r="AM59" s="191">
        <v>590092429.62</v>
      </c>
      <c r="AN59" s="191">
        <v>219925513.31</v>
      </c>
      <c r="AO59" s="191">
        <v>1758096018.1600001</v>
      </c>
      <c r="AP59" s="191">
        <v>1396884229.3</v>
      </c>
      <c r="AQ59" s="191">
        <v>1010477055.51</v>
      </c>
      <c r="AR59" s="191">
        <v>431409122.93000001</v>
      </c>
      <c r="AS59" s="191">
        <v>1696860443.71</v>
      </c>
      <c r="AT59" s="191">
        <v>1244026736.04</v>
      </c>
      <c r="AU59" s="191">
        <v>702166245.65999997</v>
      </c>
      <c r="AV59" s="191">
        <v>366875592.93000001</v>
      </c>
      <c r="AW59" s="191">
        <v>913756821.69000006</v>
      </c>
      <c r="AX59" s="191">
        <v>637425641</v>
      </c>
      <c r="AY59" s="191">
        <v>333291762.04000002</v>
      </c>
      <c r="AZ59" s="191">
        <v>184970015.83000001</v>
      </c>
      <c r="BA59" s="191">
        <v>617997087.88999999</v>
      </c>
      <c r="BB59" s="191">
        <v>480597506.83999997</v>
      </c>
      <c r="BC59" s="191">
        <v>328542545.79000002</v>
      </c>
      <c r="BD59" s="191">
        <v>156678858.50999999</v>
      </c>
      <c r="BE59" s="191">
        <v>403590992.27999997</v>
      </c>
      <c r="BF59" s="191">
        <v>314895840.51999998</v>
      </c>
      <c r="BG59" s="191">
        <v>215278618.24000001</v>
      </c>
      <c r="BH59" s="191">
        <v>97278294.010000005</v>
      </c>
      <c r="BI59" s="191">
        <v>232270313.91999999</v>
      </c>
      <c r="BJ59" s="191">
        <v>186639359.16999999</v>
      </c>
      <c r="BK59" s="191">
        <v>138283193.81</v>
      </c>
      <c r="BL59" s="191">
        <v>57987815.340000004</v>
      </c>
      <c r="BM59" s="191">
        <v>154326437.19</v>
      </c>
      <c r="BN59" s="191">
        <v>124365125.93000001</v>
      </c>
      <c r="BO59" s="191">
        <v>93039860.540000007</v>
      </c>
      <c r="BP59" s="191">
        <v>35693465.600000001</v>
      </c>
      <c r="BQ59" s="191">
        <v>100728393.18000001</v>
      </c>
      <c r="BR59" s="191">
        <v>86635900</v>
      </c>
      <c r="BS59" s="191">
        <v>62771447.700000003</v>
      </c>
      <c r="BT59" s="191">
        <v>49803512.359999999</v>
      </c>
      <c r="BU59" s="191">
        <v>26896127.27</v>
      </c>
      <c r="BV59" s="191">
        <v>26280076.579999998</v>
      </c>
      <c r="BW59" s="191">
        <v>20703040.579999998</v>
      </c>
      <c r="BX59" s="191">
        <v>13752984.77</v>
      </c>
      <c r="BY59" s="191">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1">
        <v>47822442.520000003</v>
      </c>
      <c r="C60" s="191">
        <v>25852572.77</v>
      </c>
      <c r="D60" s="191">
        <v>13340096.42</v>
      </c>
      <c r="E60" s="191">
        <v>58461449.439999998</v>
      </c>
      <c r="F60" s="191">
        <v>49960616.659999996</v>
      </c>
      <c r="G60" s="191">
        <v>38671111.640000001</v>
      </c>
      <c r="H60" s="191">
        <v>19283882.32</v>
      </c>
      <c r="I60" s="191">
        <v>49548211.950000003</v>
      </c>
      <c r="J60" s="191">
        <v>44767093.07</v>
      </c>
      <c r="K60" s="191">
        <v>31350059.300000001</v>
      </c>
      <c r="L60" s="191">
        <v>16365612.5</v>
      </c>
      <c r="M60" s="191">
        <v>39930961.119999997</v>
      </c>
      <c r="N60" s="191">
        <v>25553398.93</v>
      </c>
      <c r="O60" s="191">
        <v>11106068.199999999</v>
      </c>
      <c r="P60" s="191">
        <v>4593427.93</v>
      </c>
      <c r="Q60" s="191">
        <v>14829152.789999999</v>
      </c>
      <c r="R60" s="191">
        <v>10946479.800000001</v>
      </c>
      <c r="S60" s="191">
        <v>5747909.9000000004</v>
      </c>
      <c r="T60" s="191">
        <v>3424188.29</v>
      </c>
      <c r="U60" s="191">
        <v>21556230.449999999</v>
      </c>
      <c r="V60" s="191">
        <v>15817797.880000001</v>
      </c>
      <c r="W60" s="191">
        <v>10462077.630000001</v>
      </c>
      <c r="X60" s="191">
        <v>5669772.0599999996</v>
      </c>
      <c r="Y60" s="191">
        <v>17578632.559999999</v>
      </c>
      <c r="Z60" s="191">
        <v>13803070.57</v>
      </c>
      <c r="AA60" s="191">
        <v>11597955.220000001</v>
      </c>
      <c r="AB60" s="191">
        <v>4935014.95</v>
      </c>
      <c r="AC60" s="191">
        <v>20155089.870000001</v>
      </c>
      <c r="AD60" s="191">
        <v>16940534.489999998</v>
      </c>
      <c r="AE60" s="191">
        <v>11850246.35</v>
      </c>
      <c r="AF60" s="191">
        <v>5659989.3600000003</v>
      </c>
      <c r="AG60" s="191">
        <v>14129841.76</v>
      </c>
      <c r="AH60" s="191">
        <v>11796294.48</v>
      </c>
      <c r="AI60" s="191">
        <v>11354428.32</v>
      </c>
      <c r="AJ60" s="191">
        <v>12598035.869999999</v>
      </c>
      <c r="AK60" s="191">
        <v>0</v>
      </c>
      <c r="AL60" s="191">
        <v>143075951.34</v>
      </c>
      <c r="AM60" s="191">
        <v>70883531</v>
      </c>
      <c r="AN60" s="191">
        <v>21707020.260000002</v>
      </c>
      <c r="AO60" s="191">
        <v>267561854.19</v>
      </c>
      <c r="AP60" s="191">
        <v>397216912.63</v>
      </c>
      <c r="AQ60" s="191">
        <v>303392968.00999999</v>
      </c>
      <c r="AR60" s="191">
        <v>145973203.19999999</v>
      </c>
      <c r="AS60" s="191">
        <v>785351995.83000004</v>
      </c>
      <c r="AT60" s="191">
        <v>535364449.35000002</v>
      </c>
      <c r="AU60" s="191">
        <v>330796133.05000001</v>
      </c>
      <c r="AV60" s="191">
        <v>159222138.30000001</v>
      </c>
      <c r="AW60" s="191">
        <v>395504745.88</v>
      </c>
      <c r="AX60" s="191">
        <v>312966519.83999997</v>
      </c>
      <c r="AY60" s="191">
        <v>187204924.31999999</v>
      </c>
      <c r="AZ60" s="191">
        <v>92739488.439999998</v>
      </c>
      <c r="BA60" s="191">
        <v>247242583.87</v>
      </c>
      <c r="BB60" s="191">
        <v>239681163.93000001</v>
      </c>
      <c r="BC60" s="191">
        <v>163933960.13</v>
      </c>
      <c r="BD60" s="191">
        <v>77062708.590000004</v>
      </c>
      <c r="BE60" s="191">
        <v>110145253.75</v>
      </c>
      <c r="BF60" s="191">
        <v>155666014.77000001</v>
      </c>
      <c r="BG60" s="191">
        <v>106392934.72</v>
      </c>
      <c r="BH60" s="191">
        <v>47916955.189999998</v>
      </c>
      <c r="BI60" s="191">
        <v>69827184.349999994</v>
      </c>
      <c r="BJ60" s="191">
        <v>83415879.280000001</v>
      </c>
      <c r="BK60" s="191">
        <v>64376652.189999998</v>
      </c>
      <c r="BL60" s="191">
        <v>28561162.780000001</v>
      </c>
      <c r="BM60" s="191">
        <v>35623007.479999997</v>
      </c>
      <c r="BN60" s="191">
        <v>34483818.920000002</v>
      </c>
      <c r="BO60" s="191">
        <v>19054956.859999999</v>
      </c>
      <c r="BP60" s="191">
        <v>17580363.66</v>
      </c>
      <c r="BQ60" s="191">
        <v>13663007.48</v>
      </c>
      <c r="BR60" s="191">
        <v>24172100</v>
      </c>
      <c r="BS60" s="191">
        <v>12417971.18</v>
      </c>
      <c r="BT60" s="191">
        <v>10452608.25</v>
      </c>
      <c r="BU60" s="191">
        <v>13247346.26</v>
      </c>
      <c r="BV60" s="191">
        <v>10452608.25</v>
      </c>
      <c r="BW60" s="191">
        <v>3721593.27</v>
      </c>
      <c r="BX60" s="191">
        <v>3801115.32</v>
      </c>
      <c r="BY60" s="191">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1">
        <v>356611831.10000002</v>
      </c>
      <c r="C61" s="191">
        <v>218610544</v>
      </c>
      <c r="D61" s="191">
        <v>76671580.879999995</v>
      </c>
      <c r="E61" s="191">
        <v>443782624.08999997</v>
      </c>
      <c r="F61" s="191">
        <v>352134416.56</v>
      </c>
      <c r="G61" s="191">
        <v>252359930.30000001</v>
      </c>
      <c r="H61" s="191">
        <v>118774066.47</v>
      </c>
      <c r="I61" s="191">
        <v>368244259.02999997</v>
      </c>
      <c r="J61" s="191">
        <v>295349744.31</v>
      </c>
      <c r="K61" s="191">
        <v>216631153.77000001</v>
      </c>
      <c r="L61" s="191">
        <v>106029151.43000001</v>
      </c>
      <c r="M61" s="191">
        <v>297851580.62</v>
      </c>
      <c r="N61" s="191">
        <v>171501581.41999999</v>
      </c>
      <c r="O61" s="191">
        <v>81194258.120000005</v>
      </c>
      <c r="P61" s="191">
        <v>28274821.670000002</v>
      </c>
      <c r="Q61" s="191">
        <v>111688032.18000001</v>
      </c>
      <c r="R61" s="191">
        <v>74091240.189999998</v>
      </c>
      <c r="S61" s="191">
        <v>42261579.25</v>
      </c>
      <c r="T61" s="191">
        <v>20000713.920000002</v>
      </c>
      <c r="U61" s="191">
        <v>145093558.59999999</v>
      </c>
      <c r="V61" s="191">
        <v>105758651.03</v>
      </c>
      <c r="W61" s="191">
        <v>73045750.569999993</v>
      </c>
      <c r="X61" s="191">
        <v>36313778.450000003</v>
      </c>
      <c r="Y61" s="191">
        <v>126827721.45</v>
      </c>
      <c r="Z61" s="191">
        <v>95541382.530000001</v>
      </c>
      <c r="AA61" s="191">
        <v>81037509.569999993</v>
      </c>
      <c r="AB61" s="191">
        <v>32786372.460000001</v>
      </c>
      <c r="AC61" s="191">
        <v>140396195.09</v>
      </c>
      <c r="AD61" s="191">
        <v>118991880.90000001</v>
      </c>
      <c r="AE61" s="191">
        <v>88992233.319999993</v>
      </c>
      <c r="AF61" s="191">
        <v>35289476.409999996</v>
      </c>
      <c r="AG61" s="191">
        <v>113932207.09999999</v>
      </c>
      <c r="AH61" s="191">
        <v>86492487.890000001</v>
      </c>
      <c r="AI61" s="191">
        <v>74753758.859999999</v>
      </c>
      <c r="AJ61" s="191">
        <v>106222305.26000001</v>
      </c>
      <c r="AK61" s="191">
        <v>0</v>
      </c>
      <c r="AL61" s="191">
        <v>1174882397.8499999</v>
      </c>
      <c r="AM61" s="191">
        <v>660975960.62</v>
      </c>
      <c r="AN61" s="191">
        <v>241632533.56999999</v>
      </c>
      <c r="AO61" s="191">
        <v>2025657872.3499999</v>
      </c>
      <c r="AP61" s="191">
        <v>1794101141.9300001</v>
      </c>
      <c r="AQ61" s="191">
        <v>1313870023.52</v>
      </c>
      <c r="AR61" s="191">
        <v>577382326.13</v>
      </c>
      <c r="AS61" s="191">
        <v>2482212439.54</v>
      </c>
      <c r="AT61" s="191">
        <v>1779391185.3900001</v>
      </c>
      <c r="AU61" s="191">
        <v>1032962378.71</v>
      </c>
      <c r="AV61" s="191">
        <v>526097731.23000002</v>
      </c>
      <c r="AW61" s="191">
        <v>1309261567.5699999</v>
      </c>
      <c r="AX61" s="191">
        <v>950392160.84000003</v>
      </c>
      <c r="AY61" s="191">
        <v>520496686.36000001</v>
      </c>
      <c r="AZ61" s="191">
        <v>277709504.26999998</v>
      </c>
      <c r="BA61" s="191">
        <v>865239671.75999999</v>
      </c>
      <c r="BB61" s="191">
        <v>720278670.76999998</v>
      </c>
      <c r="BC61" s="191">
        <v>492476505.92000002</v>
      </c>
      <c r="BD61" s="191">
        <v>233741567.09999999</v>
      </c>
      <c r="BE61" s="191">
        <v>513736246.02999997</v>
      </c>
      <c r="BF61" s="191">
        <v>470561855.29000002</v>
      </c>
      <c r="BG61" s="191">
        <v>321671552.95999998</v>
      </c>
      <c r="BH61" s="191">
        <v>145195249.19999999</v>
      </c>
      <c r="BI61" s="191">
        <v>302097498.26999998</v>
      </c>
      <c r="BJ61" s="191">
        <v>270055238.44999999</v>
      </c>
      <c r="BK61" s="191">
        <v>202659846</v>
      </c>
      <c r="BL61" s="191">
        <v>86548978.120000005</v>
      </c>
      <c r="BM61" s="191">
        <v>189949444.66999999</v>
      </c>
      <c r="BN61" s="191">
        <v>158848944.84999999</v>
      </c>
      <c r="BO61" s="191">
        <v>112094817.40000001</v>
      </c>
      <c r="BP61" s="191">
        <v>53273829.259999998</v>
      </c>
      <c r="BQ61" s="191">
        <v>114391400.66</v>
      </c>
      <c r="BR61" s="191">
        <v>110808000</v>
      </c>
      <c r="BS61" s="191">
        <v>75189418.879999995</v>
      </c>
      <c r="BT61" s="191">
        <v>60256120.609999999</v>
      </c>
      <c r="BU61" s="191">
        <v>40143473.530000001</v>
      </c>
      <c r="BV61" s="191">
        <v>36732684.829999998</v>
      </c>
      <c r="BW61" s="191">
        <v>24424633.850000001</v>
      </c>
      <c r="BX61" s="191">
        <v>17554100.09</v>
      </c>
      <c r="BY61" s="191">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1">
        <v>6630461.0800000001</v>
      </c>
      <c r="C65" s="191">
        <v>3985461.08</v>
      </c>
      <c r="D65" s="191">
        <v>2777250</v>
      </c>
      <c r="E65" s="191">
        <v>11424551.82</v>
      </c>
      <c r="F65" s="191">
        <v>5958671.5499999998</v>
      </c>
      <c r="G65" s="191">
        <v>2948671.55</v>
      </c>
      <c r="H65" s="191">
        <v>2796666.67</v>
      </c>
      <c r="I65" s="191">
        <v>16636609.83</v>
      </c>
      <c r="J65" s="191">
        <v>19035752.93</v>
      </c>
      <c r="K65" s="191">
        <v>15160752.93</v>
      </c>
      <c r="L65" s="191">
        <v>9125000</v>
      </c>
      <c r="M65" s="191">
        <v>17046857.07</v>
      </c>
      <c r="N65" s="191">
        <v>921630.25</v>
      </c>
      <c r="O65" s="191">
        <v>963291.36</v>
      </c>
      <c r="P65" s="191">
        <v>0</v>
      </c>
      <c r="Q65" s="191">
        <v>2084177.5</v>
      </c>
      <c r="R65" s="191">
        <v>917949.38</v>
      </c>
      <c r="S65" s="191">
        <v>917949.38</v>
      </c>
      <c r="T65" s="191">
        <v>0</v>
      </c>
      <c r="U65" s="191">
        <v>1109427.94</v>
      </c>
      <c r="V65" s="191">
        <v>685467.8</v>
      </c>
      <c r="W65" s="191">
        <v>685467.8</v>
      </c>
      <c r="X65" s="191">
        <v>0</v>
      </c>
      <c r="Y65" s="191">
        <v>1641093.94</v>
      </c>
      <c r="Z65" s="191">
        <v>97671.69</v>
      </c>
      <c r="AA65" s="191">
        <v>97671.69</v>
      </c>
      <c r="AB65" s="191">
        <v>0</v>
      </c>
      <c r="AC65" s="191">
        <v>1854065.85</v>
      </c>
      <c r="AD65" s="191">
        <v>960699.51</v>
      </c>
      <c r="AE65" s="191">
        <v>960699.51</v>
      </c>
      <c r="AF65" s="191">
        <v>0</v>
      </c>
      <c r="AG65" s="191">
        <v>1618437.56</v>
      </c>
      <c r="AH65" s="191">
        <v>461717.08</v>
      </c>
      <c r="AI65" s="191">
        <v>529831.25</v>
      </c>
      <c r="AJ65" s="191">
        <v>2975960.3</v>
      </c>
      <c r="AK65" s="191">
        <v>0</v>
      </c>
      <c r="AL65" s="191">
        <v>12675249.279999999</v>
      </c>
      <c r="AM65" s="191">
        <v>9560969.9100000001</v>
      </c>
      <c r="AN65" s="191">
        <v>3441883.41</v>
      </c>
      <c r="AO65" s="191">
        <v>4914187.7699999996</v>
      </c>
      <c r="AP65" s="191">
        <v>-930380.59</v>
      </c>
      <c r="AQ65" s="191">
        <v>-7876342.5499999998</v>
      </c>
      <c r="AR65" s="191">
        <v>6521906.0300000003</v>
      </c>
      <c r="AS65" s="191">
        <v>148255267.41999999</v>
      </c>
      <c r="AT65" s="191">
        <v>62055871.75</v>
      </c>
      <c r="AU65" s="191">
        <v>7904137.3200000003</v>
      </c>
      <c r="AV65" s="191">
        <v>2766492.93</v>
      </c>
      <c r="AW65" s="191">
        <v>14318717.74</v>
      </c>
      <c r="AX65" s="191">
        <v>14019438.57</v>
      </c>
      <c r="AY65" s="191">
        <v>14009438.57</v>
      </c>
      <c r="AZ65" s="191">
        <v>6036022.2699999996</v>
      </c>
      <c r="BA65" s="191">
        <v>3228353.47</v>
      </c>
      <c r="BB65" s="191">
        <v>1968092.42</v>
      </c>
      <c r="BC65" s="191">
        <v>-892725.16</v>
      </c>
      <c r="BD65" s="191">
        <v>-162719.66</v>
      </c>
      <c r="BE65" s="191">
        <v>2890900.94</v>
      </c>
      <c r="BF65" s="191">
        <v>-255923.71</v>
      </c>
      <c r="BG65" s="191">
        <v>-250667.51</v>
      </c>
      <c r="BH65" s="191">
        <v>48919.87</v>
      </c>
      <c r="BI65" s="191">
        <v>946914.2</v>
      </c>
      <c r="BJ65" s="191">
        <v>98113.99</v>
      </c>
      <c r="BK65" s="191">
        <v>604187.18999999994</v>
      </c>
      <c r="BL65" s="191">
        <v>573275.71</v>
      </c>
      <c r="BM65" s="191">
        <v>-296138.87</v>
      </c>
      <c r="BN65" s="191">
        <v>225245.9</v>
      </c>
      <c r="BO65" s="191">
        <v>327855.90000000002</v>
      </c>
      <c r="BP65" s="191">
        <v>242481.5</v>
      </c>
      <c r="BQ65" s="191">
        <v>323331.55</v>
      </c>
      <c r="BR65" s="191">
        <v>1314800</v>
      </c>
      <c r="BS65" s="191">
        <v>500000</v>
      </c>
      <c r="BT65" s="191">
        <v>0</v>
      </c>
      <c r="BU65" s="191">
        <v>0</v>
      </c>
      <c r="BV65" s="191">
        <v>0</v>
      </c>
      <c r="BW65" s="191">
        <v>0</v>
      </c>
      <c r="BX65" s="191">
        <v>0</v>
      </c>
      <c r="BY65" s="191">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1">
        <v>1208211.08</v>
      </c>
      <c r="C66" s="191">
        <v>1208211.08</v>
      </c>
      <c r="D66" s="191">
        <v>0</v>
      </c>
      <c r="E66" s="191">
        <v>-734614.85</v>
      </c>
      <c r="F66" s="191">
        <v>-2437995.12</v>
      </c>
      <c r="G66" s="191">
        <v>-2437995.12</v>
      </c>
      <c r="H66" s="191">
        <v>0</v>
      </c>
      <c r="I66" s="191">
        <v>-2525890.17</v>
      </c>
      <c r="J66" s="191">
        <v>3168252.93</v>
      </c>
      <c r="K66" s="191">
        <v>3168252.93</v>
      </c>
      <c r="L66" s="191">
        <v>0</v>
      </c>
      <c r="M66" s="191">
        <v>10697542</v>
      </c>
      <c r="N66" s="191">
        <v>921630.25</v>
      </c>
      <c r="O66" s="191">
        <v>963291.36</v>
      </c>
      <c r="P66" s="191">
        <v>0</v>
      </c>
      <c r="Q66" s="191">
        <v>2084177.5</v>
      </c>
      <c r="R66" s="191">
        <v>917949.38</v>
      </c>
      <c r="S66" s="191">
        <v>917949.38</v>
      </c>
      <c r="T66" s="191">
        <v>0</v>
      </c>
      <c r="U66" s="191">
        <v>1109427.94</v>
      </c>
      <c r="V66" s="191">
        <v>685467.8</v>
      </c>
      <c r="W66" s="191">
        <v>685467.8</v>
      </c>
      <c r="X66" s="191">
        <v>0</v>
      </c>
      <c r="Y66" s="191">
        <v>1641093.94</v>
      </c>
      <c r="Z66" s="191">
        <v>0</v>
      </c>
      <c r="AA66" s="191">
        <v>97671.69</v>
      </c>
      <c r="AB66" s="191">
        <v>0</v>
      </c>
      <c r="AC66" s="191">
        <v>1854065.85</v>
      </c>
      <c r="AD66" s="191">
        <v>0</v>
      </c>
      <c r="AE66" s="191">
        <v>960699.51</v>
      </c>
      <c r="AF66" s="191">
        <v>0</v>
      </c>
      <c r="AG66" s="191">
        <v>1618437.56</v>
      </c>
      <c r="AH66" s="191">
        <v>0</v>
      </c>
      <c r="AI66" s="191">
        <v>529831.25</v>
      </c>
      <c r="AJ66" s="191">
        <v>2975960.3</v>
      </c>
      <c r="AK66" s="191">
        <v>0</v>
      </c>
      <c r="AL66" s="191">
        <v>10957442.83</v>
      </c>
      <c r="AM66" s="191">
        <v>8560969.9100000001</v>
      </c>
      <c r="AN66" s="191">
        <v>3441883.41</v>
      </c>
      <c r="AO66" s="191">
        <v>11811196.189999999</v>
      </c>
      <c r="AP66" s="191">
        <v>0</v>
      </c>
      <c r="AQ66" s="191">
        <v>0</v>
      </c>
      <c r="AR66" s="191">
        <v>0</v>
      </c>
      <c r="AS66" s="191">
        <v>0</v>
      </c>
      <c r="AT66" s="191">
        <v>2000000</v>
      </c>
      <c r="AU66" s="191">
        <v>2000000</v>
      </c>
      <c r="AV66" s="191">
        <v>0</v>
      </c>
      <c r="AW66" s="191">
        <v>0</v>
      </c>
      <c r="AX66" s="191">
        <v>0</v>
      </c>
      <c r="AY66" s="191">
        <v>0</v>
      </c>
      <c r="AZ66" s="191">
        <v>0</v>
      </c>
      <c r="BA66" s="191">
        <v>0</v>
      </c>
      <c r="BB66" s="191">
        <v>0</v>
      </c>
      <c r="BC66" s="191">
        <v>0</v>
      </c>
      <c r="BD66" s="191">
        <v>0</v>
      </c>
      <c r="BE66" s="191">
        <v>0</v>
      </c>
      <c r="BF66" s="191">
        <v>0</v>
      </c>
      <c r="BG66" s="191">
        <v>0</v>
      </c>
      <c r="BH66" s="191">
        <v>0</v>
      </c>
      <c r="BI66" s="191">
        <v>0</v>
      </c>
      <c r="BJ66" s="191">
        <v>0</v>
      </c>
      <c r="BK66" s="191">
        <v>0</v>
      </c>
      <c r="BL66" s="191">
        <v>0</v>
      </c>
      <c r="BM66" s="191">
        <v>0</v>
      </c>
      <c r="BN66" s="191">
        <v>0</v>
      </c>
      <c r="BO66" s="191">
        <v>0</v>
      </c>
      <c r="BP66" s="191">
        <v>0</v>
      </c>
      <c r="BQ66" s="191">
        <v>0</v>
      </c>
      <c r="BR66" s="191">
        <v>0</v>
      </c>
      <c r="BS66" s="191">
        <v>0</v>
      </c>
      <c r="BT66" s="191">
        <v>0</v>
      </c>
      <c r="BU66" s="191">
        <v>0</v>
      </c>
      <c r="BV66" s="191">
        <v>0</v>
      </c>
      <c r="BW66" s="191">
        <v>0</v>
      </c>
      <c r="BX66" s="191">
        <v>0</v>
      </c>
      <c r="BY66" s="191">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1">
        <v>-41517260.700000003</v>
      </c>
      <c r="C68" s="191">
        <v>-16547966.6</v>
      </c>
      <c r="D68" s="191">
        <v>18019538.379999999</v>
      </c>
      <c r="E68" s="191">
        <v>18774405.699999999</v>
      </c>
      <c r="F68" s="191">
        <v>12811691.41</v>
      </c>
      <c r="G68" s="191">
        <v>6341483.3700000001</v>
      </c>
      <c r="H68" s="191">
        <v>2323167.48</v>
      </c>
      <c r="I68" s="191">
        <v>-1729116.22</v>
      </c>
      <c r="J68" s="191">
        <v>10100781.220000001</v>
      </c>
      <c r="K68" s="191">
        <v>1886322.93</v>
      </c>
      <c r="L68" s="191">
        <v>8726252.4700000007</v>
      </c>
      <c r="M68" s="191">
        <v>-50415377.359999999</v>
      </c>
      <c r="N68" s="191">
        <v>-21080294.359999999</v>
      </c>
      <c r="O68" s="191">
        <v>-12497298.609999999</v>
      </c>
      <c r="P68" s="191">
        <v>-1876182.35</v>
      </c>
      <c r="Q68" s="191">
        <v>-5830414.0300000003</v>
      </c>
      <c r="R68" s="191">
        <v>-4825255.8600000003</v>
      </c>
      <c r="S68" s="191">
        <v>-4243138.8099999996</v>
      </c>
      <c r="T68" s="191">
        <v>-571638.42000000004</v>
      </c>
      <c r="U68" s="191">
        <v>7763315.3799999999</v>
      </c>
      <c r="V68" s="191">
        <v>6252847.4400000004</v>
      </c>
      <c r="W68" s="191">
        <v>5397982.4500000002</v>
      </c>
      <c r="X68" s="191">
        <v>447191.81</v>
      </c>
      <c r="Y68" s="191">
        <v>-3248124.57</v>
      </c>
      <c r="Z68" s="191">
        <v>-2438942.9900000002</v>
      </c>
      <c r="AA68" s="191">
        <v>-826896.2</v>
      </c>
      <c r="AB68" s="191">
        <v>1206963.1200000001</v>
      </c>
      <c r="AC68" s="191">
        <v>15704298.779999999</v>
      </c>
      <c r="AD68" s="191">
        <v>12927230.65</v>
      </c>
      <c r="AE68" s="191">
        <v>9320590.8200000003</v>
      </c>
      <c r="AF68" s="191">
        <v>3892186.12</v>
      </c>
      <c r="AG68" s="191">
        <v>13156554.99</v>
      </c>
      <c r="AH68" s="191">
        <v>7153456.8099999996</v>
      </c>
      <c r="AI68" s="191">
        <v>14830022.32</v>
      </c>
      <c r="AJ68" s="191">
        <v>26978204.850000001</v>
      </c>
      <c r="AK68" s="191">
        <v>0</v>
      </c>
      <c r="AL68" s="191">
        <v>41987440.939999998</v>
      </c>
      <c r="AM68" s="191">
        <v>36926585.880000003</v>
      </c>
      <c r="AN68" s="191">
        <v>28076939.34</v>
      </c>
      <c r="AO68" s="191">
        <v>50843495.409999996</v>
      </c>
      <c r="AP68" s="191">
        <v>26723228.359999999</v>
      </c>
      <c r="AQ68" s="191">
        <v>-17964350.649999999</v>
      </c>
      <c r="AR68" s="191">
        <v>-19204677.640000001</v>
      </c>
      <c r="AS68" s="191">
        <v>53713314.060000002</v>
      </c>
      <c r="AT68" s="191">
        <v>58875511.689999998</v>
      </c>
      <c r="AU68" s="191">
        <v>36841179.420000002</v>
      </c>
      <c r="AV68" s="191">
        <v>12703537.65</v>
      </c>
      <c r="AW68" s="191">
        <v>10769128.279999999</v>
      </c>
      <c r="AX68" s="191">
        <v>15476019.02</v>
      </c>
      <c r="AY68" s="191">
        <v>11800596.199999999</v>
      </c>
      <c r="AZ68" s="191">
        <v>4443015.26</v>
      </c>
      <c r="BA68" s="191">
        <v>5693510.9299999997</v>
      </c>
      <c r="BB68" s="191">
        <v>7182245.3200000003</v>
      </c>
      <c r="BC68" s="191">
        <v>3515117.81</v>
      </c>
      <c r="BD68" s="191">
        <v>2286626.94</v>
      </c>
      <c r="BE68" s="191">
        <v>8270832.6900000004</v>
      </c>
      <c r="BF68" s="191">
        <v>6107520.0599999996</v>
      </c>
      <c r="BG68" s="191">
        <v>1800646.68</v>
      </c>
      <c r="BH68" s="191">
        <v>78491.08</v>
      </c>
      <c r="BI68" s="191">
        <v>-638574.51</v>
      </c>
      <c r="BJ68" s="191">
        <v>-492931.82</v>
      </c>
      <c r="BK68" s="191">
        <v>-603004.89</v>
      </c>
      <c r="BL68" s="191">
        <v>-213084.64</v>
      </c>
      <c r="BM68" s="191">
        <v>-3144390.8</v>
      </c>
      <c r="BN68" s="191">
        <v>-2556415.54</v>
      </c>
      <c r="BO68" s="191">
        <v>-2453786.7799999998</v>
      </c>
      <c r="BP68" s="191">
        <v>-2113164.36</v>
      </c>
      <c r="BQ68" s="191">
        <v>-1585239.75</v>
      </c>
      <c r="BR68" s="191">
        <v>0</v>
      </c>
      <c r="BS68" s="191">
        <v>-2304346.42</v>
      </c>
      <c r="BT68" s="191">
        <v>5950327.5999999996</v>
      </c>
      <c r="BU68" s="191">
        <v>2430452.9300000002</v>
      </c>
      <c r="BV68" s="191">
        <v>2589207.4500000002</v>
      </c>
      <c r="BW68" s="191">
        <v>4043301.61</v>
      </c>
      <c r="BX68" s="191">
        <v>3372272.53</v>
      </c>
      <c r="BY68" s="191">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1">
        <v>4445794370.8800001</v>
      </c>
      <c r="C70" s="191">
        <v>4292560745.48</v>
      </c>
      <c r="D70" s="191">
        <v>4090446204.6700001</v>
      </c>
      <c r="E70" s="191">
        <v>4070353891.1500001</v>
      </c>
      <c r="F70" s="191">
        <v>3995308966.3000002</v>
      </c>
      <c r="G70" s="191">
        <v>3926612338.5500002</v>
      </c>
      <c r="H70" s="191">
        <v>3823718748.04</v>
      </c>
      <c r="I70" s="191">
        <v>3857670584.8800001</v>
      </c>
      <c r="J70" s="191">
        <v>3769151653.5999999</v>
      </c>
      <c r="K70" s="191">
        <v>2697819249.1300001</v>
      </c>
      <c r="L70" s="191">
        <v>2686698753.6599998</v>
      </c>
      <c r="M70" s="191">
        <v>2599306347.4499998</v>
      </c>
      <c r="N70" s="191">
        <v>2487565966.0599999</v>
      </c>
      <c r="O70" s="191">
        <v>2411198959.3899999</v>
      </c>
      <c r="P70" s="191">
        <v>2425496172.1199999</v>
      </c>
      <c r="Q70" s="191">
        <v>1391842083.3</v>
      </c>
      <c r="R70" s="191">
        <v>1358531152.8800001</v>
      </c>
      <c r="S70" s="191">
        <v>1331685149.55</v>
      </c>
      <c r="T70" s="191">
        <v>1361160405.6500001</v>
      </c>
      <c r="U70" s="191">
        <v>1344292240.3599999</v>
      </c>
      <c r="V70" s="191">
        <v>1310846802.98</v>
      </c>
      <c r="W70" s="191">
        <v>1283490697.77</v>
      </c>
      <c r="X70" s="191">
        <v>1276559138.0899999</v>
      </c>
      <c r="Y70" s="191">
        <v>1244457985.5</v>
      </c>
      <c r="Z70" s="191">
        <v>1216882777.4300001</v>
      </c>
      <c r="AA70" s="191">
        <v>1204799411.96</v>
      </c>
      <c r="AB70" s="191">
        <v>1163261652.3800001</v>
      </c>
      <c r="AC70" s="191">
        <v>1204025076.95</v>
      </c>
      <c r="AD70" s="191">
        <v>382309945.08999997</v>
      </c>
      <c r="AE70" s="191">
        <v>356958901.06999999</v>
      </c>
      <c r="AF70" s="191">
        <v>316586996.66000003</v>
      </c>
      <c r="AG70" s="191">
        <v>271531654.74000001</v>
      </c>
      <c r="AH70" s="191">
        <v>244181721.59</v>
      </c>
      <c r="AI70" s="191">
        <v>0</v>
      </c>
      <c r="AJ70" s="191"/>
      <c r="AK70" s="191"/>
      <c r="AL70" s="191">
        <v>5576533048.0299997</v>
      </c>
      <c r="AM70" s="191">
        <v>5137549475.6400003</v>
      </c>
      <c r="AN70" s="191">
        <v>4719109466.4899998</v>
      </c>
      <c r="AO70" s="191">
        <v>5449414237.0299997</v>
      </c>
      <c r="AP70" s="191">
        <v>5047038927.75</v>
      </c>
      <c r="AQ70" s="191">
        <v>4664214074.1300001</v>
      </c>
      <c r="AR70" s="191">
        <v>4021950777.0999999</v>
      </c>
      <c r="AS70" s="191">
        <v>4438476848.9700003</v>
      </c>
      <c r="AT70" s="191">
        <v>3943285948.0300002</v>
      </c>
      <c r="AU70" s="191">
        <v>3401195129.4499998</v>
      </c>
      <c r="AV70" s="191">
        <v>3256155249.3099999</v>
      </c>
      <c r="AW70" s="191">
        <v>2819764253.1900001</v>
      </c>
      <c r="AX70" s="191">
        <v>2549874268.3099999</v>
      </c>
      <c r="AY70" s="191">
        <v>2245740389.3499999</v>
      </c>
      <c r="AZ70" s="191">
        <v>2223410188.5500002</v>
      </c>
      <c r="BA70" s="191">
        <v>1855403452.72</v>
      </c>
      <c r="BB70" s="191">
        <v>1715253871.6700001</v>
      </c>
      <c r="BC70" s="191">
        <v>1563198910.6199999</v>
      </c>
      <c r="BD70" s="191">
        <v>1521448186.52</v>
      </c>
      <c r="BE70" s="191">
        <v>1364769328.01</v>
      </c>
      <c r="BF70" s="191">
        <v>1275993866.8099999</v>
      </c>
      <c r="BG70" s="191">
        <v>1176377094.53</v>
      </c>
      <c r="BH70" s="191">
        <v>1135176770.3</v>
      </c>
      <c r="BI70" s="191">
        <v>1037898476.29</v>
      </c>
      <c r="BJ70" s="191">
        <v>992306647.08000004</v>
      </c>
      <c r="BK70" s="191">
        <v>870142014.30999994</v>
      </c>
      <c r="BL70" s="191">
        <v>789846635.84000003</v>
      </c>
      <c r="BM70" s="191">
        <v>808658820.5</v>
      </c>
      <c r="BN70" s="191">
        <v>778165133.73000002</v>
      </c>
      <c r="BO70" s="191">
        <v>746839868.34000003</v>
      </c>
      <c r="BP70" s="191">
        <v>689491725.37</v>
      </c>
      <c r="BQ70" s="191">
        <v>653798259.76999998</v>
      </c>
      <c r="BR70" s="191">
        <v>0</v>
      </c>
      <c r="BS70" s="191">
        <v>663841314.28999996</v>
      </c>
      <c r="BT70" s="191">
        <v>601069866.59000003</v>
      </c>
      <c r="BU70" s="191">
        <v>155202681.5</v>
      </c>
      <c r="BV70" s="191">
        <v>128306554.23</v>
      </c>
      <c r="BW70" s="191">
        <v>122396833.72</v>
      </c>
      <c r="BX70" s="191">
        <v>70008325.519999996</v>
      </c>
      <c r="BY70" s="191">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24" sqref="A24"/>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2.5546875" bestFit="1" customWidth="1"/>
    <col min="18" max="20" width="18.109375" hidden="1" customWidth="1"/>
    <col min="21" max="21" width="22.5546875" bestFit="1" customWidth="1"/>
    <col min="22" max="24" width="18.109375" hidden="1" customWidth="1"/>
    <col min="25" max="25" width="22.5546875" bestFit="1" customWidth="1"/>
    <col min="26" max="28" width="19.33203125" hidden="1" customWidth="1"/>
    <col min="29" max="29" width="20" bestFit="1" customWidth="1"/>
    <col min="30" max="32" width="18.109375" hidden="1" customWidth="1"/>
    <col min="33" max="33" width="20" bestFit="1" customWidth="1"/>
    <col min="34" max="34" width="20.33203125" hidden="1" customWidth="1"/>
    <col min="35" max="36" width="20.33203125" bestFit="1" customWidth="1"/>
    <col min="37" max="40" width="20.33203125" hidden="1" customWidth="1"/>
    <col min="41" max="41" width="21.554687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59" width="20.33203125" hidden="1" customWidth="1"/>
    <col min="60" max="60" width="18.109375" hidden="1" customWidth="1"/>
    <col min="61" max="61" width="18.109375" bestFit="1" customWidth="1"/>
    <col min="62" max="64" width="18.109375" hidden="1" customWidth="1"/>
    <col min="65" max="65" width="20.33203125" bestFit="1" customWidth="1"/>
    <col min="66" max="66" width="20.33203125" hidden="1" customWidth="1"/>
    <col min="67" max="67" width="19.33203125" bestFit="1" customWidth="1"/>
    <col min="68" max="68" width="18.109375" hidden="1" customWidth="1"/>
    <col min="69" max="69" width="20.33203125" bestFit="1" customWidth="1"/>
    <col min="70" max="70" width="20.33203125" hidden="1" customWidth="1"/>
    <col min="71" max="71" width="20.33203125" bestFit="1" customWidth="1"/>
    <col min="72" max="72" width="11.109375" hidden="1" customWidth="1"/>
    <col min="73" max="73" width="11.109375" bestFit="1" customWidth="1"/>
    <col min="74" max="74" width="12.2187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1">
        <v>129388.2</v>
      </c>
      <c r="C3" s="191">
        <v>71940.2</v>
      </c>
      <c r="D3" s="191">
        <v>25253</v>
      </c>
      <c r="E3" s="191">
        <v>500821.88</v>
      </c>
      <c r="F3" s="191">
        <v>256335.39</v>
      </c>
      <c r="G3" s="191">
        <v>186055.39</v>
      </c>
      <c r="H3" s="191">
        <v>14831.3</v>
      </c>
      <c r="I3" s="191">
        <v>509414.36</v>
      </c>
      <c r="J3" s="191">
        <v>336576.14</v>
      </c>
      <c r="K3" s="191">
        <v>275103.32</v>
      </c>
      <c r="L3" s="191">
        <v>39875.42</v>
      </c>
      <c r="M3" s="191">
        <v>1327190.75</v>
      </c>
      <c r="N3" s="191">
        <v>232587.08</v>
      </c>
      <c r="O3" s="191">
        <v>118967.9</v>
      </c>
      <c r="P3" s="191">
        <v>55815.9</v>
      </c>
      <c r="Q3" s="191">
        <v>673654.08</v>
      </c>
      <c r="R3" s="191">
        <v>267127.71999999997</v>
      </c>
      <c r="S3" s="191">
        <v>130191.1</v>
      </c>
      <c r="T3" s="191">
        <v>35145.730000000003</v>
      </c>
      <c r="U3" s="191">
        <v>294821.3</v>
      </c>
      <c r="V3" s="191">
        <v>187875.19</v>
      </c>
      <c r="W3" s="191">
        <v>146367.4</v>
      </c>
      <c r="X3" s="191">
        <v>26896</v>
      </c>
      <c r="Y3" s="191">
        <v>240565.67</v>
      </c>
      <c r="Z3" s="191">
        <v>188909.4</v>
      </c>
      <c r="AA3" s="191">
        <v>161853.79999999999</v>
      </c>
      <c r="AB3" s="191">
        <v>40311</v>
      </c>
      <c r="AC3" s="191">
        <v>948399.81</v>
      </c>
      <c r="AD3" s="191">
        <v>409720.02</v>
      </c>
      <c r="AE3" s="191">
        <v>208457.01</v>
      </c>
      <c r="AF3" s="191">
        <v>40738.6</v>
      </c>
      <c r="AG3" s="191">
        <v>204761.65</v>
      </c>
      <c r="AH3" s="191">
        <v>117257.1</v>
      </c>
      <c r="AI3" s="191">
        <v>0</v>
      </c>
      <c r="AJ3" s="191">
        <v>1452357</v>
      </c>
      <c r="AK3" s="191">
        <v>0</v>
      </c>
      <c r="AL3" s="191">
        <v>17966861.809999999</v>
      </c>
      <c r="AM3" s="191">
        <v>16672791.619999999</v>
      </c>
      <c r="AN3" s="191">
        <v>18000</v>
      </c>
      <c r="AO3" s="191">
        <v>5296292.9400000004</v>
      </c>
      <c r="AP3" s="191">
        <v>186245928.28999999</v>
      </c>
      <c r="AQ3" s="191">
        <v>100218481.88</v>
      </c>
      <c r="AR3" s="191">
        <v>0</v>
      </c>
      <c r="AS3" s="191">
        <v>6800</v>
      </c>
      <c r="AT3" s="191">
        <v>6800</v>
      </c>
      <c r="AU3" s="191">
        <v>6800</v>
      </c>
      <c r="AV3" s="191">
        <v>0</v>
      </c>
      <c r="AW3" s="191">
        <v>2089109.98</v>
      </c>
      <c r="AX3" s="191">
        <v>1041309.16</v>
      </c>
      <c r="AY3" s="191">
        <v>190000</v>
      </c>
      <c r="AZ3" s="191">
        <v>0</v>
      </c>
      <c r="BA3" s="191">
        <v>1426732</v>
      </c>
      <c r="BB3" s="191">
        <v>1106732</v>
      </c>
      <c r="BC3" s="191">
        <v>1006732</v>
      </c>
      <c r="BD3" s="191">
        <v>130397.69</v>
      </c>
      <c r="BE3" s="191">
        <v>1580553.31</v>
      </c>
      <c r="BF3" s="191">
        <v>887841.4</v>
      </c>
      <c r="BG3" s="191">
        <v>521396</v>
      </c>
      <c r="BH3" s="191">
        <v>521396</v>
      </c>
      <c r="BI3" s="191">
        <v>2690057.72</v>
      </c>
      <c r="BJ3" s="191">
        <v>1577725.6</v>
      </c>
      <c r="BK3" s="191">
        <v>1571909.6</v>
      </c>
      <c r="BL3" s="191">
        <v>186713.60000000001</v>
      </c>
      <c r="BM3" s="191">
        <v>102110.7</v>
      </c>
      <c r="BN3" s="191">
        <v>373734.6</v>
      </c>
      <c r="BO3" s="191">
        <v>45792</v>
      </c>
      <c r="BP3" s="191">
        <v>70720</v>
      </c>
      <c r="BQ3" s="191">
        <v>0</v>
      </c>
      <c r="BR3" s="191">
        <v>0</v>
      </c>
      <c r="BS3" s="191">
        <v>6094878</v>
      </c>
      <c r="BT3" s="191">
        <v>0</v>
      </c>
    </row>
    <row r="4" spans="1:74" s="26" customFormat="1" x14ac:dyDescent="0.25">
      <c r="A4" s="17" t="s">
        <v>304</v>
      </c>
      <c r="B4" s="191">
        <v>285538820.86000001</v>
      </c>
      <c r="C4" s="191">
        <v>209989508.33000001</v>
      </c>
      <c r="D4" s="191">
        <v>103997142.14</v>
      </c>
      <c r="E4" s="191">
        <v>383482606.77999997</v>
      </c>
      <c r="F4" s="191">
        <v>275734020.55000001</v>
      </c>
      <c r="G4" s="191">
        <v>216983104.25999999</v>
      </c>
      <c r="H4" s="191">
        <v>103896644.69</v>
      </c>
      <c r="I4" s="191">
        <v>444285488.91000003</v>
      </c>
      <c r="J4" s="191">
        <v>322844853.11000001</v>
      </c>
      <c r="K4" s="191">
        <v>164773450.24000001</v>
      </c>
      <c r="L4" s="191">
        <v>59555754.280000001</v>
      </c>
      <c r="M4" s="191">
        <v>356578634</v>
      </c>
      <c r="N4" s="191">
        <v>277935839.25</v>
      </c>
      <c r="O4" s="191">
        <v>202616698.78</v>
      </c>
      <c r="P4" s="191">
        <v>106473734.16</v>
      </c>
      <c r="Q4" s="191">
        <v>189462606.18000001</v>
      </c>
      <c r="R4" s="191">
        <v>130049784.45999999</v>
      </c>
      <c r="S4" s="191">
        <v>84986028.730000004</v>
      </c>
      <c r="T4" s="191">
        <v>42901551.719999999</v>
      </c>
      <c r="U4" s="191">
        <v>190463988.16999999</v>
      </c>
      <c r="V4" s="191">
        <v>129631786.98999999</v>
      </c>
      <c r="W4" s="191">
        <v>80028428.140000001</v>
      </c>
      <c r="X4" s="191">
        <v>50144035.409999996</v>
      </c>
      <c r="Y4" s="191">
        <v>244190255.53</v>
      </c>
      <c r="Z4" s="191">
        <v>172122744.43000001</v>
      </c>
      <c r="AA4" s="191">
        <v>90616778.060000002</v>
      </c>
      <c r="AB4" s="191">
        <v>26177655.390000001</v>
      </c>
      <c r="AC4" s="191">
        <v>127262489.27</v>
      </c>
      <c r="AD4" s="191">
        <v>101090715.77</v>
      </c>
      <c r="AE4" s="191">
        <v>75148807.060000002</v>
      </c>
      <c r="AF4" s="191">
        <v>37253138.159999996</v>
      </c>
      <c r="AG4" s="191">
        <v>82339064.920000002</v>
      </c>
      <c r="AH4" s="191">
        <v>57371568.490000002</v>
      </c>
      <c r="AI4" s="191">
        <v>39015549.149999999</v>
      </c>
      <c r="AJ4" s="191">
        <v>37084603.770000003</v>
      </c>
      <c r="AK4" s="191">
        <v>0</v>
      </c>
      <c r="AL4" s="191">
        <v>1096741062.48</v>
      </c>
      <c r="AM4" s="191">
        <v>625148971.26999998</v>
      </c>
      <c r="AN4" s="191">
        <v>211593013.12</v>
      </c>
      <c r="AO4" s="191">
        <v>1013862444.04</v>
      </c>
      <c r="AP4" s="191">
        <v>805744641.79999995</v>
      </c>
      <c r="AQ4" s="191">
        <v>507726700.16000003</v>
      </c>
      <c r="AR4" s="191">
        <v>334280981.61000001</v>
      </c>
      <c r="AS4" s="191">
        <v>529938267.81999999</v>
      </c>
      <c r="AT4" s="191">
        <v>216766865.31999999</v>
      </c>
      <c r="AU4" s="191">
        <v>133822674.01000001</v>
      </c>
      <c r="AV4" s="191">
        <v>68071768.430000007</v>
      </c>
      <c r="AW4" s="191">
        <v>466733584.23000002</v>
      </c>
      <c r="AX4" s="191">
        <v>380718661.67000002</v>
      </c>
      <c r="AY4" s="191">
        <v>224314021.36000001</v>
      </c>
      <c r="AZ4" s="191">
        <v>220729587.88</v>
      </c>
      <c r="BA4" s="191">
        <v>1387198959.8099999</v>
      </c>
      <c r="BB4" s="191">
        <v>1033991553.46</v>
      </c>
      <c r="BC4" s="191">
        <v>769955220.71000004</v>
      </c>
      <c r="BD4" s="191">
        <v>348386218.50999999</v>
      </c>
      <c r="BE4" s="191">
        <v>1245602177.03</v>
      </c>
      <c r="BF4" s="191">
        <v>745040798.48000002</v>
      </c>
      <c r="BG4" s="191">
        <v>383826231.44</v>
      </c>
      <c r="BH4" s="191">
        <v>121970849.94</v>
      </c>
      <c r="BI4" s="191">
        <v>286377097.55000001</v>
      </c>
      <c r="BJ4" s="191">
        <v>192981786.56</v>
      </c>
      <c r="BK4" s="191">
        <v>89980888.409999996</v>
      </c>
      <c r="BL4" s="191">
        <v>39655574.289999999</v>
      </c>
      <c r="BM4" s="191">
        <v>186024499.33000001</v>
      </c>
      <c r="BN4" s="191">
        <v>49917300.07</v>
      </c>
      <c r="BO4" s="191">
        <v>224926994.28</v>
      </c>
      <c r="BP4" s="191">
        <v>103510411.12</v>
      </c>
      <c r="BQ4" s="191">
        <v>97333763.25</v>
      </c>
      <c r="BR4" s="191">
        <v>6897098.4100000001</v>
      </c>
      <c r="BS4" s="191">
        <v>41978974.149999999</v>
      </c>
      <c r="BT4" s="191">
        <v>0</v>
      </c>
    </row>
    <row r="5" spans="1:74" s="47" customFormat="1" x14ac:dyDescent="0.25">
      <c r="A5" s="136"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1">
        <v>0</v>
      </c>
      <c r="C6" s="191">
        <v>102766484.88</v>
      </c>
      <c r="D6" s="191">
        <v>0</v>
      </c>
      <c r="E6" s="191">
        <v>173230418.30000001</v>
      </c>
      <c r="F6" s="191">
        <v>0</v>
      </c>
      <c r="G6" s="191">
        <v>79854733.640000001</v>
      </c>
      <c r="H6" s="191">
        <v>0</v>
      </c>
      <c r="I6" s="191">
        <v>150031056.47999999</v>
      </c>
      <c r="J6" s="191">
        <v>0</v>
      </c>
      <c r="K6" s="191">
        <v>67914415.5</v>
      </c>
      <c r="L6" s="191">
        <v>0</v>
      </c>
      <c r="M6" s="191">
        <v>96675925.170000002</v>
      </c>
      <c r="N6" s="191">
        <v>0</v>
      </c>
      <c r="O6" s="191">
        <v>44409696.719999999</v>
      </c>
      <c r="P6" s="191">
        <v>0</v>
      </c>
      <c r="Q6" s="191">
        <v>76072722.219999999</v>
      </c>
      <c r="R6" s="191">
        <v>0</v>
      </c>
      <c r="S6" s="191">
        <v>36401626.950000003</v>
      </c>
      <c r="T6" s="191">
        <v>0</v>
      </c>
      <c r="U6" s="191">
        <v>62226272.899999999</v>
      </c>
      <c r="V6" s="191">
        <v>0</v>
      </c>
      <c r="W6" s="191">
        <v>27338084.989999998</v>
      </c>
      <c r="X6" s="191">
        <v>0</v>
      </c>
      <c r="Y6" s="191">
        <v>45232711.859999999</v>
      </c>
      <c r="Z6" s="191">
        <v>0</v>
      </c>
      <c r="AA6" s="191">
        <v>20451241.800000001</v>
      </c>
      <c r="AB6" s="191">
        <v>0</v>
      </c>
      <c r="AC6" s="191">
        <v>35284248.549999997</v>
      </c>
      <c r="AD6" s="191">
        <v>0</v>
      </c>
      <c r="AE6" s="191">
        <v>16920517.710000001</v>
      </c>
      <c r="AF6" s="191">
        <v>0</v>
      </c>
      <c r="AG6" s="191">
        <v>22557386.629999999</v>
      </c>
      <c r="AH6" s="191">
        <v>0</v>
      </c>
      <c r="AI6" s="191">
        <v>18490294.390000001</v>
      </c>
      <c r="AJ6" s="191">
        <v>16791841.57</v>
      </c>
      <c r="AK6" s="191">
        <v>0</v>
      </c>
      <c r="AL6" s="191">
        <v>0</v>
      </c>
      <c r="AM6" s="191">
        <v>137627549.5</v>
      </c>
      <c r="AN6" s="191">
        <v>0</v>
      </c>
      <c r="AO6" s="191">
        <v>253356206.83000001</v>
      </c>
      <c r="AP6" s="191">
        <v>0</v>
      </c>
      <c r="AQ6" s="191">
        <v>126646106.28</v>
      </c>
      <c r="AR6" s="191">
        <v>0</v>
      </c>
      <c r="AS6" s="191">
        <v>231322064.62</v>
      </c>
      <c r="AT6" s="191">
        <v>0</v>
      </c>
      <c r="AU6" s="191">
        <v>112562604.33</v>
      </c>
      <c r="AV6" s="191">
        <v>0</v>
      </c>
      <c r="AW6" s="191">
        <v>204380088.05000001</v>
      </c>
      <c r="AX6" s="191">
        <v>144359983.11000001</v>
      </c>
      <c r="AY6" s="191">
        <v>92374534.040000007</v>
      </c>
      <c r="AZ6" s="191">
        <v>40259859.740000002</v>
      </c>
      <c r="BA6" s="191">
        <v>56981907.670000002</v>
      </c>
      <c r="BB6" s="191">
        <v>40670080.810000002</v>
      </c>
      <c r="BC6" s="191">
        <v>26784355.449999999</v>
      </c>
      <c r="BD6" s="191">
        <v>13375256.880000001</v>
      </c>
      <c r="BE6" s="191">
        <v>53332726.270000003</v>
      </c>
      <c r="BF6" s="191">
        <v>40436268.380000003</v>
      </c>
      <c r="BG6" s="191">
        <v>27749680.379999999</v>
      </c>
      <c r="BH6" s="191">
        <v>14268373.33</v>
      </c>
      <c r="BI6" s="191">
        <v>52795125.68</v>
      </c>
      <c r="BJ6" s="191">
        <v>38902998.649999999</v>
      </c>
      <c r="BK6" s="191">
        <v>25629020.780000001</v>
      </c>
      <c r="BL6" s="191">
        <v>12750860.359999999</v>
      </c>
      <c r="BM6" s="191">
        <v>40033982.590000004</v>
      </c>
      <c r="BN6" s="191">
        <v>15010963.4</v>
      </c>
      <c r="BO6" s="191">
        <v>29063705.300000001</v>
      </c>
      <c r="BP6" s="191">
        <v>15081839.289999999</v>
      </c>
      <c r="BQ6" s="191">
        <v>26279195.079999998</v>
      </c>
      <c r="BR6" s="191">
        <v>11651699.949999999</v>
      </c>
      <c r="BS6" s="191">
        <v>25058312.66</v>
      </c>
      <c r="BT6" s="191">
        <v>0</v>
      </c>
      <c r="BU6" s="26"/>
      <c r="BV6" s="26"/>
    </row>
    <row r="7" spans="1:74" s="26" customFormat="1" x14ac:dyDescent="0.25">
      <c r="A7" s="17" t="s">
        <v>306</v>
      </c>
      <c r="B7" s="191">
        <v>0</v>
      </c>
      <c r="C7" s="191">
        <v>6571291.8600000003</v>
      </c>
      <c r="D7" s="191">
        <v>0</v>
      </c>
      <c r="E7" s="191">
        <v>11700805.390000001</v>
      </c>
      <c r="F7" s="191">
        <v>0</v>
      </c>
      <c r="G7" s="191">
        <v>5321577.1900000004</v>
      </c>
      <c r="H7" s="191">
        <v>0</v>
      </c>
      <c r="I7" s="191">
        <v>8666877.9299999997</v>
      </c>
      <c r="J7" s="191">
        <v>0</v>
      </c>
      <c r="K7" s="191">
        <v>3284233.46</v>
      </c>
      <c r="L7" s="191">
        <v>0</v>
      </c>
      <c r="M7" s="191">
        <v>3584346.75</v>
      </c>
      <c r="N7" s="191">
        <v>0</v>
      </c>
      <c r="O7" s="191">
        <v>1593132.18</v>
      </c>
      <c r="P7" s="191">
        <v>0</v>
      </c>
      <c r="Q7" s="191">
        <v>3129421</v>
      </c>
      <c r="R7" s="191">
        <v>0</v>
      </c>
      <c r="S7" s="191">
        <v>1598201.93</v>
      </c>
      <c r="T7" s="191">
        <v>0</v>
      </c>
      <c r="U7" s="191">
        <v>2483597.77</v>
      </c>
      <c r="V7" s="191">
        <v>0</v>
      </c>
      <c r="W7" s="191">
        <v>914265.14</v>
      </c>
      <c r="X7" s="191">
        <v>0</v>
      </c>
      <c r="Y7" s="191">
        <v>1348313.89</v>
      </c>
      <c r="Z7" s="191">
        <v>0</v>
      </c>
      <c r="AA7" s="191">
        <v>535823.12</v>
      </c>
      <c r="AB7" s="191">
        <v>0</v>
      </c>
      <c r="AC7" s="191">
        <v>970913.64</v>
      </c>
      <c r="AD7" s="191">
        <v>0</v>
      </c>
      <c r="AE7" s="191">
        <v>466446.08000000002</v>
      </c>
      <c r="AF7" s="191">
        <v>0</v>
      </c>
      <c r="AG7" s="191">
        <v>570064.04</v>
      </c>
      <c r="AH7" s="191">
        <v>0</v>
      </c>
      <c r="AI7" s="191">
        <v>535006.5</v>
      </c>
      <c r="AJ7" s="191">
        <v>548148.18999999994</v>
      </c>
      <c r="AK7" s="191">
        <v>0</v>
      </c>
      <c r="AL7" s="191">
        <v>0</v>
      </c>
      <c r="AM7" s="191">
        <v>2973593.93</v>
      </c>
      <c r="AN7" s="191">
        <v>0</v>
      </c>
      <c r="AO7" s="191">
        <v>4231832.26</v>
      </c>
      <c r="AP7" s="191">
        <v>0</v>
      </c>
      <c r="AQ7" s="191">
        <v>2044918.31</v>
      </c>
      <c r="AR7" s="191">
        <v>0</v>
      </c>
      <c r="AS7" s="191">
        <v>3246986.34</v>
      </c>
      <c r="AT7" s="191">
        <v>0</v>
      </c>
      <c r="AU7" s="191">
        <v>1534655.5</v>
      </c>
      <c r="AV7" s="191">
        <v>0</v>
      </c>
      <c r="AW7" s="191">
        <v>83416.679999999993</v>
      </c>
      <c r="AX7" s="191">
        <v>55917.67</v>
      </c>
      <c r="AY7" s="191">
        <v>8550</v>
      </c>
      <c r="AZ7" s="191">
        <v>3975</v>
      </c>
      <c r="BA7" s="191">
        <v>0</v>
      </c>
      <c r="BB7" s="191">
        <v>0</v>
      </c>
      <c r="BC7" s="191">
        <v>0</v>
      </c>
      <c r="BD7" s="191">
        <v>0</v>
      </c>
      <c r="BE7" s="191">
        <v>0</v>
      </c>
      <c r="BF7" s="191">
        <v>0</v>
      </c>
      <c r="BG7" s="191">
        <v>0</v>
      </c>
      <c r="BH7" s="191">
        <v>0</v>
      </c>
      <c r="BI7" s="191">
        <v>0</v>
      </c>
      <c r="BJ7" s="191">
        <v>0</v>
      </c>
      <c r="BK7" s="191">
        <v>0</v>
      </c>
      <c r="BL7" s="191">
        <v>0</v>
      </c>
      <c r="BM7" s="191">
        <v>0</v>
      </c>
      <c r="BN7" s="191">
        <v>0</v>
      </c>
      <c r="BO7" s="191">
        <v>0</v>
      </c>
      <c r="BP7" s="191">
        <v>0</v>
      </c>
      <c r="BQ7" s="191">
        <v>0</v>
      </c>
      <c r="BR7" s="191">
        <v>0</v>
      </c>
      <c r="BS7" s="191">
        <v>0</v>
      </c>
      <c r="BT7" s="191">
        <v>0</v>
      </c>
    </row>
    <row r="8" spans="1:74" s="26" customFormat="1" x14ac:dyDescent="0.25">
      <c r="A8" s="17" t="s">
        <v>307</v>
      </c>
      <c r="B8" s="191">
        <v>0</v>
      </c>
      <c r="C8" s="191">
        <v>842831.44</v>
      </c>
      <c r="D8" s="191">
        <v>0</v>
      </c>
      <c r="E8" s="191">
        <v>1626430.09</v>
      </c>
      <c r="F8" s="191">
        <v>0</v>
      </c>
      <c r="G8" s="191">
        <v>813215.04</v>
      </c>
      <c r="H8" s="191">
        <v>0</v>
      </c>
      <c r="I8" s="191">
        <v>1549161.68</v>
      </c>
      <c r="J8" s="191">
        <v>0</v>
      </c>
      <c r="K8" s="191">
        <v>937228.59</v>
      </c>
      <c r="L8" s="191">
        <v>0</v>
      </c>
      <c r="M8" s="191">
        <v>2792414.15</v>
      </c>
      <c r="N8" s="191">
        <v>0</v>
      </c>
      <c r="O8" s="191">
        <v>1379958.7</v>
      </c>
      <c r="P8" s="191">
        <v>0</v>
      </c>
      <c r="Q8" s="191">
        <v>762424.54</v>
      </c>
      <c r="R8" s="191">
        <v>0</v>
      </c>
      <c r="S8" s="191">
        <v>111778.8</v>
      </c>
      <c r="T8" s="191">
        <v>0</v>
      </c>
      <c r="U8" s="191">
        <v>195388.91</v>
      </c>
      <c r="V8" s="191">
        <v>0</v>
      </c>
      <c r="W8" s="191">
        <v>60000</v>
      </c>
      <c r="X8" s="191">
        <v>0</v>
      </c>
      <c r="Y8" s="191">
        <v>120000</v>
      </c>
      <c r="Z8" s="191">
        <v>0</v>
      </c>
      <c r="AA8" s="191">
        <v>60000</v>
      </c>
      <c r="AB8" s="191">
        <v>0</v>
      </c>
      <c r="AC8" s="191">
        <v>5168.66</v>
      </c>
      <c r="AD8" s="191">
        <v>0</v>
      </c>
      <c r="AE8" s="191">
        <v>5168.66</v>
      </c>
      <c r="AF8" s="191">
        <v>0</v>
      </c>
      <c r="AG8" s="191">
        <v>15506.76</v>
      </c>
      <c r="AH8" s="191">
        <v>0</v>
      </c>
      <c r="AI8" s="191">
        <v>15506.76</v>
      </c>
      <c r="AJ8" s="191">
        <v>15506.76</v>
      </c>
      <c r="AK8" s="191">
        <v>0</v>
      </c>
      <c r="AL8" s="191">
        <v>4722874.75</v>
      </c>
      <c r="AM8" s="191">
        <v>4722874.75</v>
      </c>
      <c r="AN8" s="191">
        <v>4722874.75</v>
      </c>
      <c r="AO8" s="191">
        <v>4722874.75</v>
      </c>
      <c r="AP8" s="191">
        <v>0</v>
      </c>
      <c r="AQ8" s="191">
        <v>0</v>
      </c>
      <c r="AR8" s="191">
        <v>0</v>
      </c>
      <c r="AS8" s="191">
        <v>0</v>
      </c>
      <c r="AT8" s="191">
        <v>0</v>
      </c>
      <c r="AU8" s="191">
        <v>0</v>
      </c>
      <c r="AV8" s="191">
        <v>0</v>
      </c>
      <c r="AW8" s="191">
        <v>1292188.47</v>
      </c>
      <c r="AX8" s="191">
        <v>1292188.47</v>
      </c>
      <c r="AY8" s="191">
        <v>1292188.47</v>
      </c>
      <c r="AZ8" s="191">
        <v>1292188.47</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row>
    <row r="9" spans="1:74" s="26" customFormat="1" x14ac:dyDescent="0.25">
      <c r="A9" s="17" t="s">
        <v>308</v>
      </c>
      <c r="B9" s="191">
        <v>0</v>
      </c>
      <c r="C9" s="191">
        <v>-5047.3999999999996</v>
      </c>
      <c r="D9" s="191">
        <v>0</v>
      </c>
      <c r="E9" s="191">
        <v>-327151.37</v>
      </c>
      <c r="F9" s="191">
        <v>0</v>
      </c>
      <c r="G9" s="191">
        <v>388967.5</v>
      </c>
      <c r="H9" s="191">
        <v>0</v>
      </c>
      <c r="I9" s="191">
        <v>2556655.06</v>
      </c>
      <c r="J9" s="191">
        <v>0</v>
      </c>
      <c r="K9" s="191">
        <v>583822.57999999996</v>
      </c>
      <c r="L9" s="191">
        <v>0</v>
      </c>
      <c r="M9" s="191">
        <v>1641970.2</v>
      </c>
      <c r="N9" s="191">
        <v>0</v>
      </c>
      <c r="O9" s="191">
        <v>362534.43</v>
      </c>
      <c r="P9" s="191">
        <v>0</v>
      </c>
      <c r="Q9" s="191">
        <v>2632793.41</v>
      </c>
      <c r="R9" s="191">
        <v>0</v>
      </c>
      <c r="S9" s="191">
        <v>521158.62</v>
      </c>
      <c r="T9" s="191">
        <v>0</v>
      </c>
      <c r="U9" s="191">
        <v>738515.9</v>
      </c>
      <c r="V9" s="191">
        <v>0</v>
      </c>
      <c r="W9" s="191">
        <v>47657.3</v>
      </c>
      <c r="X9" s="191">
        <v>0</v>
      </c>
      <c r="Y9" s="191">
        <v>231372.54</v>
      </c>
      <c r="Z9" s="191">
        <v>0</v>
      </c>
      <c r="AA9" s="191">
        <v>148114.17000000001</v>
      </c>
      <c r="AB9" s="191">
        <v>0</v>
      </c>
      <c r="AC9" s="191">
        <v>458098.69</v>
      </c>
      <c r="AD9" s="191">
        <v>0</v>
      </c>
      <c r="AE9" s="191">
        <v>465390.72</v>
      </c>
      <c r="AF9" s="191">
        <v>0</v>
      </c>
      <c r="AG9" s="191">
        <v>319153.53000000003</v>
      </c>
      <c r="AH9" s="191">
        <v>0</v>
      </c>
      <c r="AI9" s="191">
        <v>3732.64</v>
      </c>
      <c r="AJ9" s="191">
        <v>144334.32999999999</v>
      </c>
      <c r="AK9" s="191">
        <v>0</v>
      </c>
      <c r="AL9" s="191">
        <v>0</v>
      </c>
      <c r="AM9" s="191">
        <v>-532937.68999999994</v>
      </c>
      <c r="AN9" s="191">
        <v>0</v>
      </c>
      <c r="AO9" s="191">
        <v>10026659.689999999</v>
      </c>
      <c r="AP9" s="191">
        <v>0</v>
      </c>
      <c r="AQ9" s="191">
        <v>347872.53</v>
      </c>
      <c r="AR9" s="191">
        <v>0</v>
      </c>
      <c r="AS9" s="191">
        <v>5731565.3700000001</v>
      </c>
      <c r="AT9" s="191">
        <v>0</v>
      </c>
      <c r="AU9" s="191">
        <v>879570.05</v>
      </c>
      <c r="AV9" s="191">
        <v>0</v>
      </c>
      <c r="AW9" s="191">
        <v>105935.61</v>
      </c>
      <c r="AX9" s="191">
        <v>31527.4</v>
      </c>
      <c r="AY9" s="191">
        <v>93261</v>
      </c>
      <c r="AZ9" s="191">
        <v>0</v>
      </c>
      <c r="BA9" s="191">
        <v>-89497.4</v>
      </c>
      <c r="BB9" s="191">
        <v>130232.2</v>
      </c>
      <c r="BC9" s="191">
        <v>-3657.4</v>
      </c>
      <c r="BD9" s="191">
        <v>0</v>
      </c>
      <c r="BE9" s="191">
        <v>-690882.01</v>
      </c>
      <c r="BF9" s="191">
        <v>-887841.4</v>
      </c>
      <c r="BG9" s="191">
        <v>-521396</v>
      </c>
      <c r="BH9" s="191">
        <v>-521396</v>
      </c>
      <c r="BI9" s="191">
        <v>580461.34</v>
      </c>
      <c r="BJ9" s="191">
        <v>623606.48</v>
      </c>
      <c r="BK9" s="191">
        <v>622822.48</v>
      </c>
      <c r="BL9" s="191">
        <v>-186713.60000000001</v>
      </c>
      <c r="BM9" s="191">
        <v>-493302.9</v>
      </c>
      <c r="BN9" s="191">
        <v>-376234.6</v>
      </c>
      <c r="BO9" s="191">
        <v>-71720</v>
      </c>
      <c r="BP9" s="191">
        <v>2641.32</v>
      </c>
      <c r="BQ9" s="191">
        <v>0</v>
      </c>
      <c r="BR9" s="191">
        <v>0</v>
      </c>
      <c r="BS9" s="191">
        <v>2632395.2000000002</v>
      </c>
      <c r="BT9" s="191">
        <v>0</v>
      </c>
    </row>
    <row r="10" spans="1:74" s="26" customFormat="1" x14ac:dyDescent="0.25">
      <c r="A10" s="17" t="s">
        <v>309</v>
      </c>
      <c r="B10" s="191">
        <v>0</v>
      </c>
      <c r="C10" s="191">
        <v>604355.14</v>
      </c>
      <c r="D10" s="191">
        <v>0</v>
      </c>
      <c r="E10" s="191">
        <v>1421535.04</v>
      </c>
      <c r="F10" s="191">
        <v>0</v>
      </c>
      <c r="G10" s="191">
        <v>0</v>
      </c>
      <c r="H10" s="191">
        <v>0</v>
      </c>
      <c r="I10" s="191">
        <v>0</v>
      </c>
      <c r="J10" s="191">
        <v>0</v>
      </c>
      <c r="K10" s="191">
        <v>0</v>
      </c>
      <c r="L10" s="191">
        <v>0</v>
      </c>
      <c r="M10" s="191">
        <v>0</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0</v>
      </c>
      <c r="AI10" s="191">
        <v>0</v>
      </c>
      <c r="AJ10" s="191">
        <v>0</v>
      </c>
      <c r="AK10" s="191">
        <v>0</v>
      </c>
      <c r="AL10" s="191">
        <v>0</v>
      </c>
      <c r="AM10" s="191">
        <v>123405.18</v>
      </c>
      <c r="AN10" s="191">
        <v>0</v>
      </c>
      <c r="AO10" s="191">
        <v>0</v>
      </c>
      <c r="AP10" s="191">
        <v>0</v>
      </c>
      <c r="AQ10" s="191">
        <v>107395.47</v>
      </c>
      <c r="AR10" s="191">
        <v>0</v>
      </c>
      <c r="AS10" s="191">
        <v>0</v>
      </c>
      <c r="AT10" s="191">
        <v>0</v>
      </c>
      <c r="AU10" s="191">
        <v>0</v>
      </c>
      <c r="AV10" s="191">
        <v>0</v>
      </c>
      <c r="AW10" s="191">
        <v>0</v>
      </c>
      <c r="AX10" s="191">
        <v>1028</v>
      </c>
      <c r="AY10" s="191">
        <v>18303.43</v>
      </c>
      <c r="AZ10" s="191">
        <v>93289.43</v>
      </c>
      <c r="BA10" s="191">
        <v>42947069.979999997</v>
      </c>
      <c r="BB10" s="191">
        <v>5243.43</v>
      </c>
      <c r="BC10" s="191">
        <v>5243.43</v>
      </c>
      <c r="BD10" s="191">
        <v>0</v>
      </c>
      <c r="BE10" s="191">
        <v>44229863.509999998</v>
      </c>
      <c r="BF10" s="191">
        <v>23687135.710000001</v>
      </c>
      <c r="BG10" s="191">
        <v>23687135.710000001</v>
      </c>
      <c r="BH10" s="191">
        <v>0</v>
      </c>
      <c r="BI10" s="191">
        <v>0</v>
      </c>
      <c r="BJ10" s="191">
        <v>0</v>
      </c>
      <c r="BK10" s="191">
        <v>0</v>
      </c>
      <c r="BL10" s="191">
        <v>0</v>
      </c>
      <c r="BM10" s="191">
        <v>1148086.6100000001</v>
      </c>
      <c r="BN10" s="191">
        <v>0</v>
      </c>
      <c r="BO10" s="191">
        <v>6562457.6100000003</v>
      </c>
      <c r="BP10" s="191">
        <v>0</v>
      </c>
      <c r="BQ10" s="191">
        <v>9345588.9199999999</v>
      </c>
      <c r="BR10" s="191">
        <v>0</v>
      </c>
      <c r="BS10" s="191">
        <v>0</v>
      </c>
      <c r="BT10" s="191">
        <v>0</v>
      </c>
    </row>
    <row r="11" spans="1:74" s="47" customFormat="1" x14ac:dyDescent="0.25">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4">
        <f t="shared" ref="R12" si="4">V34</f>
        <v>741506549.51999998</v>
      </c>
      <c r="S12" s="194">
        <f t="shared" ref="S12" si="5">W34</f>
        <v>710048074.86000001</v>
      </c>
      <c r="T12" s="194">
        <f t="shared" ref="T12" si="6">X34</f>
        <v>687250589.18999994</v>
      </c>
      <c r="U12" s="194">
        <f t="shared" ref="U12" si="7">Y34</f>
        <v>652357645.91999996</v>
      </c>
      <c r="V12" s="194">
        <f t="shared" ref="V12" si="8">Z34</f>
        <v>555743063.5999999</v>
      </c>
      <c r="W12" s="194">
        <f t="shared" ref="W12" si="9">AA34</f>
        <v>463120396.69</v>
      </c>
      <c r="X12" s="194">
        <f t="shared" ref="X12" si="10">AB34</f>
        <v>427815367.21000004</v>
      </c>
      <c r="Y12" s="194">
        <f t="shared" ref="Y12" si="11">AC34</f>
        <v>416097796.96000004</v>
      </c>
      <c r="Z12" s="194">
        <f t="shared" ref="Z12" si="12">AD34</f>
        <v>396553530.69</v>
      </c>
      <c r="AA12" s="194">
        <f t="shared" ref="AA12" si="13">AE34</f>
        <v>384945992.11000001</v>
      </c>
      <c r="AB12" s="194">
        <f t="shared" ref="AB12" si="14">AF34</f>
        <v>341524284.44999999</v>
      </c>
      <c r="AC12" s="194">
        <f t="shared" ref="AC12" si="15">AG34</f>
        <v>202718327.53</v>
      </c>
      <c r="AD12" s="194">
        <f t="shared" ref="AD12" si="16">AH34</f>
        <v>181601567.34999999</v>
      </c>
      <c r="AE12" s="194">
        <f t="shared" ref="AE12" si="17">AI34</f>
        <v>0</v>
      </c>
      <c r="AF12" s="194">
        <f t="shared" ref="AF12" si="18">AJ34</f>
        <v>0</v>
      </c>
      <c r="AG12" s="194">
        <f t="shared" ref="AG12" si="19">AK34</f>
        <v>0</v>
      </c>
      <c r="AH12" s="194">
        <f t="shared" ref="AH12" si="20">AL34</f>
        <v>4763362487.9099998</v>
      </c>
      <c r="AI12" s="194">
        <f t="shared" ref="AI12" si="21">AM34</f>
        <v>4083294770.3899999</v>
      </c>
      <c r="AJ12" s="194">
        <f t="shared" ref="AJ12" si="22">AN34</f>
        <v>3906127048.1799998</v>
      </c>
      <c r="AK12" s="194">
        <f t="shared" ref="AK12" si="23">AO34</f>
        <v>3854504724.2399998</v>
      </c>
      <c r="AL12" s="194">
        <f t="shared" ref="AL12" si="24">AP34</f>
        <v>3677296943.1199999</v>
      </c>
      <c r="AM12" s="194">
        <f t="shared" ref="AM12" si="25">AQ34</f>
        <v>3375696340.1199999</v>
      </c>
      <c r="AN12" s="194">
        <f t="shared" ref="AN12" si="26">AR34</f>
        <v>3400082080.6599998</v>
      </c>
      <c r="AO12" s="194">
        <f t="shared" ref="AO12" si="27">AS34</f>
        <v>3358536216.3299999</v>
      </c>
      <c r="AP12" s="194">
        <f t="shared" ref="AP12" si="28">AT34</f>
        <v>3307763208.5799999</v>
      </c>
      <c r="AQ12" s="194">
        <f t="shared" ref="AQ12" si="29">AU34</f>
        <v>3300541529.6399999</v>
      </c>
      <c r="AR12" s="194">
        <f t="shared" ref="AR12" si="30">AV34</f>
        <v>3282300476.4299998</v>
      </c>
      <c r="AS12" s="194">
        <f t="shared" ref="AS12" si="31">AW34</f>
        <v>3561990867.2600002</v>
      </c>
      <c r="AT12" s="194">
        <f t="shared" ref="AT12" si="32">AX34</f>
        <v>3393306519.4499998</v>
      </c>
      <c r="AU12" s="194">
        <f t="shared" ref="AU12" si="33">AY34</f>
        <v>3380614536.4499998</v>
      </c>
      <c r="AV12" s="194">
        <f t="shared" ref="AV12" si="34">AZ34</f>
        <v>3387405050.9299998</v>
      </c>
      <c r="AW12" s="194">
        <f t="shared" ref="AW12" si="35">BA34</f>
        <v>3315377610.9499998</v>
      </c>
      <c r="AX12" s="194">
        <f t="shared" ref="AX12" si="36">BB34</f>
        <v>2977168063.4000001</v>
      </c>
      <c r="AY12" s="194">
        <f t="shared" ref="AY12" si="37">BC34</f>
        <v>2730481853.6799998</v>
      </c>
      <c r="AZ12" s="194">
        <f t="shared" ref="AZ12" si="38">BD34</f>
        <v>2255325807.1500001</v>
      </c>
      <c r="BA12" s="194">
        <f t="shared" ref="BA12" si="39">BE34</f>
        <v>1916581818.3599999</v>
      </c>
      <c r="BB12" s="194">
        <f t="shared" ref="BB12" si="40">BF34</f>
        <v>1419531129.03</v>
      </c>
      <c r="BC12" s="194">
        <f t="shared" ref="BC12" si="41">BG34</f>
        <v>1069835224.3900001</v>
      </c>
      <c r="BD12" s="194">
        <f t="shared" ref="BD12" si="42">BH34</f>
        <v>843918677.71000004</v>
      </c>
      <c r="BE12" s="194">
        <f t="shared" ref="BE12" si="43">BI34</f>
        <v>736163016.33000004</v>
      </c>
      <c r="BF12" s="194">
        <f t="shared" ref="BF12" si="44">BJ34</f>
        <v>557671110.63999999</v>
      </c>
      <c r="BG12" s="194">
        <f t="shared" ref="BG12" si="45">BK34</f>
        <v>467974029.53999996</v>
      </c>
      <c r="BH12" s="194">
        <f t="shared" ref="BH12" si="46">BL34</f>
        <v>432786363.17999995</v>
      </c>
      <c r="BI12" s="194">
        <f t="shared" ref="BI12" si="47">BM34</f>
        <v>405881649.25</v>
      </c>
      <c r="BJ12" s="194">
        <f t="shared" ref="BJ12" si="48">BN34</f>
        <v>341778130.64999998</v>
      </c>
      <c r="BK12" s="194">
        <f t="shared" ref="BK12" si="49">BO34</f>
        <v>298253766.31999999</v>
      </c>
      <c r="BL12" s="194">
        <f t="shared" ref="BL12" si="50">BP34</f>
        <v>279440792.93000001</v>
      </c>
      <c r="BM12" s="194">
        <f t="shared" ref="BM12" si="51">BQ34</f>
        <v>3677296943.1199999</v>
      </c>
      <c r="BN12" s="194">
        <f t="shared" ref="BN12" si="52">BR34</f>
        <v>3375696340.1199999</v>
      </c>
    </row>
    <row r="13" spans="1:74" s="221" customFormat="1" x14ac:dyDescent="0.25">
      <c r="A13" s="221" t="s">
        <v>351</v>
      </c>
      <c r="E13" s="221">
        <f>E11/E12</f>
        <v>0.12017324032358638</v>
      </c>
      <c r="F13" s="221">
        <f t="shared" ref="F13:AR13" si="53">F11/F12</f>
        <v>0.19283613496231206</v>
      </c>
      <c r="G13" s="221">
        <f t="shared" si="53"/>
        <v>9.9303994826616462E-2</v>
      </c>
      <c r="H13" s="221">
        <f t="shared" si="53"/>
        <v>8.3537381866345753E-2</v>
      </c>
      <c r="I13" s="221">
        <f t="shared" si="53"/>
        <v>0.23765470898245936</v>
      </c>
      <c r="J13" s="221">
        <f t="shared" si="53"/>
        <v>0.29211875136359938</v>
      </c>
      <c r="K13" s="221">
        <f t="shared" si="53"/>
        <v>8.8385868590959232E-2</v>
      </c>
      <c r="L13" s="221">
        <f t="shared" si="53"/>
        <v>6.3143997609036273E-2</v>
      </c>
      <c r="M13" s="221">
        <f t="shared" si="53"/>
        <v>0.28848493985278673</v>
      </c>
      <c r="N13" s="221">
        <f t="shared" si="53"/>
        <v>0.3404222276602959</v>
      </c>
      <c r="O13" s="221">
        <f t="shared" si="53"/>
        <v>0.1922147406360433</v>
      </c>
      <c r="P13" s="221">
        <f t="shared" si="53"/>
        <v>0.13507945511987018</v>
      </c>
      <c r="Q13" s="221">
        <f t="shared" si="53"/>
        <v>0.13663136249754915</v>
      </c>
      <c r="R13" s="221">
        <f t="shared" si="53"/>
        <v>0.17502563776950089</v>
      </c>
      <c r="S13" s="221">
        <f t="shared" si="53"/>
        <v>6.5098509476437638E-2</v>
      </c>
      <c r="T13" s="221">
        <f t="shared" si="53"/>
        <v>6.2373763899602842E-2</v>
      </c>
      <c r="U13" s="221">
        <f t="shared" si="53"/>
        <v>0.19088515658367985</v>
      </c>
      <c r="V13" s="221">
        <f t="shared" si="53"/>
        <v>0.23292042722312445</v>
      </c>
      <c r="W13" s="221">
        <f t="shared" si="53"/>
        <v>0.11124980389168099</v>
      </c>
      <c r="X13" s="221">
        <f t="shared" si="53"/>
        <v>0.11714665542951194</v>
      </c>
      <c r="Y13" s="221">
        <f t="shared" si="53"/>
        <v>0.47348794684663886</v>
      </c>
      <c r="Z13" s="221">
        <f t="shared" si="53"/>
        <v>0.43357030444499256</v>
      </c>
      <c r="AA13" s="221">
        <f t="shared" si="53"/>
        <v>0.17992068131523428</v>
      </c>
      <c r="AB13" s="221">
        <f t="shared" si="53"/>
        <v>7.6531437382534276E-2</v>
      </c>
      <c r="AC13" s="221">
        <f t="shared" si="53"/>
        <v>0.44197118736953306</v>
      </c>
      <c r="AD13" s="221">
        <f t="shared" si="53"/>
        <v>0.55440598459129986</v>
      </c>
      <c r="AE13" s="221" t="e">
        <f t="shared" si="53"/>
        <v>#DIV/0!</v>
      </c>
      <c r="AF13" s="221" t="e">
        <f t="shared" si="53"/>
        <v>#DIV/0!</v>
      </c>
      <c r="AG13" s="221" t="e">
        <f t="shared" si="53"/>
        <v>#DIV/0!</v>
      </c>
      <c r="AH13" s="221">
        <f t="shared" si="53"/>
        <v>1.2019725883830695E-2</v>
      </c>
      <c r="AI13" s="221">
        <f t="shared" si="53"/>
        <v>4.8909055022967503E-3</v>
      </c>
      <c r="AJ13" s="221">
        <f t="shared" si="53"/>
        <v>4.6420445869646059E-3</v>
      </c>
      <c r="AK13" s="221">
        <f t="shared" si="53"/>
        <v>0</v>
      </c>
      <c r="AL13" s="221">
        <f t="shared" si="53"/>
        <v>0.29207631108754628</v>
      </c>
      <c r="AM13" s="221">
        <f t="shared" si="53"/>
        <v>0.13732328008019856</v>
      </c>
      <c r="AN13" s="221">
        <f t="shared" si="53"/>
        <v>6.0837395528359518E-2</v>
      </c>
      <c r="AO13" s="221">
        <f t="shared" si="53"/>
        <v>0.21921114740114511</v>
      </c>
      <c r="AP13" s="221">
        <f t="shared" si="53"/>
        <v>0.18728629422537973</v>
      </c>
      <c r="AQ13" s="221">
        <f t="shared" si="53"/>
        <v>8.4338258794871696E-2</v>
      </c>
      <c r="AR13" s="221">
        <f t="shared" si="53"/>
        <v>0.1018435039724277</v>
      </c>
    </row>
    <row r="14" spans="1:74" s="48" customFormat="1" x14ac:dyDescent="0.25">
      <c r="A14" s="46" t="s">
        <v>293</v>
      </c>
    </row>
    <row r="15" spans="1:74" s="26" customFormat="1" x14ac:dyDescent="0.25">
      <c r="A15" s="17" t="s">
        <v>313</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20585000</v>
      </c>
      <c r="AT15" s="191">
        <v>20585000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row>
    <row r="16" spans="1:74" s="26" customFormat="1" x14ac:dyDescent="0.25">
      <c r="A16" s="17" t="s">
        <v>314</v>
      </c>
      <c r="B16" s="191">
        <v>0</v>
      </c>
      <c r="C16" s="191">
        <v>0</v>
      </c>
      <c r="D16" s="191">
        <v>0</v>
      </c>
      <c r="E16" s="191">
        <v>0</v>
      </c>
      <c r="F16" s="191">
        <v>0</v>
      </c>
      <c r="G16" s="191">
        <v>0</v>
      </c>
      <c r="H16" s="191">
        <v>0</v>
      </c>
      <c r="I16" s="191">
        <v>891869702.13</v>
      </c>
      <c r="J16" s="191">
        <v>891869702.51999998</v>
      </c>
      <c r="K16" s="191">
        <v>896988543.84000003</v>
      </c>
      <c r="L16" s="191">
        <v>906764353.39999998</v>
      </c>
      <c r="M16" s="191">
        <v>0</v>
      </c>
      <c r="N16" s="191">
        <v>0</v>
      </c>
      <c r="O16" s="191">
        <v>0</v>
      </c>
      <c r="P16" s="191">
        <v>0</v>
      </c>
      <c r="Q16" s="191">
        <v>0</v>
      </c>
      <c r="R16" s="191">
        <v>0</v>
      </c>
      <c r="S16" s="191">
        <v>0</v>
      </c>
      <c r="T16" s="191">
        <v>0</v>
      </c>
      <c r="U16" s="191">
        <v>0</v>
      </c>
      <c r="V16" s="191">
        <v>0</v>
      </c>
      <c r="W16" s="191">
        <v>0</v>
      </c>
      <c r="X16" s="191">
        <v>0</v>
      </c>
      <c r="Y16" s="191">
        <v>0</v>
      </c>
      <c r="Z16" s="191">
        <v>0</v>
      </c>
      <c r="AA16" s="191">
        <v>0</v>
      </c>
      <c r="AB16" s="191">
        <v>0</v>
      </c>
      <c r="AC16" s="191">
        <v>35607731.289999999</v>
      </c>
      <c r="AD16" s="191">
        <v>35607731.289999999</v>
      </c>
      <c r="AE16" s="191">
        <v>35607731.289999999</v>
      </c>
      <c r="AF16" s="191">
        <v>29547519.329999998</v>
      </c>
      <c r="AG16" s="191">
        <v>13414505.08</v>
      </c>
      <c r="AH16" s="191">
        <v>0</v>
      </c>
      <c r="AI16" s="191">
        <v>0</v>
      </c>
      <c r="AJ16" s="191">
        <v>0</v>
      </c>
      <c r="AK16" s="191">
        <v>0</v>
      </c>
      <c r="AL16" s="191">
        <v>72979056.739999995</v>
      </c>
      <c r="AM16" s="191">
        <v>72979056.739999995</v>
      </c>
      <c r="AN16" s="191">
        <v>72979056.739999995</v>
      </c>
      <c r="AO16" s="191">
        <v>72979056.739999995</v>
      </c>
      <c r="AP16" s="191">
        <v>72979056.739999995</v>
      </c>
      <c r="AQ16" s="191">
        <v>72979056.739999995</v>
      </c>
      <c r="AR16" s="191">
        <v>72979056.739999995</v>
      </c>
      <c r="AS16" s="191">
        <v>72979056.739999995</v>
      </c>
      <c r="AT16" s="191">
        <v>72979056.739999995</v>
      </c>
      <c r="AU16" s="191">
        <v>72979056.739999995</v>
      </c>
      <c r="AV16" s="191">
        <v>72979056.739999995</v>
      </c>
      <c r="AW16" s="191">
        <v>72979056.739999995</v>
      </c>
      <c r="AX16" s="191">
        <v>72979056.739999995</v>
      </c>
      <c r="AY16" s="191">
        <v>72979056.739999995</v>
      </c>
      <c r="AZ16" s="191">
        <v>72979056.739999995</v>
      </c>
      <c r="BA16" s="191">
        <v>72979056.739999995</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row>
    <row r="17" spans="1:74" s="47" customFormat="1" x14ac:dyDescent="0.25">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194" customFormat="1" x14ac:dyDescent="0.25">
      <c r="A19" s="194" t="s">
        <v>299</v>
      </c>
      <c r="E19" s="194">
        <f>E5+E17</f>
        <v>382981784.89999998</v>
      </c>
      <c r="F19" s="194">
        <f t="shared" ref="F19:AS19" si="55">F5+F17</f>
        <v>275477685.16000003</v>
      </c>
      <c r="G19" s="194">
        <f t="shared" si="55"/>
        <v>216797048.87</v>
      </c>
      <c r="H19" s="194">
        <f t="shared" si="55"/>
        <v>103881813.39</v>
      </c>
      <c r="I19" s="194">
        <f t="shared" si="55"/>
        <v>1335645776.6800001</v>
      </c>
      <c r="J19" s="194">
        <f t="shared" si="55"/>
        <v>1214377979.49</v>
      </c>
      <c r="K19" s="194">
        <f t="shared" si="55"/>
        <v>1061486890.76</v>
      </c>
      <c r="L19" s="194">
        <f t="shared" si="55"/>
        <v>966280232.25999999</v>
      </c>
      <c r="M19" s="194">
        <f t="shared" si="55"/>
        <v>355251443.25</v>
      </c>
      <c r="N19" s="194">
        <f t="shared" si="55"/>
        <v>277703252.17000002</v>
      </c>
      <c r="O19" s="194">
        <f t="shared" si="55"/>
        <v>202497730.88</v>
      </c>
      <c r="P19" s="194">
        <f t="shared" si="55"/>
        <v>106417918.25999999</v>
      </c>
      <c r="Q19" s="194">
        <f t="shared" si="55"/>
        <v>188788952.09999999</v>
      </c>
      <c r="R19" s="194">
        <f t="shared" si="55"/>
        <v>129782656.73999999</v>
      </c>
      <c r="S19" s="194">
        <f t="shared" si="55"/>
        <v>84855837.63000001</v>
      </c>
      <c r="T19" s="194">
        <f t="shared" si="55"/>
        <v>42866405.990000002</v>
      </c>
      <c r="U19" s="194">
        <f t="shared" si="55"/>
        <v>190169166.86999997</v>
      </c>
      <c r="V19" s="194">
        <f t="shared" si="55"/>
        <v>129443911.8</v>
      </c>
      <c r="W19" s="194">
        <f t="shared" si="55"/>
        <v>79882060.739999995</v>
      </c>
      <c r="X19" s="194">
        <f t="shared" si="55"/>
        <v>50117139.409999996</v>
      </c>
      <c r="Y19" s="194">
        <f t="shared" si="55"/>
        <v>243949689.86000001</v>
      </c>
      <c r="Z19" s="194">
        <f t="shared" si="55"/>
        <v>171933835.03</v>
      </c>
      <c r="AA19" s="194">
        <f t="shared" si="55"/>
        <v>90454924.260000005</v>
      </c>
      <c r="AB19" s="194">
        <f t="shared" si="55"/>
        <v>26137344.390000001</v>
      </c>
      <c r="AC19" s="194">
        <f t="shared" si="55"/>
        <v>161921820.75</v>
      </c>
      <c r="AD19" s="194">
        <f t="shared" si="55"/>
        <v>136288727.03999999</v>
      </c>
      <c r="AE19" s="194">
        <f t="shared" si="55"/>
        <v>110548081.34</v>
      </c>
      <c r="AF19" s="194">
        <f t="shared" si="55"/>
        <v>66759918.889999993</v>
      </c>
      <c r="AG19" s="194">
        <f t="shared" si="55"/>
        <v>95548808.349999994</v>
      </c>
      <c r="AH19" s="194">
        <f t="shared" si="55"/>
        <v>57254311.390000001</v>
      </c>
      <c r="AI19" s="194">
        <f t="shared" si="55"/>
        <v>39015549.149999999</v>
      </c>
      <c r="AJ19" s="194">
        <f t="shared" si="55"/>
        <v>35632246.770000003</v>
      </c>
      <c r="AK19" s="194">
        <f t="shared" si="55"/>
        <v>0</v>
      </c>
      <c r="AL19" s="194">
        <f t="shared" si="55"/>
        <v>1151753257.4100001</v>
      </c>
      <c r="AM19" s="194">
        <f t="shared" si="55"/>
        <v>681455236.38999999</v>
      </c>
      <c r="AN19" s="194">
        <f t="shared" si="55"/>
        <v>284554069.86000001</v>
      </c>
      <c r="AO19" s="194">
        <f t="shared" si="55"/>
        <v>1081545207.8399999</v>
      </c>
      <c r="AP19" s="194">
        <f t="shared" si="55"/>
        <v>692477770.25</v>
      </c>
      <c r="AQ19" s="194">
        <f t="shared" si="55"/>
        <v>480487275.02000004</v>
      </c>
      <c r="AR19" s="194">
        <f t="shared" si="55"/>
        <v>407260038.35000002</v>
      </c>
      <c r="AS19" s="194">
        <f t="shared" si="55"/>
        <v>52394056.739999995</v>
      </c>
    </row>
    <row r="20" spans="1:74" s="194" customFormat="1" x14ac:dyDescent="0.25">
      <c r="A20" s="194" t="s">
        <v>300</v>
      </c>
      <c r="B20" s="194">
        <v>336245150.81</v>
      </c>
      <c r="C20" s="194">
        <v>222163951.55000001</v>
      </c>
      <c r="D20" s="194">
        <v>95638135.140000001</v>
      </c>
      <c r="E20" s="194">
        <v>612280415.13</v>
      </c>
      <c r="F20" s="194">
        <v>524013685.56</v>
      </c>
      <c r="G20" s="194">
        <v>388747462.31999999</v>
      </c>
      <c r="H20" s="194">
        <v>257293820.97999999</v>
      </c>
      <c r="I20" s="194">
        <v>152654463.16999999</v>
      </c>
      <c r="J20" s="194">
        <v>145353901.49000001</v>
      </c>
      <c r="K20" s="194">
        <v>86112662.510000005</v>
      </c>
      <c r="L20" s="194">
        <v>102339094.16</v>
      </c>
      <c r="M20" s="194">
        <v>366599551.26999998</v>
      </c>
      <c r="N20" s="194">
        <v>301398516.12</v>
      </c>
      <c r="O20" s="194">
        <v>176387130.99000001</v>
      </c>
      <c r="P20" s="194">
        <v>133686240.64</v>
      </c>
      <c r="Q20" s="194">
        <v>143375664.33000001</v>
      </c>
      <c r="R20" s="194">
        <v>129319731.53</v>
      </c>
      <c r="S20" s="194">
        <v>56104951.130000003</v>
      </c>
      <c r="T20" s="194">
        <v>25001014.359999999</v>
      </c>
      <c r="U20" s="194">
        <v>198143305.22999999</v>
      </c>
      <c r="V20" s="194">
        <v>128871538</v>
      </c>
      <c r="W20" s="194">
        <v>65391736.07</v>
      </c>
      <c r="X20" s="194">
        <v>28403041.719999999</v>
      </c>
      <c r="Y20" s="194">
        <v>66414783.799999997</v>
      </c>
      <c r="Z20" s="194">
        <v>63801535.789999999</v>
      </c>
      <c r="AA20" s="194">
        <v>31337114.91</v>
      </c>
      <c r="AB20" s="194">
        <v>59383.69</v>
      </c>
      <c r="AC20" s="194">
        <v>189079188.53</v>
      </c>
      <c r="AD20" s="194">
        <v>216560178.52000001</v>
      </c>
      <c r="AE20" s="194">
        <v>144211016.88</v>
      </c>
      <c r="AF20" s="194">
        <v>52098792.939999998</v>
      </c>
      <c r="AG20" s="194">
        <v>156068852.72</v>
      </c>
      <c r="AH20" s="194">
        <v>117420567.38</v>
      </c>
      <c r="AI20" s="194">
        <v>94704915.730000004</v>
      </c>
      <c r="AJ20" s="194">
        <v>64957959.640000001</v>
      </c>
      <c r="AK20" s="194">
        <v>0</v>
      </c>
      <c r="AL20" s="194">
        <v>971572847.78999996</v>
      </c>
      <c r="AM20" s="194">
        <v>1037731137.3200001</v>
      </c>
      <c r="AN20" s="194">
        <v>500247022.56</v>
      </c>
      <c r="AO20" s="194">
        <v>2000204491.3900001</v>
      </c>
      <c r="AP20" s="194">
        <v>892259381.87</v>
      </c>
      <c r="AQ20" s="194">
        <v>477364493.25</v>
      </c>
      <c r="AR20" s="194">
        <v>25279397.539999999</v>
      </c>
      <c r="AS20" s="194">
        <v>1282377054.47</v>
      </c>
      <c r="AT20" s="194">
        <v>1160994477.8499999</v>
      </c>
      <c r="AU20" s="194">
        <v>569187150.11000001</v>
      </c>
      <c r="AV20" s="194">
        <v>96061223.269999996</v>
      </c>
      <c r="AW20" s="194">
        <v>932348065.53999996</v>
      </c>
      <c r="AX20" s="194">
        <v>688901516.20000005</v>
      </c>
      <c r="AY20" s="194">
        <v>374889372.88</v>
      </c>
      <c r="AZ20" s="194">
        <v>96915024.75</v>
      </c>
      <c r="BA20" s="194">
        <v>827396286.11000001</v>
      </c>
      <c r="BB20" s="194">
        <v>563138867.80999994</v>
      </c>
      <c r="BC20" s="194">
        <v>307046407.83999997</v>
      </c>
      <c r="BD20" s="194">
        <v>279545545.48000002</v>
      </c>
      <c r="BE20" s="194">
        <v>203227700.44999999</v>
      </c>
      <c r="BF20" s="194">
        <v>284809595.38999999</v>
      </c>
      <c r="BG20" s="194">
        <v>289387069.45999998</v>
      </c>
      <c r="BH20" s="194">
        <v>80152588.599999994</v>
      </c>
      <c r="BI20" s="194">
        <v>374222722.25</v>
      </c>
      <c r="BJ20" s="194">
        <v>316474185.83999997</v>
      </c>
      <c r="BK20" s="194">
        <v>126099964.81999999</v>
      </c>
      <c r="BL20" s="194">
        <v>34925382.18</v>
      </c>
      <c r="BM20" s="194">
        <v>123979697.90000001</v>
      </c>
      <c r="BN20" s="194">
        <v>727757.03</v>
      </c>
      <c r="BO20" s="194">
        <v>84766521.489999995</v>
      </c>
      <c r="BP20" s="194">
        <v>32597122.539999999</v>
      </c>
      <c r="BQ20" s="194">
        <v>84086054.370000005</v>
      </c>
      <c r="BR20" s="194">
        <v>-11879172.720000001</v>
      </c>
      <c r="BS20" s="194">
        <v>54437569.759999998</v>
      </c>
      <c r="BT20" s="194">
        <v>0</v>
      </c>
    </row>
    <row r="21" spans="1:74" s="222" customFormat="1" x14ac:dyDescent="0.25">
      <c r="A21" s="222" t="s">
        <v>670</v>
      </c>
      <c r="E21" s="222">
        <f>E20/E19</f>
        <v>1.5987194150496531</v>
      </c>
      <c r="F21" s="222">
        <f t="shared" ref="F21:AS21" si="56">F20/F19</f>
        <v>1.9022001192425002</v>
      </c>
      <c r="G21" s="222">
        <f t="shared" si="56"/>
        <v>1.793140009729137</v>
      </c>
      <c r="H21" s="222">
        <f t="shared" si="56"/>
        <v>2.4767937002991123</v>
      </c>
      <c r="I21" s="222">
        <f t="shared" si="56"/>
        <v>0.11429262596064317</v>
      </c>
      <c r="J21" s="222">
        <f t="shared" si="56"/>
        <v>0.11969411826048099</v>
      </c>
      <c r="K21" s="222">
        <f t="shared" si="56"/>
        <v>8.1124565229764953E-2</v>
      </c>
      <c r="L21" s="222">
        <f t="shared" si="56"/>
        <v>0.10591036714126147</v>
      </c>
      <c r="M21" s="222">
        <f t="shared" si="56"/>
        <v>1.0319438759099255</v>
      </c>
      <c r="N21" s="222">
        <f t="shared" si="56"/>
        <v>1.0853258424769709</v>
      </c>
      <c r="O21" s="222">
        <f t="shared" si="56"/>
        <v>0.87105732110414058</v>
      </c>
      <c r="P21" s="222">
        <f t="shared" si="56"/>
        <v>1.2562380736802059</v>
      </c>
      <c r="Q21" s="222">
        <f t="shared" si="56"/>
        <v>0.75944944201001274</v>
      </c>
      <c r="R21" s="222">
        <f t="shared" si="56"/>
        <v>0.99643307340419607</v>
      </c>
      <c r="S21" s="222">
        <f t="shared" si="56"/>
        <v>0.66117962767201066</v>
      </c>
      <c r="T21" s="222">
        <f t="shared" si="56"/>
        <v>0.58323094233354456</v>
      </c>
      <c r="U21" s="222">
        <f t="shared" si="56"/>
        <v>1.0419318151898469</v>
      </c>
      <c r="V21" s="222">
        <f t="shared" si="56"/>
        <v>0.99557820995950463</v>
      </c>
      <c r="W21" s="222">
        <f t="shared" si="56"/>
        <v>0.81860351954160171</v>
      </c>
      <c r="X21" s="222">
        <f t="shared" si="56"/>
        <v>0.56673309878362033</v>
      </c>
      <c r="Y21" s="222">
        <f t="shared" si="56"/>
        <v>0.2722478714283863</v>
      </c>
      <c r="Z21" s="222">
        <f t="shared" si="56"/>
        <v>0.37108190938024238</v>
      </c>
      <c r="AA21" s="222">
        <f t="shared" si="56"/>
        <v>0.34643901552474748</v>
      </c>
      <c r="AB21" s="222">
        <f t="shared" si="56"/>
        <v>2.2719863622686878E-3</v>
      </c>
      <c r="AC21" s="222">
        <f t="shared" si="56"/>
        <v>1.1677190118923486</v>
      </c>
      <c r="AD21" s="222">
        <f t="shared" si="56"/>
        <v>1.5889808586768941</v>
      </c>
      <c r="AE21" s="222">
        <f t="shared" si="56"/>
        <v>1.3045094508376567</v>
      </c>
      <c r="AF21" s="222">
        <f t="shared" si="56"/>
        <v>0.78039029714585084</v>
      </c>
      <c r="AG21" s="222">
        <f t="shared" si="56"/>
        <v>1.6333940256827912</v>
      </c>
      <c r="AH21" s="222">
        <f t="shared" si="56"/>
        <v>2.050859830977001</v>
      </c>
      <c r="AI21" s="222">
        <f t="shared" si="56"/>
        <v>2.4273633921156792</v>
      </c>
      <c r="AJ21" s="222">
        <f t="shared" si="56"/>
        <v>1.8230104898883421</v>
      </c>
      <c r="AK21" s="222" t="e">
        <f t="shared" si="56"/>
        <v>#DIV/0!</v>
      </c>
      <c r="AL21" s="222">
        <f t="shared" si="56"/>
        <v>0.84355988710187801</v>
      </c>
      <c r="AM21" s="222">
        <f t="shared" si="56"/>
        <v>1.5228162935798497</v>
      </c>
      <c r="AN21" s="222">
        <f t="shared" si="56"/>
        <v>1.7580034009217316</v>
      </c>
      <c r="AO21" s="222">
        <f t="shared" si="56"/>
        <v>1.8493951772803783</v>
      </c>
      <c r="AP21" s="222">
        <f t="shared" si="56"/>
        <v>1.2885025631189206</v>
      </c>
      <c r="AQ21" s="222">
        <f t="shared" si="56"/>
        <v>0.99350080234722127</v>
      </c>
      <c r="AR21" s="222">
        <f t="shared" si="56"/>
        <v>6.2071883218443445E-2</v>
      </c>
      <c r="AS21" s="222">
        <f t="shared" si="56"/>
        <v>24.475620600131453</v>
      </c>
    </row>
    <row r="22" spans="1:74" s="194" customFormat="1" x14ac:dyDescent="0.25">
      <c r="A22" s="194" t="s">
        <v>301</v>
      </c>
      <c r="E22" s="194">
        <f>I35</f>
        <v>497394672.38</v>
      </c>
      <c r="F22" s="194">
        <f t="shared" ref="F22:Y22" si="57">J35</f>
        <v>1041896896.37</v>
      </c>
      <c r="G22" s="194">
        <f t="shared" si="57"/>
        <v>388776166.88</v>
      </c>
      <c r="H22" s="194">
        <f t="shared" si="57"/>
        <v>680598376.45000005</v>
      </c>
      <c r="I22" s="194">
        <f t="shared" si="57"/>
        <v>696197785.22000003</v>
      </c>
      <c r="J22" s="194">
        <f t="shared" si="57"/>
        <v>690790735.84000003</v>
      </c>
      <c r="K22" s="194">
        <f t="shared" si="57"/>
        <v>641525323.09000003</v>
      </c>
      <c r="L22" s="194">
        <f t="shared" si="57"/>
        <v>1255365928.1900001</v>
      </c>
      <c r="M22" s="194">
        <f t="shared" si="57"/>
        <v>234632252.44</v>
      </c>
      <c r="N22" s="194">
        <f t="shared" si="57"/>
        <v>276684977.61000001</v>
      </c>
      <c r="O22" s="194">
        <f t="shared" si="57"/>
        <v>249178979.92000002</v>
      </c>
      <c r="P22" s="194">
        <f t="shared" si="57"/>
        <v>310229232.98000002</v>
      </c>
      <c r="Q22" s="194">
        <f t="shared" si="57"/>
        <v>322460861.60000002</v>
      </c>
      <c r="R22" s="194">
        <f t="shared" si="57"/>
        <v>306954505.58999997</v>
      </c>
      <c r="S22" s="194">
        <f t="shared" si="57"/>
        <v>296309711.63999999</v>
      </c>
      <c r="T22" s="194">
        <f t="shared" si="57"/>
        <v>419339678.55000001</v>
      </c>
      <c r="U22" s="194">
        <f t="shared" si="57"/>
        <v>433419520.76999998</v>
      </c>
      <c r="V22" s="194">
        <f t="shared" si="57"/>
        <v>413831417.81</v>
      </c>
      <c r="W22" s="194">
        <f t="shared" si="57"/>
        <v>460824111.80000001</v>
      </c>
      <c r="X22" s="194">
        <f t="shared" si="57"/>
        <v>596710534.11000001</v>
      </c>
      <c r="Y22" s="194">
        <f t="shared" si="57"/>
        <v>847566521.58000004</v>
      </c>
      <c r="Z22" s="194">
        <f t="shared" ref="Z22" si="58">AD35</f>
        <v>29624772.98</v>
      </c>
      <c r="AA22" s="194">
        <f t="shared" ref="AA22" si="59">AE35</f>
        <v>44141747.770000003</v>
      </c>
      <c r="AB22" s="194">
        <f t="shared" ref="AB22" si="60">AF35</f>
        <v>49695104.770000003</v>
      </c>
      <c r="AC22" s="194">
        <f t="shared" ref="AC22" si="61">AG35</f>
        <v>99638795.879999995</v>
      </c>
      <c r="AD22" s="194">
        <f t="shared" ref="AD22" si="62">AH35</f>
        <v>47811682.519999996</v>
      </c>
      <c r="AE22" s="194">
        <f t="shared" ref="AE22" si="63">AI35</f>
        <v>0</v>
      </c>
      <c r="AF22" s="194">
        <f t="shared" ref="AF22" si="64">AJ35</f>
        <v>0</v>
      </c>
      <c r="AG22" s="194">
        <f t="shared" ref="AG22" si="65">AK35</f>
        <v>0</v>
      </c>
      <c r="AH22" s="194">
        <f t="shared" ref="AH22" si="66">AL35</f>
        <v>0</v>
      </c>
      <c r="AI22" s="194">
        <f t="shared" ref="AI22" si="67">AM35</f>
        <v>0</v>
      </c>
      <c r="AJ22" s="194">
        <f t="shared" ref="AJ22" si="68">AN35</f>
        <v>0</v>
      </c>
      <c r="AK22" s="194">
        <f t="shared" ref="AK22" si="69">AO35</f>
        <v>0</v>
      </c>
      <c r="AL22" s="194">
        <f t="shared" ref="AL22" si="70">AP35</f>
        <v>0</v>
      </c>
      <c r="AM22" s="194">
        <f t="shared" ref="AM22" si="71">AQ35</f>
        <v>0</v>
      </c>
      <c r="AN22" s="194">
        <f t="shared" ref="AN22" si="72">AR35</f>
        <v>0</v>
      </c>
      <c r="AO22" s="194">
        <f t="shared" ref="AO22" si="73">AS35</f>
        <v>0</v>
      </c>
      <c r="AP22" s="194">
        <f t="shared" ref="AP22" si="74">AT35</f>
        <v>0</v>
      </c>
      <c r="AQ22" s="194">
        <f t="shared" ref="AQ22" si="75">AU35</f>
        <v>0</v>
      </c>
      <c r="AR22" s="194">
        <f t="shared" ref="AR22" si="76">AV35</f>
        <v>0</v>
      </c>
      <c r="AS22" s="194">
        <f t="shared" ref="AS22" si="77">AW35</f>
        <v>0</v>
      </c>
    </row>
    <row r="23" spans="1:74" s="194" customFormat="1" x14ac:dyDescent="0.25">
      <c r="A23" s="194" t="s">
        <v>302</v>
      </c>
      <c r="E23" s="194">
        <f>E20+E22-E19</f>
        <v>726693302.61000001</v>
      </c>
      <c r="F23" s="194">
        <f t="shared" ref="F23:AS23" si="78">F20+F22-F19</f>
        <v>1290432896.77</v>
      </c>
      <c r="G23" s="194">
        <f t="shared" si="78"/>
        <v>560726580.33000004</v>
      </c>
      <c r="H23" s="194">
        <f t="shared" si="78"/>
        <v>834010384.04000008</v>
      </c>
      <c r="I23" s="194">
        <f t="shared" si="78"/>
        <v>-486793528.29000008</v>
      </c>
      <c r="J23" s="194">
        <f t="shared" si="78"/>
        <v>-378233342.15999997</v>
      </c>
      <c r="K23" s="194">
        <f t="shared" si="78"/>
        <v>-333848905.15999997</v>
      </c>
      <c r="L23" s="194">
        <f t="shared" si="78"/>
        <v>391424790.09000015</v>
      </c>
      <c r="M23" s="194">
        <f t="shared" si="78"/>
        <v>245980360.46000004</v>
      </c>
      <c r="N23" s="194">
        <f t="shared" si="78"/>
        <v>300380241.56</v>
      </c>
      <c r="O23" s="194">
        <f t="shared" si="78"/>
        <v>223068380.03000003</v>
      </c>
      <c r="P23" s="194">
        <f t="shared" si="78"/>
        <v>337497555.36000001</v>
      </c>
      <c r="Q23" s="194">
        <f t="shared" si="78"/>
        <v>277047573.83000004</v>
      </c>
      <c r="R23" s="194">
        <f t="shared" si="78"/>
        <v>306491580.38</v>
      </c>
      <c r="S23" s="194">
        <f t="shared" si="78"/>
        <v>267558825.13999999</v>
      </c>
      <c r="T23" s="194">
        <f t="shared" si="78"/>
        <v>401474286.92000002</v>
      </c>
      <c r="U23" s="194">
        <f t="shared" si="78"/>
        <v>441393659.13</v>
      </c>
      <c r="V23" s="194">
        <f t="shared" si="78"/>
        <v>413259044.00999993</v>
      </c>
      <c r="W23" s="194">
        <f t="shared" si="78"/>
        <v>446333787.13</v>
      </c>
      <c r="X23" s="194">
        <f t="shared" si="78"/>
        <v>574996436.42000008</v>
      </c>
      <c r="Y23" s="194">
        <f t="shared" si="78"/>
        <v>670031615.51999998</v>
      </c>
      <c r="Z23" s="194">
        <f t="shared" si="78"/>
        <v>-78507526.260000005</v>
      </c>
      <c r="AA23" s="194">
        <f t="shared" si="78"/>
        <v>-14976061.579999998</v>
      </c>
      <c r="AB23" s="194">
        <f t="shared" si="78"/>
        <v>23617144.07</v>
      </c>
      <c r="AC23" s="194">
        <f t="shared" si="78"/>
        <v>126796163.65999997</v>
      </c>
      <c r="AD23" s="194">
        <f t="shared" si="78"/>
        <v>128083134.00000003</v>
      </c>
      <c r="AE23" s="194">
        <f t="shared" si="78"/>
        <v>33662935.539999992</v>
      </c>
      <c r="AF23" s="194">
        <f t="shared" si="78"/>
        <v>-14661125.949999996</v>
      </c>
      <c r="AG23" s="194">
        <f t="shared" si="78"/>
        <v>60520044.370000005</v>
      </c>
      <c r="AH23" s="194">
        <f t="shared" si="78"/>
        <v>60166255.989999995</v>
      </c>
      <c r="AI23" s="194">
        <f t="shared" si="78"/>
        <v>55689366.580000006</v>
      </c>
      <c r="AJ23" s="194">
        <f t="shared" si="78"/>
        <v>29325712.869999997</v>
      </c>
      <c r="AK23" s="194">
        <f t="shared" si="78"/>
        <v>0</v>
      </c>
      <c r="AL23" s="194">
        <f t="shared" si="78"/>
        <v>-180180409.62000012</v>
      </c>
      <c r="AM23" s="194">
        <f t="shared" si="78"/>
        <v>356275900.93000007</v>
      </c>
      <c r="AN23" s="194">
        <f t="shared" si="78"/>
        <v>215692952.69999999</v>
      </c>
      <c r="AO23" s="194">
        <f t="shared" si="78"/>
        <v>918659283.55000019</v>
      </c>
      <c r="AP23" s="194">
        <f t="shared" si="78"/>
        <v>199781611.62</v>
      </c>
      <c r="AQ23" s="194">
        <f t="shared" si="78"/>
        <v>-3122781.7700000405</v>
      </c>
      <c r="AR23" s="194">
        <f t="shared" si="78"/>
        <v>-381980640.81</v>
      </c>
      <c r="AS23" s="194">
        <f t="shared" si="78"/>
        <v>1229982997.73</v>
      </c>
    </row>
    <row r="24" spans="1:74" s="222" customFormat="1" x14ac:dyDescent="0.25">
      <c r="A24" s="222" t="s">
        <v>303</v>
      </c>
      <c r="B24" s="194">
        <v>20756423.41</v>
      </c>
      <c r="C24" s="194">
        <v>21351976.27</v>
      </c>
      <c r="D24" s="194">
        <v>-544245.64</v>
      </c>
      <c r="E24" s="194">
        <v>-130014013.08</v>
      </c>
      <c r="F24" s="194">
        <v>-129067452.18000001</v>
      </c>
      <c r="G24" s="194">
        <v>-129366766.76000001</v>
      </c>
      <c r="H24" s="194">
        <v>-782552.05</v>
      </c>
      <c r="I24" s="194">
        <v>870107918.21000004</v>
      </c>
      <c r="J24" s="194">
        <v>1336609335.0799999</v>
      </c>
      <c r="K24" s="194">
        <v>656765165.41999996</v>
      </c>
      <c r="L24" s="194">
        <v>704005371.42999995</v>
      </c>
      <c r="M24" s="194">
        <v>925528561.24000001</v>
      </c>
      <c r="N24" s="194">
        <v>925528561.24000001</v>
      </c>
      <c r="O24" s="194">
        <v>925528561.24000001</v>
      </c>
      <c r="P24" s="194">
        <v>993394766.67999995</v>
      </c>
      <c r="Q24" s="194">
        <v>-46164658.409999996</v>
      </c>
      <c r="R24" s="194">
        <v>-47183673.039999999</v>
      </c>
      <c r="S24" s="194">
        <v>-46825469.310000002</v>
      </c>
      <c r="T24" s="194">
        <v>6243174.4100000001</v>
      </c>
      <c r="U24" s="194">
        <v>-109764360.47</v>
      </c>
      <c r="V24" s="194">
        <v>-118131806.03</v>
      </c>
      <c r="W24" s="194">
        <v>-116775599.72</v>
      </c>
      <c r="X24" s="194">
        <v>11806305.689999999</v>
      </c>
      <c r="Y24" s="194">
        <v>-239090110.02000001</v>
      </c>
      <c r="Z24" s="194">
        <v>-327527946.01999998</v>
      </c>
      <c r="AA24" s="194">
        <v>-327527946.01999998</v>
      </c>
      <c r="AB24" s="194">
        <v>-221887682.27000001</v>
      </c>
      <c r="AC24" s="194">
        <v>771860040.41999996</v>
      </c>
      <c r="AD24" s="194">
        <v>-98546115.840000004</v>
      </c>
      <c r="AE24" s="194">
        <v>-38231033.710000001</v>
      </c>
      <c r="AF24" s="194">
        <v>11148962.82</v>
      </c>
      <c r="AG24" s="194">
        <v>-88499921.239999995</v>
      </c>
      <c r="AH24" s="194">
        <v>-126969776.14</v>
      </c>
      <c r="AI24" s="194">
        <v>-2556205.9500000002</v>
      </c>
      <c r="AJ24" s="194">
        <v>10972894.08</v>
      </c>
      <c r="AK24" s="194">
        <v>0</v>
      </c>
      <c r="AL24" s="222">
        <v>878115980.08000004</v>
      </c>
      <c r="AM24" s="222">
        <v>848464475.28999996</v>
      </c>
      <c r="AN24" s="222">
        <v>1005339550.22</v>
      </c>
      <c r="AO24" s="222">
        <v>-1164027199.5899999</v>
      </c>
      <c r="AP24" s="222">
        <v>-910105478.90999997</v>
      </c>
      <c r="AQ24" s="222">
        <v>-824271871.38999999</v>
      </c>
      <c r="AR24" s="222">
        <v>13317634.869999999</v>
      </c>
      <c r="AS24" s="222">
        <v>232303057.16999999</v>
      </c>
      <c r="AT24" s="222">
        <v>102340429.64</v>
      </c>
      <c r="AU24" s="222">
        <v>114682289.03</v>
      </c>
      <c r="AV24" s="222">
        <v>67733183.680000007</v>
      </c>
      <c r="AW24" s="222">
        <v>-377094583.62</v>
      </c>
      <c r="AX24" s="222">
        <v>-162665891.11000001</v>
      </c>
      <c r="AY24" s="222">
        <v>-96314213.319999993</v>
      </c>
      <c r="AZ24" s="222">
        <v>159510136.62</v>
      </c>
      <c r="BA24" s="222">
        <v>387539526.37</v>
      </c>
      <c r="BB24" s="222">
        <v>481367622.10000002</v>
      </c>
      <c r="BC24" s="222">
        <v>542189012.48000002</v>
      </c>
      <c r="BD24" s="222">
        <v>300535070.19999999</v>
      </c>
      <c r="BE24" s="222">
        <v>1164549226.24</v>
      </c>
      <c r="BF24" s="222">
        <v>641801556.5</v>
      </c>
      <c r="BG24" s="222">
        <v>423316961.5</v>
      </c>
      <c r="BH24" s="222">
        <v>46918681.5</v>
      </c>
      <c r="BI24" s="222">
        <v>60358944.159999996</v>
      </c>
      <c r="BJ24" s="222">
        <v>73839976.620000005</v>
      </c>
      <c r="BK24" s="222">
        <v>-63206828.630000003</v>
      </c>
      <c r="BL24" s="222">
        <v>14520783.07</v>
      </c>
      <c r="BM24" s="222">
        <v>30398650</v>
      </c>
      <c r="BN24" s="222">
        <v>-48000000</v>
      </c>
      <c r="BO24" s="222">
        <v>-102155502.83</v>
      </c>
      <c r="BP24" s="222">
        <v>-96355930.5</v>
      </c>
      <c r="BQ24" s="222">
        <v>432373011.86000001</v>
      </c>
      <c r="BR24" s="222">
        <v>15390719.83</v>
      </c>
      <c r="BS24" s="222">
        <v>2453913.44</v>
      </c>
      <c r="BT24" s="222">
        <v>0</v>
      </c>
    </row>
    <row r="25" spans="1:74" s="243" customFormat="1" ht="138.6" customHeight="1" x14ac:dyDescent="0.25">
      <c r="A25" s="271" t="s">
        <v>746</v>
      </c>
      <c r="B25" s="272"/>
      <c r="C25" s="272"/>
      <c r="D25" s="272"/>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2" t="s">
        <v>634</v>
      </c>
      <c r="E29" s="183" t="e">
        <f>POWER(E28/U28,1/5)-1</f>
        <v>#DIV/0!</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1">
        <v>2546051932.0799999</v>
      </c>
      <c r="C31" s="191">
        <v>2489555199.4299998</v>
      </c>
      <c r="D31" s="191">
        <v>2414293201.4000001</v>
      </c>
      <c r="E31" s="191">
        <v>2459035247.5300002</v>
      </c>
      <c r="F31" s="191">
        <v>2451881292.02</v>
      </c>
      <c r="G31" s="191">
        <v>2454592778.6199999</v>
      </c>
      <c r="H31" s="191">
        <v>2392691239.1700001</v>
      </c>
      <c r="I31" s="191">
        <v>2363377266.8600001</v>
      </c>
      <c r="J31" s="191">
        <v>2231490165.54</v>
      </c>
      <c r="K31" s="191">
        <v>2116992240.9200001</v>
      </c>
      <c r="L31" s="191">
        <v>1970117326.46</v>
      </c>
      <c r="M31" s="191">
        <v>1185196133.1600001</v>
      </c>
      <c r="N31" s="191">
        <v>1106956320.3800001</v>
      </c>
      <c r="O31" s="191">
        <v>1041310890.5</v>
      </c>
      <c r="P31" s="191">
        <v>945467053.89999998</v>
      </c>
      <c r="Q31" s="191">
        <v>871451312.80999994</v>
      </c>
      <c r="R31" s="191">
        <v>818686131.55999994</v>
      </c>
      <c r="S31" s="191">
        <v>808026581.19000006</v>
      </c>
      <c r="T31" s="191">
        <v>790742111.44000006</v>
      </c>
      <c r="U31" s="191">
        <v>780137323.26999998</v>
      </c>
      <c r="V31" s="191">
        <v>744431459.85000002</v>
      </c>
      <c r="W31" s="191">
        <v>712972985.19000006</v>
      </c>
      <c r="X31" s="191">
        <v>690175499.51999998</v>
      </c>
      <c r="Y31" s="191">
        <v>655282556.25</v>
      </c>
      <c r="Z31" s="191">
        <v>558667973.92999995</v>
      </c>
      <c r="AA31" s="191">
        <v>466045307.01999998</v>
      </c>
      <c r="AB31" s="191">
        <v>430740277.54000002</v>
      </c>
      <c r="AC31" s="191">
        <v>419022707.29000002</v>
      </c>
      <c r="AD31" s="191">
        <v>399478441.01999998</v>
      </c>
      <c r="AE31" s="191">
        <v>387870902.44</v>
      </c>
      <c r="AF31" s="191">
        <v>344449194.77999997</v>
      </c>
      <c r="AG31" s="191">
        <v>202718327.53</v>
      </c>
      <c r="AH31" s="191">
        <v>181601567.34999999</v>
      </c>
      <c r="AI31" s="191">
        <v>0</v>
      </c>
      <c r="AJ31" s="191"/>
      <c r="AK31" s="191"/>
      <c r="AL31" s="191">
        <v>4936912487.9099998</v>
      </c>
      <c r="AM31" s="191">
        <v>4256844770.3899999</v>
      </c>
      <c r="AN31" s="191">
        <v>4079677048.1799998</v>
      </c>
      <c r="AO31" s="191">
        <v>4028054724.2399998</v>
      </c>
      <c r="AP31" s="191">
        <v>3850846943.1199999</v>
      </c>
      <c r="AQ31" s="191">
        <v>3549246340.1199999</v>
      </c>
      <c r="AR31" s="191">
        <v>3573632080.6599998</v>
      </c>
      <c r="AS31" s="191">
        <v>3532086216.3299999</v>
      </c>
      <c r="AT31" s="191">
        <v>3481313208.5799999</v>
      </c>
      <c r="AU31" s="191">
        <v>3474091529.6399999</v>
      </c>
      <c r="AV31" s="191">
        <v>3455850476.4299998</v>
      </c>
      <c r="AW31" s="191">
        <v>3735540867.2600002</v>
      </c>
      <c r="AX31" s="191">
        <v>3566856519.4499998</v>
      </c>
      <c r="AY31" s="191">
        <v>3554164536.4499998</v>
      </c>
      <c r="AZ31" s="191">
        <v>3560955050.9299998</v>
      </c>
      <c r="BA31" s="191">
        <v>3488927610.9499998</v>
      </c>
      <c r="BB31" s="191">
        <v>3150718063.4000001</v>
      </c>
      <c r="BC31" s="191">
        <v>2904031853.6799998</v>
      </c>
      <c r="BD31" s="191">
        <v>2428875807.1500001</v>
      </c>
      <c r="BE31" s="191">
        <v>2090131818.3599999</v>
      </c>
      <c r="BF31" s="191">
        <v>1593081129.03</v>
      </c>
      <c r="BG31" s="191">
        <v>1243385224.3900001</v>
      </c>
      <c r="BH31" s="191">
        <v>1017468677.71</v>
      </c>
      <c r="BI31" s="191">
        <v>909713016.33000004</v>
      </c>
      <c r="BJ31" s="191">
        <v>731221110.63999999</v>
      </c>
      <c r="BK31" s="191">
        <v>641524029.53999996</v>
      </c>
      <c r="BL31" s="191">
        <v>606336363.17999995</v>
      </c>
      <c r="BM31" s="191">
        <v>579431649.25</v>
      </c>
      <c r="BN31" s="191">
        <v>515328130.64999998</v>
      </c>
      <c r="BO31" s="191">
        <v>471803766.31999999</v>
      </c>
      <c r="BP31" s="191">
        <v>452990792.93000001</v>
      </c>
      <c r="BQ31" s="191">
        <v>434138790.76999998</v>
      </c>
      <c r="BR31" s="191">
        <v>0</v>
      </c>
      <c r="BS31" s="191">
        <v>331335659.87</v>
      </c>
      <c r="BT31" s="191">
        <v>234672437.96000001</v>
      </c>
      <c r="BU31" s="40"/>
      <c r="BV31" s="40">
        <v>1207621496.74</v>
      </c>
    </row>
    <row r="32" spans="1:74" s="54" customFormat="1" ht="15" customHeight="1" x14ac:dyDescent="0.25">
      <c r="A32" s="139" t="s">
        <v>311</v>
      </c>
      <c r="B32" s="191">
        <v>730261957.53999996</v>
      </c>
      <c r="C32" s="191">
        <v>704026030.13999999</v>
      </c>
      <c r="D32" s="191">
        <v>669217863.13</v>
      </c>
      <c r="E32" s="191">
        <v>695294849.13</v>
      </c>
      <c r="F32" s="191">
        <v>705286965.25999999</v>
      </c>
      <c r="G32" s="191">
        <v>720746665.62</v>
      </c>
      <c r="H32" s="191">
        <v>732879192.63</v>
      </c>
      <c r="I32" s="191">
        <v>737975913.58000004</v>
      </c>
      <c r="J32" s="191">
        <v>802931740.98000002</v>
      </c>
      <c r="K32" s="191">
        <v>803665866.40999997</v>
      </c>
      <c r="L32" s="191">
        <v>726580468.24000001</v>
      </c>
      <c r="M32" s="191">
        <v>2924910.33</v>
      </c>
      <c r="N32" s="191">
        <v>2924910.33</v>
      </c>
      <c r="O32" s="191">
        <v>2924910.33</v>
      </c>
      <c r="P32" s="191">
        <v>2924910.33</v>
      </c>
      <c r="Q32" s="191">
        <v>2924910.33</v>
      </c>
      <c r="R32" s="191">
        <v>2924910.33</v>
      </c>
      <c r="S32" s="191">
        <v>2924910.33</v>
      </c>
      <c r="T32" s="191">
        <v>2924910.33</v>
      </c>
      <c r="U32" s="191">
        <v>2924910.33</v>
      </c>
      <c r="V32" s="191">
        <v>2924910.33</v>
      </c>
      <c r="W32" s="191">
        <v>2924910.33</v>
      </c>
      <c r="X32" s="191">
        <v>2924910.33</v>
      </c>
      <c r="Y32" s="191">
        <v>2924910.33</v>
      </c>
      <c r="Z32" s="191">
        <v>2924910.33</v>
      </c>
      <c r="AA32" s="191">
        <v>2924910.33</v>
      </c>
      <c r="AB32" s="191">
        <v>2924910.33</v>
      </c>
      <c r="AC32" s="191">
        <v>2924910.33</v>
      </c>
      <c r="AD32" s="191">
        <v>2924910.33</v>
      </c>
      <c r="AE32" s="191">
        <v>2924910.33</v>
      </c>
      <c r="AF32" s="191">
        <v>2924910.33</v>
      </c>
      <c r="AG32" s="191">
        <v>0</v>
      </c>
      <c r="AH32" s="191">
        <v>0</v>
      </c>
      <c r="AI32" s="191">
        <v>0</v>
      </c>
      <c r="AJ32" s="191"/>
      <c r="AK32" s="191"/>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40"/>
      <c r="BV32" s="40">
        <v>0</v>
      </c>
    </row>
    <row r="33" spans="1:74" s="54" customFormat="1" ht="19.2" customHeight="1" x14ac:dyDescent="0.25">
      <c r="A33" s="139" t="s">
        <v>312</v>
      </c>
      <c r="B33" s="191">
        <v>0</v>
      </c>
      <c r="C33" s="191">
        <v>0</v>
      </c>
      <c r="D33" s="191">
        <v>0</v>
      </c>
      <c r="E33" s="191">
        <v>0</v>
      </c>
      <c r="F33" s="191">
        <v>0</v>
      </c>
      <c r="G33" s="191">
        <v>0</v>
      </c>
      <c r="H33" s="191">
        <v>0</v>
      </c>
      <c r="I33" s="191">
        <v>0</v>
      </c>
      <c r="J33" s="191">
        <v>0</v>
      </c>
      <c r="K33" s="191">
        <v>0</v>
      </c>
      <c r="L33" s="191">
        <v>0</v>
      </c>
      <c r="M33" s="191">
        <v>0</v>
      </c>
      <c r="N33" s="191">
        <v>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c r="AK33" s="191"/>
      <c r="AL33" s="191">
        <v>173550000</v>
      </c>
      <c r="AM33" s="191">
        <v>173550000</v>
      </c>
      <c r="AN33" s="191">
        <v>173550000</v>
      </c>
      <c r="AO33" s="191">
        <v>173550000</v>
      </c>
      <c r="AP33" s="191">
        <v>173550000</v>
      </c>
      <c r="AQ33" s="191">
        <v>173550000</v>
      </c>
      <c r="AR33" s="191">
        <v>173550000</v>
      </c>
      <c r="AS33" s="191">
        <v>173550000</v>
      </c>
      <c r="AT33" s="191">
        <v>173550000</v>
      </c>
      <c r="AU33" s="191">
        <v>173550000</v>
      </c>
      <c r="AV33" s="191">
        <v>173550000</v>
      </c>
      <c r="AW33" s="191">
        <v>173550000</v>
      </c>
      <c r="AX33" s="191">
        <v>173550000</v>
      </c>
      <c r="AY33" s="191">
        <v>173550000</v>
      </c>
      <c r="AZ33" s="191">
        <v>173550000</v>
      </c>
      <c r="BA33" s="191">
        <v>173550000</v>
      </c>
      <c r="BB33" s="191">
        <v>173550000</v>
      </c>
      <c r="BC33" s="191">
        <v>173550000</v>
      </c>
      <c r="BD33" s="191">
        <v>173550000</v>
      </c>
      <c r="BE33" s="191">
        <v>173550000</v>
      </c>
      <c r="BF33" s="191">
        <v>173550000</v>
      </c>
      <c r="BG33" s="191">
        <v>173550000</v>
      </c>
      <c r="BH33" s="191">
        <v>173550000</v>
      </c>
      <c r="BI33" s="191">
        <v>173550000</v>
      </c>
      <c r="BJ33" s="191">
        <v>173550000</v>
      </c>
      <c r="BK33" s="191">
        <v>173550000</v>
      </c>
      <c r="BL33" s="191">
        <v>173550000</v>
      </c>
      <c r="BM33" s="191">
        <v>173550000</v>
      </c>
      <c r="BN33" s="191">
        <v>173550000</v>
      </c>
      <c r="BO33" s="191">
        <v>173550000</v>
      </c>
      <c r="BP33" s="191">
        <v>173550000</v>
      </c>
      <c r="BQ33" s="191">
        <v>173550000</v>
      </c>
      <c r="BR33" s="191">
        <v>173550000</v>
      </c>
      <c r="BS33" s="191">
        <v>173550000</v>
      </c>
      <c r="BT33" s="191">
        <v>173550000</v>
      </c>
      <c r="BU33" s="191">
        <v>173550000</v>
      </c>
      <c r="BV33" s="40">
        <v>0</v>
      </c>
    </row>
    <row r="34" spans="1:74" s="44" customFormat="1" ht="15" thickBot="1" x14ac:dyDescent="0.3">
      <c r="A34" s="140"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4" customFormat="1" x14ac:dyDescent="0.25">
      <c r="A40" s="194" t="s">
        <v>747</v>
      </c>
      <c r="B40" s="194">
        <v>161600004</v>
      </c>
      <c r="C40" s="194">
        <v>161600004</v>
      </c>
      <c r="D40" s="194">
        <v>0</v>
      </c>
      <c r="E40" s="194">
        <v>0</v>
      </c>
      <c r="F40" s="194">
        <v>0</v>
      </c>
      <c r="G40" s="194">
        <v>0</v>
      </c>
      <c r="H40" s="194">
        <v>0</v>
      </c>
      <c r="I40" s="194">
        <v>1004999979.16</v>
      </c>
      <c r="J40" s="194">
        <v>1004999979.16</v>
      </c>
      <c r="K40" s="194">
        <v>0</v>
      </c>
      <c r="L40" s="194">
        <v>0</v>
      </c>
      <c r="M40" s="194">
        <v>1010229100</v>
      </c>
      <c r="N40" s="194">
        <v>1010229100</v>
      </c>
      <c r="O40" s="194">
        <v>1010229100</v>
      </c>
      <c r="P40" s="194">
        <v>1010229100</v>
      </c>
      <c r="Q40" s="194">
        <v>0</v>
      </c>
      <c r="R40" s="194">
        <v>0</v>
      </c>
      <c r="S40" s="194">
        <v>0</v>
      </c>
      <c r="T40" s="194">
        <v>0</v>
      </c>
      <c r="U40" s="194">
        <v>2367600</v>
      </c>
      <c r="V40" s="194">
        <v>2367600</v>
      </c>
      <c r="W40" s="194">
        <v>2367600</v>
      </c>
      <c r="X40" s="194">
        <v>0</v>
      </c>
      <c r="Y40" s="194">
        <v>0</v>
      </c>
      <c r="Z40" s="194">
        <v>0</v>
      </c>
      <c r="AA40" s="194">
        <v>0</v>
      </c>
      <c r="AB40" s="194">
        <v>0</v>
      </c>
      <c r="AC40" s="194">
        <v>815170000</v>
      </c>
      <c r="AD40" s="194">
        <v>0</v>
      </c>
      <c r="AE40" s="194">
        <v>0</v>
      </c>
      <c r="AF40" s="194">
        <v>0</v>
      </c>
      <c r="AG40" s="194">
        <v>0</v>
      </c>
      <c r="AH40" s="194">
        <v>0</v>
      </c>
      <c r="AI40" s="194">
        <v>0</v>
      </c>
      <c r="AJ40" s="194">
        <v>0</v>
      </c>
      <c r="AK40" s="194">
        <v>0</v>
      </c>
      <c r="AL40" s="194">
        <v>49000000</v>
      </c>
      <c r="AM40" s="194">
        <v>49000000</v>
      </c>
      <c r="AN40" s="194">
        <v>0</v>
      </c>
      <c r="AO40" s="194">
        <v>55080000</v>
      </c>
      <c r="AP40" s="194">
        <v>55080000</v>
      </c>
      <c r="AQ40" s="194">
        <v>55080000</v>
      </c>
      <c r="AR40" s="194">
        <v>0</v>
      </c>
      <c r="AS40" s="194">
        <v>0</v>
      </c>
      <c r="AT40" s="194">
        <v>0</v>
      </c>
      <c r="AU40" s="194">
        <v>0</v>
      </c>
      <c r="AV40" s="194">
        <v>0</v>
      </c>
      <c r="AW40" s="194">
        <v>165316562.55000001</v>
      </c>
      <c r="AX40" s="194">
        <v>165316562.55000001</v>
      </c>
      <c r="AY40" s="194">
        <v>165316562.55000001</v>
      </c>
      <c r="AZ40" s="194">
        <v>165316562.55000001</v>
      </c>
      <c r="BA40" s="194">
        <v>2750000</v>
      </c>
      <c r="BB40" s="194">
        <v>0</v>
      </c>
      <c r="BC40" s="194">
        <v>0</v>
      </c>
      <c r="BD40" s="194">
        <v>0</v>
      </c>
      <c r="BE40" s="194">
        <v>0</v>
      </c>
      <c r="BF40" s="194">
        <v>0</v>
      </c>
      <c r="BG40" s="194">
        <v>0</v>
      </c>
      <c r="BH40" s="194">
        <v>0</v>
      </c>
      <c r="BI40" s="194">
        <v>73750000</v>
      </c>
      <c r="BJ40" s="194">
        <v>73750000</v>
      </c>
      <c r="BK40" s="194">
        <v>0</v>
      </c>
      <c r="BL40" s="194">
        <v>0</v>
      </c>
      <c r="BM40" s="194">
        <v>0</v>
      </c>
      <c r="BN40" s="194">
        <v>0</v>
      </c>
      <c r="BO40" s="194">
        <v>0</v>
      </c>
      <c r="BP40" s="194">
        <v>0</v>
      </c>
      <c r="BQ40" s="194">
        <v>440120800</v>
      </c>
      <c r="BR40" s="194">
        <v>0</v>
      </c>
      <c r="BS40" s="194">
        <v>0</v>
      </c>
      <c r="BT40" s="194">
        <v>0</v>
      </c>
    </row>
    <row r="41" spans="1:74" s="53" customFormat="1" ht="21.75" customHeight="1" x14ac:dyDescent="0.25">
      <c r="A41" s="142" t="s">
        <v>635</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638</v>
      </c>
      <c r="AS41" s="53" t="s">
        <v>639</v>
      </c>
      <c r="AW41" s="53" t="s">
        <v>640</v>
      </c>
    </row>
    <row r="42" spans="1:74" s="26" customFormat="1" x14ac:dyDescent="0.25">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4">
        <f t="shared" si="83"/>
        <v>49000000</v>
      </c>
      <c r="AM42" s="194">
        <f t="shared" si="83"/>
        <v>49000000</v>
      </c>
      <c r="AN42" s="194">
        <f t="shared" si="83"/>
        <v>0</v>
      </c>
      <c r="AO42" s="194" t="e">
        <f t="shared" si="83"/>
        <v>#VALUE!</v>
      </c>
      <c r="AP42" s="194">
        <f t="shared" si="83"/>
        <v>55080000</v>
      </c>
      <c r="AQ42" s="194">
        <f t="shared" si="83"/>
        <v>55080000</v>
      </c>
      <c r="AR42" s="194">
        <f t="shared" si="83"/>
        <v>0</v>
      </c>
      <c r="AS42" s="194" t="e">
        <f t="shared" si="83"/>
        <v>#VALUE!</v>
      </c>
      <c r="AT42" s="194">
        <f t="shared" si="83"/>
        <v>0</v>
      </c>
      <c r="AU42" s="194">
        <f t="shared" si="83"/>
        <v>0</v>
      </c>
      <c r="AV42" s="194">
        <f t="shared" si="83"/>
        <v>0</v>
      </c>
      <c r="AW42" s="194" t="e">
        <f t="shared" si="83"/>
        <v>#VALUE!</v>
      </c>
      <c r="AX42" s="194">
        <f t="shared" si="83"/>
        <v>165316562.55000001</v>
      </c>
      <c r="AY42" s="194">
        <f t="shared" si="83"/>
        <v>165316562.55000001</v>
      </c>
      <c r="AZ42" s="194">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4" customFormat="1" x14ac:dyDescent="0.25">
      <c r="A44" s="194" t="s">
        <v>324</v>
      </c>
      <c r="B44" s="194">
        <v>0</v>
      </c>
      <c r="C44" s="194">
        <v>0</v>
      </c>
      <c r="D44" s="194">
        <v>0</v>
      </c>
      <c r="E44" s="194">
        <v>0</v>
      </c>
      <c r="F44" s="194">
        <v>0</v>
      </c>
      <c r="G44" s="194">
        <v>0</v>
      </c>
      <c r="H44" s="194">
        <v>0</v>
      </c>
      <c r="I44" s="194">
        <v>888968300</v>
      </c>
      <c r="J44" s="194">
        <v>886671322.96000004</v>
      </c>
      <c r="K44" s="194">
        <v>778075600</v>
      </c>
      <c r="L44" s="194">
        <v>714938800</v>
      </c>
      <c r="M44" s="194">
        <v>0</v>
      </c>
      <c r="N44" s="194">
        <v>0</v>
      </c>
      <c r="O44" s="194">
        <v>0</v>
      </c>
      <c r="P44" s="194">
        <v>0</v>
      </c>
      <c r="Q44" s="194">
        <v>41820000</v>
      </c>
      <c r="R44" s="194">
        <v>34420000</v>
      </c>
      <c r="S44" s="194">
        <v>28420000</v>
      </c>
      <c r="T44" s="194">
        <v>12420000</v>
      </c>
      <c r="U44" s="194">
        <v>84989480</v>
      </c>
      <c r="V44" s="194">
        <v>66464900</v>
      </c>
      <c r="W44" s="194">
        <v>61464900</v>
      </c>
      <c r="X44" s="194">
        <v>50196000</v>
      </c>
      <c r="Y44" s="194">
        <v>88437836</v>
      </c>
      <c r="Z44" s="194">
        <v>0</v>
      </c>
      <c r="AA44" s="194">
        <v>0</v>
      </c>
      <c r="AB44" s="194">
        <v>0</v>
      </c>
      <c r="AC44" s="194">
        <v>333935853.41000003</v>
      </c>
      <c r="AD44" s="194">
        <v>199930237.41</v>
      </c>
      <c r="AE44" s="194">
        <v>138755646.87</v>
      </c>
      <c r="AF44" s="194">
        <v>81719313.329999998</v>
      </c>
      <c r="AG44" s="194">
        <v>220530859</v>
      </c>
      <c r="AH44" s="194">
        <v>104141968</v>
      </c>
      <c r="AI44" s="194">
        <v>256870000</v>
      </c>
      <c r="AJ44" s="194">
        <v>256770517.59999999</v>
      </c>
      <c r="AK44" s="194">
        <v>0</v>
      </c>
      <c r="AL44" s="194">
        <v>4039471635.3099999</v>
      </c>
      <c r="AM44" s="194">
        <v>2880204431.4299998</v>
      </c>
      <c r="AN44" s="194">
        <v>1455466460</v>
      </c>
      <c r="AO44" s="194">
        <v>1513007159.27</v>
      </c>
      <c r="AP44" s="194">
        <v>962505346.42999995</v>
      </c>
      <c r="AQ44" s="194">
        <v>720013546.32000005</v>
      </c>
      <c r="AR44" s="194">
        <v>483607594.76999998</v>
      </c>
      <c r="AS44" s="194">
        <v>1835706455.27</v>
      </c>
      <c r="AT44" s="194">
        <v>1740044722.22</v>
      </c>
      <c r="AU44" s="194">
        <v>972823165.26999998</v>
      </c>
      <c r="AV44" s="194">
        <v>252585665.27000001</v>
      </c>
      <c r="AW44" s="194">
        <v>1105703483</v>
      </c>
      <c r="AX44" s="194">
        <v>827509197.57000005</v>
      </c>
      <c r="AY44" s="194">
        <v>655818000</v>
      </c>
      <c r="AZ44" s="194">
        <v>322466500</v>
      </c>
      <c r="BA44" s="194">
        <v>1896061750</v>
      </c>
      <c r="BB44" s="194">
        <v>1531721000</v>
      </c>
      <c r="BC44" s="194">
        <v>1190580750</v>
      </c>
      <c r="BD44" s="194">
        <v>672285750</v>
      </c>
      <c r="BE44" s="194">
        <v>1427765000</v>
      </c>
      <c r="BF44" s="194">
        <v>630000000</v>
      </c>
      <c r="BG44" s="194">
        <v>400000000</v>
      </c>
      <c r="BH44" s="194">
        <v>50000000</v>
      </c>
      <c r="BI44" s="194">
        <v>66191558.5</v>
      </c>
      <c r="BJ44" s="194">
        <v>65681558.5</v>
      </c>
      <c r="BK44" s="194">
        <v>480000</v>
      </c>
      <c r="BL44" s="194">
        <v>690000</v>
      </c>
      <c r="BM44" s="194">
        <v>72000000</v>
      </c>
      <c r="BN44" s="194">
        <v>0</v>
      </c>
      <c r="BO44" s="194">
        <v>30000000</v>
      </c>
      <c r="BP44" s="194">
        <v>30000000</v>
      </c>
      <c r="BQ44" s="194">
        <v>184100000</v>
      </c>
      <c r="BR44" s="194">
        <v>40000000</v>
      </c>
      <c r="BS44" s="194">
        <v>64600000</v>
      </c>
      <c r="BT44" s="194">
        <v>0</v>
      </c>
    </row>
    <row r="45" spans="1:74" s="194" customFormat="1" x14ac:dyDescent="0.25">
      <c r="A45" s="194" t="s">
        <v>323</v>
      </c>
      <c r="E45" s="194">
        <f>股权价值增加表!E53</f>
        <v>582431.97</v>
      </c>
      <c r="F45" s="194">
        <f>股权价值增加表!F53</f>
        <v>0</v>
      </c>
      <c r="G45" s="194">
        <f>股权价值增加表!G53</f>
        <v>0</v>
      </c>
      <c r="H45" s="194">
        <f>股权价值增加表!H53</f>
        <v>0</v>
      </c>
      <c r="I45" s="194">
        <f>股权价值增加表!I53</f>
        <v>29121688.59</v>
      </c>
      <c r="J45" s="194">
        <f>股权价值增加表!J53</f>
        <v>0</v>
      </c>
      <c r="K45" s="194">
        <f>股权价值增加表!K53</f>
        <v>0</v>
      </c>
      <c r="L45" s="194">
        <f>股权价值增加表!L53</f>
        <v>0</v>
      </c>
      <c r="M45" s="194">
        <f>股权价值增加表!M53</f>
        <v>323713.76</v>
      </c>
      <c r="N45" s="194">
        <f>股权价值增加表!N53</f>
        <v>0</v>
      </c>
      <c r="O45" s="194">
        <f>股权价值增加表!O53</f>
        <v>0</v>
      </c>
      <c r="P45" s="194">
        <f>股权价值增加表!P53</f>
        <v>0</v>
      </c>
      <c r="Q45" s="194">
        <f>股权价值增加表!Q53</f>
        <v>1307144.8</v>
      </c>
      <c r="R45" s="194">
        <f>股权价值增加表!R53</f>
        <v>0</v>
      </c>
      <c r="S45" s="194">
        <f>股权价值增加表!S53</f>
        <v>0</v>
      </c>
      <c r="T45" s="194">
        <f>股权价值增加表!T53</f>
        <v>0</v>
      </c>
      <c r="U45" s="194">
        <f>股权价值增加表!U53</f>
        <v>1429735.18</v>
      </c>
      <c r="V45" s="194">
        <f>股权价值增加表!V53</f>
        <v>0</v>
      </c>
      <c r="W45" s="194">
        <f>股权价值增加表!W53</f>
        <v>0</v>
      </c>
      <c r="X45" s="194">
        <f>股权价值增加表!X53</f>
        <v>0</v>
      </c>
      <c r="Y45" s="194">
        <f>股权价值增加表!Y53</f>
        <v>2500935.35</v>
      </c>
      <c r="Z45" s="194">
        <f>股权价值增加表!Z53</f>
        <v>0</v>
      </c>
      <c r="AA45" s="194">
        <f>股权价值增加表!AA53</f>
        <v>0</v>
      </c>
      <c r="AB45" s="194">
        <f>股权价值增加表!AB53</f>
        <v>0</v>
      </c>
      <c r="AC45" s="194">
        <f>股权价值增加表!AC53</f>
        <v>16331432.890000001</v>
      </c>
      <c r="AD45" s="194">
        <f>股权价值增加表!AD53</f>
        <v>0</v>
      </c>
      <c r="AE45" s="194">
        <f>股权价值增加表!AE53</f>
        <v>0</v>
      </c>
      <c r="AF45" s="194">
        <f>股权价值增加表!AF53</f>
        <v>0</v>
      </c>
      <c r="AG45" s="194">
        <f>股权价值增加表!AG53</f>
        <v>11707536.800000001</v>
      </c>
      <c r="AH45" s="194">
        <f>股权价值增加表!AH53</f>
        <v>0</v>
      </c>
      <c r="AI45" s="194">
        <f>股权价值增加表!AI53</f>
        <v>0</v>
      </c>
      <c r="AJ45" s="194">
        <f>股权价值增加表!AJ53</f>
        <v>0</v>
      </c>
      <c r="AK45" s="194">
        <f>股权价值增加表!AK53</f>
        <v>67247664.370000005</v>
      </c>
      <c r="AL45" s="194">
        <f>股权价值增加表!AL53</f>
        <v>0</v>
      </c>
      <c r="AM45" s="194">
        <f>股权价值增加表!AM53</f>
        <v>0</v>
      </c>
      <c r="AN45" s="194">
        <f>股权价值增加表!AN53</f>
        <v>0</v>
      </c>
      <c r="AO45" s="194">
        <f>股权价值增加表!AO53</f>
        <v>126324983.14</v>
      </c>
      <c r="AP45" s="194">
        <f>股权价值增加表!AP53</f>
        <v>0</v>
      </c>
      <c r="AQ45" s="194">
        <f>股权价值增加表!AQ53</f>
        <v>0</v>
      </c>
      <c r="AR45" s="194">
        <f>股权价值增加表!AR53</f>
        <v>0</v>
      </c>
      <c r="AS45" s="194">
        <f>股权价值增加表!AS53</f>
        <v>132348309.90000001</v>
      </c>
      <c r="AT45" s="194">
        <f>股权价值增加表!AT53</f>
        <v>0</v>
      </c>
      <c r="AU45" s="194">
        <f>股权价值增加表!AU53</f>
        <v>0</v>
      </c>
      <c r="AV45" s="194">
        <f>股权价值增加表!AV53</f>
        <v>0</v>
      </c>
      <c r="AW45" s="194">
        <f>股权价值增加表!AW53</f>
        <v>41484361.509999998</v>
      </c>
      <c r="AX45" s="194">
        <f>股权价值增加表!AX53</f>
        <v>0</v>
      </c>
      <c r="AY45" s="194">
        <f>股权价值增加表!AY53</f>
        <v>0</v>
      </c>
      <c r="AZ45" s="194">
        <f>股权价值增加表!AZ53</f>
        <v>0</v>
      </c>
      <c r="BA45" s="194">
        <f>股权价值增加表!BA53</f>
        <v>8042309.5300000003</v>
      </c>
      <c r="BB45" s="194">
        <f>股权价值增加表!BB53</f>
        <v>0</v>
      </c>
      <c r="BC45" s="194">
        <f>股权价值增加表!BC53</f>
        <v>0</v>
      </c>
      <c r="BD45" s="194">
        <f>股权价值增加表!BD53</f>
        <v>0</v>
      </c>
      <c r="BE45" s="194">
        <f>股权价值增加表!BE53</f>
        <v>9216241.1300000008</v>
      </c>
      <c r="BF45" s="194">
        <f>股权价值增加表!BF53</f>
        <v>0</v>
      </c>
      <c r="BG45" s="194">
        <f>股权价值增加表!BG53</f>
        <v>0</v>
      </c>
      <c r="BH45" s="194">
        <f>股权价值增加表!BH53</f>
        <v>0</v>
      </c>
      <c r="BI45" s="194">
        <f>股权价值增加表!BI53</f>
        <v>1006660.45</v>
      </c>
      <c r="BJ45" s="194">
        <f>股权价值增加表!BJ53</f>
        <v>0</v>
      </c>
      <c r="BK45" s="194">
        <f>股权价值增加表!BK53</f>
        <v>0</v>
      </c>
      <c r="BL45" s="194">
        <f>股权价值增加表!BL53</f>
        <v>0</v>
      </c>
      <c r="BM45" s="194">
        <f>股权价值增加表!BM53</f>
        <v>0</v>
      </c>
      <c r="BN45" s="194">
        <f>股权价值增加表!BN53</f>
        <v>0</v>
      </c>
      <c r="BO45" s="194">
        <f>股权价值增加表!BO53</f>
        <v>0</v>
      </c>
      <c r="BP45" s="194">
        <f>股权价值增加表!BP53</f>
        <v>0</v>
      </c>
      <c r="BQ45" s="194">
        <f>股权价值增加表!BQ53</f>
        <v>0</v>
      </c>
      <c r="BR45" s="194">
        <f>股权价值增加表!BR53</f>
        <v>0</v>
      </c>
      <c r="BS45" s="194">
        <f>股权价值增加表!BS53</f>
        <v>0</v>
      </c>
      <c r="BT45" s="194">
        <f>股权价值增加表!BT53</f>
        <v>0</v>
      </c>
      <c r="BU45" s="194">
        <f>股权价值增加表!BU53</f>
        <v>0</v>
      </c>
      <c r="BV45" s="194">
        <f>股权价值增加表!BV53</f>
        <v>0</v>
      </c>
    </row>
    <row r="46" spans="1:74" s="194" customFormat="1" x14ac:dyDescent="0.25">
      <c r="A46" s="194" t="s">
        <v>325</v>
      </c>
      <c r="B46" s="191">
        <v>0</v>
      </c>
      <c r="C46" s="191">
        <v>0</v>
      </c>
      <c r="D46" s="191">
        <v>0</v>
      </c>
      <c r="E46" s="191">
        <v>0</v>
      </c>
      <c r="F46" s="191">
        <v>0</v>
      </c>
      <c r="G46" s="191">
        <v>0</v>
      </c>
      <c r="H46" s="191">
        <v>0</v>
      </c>
      <c r="I46" s="191">
        <v>0</v>
      </c>
      <c r="J46" s="191">
        <v>0</v>
      </c>
      <c r="K46" s="191">
        <v>0</v>
      </c>
      <c r="L46" s="191">
        <v>0</v>
      </c>
      <c r="M46" s="191">
        <v>0</v>
      </c>
      <c r="N46" s="191">
        <v>0</v>
      </c>
      <c r="O46" s="191">
        <v>0</v>
      </c>
      <c r="P46" s="191">
        <v>0</v>
      </c>
      <c r="Q46" s="191">
        <v>0</v>
      </c>
      <c r="R46" s="191">
        <v>0</v>
      </c>
      <c r="S46" s="191">
        <v>0</v>
      </c>
      <c r="T46" s="191">
        <v>0</v>
      </c>
      <c r="U46" s="191">
        <v>0</v>
      </c>
      <c r="V46" s="191">
        <v>0</v>
      </c>
      <c r="W46" s="191">
        <v>0</v>
      </c>
      <c r="X46" s="191">
        <v>0</v>
      </c>
      <c r="Y46" s="191">
        <v>0</v>
      </c>
      <c r="Z46" s="191">
        <v>0</v>
      </c>
      <c r="AA46" s="191">
        <v>0</v>
      </c>
      <c r="AB46" s="191">
        <v>0</v>
      </c>
      <c r="AC46" s="191">
        <v>0</v>
      </c>
      <c r="AD46" s="191">
        <v>0</v>
      </c>
      <c r="AE46" s="191">
        <v>0</v>
      </c>
      <c r="AF46" s="191">
        <v>0</v>
      </c>
      <c r="AG46" s="191">
        <v>0</v>
      </c>
      <c r="AH46" s="191">
        <v>0</v>
      </c>
      <c r="AI46" s="191">
        <v>0</v>
      </c>
      <c r="AJ46" s="191"/>
      <c r="AK46" s="191"/>
      <c r="AL46" s="194">
        <v>4585184.8499999996</v>
      </c>
      <c r="AM46" s="194">
        <v>3549973.37</v>
      </c>
      <c r="AN46" s="194">
        <v>1556874.75</v>
      </c>
      <c r="AO46" s="194">
        <v>4088339.29</v>
      </c>
      <c r="AP46" s="194">
        <v>9174270.6699999999</v>
      </c>
      <c r="AQ46" s="194">
        <v>7040917.1100000003</v>
      </c>
      <c r="AR46" s="194">
        <v>14796015.619999999</v>
      </c>
      <c r="AS46" s="194">
        <v>9277615.1899999995</v>
      </c>
      <c r="AT46" s="194">
        <v>8963666.4499999993</v>
      </c>
      <c r="AU46" s="194">
        <v>4200325.4800000004</v>
      </c>
      <c r="AV46" s="194">
        <v>2900835.97</v>
      </c>
      <c r="AW46" s="194">
        <v>0</v>
      </c>
      <c r="AX46" s="194">
        <v>0</v>
      </c>
      <c r="AY46" s="194">
        <v>0</v>
      </c>
      <c r="AZ46" s="194">
        <v>0</v>
      </c>
      <c r="BA46" s="194">
        <v>0</v>
      </c>
      <c r="BB46" s="194">
        <v>0</v>
      </c>
      <c r="BC46" s="194">
        <v>0</v>
      </c>
      <c r="BD46" s="194">
        <v>0</v>
      </c>
      <c r="BE46" s="194">
        <v>0</v>
      </c>
      <c r="BF46" s="194">
        <v>0</v>
      </c>
      <c r="BG46" s="194">
        <v>0</v>
      </c>
      <c r="BH46" s="194">
        <v>0</v>
      </c>
      <c r="BI46" s="194">
        <v>0</v>
      </c>
      <c r="BJ46" s="194">
        <v>0</v>
      </c>
      <c r="BK46" s="194">
        <v>0</v>
      </c>
      <c r="BL46" s="194">
        <v>0</v>
      </c>
      <c r="BM46" s="194">
        <v>0</v>
      </c>
      <c r="BN46" s="194">
        <v>0</v>
      </c>
      <c r="BO46" s="194">
        <v>0</v>
      </c>
      <c r="BP46" s="194">
        <v>0</v>
      </c>
      <c r="BQ46" s="194">
        <v>0</v>
      </c>
      <c r="BR46" s="194">
        <v>0</v>
      </c>
      <c r="BS46" s="194">
        <v>0</v>
      </c>
      <c r="BT46" s="194">
        <v>0</v>
      </c>
    </row>
    <row r="47" spans="1:74" s="194" customFormat="1" x14ac:dyDescent="0.25">
      <c r="A47" s="194" t="s">
        <v>326</v>
      </c>
      <c r="B47" s="194">
        <v>1587899.24</v>
      </c>
      <c r="C47" s="194">
        <v>995962.21</v>
      </c>
      <c r="D47" s="194">
        <v>391254.89</v>
      </c>
      <c r="E47" s="194">
        <v>1153135.1000000001</v>
      </c>
      <c r="F47" s="194">
        <v>1788802.08</v>
      </c>
      <c r="G47" s="194">
        <v>1184532.03</v>
      </c>
      <c r="H47" s="194">
        <v>570558.6</v>
      </c>
      <c r="I47" s="194">
        <v>891343215.74000001</v>
      </c>
      <c r="J47" s="194">
        <v>423927036.30000001</v>
      </c>
      <c r="K47" s="194">
        <v>701674</v>
      </c>
      <c r="L47" s="194">
        <v>0</v>
      </c>
      <c r="M47" s="194">
        <v>22400000</v>
      </c>
      <c r="N47" s="194">
        <v>22400000</v>
      </c>
      <c r="O47" s="194">
        <v>22400000</v>
      </c>
      <c r="P47" s="194">
        <v>16000000</v>
      </c>
      <c r="Q47" s="194">
        <v>36983544</v>
      </c>
      <c r="R47" s="194">
        <v>31076160</v>
      </c>
      <c r="S47" s="194">
        <v>25076160</v>
      </c>
      <c r="T47" s="194">
        <v>6000000</v>
      </c>
      <c r="U47" s="194">
        <v>154078426.22999999</v>
      </c>
      <c r="V47" s="194">
        <v>144078426.22999999</v>
      </c>
      <c r="W47" s="194">
        <v>137928726.22999999</v>
      </c>
      <c r="X47" s="194">
        <v>38018328</v>
      </c>
      <c r="Y47" s="194">
        <v>253388464</v>
      </c>
      <c r="Z47" s="194">
        <v>253388464</v>
      </c>
      <c r="AA47" s="194">
        <v>253388464</v>
      </c>
      <c r="AB47" s="194">
        <v>217038464</v>
      </c>
      <c r="AC47" s="194">
        <v>316354604.79000002</v>
      </c>
      <c r="AD47" s="194">
        <v>249964604.78999999</v>
      </c>
      <c r="AE47" s="194">
        <v>132196434.7</v>
      </c>
      <c r="AF47" s="194">
        <v>68706483.799999997</v>
      </c>
      <c r="AG47" s="194">
        <v>227411447.61000001</v>
      </c>
      <c r="AH47" s="194">
        <v>154010250.13</v>
      </c>
      <c r="AI47" s="194">
        <v>210000000</v>
      </c>
      <c r="AJ47" s="194">
        <v>186700517.59999999</v>
      </c>
      <c r="AK47" s="194">
        <v>0</v>
      </c>
      <c r="AL47" s="194">
        <v>2211120903.2600002</v>
      </c>
      <c r="AM47" s="194">
        <v>1091336676.54</v>
      </c>
      <c r="AN47" s="194">
        <v>436458198.22000003</v>
      </c>
      <c r="AO47" s="194">
        <v>1752908591.3499999</v>
      </c>
      <c r="AP47" s="194">
        <v>999092227.25999999</v>
      </c>
      <c r="AQ47" s="194">
        <v>701479089.67999995</v>
      </c>
      <c r="AR47" s="194">
        <v>263140098.50999999</v>
      </c>
      <c r="AS47" s="194">
        <v>1284887013.27</v>
      </c>
      <c r="AT47" s="194">
        <v>1352181454.5999999</v>
      </c>
      <c r="AU47" s="194">
        <v>765615695.08000004</v>
      </c>
      <c r="AV47" s="194">
        <v>161528725</v>
      </c>
      <c r="AW47" s="194">
        <v>1392915700</v>
      </c>
      <c r="AX47" s="194">
        <v>937457664.57000005</v>
      </c>
      <c r="AY47" s="194">
        <v>740273150</v>
      </c>
      <c r="AZ47" s="194">
        <v>298349350</v>
      </c>
      <c r="BA47" s="194">
        <v>1283963400</v>
      </c>
      <c r="BB47" s="194">
        <v>849000000</v>
      </c>
      <c r="BC47" s="194">
        <v>474000000</v>
      </c>
      <c r="BD47" s="194">
        <v>354000000</v>
      </c>
      <c r="BE47" s="194">
        <v>321501558.5</v>
      </c>
      <c r="BF47" s="194">
        <v>51501558.5</v>
      </c>
      <c r="BG47" s="194">
        <v>51501558.5</v>
      </c>
      <c r="BH47" s="194">
        <v>1501558.5</v>
      </c>
      <c r="BI47" s="194">
        <v>12690000</v>
      </c>
      <c r="BJ47" s="194">
        <v>0</v>
      </c>
      <c r="BK47" s="194">
        <v>0</v>
      </c>
      <c r="BL47" s="194">
        <v>210000</v>
      </c>
      <c r="BM47" s="194">
        <v>0</v>
      </c>
      <c r="BN47" s="194">
        <v>0</v>
      </c>
      <c r="BO47" s="194">
        <v>114100000</v>
      </c>
      <c r="BP47" s="194">
        <v>114100000</v>
      </c>
      <c r="BQ47" s="194">
        <v>176730000</v>
      </c>
      <c r="BR47" s="194">
        <v>22130000</v>
      </c>
      <c r="BS47" s="194">
        <v>59600000</v>
      </c>
      <c r="BT47" s="194">
        <v>0</v>
      </c>
    </row>
    <row r="48" spans="1:74" s="194" customFormat="1" x14ac:dyDescent="0.25">
      <c r="A48" s="194" t="s">
        <v>599</v>
      </c>
      <c r="B48" s="191">
        <v>0</v>
      </c>
      <c r="C48" s="191">
        <v>0</v>
      </c>
      <c r="D48" s="191">
        <v>0</v>
      </c>
      <c r="E48" s="191">
        <v>0</v>
      </c>
      <c r="F48" s="191">
        <v>0</v>
      </c>
      <c r="G48" s="191">
        <v>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4">
        <v>0</v>
      </c>
      <c r="AM48" s="194">
        <v>0</v>
      </c>
      <c r="AN48" s="194">
        <v>0</v>
      </c>
      <c r="AO48" s="194">
        <v>0</v>
      </c>
      <c r="AP48" s="194">
        <v>0</v>
      </c>
      <c r="AQ48" s="194">
        <v>0</v>
      </c>
      <c r="AR48" s="194">
        <v>0</v>
      </c>
      <c r="AS48" s="194">
        <v>0</v>
      </c>
      <c r="AT48" s="194">
        <v>0</v>
      </c>
      <c r="AU48" s="194">
        <v>0</v>
      </c>
      <c r="AV48" s="194">
        <v>0</v>
      </c>
      <c r="AW48" s="194">
        <v>0</v>
      </c>
      <c r="AX48" s="194">
        <v>0</v>
      </c>
      <c r="AY48" s="194">
        <v>0</v>
      </c>
      <c r="AZ48" s="194">
        <v>0</v>
      </c>
      <c r="BA48" s="194">
        <v>0</v>
      </c>
      <c r="BB48" s="194">
        <v>0</v>
      </c>
      <c r="BC48" s="194">
        <v>0</v>
      </c>
      <c r="BD48" s="194">
        <v>0</v>
      </c>
      <c r="BE48" s="194">
        <v>0</v>
      </c>
      <c r="BF48" s="194">
        <v>0</v>
      </c>
      <c r="BG48" s="194">
        <v>0</v>
      </c>
      <c r="BH48" s="194">
        <v>0</v>
      </c>
      <c r="BI48" s="194">
        <v>0</v>
      </c>
      <c r="BJ48" s="194">
        <v>0</v>
      </c>
      <c r="BK48" s="194">
        <v>0</v>
      </c>
      <c r="BL48" s="194">
        <v>0</v>
      </c>
      <c r="BM48" s="194">
        <v>0</v>
      </c>
      <c r="BN48" s="194">
        <v>0</v>
      </c>
      <c r="BO48" s="194">
        <v>0</v>
      </c>
      <c r="BP48" s="194">
        <v>0</v>
      </c>
      <c r="BQ48" s="194">
        <v>0</v>
      </c>
      <c r="BR48" s="194">
        <v>0</v>
      </c>
      <c r="BS48" s="194">
        <v>0</v>
      </c>
      <c r="BT48" s="194">
        <v>0</v>
      </c>
    </row>
    <row r="49" spans="1:74" s="194" customFormat="1" x14ac:dyDescent="0.25">
      <c r="A49" s="194" t="s">
        <v>600</v>
      </c>
      <c r="E49" s="194">
        <f>E44+E48-E45-E46-E47</f>
        <v>-1735567.07</v>
      </c>
      <c r="F49" s="194">
        <f t="shared" ref="F49:BQ49" si="85">F44+F48-F45-F46-F47</f>
        <v>-1788802.08</v>
      </c>
      <c r="G49" s="194">
        <f t="shared" si="85"/>
        <v>-1184532.03</v>
      </c>
      <c r="H49" s="194">
        <f t="shared" si="85"/>
        <v>-570558.6</v>
      </c>
      <c r="I49" s="194">
        <f t="shared" si="85"/>
        <v>-31496604.330000043</v>
      </c>
      <c r="J49" s="194">
        <f t="shared" si="85"/>
        <v>462744286.66000003</v>
      </c>
      <c r="K49" s="194">
        <f t="shared" si="85"/>
        <v>777373926</v>
      </c>
      <c r="L49" s="194">
        <f t="shared" si="85"/>
        <v>714938800</v>
      </c>
      <c r="M49" s="194">
        <f t="shared" si="85"/>
        <v>-22723713.760000002</v>
      </c>
      <c r="N49" s="194">
        <f t="shared" si="85"/>
        <v>-22400000</v>
      </c>
      <c r="O49" s="194">
        <f t="shared" si="85"/>
        <v>-22400000</v>
      </c>
      <c r="P49" s="194">
        <f t="shared" si="85"/>
        <v>-16000000</v>
      </c>
      <c r="Q49" s="194">
        <f t="shared" si="85"/>
        <v>3529311.200000003</v>
      </c>
      <c r="R49" s="194">
        <f t="shared" si="85"/>
        <v>3343840</v>
      </c>
      <c r="S49" s="194">
        <f t="shared" si="85"/>
        <v>3343840</v>
      </c>
      <c r="T49" s="194">
        <f t="shared" si="85"/>
        <v>6420000</v>
      </c>
      <c r="U49" s="194">
        <f t="shared" si="85"/>
        <v>-70518681.409999996</v>
      </c>
      <c r="V49" s="194">
        <f t="shared" si="85"/>
        <v>-77613526.229999989</v>
      </c>
      <c r="W49" s="194">
        <f t="shared" si="85"/>
        <v>-76463826.229999989</v>
      </c>
      <c r="X49" s="194">
        <f t="shared" si="85"/>
        <v>12177672</v>
      </c>
      <c r="Y49" s="194">
        <f t="shared" si="85"/>
        <v>-167451563.34999999</v>
      </c>
      <c r="Z49" s="194">
        <f t="shared" si="85"/>
        <v>-253388464</v>
      </c>
      <c r="AA49" s="194">
        <f t="shared" si="85"/>
        <v>-253388464</v>
      </c>
      <c r="AB49" s="194">
        <f t="shared" si="85"/>
        <v>-217038464</v>
      </c>
      <c r="AC49" s="194">
        <f t="shared" si="85"/>
        <v>1249815.7300000191</v>
      </c>
      <c r="AD49" s="194">
        <f t="shared" si="85"/>
        <v>-50034367.379999995</v>
      </c>
      <c r="AE49" s="194">
        <f t="shared" si="85"/>
        <v>6559212.1700000018</v>
      </c>
      <c r="AF49" s="194">
        <f t="shared" si="85"/>
        <v>13012829.530000001</v>
      </c>
      <c r="AG49" s="194">
        <f t="shared" si="85"/>
        <v>-18588125.410000026</v>
      </c>
      <c r="AH49" s="194">
        <f t="shared" si="85"/>
        <v>-49868282.129999995</v>
      </c>
      <c r="AI49" s="194">
        <f t="shared" si="85"/>
        <v>46870000</v>
      </c>
      <c r="AJ49" s="194">
        <f t="shared" si="85"/>
        <v>70070000</v>
      </c>
      <c r="AK49" s="194">
        <f t="shared" si="85"/>
        <v>-67247664.370000005</v>
      </c>
      <c r="AL49" s="194">
        <f t="shared" si="85"/>
        <v>1823765547.1999998</v>
      </c>
      <c r="AM49" s="194">
        <f t="shared" si="85"/>
        <v>1785317781.52</v>
      </c>
      <c r="AN49" s="194">
        <f t="shared" si="85"/>
        <v>1017451387.03</v>
      </c>
      <c r="AO49" s="194">
        <f t="shared" si="85"/>
        <v>-370314754.50999999</v>
      </c>
      <c r="AP49" s="194">
        <f t="shared" si="85"/>
        <v>-45761151.5</v>
      </c>
      <c r="AQ49" s="194">
        <f t="shared" si="85"/>
        <v>11493539.530000091</v>
      </c>
      <c r="AR49" s="194">
        <f t="shared" si="85"/>
        <v>205671480.63999999</v>
      </c>
      <c r="AS49" s="194">
        <f t="shared" si="85"/>
        <v>409193516.90999985</v>
      </c>
      <c r="AT49" s="194">
        <f t="shared" si="85"/>
        <v>378899601.17000008</v>
      </c>
      <c r="AU49" s="194">
        <f t="shared" si="85"/>
        <v>203007144.70999992</v>
      </c>
      <c r="AV49" s="194">
        <f t="shared" si="85"/>
        <v>88156104.300000012</v>
      </c>
      <c r="AW49" s="194">
        <f t="shared" si="85"/>
        <v>-328696578.50999999</v>
      </c>
      <c r="AX49" s="194">
        <f t="shared" si="85"/>
        <v>-109948467</v>
      </c>
      <c r="AY49" s="194">
        <f t="shared" si="85"/>
        <v>-84455150</v>
      </c>
      <c r="AZ49" s="194">
        <f t="shared" si="85"/>
        <v>24117150</v>
      </c>
      <c r="BA49" s="194">
        <f t="shared" si="85"/>
        <v>604056040.47000003</v>
      </c>
      <c r="BB49" s="194">
        <f t="shared" si="85"/>
        <v>682721000</v>
      </c>
      <c r="BC49" s="194">
        <f t="shared" si="85"/>
        <v>716580750</v>
      </c>
      <c r="BD49" s="194">
        <f t="shared" si="85"/>
        <v>318285750</v>
      </c>
      <c r="BE49" s="194">
        <f t="shared" si="85"/>
        <v>1097047200.3699999</v>
      </c>
      <c r="BF49" s="194">
        <f t="shared" si="85"/>
        <v>578498441.5</v>
      </c>
      <c r="BG49" s="194">
        <f t="shared" si="85"/>
        <v>348498441.5</v>
      </c>
      <c r="BH49" s="194">
        <f t="shared" si="85"/>
        <v>48498441.5</v>
      </c>
      <c r="BI49" s="194">
        <f t="shared" si="85"/>
        <v>52494898.049999997</v>
      </c>
      <c r="BJ49" s="194">
        <f t="shared" si="85"/>
        <v>65681558.5</v>
      </c>
      <c r="BK49" s="194">
        <f t="shared" si="85"/>
        <v>480000</v>
      </c>
      <c r="BL49" s="194">
        <f t="shared" si="85"/>
        <v>480000</v>
      </c>
      <c r="BM49" s="194">
        <f t="shared" si="85"/>
        <v>72000000</v>
      </c>
      <c r="BN49" s="194">
        <f t="shared" si="85"/>
        <v>0</v>
      </c>
      <c r="BO49" s="194">
        <f t="shared" si="85"/>
        <v>-84100000</v>
      </c>
      <c r="BP49" s="194">
        <f t="shared" si="85"/>
        <v>-84100000</v>
      </c>
      <c r="BQ49" s="194">
        <f t="shared" si="85"/>
        <v>7370000</v>
      </c>
      <c r="BR49" s="194">
        <f t="shared" ref="BR49:BV49" si="86">BR44+BR48-BR45-BR46-BR47</f>
        <v>17870000</v>
      </c>
      <c r="BS49" s="194">
        <f t="shared" si="86"/>
        <v>5000000</v>
      </c>
      <c r="BT49" s="194">
        <f t="shared" si="86"/>
        <v>0</v>
      </c>
      <c r="BU49" s="194">
        <f t="shared" si="86"/>
        <v>0</v>
      </c>
      <c r="BV49" s="194">
        <f t="shared" si="86"/>
        <v>0</v>
      </c>
    </row>
    <row r="50" spans="1:74" s="26" customFormat="1" x14ac:dyDescent="0.25"/>
    <row r="51" spans="1:74" s="16" customFormat="1" ht="120" customHeight="1" x14ac:dyDescent="0.25">
      <c r="A51" s="273" t="s">
        <v>671</v>
      </c>
      <c r="B51" s="274"/>
      <c r="C51" s="274"/>
      <c r="D51" s="274"/>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4"/>
      <c r="AI51" s="274"/>
      <c r="AJ51" s="274"/>
      <c r="AK51" s="274"/>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9" sqref="A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5546875" bestFit="1" customWidth="1"/>
    <col min="36" max="36" width="19.33203125" bestFit="1" customWidth="1"/>
    <col min="37"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8.554687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327</v>
      </c>
    </row>
    <row r="3" spans="1:74" s="26" customFormat="1" x14ac:dyDescent="0.25">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x14ac:dyDescent="0.25">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745</v>
      </c>
      <c r="E9" s="63">
        <f>股东权益回报率分析表!E14</f>
        <v>7.4761615711508536E-2</v>
      </c>
      <c r="F9" s="63">
        <f>股东权益回报率分析表!F14</f>
        <v>6.5726903031779721E-2</v>
      </c>
      <c r="G9" s="63">
        <f>股东权益回报率分析表!G14</f>
        <v>4.9549984130047194E-2</v>
      </c>
      <c r="H9" s="63">
        <f>股东权益回报率分析表!H14</f>
        <v>2.4193971213866135E-2</v>
      </c>
      <c r="I9" s="63">
        <f>股东权益回报率分析表!I14</f>
        <v>9.5915808166785133E-2</v>
      </c>
      <c r="J9" s="63">
        <f>股东权益回报率分析表!J14</f>
        <v>7.0232411741024875E-2</v>
      </c>
      <c r="K9" s="63">
        <f>股东权益回报率分析表!K14</f>
        <v>7.3806517506393984E-2</v>
      </c>
      <c r="L9" s="63">
        <f>股东权益回报率分析表!L14</f>
        <v>3.2268200434417277E-2</v>
      </c>
      <c r="M9" s="63">
        <f>股东权益回报率分析表!M14</f>
        <v>0.11470141367618657</v>
      </c>
      <c r="N9" s="63">
        <f>股东权益回报率分析表!N14</f>
        <v>5.8671080277386149E-2</v>
      </c>
      <c r="O9" s="63">
        <f>股东权益回报率分析表!O14</f>
        <v>2.9067775451317959E-2</v>
      </c>
      <c r="P9" s="63">
        <f>股东权益回报率分析表!P14</f>
        <v>9.7635255055056672E-3</v>
      </c>
      <c r="Q9" s="63">
        <f>股东权益回报率分析表!Q14</f>
        <v>7.1327117631492062E-2</v>
      </c>
      <c r="R9" s="63">
        <f>股东权益回报率分析表!R14</f>
        <v>4.6480171070156971E-2</v>
      </c>
      <c r="S9" s="63">
        <f>股东权益回报率分析表!S14</f>
        <v>2.7419145856164746E-2</v>
      </c>
      <c r="T9" s="63">
        <f>股东权益回报率分析表!T14</f>
        <v>1.2178230839798895E-2</v>
      </c>
      <c r="U9" s="63">
        <f>股东权益回报率分析表!U14</f>
        <v>8.2613161220256082E-2</v>
      </c>
      <c r="V9" s="63">
        <f>股东权益回报率分析表!V14</f>
        <v>6.8612787509214651E-2</v>
      </c>
      <c r="W9" s="63">
        <f>股东权益回报率分析表!W14</f>
        <v>4.8760519300012045E-2</v>
      </c>
      <c r="X9" s="63">
        <f>股东权益回报率分析表!X14</f>
        <v>2.4005160024039206E-2</v>
      </c>
      <c r="Y9" s="63">
        <f>股东权益回报率分析表!Y14</f>
        <v>8.3650861871543664E-2</v>
      </c>
      <c r="Z9" s="63">
        <f>股东权益回报率分析表!Z14</f>
        <v>6.7170243080132613E-2</v>
      </c>
      <c r="AA9" s="63">
        <f>股东权益回报率分析表!AA14</f>
        <v>5.763578041346637E-2</v>
      </c>
      <c r="AB9" s="63">
        <f>股东权益回报率分析表!AB14</f>
        <v>2.3942470254234651E-2</v>
      </c>
      <c r="AC9" s="63">
        <f>股东权益回报率分析表!AC14</f>
        <v>9.5617863667453173E-2</v>
      </c>
      <c r="AD9" s="63">
        <f>股东权益回报率分析表!AD14</f>
        <v>0.26693353840422834</v>
      </c>
      <c r="AE9" s="63">
        <f>股东权益回报率分析表!AE14</f>
        <v>0.21610887622850561</v>
      </c>
      <c r="AF9" s="63">
        <f>股东权益回报率分析表!AF14</f>
        <v>9.3590347558780845E-2</v>
      </c>
      <c r="AG9" s="63">
        <f>股东权益回报率分析表!AG14</f>
        <v>0.34180840115628586</v>
      </c>
      <c r="AH9" s="63">
        <f>股东权益回报率分析表!AH14</f>
        <v>0.30590411486827296</v>
      </c>
      <c r="AI9" s="63" t="e">
        <f>股东权益回报率分析表!AI14</f>
        <v>#DIV/0!</v>
      </c>
      <c r="AJ9" s="63" t="e">
        <f>股东权益回报率分析表!AJ14</f>
        <v>#DIV/0!</v>
      </c>
      <c r="AK9" s="63" t="e">
        <f>股东权益回报率分析表!AK14</f>
        <v>#DIV/0!</v>
      </c>
      <c r="AL9" s="63" t="e">
        <f>股东权益回报率分析表!AL14</f>
        <v>#DIV/0!</v>
      </c>
      <c r="AM9" s="63" t="e">
        <f>股东权益回报率分析表!AM14</f>
        <v>#DIV/0!</v>
      </c>
      <c r="AN9" s="63" t="e">
        <f>股东权益回报率分析表!AN14</f>
        <v>#DIV/0!</v>
      </c>
      <c r="AO9" s="63" t="e">
        <f>股东权益回报率分析表!AO14</f>
        <v>#DIV/0!</v>
      </c>
      <c r="AP9" s="63" t="e">
        <f>股东权益回报率分析表!AP14</f>
        <v>#DIV/0!</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7.461117826608292E-2</v>
      </c>
      <c r="F13" s="63">
        <f t="shared" ref="F13:J13" si="5">F5*F11*(1-F6)+F9*F12</f>
        <v>6.5487793760019147E-2</v>
      </c>
      <c r="G13" s="63">
        <f t="shared" si="5"/>
        <v>4.9358110435816255E-2</v>
      </c>
      <c r="H13" s="63">
        <f t="shared" si="5"/>
        <v>2.3319126800936816E-2</v>
      </c>
      <c r="I13" s="63">
        <f t="shared" si="5"/>
        <v>0.10878684456836961</v>
      </c>
      <c r="J13" s="63">
        <f t="shared" si="5"/>
        <v>6.2265550142556816E-2</v>
      </c>
      <c r="K13" s="63">
        <f t="shared" ref="K13" si="6">K5*K11*(1-K6)+K9*K12</f>
        <v>5.689768451906272E-2</v>
      </c>
      <c r="L13" s="63">
        <f t="shared" ref="L13" si="7">L5*L11*(1-L6)+L9*L12</f>
        <v>2.5391970970498941E-2</v>
      </c>
      <c r="M13" s="63">
        <f t="shared" ref="M13" si="8">M5*M11*(1-M6)+M9*M12</f>
        <v>0.11470141367618659</v>
      </c>
      <c r="N13" s="63">
        <f t="shared" ref="N13:O13" si="9">N5*N11*(1-N6)+N9*N12</f>
        <v>5.8671080277386149E-2</v>
      </c>
      <c r="O13" s="63">
        <f t="shared" si="9"/>
        <v>2.9067775451317959E-2</v>
      </c>
      <c r="P13" s="63">
        <f t="shared" ref="P13" si="10">P5*P11*(1-P6)+P9*P12</f>
        <v>9.7378309203701666E-3</v>
      </c>
      <c r="Q13" s="63">
        <f t="shared" ref="Q13" si="11">Q5*Q11*(1-Q6)+Q9*Q12</f>
        <v>7.0900437681480966E-2</v>
      </c>
      <c r="R13" s="63">
        <f t="shared" ref="R13" si="12">R5*R11*(1-R6)+R9*R12</f>
        <v>4.5471363536148175E-2</v>
      </c>
      <c r="S13" s="63">
        <f t="shared" ref="S13:T13" si="13">S5*S11*(1-S6)+S9*S12</f>
        <v>2.6796915230669308E-2</v>
      </c>
      <c r="T13" s="63">
        <f t="shared" si="13"/>
        <v>1.1876663823906635E-2</v>
      </c>
      <c r="U13" s="63">
        <f t="shared" ref="U13" si="14">U5*U11*(1-U6)+U9*U12</f>
        <v>8.1273823702513959E-2</v>
      </c>
      <c r="V13" s="63">
        <f t="shared" ref="V13" si="15">V5*V11*(1-V6)+V9*V12</f>
        <v>6.7564231144017869E-2</v>
      </c>
      <c r="W13" s="63">
        <f t="shared" ref="W13" si="16">W5*W11*(1-W6)+W9*W12</f>
        <v>4.8010216184051921E-2</v>
      </c>
      <c r="X13" s="63">
        <f t="shared" ref="X13:Y13" si="17">X5*X11*(1-X6)+X9*X12</f>
        <v>2.2099528520492257E-2</v>
      </c>
      <c r="Y13" s="63">
        <f t="shared" si="17"/>
        <v>7.8394207662017878E-2</v>
      </c>
      <c r="Z13" s="63">
        <f t="shared" ref="Z13" si="18">Z5*Z11*(1-Z6)+Z9*Z12</f>
        <v>6.6606747166922095E-2</v>
      </c>
      <c r="AA13" s="63">
        <f t="shared" ref="AA13" si="19">AA5*AA11*(1-AA6)+AA9*AA12</f>
        <v>5.7130933635740754E-2</v>
      </c>
      <c r="AB13" s="63">
        <f t="shared" ref="AB13" si="20">AB5*AB11*(1-AB6)+AB9*AB12</f>
        <v>2.1762705605541843E-2</v>
      </c>
      <c r="AC13" s="63">
        <f t="shared" ref="AC13:AD13" si="21">AC5*AC11*(1-AC6)+AC9*AC12</f>
        <v>8.8563350085663045E-2</v>
      </c>
      <c r="AD13" s="63">
        <f t="shared" si="21"/>
        <v>0.17927341715647532</v>
      </c>
      <c r="AE13" s="63">
        <f t="shared" ref="AE13" si="22">AE5*AE11*(1-AE6)+AE9*AE12</f>
        <v>0.12836116876090381</v>
      </c>
      <c r="AF13" s="63">
        <f t="shared" ref="AF13" si="23">AF5*AF11*(1-AF6)+AF9*AF12</f>
        <v>5.338456715167561E-2</v>
      </c>
      <c r="AG13" s="63">
        <f t="shared" ref="AG13" si="24">AG5*AG11*(1-AG6)+AG9*AG12</f>
        <v>0.22694632582998453</v>
      </c>
      <c r="AH13" s="63">
        <f t="shared" ref="AH13:AI13" si="25">AH5*AH11*(1-AH6)+AH9*AH12</f>
        <v>0.17609479524485233</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5" t="s">
        <v>672</v>
      </c>
      <c r="B14" s="274"/>
      <c r="C14" s="274"/>
      <c r="D14" s="274"/>
      <c r="E14" s="274"/>
      <c r="F14" s="274"/>
      <c r="G14" s="274"/>
      <c r="H14" s="274"/>
      <c r="I14" s="274"/>
      <c r="J14" s="274"/>
      <c r="K14" s="274"/>
      <c r="L14" s="274"/>
      <c r="M14" s="274"/>
      <c r="N14" s="274"/>
      <c r="O14" s="274"/>
      <c r="P14" s="274"/>
      <c r="Q14" s="274"/>
      <c r="R14" s="274"/>
      <c r="S14" s="274"/>
      <c r="T14" s="274"/>
      <c r="U14" s="274"/>
      <c r="V14" s="274"/>
      <c r="W14" s="274"/>
      <c r="X14" s="274"/>
      <c r="Y14" s="274"/>
      <c r="Z14" s="274"/>
      <c r="AA14" s="274"/>
      <c r="AB14" s="274"/>
      <c r="AC14" s="274"/>
      <c r="AD14" s="274"/>
      <c r="AE14" s="274"/>
      <c r="AF14" s="274"/>
      <c r="AG14" s="274"/>
    </row>
    <row r="16" spans="1:74" s="45" customFormat="1" x14ac:dyDescent="0.25">
      <c r="A16" s="46" t="s">
        <v>334</v>
      </c>
      <c r="E16" s="45">
        <f>(股东权益回报率分析表!E14+股东权益回报率分析表!I14+股东权益回报率分析表!M14)/3</f>
        <v>9.5126279184826745E-2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4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1" width="19" hidden="1" customWidth="1"/>
    <col min="32" max="34" width="19" bestFit="1" customWidth="1"/>
    <col min="35" max="35" width="9.5546875" hidden="1" customWidth="1"/>
    <col min="36" max="90" width="8.554687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c r="CB1" s="191"/>
      <c r="CC1" s="191"/>
      <c r="CD1" s="191"/>
      <c r="CE1" s="191"/>
      <c r="CF1" s="191"/>
      <c r="CG1" s="191"/>
      <c r="CH1" s="191"/>
      <c r="CI1" s="191"/>
      <c r="CJ1" s="191"/>
      <c r="CK1" s="191"/>
      <c r="CL1" s="191"/>
    </row>
    <row r="2" spans="1:90" s="26" customFormat="1" x14ac:dyDescent="0.25">
      <c r="A2" s="41" t="s">
        <v>553</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641</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643</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642</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644</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669</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3" t="s">
        <v>748</v>
      </c>
      <c r="B18" s="275"/>
      <c r="C18" s="275"/>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5"/>
      <c r="AG18" s="275"/>
    </row>
    <row r="19" spans="1:90" x14ac:dyDescent="0.25">
      <c r="A19" s="114" t="s">
        <v>575</v>
      </c>
      <c r="B19" s="115"/>
      <c r="C19" s="115"/>
      <c r="D19" s="115"/>
      <c r="E19" s="115" t="s">
        <v>568</v>
      </c>
      <c r="F19" s="115"/>
      <c r="G19" s="115"/>
      <c r="H19" s="115"/>
      <c r="I19" s="115" t="s">
        <v>603</v>
      </c>
      <c r="M19" s="115" t="s">
        <v>570</v>
      </c>
      <c r="N19" s="63"/>
      <c r="O19" s="63"/>
      <c r="P19" s="63"/>
      <c r="Q19" s="63"/>
      <c r="R19" s="63"/>
      <c r="S19" s="63"/>
      <c r="T19" s="63"/>
      <c r="U19" s="63"/>
    </row>
    <row r="20" spans="1:90" s="63" customFormat="1" ht="14.25" customHeight="1" x14ac:dyDescent="0.25">
      <c r="A20" s="114" t="s">
        <v>576</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x14ac:dyDescent="0.25">
      <c r="A21" s="114" t="s">
        <v>574</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x14ac:dyDescent="0.25">
      <c r="A22" s="114" t="s">
        <v>577</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x14ac:dyDescent="0.25">
      <c r="A23" s="114" t="s">
        <v>578</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x14ac:dyDescent="0.25">
      <c r="A24" s="114" t="s">
        <v>579</v>
      </c>
      <c r="B24" s="116"/>
      <c r="C24" s="116"/>
      <c r="D24" s="116"/>
      <c r="E24" s="116">
        <f>POWER(E7/U7,1/5)-1</f>
        <v>0.25789279388115594</v>
      </c>
      <c r="F24" s="116"/>
      <c r="G24" s="116"/>
      <c r="H24" s="116"/>
      <c r="I24" s="116">
        <f>POWER(E7/Y7,1/6)-1</f>
        <v>0.24698936200207045</v>
      </c>
      <c r="M24" s="116">
        <f>POWER(E7/AC7,1/7)-1</f>
        <v>0.28943356106213369</v>
      </c>
    </row>
    <row r="25" spans="1:90" s="108" customFormat="1" x14ac:dyDescent="0.25">
      <c r="A25" s="144" t="s">
        <v>555</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563</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556</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564</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573</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557</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558</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560</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567</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561</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565</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562</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566</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0" customFormat="1" x14ac:dyDescent="0.25">
      <c r="A38" s="187" t="s">
        <v>636</v>
      </c>
      <c r="B38" s="188"/>
      <c r="C38" s="188"/>
      <c r="D38" s="188"/>
      <c r="E38" s="189">
        <f>E1</f>
        <v>43100</v>
      </c>
      <c r="F38" s="189">
        <f t="shared" ref="F38:U38" si="36">F1</f>
        <v>43008</v>
      </c>
      <c r="G38" s="189">
        <f t="shared" si="36"/>
        <v>42916</v>
      </c>
      <c r="H38" s="189">
        <f t="shared" si="36"/>
        <v>42825</v>
      </c>
      <c r="I38" s="189">
        <f t="shared" si="36"/>
        <v>42735</v>
      </c>
      <c r="J38" s="189">
        <f t="shared" si="36"/>
        <v>42643</v>
      </c>
      <c r="K38" s="189">
        <f t="shared" si="36"/>
        <v>42551</v>
      </c>
      <c r="L38" s="189">
        <f t="shared" si="36"/>
        <v>42460</v>
      </c>
      <c r="M38" s="189">
        <f t="shared" si="36"/>
        <v>42369</v>
      </c>
      <c r="N38" s="189">
        <f t="shared" si="36"/>
        <v>42277</v>
      </c>
      <c r="O38" s="189">
        <f t="shared" si="36"/>
        <v>42185</v>
      </c>
      <c r="P38" s="189">
        <f t="shared" si="36"/>
        <v>42094</v>
      </c>
      <c r="Q38" s="189">
        <f t="shared" si="36"/>
        <v>42004</v>
      </c>
      <c r="R38" s="189">
        <f t="shared" si="36"/>
        <v>41912</v>
      </c>
      <c r="S38" s="189">
        <f t="shared" si="36"/>
        <v>41820</v>
      </c>
      <c r="T38" s="189">
        <f t="shared" si="36"/>
        <v>41729</v>
      </c>
      <c r="U38" s="189">
        <f t="shared" si="36"/>
        <v>41639</v>
      </c>
    </row>
    <row r="39" spans="1:89" s="226" customFormat="1" x14ac:dyDescent="0.25">
      <c r="A39" s="223" t="s">
        <v>553</v>
      </c>
      <c r="B39" s="224"/>
      <c r="C39" s="224"/>
      <c r="D39" s="224"/>
      <c r="E39" s="225">
        <f>E2/E9</f>
        <v>0.15357885292284826</v>
      </c>
      <c r="F39" s="225">
        <f t="shared" ref="F39:U39" si="37">F2/F9</f>
        <v>0.16132815520011692</v>
      </c>
      <c r="G39" s="225">
        <f t="shared" si="37"/>
        <v>0.1625385084853456</v>
      </c>
      <c r="H39" s="225">
        <f t="shared" si="37"/>
        <v>0.18865028255220315</v>
      </c>
      <c r="I39" s="225">
        <f t="shared" si="37"/>
        <v>0.1284124157304293</v>
      </c>
      <c r="J39" s="225">
        <f t="shared" si="37"/>
        <v>0.24507069365987452</v>
      </c>
      <c r="K39" s="225">
        <f t="shared" si="37"/>
        <v>0.11109299196335491</v>
      </c>
      <c r="L39" s="225">
        <f t="shared" si="37"/>
        <v>0.19933960892472069</v>
      </c>
      <c r="M39" s="225">
        <f t="shared" si="37"/>
        <v>0.26783983577118242</v>
      </c>
      <c r="N39" s="225">
        <f t="shared" si="37"/>
        <v>0.27769745416405095</v>
      </c>
      <c r="O39" s="225">
        <f t="shared" si="37"/>
        <v>0.26606071663712771</v>
      </c>
      <c r="P39" s="225">
        <f t="shared" si="37"/>
        <v>0.51620868628434802</v>
      </c>
      <c r="Q39" s="225">
        <f t="shared" si="37"/>
        <v>0.16590671088821501</v>
      </c>
      <c r="R39" s="225">
        <f t="shared" si="37"/>
        <v>0.19924445233761276</v>
      </c>
      <c r="S39" s="225">
        <f t="shared" si="37"/>
        <v>0.18286926844236451</v>
      </c>
      <c r="T39" s="225">
        <f t="shared" si="37"/>
        <v>0.22227144521670608</v>
      </c>
      <c r="U39" s="225">
        <f t="shared" si="37"/>
        <v>0.23483568622716416</v>
      </c>
    </row>
    <row r="40" spans="1:89" s="226" customFormat="1" x14ac:dyDescent="0.25">
      <c r="A40" s="223" t="s">
        <v>554</v>
      </c>
      <c r="B40" s="224"/>
      <c r="C40" s="224"/>
      <c r="D40" s="224"/>
      <c r="E40" s="225">
        <f>E3/E9</f>
        <v>4.7537007251373343E-3</v>
      </c>
      <c r="F40" s="225">
        <f t="shared" ref="F40:U40" si="38">F3/F9</f>
        <v>4.4248084540457729E-3</v>
      </c>
      <c r="G40" s="225">
        <f t="shared" si="38"/>
        <v>4.5011618947229364E-3</v>
      </c>
      <c r="H40" s="225">
        <f t="shared" si="38"/>
        <v>5.7299661124198932E-3</v>
      </c>
      <c r="I40" s="225">
        <f t="shared" si="38"/>
        <v>5.8686573924079015E-3</v>
      </c>
      <c r="J40" s="225">
        <f t="shared" si="38"/>
        <v>6.6060339197265205E-3</v>
      </c>
      <c r="K40" s="225">
        <f t="shared" si="38"/>
        <v>8.0252984732285971E-3</v>
      </c>
      <c r="L40" s="225">
        <f t="shared" si="38"/>
        <v>7.9527438232968491E-3</v>
      </c>
      <c r="M40" s="225">
        <f t="shared" si="38"/>
        <v>1.0446163826221454E-2</v>
      </c>
      <c r="N40" s="225">
        <f t="shared" si="38"/>
        <v>6.9879867779075074E-3</v>
      </c>
      <c r="O40" s="225">
        <f t="shared" si="38"/>
        <v>4.372754931292514E-3</v>
      </c>
      <c r="P40" s="225">
        <f t="shared" si="38"/>
        <v>4.4715405635596412E-3</v>
      </c>
      <c r="Q40" s="225">
        <f t="shared" si="38"/>
        <v>7.6891520259571118E-3</v>
      </c>
      <c r="R40" s="225">
        <f t="shared" si="38"/>
        <v>7.00606939056473E-3</v>
      </c>
      <c r="S40" s="225">
        <f t="shared" si="38"/>
        <v>7.1400803730520745E-3</v>
      </c>
      <c r="T40" s="225">
        <f t="shared" si="38"/>
        <v>6.9909413666850422E-3</v>
      </c>
      <c r="U40" s="225">
        <f t="shared" si="38"/>
        <v>7.1059441453502799E-3</v>
      </c>
    </row>
    <row r="41" spans="1:89" x14ac:dyDescent="0.25">
      <c r="A41" s="185" t="s">
        <v>559</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5">
        <f t="shared" si="39"/>
        <v>0.27753000922965193</v>
      </c>
      <c r="O41" s="215">
        <f t="shared" si="39"/>
        <v>0.30230522398052384</v>
      </c>
      <c r="P41" s="215">
        <f t="shared" si="39"/>
        <v>9.5450481974172829E-2</v>
      </c>
      <c r="Q41" s="215">
        <f t="shared" si="39"/>
        <v>0.21864784919881758</v>
      </c>
      <c r="R41" s="215">
        <f t="shared" si="39"/>
        <v>0.2121320750482418</v>
      </c>
      <c r="S41" s="215">
        <f t="shared" si="39"/>
        <v>0.22507107042366686</v>
      </c>
      <c r="T41" s="215">
        <f t="shared" si="39"/>
        <v>0.21225088345622703</v>
      </c>
      <c r="U41" s="215">
        <f t="shared" si="39"/>
        <v>0.19810744389346863</v>
      </c>
    </row>
    <row r="42" spans="1:89" x14ac:dyDescent="0.25">
      <c r="A42" s="185" t="s">
        <v>335</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5">
        <f t="shared" si="40"/>
        <v>0.42948578347539212</v>
      </c>
      <c r="O42" s="215">
        <f t="shared" si="40"/>
        <v>0.42448079413112111</v>
      </c>
      <c r="P42" s="215">
        <f t="shared" si="40"/>
        <v>0.1753532665451959</v>
      </c>
      <c r="Q42" s="215">
        <f t="shared" si="40"/>
        <v>0.34904587642318541</v>
      </c>
      <c r="R42" s="215">
        <f t="shared" si="40"/>
        <v>0.35334915184845439</v>
      </c>
      <c r="S42" s="215">
        <f t="shared" si="40"/>
        <v>0.33979569597493453</v>
      </c>
      <c r="T42" s="215">
        <f t="shared" si="40"/>
        <v>0.33142865636195751</v>
      </c>
      <c r="U42" s="215">
        <f t="shared" si="40"/>
        <v>0.32276708942411114</v>
      </c>
    </row>
    <row r="43" spans="1:89" x14ac:dyDescent="0.25">
      <c r="A43" s="185" t="s">
        <v>336</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5">
        <f t="shared" si="41"/>
        <v>0.15195577424574022</v>
      </c>
      <c r="O43" s="215">
        <f t="shared" si="41"/>
        <v>0.12217557015059725</v>
      </c>
      <c r="P43" s="215">
        <f t="shared" si="41"/>
        <v>7.9902784571023053E-2</v>
      </c>
      <c r="Q43" s="215">
        <f t="shared" si="41"/>
        <v>0.1303980272243678</v>
      </c>
      <c r="R43" s="215">
        <f t="shared" si="41"/>
        <v>0.14121707680021262</v>
      </c>
      <c r="S43" s="215">
        <f t="shared" si="41"/>
        <v>0.11472462555126767</v>
      </c>
      <c r="T43" s="215">
        <f t="shared" si="41"/>
        <v>0.11917777290573049</v>
      </c>
      <c r="U43" s="215">
        <f t="shared" si="41"/>
        <v>0.12465964553064249</v>
      </c>
    </row>
    <row r="44" spans="1:89" x14ac:dyDescent="0.25">
      <c r="A44" s="185" t="s">
        <v>337</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5">
        <f t="shared" si="42"/>
        <v>0.43778454982838949</v>
      </c>
      <c r="O44" s="215">
        <f t="shared" si="42"/>
        <v>0.42726130445105587</v>
      </c>
      <c r="P44" s="215">
        <f t="shared" si="42"/>
        <v>0.3838692911779194</v>
      </c>
      <c r="Q44" s="215">
        <f t="shared" si="42"/>
        <v>0.60775628788701042</v>
      </c>
      <c r="R44" s="215">
        <f t="shared" si="42"/>
        <v>0.58161740322358069</v>
      </c>
      <c r="S44" s="215">
        <f t="shared" si="42"/>
        <v>0.58491958076091655</v>
      </c>
      <c r="T44" s="215">
        <f t="shared" si="42"/>
        <v>0.55848672996038207</v>
      </c>
      <c r="U44" s="215">
        <f t="shared" si="42"/>
        <v>0.55995092573401695</v>
      </c>
    </row>
    <row r="45" spans="1:89" s="226" customFormat="1" x14ac:dyDescent="0.25">
      <c r="A45" s="223" t="s">
        <v>338</v>
      </c>
      <c r="B45" s="224"/>
      <c r="C45" s="224"/>
      <c r="D45" s="224"/>
      <c r="E45" s="225">
        <f>E8/E9</f>
        <v>0.8416674463520144</v>
      </c>
      <c r="F45" s="225">
        <f t="shared" ref="F45:U45" si="43">F8/F9</f>
        <v>0.8342470363458373</v>
      </c>
      <c r="G45" s="225">
        <f t="shared" si="43"/>
        <v>0.83296032961993149</v>
      </c>
      <c r="H45" s="225">
        <f t="shared" si="43"/>
        <v>0.805619751335377</v>
      </c>
      <c r="I45" s="225">
        <f t="shared" si="43"/>
        <v>0.86571892687716279</v>
      </c>
      <c r="J45" s="225">
        <f t="shared" si="43"/>
        <v>0.74832327242039898</v>
      </c>
      <c r="K45" s="225">
        <f t="shared" si="43"/>
        <v>0.88088170956341649</v>
      </c>
      <c r="L45" s="225">
        <f t="shared" si="43"/>
        <v>0.79270764725198239</v>
      </c>
      <c r="M45" s="225">
        <f t="shared" si="43"/>
        <v>0.72171400040259603</v>
      </c>
      <c r="N45" s="225">
        <f t="shared" si="43"/>
        <v>0.71531455905804142</v>
      </c>
      <c r="O45" s="225">
        <f t="shared" si="43"/>
        <v>0.72956652843157976</v>
      </c>
      <c r="P45" s="225">
        <f t="shared" si="43"/>
        <v>0.47931977315209229</v>
      </c>
      <c r="Q45" s="225">
        <f t="shared" si="43"/>
        <v>0.82640413708582794</v>
      </c>
      <c r="R45" s="225">
        <f t="shared" si="43"/>
        <v>0.79374947827182252</v>
      </c>
      <c r="S45" s="225">
        <f t="shared" si="43"/>
        <v>0.80999065118458347</v>
      </c>
      <c r="T45" s="225">
        <f t="shared" si="43"/>
        <v>0.77073761341660896</v>
      </c>
      <c r="U45" s="225">
        <f t="shared" si="43"/>
        <v>0.75805836962748563</v>
      </c>
    </row>
    <row r="46" spans="1:89" x14ac:dyDescent="0.25">
      <c r="A46" s="186"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5">
        <f t="shared" si="44"/>
        <v>1</v>
      </c>
      <c r="O46" s="215">
        <f t="shared" si="44"/>
        <v>1</v>
      </c>
      <c r="P46" s="215">
        <f t="shared" si="44"/>
        <v>1</v>
      </c>
      <c r="Q46" s="215">
        <f t="shared" si="44"/>
        <v>1</v>
      </c>
      <c r="R46" s="215">
        <f t="shared" si="44"/>
        <v>1</v>
      </c>
      <c r="S46" s="215">
        <f t="shared" si="44"/>
        <v>1</v>
      </c>
      <c r="T46" s="215">
        <f t="shared" si="44"/>
        <v>1</v>
      </c>
      <c r="U46" s="215">
        <f t="shared" si="44"/>
        <v>1</v>
      </c>
    </row>
    <row r="47" spans="1:89" x14ac:dyDescent="0.25">
      <c r="A47" s="185" t="s">
        <v>340</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5">
        <f t="shared" si="45"/>
        <v>0</v>
      </c>
      <c r="O47" s="215">
        <f t="shared" si="45"/>
        <v>0</v>
      </c>
      <c r="P47" s="215">
        <f t="shared" si="45"/>
        <v>2.6316913005462786E-3</v>
      </c>
      <c r="Q47" s="215">
        <f t="shared" si="45"/>
        <v>8.767947260532493E-3</v>
      </c>
      <c r="R47" s="215">
        <f t="shared" si="45"/>
        <v>8.6413561325381447E-3</v>
      </c>
      <c r="S47" s="215">
        <f t="shared" si="45"/>
        <v>8.8066466200837062E-3</v>
      </c>
      <c r="T47" s="215">
        <f t="shared" si="45"/>
        <v>1.7809899847848403E-2</v>
      </c>
      <c r="U47" s="215">
        <f t="shared" si="45"/>
        <v>1.3427441316165344E-2</v>
      </c>
    </row>
    <row r="48" spans="1:89" x14ac:dyDescent="0.25">
      <c r="A48" s="185" t="s">
        <v>341</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5">
        <f t="shared" si="46"/>
        <v>0</v>
      </c>
      <c r="O48" s="215">
        <f t="shared" si="46"/>
        <v>0</v>
      </c>
      <c r="P48" s="215">
        <f t="shared" si="46"/>
        <v>0</v>
      </c>
      <c r="Q48" s="215">
        <f t="shared" si="46"/>
        <v>7.0709252101068491E-3</v>
      </c>
      <c r="R48" s="215">
        <f t="shared" si="46"/>
        <v>1.3062684768819721E-2</v>
      </c>
      <c r="S48" s="215">
        <f t="shared" si="46"/>
        <v>1.388664327156857E-2</v>
      </c>
      <c r="T48" s="215">
        <f t="shared" si="46"/>
        <v>6.9528936858994318E-3</v>
      </c>
      <c r="U48" s="215">
        <f t="shared" si="46"/>
        <v>7.5768778176378351E-3</v>
      </c>
    </row>
    <row r="49" spans="1:21" x14ac:dyDescent="0.25">
      <c r="A49" s="185" t="s">
        <v>342</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5">
        <f t="shared" si="47"/>
        <v>0</v>
      </c>
      <c r="O49" s="215">
        <f t="shared" si="47"/>
        <v>0</v>
      </c>
      <c r="P49" s="215">
        <f t="shared" si="47"/>
        <v>2.6316913005462786E-3</v>
      </c>
      <c r="Q49" s="215">
        <f t="shared" si="47"/>
        <v>1.583887247063934E-2</v>
      </c>
      <c r="R49" s="215">
        <f t="shared" si="47"/>
        <v>2.1704040901357868E-2</v>
      </c>
      <c r="S49" s="215">
        <f t="shared" si="47"/>
        <v>2.2693289891652278E-2</v>
      </c>
      <c r="T49" s="215">
        <f t="shared" si="47"/>
        <v>2.4762793533747832E-2</v>
      </c>
      <c r="U49" s="215">
        <f t="shared" si="47"/>
        <v>2.1004319133803181E-2</v>
      </c>
    </row>
    <row r="50" spans="1:21" x14ac:dyDescent="0.25">
      <c r="A50" s="185" t="s">
        <v>346</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5">
        <f t="shared" si="48"/>
        <v>1</v>
      </c>
      <c r="O50" s="215">
        <f t="shared" si="48"/>
        <v>1</v>
      </c>
      <c r="P50" s="215">
        <f t="shared" si="48"/>
        <v>0.9973683086994537</v>
      </c>
      <c r="Q50" s="215">
        <f t="shared" si="48"/>
        <v>0.98416112752936069</v>
      </c>
      <c r="R50" s="215">
        <f t="shared" si="48"/>
        <v>0.9782959590986422</v>
      </c>
      <c r="S50" s="215">
        <f t="shared" si="48"/>
        <v>0.97730671010834769</v>
      </c>
      <c r="T50" s="215">
        <f t="shared" si="48"/>
        <v>0.97523720646625212</v>
      </c>
      <c r="U50" s="215">
        <f t="shared" si="48"/>
        <v>0.97899568086619682</v>
      </c>
    </row>
    <row r="51" spans="1:21" x14ac:dyDescent="0.25">
      <c r="A51" s="186"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5">
        <f t="shared" si="49"/>
        <v>1</v>
      </c>
      <c r="O51" s="215">
        <f t="shared" si="49"/>
        <v>1</v>
      </c>
      <c r="P51" s="215">
        <f t="shared" si="49"/>
        <v>1</v>
      </c>
      <c r="Q51" s="215">
        <f t="shared" si="49"/>
        <v>1</v>
      </c>
      <c r="R51" s="215">
        <f t="shared" si="49"/>
        <v>1</v>
      </c>
      <c r="S51" s="215">
        <f t="shared" si="49"/>
        <v>1</v>
      </c>
      <c r="T51" s="215">
        <f t="shared" si="49"/>
        <v>1</v>
      </c>
      <c r="U51" s="215">
        <f t="shared" si="49"/>
        <v>1</v>
      </c>
    </row>
    <row r="54" spans="1:21" s="9" customFormat="1" x14ac:dyDescent="0.25">
      <c r="A54" s="230" t="s">
        <v>645</v>
      </c>
      <c r="B54" s="231"/>
      <c r="C54" s="231"/>
      <c r="D54" s="231"/>
      <c r="E54" s="232">
        <f>E1</f>
        <v>43100</v>
      </c>
      <c r="F54" s="232">
        <f t="shared" ref="F54:U54" si="50">F1</f>
        <v>43008</v>
      </c>
      <c r="G54" s="232">
        <f t="shared" si="50"/>
        <v>42916</v>
      </c>
      <c r="H54" s="232">
        <f t="shared" si="50"/>
        <v>42825</v>
      </c>
      <c r="I54" s="232">
        <f t="shared" si="50"/>
        <v>42735</v>
      </c>
      <c r="J54" s="232">
        <f t="shared" si="50"/>
        <v>42643</v>
      </c>
      <c r="K54" s="232">
        <f t="shared" si="50"/>
        <v>42551</v>
      </c>
      <c r="L54" s="232">
        <f t="shared" si="50"/>
        <v>42460</v>
      </c>
      <c r="M54" s="232">
        <f t="shared" si="50"/>
        <v>42369</v>
      </c>
      <c r="N54" s="232">
        <f t="shared" si="50"/>
        <v>42277</v>
      </c>
      <c r="O54" s="232">
        <f t="shared" si="50"/>
        <v>42185</v>
      </c>
      <c r="P54" s="232">
        <f t="shared" si="50"/>
        <v>42094</v>
      </c>
      <c r="Q54" s="232">
        <f t="shared" si="50"/>
        <v>42004</v>
      </c>
      <c r="R54" s="232">
        <f t="shared" si="50"/>
        <v>41912</v>
      </c>
      <c r="S54" s="232">
        <f t="shared" si="50"/>
        <v>41820</v>
      </c>
      <c r="T54" s="232">
        <f t="shared" si="50"/>
        <v>41729</v>
      </c>
      <c r="U54" s="232">
        <f t="shared" si="50"/>
        <v>41639</v>
      </c>
    </row>
    <row r="55" spans="1:21" x14ac:dyDescent="0.25">
      <c r="A55" s="185" t="s">
        <v>649</v>
      </c>
      <c r="B55" s="64"/>
      <c r="C55" s="64"/>
      <c r="D55" s="64"/>
      <c r="E55" s="215">
        <f>E2/E9</f>
        <v>0.15357885292284826</v>
      </c>
      <c r="F55" s="215">
        <f t="shared" ref="F55:U55" si="51">F2/F9</f>
        <v>0.16132815520011692</v>
      </c>
      <c r="G55" s="215">
        <f t="shared" si="51"/>
        <v>0.1625385084853456</v>
      </c>
      <c r="H55" s="215">
        <f t="shared" si="51"/>
        <v>0.18865028255220315</v>
      </c>
      <c r="I55" s="215">
        <f t="shared" si="51"/>
        <v>0.1284124157304293</v>
      </c>
      <c r="J55" s="215">
        <f t="shared" si="51"/>
        <v>0.24507069365987452</v>
      </c>
      <c r="K55" s="215">
        <f t="shared" si="51"/>
        <v>0.11109299196335491</v>
      </c>
      <c r="L55" s="215">
        <f t="shared" si="51"/>
        <v>0.19933960892472069</v>
      </c>
      <c r="M55" s="215">
        <f t="shared" si="51"/>
        <v>0.26783983577118242</v>
      </c>
      <c r="N55" s="215">
        <f t="shared" si="51"/>
        <v>0.27769745416405095</v>
      </c>
      <c r="O55" s="215">
        <f t="shared" si="51"/>
        <v>0.26606071663712771</v>
      </c>
      <c r="P55" s="215">
        <f t="shared" si="51"/>
        <v>0.51620868628434802</v>
      </c>
      <c r="Q55" s="215">
        <f t="shared" si="51"/>
        <v>0.16590671088821501</v>
      </c>
      <c r="R55" s="215">
        <f t="shared" si="51"/>
        <v>0.19924445233761276</v>
      </c>
      <c r="S55" s="215">
        <f t="shared" si="51"/>
        <v>0.18286926844236451</v>
      </c>
      <c r="T55" s="215">
        <f t="shared" si="51"/>
        <v>0.22227144521670608</v>
      </c>
      <c r="U55" s="215">
        <f t="shared" si="51"/>
        <v>0.23483568622716416</v>
      </c>
    </row>
    <row r="56" spans="1:21" x14ac:dyDescent="0.25">
      <c r="A56" s="185" t="s">
        <v>650</v>
      </c>
      <c r="B56" s="64"/>
      <c r="C56" s="64"/>
      <c r="D56" s="64"/>
      <c r="E56" s="215">
        <f>E4/E9</f>
        <v>0.24880859699167507</v>
      </c>
      <c r="F56" s="215">
        <f t="shared" ref="F56:U56" si="52">F4/F9</f>
        <v>0.23215503550343533</v>
      </c>
      <c r="G56" s="215">
        <f t="shared" si="52"/>
        <v>0.22001780940812213</v>
      </c>
      <c r="H56" s="215">
        <f t="shared" si="52"/>
        <v>0.21368693944454731</v>
      </c>
      <c r="I56" s="215">
        <f t="shared" si="52"/>
        <v>0.26722930977633452</v>
      </c>
      <c r="J56" s="215">
        <f t="shared" si="52"/>
        <v>0.23051376192618736</v>
      </c>
      <c r="K56" s="215">
        <f t="shared" si="52"/>
        <v>0.28469177551003977</v>
      </c>
      <c r="L56" s="215">
        <f t="shared" si="52"/>
        <v>0.22581501444467536</v>
      </c>
      <c r="M56" s="215">
        <f t="shared" si="52"/>
        <v>0.27657383558704546</v>
      </c>
      <c r="N56" s="215">
        <f t="shared" si="52"/>
        <v>0.27753000922965193</v>
      </c>
      <c r="O56" s="215">
        <f t="shared" si="52"/>
        <v>0.30230522398052384</v>
      </c>
      <c r="P56" s="215">
        <f t="shared" si="52"/>
        <v>9.5450481974172829E-2</v>
      </c>
      <c r="Q56" s="215">
        <f t="shared" si="52"/>
        <v>0.21864784919881758</v>
      </c>
      <c r="R56" s="215">
        <f t="shared" si="52"/>
        <v>0.2121320750482418</v>
      </c>
      <c r="S56" s="215">
        <f t="shared" si="52"/>
        <v>0.22507107042366686</v>
      </c>
      <c r="T56" s="215">
        <f t="shared" si="52"/>
        <v>0.21225088345622703</v>
      </c>
      <c r="U56" s="215">
        <f t="shared" si="52"/>
        <v>0.19810744389346863</v>
      </c>
    </row>
    <row r="57" spans="1:21" x14ac:dyDescent="0.25">
      <c r="A57" s="185" t="s">
        <v>651</v>
      </c>
      <c r="B57" s="64"/>
      <c r="C57" s="64"/>
      <c r="D57" s="64"/>
      <c r="E57" s="215">
        <f>E5/E9</f>
        <v>0.35885720474558513</v>
      </c>
      <c r="F57" s="215">
        <f t="shared" ref="F57:U57" si="53">F5/F9</f>
        <v>0.35329073890561763</v>
      </c>
      <c r="G57" s="215">
        <f t="shared" si="53"/>
        <v>0.34724691622323989</v>
      </c>
      <c r="H57" s="215">
        <f t="shared" si="53"/>
        <v>0.32422642792294082</v>
      </c>
      <c r="I57" s="215">
        <f t="shared" si="53"/>
        <v>0.37153906371108031</v>
      </c>
      <c r="J57" s="215">
        <f t="shared" si="53"/>
        <v>0.32987437394185742</v>
      </c>
      <c r="K57" s="215">
        <f t="shared" si="53"/>
        <v>0.40613241098859648</v>
      </c>
      <c r="L57" s="215">
        <f t="shared" si="53"/>
        <v>0.35588936691883444</v>
      </c>
      <c r="M57" s="215">
        <f t="shared" si="53"/>
        <v>0.43758383422786573</v>
      </c>
      <c r="N57" s="215">
        <f t="shared" si="53"/>
        <v>0.42948578347539212</v>
      </c>
      <c r="O57" s="215">
        <f t="shared" si="53"/>
        <v>0.42448079413112111</v>
      </c>
      <c r="P57" s="215">
        <f t="shared" si="53"/>
        <v>0.1753532665451959</v>
      </c>
      <c r="Q57" s="215">
        <f t="shared" si="53"/>
        <v>0.34904587642318541</v>
      </c>
      <c r="R57" s="215">
        <f t="shared" si="53"/>
        <v>0.35334915184845439</v>
      </c>
      <c r="S57" s="215">
        <f t="shared" si="53"/>
        <v>0.33979569597493453</v>
      </c>
      <c r="T57" s="215">
        <f t="shared" si="53"/>
        <v>0.33142865636195751</v>
      </c>
      <c r="U57" s="215">
        <f t="shared" si="53"/>
        <v>0.32276708942411114</v>
      </c>
    </row>
    <row r="58" spans="1:21" x14ac:dyDescent="0.25">
      <c r="A58" s="185" t="s">
        <v>652</v>
      </c>
      <c r="B58" s="64"/>
      <c r="C58" s="64"/>
      <c r="D58" s="64"/>
      <c r="E58" s="215">
        <f>E6/E9</f>
        <v>0.11004860775391004</v>
      </c>
      <c r="F58" s="215">
        <f t="shared" ref="F58:U58" si="54">F6/F9</f>
        <v>0.12113570340218228</v>
      </c>
      <c r="G58" s="215">
        <f t="shared" si="54"/>
        <v>0.1272291068151177</v>
      </c>
      <c r="H58" s="215">
        <f t="shared" si="54"/>
        <v>0.11053948847839354</v>
      </c>
      <c r="I58" s="215">
        <f t="shared" si="54"/>
        <v>0.10430975393474573</v>
      </c>
      <c r="J58" s="215">
        <f t="shared" si="54"/>
        <v>9.9360612015670063E-2</v>
      </c>
      <c r="K58" s="215">
        <f t="shared" si="54"/>
        <v>0.12144063547855671</v>
      </c>
      <c r="L58" s="215">
        <f t="shared" si="54"/>
        <v>0.13007435247415905</v>
      </c>
      <c r="M58" s="215">
        <f t="shared" si="54"/>
        <v>0.16100999864082027</v>
      </c>
      <c r="N58" s="215">
        <f t="shared" si="54"/>
        <v>0.15195577424574022</v>
      </c>
      <c r="O58" s="215">
        <f t="shared" si="54"/>
        <v>0.12217557015059725</v>
      </c>
      <c r="P58" s="215">
        <f t="shared" si="54"/>
        <v>7.9902784571023053E-2</v>
      </c>
      <c r="Q58" s="215">
        <f t="shared" si="54"/>
        <v>0.1303980272243678</v>
      </c>
      <c r="R58" s="215">
        <f t="shared" si="54"/>
        <v>0.14121707680021262</v>
      </c>
      <c r="S58" s="215">
        <f t="shared" si="54"/>
        <v>0.11472462555126767</v>
      </c>
      <c r="T58" s="215">
        <f t="shared" si="54"/>
        <v>0.11917777290573049</v>
      </c>
      <c r="U58" s="215">
        <f t="shared" si="54"/>
        <v>0.12465964553064249</v>
      </c>
    </row>
    <row r="59" spans="1:21" s="226" customFormat="1" x14ac:dyDescent="0.25">
      <c r="A59" s="228" t="s">
        <v>646</v>
      </c>
      <c r="B59" s="224"/>
      <c r="C59" s="224"/>
      <c r="D59" s="224"/>
      <c r="E59" s="225">
        <f>E55+E56</f>
        <v>0.40238744991452335</v>
      </c>
      <c r="F59" s="225">
        <f t="shared" ref="F59:U59" si="55">F55+F56</f>
        <v>0.39348319070355225</v>
      </c>
      <c r="G59" s="225">
        <f t="shared" si="55"/>
        <v>0.38255631789346772</v>
      </c>
      <c r="H59" s="225">
        <f t="shared" si="55"/>
        <v>0.40233722199675048</v>
      </c>
      <c r="I59" s="225">
        <f t="shared" si="55"/>
        <v>0.3956417255067638</v>
      </c>
      <c r="J59" s="225">
        <f t="shared" si="55"/>
        <v>0.47558445558606188</v>
      </c>
      <c r="K59" s="225">
        <f t="shared" si="55"/>
        <v>0.39578476747339469</v>
      </c>
      <c r="L59" s="225">
        <f t="shared" si="55"/>
        <v>0.42515462336939602</v>
      </c>
      <c r="M59" s="225">
        <f t="shared" si="55"/>
        <v>0.54441367135822794</v>
      </c>
      <c r="N59" s="225">
        <f t="shared" si="55"/>
        <v>0.55522746339370288</v>
      </c>
      <c r="O59" s="225">
        <f t="shared" si="55"/>
        <v>0.56836594061765155</v>
      </c>
      <c r="P59" s="225">
        <f t="shared" si="55"/>
        <v>0.61165916825852085</v>
      </c>
      <c r="Q59" s="225">
        <f t="shared" si="55"/>
        <v>0.38455456008703259</v>
      </c>
      <c r="R59" s="225">
        <f t="shared" si="55"/>
        <v>0.41137652738585456</v>
      </c>
      <c r="S59" s="225">
        <f t="shared" si="55"/>
        <v>0.40794033886603137</v>
      </c>
      <c r="T59" s="225">
        <f t="shared" si="55"/>
        <v>0.43452232867293311</v>
      </c>
      <c r="U59" s="225">
        <f t="shared" si="55"/>
        <v>0.43294313012063279</v>
      </c>
    </row>
    <row r="60" spans="1:21" x14ac:dyDescent="0.25">
      <c r="A60" s="185" t="s">
        <v>653</v>
      </c>
      <c r="B60" s="64"/>
      <c r="C60" s="64"/>
      <c r="D60" s="64"/>
      <c r="E60" s="215">
        <f>E3/E9</f>
        <v>4.7537007251373343E-3</v>
      </c>
      <c r="F60" s="215">
        <f t="shared" ref="F60:U60" si="56">F3/F9</f>
        <v>4.4248084540457729E-3</v>
      </c>
      <c r="G60" s="215">
        <f t="shared" si="56"/>
        <v>4.5011618947229364E-3</v>
      </c>
      <c r="H60" s="215">
        <f t="shared" si="56"/>
        <v>5.7299661124198932E-3</v>
      </c>
      <c r="I60" s="215">
        <f t="shared" si="56"/>
        <v>5.8686573924079015E-3</v>
      </c>
      <c r="J60" s="215">
        <f t="shared" si="56"/>
        <v>6.6060339197265205E-3</v>
      </c>
      <c r="K60" s="215">
        <f t="shared" si="56"/>
        <v>8.0252984732285971E-3</v>
      </c>
      <c r="L60" s="215">
        <f t="shared" si="56"/>
        <v>7.9527438232968491E-3</v>
      </c>
      <c r="M60" s="215">
        <f t="shared" si="56"/>
        <v>1.0446163826221454E-2</v>
      </c>
      <c r="N60" s="215">
        <f t="shared" si="56"/>
        <v>6.9879867779075074E-3</v>
      </c>
      <c r="O60" s="215">
        <f t="shared" si="56"/>
        <v>4.372754931292514E-3</v>
      </c>
      <c r="P60" s="215">
        <f t="shared" si="56"/>
        <v>4.4715405635596412E-3</v>
      </c>
      <c r="Q60" s="215">
        <f t="shared" si="56"/>
        <v>7.6891520259571118E-3</v>
      </c>
      <c r="R60" s="215">
        <f t="shared" si="56"/>
        <v>7.00606939056473E-3</v>
      </c>
      <c r="S60" s="215">
        <f t="shared" si="56"/>
        <v>7.1400803730520745E-3</v>
      </c>
      <c r="T60" s="215">
        <f t="shared" si="56"/>
        <v>6.9909413666850422E-3</v>
      </c>
      <c r="U60" s="215">
        <f t="shared" si="56"/>
        <v>7.1059441453502799E-3</v>
      </c>
    </row>
    <row r="61" spans="1:21" x14ac:dyDescent="0.25">
      <c r="A61" s="185" t="s">
        <v>654</v>
      </c>
      <c r="B61" s="64"/>
      <c r="C61" s="64"/>
      <c r="D61" s="64"/>
      <c r="E61" s="215">
        <f>E7/E9</f>
        <v>0.59285884936033928</v>
      </c>
      <c r="F61" s="215">
        <f t="shared" ref="F61:U61" si="57">F7/F9</f>
        <v>0.602092000842402</v>
      </c>
      <c r="G61" s="215">
        <f t="shared" si="57"/>
        <v>0.61294252021180928</v>
      </c>
      <c r="H61" s="215">
        <f t="shared" si="57"/>
        <v>0.59193281189082969</v>
      </c>
      <c r="I61" s="215">
        <f t="shared" si="57"/>
        <v>0.59848961710082815</v>
      </c>
      <c r="J61" s="215">
        <f t="shared" si="57"/>
        <v>0.51780951049421164</v>
      </c>
      <c r="K61" s="215">
        <f t="shared" si="57"/>
        <v>0.59618993405337684</v>
      </c>
      <c r="L61" s="215">
        <f t="shared" si="57"/>
        <v>0.56689263280730706</v>
      </c>
      <c r="M61" s="215">
        <f t="shared" si="57"/>
        <v>0.44514016481555063</v>
      </c>
      <c r="N61" s="215">
        <f t="shared" si="57"/>
        <v>0.43778454982838949</v>
      </c>
      <c r="O61" s="215">
        <f t="shared" si="57"/>
        <v>0.42726130445105587</v>
      </c>
      <c r="P61" s="215">
        <f t="shared" si="57"/>
        <v>0.3838692911779194</v>
      </c>
      <c r="Q61" s="215">
        <f t="shared" si="57"/>
        <v>0.60775628788701042</v>
      </c>
      <c r="R61" s="215">
        <f t="shared" si="57"/>
        <v>0.58161740322358069</v>
      </c>
      <c r="S61" s="215">
        <f t="shared" si="57"/>
        <v>0.58491958076091655</v>
      </c>
      <c r="T61" s="215">
        <f t="shared" si="57"/>
        <v>0.55848672996038207</v>
      </c>
      <c r="U61" s="215">
        <f t="shared" si="57"/>
        <v>0.55995092573401695</v>
      </c>
    </row>
    <row r="62" spans="1:21" s="226" customFormat="1" x14ac:dyDescent="0.25">
      <c r="A62" s="228" t="s">
        <v>647</v>
      </c>
      <c r="B62" s="224"/>
      <c r="C62" s="224"/>
      <c r="D62" s="224"/>
      <c r="E62" s="225">
        <f>E60+E61</f>
        <v>0.59761255008547665</v>
      </c>
      <c r="F62" s="225">
        <f t="shared" ref="F62:M62" si="58">F60+F61</f>
        <v>0.6065168092964478</v>
      </c>
      <c r="G62" s="225">
        <f t="shared" si="58"/>
        <v>0.61744368210653222</v>
      </c>
      <c r="H62" s="225">
        <f t="shared" si="58"/>
        <v>0.59766277800324963</v>
      </c>
      <c r="I62" s="225">
        <f t="shared" si="58"/>
        <v>0.60435827449323609</v>
      </c>
      <c r="J62" s="225">
        <f t="shared" si="58"/>
        <v>0.52441554441393812</v>
      </c>
      <c r="K62" s="225">
        <f t="shared" si="58"/>
        <v>0.60421523252660547</v>
      </c>
      <c r="L62" s="225">
        <f t="shared" si="58"/>
        <v>0.57484537663060387</v>
      </c>
      <c r="M62" s="225">
        <f t="shared" si="58"/>
        <v>0.45558632864177206</v>
      </c>
      <c r="N62" s="225">
        <f t="shared" ref="N62" si="59">N60+N61</f>
        <v>0.44477253660629701</v>
      </c>
      <c r="O62" s="225">
        <f t="shared" ref="O62" si="60">O60+O61</f>
        <v>0.43163405938234839</v>
      </c>
      <c r="P62" s="225">
        <f t="shared" ref="P62" si="61">P60+P61</f>
        <v>0.38834083174147904</v>
      </c>
      <c r="Q62" s="225">
        <f t="shared" ref="Q62" si="62">Q60+Q61</f>
        <v>0.61544543991296752</v>
      </c>
      <c r="R62" s="225">
        <f t="shared" ref="R62" si="63">R60+R61</f>
        <v>0.58862347261414538</v>
      </c>
      <c r="S62" s="225">
        <f t="shared" ref="S62" si="64">S60+S61</f>
        <v>0.59205966113396857</v>
      </c>
      <c r="T62" s="225">
        <f t="shared" ref="T62" si="65">T60+T61</f>
        <v>0.56547767132706706</v>
      </c>
      <c r="U62" s="225">
        <f t="shared" ref="U62" si="66">U60+U61</f>
        <v>0.56705686987936721</v>
      </c>
    </row>
    <row r="63" spans="1:21" x14ac:dyDescent="0.25">
      <c r="A63" s="227" t="s">
        <v>648</v>
      </c>
      <c r="B63" s="64"/>
      <c r="C63" s="64"/>
      <c r="D63" s="64"/>
      <c r="E63" s="215">
        <v>1</v>
      </c>
      <c r="F63" s="215">
        <v>1</v>
      </c>
      <c r="G63" s="215">
        <v>1</v>
      </c>
      <c r="H63" s="215">
        <v>1</v>
      </c>
      <c r="I63" s="215">
        <v>1</v>
      </c>
      <c r="J63" s="215">
        <v>1</v>
      </c>
      <c r="K63" s="215">
        <v>1</v>
      </c>
      <c r="L63" s="215">
        <v>1</v>
      </c>
      <c r="M63" s="215">
        <v>1</v>
      </c>
      <c r="N63" s="215">
        <v>1</v>
      </c>
      <c r="O63" s="215">
        <v>1</v>
      </c>
      <c r="P63" s="215">
        <v>1</v>
      </c>
      <c r="Q63" s="215">
        <v>1</v>
      </c>
      <c r="R63" s="215">
        <v>1</v>
      </c>
      <c r="S63" s="215">
        <v>1</v>
      </c>
      <c r="T63" s="215">
        <v>1</v>
      </c>
      <c r="U63" s="215">
        <v>1</v>
      </c>
    </row>
    <row r="64" spans="1:21" ht="42.6" customHeight="1" x14ac:dyDescent="0.25">
      <c r="A64" s="277" t="s">
        <v>704</v>
      </c>
      <c r="B64" s="278"/>
      <c r="C64" s="278"/>
      <c r="D64" s="278"/>
      <c r="E64" s="278"/>
      <c r="F64" s="278"/>
      <c r="G64" s="278"/>
      <c r="H64" s="278"/>
      <c r="I64" s="278"/>
      <c r="J64" s="278"/>
      <c r="K64" s="278"/>
      <c r="L64" s="278"/>
      <c r="M64" s="278"/>
      <c r="N64" s="278"/>
      <c r="O64" s="278"/>
      <c r="P64" s="278"/>
      <c r="Q64" s="278"/>
      <c r="R64" s="278"/>
      <c r="S64" s="278"/>
      <c r="T64" s="278"/>
      <c r="U64" s="278"/>
    </row>
    <row r="66" spans="1:21" s="9" customFormat="1" x14ac:dyDescent="0.25">
      <c r="A66" s="233" t="s">
        <v>655</v>
      </c>
      <c r="E66" s="234">
        <f>E1</f>
        <v>43100</v>
      </c>
      <c r="F66" s="234">
        <f t="shared" ref="F66:U66" si="67">F1</f>
        <v>43008</v>
      </c>
      <c r="G66" s="234">
        <f t="shared" si="67"/>
        <v>42916</v>
      </c>
      <c r="H66" s="234">
        <f t="shared" si="67"/>
        <v>42825</v>
      </c>
      <c r="I66" s="234">
        <f t="shared" si="67"/>
        <v>42735</v>
      </c>
      <c r="J66" s="234">
        <f t="shared" si="67"/>
        <v>42643</v>
      </c>
      <c r="K66" s="234">
        <f t="shared" si="67"/>
        <v>42551</v>
      </c>
      <c r="L66" s="234">
        <f t="shared" si="67"/>
        <v>42460</v>
      </c>
      <c r="M66" s="234">
        <f t="shared" si="67"/>
        <v>42369</v>
      </c>
      <c r="N66" s="234">
        <f t="shared" si="67"/>
        <v>42277</v>
      </c>
      <c r="O66" s="234">
        <f t="shared" si="67"/>
        <v>42185</v>
      </c>
      <c r="P66" s="234">
        <f t="shared" si="67"/>
        <v>42094</v>
      </c>
      <c r="Q66" s="234">
        <f t="shared" si="67"/>
        <v>42004</v>
      </c>
      <c r="R66" s="234">
        <f t="shared" si="67"/>
        <v>41912</v>
      </c>
      <c r="S66" s="234">
        <f t="shared" si="67"/>
        <v>41820</v>
      </c>
      <c r="T66" s="234">
        <f t="shared" si="67"/>
        <v>41729</v>
      </c>
      <c r="U66" s="234">
        <f t="shared" si="67"/>
        <v>41639</v>
      </c>
    </row>
    <row r="67" spans="1:21" x14ac:dyDescent="0.25">
      <c r="A67" s="17" t="s">
        <v>656</v>
      </c>
      <c r="E67" s="194">
        <f>E10</f>
        <v>1931470.31</v>
      </c>
      <c r="F67" s="194">
        <f t="shared" ref="F67:U67" si="68">F10</f>
        <v>1948951.34</v>
      </c>
      <c r="G67" s="194">
        <f t="shared" si="68"/>
        <v>1603764.68</v>
      </c>
      <c r="H67" s="194">
        <f t="shared" si="68"/>
        <v>1610046.15</v>
      </c>
      <c r="I67" s="194">
        <f t="shared" si="68"/>
        <v>1785316.59</v>
      </c>
      <c r="J67" s="194">
        <f t="shared" si="68"/>
        <v>101604314.73999999</v>
      </c>
      <c r="K67" s="194">
        <f t="shared" si="68"/>
        <v>222038338.03999999</v>
      </c>
      <c r="L67" s="194">
        <f t="shared" si="68"/>
        <v>158562478.13999999</v>
      </c>
      <c r="M67" s="194">
        <f t="shared" si="68"/>
        <v>0</v>
      </c>
      <c r="N67" s="194">
        <f t="shared" si="68"/>
        <v>0</v>
      </c>
      <c r="O67" s="194">
        <f t="shared" si="68"/>
        <v>0</v>
      </c>
      <c r="P67" s="194">
        <f t="shared" si="68"/>
        <v>6400000</v>
      </c>
      <c r="Q67" s="194">
        <f t="shared" si="68"/>
        <v>12400000</v>
      </c>
      <c r="R67" s="194">
        <f t="shared" si="68"/>
        <v>12000000</v>
      </c>
      <c r="S67" s="194">
        <f t="shared" si="68"/>
        <v>12000000</v>
      </c>
      <c r="T67" s="194">
        <f t="shared" si="68"/>
        <v>24857676</v>
      </c>
      <c r="U67" s="194">
        <f t="shared" si="68"/>
        <v>18437676</v>
      </c>
    </row>
    <row r="68" spans="1:21" x14ac:dyDescent="0.25">
      <c r="A68" s="17" t="s">
        <v>657</v>
      </c>
      <c r="E68" s="194">
        <f>E11</f>
        <v>7883028.7000000002</v>
      </c>
      <c r="F68" s="194">
        <f t="shared" ref="F68:U68" si="69">F11</f>
        <v>8454143.4100000001</v>
      </c>
      <c r="G68" s="194">
        <f t="shared" si="69"/>
        <v>9344293.1699999999</v>
      </c>
      <c r="H68" s="194">
        <f t="shared" si="69"/>
        <v>9869661.5800000001</v>
      </c>
      <c r="I68" s="194">
        <f t="shared" si="69"/>
        <v>10361511.449999999</v>
      </c>
      <c r="J68" s="194">
        <f t="shared" si="69"/>
        <v>380150325.94</v>
      </c>
      <c r="K68" s="194">
        <f t="shared" si="69"/>
        <v>578364955.11000001</v>
      </c>
      <c r="L68" s="194">
        <f t="shared" si="69"/>
        <v>569004403.22000003</v>
      </c>
      <c r="M68" s="194">
        <f t="shared" si="69"/>
        <v>0</v>
      </c>
      <c r="N68" s="194">
        <f t="shared" si="69"/>
        <v>0</v>
      </c>
      <c r="O68" s="194">
        <f t="shared" si="69"/>
        <v>0</v>
      </c>
      <c r="P68" s="194">
        <f t="shared" si="69"/>
        <v>0</v>
      </c>
      <c r="Q68" s="194">
        <f t="shared" si="69"/>
        <v>10000000</v>
      </c>
      <c r="R68" s="194">
        <f t="shared" si="69"/>
        <v>18139770.52</v>
      </c>
      <c r="S68" s="194">
        <f t="shared" si="69"/>
        <v>18922039.960000001</v>
      </c>
      <c r="T68" s="194">
        <f t="shared" si="69"/>
        <v>9704309.4000000004</v>
      </c>
      <c r="U68" s="194">
        <f t="shared" si="69"/>
        <v>10404068.43</v>
      </c>
    </row>
    <row r="69" spans="1:21" x14ac:dyDescent="0.25">
      <c r="A69" s="17" t="s">
        <v>658</v>
      </c>
      <c r="E69" s="194">
        <f>E12</f>
        <v>9814499.0099999998</v>
      </c>
      <c r="F69" s="194">
        <f t="shared" ref="F69:U69" si="70">F12</f>
        <v>10403094.75</v>
      </c>
      <c r="G69" s="194">
        <f t="shared" si="70"/>
        <v>10948057.85</v>
      </c>
      <c r="H69" s="194">
        <f t="shared" si="70"/>
        <v>11479707.73</v>
      </c>
      <c r="I69" s="194">
        <f t="shared" si="70"/>
        <v>12146828.039999999</v>
      </c>
      <c r="J69" s="194">
        <f t="shared" si="70"/>
        <v>481754640.68000001</v>
      </c>
      <c r="K69" s="194">
        <f t="shared" si="70"/>
        <v>800403293.14999998</v>
      </c>
      <c r="L69" s="194">
        <f t="shared" si="70"/>
        <v>727566881.36000001</v>
      </c>
      <c r="M69" s="194">
        <f t="shared" si="70"/>
        <v>0</v>
      </c>
      <c r="N69" s="194">
        <f t="shared" si="70"/>
        <v>0</v>
      </c>
      <c r="O69" s="194">
        <f t="shared" si="70"/>
        <v>0</v>
      </c>
      <c r="P69" s="194">
        <f t="shared" si="70"/>
        <v>6400000</v>
      </c>
      <c r="Q69" s="194">
        <f t="shared" si="70"/>
        <v>22400000</v>
      </c>
      <c r="R69" s="194">
        <f t="shared" si="70"/>
        <v>30139770.52</v>
      </c>
      <c r="S69" s="194">
        <f t="shared" si="70"/>
        <v>30922039.960000001</v>
      </c>
      <c r="T69" s="194">
        <f t="shared" si="70"/>
        <v>34561985.399999999</v>
      </c>
      <c r="U69" s="194">
        <f t="shared" si="70"/>
        <v>28841744.43</v>
      </c>
    </row>
    <row r="70" spans="1:21" s="235" customFormat="1" x14ac:dyDescent="0.25">
      <c r="A70" s="235" t="s">
        <v>661</v>
      </c>
      <c r="E70" s="235">
        <f>E69/E74</f>
        <v>2.4029150277455388E-3</v>
      </c>
      <c r="F70" s="235">
        <f t="shared" ref="F70:U70" si="71">F69/F74</f>
        <v>2.5943548301283225E-3</v>
      </c>
      <c r="G70" s="235">
        <f t="shared" si="71"/>
        <v>2.7773720602218294E-3</v>
      </c>
      <c r="H70" s="235">
        <f t="shared" si="71"/>
        <v>2.8936767518945453E-3</v>
      </c>
      <c r="I70" s="235">
        <f t="shared" si="71"/>
        <v>3.1359474049349198E-3</v>
      </c>
      <c r="J70" s="235">
        <f t="shared" si="71"/>
        <v>0.11331634097063685</v>
      </c>
      <c r="K70" s="235">
        <f t="shared" si="71"/>
        <v>0.22871565746158928</v>
      </c>
      <c r="L70" s="235">
        <f t="shared" si="71"/>
        <v>0.21309615569959542</v>
      </c>
      <c r="M70" s="235">
        <f t="shared" si="71"/>
        <v>0</v>
      </c>
      <c r="N70" s="235">
        <f t="shared" si="71"/>
        <v>0</v>
      </c>
      <c r="O70" s="235">
        <f t="shared" si="71"/>
        <v>0</v>
      </c>
      <c r="P70" s="235">
        <f t="shared" si="71"/>
        <v>2.6316913005462786E-3</v>
      </c>
      <c r="Q70" s="235">
        <f t="shared" si="71"/>
        <v>1.583887247063934E-2</v>
      </c>
      <c r="R70" s="235">
        <f t="shared" si="71"/>
        <v>2.1704040901357868E-2</v>
      </c>
      <c r="S70" s="235">
        <f t="shared" si="71"/>
        <v>2.2693289891652278E-2</v>
      </c>
      <c r="T70" s="235">
        <f t="shared" si="71"/>
        <v>2.4762793533747832E-2</v>
      </c>
      <c r="U70" s="235">
        <f t="shared" si="71"/>
        <v>2.1004319133803181E-2</v>
      </c>
    </row>
    <row r="71" spans="1:21" x14ac:dyDescent="0.25">
      <c r="A71" s="17" t="s">
        <v>659</v>
      </c>
      <c r="E71" s="194">
        <f>E13</f>
        <v>4074599180.4899998</v>
      </c>
      <c r="F71" s="194">
        <f t="shared" ref="F71:U71" si="72">F13</f>
        <v>3999493558.2399998</v>
      </c>
      <c r="G71" s="194">
        <f t="shared" si="72"/>
        <v>3930928512.02</v>
      </c>
      <c r="H71" s="194">
        <f t="shared" si="72"/>
        <v>3955690337.2599998</v>
      </c>
      <c r="I71" s="194">
        <f t="shared" si="72"/>
        <v>3861268912.5699997</v>
      </c>
      <c r="J71" s="194">
        <f t="shared" si="72"/>
        <v>3769659026.1699996</v>
      </c>
      <c r="K71" s="194">
        <f t="shared" si="72"/>
        <v>2699152889.5499992</v>
      </c>
      <c r="L71" s="194">
        <f t="shared" si="72"/>
        <v>2686698753.6600003</v>
      </c>
      <c r="M71" s="194">
        <f t="shared" si="72"/>
        <v>2599306347.4499998</v>
      </c>
      <c r="N71" s="194">
        <f t="shared" si="72"/>
        <v>2487565966.0600004</v>
      </c>
      <c r="O71" s="194">
        <f t="shared" si="72"/>
        <v>2411198959.3899999</v>
      </c>
      <c r="P71" s="194">
        <f t="shared" si="72"/>
        <v>2425496172.1200004</v>
      </c>
      <c r="Q71" s="194">
        <f t="shared" si="72"/>
        <v>1391842083.3</v>
      </c>
      <c r="R71" s="194">
        <f t="shared" si="72"/>
        <v>1358531152.8800001</v>
      </c>
      <c r="S71" s="194">
        <f t="shared" si="72"/>
        <v>1331685149.55</v>
      </c>
      <c r="T71" s="194">
        <f t="shared" si="72"/>
        <v>1361160405.6499996</v>
      </c>
      <c r="U71" s="194">
        <f t="shared" si="72"/>
        <v>1344292240.3599999</v>
      </c>
    </row>
    <row r="72" spans="1:21" s="235" customFormat="1" x14ac:dyDescent="0.25">
      <c r="A72" s="235" t="s">
        <v>662</v>
      </c>
      <c r="E72" s="235">
        <f>E71/E74</f>
        <v>0.99759708497225441</v>
      </c>
      <c r="F72" s="235">
        <f t="shared" ref="F72:U72" si="73">F71/F74</f>
        <v>0.99740564516987162</v>
      </c>
      <c r="G72" s="235">
        <f t="shared" si="73"/>
        <v>0.99722262793977823</v>
      </c>
      <c r="H72" s="235">
        <f t="shared" si="73"/>
        <v>0.99710632324810544</v>
      </c>
      <c r="I72" s="235">
        <f t="shared" si="73"/>
        <v>0.99686405259506505</v>
      </c>
      <c r="J72" s="235">
        <f t="shared" si="73"/>
        <v>0.88668365902936319</v>
      </c>
      <c r="K72" s="235">
        <f t="shared" si="73"/>
        <v>0.77128434253841072</v>
      </c>
      <c r="L72" s="235">
        <f t="shared" si="73"/>
        <v>0.78690384430040461</v>
      </c>
      <c r="M72" s="235">
        <f t="shared" si="73"/>
        <v>1</v>
      </c>
      <c r="N72" s="235">
        <f t="shared" si="73"/>
        <v>1</v>
      </c>
      <c r="O72" s="235">
        <f t="shared" si="73"/>
        <v>1</v>
      </c>
      <c r="P72" s="235">
        <f t="shared" si="73"/>
        <v>0.9973683086994537</v>
      </c>
      <c r="Q72" s="235">
        <f t="shared" si="73"/>
        <v>0.98416112752936069</v>
      </c>
      <c r="R72" s="235">
        <f t="shared" si="73"/>
        <v>0.9782959590986422</v>
      </c>
      <c r="S72" s="235">
        <f t="shared" si="73"/>
        <v>0.97730671010834769</v>
      </c>
      <c r="T72" s="235">
        <f t="shared" si="73"/>
        <v>0.97523720646625212</v>
      </c>
      <c r="U72" s="235">
        <f t="shared" si="73"/>
        <v>0.97899568086619682</v>
      </c>
    </row>
    <row r="73" spans="1:21" s="237" customFormat="1" x14ac:dyDescent="0.25">
      <c r="A73" s="236" t="s">
        <v>663</v>
      </c>
      <c r="E73" s="238">
        <f>E74/E71</f>
        <v>1.0024087029362285</v>
      </c>
      <c r="F73" s="238">
        <f t="shared" ref="F73:U73" si="74">F74/F71</f>
        <v>1.0026011030142972</v>
      </c>
      <c r="G73" s="238">
        <f t="shared" si="74"/>
        <v>1.0027851073395313</v>
      </c>
      <c r="H73" s="238">
        <f t="shared" si="74"/>
        <v>1.0029020744171677</v>
      </c>
      <c r="I73" s="238">
        <f t="shared" si="74"/>
        <v>1.0031458125075041</v>
      </c>
      <c r="J73" s="238">
        <f t="shared" si="74"/>
        <v>1.1277979353929699</v>
      </c>
      <c r="K73" s="238">
        <f t="shared" si="74"/>
        <v>1.2965387015492267</v>
      </c>
      <c r="L73" s="238">
        <f t="shared" si="74"/>
        <v>1.2708032973063541</v>
      </c>
      <c r="M73" s="238">
        <f t="shared" si="74"/>
        <v>1</v>
      </c>
      <c r="N73" s="238">
        <f t="shared" si="74"/>
        <v>1</v>
      </c>
      <c r="O73" s="238">
        <f t="shared" si="74"/>
        <v>1</v>
      </c>
      <c r="P73" s="238">
        <f t="shared" si="74"/>
        <v>1.0026386353743062</v>
      </c>
      <c r="Q73" s="238">
        <f t="shared" si="74"/>
        <v>1.0160937797964051</v>
      </c>
      <c r="R73" s="238">
        <f t="shared" si="74"/>
        <v>1.0221855571409648</v>
      </c>
      <c r="S73" s="238">
        <f t="shared" si="74"/>
        <v>1.0232202333790754</v>
      </c>
      <c r="T73" s="238">
        <f t="shared" si="74"/>
        <v>1.0253915594786167</v>
      </c>
      <c r="U73" s="238">
        <f t="shared" si="74"/>
        <v>1.0214549660885317</v>
      </c>
    </row>
    <row r="74" spans="1:21" x14ac:dyDescent="0.25">
      <c r="A74" s="17" t="s">
        <v>660</v>
      </c>
      <c r="E74" s="194">
        <f>E14</f>
        <v>4084413679.5</v>
      </c>
      <c r="F74" s="194">
        <f t="shared" ref="F74:U74" si="75">F14</f>
        <v>4009896652.9899998</v>
      </c>
      <c r="G74" s="194">
        <f t="shared" si="75"/>
        <v>3941876569.8699999</v>
      </c>
      <c r="H74" s="194">
        <f t="shared" si="75"/>
        <v>3967170044.9899998</v>
      </c>
      <c r="I74" s="194">
        <f t="shared" si="75"/>
        <v>3873415740.6099997</v>
      </c>
      <c r="J74" s="194">
        <f t="shared" si="75"/>
        <v>4251413666.8499994</v>
      </c>
      <c r="K74" s="194">
        <f t="shared" si="75"/>
        <v>3499556182.6999993</v>
      </c>
      <c r="L74" s="194">
        <f t="shared" si="75"/>
        <v>3414265635.0200005</v>
      </c>
      <c r="M74" s="194">
        <f t="shared" si="75"/>
        <v>2599306347.4499998</v>
      </c>
      <c r="N74" s="194">
        <f t="shared" si="75"/>
        <v>2487565966.0600004</v>
      </c>
      <c r="O74" s="194">
        <f t="shared" si="75"/>
        <v>2411198959.3899999</v>
      </c>
      <c r="P74" s="194">
        <f t="shared" si="75"/>
        <v>2431896172.1200004</v>
      </c>
      <c r="Q74" s="194">
        <f t="shared" si="75"/>
        <v>1414242083.3</v>
      </c>
      <c r="R74" s="194">
        <f t="shared" si="75"/>
        <v>1388670923.4000001</v>
      </c>
      <c r="S74" s="194">
        <f t="shared" si="75"/>
        <v>1362607189.51</v>
      </c>
      <c r="T74" s="194">
        <f t="shared" si="75"/>
        <v>1395722391.0499997</v>
      </c>
      <c r="U74" s="194">
        <f t="shared" si="75"/>
        <v>1373133984.79</v>
      </c>
    </row>
    <row r="75" spans="1:21" ht="83.4" customHeight="1" x14ac:dyDescent="0.25">
      <c r="A75" s="275" t="s">
        <v>705</v>
      </c>
      <c r="B75" s="274"/>
      <c r="C75" s="274"/>
      <c r="D75" s="274"/>
      <c r="E75" s="274"/>
      <c r="F75" s="274"/>
      <c r="G75" s="274"/>
      <c r="H75" s="274"/>
      <c r="I75" s="274"/>
      <c r="J75" s="274"/>
      <c r="K75" s="274"/>
      <c r="L75" s="274"/>
      <c r="M75" s="274"/>
      <c r="N75" s="274"/>
      <c r="O75" s="274"/>
      <c r="P75" s="274"/>
      <c r="Q75" s="274"/>
      <c r="R75" s="274"/>
      <c r="S75" s="274"/>
      <c r="T75" s="274"/>
      <c r="U75" s="274"/>
    </row>
    <row r="77" spans="1:21" s="239" customFormat="1" x14ac:dyDescent="0.25">
      <c r="A77" s="240" t="s">
        <v>664</v>
      </c>
      <c r="B77" s="241"/>
      <c r="C77" s="241"/>
      <c r="D77" s="241"/>
      <c r="E77" s="242">
        <f>E1</f>
        <v>43100</v>
      </c>
      <c r="F77" s="242">
        <f t="shared" ref="F77:U77" si="76">F1</f>
        <v>43008</v>
      </c>
      <c r="G77" s="242">
        <f t="shared" si="76"/>
        <v>42916</v>
      </c>
      <c r="H77" s="242">
        <f t="shared" si="76"/>
        <v>42825</v>
      </c>
      <c r="I77" s="242">
        <f t="shared" si="76"/>
        <v>42735</v>
      </c>
      <c r="J77" s="242">
        <f t="shared" si="76"/>
        <v>42643</v>
      </c>
      <c r="K77" s="242">
        <f t="shared" si="76"/>
        <v>42551</v>
      </c>
      <c r="L77" s="242">
        <f t="shared" si="76"/>
        <v>42460</v>
      </c>
      <c r="M77" s="242">
        <f t="shared" si="76"/>
        <v>42369</v>
      </c>
      <c r="N77" s="242">
        <f t="shared" si="76"/>
        <v>42277</v>
      </c>
      <c r="O77" s="242">
        <f t="shared" si="76"/>
        <v>42185</v>
      </c>
      <c r="P77" s="242">
        <f t="shared" si="76"/>
        <v>42094</v>
      </c>
      <c r="Q77" s="242">
        <f t="shared" si="76"/>
        <v>42004</v>
      </c>
      <c r="R77" s="242">
        <f t="shared" si="76"/>
        <v>41912</v>
      </c>
      <c r="S77" s="242">
        <f t="shared" si="76"/>
        <v>41820</v>
      </c>
      <c r="T77" s="242">
        <f t="shared" si="76"/>
        <v>41729</v>
      </c>
      <c r="U77" s="242">
        <f t="shared" si="76"/>
        <v>41639</v>
      </c>
    </row>
    <row r="78" spans="1:21" x14ac:dyDescent="0.25">
      <c r="A78" s="185" t="s">
        <v>656</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x14ac:dyDescent="0.25">
      <c r="A79" s="185" t="s">
        <v>665</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1" customFormat="1" x14ac:dyDescent="0.25">
      <c r="A80" s="225" t="s">
        <v>666</v>
      </c>
      <c r="B80" s="225"/>
      <c r="C80" s="225"/>
      <c r="D80" s="225"/>
      <c r="E80" s="225">
        <f>E79/E85</f>
        <v>4.7288802299683906E-4</v>
      </c>
      <c r="F80" s="225">
        <f t="shared" ref="F80:U80" si="79">F79/F85</f>
        <v>4.8603530431308114E-4</v>
      </c>
      <c r="G80" s="225">
        <f t="shared" si="79"/>
        <v>4.0685309435066632E-4</v>
      </c>
      <c r="H80" s="225">
        <f t="shared" si="79"/>
        <v>4.058424851320076E-4</v>
      </c>
      <c r="I80" s="225">
        <f t="shared" si="79"/>
        <v>4.6091530307016358E-4</v>
      </c>
      <c r="J80" s="225">
        <f t="shared" si="79"/>
        <v>2.3898948138650948E-2</v>
      </c>
      <c r="K80" s="225">
        <f t="shared" si="79"/>
        <v>6.3447570619852595E-2</v>
      </c>
      <c r="L80" s="225">
        <f t="shared" si="79"/>
        <v>4.6441166297557609E-2</v>
      </c>
      <c r="M80" s="225">
        <f t="shared" si="79"/>
        <v>0</v>
      </c>
      <c r="N80" s="225">
        <f t="shared" si="79"/>
        <v>0</v>
      </c>
      <c r="O80" s="225">
        <f t="shared" si="79"/>
        <v>0</v>
      </c>
      <c r="P80" s="225">
        <f t="shared" si="79"/>
        <v>2.6316913005462786E-3</v>
      </c>
      <c r="Q80" s="225">
        <f t="shared" si="79"/>
        <v>8.767947260532493E-3</v>
      </c>
      <c r="R80" s="225">
        <f t="shared" si="79"/>
        <v>8.6413561325381447E-3</v>
      </c>
      <c r="S80" s="225">
        <f t="shared" si="79"/>
        <v>8.8066466200837062E-3</v>
      </c>
      <c r="T80" s="225">
        <f t="shared" si="79"/>
        <v>1.7809899847848403E-2</v>
      </c>
      <c r="U80" s="225">
        <f t="shared" si="79"/>
        <v>1.3427441316165344E-2</v>
      </c>
    </row>
    <row r="81" spans="1:21" x14ac:dyDescent="0.25">
      <c r="A81" s="185" t="s">
        <v>657</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x14ac:dyDescent="0.25">
      <c r="A82" s="185" t="s">
        <v>659</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x14ac:dyDescent="0.25">
      <c r="A83" s="185" t="s">
        <v>667</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1" customFormat="1" x14ac:dyDescent="0.25">
      <c r="A84" s="225" t="s">
        <v>668</v>
      </c>
      <c r="B84" s="225"/>
      <c r="C84" s="225"/>
      <c r="D84" s="225"/>
      <c r="E84" s="225">
        <f>E83/E85</f>
        <v>0.99952711197700306</v>
      </c>
      <c r="F84" s="225">
        <f t="shared" ref="F84:U84" si="83">F83/F85</f>
        <v>0.99951396469568687</v>
      </c>
      <c r="G84" s="225">
        <f t="shared" si="83"/>
        <v>0.99959314690564938</v>
      </c>
      <c r="H84" s="225">
        <f t="shared" si="83"/>
        <v>0.99959415751486802</v>
      </c>
      <c r="I84" s="225">
        <f t="shared" si="83"/>
        <v>0.99953908469692976</v>
      </c>
      <c r="J84" s="225">
        <f t="shared" si="83"/>
        <v>0.9761010518613491</v>
      </c>
      <c r="K84" s="225">
        <f t="shared" si="83"/>
        <v>0.93655242938014738</v>
      </c>
      <c r="L84" s="225">
        <f t="shared" si="83"/>
        <v>0.95355883370244232</v>
      </c>
      <c r="M84" s="225">
        <f t="shared" si="83"/>
        <v>1</v>
      </c>
      <c r="N84" s="225">
        <f t="shared" si="83"/>
        <v>1</v>
      </c>
      <c r="O84" s="225">
        <f t="shared" si="83"/>
        <v>1</v>
      </c>
      <c r="P84" s="225">
        <f t="shared" si="83"/>
        <v>0.9973683086994537</v>
      </c>
      <c r="Q84" s="225">
        <f t="shared" si="83"/>
        <v>0.99123205273946746</v>
      </c>
      <c r="R84" s="225">
        <f t="shared" si="83"/>
        <v>0.99135864386746186</v>
      </c>
      <c r="S84" s="225">
        <f t="shared" si="83"/>
        <v>0.99119335337991632</v>
      </c>
      <c r="T84" s="225">
        <f t="shared" si="83"/>
        <v>0.98219010015215158</v>
      </c>
      <c r="U84" s="225">
        <f t="shared" si="83"/>
        <v>0.98657255868383464</v>
      </c>
    </row>
    <row r="85" spans="1:21" x14ac:dyDescent="0.25">
      <c r="A85" s="185" t="s">
        <v>660</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8" customHeight="1" x14ac:dyDescent="0.25">
      <c r="A87" s="273" t="s">
        <v>706</v>
      </c>
      <c r="B87" s="276"/>
      <c r="C87" s="276"/>
      <c r="D87" s="276"/>
      <c r="E87" s="276"/>
      <c r="F87" s="276"/>
      <c r="G87" s="276"/>
      <c r="H87" s="276"/>
      <c r="I87" s="276"/>
      <c r="J87" s="276"/>
      <c r="K87" s="276"/>
      <c r="L87" s="276"/>
      <c r="M87" s="276"/>
      <c r="N87" s="276"/>
      <c r="O87" s="276"/>
      <c r="P87" s="276"/>
      <c r="Q87" s="276"/>
      <c r="R87" s="276"/>
      <c r="S87" s="276"/>
      <c r="T87" s="276"/>
      <c r="U87" s="276"/>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1" width="17.21875" hidden="1" customWidth="1"/>
    <col min="12" max="12" width="18.33203125" hidden="1" customWidth="1"/>
    <col min="13" max="13" width="21.554687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7.21875" hidden="1" customWidth="1"/>
    <col min="38" max="40" width="18.33203125" bestFit="1" customWidth="1"/>
    <col min="41" max="41" width="21.5546875" bestFit="1" customWidth="1"/>
    <col min="42" max="63" width="18.33203125" bestFit="1" customWidth="1"/>
    <col min="64" max="76" width="17.21875" bestFit="1" customWidth="1"/>
    <col min="77" max="77" width="9.5546875" bestFit="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673</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674</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52" t="s">
        <v>601</v>
      </c>
      <c r="B26" s="153"/>
      <c r="C26" s="153"/>
      <c r="D26" s="153"/>
      <c r="E26" s="154">
        <f>POWER(E2/Y2,1/6)-1</f>
        <v>0.20823227577039738</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681</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703</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688</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675</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676</v>
      </c>
      <c r="E54" s="194">
        <f>E39</f>
        <v>388685887.36999977</v>
      </c>
      <c r="F54" s="194">
        <f t="shared" ref="F54:AC54" si="41">F39</f>
        <v>325371593.08000016</v>
      </c>
      <c r="G54" s="194">
        <f t="shared" si="41"/>
        <v>239576174.06999999</v>
      </c>
      <c r="H54" s="194">
        <f t="shared" si="41"/>
        <v>114117991.12000003</v>
      </c>
      <c r="I54" s="194">
        <f t="shared" si="41"/>
        <v>431173405.69999981</v>
      </c>
      <c r="J54" s="194">
        <f t="shared" si="41"/>
        <v>319584485.13999993</v>
      </c>
      <c r="K54" s="194">
        <f t="shared" si="41"/>
        <v>232353025.87</v>
      </c>
      <c r="L54" s="194">
        <f t="shared" si="41"/>
        <v>111786798.85999998</v>
      </c>
      <c r="M54" s="194">
        <f t="shared" si="41"/>
        <v>298175294.38</v>
      </c>
      <c r="N54" s="194">
        <f t="shared" si="41"/>
        <v>150421287.05999988</v>
      </c>
      <c r="O54" s="194">
        <f t="shared" si="41"/>
        <v>68696959.51000005</v>
      </c>
      <c r="P54" s="194">
        <f t="shared" si="41"/>
        <v>26398639.319999989</v>
      </c>
      <c r="Q54" s="194">
        <f t="shared" si="41"/>
        <v>112995177.04000008</v>
      </c>
      <c r="R54" s="194">
        <f t="shared" si="41"/>
        <v>69265984.329999968</v>
      </c>
      <c r="S54" s="194">
        <f t="shared" si="41"/>
        <v>38018440.44000002</v>
      </c>
      <c r="T54" s="194">
        <f t="shared" si="41"/>
        <v>19429075.500000007</v>
      </c>
      <c r="U54" s="194">
        <f t="shared" si="41"/>
        <v>146523293.77999991</v>
      </c>
      <c r="V54" s="194">
        <f t="shared" si="41"/>
        <v>112011498.47000009</v>
      </c>
      <c r="W54" s="194">
        <f t="shared" si="41"/>
        <v>78443733.020000011</v>
      </c>
      <c r="X54" s="194">
        <f t="shared" si="41"/>
        <v>36760970.260000013</v>
      </c>
      <c r="Y54" s="194">
        <f t="shared" si="41"/>
        <v>129328656.79999998</v>
      </c>
      <c r="Z54" s="194">
        <f t="shared" si="41"/>
        <v>93102439.540000007</v>
      </c>
      <c r="AA54" s="194">
        <f t="shared" si="41"/>
        <v>80210613.369999975</v>
      </c>
      <c r="AB54" s="194">
        <f t="shared" si="41"/>
        <v>33993335.580000006</v>
      </c>
      <c r="AC54" s="194">
        <f t="shared" si="41"/>
        <v>156727627.97999993</v>
      </c>
    </row>
    <row r="55" spans="1:88" s="63" customFormat="1" x14ac:dyDescent="0.25">
      <c r="A55" s="63" t="s">
        <v>677</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x14ac:dyDescent="0.25">
      <c r="A56" s="17" t="s">
        <v>678</v>
      </c>
      <c r="E56" s="194">
        <f>E23</f>
        <v>369512838.48811829</v>
      </c>
      <c r="F56" s="194">
        <f t="shared" ref="F56:AC56" si="43">F23</f>
        <v>301605687.83066344</v>
      </c>
      <c r="G56" s="194">
        <f t="shared" si="43"/>
        <v>213348060.3247003</v>
      </c>
      <c r="H56" s="194">
        <f t="shared" si="43"/>
        <v>97894486.358373895</v>
      </c>
      <c r="I56" s="194">
        <f t="shared" si="43"/>
        <v>306424247.89429224</v>
      </c>
      <c r="J56" s="194">
        <f t="shared" si="43"/>
        <v>244984620.96616301</v>
      </c>
      <c r="K56" s="194">
        <f t="shared" si="43"/>
        <v>175694396.55346081</v>
      </c>
      <c r="L56" s="194">
        <f t="shared" si="43"/>
        <v>88856708.058099955</v>
      </c>
      <c r="M56" s="194">
        <f t="shared" si="43"/>
        <v>202939315.85748756</v>
      </c>
      <c r="N56" s="194">
        <f t="shared" si="43"/>
        <v>127224501.45147024</v>
      </c>
      <c r="O56" s="194">
        <f t="shared" si="43"/>
        <v>58468792.094376966</v>
      </c>
      <c r="P56" s="194">
        <f t="shared" si="43"/>
        <v>22110009.365698878</v>
      </c>
      <c r="Q56" s="194">
        <f t="shared" si="43"/>
        <v>90040244.176868096</v>
      </c>
      <c r="R56" s="194">
        <f t="shared" si="43"/>
        <v>58250074.893841423</v>
      </c>
      <c r="S56" s="194">
        <f t="shared" si="43"/>
        <v>32054530.079764392</v>
      </c>
      <c r="T56" s="194">
        <f t="shared" si="43"/>
        <v>16102753.595755408</v>
      </c>
      <c r="U56" s="194">
        <f t="shared" si="43"/>
        <v>126623705.90028095</v>
      </c>
      <c r="V56" s="194">
        <f t="shared" si="43"/>
        <v>94675547.378366321</v>
      </c>
      <c r="W56" s="194">
        <f t="shared" si="43"/>
        <v>66621231.227499977</v>
      </c>
      <c r="X56" s="194">
        <f t="shared" si="43"/>
        <v>31021376.888695545</v>
      </c>
      <c r="Y56" s="194">
        <f t="shared" si="43"/>
        <v>104209093.17925918</v>
      </c>
      <c r="Z56" s="194">
        <f t="shared" si="43"/>
        <v>79568167.499602944</v>
      </c>
      <c r="AA56" s="194">
        <f t="shared" si="43"/>
        <v>68647309.097294345</v>
      </c>
      <c r="AB56" s="194">
        <f t="shared" si="43"/>
        <v>28876648.166888524</v>
      </c>
      <c r="AC56" s="194">
        <f t="shared" si="43"/>
        <v>130703810.0764778</v>
      </c>
    </row>
    <row r="57" spans="1:88" s="63" customFormat="1" x14ac:dyDescent="0.25">
      <c r="A57" s="63" t="s">
        <v>679</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x14ac:dyDescent="0.25">
      <c r="A58" s="275" t="s">
        <v>680</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6" customFormat="1" x14ac:dyDescent="0.25">
      <c r="A60" s="228" t="s">
        <v>682</v>
      </c>
      <c r="B60" s="224"/>
      <c r="C60" s="224"/>
      <c r="D60" s="224"/>
      <c r="E60" s="229">
        <f>E53</f>
        <v>43100</v>
      </c>
      <c r="F60" s="229">
        <f t="shared" ref="F60:AC60" si="45">F53</f>
        <v>43008</v>
      </c>
      <c r="G60" s="229">
        <f t="shared" si="45"/>
        <v>42916</v>
      </c>
      <c r="H60" s="229">
        <f t="shared" si="45"/>
        <v>42825</v>
      </c>
      <c r="I60" s="229">
        <f t="shared" si="45"/>
        <v>42735</v>
      </c>
      <c r="J60" s="229">
        <f t="shared" si="45"/>
        <v>42643</v>
      </c>
      <c r="K60" s="229">
        <f t="shared" si="45"/>
        <v>42551</v>
      </c>
      <c r="L60" s="229">
        <f t="shared" si="45"/>
        <v>42460</v>
      </c>
      <c r="M60" s="229">
        <f t="shared" si="45"/>
        <v>42369</v>
      </c>
      <c r="N60" s="229">
        <f t="shared" si="45"/>
        <v>42277</v>
      </c>
      <c r="O60" s="229">
        <f t="shared" si="45"/>
        <v>42185</v>
      </c>
      <c r="P60" s="229">
        <f t="shared" si="45"/>
        <v>42094</v>
      </c>
      <c r="Q60" s="229">
        <f t="shared" si="45"/>
        <v>42004</v>
      </c>
      <c r="R60" s="229">
        <f t="shared" si="45"/>
        <v>41912</v>
      </c>
      <c r="S60" s="229">
        <f t="shared" si="45"/>
        <v>41820</v>
      </c>
      <c r="T60" s="229">
        <f t="shared" si="45"/>
        <v>41729</v>
      </c>
      <c r="U60" s="229">
        <f t="shared" si="45"/>
        <v>41639</v>
      </c>
      <c r="V60" s="229">
        <f t="shared" si="45"/>
        <v>41547</v>
      </c>
      <c r="W60" s="229">
        <f t="shared" si="45"/>
        <v>41455</v>
      </c>
      <c r="X60" s="229">
        <f t="shared" si="45"/>
        <v>41364</v>
      </c>
      <c r="Y60" s="229">
        <f t="shared" si="45"/>
        <v>41274</v>
      </c>
      <c r="Z60" s="229">
        <f t="shared" si="45"/>
        <v>41182</v>
      </c>
      <c r="AA60" s="229">
        <f t="shared" si="45"/>
        <v>41090</v>
      </c>
      <c r="AB60" s="229">
        <f t="shared" si="45"/>
        <v>40999</v>
      </c>
      <c r="AC60" s="229">
        <f t="shared" si="45"/>
        <v>40908</v>
      </c>
    </row>
    <row r="61" spans="1:88" s="194" customFormat="1" x14ac:dyDescent="0.25">
      <c r="A61" s="89" t="s">
        <v>683</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4" customFormat="1" x14ac:dyDescent="0.25">
      <c r="A62" s="89" t="s">
        <v>684</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x14ac:dyDescent="0.25">
      <c r="A63" s="185" t="s">
        <v>685</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x14ac:dyDescent="0.25">
      <c r="A64" s="215" t="s">
        <v>686</v>
      </c>
      <c r="B64" s="215"/>
      <c r="C64" s="215"/>
      <c r="D64" s="215"/>
      <c r="E64" s="215">
        <f>1-E63/E61</f>
        <v>0.16115396216967204</v>
      </c>
      <c r="F64" s="215">
        <f t="shared" ref="F64:AC64" si="46">1-F63/F61</f>
        <v>0.15984333368759596</v>
      </c>
      <c r="G64" s="215">
        <f t="shared" si="46"/>
        <v>0.16580342968679995</v>
      </c>
      <c r="H64" s="215">
        <f t="shared" si="46"/>
        <v>0.17249351707103777</v>
      </c>
      <c r="I64" s="215">
        <f t="shared" si="46"/>
        <v>0.11809570771156352</v>
      </c>
      <c r="J64" s="215">
        <f t="shared" si="46"/>
        <v>0.14465088953947658</v>
      </c>
      <c r="K64" s="215">
        <f t="shared" si="46"/>
        <v>0.1360285841732275</v>
      </c>
      <c r="L64" s="215">
        <f t="shared" si="46"/>
        <v>0.15879609679216644</v>
      </c>
      <c r="M64" s="215">
        <f t="shared" si="46"/>
        <v>0.11811270401297957</v>
      </c>
      <c r="N64" s="215">
        <f t="shared" si="46"/>
        <v>0.14899803674358458</v>
      </c>
      <c r="O64" s="215">
        <f t="shared" si="46"/>
        <v>0.13678391129069656</v>
      </c>
      <c r="P64" s="215">
        <f t="shared" si="46"/>
        <v>0.16245647748412484</v>
      </c>
      <c r="Q64" s="215">
        <f t="shared" si="46"/>
        <v>0.12996031739797931</v>
      </c>
      <c r="R64" s="215">
        <f t="shared" si="46"/>
        <v>0.14774323890285523</v>
      </c>
      <c r="S64" s="215">
        <f t="shared" si="46"/>
        <v>0.13600792970840048</v>
      </c>
      <c r="T64" s="215">
        <f t="shared" si="46"/>
        <v>0.17120330322688793</v>
      </c>
      <c r="U64" s="215">
        <f t="shared" si="46"/>
        <v>0.16255056365007003</v>
      </c>
      <c r="V64" s="215">
        <f t="shared" si="46"/>
        <v>0.14956504953446348</v>
      </c>
      <c r="W64" s="215">
        <f t="shared" si="46"/>
        <v>0.14322636906816577</v>
      </c>
      <c r="X64" s="215">
        <f t="shared" si="46"/>
        <v>0.15613280418634035</v>
      </c>
      <c r="Y64" s="215">
        <f t="shared" si="46"/>
        <v>0.14446772320571444</v>
      </c>
      <c r="Z64" s="215">
        <f t="shared" si="46"/>
        <v>0.14447216697608312</v>
      </c>
      <c r="AA64" s="215">
        <f t="shared" si="46"/>
        <v>0.14311835693792785</v>
      </c>
      <c r="AB64" s="215">
        <f t="shared" si="46"/>
        <v>0.15052031010813449</v>
      </c>
      <c r="AC64" s="215">
        <f t="shared" si="46"/>
        <v>0.1489864130321632</v>
      </c>
    </row>
    <row r="65" spans="1:29" ht="42.6" customHeight="1" x14ac:dyDescent="0.25">
      <c r="A65" s="277" t="s">
        <v>687</v>
      </c>
      <c r="B65" s="277"/>
      <c r="C65" s="277"/>
      <c r="D65" s="277"/>
      <c r="E65" s="277"/>
      <c r="F65" s="277"/>
      <c r="G65" s="277"/>
      <c r="H65" s="277"/>
      <c r="I65" s="277"/>
      <c r="J65" s="277"/>
      <c r="K65" s="277"/>
      <c r="L65" s="277"/>
      <c r="M65" s="277"/>
      <c r="N65" s="277"/>
      <c r="O65" s="277"/>
      <c r="P65" s="277"/>
      <c r="Q65" s="277"/>
      <c r="R65" s="277"/>
      <c r="S65" s="277"/>
      <c r="T65" s="277"/>
      <c r="U65" s="277"/>
      <c r="V65" s="277"/>
      <c r="W65" s="277"/>
      <c r="X65" s="277"/>
      <c r="Y65" s="277"/>
      <c r="Z65" s="277"/>
      <c r="AA65" s="277"/>
      <c r="AB65" s="277"/>
      <c r="AC65" s="277"/>
    </row>
    <row r="68" spans="1:29" ht="55.8" customHeight="1" x14ac:dyDescent="0.25">
      <c r="A68" s="275" t="s">
        <v>739</v>
      </c>
      <c r="B68" s="274"/>
      <c r="C68" s="274"/>
      <c r="D68" s="274"/>
      <c r="E68" s="274"/>
      <c r="F68" s="274"/>
      <c r="G68" s="274"/>
      <c r="H68" s="274"/>
      <c r="I68" s="274"/>
      <c r="J68" s="274"/>
      <c r="K68" s="274"/>
      <c r="L68" s="274"/>
      <c r="M68" s="274"/>
      <c r="N68" s="274"/>
      <c r="O68" s="274"/>
      <c r="P68" s="274"/>
      <c r="Q68" s="274"/>
      <c r="R68" s="274"/>
      <c r="S68" s="274"/>
      <c r="T68" s="274"/>
      <c r="U68" s="274"/>
      <c r="V68" s="274"/>
      <c r="W68" s="274"/>
      <c r="X68" s="274"/>
      <c r="Y68" s="274"/>
      <c r="Z68" s="274"/>
      <c r="AA68" s="274"/>
      <c r="AB68" s="274"/>
      <c r="AC68" s="274"/>
    </row>
    <row r="69" spans="1:29" x14ac:dyDescent="0.25">
      <c r="A69" s="279" t="s">
        <v>707</v>
      </c>
      <c r="B69" s="279"/>
      <c r="C69" s="279"/>
      <c r="D69" s="279"/>
      <c r="E69" s="279"/>
      <c r="F69" s="258"/>
      <c r="G69" s="258"/>
      <c r="H69" s="258"/>
      <c r="I69" s="258" t="s">
        <v>711</v>
      </c>
      <c r="J69" s="258"/>
      <c r="K69" s="258"/>
      <c r="L69" s="258"/>
      <c r="M69" s="258" t="s">
        <v>712</v>
      </c>
    </row>
    <row r="70" spans="1:29" ht="57.6" x14ac:dyDescent="0.25">
      <c r="A70" s="280" t="s">
        <v>708</v>
      </c>
      <c r="B70" s="65"/>
      <c r="C70" s="65"/>
      <c r="D70" s="65"/>
      <c r="E70" s="65" t="s">
        <v>709</v>
      </c>
      <c r="F70" s="65"/>
      <c r="G70" s="65"/>
      <c r="H70" s="65"/>
      <c r="I70" s="259" t="s">
        <v>713</v>
      </c>
      <c r="J70" s="260"/>
      <c r="K70" s="260"/>
      <c r="L70" s="260"/>
      <c r="M70" s="259" t="s">
        <v>714</v>
      </c>
    </row>
    <row r="71" spans="1:29" ht="54.6" customHeight="1" x14ac:dyDescent="0.25">
      <c r="A71" s="280"/>
      <c r="B71" s="65"/>
      <c r="C71" s="65"/>
      <c r="D71" s="65"/>
      <c r="E71" s="65" t="s">
        <v>710</v>
      </c>
      <c r="F71" s="65"/>
      <c r="G71" s="65"/>
      <c r="H71" s="65"/>
      <c r="I71" s="259" t="s">
        <v>715</v>
      </c>
      <c r="J71" s="260"/>
      <c r="K71" s="260"/>
      <c r="L71" s="260"/>
      <c r="M71" s="259" t="s">
        <v>716</v>
      </c>
    </row>
    <row r="72" spans="1:29" ht="57.6" x14ac:dyDescent="0.25">
      <c r="A72" s="280" t="s">
        <v>724</v>
      </c>
      <c r="B72" s="65"/>
      <c r="C72" s="65"/>
      <c r="D72" s="65"/>
      <c r="E72" s="65" t="s">
        <v>717</v>
      </c>
      <c r="F72" s="65"/>
      <c r="G72" s="65"/>
      <c r="H72" s="65"/>
      <c r="I72" s="259" t="s">
        <v>725</v>
      </c>
      <c r="J72" s="260"/>
      <c r="K72" s="260"/>
      <c r="L72" s="260"/>
      <c r="M72" s="259" t="s">
        <v>726</v>
      </c>
    </row>
    <row r="73" spans="1:29" ht="43.2" x14ac:dyDescent="0.25">
      <c r="A73" s="280"/>
      <c r="B73" s="65"/>
      <c r="C73" s="65"/>
      <c r="D73" s="65"/>
      <c r="E73" s="65" t="s">
        <v>718</v>
      </c>
      <c r="F73" s="65"/>
      <c r="G73" s="65"/>
      <c r="H73" s="65"/>
      <c r="I73" s="259" t="s">
        <v>727</v>
      </c>
      <c r="J73" s="260"/>
      <c r="K73" s="260"/>
      <c r="L73" s="260"/>
      <c r="M73" s="259" t="s">
        <v>728</v>
      </c>
    </row>
    <row r="74" spans="1:29" ht="72" x14ac:dyDescent="0.25">
      <c r="A74" s="280"/>
      <c r="B74" s="65"/>
      <c r="C74" s="65"/>
      <c r="D74" s="65"/>
      <c r="E74" s="65" t="s">
        <v>719</v>
      </c>
      <c r="F74" s="65"/>
      <c r="G74" s="65"/>
      <c r="H74" s="65"/>
      <c r="I74" s="259" t="s">
        <v>729</v>
      </c>
      <c r="J74" s="260"/>
      <c r="K74" s="260"/>
      <c r="L74" s="260"/>
      <c r="M74" s="259" t="s">
        <v>730</v>
      </c>
    </row>
    <row r="75" spans="1:29" ht="72" x14ac:dyDescent="0.25">
      <c r="A75" s="280"/>
      <c r="B75" s="65"/>
      <c r="C75" s="65"/>
      <c r="D75" s="65"/>
      <c r="E75" s="65" t="s">
        <v>720</v>
      </c>
      <c r="F75" s="65"/>
      <c r="G75" s="65"/>
      <c r="H75" s="65"/>
      <c r="I75" s="259" t="s">
        <v>731</v>
      </c>
      <c r="J75" s="260"/>
      <c r="K75" s="260"/>
      <c r="L75" s="260"/>
      <c r="M75" s="259" t="s">
        <v>732</v>
      </c>
    </row>
    <row r="76" spans="1:29" x14ac:dyDescent="0.25">
      <c r="A76" s="280"/>
      <c r="B76" s="65"/>
      <c r="C76" s="65"/>
      <c r="D76" s="65"/>
      <c r="E76" s="65" t="s">
        <v>721</v>
      </c>
      <c r="F76" s="65"/>
      <c r="G76" s="65"/>
      <c r="H76" s="65"/>
      <c r="I76" s="259" t="s">
        <v>733</v>
      </c>
      <c r="J76" s="260"/>
      <c r="K76" s="260"/>
      <c r="L76" s="260"/>
      <c r="M76" s="259" t="s">
        <v>734</v>
      </c>
    </row>
    <row r="77" spans="1:29" ht="57.6" x14ac:dyDescent="0.25">
      <c r="A77" s="280"/>
      <c r="B77" s="65"/>
      <c r="C77" s="65"/>
      <c r="D77" s="65"/>
      <c r="E77" s="65" t="s">
        <v>722</v>
      </c>
      <c r="F77" s="65"/>
      <c r="G77" s="65"/>
      <c r="H77" s="65"/>
      <c r="I77" s="259" t="s">
        <v>735</v>
      </c>
      <c r="J77" s="260"/>
      <c r="K77" s="260"/>
      <c r="L77" s="260"/>
      <c r="M77" s="259" t="s">
        <v>736</v>
      </c>
    </row>
    <row r="78" spans="1:29" ht="57.6" x14ac:dyDescent="0.25">
      <c r="A78" s="280"/>
      <c r="B78" s="65"/>
      <c r="C78" s="65"/>
      <c r="D78" s="65"/>
      <c r="E78" s="65" t="s">
        <v>723</v>
      </c>
      <c r="F78" s="65"/>
      <c r="G78" s="65"/>
      <c r="H78" s="65"/>
      <c r="I78" s="259" t="s">
        <v>737</v>
      </c>
      <c r="J78" s="260"/>
      <c r="K78" s="260"/>
      <c r="L78" s="260"/>
      <c r="M78" s="259" t="s">
        <v>738</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2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8.33203125" bestFit="1" customWidth="1"/>
    <col min="34" max="34" width="18.33203125" hidden="1" customWidth="1"/>
    <col min="35" max="35" width="17.21875" bestFit="1" customWidth="1"/>
    <col min="36" max="36" width="19.33203125" bestFit="1" customWidth="1"/>
    <col min="37" max="37" width="19.33203125" hidden="1" customWidth="1"/>
    <col min="38" max="40" width="19.33203125" bestFit="1" customWidth="1"/>
    <col min="41" max="41" width="22.6640625" bestFit="1" customWidth="1"/>
    <col min="42" max="45" width="19.33203125" bestFit="1" customWidth="1"/>
    <col min="46" max="46" width="21.5546875" bestFit="1" customWidth="1"/>
    <col min="47" max="50" width="19.33203125" bestFit="1" customWidth="1"/>
    <col min="51" max="51" width="20.44140625" bestFit="1" customWidth="1"/>
    <col min="52" max="61" width="19.33203125" bestFit="1" customWidth="1"/>
    <col min="62" max="63" width="18.33203125" bestFit="1" customWidth="1"/>
    <col min="64" max="76" width="17.21875" bestFit="1" customWidth="1"/>
    <col min="77" max="77" width="9.33203125" bestFit="1" customWidth="1"/>
    <col min="78"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0.15823452082732622</v>
      </c>
      <c r="F6" s="159">
        <f>股权价值增加表!F31/股权价值增加表!F4</f>
        <v>0.1810331774478037</v>
      </c>
      <c r="G6" s="159">
        <f>股权价值增加表!G31/股权价值增加表!G4</f>
        <v>0.1897963652256219</v>
      </c>
      <c r="H6" s="159">
        <f>股权价值增加表!H31/股权价值增加表!H4</f>
        <v>0.18641961013903027</v>
      </c>
      <c r="I6" s="159">
        <f>股权价值增加表!I31/股权价值增加表!I4</f>
        <v>0.23339584668263716</v>
      </c>
      <c r="J6" s="159">
        <f>股权价值增加表!J31/股权价值增加表!J4</f>
        <v>0.24123673423351447</v>
      </c>
      <c r="K6" s="159">
        <f>股权价值增加表!K31/股权价值增加表!K4</f>
        <v>0.26154793147073435</v>
      </c>
      <c r="L6" s="159">
        <f>股权价值增加表!L31/股权价值增加表!L4</f>
        <v>0.26427052389100625</v>
      </c>
      <c r="M6" s="159">
        <f>股权价值增加表!M31/股权价值增加表!M4</f>
        <v>0.18281270010514011</v>
      </c>
      <c r="N6" s="159">
        <f>股权价值增加表!N31/股权价值增加表!N4</f>
        <v>0.14708085118345093</v>
      </c>
      <c r="O6" s="159">
        <f>股权价值增加表!O31/股权价值增加表!O4</f>
        <v>0.11167721874330641</v>
      </c>
      <c r="P6" s="159">
        <f>股权价值增加表!P31/股权价值增加表!P4</f>
        <v>9.9336724340629207E-2</v>
      </c>
      <c r="Q6" s="159">
        <f>股权价值增加表!Q31/股权价值增加表!Q4</f>
        <v>0.10572191212060428</v>
      </c>
      <c r="R6" s="159">
        <f>股权价值增加表!R31/股权价值增加表!R4</f>
        <v>9.8235889229832854E-2</v>
      </c>
      <c r="S6" s="159">
        <f>股权价值增加表!S31/股权价值增加表!S4</f>
        <v>8.7800136778710028E-2</v>
      </c>
      <c r="T6" s="159">
        <f>股权价值增加表!T31/股权价值增加表!T4</f>
        <v>9.8633941389267982E-2</v>
      </c>
      <c r="U6" s="159">
        <f>股权价值增加表!U31/股权价值增加表!U4</f>
        <v>0.15177747473061876</v>
      </c>
      <c r="V6" s="159">
        <f>股权价值增加表!V31/股权价值增加表!V4</f>
        <v>0.15873784636462834</v>
      </c>
      <c r="W6" s="159">
        <f>股权价值增加表!W31/股权价值增加表!W4</f>
        <v>0.16234947503549743</v>
      </c>
      <c r="X6" s="159">
        <f>股权价值增加表!X31/股权价值增加表!X4</f>
        <v>0.16610233316793699</v>
      </c>
      <c r="Y6" s="159">
        <f>股权价值增加表!Y31/股权价值增加表!Y4</f>
        <v>0.16379469386903164</v>
      </c>
      <c r="Z6" s="159">
        <f>股权价值增加表!Z31/股权价值增加表!Z4</f>
        <v>0.17261629237850332</v>
      </c>
      <c r="AA6" s="159">
        <f>股权价值增加表!AA31/股权价值增加表!AA4</f>
        <v>0.20318238236980468</v>
      </c>
      <c r="AB6" s="159">
        <f>股权价值增加表!AB31/股权价值增加表!AB4</f>
        <v>0.19136916997927475</v>
      </c>
      <c r="AC6" s="159">
        <f>股权价值增加表!AC31/股权价值增加表!AC4</f>
        <v>0.19111014699601828</v>
      </c>
      <c r="AD6" s="159">
        <f>股权价值增加表!AD31/股权价值增加表!AD4</f>
        <v>0.20581759129380695</v>
      </c>
      <c r="AE6" s="159">
        <f>股权价值增加表!AE31/股权价值增加表!AE4</f>
        <v>0.20953170224509479</v>
      </c>
      <c r="AF6" s="159">
        <f>股权价值增加表!AF31/股权价值增加表!AF4</f>
        <v>0.19022956269971913</v>
      </c>
      <c r="AG6" s="159">
        <f>股权价值增加表!AG31/股权价值增加表!AG4</f>
        <v>0.17171810880232746</v>
      </c>
      <c r="AH6" s="159">
        <f>股权价值增加表!AH31/股权价值增加表!AH4</f>
        <v>0.1739927480449408</v>
      </c>
      <c r="AI6" s="159">
        <f>股权价值增加表!AI31/股权价值增加表!AI4</f>
        <v>0.22126287577895692</v>
      </c>
      <c r="AJ6" s="159">
        <f>股权价值增加表!AJ31/股权价值增加表!AJ4</f>
        <v>0.20836586506086571</v>
      </c>
      <c r="AK6" s="159" t="e">
        <f>股权价值增加表!AK31/股权价值增加表!AK4</f>
        <v>#DIV/0!</v>
      </c>
      <c r="AL6" s="159" t="e">
        <f>股权价值增加表!AL31/股权价值增加表!AL4</f>
        <v>#DIV/0!</v>
      </c>
      <c r="AM6" s="159" t="e">
        <f>股权价值增加表!AM31/股权价值增加表!AM4</f>
        <v>#DIV/0!</v>
      </c>
      <c r="AN6" s="159" t="e">
        <f>股权价值增加表!AN31/股权价值增加表!AN4</f>
        <v>#DIV/0!</v>
      </c>
      <c r="AO6" s="159" t="e">
        <f>股权价值增加表!AO31/股权价值增加表!AO4</f>
        <v>#DIV/0!</v>
      </c>
      <c r="AP6" s="159" t="e">
        <f>股权价值增加表!AP31/股权价值增加表!AP4</f>
        <v>#DIV/0!</v>
      </c>
      <c r="AQ6" s="159" t="e">
        <f>股权价值增加表!AQ31/股权价值增加表!AQ4</f>
        <v>#DIV/0!</v>
      </c>
      <c r="AR6" s="159" t="e">
        <f>股权价值增加表!AR31/股权价值增加表!AR4</f>
        <v>#DIV/0!</v>
      </c>
      <c r="AS6" s="159" t="e">
        <f>股权价值增加表!AS31/股权价值增加表!AS4</f>
        <v>#DIV/0!</v>
      </c>
      <c r="AT6" s="159" t="e">
        <f>股权价值增加表!AT31/股权价值增加表!AT4</f>
        <v>#DIV/0!</v>
      </c>
      <c r="AU6" s="159" t="e">
        <f>股权价值增加表!AU31/股权价值增加表!AU4</f>
        <v>#DIV/0!</v>
      </c>
      <c r="AV6" s="159" t="e">
        <f>股权价值增加表!AV31/股权价值增加表!AV4</f>
        <v>#DIV/0!</v>
      </c>
      <c r="AW6" s="159" t="e">
        <f>股权价值增加表!AW31/股权价值增加表!AW4</f>
        <v>#DIV/0!</v>
      </c>
      <c r="AX6" s="159" t="e">
        <f>股权价值增加表!AX31/股权价值增加表!AX4</f>
        <v>#DIV/0!</v>
      </c>
      <c r="AY6" s="159" t="e">
        <f>股权价值增加表!AY31/股权价值增加表!AY4</f>
        <v>#DIV/0!</v>
      </c>
      <c r="AZ6" s="159" t="e">
        <f>股权价值增加表!AZ31/股权价值增加表!AZ4</f>
        <v>#DIV/0!</v>
      </c>
      <c r="BA6" s="159" t="e">
        <f>股权价值增加表!BA31/股权价值增加表!BA4</f>
        <v>#DIV/0!</v>
      </c>
      <c r="BB6" s="159" t="e">
        <f>股权价值增加表!BB31/股权价值增加表!BB4</f>
        <v>#DIV/0!</v>
      </c>
      <c r="BC6" s="159" t="e">
        <f>股权价值增加表!BC31/股权价值增加表!BC4</f>
        <v>#DIV/0!</v>
      </c>
      <c r="BD6" s="159" t="e">
        <f>股权价值增加表!BD31/股权价值增加表!BD4</f>
        <v>#DIV/0!</v>
      </c>
      <c r="BE6" s="159" t="e">
        <f>股权价值增加表!BE31/股权价值增加表!BE4</f>
        <v>#DIV/0!</v>
      </c>
      <c r="BF6" s="159" t="e">
        <f>股权价值增加表!BF31/股权价值增加表!BF4</f>
        <v>#DIV/0!</v>
      </c>
      <c r="BG6" s="159" t="e">
        <f>股权价值增加表!BG31/股权价值增加表!BG4</f>
        <v>#DIV/0!</v>
      </c>
      <c r="BH6" s="159" t="e">
        <f>股权价值增加表!BH31/股权价值增加表!BH4</f>
        <v>#DIV/0!</v>
      </c>
      <c r="BI6" s="159" t="e">
        <f>股权价值增加表!BI31/股权价值增加表!BI4</f>
        <v>#DIV/0!</v>
      </c>
      <c r="BJ6" s="159" t="e">
        <f>股权价值增加表!BJ31/股权价值增加表!BJ4</f>
        <v>#DIV/0!</v>
      </c>
      <c r="BK6" s="159" t="e">
        <f>股权价值增加表!BK31/股权价值增加表!BK4</f>
        <v>#DIV/0!</v>
      </c>
      <c r="BL6" s="159" t="e">
        <f>股权价值增加表!BL31/股权价值增加表!BL4</f>
        <v>#DIV/0!</v>
      </c>
      <c r="BM6" s="159" t="e">
        <f>股权价值增加表!BM31/股权价值增加表!BM4</f>
        <v>#DIV/0!</v>
      </c>
      <c r="BN6" s="159" t="e">
        <f>股权价值增加表!BN31/股权价值增加表!BN4</f>
        <v>#DIV/0!</v>
      </c>
      <c r="BO6" s="159" t="e">
        <f>股权价值增加表!BO31/股权价值增加表!BO4</f>
        <v>#DIV/0!</v>
      </c>
      <c r="BP6" s="159" t="e">
        <f>股权价值增加表!BP31/股权价值增加表!BP4</f>
        <v>#DIV/0!</v>
      </c>
      <c r="BQ6" s="159" t="e">
        <f>股权价值增加表!BQ31/股权价值增加表!BQ4</f>
        <v>#DIV/0!</v>
      </c>
      <c r="BR6" s="159" t="e">
        <f>股权价值增加表!BR31/股权价值增加表!BR4</f>
        <v>#DIV/0!</v>
      </c>
      <c r="BS6" s="159" t="e">
        <f>股权价值增加表!BS31/股权价值增加表!BS4</f>
        <v>#DIV/0!</v>
      </c>
      <c r="BT6" s="159" t="e">
        <f>股权价值增加表!BT31/股权价值增加表!BT4</f>
        <v>#DIV/0!</v>
      </c>
      <c r="BU6" s="159" t="e">
        <f>股权价值增加表!BU31/股权价值增加表!BU4</f>
        <v>#DIV/0!</v>
      </c>
      <c r="BV6" s="159" t="e">
        <f>股权价值增加表!BV31/股权价值增加表!BV4</f>
        <v>#DIV/0!</v>
      </c>
      <c r="BW6" s="159" t="e">
        <f>股权价值增加表!BW31/股权价值增加表!BW4</f>
        <v>#DIV/0!</v>
      </c>
      <c r="BX6" s="159" t="e">
        <f>股权价值增加表!BX31/股权价值增加表!BX4</f>
        <v>#DIV/0!</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44" t="s">
        <v>432</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0.93331838033695369</v>
      </c>
      <c r="F9" s="159">
        <f>股权价值增加表!F38/股权价值增加表!F31</f>
        <v>0.96062443162685696</v>
      </c>
      <c r="G9" s="159">
        <f>股权价值增加表!G38/股权价值增加表!G31</f>
        <v>0.97353040887885978</v>
      </c>
      <c r="H9" s="159">
        <f>股权价值增加表!H38/股权价值增加表!H31</f>
        <v>0.9796424082022519</v>
      </c>
      <c r="I9" s="159">
        <f>股权价值增加表!I38/股权价值增加表!I31</f>
        <v>0.97306512459611105</v>
      </c>
      <c r="J9" s="159">
        <f>股权价值增加表!J38/股权价值增加表!J31</f>
        <v>0.96839401882861997</v>
      </c>
      <c r="K9" s="159">
        <f>股权价值增加表!K38/股权价值增加表!K31</f>
        <v>0.9918816511085361</v>
      </c>
      <c r="L9" s="159">
        <f>股权价值增加表!L38/股权价值增加表!L31</f>
        <v>0.92193843495841921</v>
      </c>
      <c r="M9" s="159">
        <f>股权价值增加表!M38/股权价值增加表!M31</f>
        <v>1.1338131633372381</v>
      </c>
      <c r="N9" s="159">
        <f>股权价值增加表!N38/股权价值增加表!N31</f>
        <v>1.1401416965112892</v>
      </c>
      <c r="O9" s="159">
        <f>股权价值增加表!O38/股权价值增加表!O31</f>
        <v>1.1819192392085534</v>
      </c>
      <c r="P9" s="159">
        <f>股权价值增加表!P38/股权价值增加表!P31</f>
        <v>1.071071176330614</v>
      </c>
      <c r="Q9" s="159">
        <f>股权价值增加表!Q38/股权价值增加表!Q31</f>
        <v>1.0098239569075329</v>
      </c>
      <c r="R9" s="159">
        <f>股权价值增加表!R38/股权价值增加表!R31</f>
        <v>1.069662705391023</v>
      </c>
      <c r="S9" s="159">
        <f>股权价值增加表!S38/股权价值增加表!S31</f>
        <v>1.1116073873860355</v>
      </c>
      <c r="T9" s="159">
        <f>股权价值增加表!T38/股权价值增加表!T31</f>
        <v>1.0294218023909578</v>
      </c>
      <c r="U9" s="159">
        <f>股权价值增加表!U38/股权价值增加表!U31</f>
        <v>0.9050606126088957</v>
      </c>
      <c r="V9" s="159">
        <f>股权价值增加表!V38/股权价值增加表!V31</f>
        <v>0.94417673609040509</v>
      </c>
      <c r="W9" s="159">
        <f>股权价值增加表!W38/股权价值增加表!W31</f>
        <v>0.93118656848439718</v>
      </c>
      <c r="X9" s="159">
        <f>股权价值增加表!X38/股权价值增加表!X31</f>
        <v>0.98783514671029793</v>
      </c>
      <c r="Y9" s="159">
        <f>股权价值增加表!Y38/股权价值增加表!Y31</f>
        <v>0.94084805812349548</v>
      </c>
      <c r="Z9" s="159">
        <f>股权价值增加表!Z38/股权价值增加表!Z31</f>
        <v>1.0261963381631063</v>
      </c>
      <c r="AA9" s="159">
        <f>股权价值增加表!AA38/股权价值增加表!AA31</f>
        <v>1.010309062170933</v>
      </c>
      <c r="AB9" s="159">
        <f>股权价值增加表!AB38/股权价值增加表!AB31</f>
        <v>0.96449412511580301</v>
      </c>
      <c r="AC9" s="159">
        <f>股权价值增加表!AC38/股权价值增加表!AC31</f>
        <v>0.86316240010512535</v>
      </c>
      <c r="AD9" s="159">
        <f>股权价值增加表!AD38/股权价值增加表!AD31</f>
        <v>0.90200638483605666</v>
      </c>
      <c r="AE9" s="159">
        <f>股权价值增加表!AE38/股权价值增加表!AE31</f>
        <v>0.90519455725605802</v>
      </c>
      <c r="AF9" s="159">
        <f>股权价值增加表!AF38/股权价值增加表!AF31</f>
        <v>0.90066306867351809</v>
      </c>
      <c r="AG9" s="159">
        <f>股权价值增加表!AG38/股权价值增加表!AG31</f>
        <v>0.85117685861503889</v>
      </c>
      <c r="AH9" s="159">
        <f>股权价值增加表!AH38/股权价值增加表!AH31</f>
        <v>0.92361167551978363</v>
      </c>
      <c r="AI9" s="159">
        <f>股权价值增加表!AI38/股权价值增加表!AI31</f>
        <v>0.83445639238868297</v>
      </c>
      <c r="AJ9" s="159">
        <f>股权价值增加表!AJ38/股权价值增加表!AJ31</f>
        <v>0.79753010193192775</v>
      </c>
      <c r="AK9" s="159">
        <f>股权价值增加表!AK38/股权价值增加表!AK31</f>
        <v>-1.5294286102809629</v>
      </c>
      <c r="AL9" s="159">
        <f>股权价值增加表!AL38/股权价值增加表!AL31</f>
        <v>-23.442474843426051</v>
      </c>
      <c r="AM9" s="159">
        <f>股权价值增加表!AM38/股权价值增加表!AM31</f>
        <v>-35.926585880000005</v>
      </c>
      <c r="AN9" s="159" t="e">
        <f>股权价值增加表!AN38/股权价值增加表!AN31</f>
        <v>#DIV/0!</v>
      </c>
      <c r="AO9" s="159">
        <f>股权价值增加表!AO38/股权价值增加表!AO31</f>
        <v>3.5503307255925433E-4</v>
      </c>
      <c r="AP9" s="159">
        <f>股权价值增加表!AP38/股权价值增加表!AP31</f>
        <v>29.722899689900022</v>
      </c>
      <c r="AQ9" s="159">
        <f>股权价值增加表!AQ38/股权价值增加表!AQ31</f>
        <v>-1.280798547798051</v>
      </c>
      <c r="AR9" s="159">
        <f>股权价值增加表!AR38/股权价值增加表!AR31</f>
        <v>3.9446418810177186</v>
      </c>
      <c r="AS9" s="159">
        <f>股权价值增加表!AS38/股权价值增加表!AS31</f>
        <v>0.73501781149107914</v>
      </c>
      <c r="AT9" s="159">
        <f>股权价值增加表!AT38/股权价值增加表!AT31</f>
        <v>1.9654365603310093E-2</v>
      </c>
      <c r="AU9" s="159">
        <f>股权价值增加表!AU38/股权价值增加表!AU31</f>
        <v>-5.239892032185999</v>
      </c>
      <c r="AV9" s="159">
        <f>股权价值增加表!AV38/股权价值增加表!AV31</f>
        <v>-3.5919284709684765</v>
      </c>
      <c r="AW9" s="159">
        <f>股权价值增加表!AW38/股权价值增加表!AW31</f>
        <v>0.68480994973202103</v>
      </c>
      <c r="AX9" s="159">
        <f>股权价值增加表!AX38/股权价值增加表!AX31</f>
        <v>-0.10389720263954901</v>
      </c>
      <c r="AY9" s="159">
        <f>股权价值增加表!AY38/股权价值增加表!AY31</f>
        <v>0.15766815771832896</v>
      </c>
      <c r="AZ9" s="159">
        <f>股权价值增加表!AZ38/股权价值增加表!AZ31</f>
        <v>0.26391668863077272</v>
      </c>
      <c r="BA9" s="159">
        <f>股权价值增加表!BA38/股权价值增加表!BA31</f>
        <v>-0.57049303660102635</v>
      </c>
      <c r="BB9" s="159">
        <f>股权价值增加表!BB38/股权价值增加表!BB31</f>
        <v>-2.6493435201584692</v>
      </c>
      <c r="BC9" s="159">
        <f>股权价值增加表!BC38/股权价值增加表!BC31</f>
        <v>4.9375139936685546</v>
      </c>
      <c r="BD9" s="159">
        <f>股权价值增加表!BD38/股权价值增加表!BD31</f>
        <v>15.052554804994061</v>
      </c>
      <c r="BE9" s="159">
        <f>股权价值增加表!BE38/股权价值增加表!BE31</f>
        <v>-1.7653892919345313</v>
      </c>
      <c r="BF9" s="159">
        <f>股权价值增加表!BF38/股权价值增加表!BF31</f>
        <v>24.864612075215696</v>
      </c>
      <c r="BG9" s="159">
        <f>股权价值增加表!BG38/股权价值增加表!BG31</f>
        <v>8.1834067366768029</v>
      </c>
      <c r="BH9" s="159">
        <f>股权价值增加表!BH38/股权价值增加表!BH31</f>
        <v>-0.60448259572235163</v>
      </c>
      <c r="BI9" s="159">
        <f>股权价值增加表!BI38/股权价值增加表!BI31</f>
        <v>0.3373236245401865</v>
      </c>
      <c r="BJ9" s="159">
        <f>股权价值增加表!BJ38/股权价值增加表!BJ31</f>
        <v>6.0240727137893382</v>
      </c>
      <c r="BK9" s="159">
        <f>股权价值增加表!BK38/股权价值增加表!BK31</f>
        <v>1.9980431561284842</v>
      </c>
      <c r="BL9" s="159">
        <f>股权价值增加表!BL38/股权价值增加表!BL31</f>
        <v>1.3716966134846356</v>
      </c>
      <c r="BM9" s="159">
        <f>股权价值增加表!BM38/股权价值增加表!BM31</f>
        <v>-9.6179604183672343</v>
      </c>
      <c r="BN9" s="159">
        <f>股权价值增加表!BN38/股权价值增加表!BN31</f>
        <v>12.349443164115307</v>
      </c>
      <c r="BO9" s="159">
        <f>股权价值增加表!BO38/股权价值增加表!BO31</f>
        <v>8.4843453480629734</v>
      </c>
      <c r="BP9" s="159">
        <f>股权价值增加表!BP38/股权价值增加表!BP31</f>
        <v>9.7147446712429595</v>
      </c>
      <c r="BQ9" s="159">
        <f>股权价值增加表!BQ38/股权价值增加表!BQ31</f>
        <v>5.9028303918995846</v>
      </c>
      <c r="BR9" s="159">
        <f>股权价值增加表!BR38/股权价值增加表!BR31</f>
        <v>1</v>
      </c>
      <c r="BS9" s="159">
        <f>股权价值增加表!BS38/股权价值增加表!BS31</f>
        <v>5.6086928399999998</v>
      </c>
      <c r="BT9" s="159" t="e">
        <f>股权价值增加表!BT38/股权价值增加表!BT31</f>
        <v>#DIV/0!</v>
      </c>
      <c r="BU9" s="159" t="e">
        <f>股权价值增加表!BU38/股权价值增加表!BU31</f>
        <v>#DIV/0!</v>
      </c>
      <c r="BV9" s="159" t="e">
        <f>股权价值增加表!BV38/股权价值增加表!BV31</f>
        <v>#DIV/0!</v>
      </c>
      <c r="BW9" s="159" t="e">
        <f>股权价值增加表!BW38/股权价值增加表!BW31</f>
        <v>#DIV/0!</v>
      </c>
      <c r="BX9" s="159" t="e">
        <f>股权价值增加表!BX38/股权价值增加表!BX31</f>
        <v>#DIV/0!</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44" t="s">
        <v>434</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0.83884603783032796</v>
      </c>
      <c r="F12" s="159">
        <f>F2/股权价值增加表!F38</f>
        <v>0.84015666631240404</v>
      </c>
      <c r="G12" s="159">
        <f>G2/股权价值增加表!G38</f>
        <v>0.83419657031320005</v>
      </c>
      <c r="H12" s="159">
        <f>H2/股权价值增加表!H38</f>
        <v>0.82750648292896223</v>
      </c>
      <c r="I12" s="159">
        <f>I2/股权价值增加表!I38</f>
        <v>0.88190429228843648</v>
      </c>
      <c r="J12" s="159">
        <f>J2/股权价值增加表!J38</f>
        <v>0.85534911046052342</v>
      </c>
      <c r="K12" s="159">
        <f>K2/股权价值增加表!K38</f>
        <v>0.8639714158267725</v>
      </c>
      <c r="L12" s="159">
        <f>L2/股权价值增加表!L38</f>
        <v>0.84120390320783356</v>
      </c>
      <c r="M12" s="159">
        <f>M2/股权价值增加表!M38</f>
        <v>0.88188729598702043</v>
      </c>
      <c r="N12" s="159">
        <f>N2/股权价值增加表!N38</f>
        <v>0.85100196325641542</v>
      </c>
      <c r="O12" s="159">
        <f>O2/股权价值增加表!O38</f>
        <v>0.86321608870930344</v>
      </c>
      <c r="P12" s="159">
        <f>P2/股权价值增加表!P38</f>
        <v>0.83754352251587516</v>
      </c>
      <c r="Q12" s="159">
        <f>Q2/股权价值增加表!Q38</f>
        <v>0.87003968260202069</v>
      </c>
      <c r="R12" s="159">
        <f>R2/股权价值增加表!R38</f>
        <v>0.85225676109714477</v>
      </c>
      <c r="S12" s="159">
        <f>S2/股权价值增加表!S38</f>
        <v>0.86399207029159952</v>
      </c>
      <c r="T12" s="159">
        <f>T2/股权价值增加表!T38</f>
        <v>0.82879669677311207</v>
      </c>
      <c r="U12" s="159">
        <f>U2/股权价值增加表!U38</f>
        <v>0.83744943634992997</v>
      </c>
      <c r="V12" s="159">
        <f>V2/股权价值增加表!V38</f>
        <v>0.85043495046553652</v>
      </c>
      <c r="W12" s="159">
        <f>W2/股权价值增加表!W38</f>
        <v>0.85677363093183423</v>
      </c>
      <c r="X12" s="159">
        <f>X2/股权价值增加表!X38</f>
        <v>0.84386719581365965</v>
      </c>
      <c r="Y12" s="159">
        <f>Y2/股权价值增加表!Y38</f>
        <v>0.85553227679428556</v>
      </c>
      <c r="Z12" s="159">
        <f>Z2/股权价值增加表!Z38</f>
        <v>0.85552783302391688</v>
      </c>
      <c r="AA12" s="159">
        <f>AA2/股权价值增加表!AA38</f>
        <v>0.85688164306207215</v>
      </c>
      <c r="AB12" s="159">
        <f>AB2/股权价值增加表!AB38</f>
        <v>0.84947968989186551</v>
      </c>
      <c r="AC12" s="159">
        <f>AC2/股权价值增加表!AC38</f>
        <v>0.8510135869678368</v>
      </c>
      <c r="AD12" s="159">
        <f>AD2/股权价值增加表!AD38</f>
        <v>0.85763285392356547</v>
      </c>
      <c r="AE12" s="159">
        <f>AE2/股权价值增加表!AE38</f>
        <v>0.86683954421743015</v>
      </c>
      <c r="AF12" s="159">
        <f>AF2/股权价值增加表!AF38</f>
        <v>0.83961254357414816</v>
      </c>
      <c r="AG12" s="159">
        <f>AG2/股权价值增加表!AG38</f>
        <v>0.86787334264071925</v>
      </c>
      <c r="AH12" s="159">
        <f>AH2/股权价值增加表!AH38</f>
        <v>0.86361480901090071</v>
      </c>
      <c r="AI12" s="159">
        <f>AI2/股权价值增加表!AI38</f>
        <v>0.84810893133461351</v>
      </c>
      <c r="AJ12" s="159">
        <f>AJ2/股权价值增加表!AJ38</f>
        <v>0.88144955930540547</v>
      </c>
      <c r="AK12" s="159">
        <f>AK2/股权价值增加表!AK38</f>
        <v>1</v>
      </c>
      <c r="AL12" s="159">
        <f>AL2/股权价值增加表!AL38</f>
        <v>4.5529488447562017</v>
      </c>
      <c r="AM12" s="159">
        <f>AM2/股权价值增加表!AM38</f>
        <v>2.9730104952572241</v>
      </c>
      <c r="AN12" s="159">
        <f>AN2/股权价值增加表!AN38</f>
        <v>1.77312630116613</v>
      </c>
      <c r="AO12" s="159">
        <f>AO2/股权价值增加表!AO38</f>
        <v>-12216.335847924704</v>
      </c>
      <c r="AP12" s="159">
        <f>AP2/股权价值增加表!AP38</f>
        <v>15.364017128766116</v>
      </c>
      <c r="AQ12" s="159">
        <f>AQ2/股权价值增加表!AQ38</f>
        <v>-29.074615821333452</v>
      </c>
      <c r="AR12" s="159">
        <f>AR2/股权价值增加表!AR38</f>
        <v>-4.6740220572007249</v>
      </c>
      <c r="AS12" s="159">
        <f>AS2/股权价值增加表!AS38</f>
        <v>-3.7092378870689999</v>
      </c>
      <c r="AT12" s="159">
        <f>AT2/股权价值增加表!AT38</f>
        <v>-452.5602885021363</v>
      </c>
      <c r="AU12" s="159">
        <f>AU2/股权价值增加表!AU38</f>
        <v>11.69255851870855</v>
      </c>
      <c r="AV12" s="159">
        <f>AV2/股权价值增加表!AV38</f>
        <v>17.023087626800979</v>
      </c>
      <c r="AW12" s="159">
        <f>AW2/股权价值增加表!AW38</f>
        <v>-11.824533811172865</v>
      </c>
      <c r="AX12" s="159">
        <f>AX2/股权价值增加表!AX38</f>
        <v>215.86387507123285</v>
      </c>
      <c r="AY12" s="159">
        <f>AY2/股权价值增加表!AY38</f>
        <v>-83.752505141414815</v>
      </c>
      <c r="AZ12" s="159">
        <f>AZ2/股权价值增加表!AZ38</f>
        <v>-57.216622938777903</v>
      </c>
      <c r="BA12" s="159">
        <f>BA2/股权价值增加表!BA38</f>
        <v>78.707053100435957</v>
      </c>
      <c r="BB12" s="159">
        <f>BB2/股权价值增加表!BB38</f>
        <v>46.96742146360917</v>
      </c>
      <c r="BC12" s="159">
        <f>BC2/股权价值增加表!BC38</f>
        <v>38.191424750324082</v>
      </c>
      <c r="BD12" s="159">
        <f>BD2/股权价值增加表!BD38</f>
        <v>32.462557642924033</v>
      </c>
      <c r="BE12" s="159">
        <f>BE2/股权价值增加表!BE38</f>
        <v>17.263412448683692</v>
      </c>
      <c r="BF12" s="159">
        <f>BF2/股权价值增加表!BF38</f>
        <v>25.4625426728647</v>
      </c>
      <c r="BG12" s="159">
        <f>BG2/股权价值增加表!BG38</f>
        <v>52.865743062987342</v>
      </c>
      <c r="BH12" s="159">
        <f>BH2/股权价值增加表!BH38</f>
        <v>1621.3921040092712</v>
      </c>
      <c r="BI12" s="159">
        <f>BI2/股权价值增加表!BI38</f>
        <v>-78.857881263136633</v>
      </c>
      <c r="BJ12" s="159">
        <f>BJ2/股权价值增加表!BJ38</f>
        <v>-140.13268018937481</v>
      </c>
      <c r="BK12" s="159">
        <f>BK2/股权价值增加表!BK38</f>
        <v>-52.327596541223166</v>
      </c>
      <c r="BL12" s="159">
        <f>BL2/股权价值增加表!BL38</f>
        <v>-35.320705615434449</v>
      </c>
      <c r="BM12" s="159">
        <f>BM2/股权价值增加表!BM38</f>
        <v>-11.506972120264656</v>
      </c>
      <c r="BN12" s="159">
        <f>BN2/股权价值增加表!BN38</f>
        <v>-11.396842557518431</v>
      </c>
      <c r="BO12" s="159">
        <f>BO2/股权价值增加表!BO38</f>
        <v>-5.8502532683313593</v>
      </c>
      <c r="BP12" s="159">
        <f>BP2/股权价值增加表!BP38</f>
        <v>-6.4630758207432768</v>
      </c>
      <c r="BQ12" s="159">
        <f>BQ2/股权价值增加表!BQ38</f>
        <v>-6.1587618864435401</v>
      </c>
      <c r="BR12" s="159">
        <f>BR2/股权价值增加表!BR38</f>
        <v>-17.384621235168847</v>
      </c>
      <c r="BS12" s="159">
        <f>BS2/股权价值增加表!BS38</f>
        <v>-3.4281159743452809</v>
      </c>
      <c r="BT12" s="159">
        <f>BT2/股权价值增加表!BT38</f>
        <v>2.7566441635919343</v>
      </c>
      <c r="BU12" s="159">
        <f>BU2/股权价值增加表!BU38</f>
        <v>6.4505668867242774</v>
      </c>
      <c r="BV12" s="159">
        <f>BV2/股权价值增加表!BV38</f>
        <v>5.0369914160412286</v>
      </c>
      <c r="BW12" s="159">
        <f>BW2/股权价值增加表!BW38</f>
        <v>1.9204342463089219</v>
      </c>
      <c r="BX12" s="159">
        <f>BX2/股权价值增加表!BX38</f>
        <v>2.1271672992573945</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5" t="s">
        <v>702</v>
      </c>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4"/>
    </row>
    <row r="17" spans="1:89" ht="15" thickBot="1" x14ac:dyDescent="0.3"/>
    <row r="18" spans="1:89" s="251" customFormat="1" x14ac:dyDescent="0.25">
      <c r="A18" s="250"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x14ac:dyDescent="0.25">
      <c r="A19" s="160" t="s">
        <v>447</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5" customFormat="1" x14ac:dyDescent="0.25">
      <c r="A21" s="235" t="s">
        <v>449</v>
      </c>
      <c r="E21" s="245">
        <f>E20/E19</f>
        <v>0.17932867459930288</v>
      </c>
      <c r="F21" s="245">
        <f t="shared" ref="F21:BQ21" si="6">F20/F19</f>
        <v>0.19973666312957772</v>
      </c>
      <c r="G21" s="245">
        <f t="shared" si="6"/>
        <v>0.20261172063244903</v>
      </c>
      <c r="H21" s="245">
        <f t="shared" si="6"/>
        <v>0.19325213680263145</v>
      </c>
      <c r="I21" s="245">
        <f t="shared" si="6"/>
        <v>0.18808009249667509</v>
      </c>
      <c r="J21" s="245">
        <f t="shared" si="6"/>
        <v>0.21619874427881206</v>
      </c>
      <c r="K21" s="245">
        <f t="shared" si="6"/>
        <v>0.22890827547245757</v>
      </c>
      <c r="L21" s="245">
        <f t="shared" si="6"/>
        <v>0.24971644650484975</v>
      </c>
      <c r="M21" s="245">
        <f t="shared" si="6"/>
        <v>0.14108726412387423</v>
      </c>
      <c r="N21" s="245">
        <f t="shared" si="6"/>
        <v>0.1461796877623964</v>
      </c>
      <c r="O21" s="245">
        <f t="shared" si="6"/>
        <v>0.11011124405255467</v>
      </c>
      <c r="P21" s="245">
        <f t="shared" si="6"/>
        <v>9.9336724340629207E-2</v>
      </c>
      <c r="Q21" s="245">
        <f t="shared" si="6"/>
        <v>9.6828388757616637E-2</v>
      </c>
      <c r="R21" s="245">
        <f t="shared" si="6"/>
        <v>9.6934015381008959E-2</v>
      </c>
      <c r="S21" s="245">
        <f t="shared" si="6"/>
        <v>8.5680216019542441E-2</v>
      </c>
      <c r="T21" s="245">
        <f t="shared" si="6"/>
        <v>9.8633941389267982E-2</v>
      </c>
      <c r="U21" s="245">
        <f t="shared" si="6"/>
        <v>0.15662355426208832</v>
      </c>
      <c r="V21" s="245">
        <f t="shared" si="6"/>
        <v>0.15776643107413973</v>
      </c>
      <c r="W21" s="245">
        <f t="shared" si="6"/>
        <v>0.16093081055843381</v>
      </c>
      <c r="X21" s="245">
        <f t="shared" si="6"/>
        <v>0.16610233316793699</v>
      </c>
      <c r="Y21" s="245">
        <f t="shared" si="6"/>
        <v>0.15426744241987075</v>
      </c>
      <c r="Z21" s="245">
        <f t="shared" si="6"/>
        <v>0.17243520448132851</v>
      </c>
      <c r="AA21" s="245">
        <f t="shared" si="6"/>
        <v>0.20293496914316916</v>
      </c>
      <c r="AB21" s="245">
        <f t="shared" si="6"/>
        <v>0.19136916997927475</v>
      </c>
      <c r="AC21" s="245">
        <f t="shared" si="6"/>
        <v>0.18727936990499783</v>
      </c>
      <c r="AD21" s="245">
        <f t="shared" si="6"/>
        <v>0.2043187269004518</v>
      </c>
      <c r="AE21" s="245">
        <f t="shared" si="6"/>
        <v>0.20748418702582208</v>
      </c>
      <c r="AF21" s="245">
        <f t="shared" si="6"/>
        <v>0.19022956269971913</v>
      </c>
      <c r="AG21" s="245">
        <f t="shared" si="6"/>
        <v>0.16817867869452624</v>
      </c>
      <c r="AH21" s="245">
        <f t="shared" si="6"/>
        <v>0.17313488469777882</v>
      </c>
      <c r="AI21" s="245">
        <f t="shared" si="6"/>
        <v>0.21995424619770487</v>
      </c>
      <c r="AJ21" s="245">
        <f t="shared" si="6"/>
        <v>0.20364176587204966</v>
      </c>
      <c r="AK21" s="245" t="e">
        <f t="shared" si="6"/>
        <v>#DIV/0!</v>
      </c>
      <c r="AL21" s="245" t="e">
        <f t="shared" si="6"/>
        <v>#DIV/0!</v>
      </c>
      <c r="AM21" s="245" t="e">
        <f t="shared" si="6"/>
        <v>#DIV/0!</v>
      </c>
      <c r="AN21" s="245" t="e">
        <f t="shared" si="6"/>
        <v>#DIV/0!</v>
      </c>
      <c r="AO21" s="245" t="e">
        <f t="shared" si="6"/>
        <v>#DIV/0!</v>
      </c>
      <c r="AP21" s="245" t="e">
        <f t="shared" si="6"/>
        <v>#DIV/0!</v>
      </c>
      <c r="AQ21" s="245" t="e">
        <f t="shared" si="6"/>
        <v>#DIV/0!</v>
      </c>
      <c r="AR21" s="245" t="e">
        <f t="shared" si="6"/>
        <v>#DIV/0!</v>
      </c>
      <c r="AS21" s="245" t="e">
        <f t="shared" si="6"/>
        <v>#DIV/0!</v>
      </c>
      <c r="AT21" s="245" t="e">
        <f t="shared" si="6"/>
        <v>#DIV/0!</v>
      </c>
      <c r="AU21" s="245" t="e">
        <f t="shared" si="6"/>
        <v>#DIV/0!</v>
      </c>
      <c r="AV21" s="245" t="e">
        <f t="shared" si="6"/>
        <v>#DIV/0!</v>
      </c>
      <c r="AW21" s="245" t="e">
        <f t="shared" si="6"/>
        <v>#DIV/0!</v>
      </c>
      <c r="AX21" s="245" t="e">
        <f t="shared" si="6"/>
        <v>#DIV/0!</v>
      </c>
      <c r="AY21" s="245" t="e">
        <f t="shared" si="6"/>
        <v>#DIV/0!</v>
      </c>
      <c r="AZ21" s="245" t="e">
        <f t="shared" si="6"/>
        <v>#DIV/0!</v>
      </c>
      <c r="BA21" s="245" t="e">
        <f t="shared" si="6"/>
        <v>#DIV/0!</v>
      </c>
      <c r="BB21" s="245" t="e">
        <f t="shared" si="6"/>
        <v>#DIV/0!</v>
      </c>
      <c r="BC21" s="245" t="e">
        <f t="shared" si="6"/>
        <v>#DIV/0!</v>
      </c>
      <c r="BD21" s="245" t="e">
        <f t="shared" si="6"/>
        <v>#DIV/0!</v>
      </c>
      <c r="BE21" s="245" t="e">
        <f t="shared" si="6"/>
        <v>#DIV/0!</v>
      </c>
      <c r="BF21" s="245" t="e">
        <f t="shared" si="6"/>
        <v>#DIV/0!</v>
      </c>
      <c r="BG21" s="245" t="e">
        <f t="shared" si="6"/>
        <v>#DIV/0!</v>
      </c>
      <c r="BH21" s="245" t="e">
        <f t="shared" si="6"/>
        <v>#DIV/0!</v>
      </c>
      <c r="BI21" s="245" t="e">
        <f t="shared" si="6"/>
        <v>#DIV/0!</v>
      </c>
      <c r="BJ21" s="245" t="e">
        <f t="shared" si="6"/>
        <v>#DIV/0!</v>
      </c>
      <c r="BK21" s="245" t="e">
        <f t="shared" si="6"/>
        <v>#DIV/0!</v>
      </c>
      <c r="BL21" s="245" t="e">
        <f t="shared" si="6"/>
        <v>#DIV/0!</v>
      </c>
      <c r="BM21" s="245" t="e">
        <f t="shared" si="6"/>
        <v>#DIV/0!</v>
      </c>
      <c r="BN21" s="245" t="e">
        <f t="shared" si="6"/>
        <v>#DIV/0!</v>
      </c>
      <c r="BO21" s="245" t="e">
        <f t="shared" si="6"/>
        <v>#DIV/0!</v>
      </c>
      <c r="BP21" s="245" t="e">
        <f t="shared" si="6"/>
        <v>#DIV/0!</v>
      </c>
      <c r="BQ21" s="245" t="e">
        <f t="shared" si="6"/>
        <v>#DIV/0!</v>
      </c>
      <c r="BR21" s="245" t="e">
        <f t="shared" ref="BR21:CK21" si="7">BR20/BR19</f>
        <v>#DIV/0!</v>
      </c>
      <c r="BS21" s="245" t="e">
        <f t="shared" si="7"/>
        <v>#DIV/0!</v>
      </c>
      <c r="BT21" s="245" t="e">
        <f t="shared" si="7"/>
        <v>#DIV/0!</v>
      </c>
      <c r="BU21" s="245" t="e">
        <f t="shared" si="7"/>
        <v>#DIV/0!</v>
      </c>
      <c r="BV21" s="245" t="e">
        <f t="shared" si="7"/>
        <v>#DIV/0!</v>
      </c>
      <c r="BW21" s="245" t="e">
        <f t="shared" si="7"/>
        <v>#DIV/0!</v>
      </c>
      <c r="BX21" s="245" t="e">
        <f t="shared" si="7"/>
        <v>#DIV/0!</v>
      </c>
      <c r="BY21" s="245" t="e">
        <f t="shared" si="7"/>
        <v>#DIV/0!</v>
      </c>
      <c r="BZ21" s="245" t="e">
        <f t="shared" si="7"/>
        <v>#DIV/0!</v>
      </c>
      <c r="CA21" s="245" t="e">
        <f t="shared" si="7"/>
        <v>#DIV/0!</v>
      </c>
      <c r="CB21" s="245" t="e">
        <f t="shared" si="7"/>
        <v>#DIV/0!</v>
      </c>
      <c r="CC21" s="245" t="e">
        <f t="shared" si="7"/>
        <v>#DIV/0!</v>
      </c>
      <c r="CD21" s="245" t="e">
        <f t="shared" si="7"/>
        <v>#DIV/0!</v>
      </c>
      <c r="CE21" s="245" t="e">
        <f t="shared" si="7"/>
        <v>#DIV/0!</v>
      </c>
      <c r="CF21" s="245" t="e">
        <f t="shared" si="7"/>
        <v>#DIV/0!</v>
      </c>
      <c r="CG21" s="245" t="e">
        <f t="shared" si="7"/>
        <v>#DIV/0!</v>
      </c>
      <c r="CH21" s="245" t="e">
        <f t="shared" si="7"/>
        <v>#DIV/0!</v>
      </c>
      <c r="CI21" s="245" t="e">
        <f t="shared" si="7"/>
        <v>#DIV/0!</v>
      </c>
      <c r="CJ21" s="245" t="e">
        <f t="shared" si="7"/>
        <v>#DIV/0!</v>
      </c>
      <c r="CK21" s="245" t="e">
        <f t="shared" si="7"/>
        <v>#DIV/0!</v>
      </c>
    </row>
    <row r="22" spans="1:89" s="26" customFormat="1" x14ac:dyDescent="0.25">
      <c r="A22" s="26" t="s">
        <v>689</v>
      </c>
      <c r="E22" s="26">
        <f>资产资本表!E69</f>
        <v>3437718031.4699998</v>
      </c>
      <c r="F22" s="194">
        <f>资产资本表!F69</f>
        <v>3345244398.8099995</v>
      </c>
      <c r="G22" s="194">
        <f>资产资本表!G69</f>
        <v>3283426806.96</v>
      </c>
      <c r="H22" s="194">
        <f>资产资本表!H69</f>
        <v>3196030545.1500001</v>
      </c>
      <c r="I22" s="194">
        <f>资产资本表!I69</f>
        <v>3353289318.3099995</v>
      </c>
      <c r="J22" s="194">
        <f>资产资本表!J69</f>
        <v>3181431787.5899997</v>
      </c>
      <c r="K22" s="194">
        <f>资产资本表!K69</f>
        <v>3082695032.9299994</v>
      </c>
      <c r="L22" s="194">
        <f>资产资本表!L69</f>
        <v>2706514478.6300001</v>
      </c>
      <c r="M22" s="194">
        <f>资产资本表!M69</f>
        <v>1875955782.2899997</v>
      </c>
      <c r="N22" s="194">
        <f>资产资本表!N69</f>
        <v>1779392152.1400001</v>
      </c>
      <c r="O22" s="194">
        <f>资产资本表!O69</f>
        <v>1759130054.1599998</v>
      </c>
      <c r="P22" s="194">
        <f>资产资本表!P69</f>
        <v>1165655921.5500002</v>
      </c>
      <c r="Q22" s="194">
        <f>资产资本表!Q69</f>
        <v>1168735508.48</v>
      </c>
      <c r="R22" s="194">
        <f>资产资本表!R69</f>
        <v>1102256820.9400001</v>
      </c>
      <c r="S22" s="194">
        <f>资产资本表!S69</f>
        <v>1103699084.74</v>
      </c>
      <c r="T22" s="194">
        <f>资产资本表!T69</f>
        <v>1075735744.6699998</v>
      </c>
      <c r="U22" s="194">
        <f>资产资本表!U69</f>
        <v>1040915709.79</v>
      </c>
      <c r="V22" s="194">
        <f>资产资本表!V69</f>
        <v>1014783275.9300001</v>
      </c>
      <c r="W22" s="194">
        <f>资产资本表!W69</f>
        <v>997786786.21000016</v>
      </c>
      <c r="X22" s="194">
        <f>资产资本表!X69</f>
        <v>957727275</v>
      </c>
      <c r="Y22" s="194">
        <f>资产资本表!Y69</f>
        <v>899676696.4000001</v>
      </c>
      <c r="Z22" s="194">
        <f>资产资本表!Z69</f>
        <v>805589193.66000009</v>
      </c>
      <c r="AA22" s="194">
        <f>资产资本表!AA69</f>
        <v>746864659.91999996</v>
      </c>
      <c r="AB22" s="194">
        <f>资产资本表!AB69</f>
        <v>674293256.69000006</v>
      </c>
      <c r="AC22" s="194">
        <f>资产资本表!AC69</f>
        <v>612642181.50999999</v>
      </c>
      <c r="AD22" s="194">
        <f>资产资本表!AD69</f>
        <v>530972045.5</v>
      </c>
      <c r="AE22" s="194">
        <f>资产资本表!AE69</f>
        <v>548181369.62</v>
      </c>
      <c r="AF22" s="194">
        <f>资产资本表!AF69</f>
        <v>497237630.01999998</v>
      </c>
      <c r="AG22" s="194">
        <f>资产资本表!AG69</f>
        <v>391627113.63</v>
      </c>
      <c r="AH22" s="194">
        <f>资产资本表!AH69</f>
        <v>368229972.41999996</v>
      </c>
      <c r="AI22" s="194">
        <f>资产资本表!AI69</f>
        <v>0</v>
      </c>
      <c r="AJ22" s="194">
        <f>资产资本表!AJ69</f>
        <v>0</v>
      </c>
      <c r="AK22" s="194">
        <f>资产资本表!AK69</f>
        <v>0</v>
      </c>
      <c r="AL22" s="194">
        <f>资产资本表!AL69</f>
        <v>0</v>
      </c>
      <c r="AM22" s="194">
        <f>资产资本表!AM69</f>
        <v>0</v>
      </c>
      <c r="AN22" s="194">
        <f>资产资本表!AN69</f>
        <v>0</v>
      </c>
      <c r="AO22" s="194">
        <f>资产资本表!AO69</f>
        <v>0</v>
      </c>
      <c r="AP22" s="194">
        <f>资产资本表!AP69</f>
        <v>0</v>
      </c>
      <c r="AQ22" s="194">
        <f>资产资本表!AQ69</f>
        <v>0</v>
      </c>
      <c r="AR22" s="194">
        <f>资产资本表!AR69</f>
        <v>0</v>
      </c>
      <c r="AS22" s="194">
        <f>资产资本表!AS69</f>
        <v>0</v>
      </c>
      <c r="AT22" s="194">
        <f>资产资本表!AT69</f>
        <v>0</v>
      </c>
      <c r="AU22" s="194">
        <f>资产资本表!AU69</f>
        <v>0</v>
      </c>
      <c r="AV22" s="194">
        <f>资产资本表!AV69</f>
        <v>0</v>
      </c>
      <c r="AW22" s="194">
        <f>资产资本表!AW69</f>
        <v>0</v>
      </c>
      <c r="AX22" s="194">
        <f>资产资本表!AX69</f>
        <v>0</v>
      </c>
      <c r="AY22" s="194">
        <f>资产资本表!AY69</f>
        <v>0</v>
      </c>
      <c r="AZ22" s="194">
        <f>资产资本表!AZ69</f>
        <v>0</v>
      </c>
      <c r="BA22" s="194">
        <f>资产资本表!BA69</f>
        <v>0</v>
      </c>
      <c r="BB22" s="194">
        <f>资产资本表!BB69</f>
        <v>0</v>
      </c>
      <c r="BC22" s="194">
        <f>资产资本表!BC69</f>
        <v>0</v>
      </c>
      <c r="BD22" s="194">
        <f>资产资本表!BD69</f>
        <v>0</v>
      </c>
      <c r="BE22" s="194">
        <f>资产资本表!BE69</f>
        <v>0</v>
      </c>
      <c r="BF22" s="194">
        <f>资产资本表!BF69</f>
        <v>0</v>
      </c>
      <c r="BG22" s="194">
        <f>资产资本表!BG69</f>
        <v>0</v>
      </c>
      <c r="BH22" s="194">
        <f>资产资本表!BH69</f>
        <v>0</v>
      </c>
      <c r="BI22" s="194">
        <f>资产资本表!BI69</f>
        <v>0</v>
      </c>
      <c r="BJ22" s="194">
        <f>资产资本表!BJ69</f>
        <v>0</v>
      </c>
      <c r="BK22" s="194">
        <f>资产资本表!BK69</f>
        <v>0</v>
      </c>
      <c r="BL22" s="194">
        <f>资产资本表!BL69</f>
        <v>0</v>
      </c>
      <c r="BM22" s="194">
        <f>资产资本表!BM69</f>
        <v>0</v>
      </c>
      <c r="BN22" s="194">
        <f>资产资本表!BN69</f>
        <v>0</v>
      </c>
      <c r="BO22" s="194">
        <f>资产资本表!BO69</f>
        <v>0</v>
      </c>
      <c r="BP22" s="194">
        <f>资产资本表!BP69</f>
        <v>0</v>
      </c>
      <c r="BQ22" s="194">
        <f>资产资本表!BQ69</f>
        <v>0</v>
      </c>
      <c r="BR22" s="194">
        <f>资产资本表!BR69</f>
        <v>0</v>
      </c>
      <c r="BS22" s="194">
        <f>资产资本表!BS69</f>
        <v>0</v>
      </c>
      <c r="BT22" s="194">
        <f>资产资本表!BT69</f>
        <v>0</v>
      </c>
      <c r="BU22" s="194">
        <f>资产资本表!BU69</f>
        <v>0</v>
      </c>
      <c r="BV22" s="194">
        <f>资产资本表!BV69</f>
        <v>0</v>
      </c>
      <c r="BW22" s="194">
        <f>资产资本表!BW69</f>
        <v>0</v>
      </c>
      <c r="BX22" s="194">
        <f>资产资本表!BX69</f>
        <v>0</v>
      </c>
      <c r="BY22" s="194">
        <f>资产资本表!BY69</f>
        <v>0</v>
      </c>
      <c r="BZ22" s="194">
        <f>资产资本表!BZ69</f>
        <v>0</v>
      </c>
      <c r="CA22" s="194">
        <f>资产资本表!CA69</f>
        <v>0</v>
      </c>
      <c r="CB22" s="194">
        <f>资产资本表!CB69</f>
        <v>0</v>
      </c>
      <c r="CC22" s="194">
        <f>资产资本表!CC69</f>
        <v>0</v>
      </c>
      <c r="CD22" s="194">
        <f>资产资本表!CD69</f>
        <v>0</v>
      </c>
      <c r="CE22" s="194">
        <f>资产资本表!CE69</f>
        <v>0</v>
      </c>
      <c r="CF22" s="194">
        <f>资产资本表!CF69</f>
        <v>0</v>
      </c>
      <c r="CG22" s="194">
        <f>资产资本表!CG69</f>
        <v>0</v>
      </c>
      <c r="CH22" s="194">
        <f>资产资本表!CH69</f>
        <v>0</v>
      </c>
      <c r="CI22" s="194">
        <f>资产资本表!CI69</f>
        <v>0</v>
      </c>
      <c r="CJ22" s="194">
        <f>资产资本表!CJ69</f>
        <v>0</v>
      </c>
      <c r="CK22" s="194">
        <f>资产资本表!CK69</f>
        <v>0</v>
      </c>
    </row>
    <row r="23" spans="1:89" s="247" customFormat="1" x14ac:dyDescent="0.25">
      <c r="A23" s="246" t="s">
        <v>690</v>
      </c>
      <c r="E23" s="247">
        <f>E19/E22</f>
        <v>0.71454121474576682</v>
      </c>
      <c r="F23" s="247">
        <f t="shared" ref="F23:BQ23" si="8">F19/F22</f>
        <v>0.53727125717611335</v>
      </c>
      <c r="G23" s="247">
        <f t="shared" si="8"/>
        <v>0.38443984591777669</v>
      </c>
      <c r="H23" s="247">
        <f t="shared" si="8"/>
        <v>0.19153652384172365</v>
      </c>
      <c r="I23" s="247">
        <f t="shared" si="8"/>
        <v>0.55091908465895612</v>
      </c>
      <c r="J23" s="247">
        <f t="shared" si="8"/>
        <v>0.41640854300495456</v>
      </c>
      <c r="K23" s="247">
        <f t="shared" si="8"/>
        <v>0.28818175395236151</v>
      </c>
      <c r="L23" s="247">
        <f t="shared" si="8"/>
        <v>0.1562900893492051</v>
      </c>
      <c r="M23" s="247">
        <f t="shared" si="8"/>
        <v>0.86944616466864078</v>
      </c>
      <c r="N23" s="247">
        <f t="shared" si="8"/>
        <v>0.57475332843860627</v>
      </c>
      <c r="O23" s="247">
        <f t="shared" si="8"/>
        <v>0.34968336912630038</v>
      </c>
      <c r="P23" s="247">
        <f t="shared" si="8"/>
        <v>0.2279824062975867</v>
      </c>
      <c r="Q23" s="247">
        <f t="shared" si="8"/>
        <v>0.91448936377403633</v>
      </c>
      <c r="R23" s="247">
        <f t="shared" si="8"/>
        <v>0.63968627782107523</v>
      </c>
      <c r="S23" s="247">
        <f t="shared" si="8"/>
        <v>0.39232720361637802</v>
      </c>
      <c r="T23" s="247">
        <f t="shared" si="8"/>
        <v>0.18311340924199507</v>
      </c>
      <c r="U23" s="247">
        <f t="shared" si="8"/>
        <v>0.92743565242642123</v>
      </c>
      <c r="V23" s="247">
        <f t="shared" si="8"/>
        <v>0.69535858695869468</v>
      </c>
      <c r="W23" s="247">
        <f t="shared" si="8"/>
        <v>0.48424998509481909</v>
      </c>
      <c r="X23" s="247">
        <f t="shared" si="8"/>
        <v>0.23108373417683026</v>
      </c>
      <c r="Y23" s="247">
        <f t="shared" si="8"/>
        <v>0.87762395094754164</v>
      </c>
      <c r="Z23" s="247">
        <f t="shared" si="8"/>
        <v>0.66952322192846825</v>
      </c>
      <c r="AA23" s="247">
        <f t="shared" si="8"/>
        <v>0.52857166601280314</v>
      </c>
      <c r="AB23" s="247">
        <f t="shared" si="8"/>
        <v>0.2634347070323213</v>
      </c>
      <c r="AC23" s="247">
        <f t="shared" si="8"/>
        <v>1.3386126313384019</v>
      </c>
      <c r="AD23" s="247">
        <f t="shared" si="8"/>
        <v>1.2071286828601977</v>
      </c>
      <c r="AE23" s="247">
        <f t="shared" si="8"/>
        <v>0.85592588194898311</v>
      </c>
      <c r="AF23" s="247">
        <f t="shared" si="8"/>
        <v>0.41422934525634236</v>
      </c>
      <c r="AG23" s="247">
        <f t="shared" si="8"/>
        <v>1.8682637785678384</v>
      </c>
      <c r="AH23" s="247">
        <f t="shared" si="8"/>
        <v>1.461634186709043</v>
      </c>
      <c r="AI23" s="247" t="e">
        <f t="shared" si="8"/>
        <v>#DIV/0!</v>
      </c>
      <c r="AJ23" s="247" t="e">
        <f t="shared" si="8"/>
        <v>#DIV/0!</v>
      </c>
      <c r="AK23" s="247" t="e">
        <f t="shared" si="8"/>
        <v>#DIV/0!</v>
      </c>
      <c r="AL23" s="247" t="e">
        <f t="shared" si="8"/>
        <v>#DIV/0!</v>
      </c>
      <c r="AM23" s="247" t="e">
        <f t="shared" si="8"/>
        <v>#DIV/0!</v>
      </c>
      <c r="AN23" s="247" t="e">
        <f t="shared" si="8"/>
        <v>#DIV/0!</v>
      </c>
      <c r="AO23" s="247" t="e">
        <f t="shared" si="8"/>
        <v>#DIV/0!</v>
      </c>
      <c r="AP23" s="247" t="e">
        <f t="shared" si="8"/>
        <v>#DIV/0!</v>
      </c>
      <c r="AQ23" s="247" t="e">
        <f t="shared" si="8"/>
        <v>#DIV/0!</v>
      </c>
      <c r="AR23" s="247" t="e">
        <f t="shared" si="8"/>
        <v>#DIV/0!</v>
      </c>
      <c r="AS23" s="247" t="e">
        <f t="shared" si="8"/>
        <v>#DIV/0!</v>
      </c>
      <c r="AT23" s="247" t="e">
        <f t="shared" si="8"/>
        <v>#DIV/0!</v>
      </c>
      <c r="AU23" s="247" t="e">
        <f t="shared" si="8"/>
        <v>#DIV/0!</v>
      </c>
      <c r="AV23" s="247" t="e">
        <f t="shared" si="8"/>
        <v>#DIV/0!</v>
      </c>
      <c r="AW23" s="247" t="e">
        <f t="shared" si="8"/>
        <v>#DIV/0!</v>
      </c>
      <c r="AX23" s="247" t="e">
        <f t="shared" si="8"/>
        <v>#DIV/0!</v>
      </c>
      <c r="AY23" s="247" t="e">
        <f t="shared" si="8"/>
        <v>#DIV/0!</v>
      </c>
      <c r="AZ23" s="247" t="e">
        <f t="shared" si="8"/>
        <v>#DIV/0!</v>
      </c>
      <c r="BA23" s="247" t="e">
        <f t="shared" si="8"/>
        <v>#DIV/0!</v>
      </c>
      <c r="BB23" s="247" t="e">
        <f t="shared" si="8"/>
        <v>#DIV/0!</v>
      </c>
      <c r="BC23" s="247" t="e">
        <f t="shared" si="8"/>
        <v>#DIV/0!</v>
      </c>
      <c r="BD23" s="247" t="e">
        <f t="shared" si="8"/>
        <v>#DIV/0!</v>
      </c>
      <c r="BE23" s="247" t="e">
        <f t="shared" si="8"/>
        <v>#DIV/0!</v>
      </c>
      <c r="BF23" s="247" t="e">
        <f t="shared" si="8"/>
        <v>#DIV/0!</v>
      </c>
      <c r="BG23" s="247" t="e">
        <f t="shared" si="8"/>
        <v>#DIV/0!</v>
      </c>
      <c r="BH23" s="247" t="e">
        <f t="shared" si="8"/>
        <v>#DIV/0!</v>
      </c>
      <c r="BI23" s="247" t="e">
        <f t="shared" si="8"/>
        <v>#DIV/0!</v>
      </c>
      <c r="BJ23" s="247" t="e">
        <f t="shared" si="8"/>
        <v>#DIV/0!</v>
      </c>
      <c r="BK23" s="247" t="e">
        <f t="shared" si="8"/>
        <v>#DIV/0!</v>
      </c>
      <c r="BL23" s="247" t="e">
        <f t="shared" si="8"/>
        <v>#DIV/0!</v>
      </c>
      <c r="BM23" s="247" t="e">
        <f t="shared" si="8"/>
        <v>#DIV/0!</v>
      </c>
      <c r="BN23" s="247" t="e">
        <f t="shared" si="8"/>
        <v>#DIV/0!</v>
      </c>
      <c r="BO23" s="247" t="e">
        <f t="shared" si="8"/>
        <v>#DIV/0!</v>
      </c>
      <c r="BP23" s="247" t="e">
        <f t="shared" si="8"/>
        <v>#DIV/0!</v>
      </c>
      <c r="BQ23" s="247" t="e">
        <f t="shared" si="8"/>
        <v>#DIV/0!</v>
      </c>
      <c r="BR23" s="247" t="e">
        <f t="shared" ref="BR23:CK23" si="9">BR19/BR22</f>
        <v>#DIV/0!</v>
      </c>
      <c r="BS23" s="247" t="e">
        <f t="shared" si="9"/>
        <v>#DIV/0!</v>
      </c>
      <c r="BT23" s="247" t="e">
        <f t="shared" si="9"/>
        <v>#DIV/0!</v>
      </c>
      <c r="BU23" s="247" t="e">
        <f t="shared" si="9"/>
        <v>#DIV/0!</v>
      </c>
      <c r="BV23" s="247" t="e">
        <f t="shared" si="9"/>
        <v>#DIV/0!</v>
      </c>
      <c r="BW23" s="247" t="e">
        <f t="shared" si="9"/>
        <v>#DIV/0!</v>
      </c>
      <c r="BX23" s="247" t="e">
        <f t="shared" si="9"/>
        <v>#DIV/0!</v>
      </c>
      <c r="BY23" s="247" t="e">
        <f t="shared" si="9"/>
        <v>#DIV/0!</v>
      </c>
      <c r="BZ23" s="247" t="e">
        <f t="shared" si="9"/>
        <v>#DIV/0!</v>
      </c>
      <c r="CA23" s="247" t="e">
        <f t="shared" si="9"/>
        <v>#DIV/0!</v>
      </c>
      <c r="CB23" s="247" t="e">
        <f t="shared" si="9"/>
        <v>#DIV/0!</v>
      </c>
      <c r="CC23" s="247" t="e">
        <f t="shared" si="9"/>
        <v>#DIV/0!</v>
      </c>
      <c r="CD23" s="247" t="e">
        <f t="shared" si="9"/>
        <v>#DIV/0!</v>
      </c>
      <c r="CE23" s="247" t="e">
        <f t="shared" si="9"/>
        <v>#DIV/0!</v>
      </c>
      <c r="CF23" s="247" t="e">
        <f t="shared" si="9"/>
        <v>#DIV/0!</v>
      </c>
      <c r="CG23" s="247" t="e">
        <f t="shared" si="9"/>
        <v>#DIV/0!</v>
      </c>
      <c r="CH23" s="247" t="e">
        <f t="shared" si="9"/>
        <v>#DIV/0!</v>
      </c>
      <c r="CI23" s="247" t="e">
        <f t="shared" si="9"/>
        <v>#DIV/0!</v>
      </c>
      <c r="CJ23" s="247" t="e">
        <f t="shared" si="9"/>
        <v>#DIV/0!</v>
      </c>
      <c r="CK23" s="247" t="e">
        <f t="shared" si="9"/>
        <v>#DIV/0!</v>
      </c>
    </row>
    <row r="24" spans="1:89" s="162" customFormat="1" ht="15" thickBot="1" x14ac:dyDescent="0.3">
      <c r="A24" s="161" t="s">
        <v>697</v>
      </c>
      <c r="E24" s="162">
        <f>E21*E23</f>
        <v>0.12813772898693421</v>
      </c>
      <c r="F24" s="162">
        <f t="shared" ref="F24:BQ24" si="10">F21*F23</f>
        <v>0.10731276810379006</v>
      </c>
      <c r="G24" s="162">
        <f t="shared" si="10"/>
        <v>7.7892018661074328E-2</v>
      </c>
      <c r="H24" s="162">
        <f t="shared" si="10"/>
        <v>3.7014842508161262E-2</v>
      </c>
      <c r="I24" s="162">
        <f t="shared" si="10"/>
        <v>0.10361691240084005</v>
      </c>
      <c r="J24" s="162">
        <f t="shared" si="10"/>
        <v>9.0027004104640887E-2</v>
      </c>
      <c r="K24" s="162">
        <f t="shared" si="10"/>
        <v>6.596718831986316E-2</v>
      </c>
      <c r="L24" s="162">
        <f t="shared" si="10"/>
        <v>3.9028205736208965E-2</v>
      </c>
      <c r="M24" s="162">
        <f t="shared" si="10"/>
        <v>0.12266778067609398</v>
      </c>
      <c r="N24" s="162">
        <f t="shared" si="10"/>
        <v>8.4017262091553538E-2</v>
      </c>
      <c r="O24" s="162">
        <f t="shared" si="10"/>
        <v>3.8504070798985622E-2</v>
      </c>
      <c r="P24" s="162">
        <f t="shared" si="10"/>
        <v>2.2647025448896699E-2</v>
      </c>
      <c r="Q24" s="162">
        <f t="shared" si="10"/>
        <v>8.8548531630217892E-2</v>
      </c>
      <c r="R24" s="162">
        <f t="shared" si="10"/>
        <v>6.2007359493328473E-2</v>
      </c>
      <c r="S24" s="162">
        <f t="shared" si="10"/>
        <v>3.361467955619428E-2</v>
      </c>
      <c r="T24" s="162">
        <f t="shared" si="10"/>
        <v>1.8061197274763983E-2</v>
      </c>
      <c r="U24" s="162">
        <f t="shared" si="10"/>
        <v>0.14525826823240487</v>
      </c>
      <c r="V24" s="162">
        <f t="shared" si="10"/>
        <v>0.1097042425812301</v>
      </c>
      <c r="W24" s="162">
        <f t="shared" si="10"/>
        <v>7.7930742614218729E-2</v>
      </c>
      <c r="X24" s="162">
        <f t="shared" si="10"/>
        <v>3.8383547403930844E-2</v>
      </c>
      <c r="Y24" s="162">
        <f t="shared" si="10"/>
        <v>0.13538880231909936</v>
      </c>
      <c r="Z24" s="162">
        <f t="shared" si="10"/>
        <v>0.11544937367823331</v>
      </c>
      <c r="AA24" s="162">
        <f t="shared" si="10"/>
        <v>0.10726567473226173</v>
      </c>
      <c r="AB24" s="162">
        <f t="shared" si="10"/>
        <v>5.0413281228508744E-2</v>
      </c>
      <c r="AC24" s="162">
        <f t="shared" si="10"/>
        <v>0.25069453014392706</v>
      </c>
      <c r="AD24" s="162">
        <f t="shared" si="10"/>
        <v>0.24663899568701483</v>
      </c>
      <c r="AE24" s="162">
        <f t="shared" si="10"/>
        <v>0.17759108577054453</v>
      </c>
      <c r="AF24" s="162">
        <f t="shared" si="10"/>
        <v>7.8798667205504991E-2</v>
      </c>
      <c r="AG24" s="162">
        <f t="shared" si="10"/>
        <v>0.31420213373238204</v>
      </c>
      <c r="AH24" s="162">
        <f t="shared" si="10"/>
        <v>0.25305986638620187</v>
      </c>
      <c r="AI24" s="162" t="e">
        <f t="shared" si="10"/>
        <v>#DIV/0!</v>
      </c>
      <c r="AJ24" s="162" t="e">
        <f t="shared" si="10"/>
        <v>#DIV/0!</v>
      </c>
      <c r="AK24" s="162" t="e">
        <f t="shared" si="10"/>
        <v>#DIV/0!</v>
      </c>
      <c r="AL24" s="162" t="e">
        <f t="shared" si="10"/>
        <v>#DIV/0!</v>
      </c>
      <c r="AM24" s="162" t="e">
        <f t="shared" si="10"/>
        <v>#DIV/0!</v>
      </c>
      <c r="AN24" s="162" t="e">
        <f t="shared" si="10"/>
        <v>#DIV/0!</v>
      </c>
      <c r="AO24" s="162" t="e">
        <f t="shared" si="10"/>
        <v>#DIV/0!</v>
      </c>
      <c r="AP24" s="162" t="e">
        <f t="shared" si="10"/>
        <v>#DIV/0!</v>
      </c>
      <c r="AQ24" s="162" t="e">
        <f t="shared" si="10"/>
        <v>#DIV/0!</v>
      </c>
      <c r="AR24" s="162" t="e">
        <f t="shared" si="10"/>
        <v>#DIV/0!</v>
      </c>
      <c r="AS24" s="162" t="e">
        <f t="shared" si="10"/>
        <v>#DIV/0!</v>
      </c>
      <c r="AT24" s="162" t="e">
        <f t="shared" si="10"/>
        <v>#DIV/0!</v>
      </c>
      <c r="AU24" s="162" t="e">
        <f t="shared" si="10"/>
        <v>#DIV/0!</v>
      </c>
      <c r="AV24" s="162" t="e">
        <f t="shared" si="10"/>
        <v>#DIV/0!</v>
      </c>
      <c r="AW24" s="162" t="e">
        <f t="shared" si="10"/>
        <v>#DIV/0!</v>
      </c>
      <c r="AX24" s="162" t="e">
        <f t="shared" si="10"/>
        <v>#DIV/0!</v>
      </c>
      <c r="AY24" s="162" t="e">
        <f t="shared" si="10"/>
        <v>#DIV/0!</v>
      </c>
      <c r="AZ24" s="162" t="e">
        <f t="shared" si="10"/>
        <v>#DIV/0!</v>
      </c>
      <c r="BA24" s="162" t="e">
        <f t="shared" si="10"/>
        <v>#DIV/0!</v>
      </c>
      <c r="BB24" s="162" t="e">
        <f t="shared" si="10"/>
        <v>#DIV/0!</v>
      </c>
      <c r="BC24" s="162" t="e">
        <f t="shared" si="10"/>
        <v>#DIV/0!</v>
      </c>
      <c r="BD24" s="162" t="e">
        <f t="shared" si="10"/>
        <v>#DIV/0!</v>
      </c>
      <c r="BE24" s="162" t="e">
        <f t="shared" si="10"/>
        <v>#DIV/0!</v>
      </c>
      <c r="BF24" s="162" t="e">
        <f t="shared" si="10"/>
        <v>#DIV/0!</v>
      </c>
      <c r="BG24" s="162" t="e">
        <f t="shared" si="10"/>
        <v>#DIV/0!</v>
      </c>
      <c r="BH24" s="162" t="e">
        <f t="shared" si="10"/>
        <v>#DIV/0!</v>
      </c>
      <c r="BI24" s="162" t="e">
        <f t="shared" si="10"/>
        <v>#DIV/0!</v>
      </c>
      <c r="BJ24" s="162" t="e">
        <f t="shared" si="10"/>
        <v>#DIV/0!</v>
      </c>
      <c r="BK24" s="162" t="e">
        <f t="shared" si="10"/>
        <v>#DIV/0!</v>
      </c>
      <c r="BL24" s="162" t="e">
        <f t="shared" si="10"/>
        <v>#DIV/0!</v>
      </c>
      <c r="BM24" s="162" t="e">
        <f t="shared" si="10"/>
        <v>#DIV/0!</v>
      </c>
      <c r="BN24" s="162" t="e">
        <f t="shared" si="10"/>
        <v>#DIV/0!</v>
      </c>
      <c r="BO24" s="162" t="e">
        <f t="shared" si="10"/>
        <v>#DIV/0!</v>
      </c>
      <c r="BP24" s="162" t="e">
        <f t="shared" si="10"/>
        <v>#DIV/0!</v>
      </c>
      <c r="BQ24" s="162" t="e">
        <f t="shared" si="10"/>
        <v>#DIV/0!</v>
      </c>
      <c r="BR24" s="162" t="e">
        <f t="shared" ref="BR24:CK24" si="11">BR21*BR23</f>
        <v>#DIV/0!</v>
      </c>
      <c r="BS24" s="162" t="e">
        <f t="shared" si="11"/>
        <v>#DIV/0!</v>
      </c>
      <c r="BT24" s="162" t="e">
        <f t="shared" si="11"/>
        <v>#DIV/0!</v>
      </c>
      <c r="BU24" s="162" t="e">
        <f t="shared" si="11"/>
        <v>#DIV/0!</v>
      </c>
      <c r="BV24" s="162" t="e">
        <f t="shared" si="11"/>
        <v>#DIV/0!</v>
      </c>
      <c r="BW24" s="162" t="e">
        <f t="shared" si="11"/>
        <v>#DIV/0!</v>
      </c>
      <c r="BX24" s="162" t="e">
        <f t="shared" si="11"/>
        <v>#DIV/0!</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49" customFormat="1" x14ac:dyDescent="0.25">
      <c r="A25" s="248"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8" t="s">
        <v>443</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6" t="s">
        <v>699</v>
      </c>
      <c r="B29" s="277"/>
      <c r="C29" s="277"/>
      <c r="D29" s="277"/>
      <c r="E29" s="277"/>
      <c r="F29" s="277"/>
      <c r="G29" s="277"/>
      <c r="H29" s="277"/>
      <c r="I29" s="277"/>
      <c r="J29" s="277"/>
      <c r="K29" s="277"/>
      <c r="L29" s="277"/>
      <c r="M29" s="277"/>
      <c r="N29" s="277"/>
      <c r="O29" s="277"/>
      <c r="P29" s="277"/>
      <c r="Q29" s="277"/>
      <c r="R29" s="277"/>
      <c r="S29" s="277"/>
      <c r="T29" s="277"/>
      <c r="U29" s="277"/>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8" t="s">
        <v>450</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5" t="s">
        <v>700</v>
      </c>
      <c r="B45" s="274"/>
      <c r="C45" s="274"/>
      <c r="D45" s="274"/>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row>
    <row r="46" spans="1:89" s="57" customFormat="1" x14ac:dyDescent="0.25">
      <c r="A46" s="57" t="s">
        <v>701</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8" t="s">
        <v>464</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5" t="s">
        <v>698</v>
      </c>
      <c r="B58" s="274"/>
      <c r="C58" s="274"/>
      <c r="D58" s="274"/>
      <c r="E58" s="274"/>
      <c r="F58" s="274"/>
      <c r="G58" s="274"/>
      <c r="H58" s="274"/>
      <c r="I58" s="274"/>
      <c r="J58" s="274"/>
      <c r="K58" s="274"/>
      <c r="L58" s="274"/>
      <c r="M58" s="274"/>
      <c r="N58" s="274"/>
      <c r="O58" s="274"/>
      <c r="P58" s="274"/>
      <c r="Q58" s="274"/>
      <c r="R58" s="274"/>
      <c r="S58" s="274"/>
      <c r="T58" s="274"/>
      <c r="U58" s="274"/>
      <c r="V58" s="274"/>
      <c r="W58" s="274"/>
      <c r="X58" s="274"/>
      <c r="Y58" s="274"/>
      <c r="Z58" s="274"/>
      <c r="AA58" s="274"/>
      <c r="AB58" s="274"/>
      <c r="AC58" s="274"/>
      <c r="AD58" s="274"/>
      <c r="AE58" s="274"/>
      <c r="AF58" s="274"/>
      <c r="AG58" s="274"/>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696</v>
      </c>
      <c r="E65" s="156">
        <f>E63/(E64+I64)*2</f>
        <v>7.2526410616260888</v>
      </c>
      <c r="F65" s="156">
        <f t="shared" ref="F65:BQ65" si="28">F63/(F64+J64)*2</f>
        <v>6.2056170084476943</v>
      </c>
      <c r="G65" s="156">
        <f t="shared" si="28"/>
        <v>3.7494019397969018</v>
      </c>
      <c r="H65" s="156">
        <f t="shared" si="28"/>
        <v>2.1706029749434137</v>
      </c>
      <c r="I65" s="156">
        <f t="shared" si="28"/>
        <v>6.9927350345226573</v>
      </c>
      <c r="J65" s="156">
        <f t="shared" si="28"/>
        <v>7.9838409110178583</v>
      </c>
      <c r="K65" s="156">
        <f t="shared" si="28"/>
        <v>4.5545140516167368</v>
      </c>
      <c r="L65" s="156">
        <f t="shared" si="28"/>
        <v>2.5426799508462521</v>
      </c>
      <c r="M65" s="156">
        <f t="shared" si="28"/>
        <v>7.9719061940700531</v>
      </c>
      <c r="N65" s="156">
        <f t="shared" si="28"/>
        <v>9.4890076918921853</v>
      </c>
      <c r="O65" s="156">
        <f t="shared" si="28"/>
        <v>4.870910585142858</v>
      </c>
      <c r="P65" s="156">
        <f t="shared" si="28"/>
        <v>2.7697395870711516</v>
      </c>
      <c r="Q65" s="156">
        <f t="shared" si="28"/>
        <v>6.5552465578794337</v>
      </c>
      <c r="R65" s="156">
        <f t="shared" si="28"/>
        <v>5.1713410617323294</v>
      </c>
      <c r="S65" s="156">
        <f t="shared" si="28"/>
        <v>2.962146194501488</v>
      </c>
      <c r="T65" s="156">
        <f t="shared" si="28"/>
        <v>1.481834899629257</v>
      </c>
      <c r="U65" s="156">
        <f t="shared" si="28"/>
        <v>7.1774869016272627</v>
      </c>
      <c r="V65" s="156">
        <f t="shared" si="28"/>
        <v>6.0677339624501228</v>
      </c>
      <c r="W65" s="156">
        <f t="shared" si="28"/>
        <v>3.5194704926958442</v>
      </c>
      <c r="X65" s="156">
        <f t="shared" si="28"/>
        <v>1.7818340805671766</v>
      </c>
      <c r="Y65" s="156">
        <f t="shared" si="28"/>
        <v>7.9334837519634718</v>
      </c>
      <c r="Z65" s="156">
        <f t="shared" si="28"/>
        <v>8.9795766067065976</v>
      </c>
      <c r="AA65" s="156">
        <f t="shared" si="28"/>
        <v>3.8324295022606369</v>
      </c>
      <c r="AB65" s="156">
        <f t="shared" si="28"/>
        <v>2.1071719397400339</v>
      </c>
      <c r="AC65" s="156">
        <f t="shared" si="28"/>
        <v>12.326178527586567</v>
      </c>
      <c r="AD65" s="156">
        <f t="shared" si="28"/>
        <v>23.202054995804019</v>
      </c>
      <c r="AE65" s="156">
        <f t="shared" si="28"/>
        <v>12.714106685555389</v>
      </c>
      <c r="AF65" s="156">
        <f t="shared" si="28"/>
        <v>7.180481070833606</v>
      </c>
      <c r="AG65" s="156">
        <f t="shared" si="28"/>
        <v>22.959016936961827</v>
      </c>
      <c r="AH65" s="156">
        <f t="shared" si="28"/>
        <v>37.592491072629215</v>
      </c>
      <c r="AI65" s="156" t="e">
        <f t="shared" si="28"/>
        <v>#DIV/0!</v>
      </c>
      <c r="AJ65" s="156" t="e">
        <f t="shared" si="28"/>
        <v>#DIV/0!</v>
      </c>
      <c r="AK65" s="156" t="e">
        <f t="shared" si="28"/>
        <v>#DIV/0!</v>
      </c>
      <c r="AL65" s="156" t="e">
        <f t="shared" si="28"/>
        <v>#DIV/0!</v>
      </c>
      <c r="AM65" s="156" t="e">
        <f t="shared" si="28"/>
        <v>#DIV/0!</v>
      </c>
      <c r="AN65" s="156" t="e">
        <f t="shared" si="28"/>
        <v>#DIV/0!</v>
      </c>
      <c r="AO65" s="156" t="e">
        <f t="shared" si="28"/>
        <v>#DIV/0!</v>
      </c>
      <c r="AP65" s="156" t="e">
        <f t="shared" si="28"/>
        <v>#DIV/0!</v>
      </c>
      <c r="AQ65" s="156" t="e">
        <f t="shared" si="28"/>
        <v>#DIV/0!</v>
      </c>
      <c r="AR65" s="156" t="e">
        <f t="shared" si="28"/>
        <v>#DIV/0!</v>
      </c>
      <c r="AS65" s="156" t="e">
        <f t="shared" si="28"/>
        <v>#DIV/0!</v>
      </c>
      <c r="AT65" s="156" t="e">
        <f t="shared" si="28"/>
        <v>#DIV/0!</v>
      </c>
      <c r="AU65" s="156" t="e">
        <f t="shared" si="28"/>
        <v>#DIV/0!</v>
      </c>
      <c r="AV65" s="156" t="e">
        <f t="shared" si="28"/>
        <v>#DIV/0!</v>
      </c>
      <c r="AW65" s="156" t="e">
        <f t="shared" si="28"/>
        <v>#DIV/0!</v>
      </c>
      <c r="AX65" s="156" t="e">
        <f t="shared" si="28"/>
        <v>#DIV/0!</v>
      </c>
      <c r="AY65" s="156" t="e">
        <f t="shared" si="28"/>
        <v>#DIV/0!</v>
      </c>
      <c r="AZ65" s="156" t="e">
        <f t="shared" si="28"/>
        <v>#DIV/0!</v>
      </c>
      <c r="BA65" s="156" t="e">
        <f t="shared" si="28"/>
        <v>#DIV/0!</v>
      </c>
      <c r="BB65" s="156" t="e">
        <f t="shared" si="28"/>
        <v>#DIV/0!</v>
      </c>
      <c r="BC65" s="156" t="e">
        <f t="shared" si="28"/>
        <v>#DIV/0!</v>
      </c>
      <c r="BD65" s="156" t="e">
        <f t="shared" si="28"/>
        <v>#DIV/0!</v>
      </c>
      <c r="BE65" s="156" t="e">
        <f t="shared" si="28"/>
        <v>#DIV/0!</v>
      </c>
      <c r="BF65" s="156" t="e">
        <f t="shared" si="28"/>
        <v>#DIV/0!</v>
      </c>
      <c r="BG65" s="156" t="e">
        <f t="shared" si="28"/>
        <v>#DIV/0!</v>
      </c>
      <c r="BH65" s="156" t="e">
        <f t="shared" si="28"/>
        <v>#DIV/0!</v>
      </c>
      <c r="BI65" s="156" t="e">
        <f t="shared" si="28"/>
        <v>#DIV/0!</v>
      </c>
      <c r="BJ65" s="156" t="e">
        <f t="shared" si="28"/>
        <v>#DIV/0!</v>
      </c>
      <c r="BK65" s="156" t="e">
        <f t="shared" si="28"/>
        <v>#DIV/0!</v>
      </c>
      <c r="BL65" s="156" t="e">
        <f t="shared" si="28"/>
        <v>#DIV/0!</v>
      </c>
      <c r="BM65" s="156" t="e">
        <f t="shared" si="28"/>
        <v>#DIV/0!</v>
      </c>
      <c r="BN65" s="156" t="e">
        <f t="shared" si="28"/>
        <v>#DIV/0!</v>
      </c>
      <c r="BO65" s="156" t="e">
        <f t="shared" si="28"/>
        <v>#DIV/0!</v>
      </c>
      <c r="BP65" s="156" t="e">
        <f t="shared" si="28"/>
        <v>#DIV/0!</v>
      </c>
      <c r="BQ65" s="156" t="e">
        <f t="shared" si="28"/>
        <v>#DIV/0!</v>
      </c>
      <c r="BR65" s="156" t="e">
        <f t="shared" ref="BR65:CK65" si="29">BR63/(BR64+BV64)*2</f>
        <v>#DIV/0!</v>
      </c>
      <c r="BS65" s="156" t="e">
        <f t="shared" si="29"/>
        <v>#DIV/0!</v>
      </c>
      <c r="BT65" s="156" t="e">
        <f t="shared" si="29"/>
        <v>#DIV/0!</v>
      </c>
      <c r="BU65" s="156" t="e">
        <f t="shared" si="29"/>
        <v>#DIV/0!</v>
      </c>
      <c r="BV65" s="156" t="e">
        <f t="shared" si="29"/>
        <v>#DIV/0!</v>
      </c>
      <c r="BW65" s="156" t="e">
        <f t="shared" si="29"/>
        <v>#DIV/0!</v>
      </c>
      <c r="BX65" s="156" t="e">
        <f t="shared" si="29"/>
        <v>#DIV/0!</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2.1333258777030886</v>
      </c>
      <c r="F69" s="156">
        <f t="shared" ref="F69:BQ69" si="32">F67/(F68+J68)*2</f>
        <v>1.5987905743719737</v>
      </c>
      <c r="G69" s="156">
        <f t="shared" si="32"/>
        <v>1.2399419811724857</v>
      </c>
      <c r="H69" s="156">
        <f t="shared" si="32"/>
        <v>0.65030352795091773</v>
      </c>
      <c r="I69" s="156">
        <f t="shared" si="32"/>
        <v>2.0106394856660836</v>
      </c>
      <c r="J69" s="156">
        <f t="shared" si="32"/>
        <v>1.3793707410677265</v>
      </c>
      <c r="K69" s="156">
        <f t="shared" si="32"/>
        <v>1.0674911141086745</v>
      </c>
      <c r="L69" s="156">
        <f t="shared" si="32"/>
        <v>0.60489258963434334</v>
      </c>
      <c r="M69" s="156">
        <f t="shared" si="32"/>
        <v>3.1521268136349385</v>
      </c>
      <c r="N69" s="156">
        <f t="shared" si="32"/>
        <v>1.7673845741500236</v>
      </c>
      <c r="O69" s="156">
        <f t="shared" si="32"/>
        <v>1.2066699143254915</v>
      </c>
      <c r="P69" s="156">
        <f t="shared" si="32"/>
        <v>0.54773279450627588</v>
      </c>
      <c r="Q69" s="156">
        <f t="shared" si="32"/>
        <v>2.6707803155030505</v>
      </c>
      <c r="R69" s="156">
        <f t="shared" si="32"/>
        <v>1.7332348005756477</v>
      </c>
      <c r="S69" s="156">
        <f t="shared" si="32"/>
        <v>1.122758667864814</v>
      </c>
      <c r="T69" s="156">
        <f t="shared" si="32"/>
        <v>0.48010894220890632</v>
      </c>
      <c r="U69" s="156">
        <f t="shared" si="32"/>
        <v>2.476622132980689</v>
      </c>
      <c r="V69" s="156">
        <f t="shared" si="32"/>
        <v>1.9577995419757974</v>
      </c>
      <c r="W69" s="156">
        <f t="shared" si="32"/>
        <v>1.4010696883351141</v>
      </c>
      <c r="X69" s="156">
        <f t="shared" si="32"/>
        <v>0.62860311782540657</v>
      </c>
      <c r="Y69" s="156">
        <f t="shared" si="32"/>
        <v>2.1702000287545542</v>
      </c>
      <c r="Z69" s="156">
        <f t="shared" si="32"/>
        <v>1.5366130730679013</v>
      </c>
      <c r="AA69" s="156">
        <f t="shared" si="32"/>
        <v>1.1866247786274333</v>
      </c>
      <c r="AB69" s="156">
        <f t="shared" si="32"/>
        <v>0.52855848139339445</v>
      </c>
      <c r="AC69" s="156">
        <f t="shared" si="32"/>
        <v>2.5255534795137815</v>
      </c>
      <c r="AD69" s="156">
        <f t="shared" si="32"/>
        <v>1.7853222013940646</v>
      </c>
      <c r="AE69" s="156">
        <f t="shared" si="32"/>
        <v>2.7611122643718078</v>
      </c>
      <c r="AF69" s="156">
        <f t="shared" si="32"/>
        <v>1.1848796865998652</v>
      </c>
      <c r="AG69" s="156">
        <f t="shared" si="32"/>
        <v>5.0862848210768181</v>
      </c>
      <c r="AH69" s="156">
        <f t="shared" si="32"/>
        <v>3.2774886741752951</v>
      </c>
      <c r="AI69" s="156" t="e">
        <f t="shared" si="32"/>
        <v>#DIV/0!</v>
      </c>
      <c r="AJ69" s="156" t="e">
        <f t="shared" si="32"/>
        <v>#DIV/0!</v>
      </c>
      <c r="AK69" s="156" t="e">
        <f t="shared" si="32"/>
        <v>#DIV/0!</v>
      </c>
      <c r="AL69" s="156" t="e">
        <f t="shared" si="32"/>
        <v>#DIV/0!</v>
      </c>
      <c r="AM69" s="156" t="e">
        <f t="shared" si="32"/>
        <v>#DIV/0!</v>
      </c>
      <c r="AN69" s="156" t="e">
        <f t="shared" si="32"/>
        <v>#DIV/0!</v>
      </c>
      <c r="AO69" s="156" t="e">
        <f t="shared" si="32"/>
        <v>#DIV/0!</v>
      </c>
      <c r="AP69" s="156" t="e">
        <f t="shared" si="32"/>
        <v>#DIV/0!</v>
      </c>
      <c r="AQ69" s="156" t="e">
        <f t="shared" si="32"/>
        <v>#DIV/0!</v>
      </c>
      <c r="AR69" s="156" t="e">
        <f t="shared" si="32"/>
        <v>#DIV/0!</v>
      </c>
      <c r="AS69" s="156" t="e">
        <f t="shared" si="32"/>
        <v>#DIV/0!</v>
      </c>
      <c r="AT69" s="156" t="e">
        <f t="shared" si="32"/>
        <v>#DIV/0!</v>
      </c>
      <c r="AU69" s="156" t="e">
        <f t="shared" si="32"/>
        <v>#DIV/0!</v>
      </c>
      <c r="AV69" s="156" t="e">
        <f t="shared" si="32"/>
        <v>#DIV/0!</v>
      </c>
      <c r="AW69" s="156" t="e">
        <f t="shared" si="32"/>
        <v>#DIV/0!</v>
      </c>
      <c r="AX69" s="156" t="e">
        <f t="shared" si="32"/>
        <v>#DIV/0!</v>
      </c>
      <c r="AY69" s="156" t="e">
        <f t="shared" si="32"/>
        <v>#DIV/0!</v>
      </c>
      <c r="AZ69" s="156" t="e">
        <f t="shared" si="32"/>
        <v>#DIV/0!</v>
      </c>
      <c r="BA69" s="156" t="e">
        <f t="shared" si="32"/>
        <v>#DIV/0!</v>
      </c>
      <c r="BB69" s="156" t="e">
        <f t="shared" si="32"/>
        <v>#DIV/0!</v>
      </c>
      <c r="BC69" s="156" t="e">
        <f t="shared" si="32"/>
        <v>#DIV/0!</v>
      </c>
      <c r="BD69" s="156" t="e">
        <f t="shared" si="32"/>
        <v>#DIV/0!</v>
      </c>
      <c r="BE69" s="156" t="e">
        <f t="shared" si="32"/>
        <v>#DIV/0!</v>
      </c>
      <c r="BF69" s="156" t="e">
        <f t="shared" si="32"/>
        <v>#DIV/0!</v>
      </c>
      <c r="BG69" s="156" t="e">
        <f t="shared" si="32"/>
        <v>#DIV/0!</v>
      </c>
      <c r="BH69" s="156" t="e">
        <f t="shared" si="32"/>
        <v>#DIV/0!</v>
      </c>
      <c r="BI69" s="156" t="e">
        <f t="shared" si="32"/>
        <v>#DIV/0!</v>
      </c>
      <c r="BJ69" s="156" t="e">
        <f t="shared" si="32"/>
        <v>#DIV/0!</v>
      </c>
      <c r="BK69" s="156" t="e">
        <f t="shared" si="32"/>
        <v>#DIV/0!</v>
      </c>
      <c r="BL69" s="156" t="e">
        <f t="shared" si="32"/>
        <v>#DIV/0!</v>
      </c>
      <c r="BM69" s="156" t="e">
        <f t="shared" si="32"/>
        <v>#DIV/0!</v>
      </c>
      <c r="BN69" s="156" t="e">
        <f t="shared" si="32"/>
        <v>#DIV/0!</v>
      </c>
      <c r="BO69" s="156" t="e">
        <f t="shared" si="32"/>
        <v>#DIV/0!</v>
      </c>
      <c r="BP69" s="156" t="e">
        <f t="shared" si="32"/>
        <v>#DIV/0!</v>
      </c>
      <c r="BQ69" s="156" t="e">
        <f t="shared" si="32"/>
        <v>#DIV/0!</v>
      </c>
      <c r="BR69" s="156" t="e">
        <f t="shared" ref="BR69:CJ69" si="33">BR67/(BR68+BV68)*2</f>
        <v>#DIV/0!</v>
      </c>
      <c r="BS69" s="156" t="e">
        <f t="shared" si="33"/>
        <v>#DIV/0!</v>
      </c>
      <c r="BT69" s="156" t="e">
        <f t="shared" si="33"/>
        <v>#DIV/0!</v>
      </c>
      <c r="BU69" s="156" t="e">
        <f t="shared" si="33"/>
        <v>#DIV/0!</v>
      </c>
      <c r="BV69" s="156" t="e">
        <f t="shared" si="33"/>
        <v>#DIV/0!</v>
      </c>
      <c r="BW69" s="156" t="e">
        <f t="shared" si="33"/>
        <v>#DIV/0!</v>
      </c>
      <c r="BX69" s="156" t="e">
        <f t="shared" si="33"/>
        <v>#DIV/0!</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6.0125050509734619</v>
      </c>
      <c r="F72" s="156">
        <f t="shared" ref="F72:BQ72" si="36">F67/(F71+J71)*2</f>
        <v>4.7999154481513635</v>
      </c>
      <c r="G72" s="156">
        <f t="shared" si="36"/>
        <v>3.0711877945719923</v>
      </c>
      <c r="H72" s="156">
        <f t="shared" si="36"/>
        <v>1.5730925304541614</v>
      </c>
      <c r="I72" s="156">
        <f t="shared" si="36"/>
        <v>3.8904212844751025</v>
      </c>
      <c r="J72" s="156">
        <f t="shared" si="36"/>
        <v>3.5901549285103442</v>
      </c>
      <c r="K72" s="156">
        <f t="shared" si="36"/>
        <v>2.5245356633317062</v>
      </c>
      <c r="L72" s="156">
        <f t="shared" si="36"/>
        <v>1.3117706424753179</v>
      </c>
      <c r="M72" s="156">
        <f t="shared" si="36"/>
        <v>4.7457514308338178</v>
      </c>
      <c r="N72" s="156">
        <f t="shared" si="36"/>
        <v>4.0206061015712713</v>
      </c>
      <c r="O72" s="156">
        <f t="shared" si="36"/>
        <v>2.8324372059785285</v>
      </c>
      <c r="P72" s="156">
        <f t="shared" si="36"/>
        <v>1.396056854531561</v>
      </c>
      <c r="Q72" s="156">
        <f t="shared" si="36"/>
        <v>5.5334173339766357</v>
      </c>
      <c r="R72" s="156">
        <f t="shared" si="36"/>
        <v>4.3223219401637465</v>
      </c>
      <c r="S72" s="156">
        <f t="shared" si="36"/>
        <v>2.7579136284251371</v>
      </c>
      <c r="T72" s="156">
        <f t="shared" si="36"/>
        <v>1.1480491597842972</v>
      </c>
      <c r="U72" s="156">
        <f t="shared" si="36"/>
        <v>5.1125630047240689</v>
      </c>
      <c r="V72" s="156">
        <f t="shared" si="36"/>
        <v>5.5164258520153231</v>
      </c>
      <c r="W72" s="156">
        <f t="shared" si="36"/>
        <v>4.3629651259883664</v>
      </c>
      <c r="X72" s="156">
        <f t="shared" si="36"/>
        <v>1.669688416250583</v>
      </c>
      <c r="Y72" s="156">
        <f t="shared" si="36"/>
        <v>5.2084074122738686</v>
      </c>
      <c r="Z72" s="156">
        <f t="shared" si="36"/>
        <v>5.0358643179478841</v>
      </c>
      <c r="AA72" s="156">
        <f t="shared" si="36"/>
        <v>4.0416712508609951</v>
      </c>
      <c r="AB72" s="156">
        <f t="shared" si="36"/>
        <v>1.7403137581978501</v>
      </c>
      <c r="AC72" s="156">
        <f t="shared" si="36"/>
        <v>10.995030809343646</v>
      </c>
      <c r="AD72" s="156">
        <f t="shared" si="36"/>
        <v>7.7555894517666371</v>
      </c>
      <c r="AE72" s="156">
        <f t="shared" si="36"/>
        <v>7.4672687314995638</v>
      </c>
      <c r="AF72" s="156">
        <f t="shared" si="36"/>
        <v>3.8832832199231166</v>
      </c>
      <c r="AG72" s="156">
        <f t="shared" si="36"/>
        <v>46.589588020411334</v>
      </c>
      <c r="AH72" s="156">
        <f t="shared" si="36"/>
        <v>23.446798425134237</v>
      </c>
      <c r="AI72" s="156" t="e">
        <f t="shared" si="36"/>
        <v>#DIV/0!</v>
      </c>
      <c r="AJ72" s="156" t="e">
        <f t="shared" si="36"/>
        <v>#DIV/0!</v>
      </c>
      <c r="AK72" s="156" t="e">
        <f t="shared" si="36"/>
        <v>#DIV/0!</v>
      </c>
      <c r="AL72" s="156" t="e">
        <f t="shared" si="36"/>
        <v>#DIV/0!</v>
      </c>
      <c r="AM72" s="156" t="e">
        <f t="shared" si="36"/>
        <v>#DIV/0!</v>
      </c>
      <c r="AN72" s="156" t="e">
        <f t="shared" si="36"/>
        <v>#DIV/0!</v>
      </c>
      <c r="AO72" s="156" t="e">
        <f t="shared" si="36"/>
        <v>#DIV/0!</v>
      </c>
      <c r="AP72" s="156" t="e">
        <f t="shared" si="36"/>
        <v>#DIV/0!</v>
      </c>
      <c r="AQ72" s="156" t="e">
        <f t="shared" si="36"/>
        <v>#DIV/0!</v>
      </c>
      <c r="AR72" s="156" t="e">
        <f t="shared" si="36"/>
        <v>#DIV/0!</v>
      </c>
      <c r="AS72" s="156" t="e">
        <f t="shared" si="36"/>
        <v>#DIV/0!</v>
      </c>
      <c r="AT72" s="156" t="e">
        <f t="shared" si="36"/>
        <v>#DIV/0!</v>
      </c>
      <c r="AU72" s="156" t="e">
        <f t="shared" si="36"/>
        <v>#DIV/0!</v>
      </c>
      <c r="AV72" s="156" t="e">
        <f t="shared" si="36"/>
        <v>#DIV/0!</v>
      </c>
      <c r="AW72" s="156" t="e">
        <f t="shared" si="36"/>
        <v>#DIV/0!</v>
      </c>
      <c r="AX72" s="156" t="e">
        <f t="shared" si="36"/>
        <v>#DIV/0!</v>
      </c>
      <c r="AY72" s="156" t="e">
        <f t="shared" si="36"/>
        <v>#DIV/0!</v>
      </c>
      <c r="AZ72" s="156" t="e">
        <f t="shared" si="36"/>
        <v>#DIV/0!</v>
      </c>
      <c r="BA72" s="156" t="e">
        <f t="shared" si="36"/>
        <v>#DIV/0!</v>
      </c>
      <c r="BB72" s="156" t="e">
        <f t="shared" si="36"/>
        <v>#DIV/0!</v>
      </c>
      <c r="BC72" s="156" t="e">
        <f t="shared" si="36"/>
        <v>#DIV/0!</v>
      </c>
      <c r="BD72" s="156" t="e">
        <f t="shared" si="36"/>
        <v>#DIV/0!</v>
      </c>
      <c r="BE72" s="156" t="e">
        <f t="shared" si="36"/>
        <v>#DIV/0!</v>
      </c>
      <c r="BF72" s="156" t="e">
        <f t="shared" si="36"/>
        <v>#DIV/0!</v>
      </c>
      <c r="BG72" s="156" t="e">
        <f t="shared" si="36"/>
        <v>#DIV/0!</v>
      </c>
      <c r="BH72" s="156" t="e">
        <f t="shared" si="36"/>
        <v>#DIV/0!</v>
      </c>
      <c r="BI72" s="156" t="e">
        <f t="shared" si="36"/>
        <v>#DIV/0!</v>
      </c>
      <c r="BJ72" s="156" t="e">
        <f t="shared" si="36"/>
        <v>#DIV/0!</v>
      </c>
      <c r="BK72" s="156" t="e">
        <f t="shared" si="36"/>
        <v>#DIV/0!</v>
      </c>
      <c r="BL72" s="156" t="e">
        <f t="shared" si="36"/>
        <v>#DIV/0!</v>
      </c>
      <c r="BM72" s="156" t="e">
        <f t="shared" si="36"/>
        <v>#DIV/0!</v>
      </c>
      <c r="BN72" s="156" t="e">
        <f t="shared" si="36"/>
        <v>#DIV/0!</v>
      </c>
      <c r="BO72" s="156" t="e">
        <f t="shared" si="36"/>
        <v>#DIV/0!</v>
      </c>
      <c r="BP72" s="156" t="e">
        <f t="shared" si="36"/>
        <v>#DIV/0!</v>
      </c>
      <c r="BQ72" s="156" t="e">
        <f t="shared" si="36"/>
        <v>#DIV/0!</v>
      </c>
      <c r="BR72" s="156" t="e">
        <f t="shared" ref="BR72:CJ72" si="37">BR67/(BR71+BV71)*2</f>
        <v>#DIV/0!</v>
      </c>
      <c r="BS72" s="156" t="e">
        <f t="shared" si="37"/>
        <v>#DIV/0!</v>
      </c>
      <c r="BT72" s="156" t="e">
        <f t="shared" si="37"/>
        <v>#DIV/0!</v>
      </c>
      <c r="BU72" s="156" t="e">
        <f t="shared" si="37"/>
        <v>#DIV/0!</v>
      </c>
      <c r="BV72" s="156" t="e">
        <f t="shared" si="37"/>
        <v>#DIV/0!</v>
      </c>
      <c r="BW72" s="156" t="e">
        <f t="shared" si="37"/>
        <v>#DIV/0!</v>
      </c>
      <c r="BX72" s="156" t="e">
        <f t="shared" si="37"/>
        <v>#DIV/0!</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7" customFormat="1" x14ac:dyDescent="0.25">
      <c r="A74" s="256" t="s">
        <v>483</v>
      </c>
      <c r="E74" s="257">
        <f>E66+E70</f>
        <v>221.42084237637181</v>
      </c>
      <c r="F74" s="257">
        <f t="shared" ref="F74:BQ74" si="40">F66+F70</f>
        <v>287.11524882142157</v>
      </c>
      <c r="G74" s="257">
        <f t="shared" si="40"/>
        <v>391.71747082785419</v>
      </c>
      <c r="H74" s="257">
        <f t="shared" si="40"/>
        <v>729.43240420298173</v>
      </c>
      <c r="I74" s="257">
        <f t="shared" si="40"/>
        <v>233.73131423798185</v>
      </c>
      <c r="J74" s="257">
        <f t="shared" si="40"/>
        <v>310.33075712830959</v>
      </c>
      <c r="K74" s="257">
        <f t="shared" si="40"/>
        <v>422.06349399739486</v>
      </c>
      <c r="L74" s="257">
        <f t="shared" si="40"/>
        <v>746.96224240494303</v>
      </c>
      <c r="M74" s="257">
        <f t="shared" si="40"/>
        <v>161.58062076817654</v>
      </c>
      <c r="N74" s="257">
        <f t="shared" si="40"/>
        <v>244.98541217211911</v>
      </c>
      <c r="O74" s="257">
        <f t="shared" si="40"/>
        <v>377.42002785795984</v>
      </c>
      <c r="P74" s="257">
        <f t="shared" si="40"/>
        <v>798.16466559403761</v>
      </c>
      <c r="Q74" s="257">
        <f t="shared" si="40"/>
        <v>192.34476995376647</v>
      </c>
      <c r="R74" s="257">
        <f t="shared" si="40"/>
        <v>281.17019903311632</v>
      </c>
      <c r="S74" s="257">
        <f t="shared" si="40"/>
        <v>448.31359108292997</v>
      </c>
      <c r="T74" s="257">
        <f t="shared" si="40"/>
        <v>1006.5603589051784</v>
      </c>
      <c r="U74" s="257">
        <f t="shared" si="40"/>
        <v>198.23160876316655</v>
      </c>
      <c r="V74" s="257">
        <f t="shared" si="40"/>
        <v>246.58804814165688</v>
      </c>
      <c r="W74" s="257">
        <f t="shared" si="40"/>
        <v>364.22401818150445</v>
      </c>
      <c r="X74" s="257">
        <f t="shared" si="40"/>
        <v>785.49765573531192</v>
      </c>
      <c r="Y74" s="257">
        <f t="shared" si="40"/>
        <v>214.19479266151814</v>
      </c>
      <c r="Z74" s="257">
        <f t="shared" si="40"/>
        <v>278.18319559187188</v>
      </c>
      <c r="AA74" s="257">
        <f t="shared" si="40"/>
        <v>402.83497458327116</v>
      </c>
      <c r="AB74" s="257">
        <f t="shared" si="40"/>
        <v>863.77540375584283</v>
      </c>
      <c r="AC74" s="257">
        <f t="shared" si="40"/>
        <v>174.13454903896525</v>
      </c>
      <c r="AD74" s="257">
        <f t="shared" si="40"/>
        <v>220.17625457304933</v>
      </c>
      <c r="AE74" s="257">
        <f t="shared" si="40"/>
        <v>160.90137314645253</v>
      </c>
      <c r="AF74" s="257">
        <f t="shared" si="40"/>
        <v>358.88040261594642</v>
      </c>
      <c r="AG74" s="257">
        <f t="shared" si="40"/>
        <v>87.659505655457181</v>
      </c>
      <c r="AH74" s="257">
        <f t="shared" si="40"/>
        <v>121.07514061176902</v>
      </c>
      <c r="AI74" s="257" t="e">
        <f t="shared" si="40"/>
        <v>#DIV/0!</v>
      </c>
      <c r="AJ74" s="257" t="e">
        <f t="shared" si="40"/>
        <v>#DIV/0!</v>
      </c>
      <c r="AK74" s="257" t="e">
        <f t="shared" si="40"/>
        <v>#DIV/0!</v>
      </c>
      <c r="AL74" s="257" t="e">
        <f t="shared" si="40"/>
        <v>#DIV/0!</v>
      </c>
      <c r="AM74" s="257" t="e">
        <f t="shared" si="40"/>
        <v>#DIV/0!</v>
      </c>
      <c r="AN74" s="257" t="e">
        <f t="shared" si="40"/>
        <v>#DIV/0!</v>
      </c>
      <c r="AO74" s="257" t="e">
        <f t="shared" si="40"/>
        <v>#DIV/0!</v>
      </c>
      <c r="AP74" s="257" t="e">
        <f t="shared" si="40"/>
        <v>#DIV/0!</v>
      </c>
      <c r="AQ74" s="257" t="e">
        <f t="shared" si="40"/>
        <v>#DIV/0!</v>
      </c>
      <c r="AR74" s="257" t="e">
        <f t="shared" si="40"/>
        <v>#DIV/0!</v>
      </c>
      <c r="AS74" s="257" t="e">
        <f t="shared" si="40"/>
        <v>#DIV/0!</v>
      </c>
      <c r="AT74" s="257" t="e">
        <f t="shared" si="40"/>
        <v>#DIV/0!</v>
      </c>
      <c r="AU74" s="257" t="e">
        <f t="shared" si="40"/>
        <v>#DIV/0!</v>
      </c>
      <c r="AV74" s="257" t="e">
        <f t="shared" si="40"/>
        <v>#DIV/0!</v>
      </c>
      <c r="AW74" s="257" t="e">
        <f t="shared" si="40"/>
        <v>#DIV/0!</v>
      </c>
      <c r="AX74" s="257" t="e">
        <f t="shared" si="40"/>
        <v>#DIV/0!</v>
      </c>
      <c r="AY74" s="257" t="e">
        <f t="shared" si="40"/>
        <v>#DIV/0!</v>
      </c>
      <c r="AZ74" s="257" t="e">
        <f t="shared" si="40"/>
        <v>#DIV/0!</v>
      </c>
      <c r="BA74" s="257" t="e">
        <f t="shared" si="40"/>
        <v>#DIV/0!</v>
      </c>
      <c r="BB74" s="257" t="e">
        <f t="shared" si="40"/>
        <v>#DIV/0!</v>
      </c>
      <c r="BC74" s="257" t="e">
        <f t="shared" si="40"/>
        <v>#DIV/0!</v>
      </c>
      <c r="BD74" s="257" t="e">
        <f t="shared" si="40"/>
        <v>#DIV/0!</v>
      </c>
      <c r="BE74" s="257" t="e">
        <f t="shared" si="40"/>
        <v>#DIV/0!</v>
      </c>
      <c r="BF74" s="257" t="e">
        <f t="shared" si="40"/>
        <v>#DIV/0!</v>
      </c>
      <c r="BG74" s="257" t="e">
        <f t="shared" si="40"/>
        <v>#DIV/0!</v>
      </c>
      <c r="BH74" s="257" t="e">
        <f t="shared" si="40"/>
        <v>#DIV/0!</v>
      </c>
      <c r="BI74" s="257" t="e">
        <f t="shared" si="40"/>
        <v>#DIV/0!</v>
      </c>
      <c r="BJ74" s="257" t="e">
        <f t="shared" si="40"/>
        <v>#DIV/0!</v>
      </c>
      <c r="BK74" s="257" t="e">
        <f t="shared" si="40"/>
        <v>#DIV/0!</v>
      </c>
      <c r="BL74" s="257" t="e">
        <f t="shared" si="40"/>
        <v>#DIV/0!</v>
      </c>
      <c r="BM74" s="257" t="e">
        <f t="shared" si="40"/>
        <v>#DIV/0!</v>
      </c>
      <c r="BN74" s="257" t="e">
        <f t="shared" si="40"/>
        <v>#DIV/0!</v>
      </c>
      <c r="BO74" s="257" t="e">
        <f t="shared" si="40"/>
        <v>#DIV/0!</v>
      </c>
      <c r="BP74" s="257" t="e">
        <f t="shared" si="40"/>
        <v>#DIV/0!</v>
      </c>
      <c r="BQ74" s="257" t="e">
        <f t="shared" si="40"/>
        <v>#DIV/0!</v>
      </c>
      <c r="BR74" s="257" t="e">
        <f t="shared" ref="BR74:CK74" si="41">BR66+BR70</f>
        <v>#DIV/0!</v>
      </c>
      <c r="BS74" s="257" t="e">
        <f t="shared" si="41"/>
        <v>#DIV/0!</v>
      </c>
      <c r="BT74" s="257" t="e">
        <f t="shared" si="41"/>
        <v>#DIV/0!</v>
      </c>
      <c r="BU74" s="257" t="e">
        <f t="shared" si="41"/>
        <v>#DIV/0!</v>
      </c>
      <c r="BV74" s="257" t="e">
        <f t="shared" si="41"/>
        <v>#DIV/0!</v>
      </c>
      <c r="BW74" s="257" t="e">
        <f t="shared" si="41"/>
        <v>#DIV/0!</v>
      </c>
      <c r="BX74" s="257" t="e">
        <f t="shared" si="41"/>
        <v>#DIV/0!</v>
      </c>
      <c r="BY74" s="257" t="e">
        <f t="shared" si="41"/>
        <v>#DIV/0!</v>
      </c>
      <c r="BZ74" s="257" t="e">
        <f t="shared" si="41"/>
        <v>#DIV/0!</v>
      </c>
      <c r="CA74" s="257" t="e">
        <f t="shared" si="41"/>
        <v>#DIV/0!</v>
      </c>
      <c r="CB74" s="257" t="e">
        <f t="shared" si="41"/>
        <v>#DIV/0!</v>
      </c>
      <c r="CC74" s="257" t="e">
        <f t="shared" si="41"/>
        <v>#DIV/0!</v>
      </c>
      <c r="CD74" s="257" t="e">
        <f t="shared" si="41"/>
        <v>#DIV/0!</v>
      </c>
      <c r="CE74" s="257" t="e">
        <f t="shared" si="41"/>
        <v>#DIV/0!</v>
      </c>
      <c r="CF74" s="257" t="e">
        <f t="shared" si="41"/>
        <v>#DIV/0!</v>
      </c>
      <c r="CG74" s="257" t="e">
        <f t="shared" si="41"/>
        <v>#DIV/0!</v>
      </c>
      <c r="CH74" s="257" t="e">
        <f t="shared" si="41"/>
        <v>#DIV/0!</v>
      </c>
      <c r="CI74" s="257" t="e">
        <f t="shared" si="41"/>
        <v>#DIV/0!</v>
      </c>
      <c r="CJ74" s="257" t="e">
        <f t="shared" si="41"/>
        <v>#DIV/0!</v>
      </c>
      <c r="CK74" s="257">
        <f t="shared" si="41"/>
        <v>0</v>
      </c>
    </row>
    <row r="75" spans="1:89" s="257" customFormat="1" x14ac:dyDescent="0.25">
      <c r="A75" s="256" t="s">
        <v>484</v>
      </c>
      <c r="E75" s="257">
        <f>E74-E73</f>
        <v>160.7140326680117</v>
      </c>
      <c r="F75" s="257">
        <f t="shared" ref="F75:BQ75" si="42">F74-F73</f>
        <v>211.07224265959931</v>
      </c>
      <c r="G75" s="257">
        <f t="shared" si="42"/>
        <v>272.87094485340879</v>
      </c>
      <c r="H75" s="257">
        <f t="shared" si="42"/>
        <v>497.40536641988183</v>
      </c>
      <c r="I75" s="257">
        <f t="shared" si="42"/>
        <v>139.91114071164716</v>
      </c>
      <c r="J75" s="257">
        <f t="shared" si="42"/>
        <v>208.66383543046277</v>
      </c>
      <c r="K75" s="257">
        <f t="shared" si="42"/>
        <v>277.48245071821282</v>
      </c>
      <c r="L75" s="257">
        <f t="shared" si="42"/>
        <v>468.71238059126262</v>
      </c>
      <c r="M75" s="257">
        <f t="shared" si="42"/>
        <v>84.669723659545141</v>
      </c>
      <c r="N75" s="257">
        <f t="shared" si="42"/>
        <v>154.20307966325774</v>
      </c>
      <c r="O75" s="257">
        <f t="shared" si="42"/>
        <v>248.55574121831918</v>
      </c>
      <c r="P75" s="257">
        <f t="shared" si="42"/>
        <v>536.7139955763945</v>
      </c>
      <c r="Q75" s="257">
        <f t="shared" si="42"/>
        <v>126.381915903557</v>
      </c>
      <c r="R75" s="257">
        <f t="shared" si="42"/>
        <v>196.72484649971102</v>
      </c>
      <c r="S75" s="257">
        <f t="shared" si="42"/>
        <v>315.96716941183962</v>
      </c>
      <c r="T75" s="257">
        <f t="shared" si="42"/>
        <v>688.62972249534164</v>
      </c>
      <c r="U75" s="257">
        <f t="shared" si="42"/>
        <v>126.83884555169401</v>
      </c>
      <c r="V75" s="257">
        <f t="shared" si="42"/>
        <v>180.42201785473586</v>
      </c>
      <c r="W75" s="257">
        <f t="shared" si="42"/>
        <v>280.56531602368818</v>
      </c>
      <c r="X75" s="257">
        <f t="shared" si="42"/>
        <v>566.89399504774701</v>
      </c>
      <c r="Y75" s="257">
        <f t="shared" si="42"/>
        <v>144.11578940615459</v>
      </c>
      <c r="Z75" s="257">
        <f t="shared" si="42"/>
        <v>205.70308553427256</v>
      </c>
      <c r="AA75" s="257">
        <f t="shared" si="42"/>
        <v>312.52579866446177</v>
      </c>
      <c r="AB75" s="257">
        <f t="shared" si="42"/>
        <v>654.04310790939212</v>
      </c>
      <c r="AC75" s="257">
        <f t="shared" si="42"/>
        <v>140.93773437521546</v>
      </c>
      <c r="AD75" s="257">
        <f t="shared" si="42"/>
        <v>173.11342301524206</v>
      </c>
      <c r="AE75" s="257">
        <f t="shared" si="42"/>
        <v>112.02138594841563</v>
      </c>
      <c r="AF75" s="257">
        <f t="shared" si="42"/>
        <v>264.88777335641316</v>
      </c>
      <c r="AG75" s="257">
        <f t="shared" si="42"/>
        <v>79.825137172952253</v>
      </c>
      <c r="AH75" s="257">
        <f t="shared" si="42"/>
        <v>105.50798328044094</v>
      </c>
      <c r="AI75" s="257" t="e">
        <f t="shared" si="42"/>
        <v>#DIV/0!</v>
      </c>
      <c r="AJ75" s="257" t="e">
        <f t="shared" si="42"/>
        <v>#DIV/0!</v>
      </c>
      <c r="AK75" s="257" t="e">
        <f t="shared" si="42"/>
        <v>#DIV/0!</v>
      </c>
      <c r="AL75" s="257" t="e">
        <f t="shared" si="42"/>
        <v>#DIV/0!</v>
      </c>
      <c r="AM75" s="257" t="e">
        <f t="shared" si="42"/>
        <v>#DIV/0!</v>
      </c>
      <c r="AN75" s="257" t="e">
        <f t="shared" si="42"/>
        <v>#DIV/0!</v>
      </c>
      <c r="AO75" s="257" t="e">
        <f t="shared" si="42"/>
        <v>#DIV/0!</v>
      </c>
      <c r="AP75" s="257" t="e">
        <f t="shared" si="42"/>
        <v>#DIV/0!</v>
      </c>
      <c r="AQ75" s="257" t="e">
        <f t="shared" si="42"/>
        <v>#DIV/0!</v>
      </c>
      <c r="AR75" s="257" t="e">
        <f t="shared" si="42"/>
        <v>#DIV/0!</v>
      </c>
      <c r="AS75" s="257" t="e">
        <f t="shared" si="42"/>
        <v>#DIV/0!</v>
      </c>
      <c r="AT75" s="257" t="e">
        <f t="shared" si="42"/>
        <v>#DIV/0!</v>
      </c>
      <c r="AU75" s="257" t="e">
        <f t="shared" si="42"/>
        <v>#DIV/0!</v>
      </c>
      <c r="AV75" s="257" t="e">
        <f t="shared" si="42"/>
        <v>#DIV/0!</v>
      </c>
      <c r="AW75" s="257" t="e">
        <f t="shared" si="42"/>
        <v>#DIV/0!</v>
      </c>
      <c r="AX75" s="257" t="e">
        <f t="shared" si="42"/>
        <v>#DIV/0!</v>
      </c>
      <c r="AY75" s="257" t="e">
        <f t="shared" si="42"/>
        <v>#DIV/0!</v>
      </c>
      <c r="AZ75" s="257" t="e">
        <f t="shared" si="42"/>
        <v>#DIV/0!</v>
      </c>
      <c r="BA75" s="257" t="e">
        <f t="shared" si="42"/>
        <v>#DIV/0!</v>
      </c>
      <c r="BB75" s="257" t="e">
        <f t="shared" si="42"/>
        <v>#DIV/0!</v>
      </c>
      <c r="BC75" s="257" t="e">
        <f t="shared" si="42"/>
        <v>#DIV/0!</v>
      </c>
      <c r="BD75" s="257" t="e">
        <f t="shared" si="42"/>
        <v>#DIV/0!</v>
      </c>
      <c r="BE75" s="257" t="e">
        <f t="shared" si="42"/>
        <v>#DIV/0!</v>
      </c>
      <c r="BF75" s="257" t="e">
        <f t="shared" si="42"/>
        <v>#DIV/0!</v>
      </c>
      <c r="BG75" s="257" t="e">
        <f t="shared" si="42"/>
        <v>#DIV/0!</v>
      </c>
      <c r="BH75" s="257" t="e">
        <f t="shared" si="42"/>
        <v>#DIV/0!</v>
      </c>
      <c r="BI75" s="257" t="e">
        <f t="shared" si="42"/>
        <v>#DIV/0!</v>
      </c>
      <c r="BJ75" s="257" t="e">
        <f t="shared" si="42"/>
        <v>#DIV/0!</v>
      </c>
      <c r="BK75" s="257" t="e">
        <f t="shared" si="42"/>
        <v>#DIV/0!</v>
      </c>
      <c r="BL75" s="257" t="e">
        <f t="shared" si="42"/>
        <v>#DIV/0!</v>
      </c>
      <c r="BM75" s="257" t="e">
        <f t="shared" si="42"/>
        <v>#DIV/0!</v>
      </c>
      <c r="BN75" s="257" t="e">
        <f t="shared" si="42"/>
        <v>#DIV/0!</v>
      </c>
      <c r="BO75" s="257" t="e">
        <f t="shared" si="42"/>
        <v>#DIV/0!</v>
      </c>
      <c r="BP75" s="257" t="e">
        <f t="shared" si="42"/>
        <v>#DIV/0!</v>
      </c>
      <c r="BQ75" s="257" t="e">
        <f t="shared" si="42"/>
        <v>#DIV/0!</v>
      </c>
      <c r="BR75" s="257" t="e">
        <f t="shared" ref="BR75:CJ75" si="43">BR74-BR73</f>
        <v>#DIV/0!</v>
      </c>
      <c r="BS75" s="257" t="e">
        <f t="shared" si="43"/>
        <v>#DIV/0!</v>
      </c>
      <c r="BT75" s="257" t="e">
        <f t="shared" si="43"/>
        <v>#DIV/0!</v>
      </c>
      <c r="BU75" s="257" t="e">
        <f t="shared" si="43"/>
        <v>#DIV/0!</v>
      </c>
      <c r="BV75" s="257" t="e">
        <f t="shared" si="43"/>
        <v>#DIV/0!</v>
      </c>
      <c r="BW75" s="257" t="e">
        <f t="shared" si="43"/>
        <v>#DIV/0!</v>
      </c>
      <c r="BX75" s="257" t="e">
        <f t="shared" si="43"/>
        <v>#DIV/0!</v>
      </c>
      <c r="BY75" s="257" t="e">
        <f t="shared" si="43"/>
        <v>#DIV/0!</v>
      </c>
      <c r="BZ75" s="257" t="e">
        <f t="shared" si="43"/>
        <v>#DIV/0!</v>
      </c>
      <c r="CA75" s="257" t="e">
        <f t="shared" si="43"/>
        <v>#DIV/0!</v>
      </c>
      <c r="CB75" s="257" t="e">
        <f t="shared" si="43"/>
        <v>#DIV/0!</v>
      </c>
      <c r="CC75" s="257" t="e">
        <f t="shared" si="43"/>
        <v>#DIV/0!</v>
      </c>
      <c r="CD75" s="257" t="e">
        <f t="shared" si="43"/>
        <v>#DIV/0!</v>
      </c>
      <c r="CE75" s="257" t="e">
        <f t="shared" si="43"/>
        <v>#DIV/0!</v>
      </c>
      <c r="CF75" s="257" t="e">
        <f t="shared" si="43"/>
        <v>#DIV/0!</v>
      </c>
      <c r="CG75" s="257" t="e">
        <f t="shared" si="43"/>
        <v>#DIV/0!</v>
      </c>
      <c r="CH75" s="257" t="e">
        <f t="shared" si="43"/>
        <v>#DIV/0!</v>
      </c>
      <c r="CI75" s="257" t="e">
        <f t="shared" si="43"/>
        <v>#DIV/0!</v>
      </c>
      <c r="CJ75" s="257" t="e">
        <f t="shared" si="43"/>
        <v>#DIV/0!</v>
      </c>
    </row>
    <row r="76" spans="1:89" s="121" customFormat="1" x14ac:dyDescent="0.25">
      <c r="A76" s="150" t="s">
        <v>485</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5" t="s">
        <v>695</v>
      </c>
      <c r="B77" s="274"/>
      <c r="C77" s="274"/>
      <c r="D77" s="274"/>
      <c r="E77" s="274"/>
      <c r="F77" s="274"/>
      <c r="G77" s="274"/>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1" customFormat="1" x14ac:dyDescent="0.25">
      <c r="A80" s="250"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52" t="s">
        <v>583</v>
      </c>
      <c r="E83" s="156">
        <f>E81/E82</f>
        <v>1.3927169896365399</v>
      </c>
      <c r="F83" s="156">
        <f t="shared" ref="F83:BQ83" si="46">F81/F82</f>
        <v>1.0290332655803753</v>
      </c>
      <c r="G83" s="156">
        <f t="shared" si="46"/>
        <v>0.7280231424725061</v>
      </c>
      <c r="H83" s="156">
        <f t="shared" si="46"/>
        <v>0.36881078311612775</v>
      </c>
      <c r="I83" s="156">
        <f t="shared" si="46"/>
        <v>1.1365753314478499</v>
      </c>
      <c r="J83" s="156">
        <f t="shared" si="46"/>
        <v>0.92735120423796069</v>
      </c>
      <c r="K83" s="156">
        <f t="shared" si="46"/>
        <v>0.67643236192637324</v>
      </c>
      <c r="L83" s="156">
        <f t="shared" si="46"/>
        <v>0.34015991314924482</v>
      </c>
      <c r="M83" s="156">
        <f t="shared" si="46"/>
        <v>1.3795840823189258</v>
      </c>
      <c r="N83" s="156">
        <f t="shared" si="46"/>
        <v>0.92634281301261401</v>
      </c>
      <c r="O83" s="156">
        <f t="shared" si="46"/>
        <v>0.59239871860489901</v>
      </c>
      <c r="P83" s="156">
        <f t="shared" si="46"/>
        <v>0.28194924091504409</v>
      </c>
      <c r="Q83" s="156">
        <f t="shared" si="46"/>
        <v>1.2305857237248603</v>
      </c>
      <c r="R83" s="156">
        <f t="shared" si="46"/>
        <v>0.86434430154311159</v>
      </c>
      <c r="S83" s="156">
        <f t="shared" si="46"/>
        <v>0.53783415340259155</v>
      </c>
      <c r="T83" s="156">
        <f t="shared" si="46"/>
        <v>0.25003470268542177</v>
      </c>
      <c r="U83" s="156">
        <f t="shared" si="46"/>
        <v>1.2421087521983858</v>
      </c>
      <c r="V83" s="156">
        <f t="shared" si="46"/>
        <v>0.95162782483415886</v>
      </c>
      <c r="W83" s="156">
        <f t="shared" si="46"/>
        <v>0.68048665077398895</v>
      </c>
      <c r="X83" s="156">
        <f t="shared" si="46"/>
        <v>0.32202983673079738</v>
      </c>
      <c r="Y83" s="156">
        <f t="shared" si="46"/>
        <v>0.23309223579660904</v>
      </c>
      <c r="Z83" s="156">
        <f t="shared" si="46"/>
        <v>0.16268453726314744</v>
      </c>
      <c r="AA83" s="156">
        <f t="shared" si="46"/>
        <v>0.13259966826634606</v>
      </c>
      <c r="AB83" s="156">
        <f t="shared" si="46"/>
        <v>6.5055274507902924E-2</v>
      </c>
      <c r="AC83" s="156">
        <f t="shared" si="46"/>
        <v>0.36362398730156342</v>
      </c>
      <c r="AD83" s="156">
        <f t="shared" si="46"/>
        <v>0.33442432761282054</v>
      </c>
      <c r="AE83" s="156">
        <f t="shared" si="46"/>
        <v>0.33053352100888234</v>
      </c>
      <c r="AF83" s="156">
        <f t="shared" si="46"/>
        <v>0.19252536579868218</v>
      </c>
      <c r="AG83" s="156">
        <f t="shared" si="46"/>
        <v>0.86698253092986399</v>
      </c>
      <c r="AH83" s="156">
        <f t="shared" si="46"/>
        <v>0.73111186560713215</v>
      </c>
      <c r="AI83" s="156">
        <f t="shared" si="46"/>
        <v>0.72601014530832253</v>
      </c>
      <c r="AJ83" s="156">
        <f t="shared" si="46"/>
        <v>1.36648307836352</v>
      </c>
      <c r="AK83" s="156">
        <f t="shared" si="46"/>
        <v>0</v>
      </c>
      <c r="AL83" s="156">
        <f t="shared" si="46"/>
        <v>0</v>
      </c>
      <c r="AM83" s="156">
        <f t="shared" si="46"/>
        <v>0</v>
      </c>
      <c r="AN83" s="156">
        <f t="shared" si="46"/>
        <v>0</v>
      </c>
      <c r="AO83" s="156">
        <f t="shared" si="46"/>
        <v>0</v>
      </c>
      <c r="AP83" s="156">
        <f t="shared" si="46"/>
        <v>0</v>
      </c>
      <c r="AQ83" s="156">
        <f t="shared" si="46"/>
        <v>0</v>
      </c>
      <c r="AR83" s="156">
        <f t="shared" si="46"/>
        <v>0</v>
      </c>
      <c r="AS83" s="156">
        <f t="shared" si="46"/>
        <v>0</v>
      </c>
      <c r="AT83" s="156">
        <f t="shared" si="46"/>
        <v>0</v>
      </c>
      <c r="AU83" s="156">
        <f t="shared" si="46"/>
        <v>0</v>
      </c>
      <c r="AV83" s="156">
        <f t="shared" si="46"/>
        <v>0</v>
      </c>
      <c r="AW83" s="156">
        <f t="shared" si="46"/>
        <v>0</v>
      </c>
      <c r="AX83" s="156">
        <f t="shared" si="46"/>
        <v>0</v>
      </c>
      <c r="AY83" s="156">
        <f t="shared" si="46"/>
        <v>0</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584</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52" t="s">
        <v>585</v>
      </c>
      <c r="E85" s="156">
        <f>E81/E84</f>
        <v>1.7448335594208908</v>
      </c>
      <c r="F85" s="156">
        <f t="shared" ref="F85:BQ85" si="48">F81/F84</f>
        <v>1.3533970964530488</v>
      </c>
      <c r="G85" s="156">
        <f t="shared" si="48"/>
        <v>1.1572422867121759</v>
      </c>
      <c r="H85" s="156">
        <f t="shared" si="48"/>
        <v>0.55836043918389366</v>
      </c>
      <c r="I85" s="156">
        <f t="shared" si="48"/>
        <v>1.6104749481506799</v>
      </c>
      <c r="J85" s="156">
        <f t="shared" si="48"/>
        <v>1.2880189346267246</v>
      </c>
      <c r="K85" s="156">
        <f t="shared" si="48"/>
        <v>0.86007711683925969</v>
      </c>
      <c r="L85" s="156">
        <f t="shared" si="48"/>
        <v>0.42307355896960103</v>
      </c>
      <c r="M85" s="156">
        <f t="shared" si="48"/>
        <v>1.6790156086319785</v>
      </c>
      <c r="N85" s="156">
        <f t="shared" si="48"/>
        <v>1.3366143529739563</v>
      </c>
      <c r="O85" s="156">
        <f t="shared" si="48"/>
        <v>1.0157744904258641</v>
      </c>
      <c r="P85" s="156">
        <f t="shared" si="48"/>
        <v>0.43477570362594897</v>
      </c>
      <c r="Q85" s="156">
        <f t="shared" si="48"/>
        <v>1.7072052507960149</v>
      </c>
      <c r="R85" s="156">
        <f t="shared" si="48"/>
        <v>1.4304212667128027</v>
      </c>
      <c r="S85" s="156">
        <f t="shared" si="48"/>
        <v>0.87417326576604892</v>
      </c>
      <c r="T85" s="156">
        <f t="shared" si="48"/>
        <v>0.38983529792399191</v>
      </c>
      <c r="U85" s="156">
        <f t="shared" si="48"/>
        <v>1.863422440583488</v>
      </c>
      <c r="V85" s="156">
        <f t="shared" si="48"/>
        <v>1.4155469850498525</v>
      </c>
      <c r="W85" s="156">
        <f t="shared" si="48"/>
        <v>1.04502882436263</v>
      </c>
      <c r="X85" s="156">
        <f t="shared" si="48"/>
        <v>0.61205390576432284</v>
      </c>
      <c r="Y85" s="156">
        <f t="shared" si="48"/>
        <v>2.1399672899981055</v>
      </c>
      <c r="Z85" s="156">
        <f t="shared" si="48"/>
        <v>1.4502367311341484</v>
      </c>
      <c r="AA85" s="156">
        <f t="shared" si="48"/>
        <v>1.3777135785236894</v>
      </c>
      <c r="AB85" s="156">
        <f t="shared" si="48"/>
        <v>0.61942062046820068</v>
      </c>
      <c r="AC85" s="156">
        <f t="shared" si="48"/>
        <v>2.8308383665775132</v>
      </c>
      <c r="AD85" s="156">
        <f t="shared" si="48"/>
        <v>2.3967616771123121</v>
      </c>
      <c r="AE85" s="156">
        <f t="shared" si="48"/>
        <v>1.7887674832365166</v>
      </c>
      <c r="AF85" s="156">
        <f t="shared" si="48"/>
        <v>0.78522770114427975</v>
      </c>
      <c r="AG85" s="156">
        <f t="shared" si="48"/>
        <v>4.8548339667849758</v>
      </c>
      <c r="AH85" s="156">
        <f t="shared" si="48"/>
        <v>3.6804782342897071</v>
      </c>
      <c r="AI85" s="156" t="e">
        <f t="shared" si="48"/>
        <v>#DIV/0!</v>
      </c>
      <c r="AJ85" s="156" t="e">
        <f t="shared" si="48"/>
        <v>#DIV/0!</v>
      </c>
      <c r="AK85" s="156" t="e">
        <f t="shared" si="48"/>
        <v>#DIV/0!</v>
      </c>
      <c r="AL85" s="156" t="e">
        <f t="shared" si="48"/>
        <v>#DIV/0!</v>
      </c>
      <c r="AM85" s="156" t="e">
        <f t="shared" si="48"/>
        <v>#DIV/0!</v>
      </c>
      <c r="AN85" s="156" t="e">
        <f t="shared" si="48"/>
        <v>#DIV/0!</v>
      </c>
      <c r="AO85" s="156" t="e">
        <f t="shared" si="48"/>
        <v>#DIV/0!</v>
      </c>
      <c r="AP85" s="156" t="e">
        <f t="shared" si="48"/>
        <v>#DIV/0!</v>
      </c>
      <c r="AQ85" s="156" t="e">
        <f t="shared" si="48"/>
        <v>#DIV/0!</v>
      </c>
      <c r="AR85" s="156" t="e">
        <f t="shared" si="48"/>
        <v>#DIV/0!</v>
      </c>
      <c r="AS85" s="156" t="e">
        <f t="shared" si="48"/>
        <v>#DIV/0!</v>
      </c>
      <c r="AT85" s="156" t="e">
        <f t="shared" si="48"/>
        <v>#DIV/0!</v>
      </c>
      <c r="AU85" s="156" t="e">
        <f t="shared" si="48"/>
        <v>#DIV/0!</v>
      </c>
      <c r="AV85" s="156" t="e">
        <f t="shared" si="48"/>
        <v>#DIV/0!</v>
      </c>
      <c r="AW85" s="156" t="e">
        <f t="shared" si="48"/>
        <v>#DIV/0!</v>
      </c>
      <c r="AX85" s="156" t="e">
        <f t="shared" si="48"/>
        <v>#DIV/0!</v>
      </c>
      <c r="AY85" s="156" t="e">
        <f t="shared" si="48"/>
        <v>#DIV/0!</v>
      </c>
      <c r="AZ85" s="156" t="e">
        <f t="shared" si="48"/>
        <v>#DIV/0!</v>
      </c>
      <c r="BA85" s="156" t="e">
        <f t="shared" si="48"/>
        <v>#DIV/0!</v>
      </c>
      <c r="BB85" s="156" t="e">
        <f t="shared" si="48"/>
        <v>#DIV/0!</v>
      </c>
      <c r="BC85" s="156" t="e">
        <f t="shared" si="48"/>
        <v>#DIV/0!</v>
      </c>
      <c r="BD85" s="156" t="e">
        <f t="shared" si="48"/>
        <v>#DIV/0!</v>
      </c>
      <c r="BE85" s="156" t="e">
        <f t="shared" si="48"/>
        <v>#DIV/0!</v>
      </c>
      <c r="BF85" s="156" t="e">
        <f t="shared" si="48"/>
        <v>#DIV/0!</v>
      </c>
      <c r="BG85" s="156" t="e">
        <f t="shared" si="48"/>
        <v>#DIV/0!</v>
      </c>
      <c r="BH85" s="156" t="e">
        <f t="shared" si="48"/>
        <v>#DIV/0!</v>
      </c>
      <c r="BI85" s="156" t="e">
        <f t="shared" si="48"/>
        <v>#DIV/0!</v>
      </c>
      <c r="BJ85" s="156" t="e">
        <f t="shared" si="48"/>
        <v>#DIV/0!</v>
      </c>
      <c r="BK85" s="156" t="e">
        <f t="shared" si="48"/>
        <v>#DIV/0!</v>
      </c>
      <c r="BL85" s="156" t="e">
        <f t="shared" si="48"/>
        <v>#DIV/0!</v>
      </c>
      <c r="BM85" s="156" t="e">
        <f t="shared" si="48"/>
        <v>#DIV/0!</v>
      </c>
      <c r="BN85" s="156" t="e">
        <f t="shared" si="48"/>
        <v>#DIV/0!</v>
      </c>
      <c r="BO85" s="156" t="e">
        <f t="shared" si="48"/>
        <v>#DIV/0!</v>
      </c>
      <c r="BP85" s="156" t="e">
        <f t="shared" si="48"/>
        <v>#DIV/0!</v>
      </c>
      <c r="BQ85" s="156" t="e">
        <f t="shared" si="48"/>
        <v>#DIV/0!</v>
      </c>
      <c r="BR85" s="156" t="e">
        <f t="shared" ref="BR85:CK85" si="49">BR81/BR84</f>
        <v>#DIV/0!</v>
      </c>
      <c r="BS85" s="156" t="e">
        <f t="shared" si="49"/>
        <v>#DIV/0!</v>
      </c>
      <c r="BT85" s="156" t="e">
        <f t="shared" si="49"/>
        <v>#DIV/0!</v>
      </c>
      <c r="BU85" s="156" t="e">
        <f t="shared" si="49"/>
        <v>#DIV/0!</v>
      </c>
      <c r="BV85" s="156" t="e">
        <f t="shared" si="49"/>
        <v>#DIV/0!</v>
      </c>
      <c r="BW85" s="156" t="e">
        <f t="shared" si="49"/>
        <v>#DIV/0!</v>
      </c>
      <c r="BX85" s="156" t="e">
        <f t="shared" si="49"/>
        <v>#DIV/0!</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586</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5" t="s">
        <v>587</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52" t="s">
        <v>694</v>
      </c>
      <c r="E93" s="156">
        <f>E81/E92</f>
        <v>14.872611487087712</v>
      </c>
      <c r="F93" s="156">
        <f t="shared" ref="F93:BQ93" si="52">F81/F92</f>
        <v>10.673734371708244</v>
      </c>
      <c r="G93" s="156">
        <f t="shared" si="52"/>
        <v>7.3596617118632235</v>
      </c>
      <c r="H93" s="156">
        <f t="shared" si="52"/>
        <v>5.5858132668907601</v>
      </c>
      <c r="I93" s="156">
        <f t="shared" si="52"/>
        <v>16.524974034197442</v>
      </c>
      <c r="J93" s="156">
        <f t="shared" si="52"/>
        <v>14.083200553823991</v>
      </c>
      <c r="K93" s="156">
        <f t="shared" si="52"/>
        <v>9.2943270989968561</v>
      </c>
      <c r="L93" s="156">
        <f t="shared" si="52"/>
        <v>4.4179877347895324</v>
      </c>
      <c r="M93" s="156">
        <f t="shared" si="52"/>
        <v>17.916033198369714</v>
      </c>
      <c r="N93" s="156">
        <f t="shared" si="52"/>
        <v>14.951829067726624</v>
      </c>
      <c r="O93" s="156">
        <f t="shared" si="52"/>
        <v>8.9105283359486904</v>
      </c>
      <c r="P93" s="156">
        <f t="shared" si="52"/>
        <v>3.8093400022658308</v>
      </c>
      <c r="Q93" s="156">
        <f t="shared" si="52"/>
        <v>15.156967486220665</v>
      </c>
      <c r="R93" s="156">
        <f t="shared" si="52"/>
        <v>9.8949179949141222</v>
      </c>
      <c r="S93" s="156">
        <f t="shared" si="52"/>
        <v>6.0103764003832758</v>
      </c>
      <c r="T93" s="156">
        <f t="shared" si="52"/>
        <v>2.7383271209199616</v>
      </c>
      <c r="U93" s="156">
        <f t="shared" si="52"/>
        <v>13.298851709177708</v>
      </c>
      <c r="V93" s="156">
        <f t="shared" si="52"/>
        <v>9.6210844184910265</v>
      </c>
      <c r="W93" s="156">
        <f t="shared" si="52"/>
        <v>6.9042242983829274</v>
      </c>
      <c r="X93" s="156">
        <f t="shared" si="52"/>
        <v>3.9624299385791941</v>
      </c>
      <c r="Y93" s="156">
        <f t="shared" si="52"/>
        <v>14.040295515753376</v>
      </c>
      <c r="Z93" s="156">
        <f t="shared" si="52"/>
        <v>9.6072567132172253</v>
      </c>
      <c r="AA93" s="156">
        <f t="shared" si="52"/>
        <v>12.920508388240782</v>
      </c>
      <c r="AB93" s="156">
        <f t="shared" si="52"/>
        <v>5.7701637338533729</v>
      </c>
      <c r="AC93" s="156">
        <f t="shared" si="52"/>
        <v>26.553898952102056</v>
      </c>
      <c r="AD93" s="156">
        <f t="shared" si="52"/>
        <v>20.459837014765586</v>
      </c>
      <c r="AE93" s="156">
        <f t="shared" si="52"/>
        <v>14.885796766127966</v>
      </c>
      <c r="AF93" s="156">
        <f t="shared" si="52"/>
        <v>6.5857788431852597</v>
      </c>
      <c r="AG93" s="156">
        <f t="shared" si="52"/>
        <v>41.364460088030519</v>
      </c>
      <c r="AH93" s="156">
        <f t="shared" si="52"/>
        <v>31.199754404593133</v>
      </c>
      <c r="AI93" s="156" t="e">
        <f t="shared" si="52"/>
        <v>#DIV/0!</v>
      </c>
      <c r="AJ93" s="156" t="e">
        <f t="shared" si="52"/>
        <v>#DIV/0!</v>
      </c>
      <c r="AK93" s="156" t="e">
        <f t="shared" si="52"/>
        <v>#DIV/0!</v>
      </c>
      <c r="AL93" s="156" t="e">
        <f t="shared" si="52"/>
        <v>#DIV/0!</v>
      </c>
      <c r="AM93" s="156" t="e">
        <f t="shared" si="52"/>
        <v>#DIV/0!</v>
      </c>
      <c r="AN93" s="156" t="e">
        <f t="shared" si="52"/>
        <v>#DIV/0!</v>
      </c>
      <c r="AO93" s="156" t="e">
        <f t="shared" si="52"/>
        <v>#DIV/0!</v>
      </c>
      <c r="AP93" s="156" t="e">
        <f t="shared" si="52"/>
        <v>#DIV/0!</v>
      </c>
      <c r="AQ93" s="156" t="e">
        <f t="shared" si="52"/>
        <v>#DIV/0!</v>
      </c>
      <c r="AR93" s="156" t="e">
        <f t="shared" si="52"/>
        <v>#DIV/0!</v>
      </c>
      <c r="AS93" s="156" t="e">
        <f t="shared" si="52"/>
        <v>#DIV/0!</v>
      </c>
      <c r="AT93" s="156" t="e">
        <f t="shared" si="52"/>
        <v>#DIV/0!</v>
      </c>
      <c r="AU93" s="156" t="e">
        <f t="shared" si="52"/>
        <v>#DIV/0!</v>
      </c>
      <c r="AV93" s="156" t="e">
        <f t="shared" si="52"/>
        <v>#DIV/0!</v>
      </c>
      <c r="AW93" s="156" t="e">
        <f t="shared" si="52"/>
        <v>#DIV/0!</v>
      </c>
      <c r="AX93" s="156" t="e">
        <f t="shared" si="52"/>
        <v>#DIV/0!</v>
      </c>
      <c r="AY93" s="156" t="e">
        <f t="shared" si="52"/>
        <v>#DIV/0!</v>
      </c>
      <c r="AZ93" s="156" t="e">
        <f t="shared" si="52"/>
        <v>#DIV/0!</v>
      </c>
      <c r="BA93" s="156" t="e">
        <f t="shared" si="52"/>
        <v>#DIV/0!</v>
      </c>
      <c r="BB93" s="156" t="e">
        <f t="shared" si="52"/>
        <v>#DIV/0!</v>
      </c>
      <c r="BC93" s="156" t="e">
        <f t="shared" si="52"/>
        <v>#DIV/0!</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8" customFormat="1" x14ac:dyDescent="0.25">
      <c r="A100" s="88" t="s">
        <v>691</v>
      </c>
      <c r="E100" s="198">
        <f>(E84+I84)/2</f>
        <v>1277458905.1100001</v>
      </c>
      <c r="F100" s="198">
        <f t="shared" ref="F100:BQ100" si="54">(F84+J84)/2</f>
        <v>1178265757.4200001</v>
      </c>
      <c r="G100" s="198">
        <f t="shared" si="54"/>
        <v>1061834440.135</v>
      </c>
      <c r="H100" s="198">
        <f t="shared" si="54"/>
        <v>1048088018.775</v>
      </c>
      <c r="I100" s="198">
        <f t="shared" si="54"/>
        <v>1059268676.5450001</v>
      </c>
      <c r="J100" s="198">
        <f t="shared" si="54"/>
        <v>896844002.55999994</v>
      </c>
      <c r="K100" s="198">
        <f t="shared" si="54"/>
        <v>819244491.10500002</v>
      </c>
      <c r="L100" s="198">
        <f t="shared" si="54"/>
        <v>805530960.245</v>
      </c>
      <c r="M100" s="198">
        <f t="shared" si="54"/>
        <v>798739036.91499996</v>
      </c>
      <c r="N100" s="198">
        <f t="shared" si="54"/>
        <v>629040760.03499997</v>
      </c>
      <c r="O100" s="198">
        <f t="shared" si="54"/>
        <v>550461823.76499999</v>
      </c>
      <c r="P100" s="198">
        <f t="shared" si="54"/>
        <v>558263511.76999998</v>
      </c>
      <c r="Q100" s="198">
        <f t="shared" si="54"/>
        <v>572059853.07999992</v>
      </c>
      <c r="R100" s="198">
        <f t="shared" si="54"/>
        <v>495711146.46500003</v>
      </c>
      <c r="S100" s="198">
        <f t="shared" si="54"/>
        <v>478848347.15499997</v>
      </c>
      <c r="T100" s="198">
        <f t="shared" si="54"/>
        <v>433444402.86500001</v>
      </c>
      <c r="U100" s="198">
        <f t="shared" si="54"/>
        <v>443518370.41500002</v>
      </c>
      <c r="V100" s="198">
        <f t="shared" si="54"/>
        <v>435201873.19499999</v>
      </c>
      <c r="W100" s="198">
        <f t="shared" si="54"/>
        <v>374449908.16499996</v>
      </c>
      <c r="X100" s="198">
        <f t="shared" si="54"/>
        <v>324182946.31500006</v>
      </c>
      <c r="Y100" s="198">
        <f t="shared" si="54"/>
        <v>329333033.16500002</v>
      </c>
      <c r="Z100" s="198">
        <f t="shared" si="54"/>
        <v>319668077.23000002</v>
      </c>
      <c r="AA100" s="198">
        <f t="shared" si="54"/>
        <v>274423016.73000002</v>
      </c>
      <c r="AB100" s="198">
        <f t="shared" si="54"/>
        <v>274539109.31999999</v>
      </c>
      <c r="AC100" s="198">
        <f t="shared" si="54"/>
        <v>220203459.65000001</v>
      </c>
      <c r="AD100" s="198">
        <f t="shared" si="54"/>
        <v>206829876.05500001</v>
      </c>
      <c r="AE100" s="198">
        <f t="shared" si="54"/>
        <v>131152490.935</v>
      </c>
      <c r="AF100" s="198">
        <f t="shared" si="54"/>
        <v>131153305.98999999</v>
      </c>
      <c r="AG100" s="198">
        <f t="shared" si="54"/>
        <v>75354044.659999996</v>
      </c>
      <c r="AH100" s="198">
        <f t="shared" si="54"/>
        <v>73117877.894999996</v>
      </c>
      <c r="AI100" s="198">
        <f t="shared" si="54"/>
        <v>0</v>
      </c>
      <c r="AJ100" s="198">
        <f t="shared" si="54"/>
        <v>0</v>
      </c>
      <c r="AK100" s="198">
        <f t="shared" si="54"/>
        <v>0</v>
      </c>
      <c r="AL100" s="198">
        <f t="shared" si="54"/>
        <v>0</v>
      </c>
      <c r="AM100" s="198">
        <f t="shared" si="54"/>
        <v>0</v>
      </c>
      <c r="AN100" s="198">
        <f t="shared" si="54"/>
        <v>0</v>
      </c>
      <c r="AO100" s="198">
        <f t="shared" si="54"/>
        <v>0</v>
      </c>
      <c r="AP100" s="198">
        <f t="shared" si="54"/>
        <v>0</v>
      </c>
      <c r="AQ100" s="198">
        <f t="shared" si="54"/>
        <v>0</v>
      </c>
      <c r="AR100" s="198">
        <f t="shared" si="54"/>
        <v>0</v>
      </c>
      <c r="AS100" s="198">
        <f t="shared" si="54"/>
        <v>0</v>
      </c>
      <c r="AT100" s="198">
        <f t="shared" si="54"/>
        <v>0</v>
      </c>
      <c r="AU100" s="198">
        <f t="shared" si="54"/>
        <v>0</v>
      </c>
      <c r="AV100" s="198">
        <f t="shared" si="54"/>
        <v>0</v>
      </c>
      <c r="AW100" s="198">
        <f t="shared" si="54"/>
        <v>0</v>
      </c>
      <c r="AX100" s="198">
        <f t="shared" si="54"/>
        <v>0</v>
      </c>
      <c r="AY100" s="198">
        <f t="shared" si="54"/>
        <v>0</v>
      </c>
      <c r="AZ100" s="198">
        <f t="shared" si="54"/>
        <v>0</v>
      </c>
      <c r="BA100" s="198">
        <f t="shared" si="54"/>
        <v>0</v>
      </c>
      <c r="BB100" s="198">
        <f t="shared" si="54"/>
        <v>0</v>
      </c>
      <c r="BC100" s="198">
        <f t="shared" si="54"/>
        <v>0</v>
      </c>
      <c r="BD100" s="198">
        <f t="shared" si="54"/>
        <v>0</v>
      </c>
      <c r="BE100" s="198">
        <f t="shared" si="54"/>
        <v>0</v>
      </c>
      <c r="BF100" s="198">
        <f t="shared" si="54"/>
        <v>0</v>
      </c>
      <c r="BG100" s="198">
        <f t="shared" si="54"/>
        <v>0</v>
      </c>
      <c r="BH100" s="198">
        <f t="shared" si="54"/>
        <v>0</v>
      </c>
      <c r="BI100" s="198">
        <f t="shared" si="54"/>
        <v>0</v>
      </c>
      <c r="BJ100" s="198">
        <f t="shared" si="54"/>
        <v>0</v>
      </c>
      <c r="BK100" s="198">
        <f t="shared" si="54"/>
        <v>0</v>
      </c>
      <c r="BL100" s="198">
        <f t="shared" si="54"/>
        <v>0</v>
      </c>
      <c r="BM100" s="198">
        <f t="shared" si="54"/>
        <v>0</v>
      </c>
      <c r="BN100" s="198">
        <f t="shared" si="54"/>
        <v>0</v>
      </c>
      <c r="BO100" s="198">
        <f t="shared" si="54"/>
        <v>0</v>
      </c>
      <c r="BP100" s="198">
        <f t="shared" si="54"/>
        <v>0</v>
      </c>
      <c r="BQ100" s="198">
        <f t="shared" si="54"/>
        <v>0</v>
      </c>
      <c r="BR100" s="198">
        <f t="shared" ref="BR100:CK100" si="55">(BR84+BV84)/2</f>
        <v>0</v>
      </c>
      <c r="BS100" s="198">
        <f t="shared" si="55"/>
        <v>0</v>
      </c>
      <c r="BT100" s="198">
        <f t="shared" si="55"/>
        <v>0</v>
      </c>
      <c r="BU100" s="198">
        <f t="shared" si="55"/>
        <v>0</v>
      </c>
      <c r="BV100" s="198">
        <f t="shared" si="55"/>
        <v>0</v>
      </c>
      <c r="BW100" s="198">
        <f t="shared" si="55"/>
        <v>0</v>
      </c>
      <c r="BX100" s="198">
        <f t="shared" si="55"/>
        <v>0</v>
      </c>
      <c r="BY100" s="198">
        <f t="shared" si="55"/>
        <v>0</v>
      </c>
      <c r="BZ100" s="198">
        <f t="shared" si="55"/>
        <v>0</v>
      </c>
      <c r="CA100" s="198">
        <f t="shared" si="55"/>
        <v>0</v>
      </c>
      <c r="CB100" s="198">
        <f t="shared" si="55"/>
        <v>0</v>
      </c>
      <c r="CC100" s="198">
        <f t="shared" si="55"/>
        <v>0</v>
      </c>
      <c r="CD100" s="198">
        <f t="shared" si="55"/>
        <v>0</v>
      </c>
      <c r="CE100" s="198">
        <f t="shared" si="55"/>
        <v>0</v>
      </c>
      <c r="CF100" s="198">
        <f t="shared" si="55"/>
        <v>0</v>
      </c>
      <c r="CG100" s="198">
        <f t="shared" si="55"/>
        <v>0</v>
      </c>
      <c r="CH100" s="198">
        <f t="shared" si="55"/>
        <v>0</v>
      </c>
      <c r="CI100" s="198">
        <f t="shared" si="55"/>
        <v>0</v>
      </c>
      <c r="CJ100" s="198">
        <f t="shared" si="55"/>
        <v>0</v>
      </c>
      <c r="CK100" s="198">
        <f t="shared" si="55"/>
        <v>0</v>
      </c>
    </row>
    <row r="101" spans="1:89" s="253" customFormat="1" ht="15" thickBot="1" x14ac:dyDescent="0.3">
      <c r="A101" s="254" t="s">
        <v>692</v>
      </c>
      <c r="E101" s="253">
        <f>E100/E84</f>
        <v>0.90740967967090747</v>
      </c>
      <c r="F101" s="253">
        <f t="shared" ref="F101:BQ101" si="56">F100/F84</f>
        <v>0.88725210276964284</v>
      </c>
      <c r="G101" s="253">
        <f t="shared" si="56"/>
        <v>0.97347626707324675</v>
      </c>
      <c r="H101" s="253">
        <f t="shared" si="56"/>
        <v>0.95598234979004626</v>
      </c>
      <c r="I101" s="253">
        <f t="shared" si="56"/>
        <v>0.92342421900042293</v>
      </c>
      <c r="J101" s="253">
        <f t="shared" si="56"/>
        <v>0.87196069477607252</v>
      </c>
      <c r="K101" s="253">
        <f t="shared" si="56"/>
        <v>0.79314735412309934</v>
      </c>
      <c r="L101" s="253">
        <f t="shared" si="56"/>
        <v>0.80566839381026512</v>
      </c>
      <c r="M101" s="253">
        <f t="shared" si="56"/>
        <v>0.82223195341019117</v>
      </c>
      <c r="N101" s="253">
        <f t="shared" si="56"/>
        <v>0.82211342833683809</v>
      </c>
      <c r="O101" s="253">
        <f t="shared" si="56"/>
        <v>0.90897424995309895</v>
      </c>
      <c r="P101" s="253">
        <f t="shared" si="56"/>
        <v>0.91334068184786021</v>
      </c>
      <c r="Q101" s="253">
        <f t="shared" si="56"/>
        <v>0.91376035267600353</v>
      </c>
      <c r="R101" s="253">
        <f t="shared" si="56"/>
        <v>1.0056406341877304</v>
      </c>
      <c r="S101" s="253">
        <f t="shared" si="56"/>
        <v>0.96671043861043604</v>
      </c>
      <c r="T101" s="253">
        <f t="shared" si="56"/>
        <v>0.85780546971076066</v>
      </c>
      <c r="U101" s="253">
        <f t="shared" si="56"/>
        <v>0.85609820029876316</v>
      </c>
      <c r="V101" s="253">
        <f t="shared" si="56"/>
        <v>0.87303754657689547</v>
      </c>
      <c r="W101" s="253">
        <f t="shared" si="56"/>
        <v>0.80986873553822614</v>
      </c>
      <c r="X101" s="253">
        <f t="shared" si="56"/>
        <v>0.89653780187747811</v>
      </c>
      <c r="Y101" s="253">
        <f t="shared" si="56"/>
        <v>0.89258069747037583</v>
      </c>
      <c r="Z101" s="253">
        <f t="shared" si="56"/>
        <v>0.85952575153422772</v>
      </c>
      <c r="AA101" s="253">
        <f t="shared" si="56"/>
        <v>0.95770925390006889</v>
      </c>
      <c r="AB101" s="253">
        <f t="shared" si="56"/>
        <v>0.95734411268092157</v>
      </c>
      <c r="AC101" s="253">
        <f t="shared" si="56"/>
        <v>0.76011166377579853</v>
      </c>
      <c r="AD101" s="253">
        <f t="shared" si="56"/>
        <v>0.77341554572951277</v>
      </c>
      <c r="AE101" s="253">
        <f t="shared" si="56"/>
        <v>0.5</v>
      </c>
      <c r="AF101" s="253">
        <f t="shared" si="56"/>
        <v>0.5</v>
      </c>
      <c r="AG101" s="253">
        <f t="shared" si="56"/>
        <v>0.5</v>
      </c>
      <c r="AH101" s="253">
        <f t="shared" si="56"/>
        <v>0.5</v>
      </c>
      <c r="AI101" s="253" t="e">
        <f t="shared" si="56"/>
        <v>#DIV/0!</v>
      </c>
      <c r="AJ101" s="253" t="e">
        <f t="shared" si="56"/>
        <v>#DIV/0!</v>
      </c>
      <c r="AK101" s="253" t="e">
        <f t="shared" si="56"/>
        <v>#DIV/0!</v>
      </c>
      <c r="AL101" s="253" t="e">
        <f t="shared" si="56"/>
        <v>#DIV/0!</v>
      </c>
      <c r="AM101" s="253" t="e">
        <f t="shared" si="56"/>
        <v>#DIV/0!</v>
      </c>
      <c r="AN101" s="253" t="e">
        <f t="shared" si="56"/>
        <v>#DIV/0!</v>
      </c>
      <c r="AO101" s="253" t="e">
        <f t="shared" si="56"/>
        <v>#DIV/0!</v>
      </c>
      <c r="AP101" s="253" t="e">
        <f t="shared" si="56"/>
        <v>#DIV/0!</v>
      </c>
      <c r="AQ101" s="253" t="e">
        <f t="shared" si="56"/>
        <v>#DIV/0!</v>
      </c>
      <c r="AR101" s="253" t="e">
        <f t="shared" si="56"/>
        <v>#DIV/0!</v>
      </c>
      <c r="AS101" s="253" t="e">
        <f t="shared" si="56"/>
        <v>#DIV/0!</v>
      </c>
      <c r="AT101" s="253" t="e">
        <f t="shared" si="56"/>
        <v>#DIV/0!</v>
      </c>
      <c r="AU101" s="253" t="e">
        <f t="shared" si="56"/>
        <v>#DIV/0!</v>
      </c>
      <c r="AV101" s="253" t="e">
        <f t="shared" si="56"/>
        <v>#DIV/0!</v>
      </c>
      <c r="AW101" s="253" t="e">
        <f t="shared" si="56"/>
        <v>#DIV/0!</v>
      </c>
      <c r="AX101" s="253" t="e">
        <f t="shared" si="56"/>
        <v>#DIV/0!</v>
      </c>
      <c r="AY101" s="253" t="e">
        <f t="shared" si="56"/>
        <v>#DIV/0!</v>
      </c>
      <c r="AZ101" s="253" t="e">
        <f t="shared" si="56"/>
        <v>#DIV/0!</v>
      </c>
      <c r="BA101" s="253" t="e">
        <f t="shared" si="56"/>
        <v>#DIV/0!</v>
      </c>
      <c r="BB101" s="253" t="e">
        <f t="shared" si="56"/>
        <v>#DIV/0!</v>
      </c>
      <c r="BC101" s="253" t="e">
        <f t="shared" si="56"/>
        <v>#DIV/0!</v>
      </c>
      <c r="BD101" s="253" t="e">
        <f t="shared" si="56"/>
        <v>#DIV/0!</v>
      </c>
      <c r="BE101" s="253" t="e">
        <f t="shared" si="56"/>
        <v>#DIV/0!</v>
      </c>
      <c r="BF101" s="253" t="e">
        <f t="shared" si="56"/>
        <v>#DIV/0!</v>
      </c>
      <c r="BG101" s="253" t="e">
        <f t="shared" si="56"/>
        <v>#DIV/0!</v>
      </c>
      <c r="BH101" s="253" t="e">
        <f t="shared" si="56"/>
        <v>#DIV/0!</v>
      </c>
      <c r="BI101" s="253" t="e">
        <f t="shared" si="56"/>
        <v>#DIV/0!</v>
      </c>
      <c r="BJ101" s="253" t="e">
        <f t="shared" si="56"/>
        <v>#DIV/0!</v>
      </c>
      <c r="BK101" s="253" t="e">
        <f t="shared" si="56"/>
        <v>#DIV/0!</v>
      </c>
      <c r="BL101" s="253" t="e">
        <f t="shared" si="56"/>
        <v>#DIV/0!</v>
      </c>
      <c r="BM101" s="253" t="e">
        <f t="shared" si="56"/>
        <v>#DIV/0!</v>
      </c>
      <c r="BN101" s="253" t="e">
        <f t="shared" si="56"/>
        <v>#DIV/0!</v>
      </c>
      <c r="BO101" s="253" t="e">
        <f t="shared" si="56"/>
        <v>#DIV/0!</v>
      </c>
      <c r="BP101" s="253" t="e">
        <f t="shared" si="56"/>
        <v>#DIV/0!</v>
      </c>
      <c r="BQ101" s="253" t="e">
        <f t="shared" si="56"/>
        <v>#DIV/0!</v>
      </c>
      <c r="BR101" s="253" t="e">
        <f t="shared" ref="BR101:CK101" si="57">BR100/BR84</f>
        <v>#DIV/0!</v>
      </c>
      <c r="BS101" s="253" t="e">
        <f t="shared" si="57"/>
        <v>#DIV/0!</v>
      </c>
      <c r="BT101" s="253" t="e">
        <f t="shared" si="57"/>
        <v>#DIV/0!</v>
      </c>
      <c r="BU101" s="253" t="e">
        <f t="shared" si="57"/>
        <v>#DIV/0!</v>
      </c>
      <c r="BV101" s="253" t="e">
        <f t="shared" si="57"/>
        <v>#DIV/0!</v>
      </c>
      <c r="BW101" s="253" t="e">
        <f t="shared" si="57"/>
        <v>#DIV/0!</v>
      </c>
      <c r="BX101" s="253" t="e">
        <f t="shared" si="57"/>
        <v>#DIV/0!</v>
      </c>
      <c r="BY101" s="253" t="e">
        <f t="shared" si="57"/>
        <v>#DIV/0!</v>
      </c>
      <c r="BZ101" s="253" t="e">
        <f t="shared" si="57"/>
        <v>#DIV/0!</v>
      </c>
      <c r="CA101" s="253" t="e">
        <f t="shared" si="57"/>
        <v>#DIV/0!</v>
      </c>
      <c r="CB101" s="253" t="e">
        <f t="shared" si="57"/>
        <v>#DIV/0!</v>
      </c>
      <c r="CC101" s="253" t="e">
        <f t="shared" si="57"/>
        <v>#DIV/0!</v>
      </c>
      <c r="CD101" s="253" t="e">
        <f t="shared" si="57"/>
        <v>#DIV/0!</v>
      </c>
      <c r="CE101" s="253" t="e">
        <f t="shared" si="57"/>
        <v>#DIV/0!</v>
      </c>
      <c r="CF101" s="253" t="e">
        <f t="shared" si="57"/>
        <v>#DIV/0!</v>
      </c>
      <c r="CG101" s="253" t="e">
        <f t="shared" si="57"/>
        <v>#DIV/0!</v>
      </c>
      <c r="CH101" s="253" t="e">
        <f t="shared" si="57"/>
        <v>#DIV/0!</v>
      </c>
      <c r="CI101" s="253" t="e">
        <f t="shared" si="57"/>
        <v>#DIV/0!</v>
      </c>
      <c r="CJ101" s="253" t="e">
        <f t="shared" si="57"/>
        <v>#DIV/0!</v>
      </c>
      <c r="CK101" s="253" t="e">
        <f t="shared" si="57"/>
        <v>#DIV/0!</v>
      </c>
    </row>
    <row r="102" spans="1:89" ht="204.75" customHeight="1" x14ac:dyDescent="0.25">
      <c r="A102" s="284" t="s">
        <v>693</v>
      </c>
      <c r="B102" s="285"/>
      <c r="C102" s="285"/>
      <c r="D102" s="285"/>
      <c r="E102" s="285"/>
      <c r="F102" s="285"/>
      <c r="G102" s="285"/>
      <c r="H102" s="285"/>
      <c r="I102" s="285"/>
      <c r="J102" s="285"/>
      <c r="K102" s="285"/>
      <c r="L102" s="285"/>
      <c r="M102" s="285"/>
      <c r="N102" s="285"/>
      <c r="O102" s="285"/>
      <c r="P102" s="285"/>
      <c r="Q102" s="285"/>
      <c r="R102" s="285"/>
      <c r="S102" s="285"/>
      <c r="T102" s="285"/>
      <c r="U102" s="285"/>
      <c r="V102" s="285"/>
      <c r="W102" s="285"/>
      <c r="X102" s="285"/>
      <c r="Y102" s="285"/>
      <c r="Z102" s="285"/>
      <c r="AA102" s="285"/>
      <c r="AB102" s="285"/>
      <c r="AC102" s="285"/>
      <c r="AD102" s="285"/>
      <c r="AE102" s="285"/>
      <c r="AF102" s="285"/>
      <c r="AG102" s="285"/>
      <c r="AH102" s="285"/>
      <c r="AI102" s="285"/>
      <c r="AJ102" s="285"/>
      <c r="AK102" s="285"/>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18" sqref="E18"/>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7.77734375" hidden="1" customWidth="1"/>
    <col min="12" max="12" width="19" hidden="1" customWidth="1"/>
    <col min="13" max="13" width="19.33203125" bestFit="1" customWidth="1"/>
    <col min="14" max="14" width="19.33203125" hidden="1" customWidth="1"/>
    <col min="15" max="16" width="19" hidden="1" customWidth="1"/>
    <col min="17" max="17" width="19.33203125" bestFit="1" customWidth="1"/>
    <col min="18" max="18" width="19" hidden="1" customWidth="1"/>
    <col min="19" max="20" width="17.77734375" hidden="1" customWidth="1"/>
    <col min="21" max="21" width="19" bestFit="1" customWidth="1"/>
    <col min="22" max="22" width="19" hidden="1" customWidth="1"/>
    <col min="23" max="24" width="17.77734375" hidden="1" customWidth="1"/>
    <col min="25" max="25" width="17.77734375" bestFit="1" customWidth="1"/>
    <col min="26" max="27" width="17.77734375" hidden="1" customWidth="1"/>
    <col min="28" max="28" width="17.21875" hidden="1" customWidth="1"/>
    <col min="29" max="29" width="19" bestFit="1" customWidth="1"/>
    <col min="30" max="31" width="19" hidden="1" customWidth="1"/>
    <col min="32" max="32" width="17.77734375" hidden="1" customWidth="1"/>
    <col min="33" max="33" width="19" bestFit="1" customWidth="1"/>
    <col min="34" max="34" width="19" hidden="1" customWidth="1"/>
    <col min="35" max="36" width="17.77734375" bestFit="1" customWidth="1"/>
    <col min="37" max="37" width="17.21875" hidden="1" customWidth="1"/>
    <col min="38" max="39" width="18.33203125" hidden="1" customWidth="1"/>
    <col min="40" max="40" width="17.21875" hidden="1" customWidth="1"/>
    <col min="41" max="41" width="21.5546875" bestFit="1" customWidth="1"/>
    <col min="42" max="44" width="18.33203125" hidden="1" customWidth="1"/>
    <col min="45" max="45" width="18.33203125" bestFit="1" customWidth="1"/>
    <col min="46" max="48" width="18.33203125" hidden="1" customWidth="1"/>
    <col min="49" max="49" width="18.33203125" bestFit="1" customWidth="1"/>
    <col min="50" max="51" width="18.33203125" hidden="1" customWidth="1"/>
    <col min="52" max="52" width="17.21875" hidden="1" customWidth="1"/>
    <col min="53" max="53" width="18.33203125" bestFit="1" customWidth="1"/>
    <col min="54" max="55" width="18.33203125" hidden="1" customWidth="1"/>
    <col min="56" max="56" width="17.21875" hidden="1" customWidth="1"/>
    <col min="57" max="57" width="18.33203125" bestFit="1" customWidth="1"/>
    <col min="58" max="59" width="18.33203125" hidden="1" customWidth="1"/>
    <col min="60"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6.109375" bestFit="1" customWidth="1"/>
    <col min="72" max="72" width="17.21875" hidden="1" customWidth="1"/>
    <col min="73" max="74" width="17.21875" bestFit="1" customWidth="1"/>
    <col min="75" max="76" width="16.1093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612280415.13</v>
      </c>
      <c r="F14" s="26">
        <f>现金流量表!F13</f>
        <v>524013685.56</v>
      </c>
      <c r="G14" s="26">
        <f>现金流量表!G13</f>
        <v>388747462.31999999</v>
      </c>
      <c r="H14" s="26">
        <f>现金流量表!H13</f>
        <v>257293820.97999999</v>
      </c>
      <c r="I14" s="26">
        <f>现金流量表!I13</f>
        <v>152654463.16999999</v>
      </c>
      <c r="J14" s="26">
        <f>现金流量表!J13</f>
        <v>145353901.49000001</v>
      </c>
      <c r="K14" s="26">
        <f>现金流量表!K13</f>
        <v>86112662.510000005</v>
      </c>
      <c r="L14" s="26">
        <f>现金流量表!L13</f>
        <v>102339094.16</v>
      </c>
      <c r="M14" s="26">
        <f>现金流量表!M13</f>
        <v>366599551.26999998</v>
      </c>
      <c r="N14" s="26">
        <f>现金流量表!N13</f>
        <v>301398516.12</v>
      </c>
      <c r="O14" s="26">
        <f>现金流量表!O13</f>
        <v>176387130.99000001</v>
      </c>
      <c r="P14" s="26">
        <f>现金流量表!P13</f>
        <v>133686240.64</v>
      </c>
      <c r="Q14" s="26">
        <f>现金流量表!Q13</f>
        <v>143375664.33000001</v>
      </c>
      <c r="R14" s="26">
        <f>现金流量表!R13</f>
        <v>129319731.53</v>
      </c>
      <c r="S14" s="26">
        <f>现金流量表!S13</f>
        <v>56104951.130000003</v>
      </c>
      <c r="T14" s="26">
        <f>现金流量表!T13</f>
        <v>25001014.359999999</v>
      </c>
      <c r="U14" s="26">
        <f>现金流量表!U13</f>
        <v>198143305.22999999</v>
      </c>
      <c r="V14" s="26">
        <f>现金流量表!V13</f>
        <v>128871538</v>
      </c>
      <c r="W14" s="26">
        <f>现金流量表!W13</f>
        <v>65391736.07</v>
      </c>
      <c r="X14" s="26">
        <f>现金流量表!X13</f>
        <v>28403041.719999999</v>
      </c>
      <c r="Y14" s="26">
        <f>现金流量表!Y13</f>
        <v>66414783.799999997</v>
      </c>
      <c r="Z14" s="26">
        <f>现金流量表!Z13</f>
        <v>63801535.789999999</v>
      </c>
      <c r="AA14" s="26">
        <f>现金流量表!AA13</f>
        <v>31337114.91</v>
      </c>
      <c r="AB14" s="26">
        <f>现金流量表!AB13</f>
        <v>59383.69</v>
      </c>
      <c r="AC14" s="26">
        <f>现金流量表!AC13</f>
        <v>189079188.53</v>
      </c>
      <c r="AD14" s="26">
        <f>现金流量表!AD13</f>
        <v>216560178.52000001</v>
      </c>
      <c r="AE14" s="26">
        <f>现金流量表!AE13</f>
        <v>144211016.88</v>
      </c>
      <c r="AF14" s="26">
        <f>现金流量表!AF13</f>
        <v>52098792.939999998</v>
      </c>
      <c r="AG14" s="26">
        <f>现金流量表!AG13</f>
        <v>156068852.72</v>
      </c>
      <c r="AH14" s="26">
        <f>现金流量表!AH13</f>
        <v>117420567.38</v>
      </c>
      <c r="AI14" s="26">
        <f>现金流量表!AI13</f>
        <v>94704915.730000004</v>
      </c>
      <c r="AJ14" s="26">
        <f>现金流量表!AJ13</f>
        <v>64957959.640000001</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304306233.41999978</v>
      </c>
      <c r="F17" s="26">
        <f>股权价值增加表!F42</f>
        <v>262599285.01000014</v>
      </c>
      <c r="G17" s="26">
        <f>股权价值增加表!G42</f>
        <v>194563579.06</v>
      </c>
      <c r="H17" s="26">
        <f>股权价值增加表!H42</f>
        <v>92510941.320000023</v>
      </c>
      <c r="I17" s="26">
        <f>股权价值增加表!I42</f>
        <v>370011591.78999984</v>
      </c>
      <c r="J17" s="26">
        <f>股权价值增加表!J42</f>
        <v>264716610.8499999</v>
      </c>
      <c r="K17" s="26">
        <f>股权价值增加表!K42</f>
        <v>199116643.63999999</v>
      </c>
      <c r="L17" s="26">
        <f>股权价值增加表!L42</f>
        <v>86694933.889999986</v>
      </c>
      <c r="M17" s="26">
        <f>股权价值增加表!M42</f>
        <v>298144112.63</v>
      </c>
      <c r="N17" s="26">
        <f>股权价值增加表!N42</f>
        <v>145948182.48999989</v>
      </c>
      <c r="O17" s="26">
        <f>股权价值增加表!O42</f>
        <v>70088189.920000046</v>
      </c>
      <c r="P17" s="26">
        <f>股权价值增加表!P42</f>
        <v>23681393.739999991</v>
      </c>
      <c r="Q17" s="26">
        <f>股权价值增加表!Q42</f>
        <v>99276084.000000089</v>
      </c>
      <c r="R17" s="26">
        <f>股权价值增加表!R42</f>
        <v>63144760.389999971</v>
      </c>
      <c r="S17" s="26">
        <f>股权价值增加表!S42</f>
        <v>36513669.350000024</v>
      </c>
      <c r="T17" s="26">
        <f>股权价值增加表!T42</f>
        <v>16576525.63000001</v>
      </c>
      <c r="U17" s="26">
        <f>股权价值增加表!U42</f>
        <v>111056231.57999991</v>
      </c>
      <c r="V17" s="26">
        <f>股权价值增加表!V42</f>
        <v>89940853.150000095</v>
      </c>
      <c r="W17" s="26">
        <f>股权价值增加表!W42</f>
        <v>62583672.940000005</v>
      </c>
      <c r="X17" s="26">
        <f>股权价值增加表!X42</f>
        <v>30644006.390000012</v>
      </c>
      <c r="Y17" s="26">
        <f>股权价值增加表!Y42</f>
        <v>104099983.04999998</v>
      </c>
      <c r="Z17" s="26">
        <f>股权价值增加表!Z42</f>
        <v>81738311.960000008</v>
      </c>
      <c r="AA17" s="26">
        <f>股权价值增加表!AA42</f>
        <v>69439554.349999979</v>
      </c>
      <c r="AB17" s="26">
        <f>股权价值增加表!AB42</f>
        <v>27851357.510000005</v>
      </c>
      <c r="AC17" s="26">
        <f>股权价值增加表!AC42</f>
        <v>115126305.65999994</v>
      </c>
      <c r="AD17" s="26">
        <f>股权价值增加表!AD42</f>
        <v>102051346.40999994</v>
      </c>
      <c r="AE17" s="26">
        <f>股权价值增加表!AE42</f>
        <v>77141986.969999999</v>
      </c>
      <c r="AF17" s="26">
        <f>股权价值增加表!AF42</f>
        <v>29629487.049999997</v>
      </c>
      <c r="AG17" s="26">
        <f>股权价值增加表!AG42</f>
        <v>92811800.770000026</v>
      </c>
      <c r="AH17" s="26">
        <f>股权价值增加表!AH42</f>
        <v>74696193.409999996</v>
      </c>
      <c r="AI17" s="26">
        <f>股权价值增加表!AI42</f>
        <v>63399330.539999984</v>
      </c>
      <c r="AJ17" s="26">
        <f>股权价值增加表!AJ42</f>
        <v>93669269.390000015</v>
      </c>
      <c r="AK17" s="26">
        <f>股权价值增加表!AK42</f>
        <v>-9000550.8699999992</v>
      </c>
      <c r="AL17" s="26">
        <f>股权价值增加表!AL42</f>
        <v>-183345585.82999998</v>
      </c>
      <c r="AM17" s="26">
        <f>股权价值增加表!AM42</f>
        <v>-106810116.88</v>
      </c>
      <c r="AN17" s="26">
        <f>股权价值增加表!AN42</f>
        <v>-49783959.600000001</v>
      </c>
      <c r="AO17" s="26">
        <f>股权价值增加表!AO42</f>
        <v>-267539954.00999999</v>
      </c>
      <c r="AP17" s="26">
        <f>股权价值增加表!AP42</f>
        <v>-424870521.57999998</v>
      </c>
      <c r="AQ17" s="26">
        <f>股权价值增加表!AQ42</f>
        <v>-293304959.90999997</v>
      </c>
      <c r="AR17" s="26">
        <f>股权价值增加表!AR42</f>
        <v>-120246619.52999999</v>
      </c>
      <c r="AS17" s="26">
        <f>股权价值增加表!AS42</f>
        <v>-618583611.08000004</v>
      </c>
      <c r="AT17" s="26">
        <f>股权价值增加表!AT42</f>
        <v>-534184089.29000002</v>
      </c>
      <c r="AU17" s="26">
        <f>股权价值增加表!AU42</f>
        <v>-361733175.15000004</v>
      </c>
      <c r="AV17" s="26">
        <f>股权价值增加表!AV42</f>
        <v>-169159183.02000001</v>
      </c>
      <c r="AW17" s="26">
        <f>股权价值增加表!AW42</f>
        <v>-364665048.18000001</v>
      </c>
      <c r="AX17" s="26">
        <f>股权价值增加表!AX42</f>
        <v>-314423100.28999996</v>
      </c>
      <c r="AY17" s="26">
        <f>股权价值增加表!AY42</f>
        <v>-184996081.94999999</v>
      </c>
      <c r="AZ17" s="26">
        <f>股权价值增加表!AZ42</f>
        <v>-91146481.429999992</v>
      </c>
      <c r="BA17" s="26">
        <f>股权价值增加表!BA42</f>
        <v>-250424310.28999999</v>
      </c>
      <c r="BB17" s="26">
        <f>股权价值增加表!BB42</f>
        <v>-244895316.83000001</v>
      </c>
      <c r="BC17" s="26">
        <f>股权价值增加表!BC42</f>
        <v>-168341803.09999999</v>
      </c>
      <c r="BD17" s="26">
        <f>股权价值增加表!BD42</f>
        <v>-79512055.189999998</v>
      </c>
      <c r="BE17" s="26">
        <f>股权价值增加表!BE42</f>
        <v>-116917833.25</v>
      </c>
      <c r="BF17" s="26">
        <f>股权价值增加表!BF42</f>
        <v>-162029458.54000002</v>
      </c>
      <c r="BG17" s="26">
        <f>股权价值增加表!BG42</f>
        <v>-108444248.91</v>
      </c>
      <c r="BH17" s="26">
        <f>股权价值增加表!BH42</f>
        <v>-47946526.399999999</v>
      </c>
      <c r="BI17" s="26">
        <f>股权价值增加表!BI42</f>
        <v>-68952791.199999988</v>
      </c>
      <c r="BJ17" s="26">
        <f>股权价值增加表!BJ42</f>
        <v>-82824833.469999999</v>
      </c>
      <c r="BK17" s="26">
        <f>股权价值增加表!BK42</f>
        <v>-63169460.109999999</v>
      </c>
      <c r="BL17" s="26">
        <f>股权价值增加表!BL42</f>
        <v>-27774802.43</v>
      </c>
      <c r="BM17" s="26">
        <f>股权价值增加表!BM42</f>
        <v>-32774755.549999997</v>
      </c>
      <c r="BN17" s="26">
        <f>股权价值增加表!BN42</f>
        <v>-31702157.48</v>
      </c>
      <c r="BO17" s="26">
        <f>股权价值增加表!BO42</f>
        <v>-16273314.18</v>
      </c>
      <c r="BP17" s="26">
        <f>股权价值增加表!BP42</f>
        <v>-15224717.800000001</v>
      </c>
      <c r="BQ17" s="26">
        <f>股权价值增加表!BQ42</f>
        <v>-11754436.18</v>
      </c>
      <c r="BR17" s="26">
        <f>股权价值增加表!BR42</f>
        <v>-22857300</v>
      </c>
      <c r="BS17" s="26">
        <f>股权价值增加表!BS42</f>
        <v>-9613624.7599999998</v>
      </c>
      <c r="BT17" s="26">
        <f>股权价值增加表!BT42</f>
        <v>-16402935.85</v>
      </c>
      <c r="BU17" s="26">
        <f>股权价值增加表!BU42</f>
        <v>-15677799.189999999</v>
      </c>
      <c r="BV17" s="26">
        <f>股权价值增加表!BV42</f>
        <v>-13041815.699999999</v>
      </c>
      <c r="BW17" s="26">
        <f>股权价值增加表!BW42</f>
        <v>-7764894.8799999999</v>
      </c>
      <c r="BX17" s="26">
        <f>股权价值增加表!BX42</f>
        <v>-7173387.8499999996</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5" t="s">
        <v>741</v>
      </c>
      <c r="B29" s="274"/>
      <c r="C29" s="274"/>
      <c r="D29" s="274"/>
      <c r="E29" s="274"/>
      <c r="F29" s="274"/>
      <c r="G29" s="274"/>
      <c r="H29" s="274"/>
      <c r="I29" s="274"/>
      <c r="J29" s="274"/>
      <c r="K29" s="274"/>
      <c r="L29" s="274"/>
      <c r="M29" s="274"/>
      <c r="N29" s="274"/>
      <c r="O29" s="274"/>
      <c r="P29" s="274"/>
      <c r="Q29" s="274"/>
      <c r="R29" s="274"/>
      <c r="S29" s="274"/>
      <c r="T29" s="274"/>
      <c r="U29" s="274"/>
      <c r="V29" s="274"/>
      <c r="W29" s="274"/>
      <c r="X29" s="274"/>
      <c r="Y29" s="274"/>
      <c r="Z29" s="274"/>
      <c r="AA29" s="274"/>
      <c r="AB29" s="274"/>
      <c r="AC29" s="274"/>
    </row>
    <row r="30" spans="1:90" x14ac:dyDescent="0.25">
      <c r="A30" s="112" t="s">
        <v>569</v>
      </c>
      <c r="B30" s="96"/>
      <c r="C30" s="96"/>
      <c r="D30" s="96"/>
      <c r="E30" s="96" t="s">
        <v>568</v>
      </c>
      <c r="F30" s="96"/>
      <c r="G30" s="96"/>
      <c r="H30" s="96"/>
      <c r="I30" s="96" t="s">
        <v>602</v>
      </c>
      <c r="M30" s="96" t="s">
        <v>570</v>
      </c>
      <c r="Q30" s="115" t="s">
        <v>608</v>
      </c>
      <c r="R30" s="115"/>
      <c r="S30" s="115"/>
      <c r="T30" s="115"/>
      <c r="U30" s="115" t="s">
        <v>605</v>
      </c>
      <c r="V30" s="115"/>
      <c r="W30" s="115"/>
      <c r="X30" s="115"/>
      <c r="Y30" s="115" t="s">
        <v>606</v>
      </c>
      <c r="Z30" s="115"/>
      <c r="AA30" s="115"/>
      <c r="AB30" s="115"/>
      <c r="AC30" s="115" t="s">
        <v>607</v>
      </c>
    </row>
    <row r="31" spans="1:90" s="63" customFormat="1" x14ac:dyDescent="0.25">
      <c r="A31" s="112" t="s">
        <v>571</v>
      </c>
      <c r="B31" s="113"/>
      <c r="C31" s="113"/>
      <c r="D31" s="113"/>
      <c r="E31" s="113">
        <f>POWER(E27/U27,1/5)-1</f>
        <v>0.26066320751091276</v>
      </c>
      <c r="F31" s="113"/>
      <c r="G31" s="113"/>
      <c r="H31" s="113"/>
      <c r="I31" s="113">
        <f>POWER(E27/Y27,1/6)-1</f>
        <v>1.0545757316349316</v>
      </c>
      <c r="M31" s="113">
        <f>POWER(E27/AC27,1/7)-1</f>
        <v>0.1688386949493883</v>
      </c>
      <c r="Q31" s="116" t="s">
        <v>604</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x14ac:dyDescent="0.25">
      <c r="A32" s="46" t="s">
        <v>513</v>
      </c>
      <c r="E32" s="66">
        <v>0.17</v>
      </c>
    </row>
    <row r="39" spans="1:13" ht="43.2" x14ac:dyDescent="0.25">
      <c r="A39" s="67" t="s">
        <v>514</v>
      </c>
    </row>
    <row r="41" spans="1:13" ht="111" customHeight="1" x14ac:dyDescent="0.25">
      <c r="A41" s="275" t="s">
        <v>740</v>
      </c>
      <c r="B41" s="274"/>
      <c r="C41" s="274"/>
      <c r="D41" s="274"/>
      <c r="E41" s="274"/>
      <c r="F41" s="274"/>
      <c r="G41" s="274"/>
      <c r="H41" s="274"/>
      <c r="I41" s="274"/>
      <c r="J41" s="274"/>
      <c r="K41" s="274"/>
      <c r="L41" s="274"/>
      <c r="M41" s="274"/>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C11" sqref="C11"/>
    </sheetView>
  </sheetViews>
  <sheetFormatPr defaultRowHeight="14.4" x14ac:dyDescent="0.25"/>
  <cols>
    <col min="1" max="1" width="43.5546875" style="17" bestFit="1" customWidth="1"/>
    <col min="2" max="2" width="21.44140625" style="26" bestFit="1" customWidth="1"/>
    <col min="3" max="3" width="38.109375" bestFit="1" customWidth="1"/>
    <col min="4" max="4" width="17.33203125" bestFit="1" customWidth="1"/>
    <col min="5" max="5" width="18.44140625" bestFit="1" customWidth="1"/>
    <col min="6" max="9" width="17.33203125" bestFit="1" customWidth="1"/>
    <col min="10" max="11" width="17.21875" bestFit="1" customWidth="1"/>
    <col min="12" max="12" width="40.33203125" bestFit="1" customWidth="1"/>
    <col min="13" max="18" width="17.21875" bestFit="1" customWidth="1"/>
    <col min="19" max="19" width="20.5546875" bestFit="1" customWidth="1"/>
    <col min="20" max="74" width="9.44140625" bestFit="1" customWidth="1"/>
  </cols>
  <sheetData>
    <row r="1" spans="1:10" ht="16.2" customHeight="1" x14ac:dyDescent="0.25">
      <c r="A1" s="68" t="s">
        <v>515</v>
      </c>
      <c r="B1" s="69">
        <f>自由现金流分析表!E1</f>
        <v>43100</v>
      </c>
      <c r="C1" t="s">
        <v>749</v>
      </c>
      <c r="D1" s="263">
        <v>0.08</v>
      </c>
      <c r="E1" s="264" t="s">
        <v>750</v>
      </c>
      <c r="F1" s="63">
        <f>平均资本成本表!E13</f>
        <v>7.461117826608292E-2</v>
      </c>
    </row>
    <row r="2" spans="1:10" x14ac:dyDescent="0.25">
      <c r="A2" s="70" t="s">
        <v>516</v>
      </c>
      <c r="B2" s="71">
        <f>(自由现金流分析表!E27+自由现金流分析表!I27+自由现金流分析表!M27)/3</f>
        <v>203594524.53999996</v>
      </c>
      <c r="C2" t="s">
        <v>549</v>
      </c>
      <c r="D2" s="63"/>
      <c r="E2" s="63"/>
      <c r="F2" s="56"/>
    </row>
    <row r="3" spans="1:10" s="63" customFormat="1" x14ac:dyDescent="0.25">
      <c r="A3" s="72" t="s">
        <v>517</v>
      </c>
      <c r="B3" s="98">
        <v>0</v>
      </c>
      <c r="D3" s="191"/>
      <c r="E3" s="191"/>
      <c r="F3" s="261"/>
    </row>
    <row r="4" spans="1:10" s="63" customFormat="1" x14ac:dyDescent="0.25">
      <c r="A4" s="72" t="s">
        <v>518</v>
      </c>
      <c r="B4" s="98">
        <f>MIN(平均资本成本表!E13,D1)</f>
        <v>7.461117826608292E-2</v>
      </c>
      <c r="D4" s="191"/>
      <c r="E4" s="191"/>
      <c r="F4" s="262"/>
    </row>
    <row r="5" spans="1:10" x14ac:dyDescent="0.25">
      <c r="A5" s="70" t="s">
        <v>519</v>
      </c>
      <c r="B5" s="71">
        <f>B2*(1+B3)/(B4-B3)</f>
        <v>2728740240.6905947</v>
      </c>
      <c r="D5" s="63"/>
      <c r="E5" s="63"/>
    </row>
    <row r="6" spans="1:10" x14ac:dyDescent="0.25">
      <c r="A6" s="70" t="s">
        <v>520</v>
      </c>
      <c r="B6" s="71">
        <f>资产资本表!E17</f>
        <v>627279567.75999999</v>
      </c>
      <c r="D6" s="191"/>
      <c r="E6" s="191"/>
      <c r="F6" s="191"/>
      <c r="G6" s="191"/>
    </row>
    <row r="7" spans="1:10" x14ac:dyDescent="0.25">
      <c r="A7" s="70" t="s">
        <v>521</v>
      </c>
      <c r="B7" s="71">
        <f>资产资本表!E19</f>
        <v>19416080.27</v>
      </c>
      <c r="D7" s="191"/>
      <c r="E7" s="191"/>
      <c r="F7" s="191"/>
      <c r="G7" s="191"/>
    </row>
    <row r="8" spans="1:10" x14ac:dyDescent="0.25">
      <c r="A8" s="70" t="s">
        <v>522</v>
      </c>
      <c r="B8" s="71">
        <f>资产资本表!E89</f>
        <v>9814499.0099999998</v>
      </c>
      <c r="D8" s="63"/>
      <c r="E8" s="63"/>
      <c r="F8" s="191"/>
      <c r="G8" s="191"/>
    </row>
    <row r="9" spans="1:10" x14ac:dyDescent="0.25">
      <c r="A9" s="70" t="s">
        <v>523</v>
      </c>
      <c r="B9" s="71">
        <f>B5+B6+B7-B8</f>
        <v>3365621389.7105947</v>
      </c>
      <c r="D9" s="191"/>
      <c r="E9" s="191"/>
      <c r="F9" s="191"/>
      <c r="G9" s="191"/>
    </row>
    <row r="10" spans="1:10" x14ac:dyDescent="0.25">
      <c r="A10" s="70" t="s">
        <v>524</v>
      </c>
      <c r="B10" s="73">
        <f>资产资本表!E103/资产资本表!E107</f>
        <v>1.9886987191949043E-3</v>
      </c>
      <c r="D10" s="191"/>
      <c r="E10" s="191"/>
      <c r="F10" s="191"/>
      <c r="G10" s="191"/>
    </row>
    <row r="11" spans="1:10" x14ac:dyDescent="0.25">
      <c r="A11" s="70" t="s">
        <v>550</v>
      </c>
      <c r="B11" s="71">
        <f>B9*(1-B10)</f>
        <v>3358928182.7635822</v>
      </c>
      <c r="D11" s="63"/>
      <c r="E11" s="63"/>
      <c r="F11" s="191"/>
      <c r="G11" s="191"/>
    </row>
    <row r="12" spans="1:10" x14ac:dyDescent="0.25">
      <c r="A12" s="70" t="s">
        <v>525</v>
      </c>
      <c r="B12" s="102">
        <f>B55</f>
        <v>909133215</v>
      </c>
      <c r="D12" s="191"/>
      <c r="E12" s="191"/>
      <c r="F12" s="191"/>
      <c r="G12" s="191"/>
    </row>
    <row r="13" spans="1:10" ht="15" thickBot="1" x14ac:dyDescent="0.3">
      <c r="A13" s="74" t="s">
        <v>526</v>
      </c>
      <c r="B13" s="75">
        <f>B11/B12</f>
        <v>3.6946490650037269</v>
      </c>
      <c r="D13" s="191"/>
      <c r="E13" s="191"/>
    </row>
    <row r="14" spans="1:10" s="16" customFormat="1" ht="53.25" customHeight="1" x14ac:dyDescent="0.25">
      <c r="A14" s="275" t="s">
        <v>742</v>
      </c>
      <c r="B14" s="274"/>
      <c r="C14" s="274"/>
      <c r="D14" s="274"/>
      <c r="E14" s="274"/>
      <c r="F14" s="274"/>
      <c r="G14" s="274"/>
      <c r="H14" s="274"/>
      <c r="I14" s="274"/>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296" t="s">
        <v>527</v>
      </c>
      <c r="B18" s="296"/>
      <c r="C18" s="65" t="s">
        <v>541</v>
      </c>
      <c r="D18" s="97">
        <v>1</v>
      </c>
      <c r="E18" s="97">
        <v>2</v>
      </c>
      <c r="F18" s="97">
        <v>3</v>
      </c>
      <c r="G18" s="97">
        <v>4</v>
      </c>
      <c r="H18" s="97">
        <v>5</v>
      </c>
      <c r="I18" s="96">
        <v>6</v>
      </c>
      <c r="J18" s="80"/>
    </row>
    <row r="19" spans="1:10" s="26" customFormat="1" x14ac:dyDescent="0.25">
      <c r="A19" s="99" t="s">
        <v>528</v>
      </c>
      <c r="B19" s="94"/>
      <c r="C19" s="89">
        <f>B2</f>
        <v>203594524.53999996</v>
      </c>
      <c r="D19" s="89">
        <f>C19*(1+$D$17)</f>
        <v>234133703.22099993</v>
      </c>
      <c r="E19" s="89">
        <f>D19*(1+$D$17)</f>
        <v>269253758.7041499</v>
      </c>
      <c r="F19" s="89">
        <f>E19*(1+$D$17)</f>
        <v>309641822.50977236</v>
      </c>
      <c r="G19" s="89">
        <f>F19*(1+$D$17)</f>
        <v>356088095.88623816</v>
      </c>
      <c r="H19" s="89">
        <f>G19*(1+$D$17)</f>
        <v>409501310.26917386</v>
      </c>
      <c r="I19" s="89">
        <f>H19*(1+I17)</f>
        <v>425881362.67994082</v>
      </c>
      <c r="J19" s="76"/>
    </row>
    <row r="20" spans="1:10" s="26" customFormat="1" x14ac:dyDescent="0.25">
      <c r="A20" s="99" t="s">
        <v>529</v>
      </c>
      <c r="B20" s="95">
        <f>B4</f>
        <v>7.461117826608292E-2</v>
      </c>
      <c r="C20" s="89"/>
      <c r="D20" s="89">
        <f t="shared" ref="D20:I20" si="0">(1+$B$20)^D18</f>
        <v>1.074611178266083</v>
      </c>
      <c r="E20" s="89">
        <f t="shared" si="0"/>
        <v>1.1547891844544191</v>
      </c>
      <c r="F20" s="89">
        <f t="shared" si="0"/>
        <v>1.2409493661554925</v>
      </c>
      <c r="G20" s="89">
        <f t="shared" si="0"/>
        <v>1.3335380605329024</v>
      </c>
      <c r="H20" s="89">
        <f t="shared" si="0"/>
        <v>1.4330349064919292</v>
      </c>
      <c r="I20" s="89">
        <f t="shared" si="0"/>
        <v>1.5399553293617181</v>
      </c>
      <c r="J20" s="76"/>
    </row>
    <row r="21" spans="1:10" s="26" customFormat="1" x14ac:dyDescent="0.25">
      <c r="A21" s="297" t="s">
        <v>530</v>
      </c>
      <c r="B21" s="297"/>
      <c r="C21" s="89"/>
      <c r="D21" s="89">
        <f>D19/D20</f>
        <v>217877598.85280702</v>
      </c>
      <c r="E21" s="89">
        <f>E19/E20</f>
        <v>233162695.25970578</v>
      </c>
      <c r="F21" s="89">
        <f>F19/F20</f>
        <v>249520110.13072541</v>
      </c>
      <c r="G21" s="89">
        <f>G19/G20</f>
        <v>267025071.44336012</v>
      </c>
      <c r="H21" s="89">
        <f>H19/H20</f>
        <v>285758084.75707924</v>
      </c>
      <c r="I21" s="89">
        <f>I19/((B20-I17)*I20)</f>
        <v>7990319175.5964651</v>
      </c>
      <c r="J21" s="76"/>
    </row>
    <row r="22" spans="1:10" s="26" customFormat="1" x14ac:dyDescent="0.25">
      <c r="A22" s="297" t="s">
        <v>548</v>
      </c>
      <c r="B22" s="297"/>
      <c r="C22" s="89"/>
      <c r="D22" s="293">
        <f>SUM(D21:H21)</f>
        <v>1253343560.4436774</v>
      </c>
      <c r="E22" s="294"/>
      <c r="F22" s="294"/>
      <c r="G22" s="294"/>
      <c r="H22" s="295"/>
      <c r="I22" s="89">
        <f>I21</f>
        <v>7990319175.5964651</v>
      </c>
      <c r="J22" s="76"/>
    </row>
    <row r="23" spans="1:10" x14ac:dyDescent="0.25">
      <c r="A23" s="92" t="s">
        <v>531</v>
      </c>
      <c r="B23" s="76">
        <f>D22+I22</f>
        <v>9243662736.0401421</v>
      </c>
      <c r="C23" s="77"/>
      <c r="D23" s="77"/>
      <c r="E23" s="77"/>
      <c r="F23" s="77"/>
      <c r="G23" s="77"/>
      <c r="H23" s="77"/>
      <c r="I23" s="79"/>
      <c r="J23" s="77"/>
    </row>
    <row r="24" spans="1:10" x14ac:dyDescent="0.25">
      <c r="A24" s="92" t="s">
        <v>532</v>
      </c>
      <c r="B24" s="76">
        <f>B23</f>
        <v>9243662736.0401421</v>
      </c>
      <c r="C24" s="77"/>
      <c r="D24" s="77"/>
      <c r="E24" s="77"/>
      <c r="F24" s="77"/>
      <c r="G24" s="77"/>
      <c r="H24" s="77"/>
      <c r="I24" s="79"/>
      <c r="J24" s="77"/>
    </row>
    <row r="25" spans="1:10" x14ac:dyDescent="0.25">
      <c r="A25" s="70" t="s">
        <v>533</v>
      </c>
      <c r="B25" s="71">
        <f>资产资本表!E17</f>
        <v>627279567.75999999</v>
      </c>
      <c r="C25" s="77"/>
      <c r="D25" s="77"/>
      <c r="E25" s="77"/>
      <c r="F25" s="77"/>
      <c r="G25" s="77"/>
      <c r="H25" s="77"/>
      <c r="I25" s="79"/>
      <c r="J25" s="77"/>
    </row>
    <row r="26" spans="1:10" x14ac:dyDescent="0.25">
      <c r="A26" s="70" t="s">
        <v>534</v>
      </c>
      <c r="B26" s="71">
        <f>资产资本表!E19</f>
        <v>19416080.27</v>
      </c>
      <c r="C26" s="77"/>
      <c r="D26" s="77"/>
      <c r="E26" s="77"/>
      <c r="F26" s="77"/>
      <c r="G26" s="77"/>
      <c r="H26" s="77"/>
      <c r="I26" s="79"/>
      <c r="J26" s="77"/>
    </row>
    <row r="27" spans="1:10" x14ac:dyDescent="0.25">
      <c r="A27" s="70" t="s">
        <v>535</v>
      </c>
      <c r="B27" s="71">
        <f>资产资本表!E89</f>
        <v>9814499.0099999998</v>
      </c>
      <c r="C27" s="77"/>
      <c r="D27" s="77"/>
      <c r="E27" s="77"/>
      <c r="F27" s="77"/>
      <c r="G27" s="77"/>
      <c r="H27" s="77"/>
      <c r="I27" s="79"/>
      <c r="J27" s="77"/>
    </row>
    <row r="28" spans="1:10" s="2" customFormat="1" x14ac:dyDescent="0.25">
      <c r="A28" s="82" t="s">
        <v>536</v>
      </c>
      <c r="B28" s="83">
        <f>B24+B25+B26-B27</f>
        <v>9880543885.0601425</v>
      </c>
      <c r="C28" s="80"/>
      <c r="D28" s="80"/>
      <c r="E28" s="80"/>
      <c r="F28" s="80"/>
      <c r="G28" s="80"/>
      <c r="H28" s="80"/>
      <c r="I28" s="81"/>
      <c r="J28" s="80"/>
    </row>
    <row r="29" spans="1:10" x14ac:dyDescent="0.25">
      <c r="A29" s="70" t="s">
        <v>537</v>
      </c>
      <c r="B29" s="78">
        <f>资产资本表!E103/资产资本表!E107</f>
        <v>1.9886987191949043E-3</v>
      </c>
      <c r="C29" s="298" t="s">
        <v>544</v>
      </c>
      <c r="D29" s="298"/>
      <c r="E29" s="298"/>
      <c r="F29" s="77"/>
      <c r="G29" s="77"/>
      <c r="H29" s="77"/>
      <c r="I29" s="79"/>
      <c r="J29" s="77"/>
    </row>
    <row r="30" spans="1:10" s="2" customFormat="1" x14ac:dyDescent="0.25">
      <c r="A30" s="82" t="s">
        <v>538</v>
      </c>
      <c r="B30" s="83">
        <f>B28*(1-B29)</f>
        <v>9860894460.0909748</v>
      </c>
      <c r="C30" s="91">
        <v>0.4</v>
      </c>
      <c r="D30" s="91">
        <v>0.3</v>
      </c>
      <c r="E30" s="91">
        <v>0.2</v>
      </c>
      <c r="F30" s="80"/>
      <c r="G30" s="80"/>
      <c r="H30" s="80"/>
      <c r="I30" s="81"/>
      <c r="J30" s="80"/>
    </row>
    <row r="31" spans="1:10" x14ac:dyDescent="0.25">
      <c r="A31" s="70" t="s">
        <v>540</v>
      </c>
      <c r="B31" s="101">
        <f>B55</f>
        <v>909133215</v>
      </c>
      <c r="C31" s="216">
        <f>$B$32*(1-C30)</f>
        <v>6.5078874893538954</v>
      </c>
      <c r="D31" s="216">
        <f>$B$32*(1-D30)</f>
        <v>7.5925354042462105</v>
      </c>
      <c r="E31" s="216">
        <f>$B$32*(1-E30)</f>
        <v>8.6771833191385266</v>
      </c>
      <c r="F31" s="77"/>
      <c r="G31" s="77"/>
      <c r="H31" s="77"/>
      <c r="I31" s="79"/>
      <c r="J31" s="77"/>
    </row>
    <row r="32" spans="1:10" s="2" customFormat="1" ht="15" thickBot="1" x14ac:dyDescent="0.3">
      <c r="A32" s="84" t="s">
        <v>539</v>
      </c>
      <c r="B32" s="85">
        <f>B30/B31</f>
        <v>10.846479148923159</v>
      </c>
      <c r="C32" s="86"/>
      <c r="D32" s="86"/>
      <c r="E32" s="86"/>
      <c r="F32" s="86"/>
      <c r="G32" s="86"/>
      <c r="H32" s="86"/>
      <c r="I32" s="87"/>
      <c r="J32" s="80"/>
    </row>
    <row r="33" spans="1:19" ht="63" customHeight="1" x14ac:dyDescent="0.25">
      <c r="A33" s="299" t="s">
        <v>743</v>
      </c>
      <c r="B33" s="300"/>
      <c r="C33" s="300"/>
      <c r="D33" s="300"/>
      <c r="E33" s="300"/>
      <c r="F33" s="300"/>
      <c r="G33" s="300"/>
      <c r="H33" s="300"/>
      <c r="I33" s="300"/>
    </row>
    <row r="37" spans="1:19" s="63" customFormat="1" x14ac:dyDescent="0.25">
      <c r="A37" s="205"/>
      <c r="B37" s="205"/>
      <c r="C37" s="215" t="s">
        <v>542</v>
      </c>
      <c r="D37" s="215">
        <v>0.15</v>
      </c>
      <c r="E37" s="215"/>
      <c r="F37" s="215"/>
      <c r="G37" s="215"/>
      <c r="H37" s="215" t="s">
        <v>637</v>
      </c>
      <c r="I37" s="215">
        <v>0.09</v>
      </c>
      <c r="J37" s="215"/>
      <c r="K37" s="215"/>
      <c r="L37" s="215"/>
      <c r="M37" s="215"/>
      <c r="N37" s="215"/>
      <c r="O37" s="215"/>
      <c r="P37" s="215"/>
      <c r="Q37" s="215"/>
      <c r="R37" s="215" t="s">
        <v>547</v>
      </c>
      <c r="S37" s="215">
        <v>0.02</v>
      </c>
    </row>
    <row r="38" spans="1:19" s="24" customFormat="1" x14ac:dyDescent="0.25">
      <c r="A38" s="307" t="s">
        <v>545</v>
      </c>
      <c r="B38" s="308"/>
      <c r="C38" s="217" t="s">
        <v>541</v>
      </c>
      <c r="D38" s="218">
        <v>1</v>
      </c>
      <c r="E38" s="218">
        <v>2</v>
      </c>
      <c r="F38" s="218">
        <v>3</v>
      </c>
      <c r="G38" s="218">
        <v>4</v>
      </c>
      <c r="H38" s="218">
        <v>5</v>
      </c>
      <c r="I38" s="219">
        <v>6</v>
      </c>
      <c r="J38" s="219">
        <v>7</v>
      </c>
      <c r="K38" s="219">
        <v>8</v>
      </c>
      <c r="L38" s="219">
        <v>9</v>
      </c>
      <c r="M38" s="219">
        <v>10</v>
      </c>
      <c r="N38" s="219">
        <v>11</v>
      </c>
      <c r="O38" s="219">
        <v>12</v>
      </c>
      <c r="P38" s="219">
        <v>13</v>
      </c>
      <c r="Q38" s="219">
        <v>14</v>
      </c>
      <c r="R38" s="219">
        <v>15</v>
      </c>
      <c r="S38" s="220">
        <v>16</v>
      </c>
    </row>
    <row r="39" spans="1:19" s="194" customFormat="1" x14ac:dyDescent="0.25">
      <c r="A39" s="99" t="s">
        <v>528</v>
      </c>
      <c r="B39" s="94"/>
      <c r="C39" s="89">
        <f>B2</f>
        <v>203594524.53999996</v>
      </c>
      <c r="D39" s="89">
        <f>$C$39*(1+$D$37)^D38</f>
        <v>234133703.22099993</v>
      </c>
      <c r="E39" s="89">
        <f>$C$39*(1+$D$37)^E38</f>
        <v>269253758.7041499</v>
      </c>
      <c r="F39" s="89">
        <f>$C$39*(1+$D$37)^F38</f>
        <v>309641822.50977236</v>
      </c>
      <c r="G39" s="89">
        <f>$C$39*(1+$D$37)^G38</f>
        <v>356088095.88623822</v>
      </c>
      <c r="H39" s="89">
        <f>$C$39*(1+$D$37)^H38</f>
        <v>409501310.26917392</v>
      </c>
      <c r="I39" s="89">
        <f>H39*(1+$I$37)</f>
        <v>446356428.19339961</v>
      </c>
      <c r="J39" s="89">
        <f t="shared" ref="J39:N39" si="1">I39*(1+$I$37)</f>
        <v>486528506.73080564</v>
      </c>
      <c r="K39" s="89">
        <f t="shared" si="1"/>
        <v>530316072.33657819</v>
      </c>
      <c r="L39" s="89">
        <f t="shared" si="1"/>
        <v>578044518.8468703</v>
      </c>
      <c r="M39" s="89">
        <f t="shared" si="1"/>
        <v>630068525.54308867</v>
      </c>
      <c r="N39" s="89">
        <f t="shared" si="1"/>
        <v>686774692.84196675</v>
      </c>
      <c r="O39" s="89">
        <f t="shared" ref="O39" si="2">N39*(1+$I$37)</f>
        <v>748584415.19774377</v>
      </c>
      <c r="P39" s="89">
        <f t="shared" ref="P39" si="3">O39*(1+$I$37)</f>
        <v>815957012.56554079</v>
      </c>
      <c r="Q39" s="89">
        <f t="shared" ref="Q39" si="4">P39*(1+$I$37)</f>
        <v>889393143.6964395</v>
      </c>
      <c r="R39" s="89">
        <f t="shared" ref="R39" si="5">Q39*(1+$I$37)</f>
        <v>969438526.62911916</v>
      </c>
      <c r="S39" s="89">
        <f>R39*(1+S37)</f>
        <v>988827297.16170156</v>
      </c>
    </row>
    <row r="40" spans="1:19" s="23" customFormat="1" x14ac:dyDescent="0.25">
      <c r="A40" s="211" t="s">
        <v>529</v>
      </c>
      <c r="B40" s="210">
        <f>B4</f>
        <v>7.461117826608292E-2</v>
      </c>
      <c r="C40" s="216"/>
      <c r="D40" s="216">
        <f>(1+$B$40)^D38</f>
        <v>1.074611178266083</v>
      </c>
      <c r="E40" s="216">
        <f t="shared" ref="E40:R40" si="6">(1+$B$40)^E38</f>
        <v>1.1547891844544191</v>
      </c>
      <c r="F40" s="216">
        <f t="shared" si="6"/>
        <v>1.2409493661554925</v>
      </c>
      <c r="G40" s="216">
        <f t="shared" si="6"/>
        <v>1.3335380605329024</v>
      </c>
      <c r="H40" s="216">
        <f t="shared" si="6"/>
        <v>1.4330349064919292</v>
      </c>
      <c r="I40" s="216">
        <f t="shared" si="6"/>
        <v>1.5399553293617181</v>
      </c>
      <c r="J40" s="216">
        <f t="shared" si="6"/>
        <v>1.6548532109625298</v>
      </c>
      <c r="K40" s="216">
        <f t="shared" si="6"/>
        <v>1.7783237588898548</v>
      </c>
      <c r="L40" s="216">
        <f t="shared" si="6"/>
        <v>1.9110065898791966</v>
      </c>
      <c r="M40" s="216">
        <f t="shared" si="6"/>
        <v>2.0535890432243327</v>
      </c>
      <c r="N40" s="216">
        <f t="shared" si="6"/>
        <v>2.2068097414136183</v>
      </c>
      <c r="O40" s="216">
        <f t="shared" si="6"/>
        <v>2.3714624164295577</v>
      </c>
      <c r="P40" s="216">
        <f t="shared" si="6"/>
        <v>2.5484000215330993</v>
      </c>
      <c r="Q40" s="216">
        <f t="shared" si="6"/>
        <v>2.7385391498329947</v>
      </c>
      <c r="R40" s="216">
        <f t="shared" si="6"/>
        <v>2.9428647825298317</v>
      </c>
      <c r="S40" s="184">
        <f>(1+$B$40)^S38</f>
        <v>3.1624353914321426</v>
      </c>
    </row>
    <row r="41" spans="1:19" s="194" customFormat="1" x14ac:dyDescent="0.25">
      <c r="A41" s="309" t="s">
        <v>530</v>
      </c>
      <c r="B41" s="310"/>
      <c r="C41" s="89"/>
      <c r="D41" s="89">
        <f t="shared" ref="D41:R41" si="7">D39/D40</f>
        <v>217877598.85280702</v>
      </c>
      <c r="E41" s="89">
        <f t="shared" si="7"/>
        <v>233162695.25970578</v>
      </c>
      <c r="F41" s="89">
        <f t="shared" si="7"/>
        <v>249520110.13072541</v>
      </c>
      <c r="G41" s="89">
        <f t="shared" si="7"/>
        <v>267025071.44336018</v>
      </c>
      <c r="H41" s="89">
        <f t="shared" si="7"/>
        <v>285758084.7570793</v>
      </c>
      <c r="I41" s="89">
        <f t="shared" si="7"/>
        <v>289850244.14857918</v>
      </c>
      <c r="J41" s="89">
        <f t="shared" si="7"/>
        <v>294001004.74640948</v>
      </c>
      <c r="K41" s="89">
        <f t="shared" si="7"/>
        <v>298211205.74109405</v>
      </c>
      <c r="L41" s="89">
        <f t="shared" si="7"/>
        <v>302481698.34066933</v>
      </c>
      <c r="M41" s="89">
        <f t="shared" si="7"/>
        <v>306813345.94277948</v>
      </c>
      <c r="N41" s="89">
        <f t="shared" si="7"/>
        <v>311207024.30923599</v>
      </c>
      <c r="O41" s="89">
        <f t="shared" si="7"/>
        <v>315663621.74307722</v>
      </c>
      <c r="P41" s="89">
        <f t="shared" si="7"/>
        <v>320184039.26816279</v>
      </c>
      <c r="Q41" s="89">
        <f t="shared" si="7"/>
        <v>324769190.81134105</v>
      </c>
      <c r="R41" s="89">
        <f t="shared" si="7"/>
        <v>329420003.3872239</v>
      </c>
      <c r="S41" s="89">
        <f>S39/((B40-S37)*S40)</f>
        <v>5725550353.7103367</v>
      </c>
    </row>
    <row r="42" spans="1:19" s="23" customFormat="1" x14ac:dyDescent="0.25">
      <c r="A42" s="311" t="s">
        <v>548</v>
      </c>
      <c r="B42" s="312"/>
      <c r="C42" s="216"/>
      <c r="D42" s="304">
        <f>SUM(D41:H41)</f>
        <v>1253343560.4436777</v>
      </c>
      <c r="E42" s="305"/>
      <c r="F42" s="305"/>
      <c r="G42" s="305"/>
      <c r="H42" s="306"/>
      <c r="I42" s="304">
        <f>SUM(I41:R41)</f>
        <v>3092601378.4385724</v>
      </c>
      <c r="J42" s="305"/>
      <c r="K42" s="305"/>
      <c r="L42" s="305"/>
      <c r="M42" s="305"/>
      <c r="N42" s="305"/>
      <c r="O42" s="305"/>
      <c r="P42" s="305"/>
      <c r="Q42" s="305"/>
      <c r="R42" s="306"/>
      <c r="S42" s="216">
        <f>S41</f>
        <v>5725550353.7103367</v>
      </c>
    </row>
    <row r="43" spans="1:19" x14ac:dyDescent="0.25">
      <c r="A43" s="207" t="s">
        <v>546</v>
      </c>
      <c r="B43" s="198">
        <f>D42+I42+S42</f>
        <v>10071495292.592587</v>
      </c>
      <c r="C43" s="199"/>
      <c r="D43" s="199"/>
      <c r="E43" s="199"/>
      <c r="F43" s="199"/>
      <c r="G43" s="199"/>
      <c r="H43" s="199"/>
      <c r="I43" s="199"/>
      <c r="J43" s="199"/>
      <c r="K43" s="199"/>
      <c r="L43" s="199"/>
      <c r="M43" s="199"/>
      <c r="N43" s="199"/>
      <c r="O43" s="199"/>
      <c r="P43" s="199"/>
      <c r="Q43" s="199"/>
      <c r="R43" s="199"/>
      <c r="S43" s="201"/>
    </row>
    <row r="44" spans="1:19" x14ac:dyDescent="0.25">
      <c r="A44" s="207" t="s">
        <v>532</v>
      </c>
      <c r="B44" s="198">
        <f>B43</f>
        <v>10071495292.592587</v>
      </c>
      <c r="C44" s="199"/>
      <c r="D44" s="199"/>
      <c r="E44" s="199"/>
      <c r="F44" s="199"/>
      <c r="G44" s="199"/>
      <c r="H44" s="199"/>
      <c r="I44" s="199"/>
      <c r="J44" s="199"/>
      <c r="K44" s="199"/>
      <c r="L44" s="199"/>
      <c r="M44" s="199"/>
      <c r="N44" s="199"/>
      <c r="O44" s="199"/>
      <c r="P44" s="199"/>
      <c r="Q44" s="199"/>
      <c r="R44" s="199"/>
      <c r="S44" s="201"/>
    </row>
    <row r="45" spans="1:19" x14ac:dyDescent="0.25">
      <c r="A45" s="197" t="s">
        <v>533</v>
      </c>
      <c r="B45" s="198">
        <f>资产资本表!E17</f>
        <v>627279567.75999999</v>
      </c>
      <c r="C45" s="199"/>
      <c r="D45" s="199"/>
      <c r="E45" s="199"/>
      <c r="F45" s="199"/>
      <c r="G45" s="199"/>
      <c r="H45" s="199"/>
      <c r="I45" s="199"/>
      <c r="J45" s="199"/>
      <c r="K45" s="199"/>
      <c r="L45" s="199"/>
      <c r="M45" s="199"/>
      <c r="N45" s="199"/>
      <c r="O45" s="199"/>
      <c r="P45" s="199"/>
      <c r="Q45" s="199"/>
      <c r="R45" s="199"/>
      <c r="S45" s="201"/>
    </row>
    <row r="46" spans="1:19" x14ac:dyDescent="0.25">
      <c r="A46" s="197" t="s">
        <v>534</v>
      </c>
      <c r="B46" s="198">
        <f>资产资本表!E19</f>
        <v>19416080.27</v>
      </c>
      <c r="C46" s="199"/>
      <c r="D46" s="199"/>
      <c r="E46" s="199"/>
      <c r="F46" s="199"/>
      <c r="G46" s="199"/>
      <c r="H46" s="199"/>
      <c r="I46" s="199"/>
      <c r="J46" s="199"/>
      <c r="K46" s="199"/>
      <c r="L46" s="199"/>
      <c r="M46" s="199"/>
      <c r="N46" s="199"/>
      <c r="O46" s="199"/>
      <c r="P46" s="199"/>
      <c r="Q46" s="199"/>
      <c r="R46" s="199"/>
      <c r="S46" s="201"/>
    </row>
    <row r="47" spans="1:19" x14ac:dyDescent="0.25">
      <c r="A47" s="197" t="s">
        <v>535</v>
      </c>
      <c r="B47" s="198">
        <f>资产资本表!E89</f>
        <v>9814499.0099999998</v>
      </c>
      <c r="C47" s="199"/>
      <c r="D47" s="199"/>
      <c r="E47" s="199"/>
      <c r="F47" s="199"/>
      <c r="G47" s="199"/>
      <c r="H47" s="199"/>
      <c r="I47" s="199"/>
      <c r="J47" s="199"/>
      <c r="K47" s="199"/>
      <c r="L47" s="199"/>
      <c r="M47" s="199"/>
      <c r="N47" s="199"/>
      <c r="O47" s="199"/>
      <c r="P47" s="199"/>
      <c r="Q47" s="199"/>
      <c r="R47" s="199"/>
      <c r="S47" s="201"/>
    </row>
    <row r="48" spans="1:19" x14ac:dyDescent="0.25">
      <c r="A48" s="202" t="s">
        <v>536</v>
      </c>
      <c r="B48" s="198">
        <f>B44+B45+B46-B47</f>
        <v>10708376441.612587</v>
      </c>
      <c r="C48" s="199"/>
      <c r="D48" s="199"/>
      <c r="E48" s="199"/>
      <c r="F48" s="199"/>
      <c r="G48" s="199"/>
      <c r="H48" s="199"/>
      <c r="I48" s="199"/>
      <c r="J48" s="199"/>
      <c r="K48" s="199"/>
      <c r="L48" s="199"/>
      <c r="M48" s="199"/>
      <c r="N48" s="199"/>
      <c r="O48" s="199"/>
      <c r="P48" s="199"/>
      <c r="Q48" s="199"/>
      <c r="R48" s="199"/>
      <c r="S48" s="201"/>
    </row>
    <row r="49" spans="1:74" x14ac:dyDescent="0.25">
      <c r="A49" s="197" t="s">
        <v>537</v>
      </c>
      <c r="B49" s="200">
        <f>资产资本表!E103/资产资本表!E107</f>
        <v>1.9886987191949043E-3</v>
      </c>
      <c r="C49" s="199"/>
      <c r="D49" s="199"/>
      <c r="E49" s="199"/>
      <c r="F49" s="199"/>
      <c r="G49" s="199"/>
      <c r="H49" s="199"/>
      <c r="I49" s="199"/>
      <c r="J49" s="199"/>
      <c r="K49" s="199"/>
      <c r="L49" s="199"/>
      <c r="M49" s="199"/>
      <c r="N49" s="199"/>
      <c r="O49" s="199"/>
      <c r="P49" s="199"/>
      <c r="Q49" s="199"/>
      <c r="R49" s="199"/>
      <c r="S49" s="20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c r="BH49" s="191"/>
      <c r="BI49" s="191"/>
      <c r="BJ49" s="191"/>
      <c r="BK49" s="191"/>
      <c r="BL49" s="191"/>
      <c r="BM49" s="191"/>
      <c r="BN49" s="191"/>
      <c r="BO49" s="191"/>
      <c r="BP49" s="191"/>
      <c r="BQ49" s="191"/>
      <c r="BR49" s="191"/>
      <c r="BS49" s="191"/>
      <c r="BT49" s="191"/>
      <c r="BU49" s="191"/>
      <c r="BV49" s="191"/>
    </row>
    <row r="50" spans="1:74" x14ac:dyDescent="0.25">
      <c r="A50" s="202" t="s">
        <v>538</v>
      </c>
      <c r="B50" s="198">
        <f>B48*(1-B49)</f>
        <v>10687080707.098495</v>
      </c>
      <c r="C50" s="301" t="s">
        <v>544</v>
      </c>
      <c r="D50" s="302"/>
      <c r="E50" s="303"/>
      <c r="F50" s="199"/>
      <c r="G50" s="199"/>
      <c r="H50" s="199"/>
      <c r="I50" s="199"/>
      <c r="J50" s="199"/>
      <c r="K50" s="199"/>
      <c r="L50" s="199"/>
      <c r="M50" s="199"/>
      <c r="N50" s="199"/>
      <c r="O50" s="199"/>
      <c r="P50" s="199"/>
      <c r="Q50" s="199"/>
      <c r="R50" s="199"/>
      <c r="S50" s="20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c r="BH50" s="191"/>
      <c r="BI50" s="191"/>
      <c r="BJ50" s="191"/>
      <c r="BK50" s="191"/>
      <c r="BL50" s="191"/>
      <c r="BM50" s="191"/>
      <c r="BN50" s="191"/>
      <c r="BO50" s="191"/>
      <c r="BP50" s="191"/>
      <c r="BQ50" s="191"/>
      <c r="BR50" s="191"/>
      <c r="BS50" s="191"/>
      <c r="BT50" s="191"/>
      <c r="BU50" s="191"/>
      <c r="BV50" s="191"/>
    </row>
    <row r="51" spans="1:74" x14ac:dyDescent="0.25">
      <c r="A51" s="197" t="s">
        <v>540</v>
      </c>
      <c r="B51" s="212">
        <f>B55</f>
        <v>909133215</v>
      </c>
      <c r="C51" s="206">
        <v>0.4</v>
      </c>
      <c r="D51" s="206">
        <v>0.3</v>
      </c>
      <c r="E51" s="206">
        <v>0.2</v>
      </c>
      <c r="F51" s="199"/>
      <c r="G51" s="199"/>
      <c r="H51" s="199"/>
      <c r="I51" s="199"/>
      <c r="J51" s="199"/>
      <c r="K51" s="199"/>
      <c r="L51" s="199"/>
      <c r="M51" s="199"/>
      <c r="N51" s="199"/>
      <c r="O51" s="199"/>
      <c r="P51" s="199"/>
      <c r="Q51" s="199"/>
      <c r="R51" s="199"/>
      <c r="S51" s="20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c r="BH51" s="191"/>
      <c r="BI51" s="191"/>
      <c r="BJ51" s="191"/>
      <c r="BK51" s="191"/>
      <c r="BL51" s="191"/>
      <c r="BM51" s="191"/>
      <c r="BN51" s="191"/>
      <c r="BO51" s="191"/>
      <c r="BP51" s="191"/>
      <c r="BQ51" s="191"/>
      <c r="BR51" s="191"/>
      <c r="BS51" s="191"/>
      <c r="BT51" s="191"/>
      <c r="BU51" s="191"/>
      <c r="BV51" s="191"/>
    </row>
    <row r="52" spans="1:74" ht="15" thickBot="1" x14ac:dyDescent="0.3">
      <c r="A52" s="203" t="s">
        <v>539</v>
      </c>
      <c r="B52" s="208">
        <f>B50/B51</f>
        <v>11.755241730001577</v>
      </c>
      <c r="C52" s="209">
        <f>$B$52*(1-C51)</f>
        <v>7.0531450380009462</v>
      </c>
      <c r="D52" s="209">
        <f>$B$52*(1-D51)</f>
        <v>8.2286692110011028</v>
      </c>
      <c r="E52" s="209">
        <f>$B$52*(1-E51)</f>
        <v>9.4041933840012621</v>
      </c>
      <c r="F52" s="195"/>
      <c r="G52" s="195"/>
      <c r="H52" s="195"/>
      <c r="I52" s="195"/>
      <c r="J52" s="195"/>
      <c r="K52" s="195"/>
      <c r="L52" s="195"/>
      <c r="M52" s="195"/>
      <c r="N52" s="195"/>
      <c r="O52" s="195"/>
      <c r="P52" s="195"/>
      <c r="Q52" s="195"/>
      <c r="R52" s="195"/>
      <c r="S52" s="204"/>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c r="BH52" s="191"/>
      <c r="BI52" s="191"/>
      <c r="BJ52" s="191"/>
      <c r="BK52" s="191"/>
      <c r="BL52" s="191"/>
      <c r="BM52" s="191"/>
      <c r="BN52" s="191"/>
      <c r="BO52" s="191"/>
      <c r="BP52" s="191"/>
      <c r="BQ52" s="191"/>
      <c r="BR52" s="191"/>
      <c r="BS52" s="191"/>
      <c r="BT52" s="191"/>
      <c r="BU52" s="191"/>
      <c r="BV52" s="191"/>
    </row>
    <row r="53" spans="1:74" ht="12.75" customHeight="1" thickBot="1" x14ac:dyDescent="0.3">
      <c r="A53" s="193"/>
      <c r="B53" s="194"/>
      <c r="C53" s="191"/>
      <c r="D53" s="191"/>
      <c r="E53" s="191"/>
      <c r="F53" s="191"/>
      <c r="G53" s="191"/>
      <c r="H53" s="191"/>
      <c r="I53" s="191"/>
      <c r="J53" s="191"/>
      <c r="K53" s="191"/>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c r="BH53" s="191"/>
      <c r="BI53" s="191"/>
      <c r="BJ53" s="191"/>
      <c r="BK53" s="191"/>
      <c r="BL53" s="191"/>
      <c r="BM53" s="191"/>
      <c r="BN53" s="191"/>
      <c r="BO53" s="191"/>
      <c r="BP53" s="191"/>
      <c r="BQ53" s="191"/>
      <c r="BR53" s="191"/>
      <c r="BS53" s="191"/>
      <c r="BT53" s="191"/>
      <c r="BU53" s="191"/>
      <c r="BV53" s="191"/>
    </row>
    <row r="54" spans="1:74" s="104" customFormat="1" x14ac:dyDescent="0.25">
      <c r="A54" s="196">
        <v>2643</v>
      </c>
      <c r="B54" s="181">
        <f>自由现金流分析表!E1</f>
        <v>43100</v>
      </c>
      <c r="C54" s="192"/>
      <c r="D54" s="192"/>
      <c r="E54" s="192"/>
      <c r="F54" s="192"/>
      <c r="G54" s="192"/>
      <c r="H54" s="192"/>
      <c r="I54" s="192"/>
      <c r="J54" s="192"/>
      <c r="K54" s="192"/>
      <c r="L54" s="192"/>
      <c r="M54" s="192"/>
      <c r="N54" s="192"/>
      <c r="O54" s="192"/>
      <c r="P54" s="192"/>
      <c r="Q54" s="192"/>
      <c r="R54" s="192"/>
      <c r="S54" s="192"/>
      <c r="T54" s="192"/>
      <c r="U54" s="192"/>
      <c r="V54" s="192"/>
      <c r="W54" s="192"/>
      <c r="X54" s="192"/>
      <c r="Y54" s="192"/>
      <c r="Z54" s="192"/>
      <c r="AA54" s="192"/>
      <c r="AB54" s="192"/>
      <c r="AC54" s="192"/>
      <c r="AD54" s="192"/>
      <c r="AE54" s="192"/>
      <c r="AF54" s="192"/>
      <c r="AG54" s="192"/>
      <c r="AH54" s="192"/>
      <c r="AI54" s="192"/>
      <c r="AJ54" s="192"/>
      <c r="AK54" s="192"/>
      <c r="AL54" s="192"/>
      <c r="AM54" s="192"/>
      <c r="AN54" s="192"/>
      <c r="AO54" s="192"/>
      <c r="AP54" s="192"/>
      <c r="AQ54" s="192"/>
      <c r="AR54" s="192"/>
      <c r="AS54" s="192"/>
      <c r="AT54" s="192"/>
      <c r="AU54" s="192"/>
      <c r="AV54" s="192"/>
      <c r="AW54" s="192"/>
      <c r="AX54" s="192"/>
      <c r="AY54" s="192"/>
      <c r="AZ54" s="192"/>
      <c r="BA54" s="192"/>
      <c r="BB54" s="192"/>
      <c r="BC54" s="192"/>
      <c r="BD54" s="192"/>
      <c r="BE54" s="192"/>
      <c r="BF54" s="192"/>
      <c r="BG54" s="192"/>
      <c r="BH54" s="192"/>
      <c r="BI54" s="192"/>
      <c r="BJ54" s="192"/>
      <c r="BK54" s="192"/>
      <c r="BL54" s="192"/>
      <c r="BM54" s="192"/>
      <c r="BN54" s="192"/>
      <c r="BO54" s="192"/>
      <c r="BP54" s="192"/>
      <c r="BQ54" s="192"/>
      <c r="BR54" s="192"/>
      <c r="BS54" s="192"/>
      <c r="BT54" s="192"/>
      <c r="BU54" s="192"/>
      <c r="BV54" s="192"/>
    </row>
    <row r="55" spans="1:74" s="103" customFormat="1" x14ac:dyDescent="0.25">
      <c r="A55" s="213" t="s">
        <v>551</v>
      </c>
      <c r="B55" s="100">
        <v>909133215</v>
      </c>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c r="BI55" s="214"/>
      <c r="BJ55" s="214"/>
      <c r="BK55" s="214"/>
      <c r="BL55" s="214"/>
      <c r="BM55" s="214"/>
      <c r="BN55" s="214"/>
      <c r="BO55" s="214"/>
      <c r="BP55" s="214"/>
      <c r="BQ55" s="214"/>
      <c r="BR55" s="214"/>
      <c r="BS55" s="214"/>
      <c r="BT55" s="214"/>
      <c r="BU55" s="214"/>
      <c r="BV55" s="214"/>
    </row>
    <row r="56" spans="1:74" s="62" customFormat="1" ht="15" thickBot="1" x14ac:dyDescent="0.3">
      <c r="A56" s="74"/>
      <c r="B56" s="93"/>
    </row>
    <row r="57" spans="1:74" ht="52.8" customHeight="1" x14ac:dyDescent="0.25">
      <c r="A57" s="291" t="s">
        <v>744</v>
      </c>
      <c r="B57" s="292"/>
      <c r="C57" s="292"/>
      <c r="D57" s="292"/>
      <c r="E57" s="292"/>
      <c r="F57" s="292"/>
      <c r="G57" s="292"/>
      <c r="H57" s="292"/>
      <c r="I57" s="292"/>
    </row>
    <row r="60" spans="1:74" s="157" customFormat="1" ht="51" customHeight="1" x14ac:dyDescent="0.25">
      <c r="A60" s="289" t="s">
        <v>609</v>
      </c>
      <c r="B60" s="290"/>
      <c r="C60" s="290"/>
      <c r="D60" s="290"/>
      <c r="E60" s="290"/>
      <c r="F60" s="290"/>
      <c r="G60" s="290"/>
      <c r="H60" s="290"/>
      <c r="I60" s="290"/>
    </row>
    <row r="63" spans="1:74" s="4" customFormat="1" x14ac:dyDescent="0.25">
      <c r="A63" s="179" t="s">
        <v>611</v>
      </c>
      <c r="B63" s="178"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80">
        <f>股权价值增加表!M1</f>
        <v>42369</v>
      </c>
      <c r="B64" s="168">
        <v>42366</v>
      </c>
      <c r="C64" s="167">
        <v>17.39</v>
      </c>
      <c r="D64" s="167">
        <v>3.4</v>
      </c>
      <c r="E64" s="169">
        <f>股权价值增加表!M42/100000000</f>
        <v>2.9814411263</v>
      </c>
      <c r="F64" s="169">
        <v>0</v>
      </c>
      <c r="G64" s="167">
        <v>16.47</v>
      </c>
      <c r="H64" s="169">
        <f>G64*D64</f>
        <v>55.997999999999998</v>
      </c>
      <c r="I64" s="169">
        <f>C64*D64</f>
        <v>59.125999999999998</v>
      </c>
      <c r="J64" s="169">
        <f>H64/E64</f>
        <v>18.782192110395322</v>
      </c>
      <c r="K64" s="169">
        <f>I64/E64</f>
        <v>19.831349168170895</v>
      </c>
      <c r="L64" s="266">
        <v>0</v>
      </c>
    </row>
    <row r="65" spans="1:12" s="26" customFormat="1" x14ac:dyDescent="0.25">
      <c r="A65" s="180">
        <f>股权价值增加表!I1</f>
        <v>42735</v>
      </c>
      <c r="B65" s="168">
        <v>42543</v>
      </c>
      <c r="C65" s="167">
        <v>23.13</v>
      </c>
      <c r="D65" s="167">
        <v>3.64</v>
      </c>
      <c r="E65" s="169">
        <f>股权价值增加表!I42/100000000</f>
        <v>3.7001159178999985</v>
      </c>
      <c r="F65" s="169">
        <f>(E65-E64)/E64*100</f>
        <v>24.104946606538611</v>
      </c>
      <c r="G65" s="167">
        <v>23.11</v>
      </c>
      <c r="H65" s="169">
        <f t="shared" ref="H65:H66" si="8">G65*D65</f>
        <v>84.120400000000004</v>
      </c>
      <c r="I65" s="169">
        <f t="shared" ref="I65:I66" si="9">C65*D65</f>
        <v>84.193200000000004</v>
      </c>
      <c r="J65" s="169">
        <f t="shared" ref="J65:J66" si="10">H65/E65</f>
        <v>22.734530989435203</v>
      </c>
      <c r="K65" s="169">
        <f t="shared" ref="K65:K66" si="11">I65/E65</f>
        <v>22.754206048707758</v>
      </c>
      <c r="L65" s="266">
        <f>K65/F65</f>
        <v>0.94396417549149614</v>
      </c>
    </row>
    <row r="66" spans="1:12" s="26" customFormat="1" x14ac:dyDescent="0.25">
      <c r="A66" s="180">
        <f>股权价值增加表!E1</f>
        <v>43100</v>
      </c>
      <c r="B66" s="168">
        <v>42872</v>
      </c>
      <c r="C66" s="167">
        <v>16.399999999999999</v>
      </c>
      <c r="D66" s="167">
        <v>9.09</v>
      </c>
      <c r="E66" s="169">
        <f>股权价值增加表!E42/100000000</f>
        <v>3.0430623341999978</v>
      </c>
      <c r="F66" s="169">
        <f t="shared" ref="F66" si="12">(E66-E65)/E65*100</f>
        <v>-17.757648632611261</v>
      </c>
      <c r="G66" s="167">
        <v>15.76</v>
      </c>
      <c r="H66" s="169">
        <f t="shared" si="8"/>
        <v>143.25839999999999</v>
      </c>
      <c r="I66" s="169">
        <f t="shared" si="9"/>
        <v>149.07599999999999</v>
      </c>
      <c r="J66" s="169">
        <f t="shared" si="10"/>
        <v>47.077050768880071</v>
      </c>
      <c r="K66" s="169">
        <f t="shared" si="11"/>
        <v>48.988809175738147</v>
      </c>
      <c r="L66" s="266">
        <f t="shared" ref="L66" si="13">K66/F66</f>
        <v>-2.7587441439612688</v>
      </c>
    </row>
    <row r="67" spans="1:12" s="26" customFormat="1" x14ac:dyDescent="0.25">
      <c r="A67" s="163"/>
      <c r="B67" s="164"/>
      <c r="C67" s="83"/>
      <c r="D67" s="83"/>
      <c r="E67" s="83"/>
      <c r="F67" s="166"/>
      <c r="G67" s="83"/>
      <c r="H67" s="166"/>
      <c r="I67" s="166"/>
      <c r="J67" s="166"/>
      <c r="K67" s="166"/>
      <c r="L67" s="267"/>
    </row>
    <row r="68" spans="1:12" s="158" customFormat="1" ht="15" thickBot="1" x14ac:dyDescent="0.3">
      <c r="A68" s="165" t="s">
        <v>623</v>
      </c>
      <c r="B68" s="44" t="s">
        <v>612</v>
      </c>
      <c r="C68" s="44" t="s">
        <v>613</v>
      </c>
      <c r="D68" s="44" t="s">
        <v>614</v>
      </c>
      <c r="E68" s="44" t="s">
        <v>622</v>
      </c>
      <c r="F68" s="44" t="s">
        <v>615</v>
      </c>
      <c r="G68" s="44" t="s">
        <v>616</v>
      </c>
      <c r="H68" s="44" t="s">
        <v>617</v>
      </c>
      <c r="I68" s="44" t="s">
        <v>618</v>
      </c>
      <c r="J68" s="44" t="s">
        <v>619</v>
      </c>
      <c r="K68" s="44" t="s">
        <v>620</v>
      </c>
      <c r="L68" s="268" t="s">
        <v>621</v>
      </c>
    </row>
    <row r="69" spans="1:12" s="26" customFormat="1" ht="15" thickBot="1" x14ac:dyDescent="0.3">
      <c r="A69" s="170" t="s">
        <v>628</v>
      </c>
      <c r="B69" s="171">
        <v>43305</v>
      </c>
      <c r="C69" s="172">
        <v>11.65</v>
      </c>
      <c r="D69" s="172">
        <v>9.09</v>
      </c>
      <c r="E69" s="172">
        <v>4.33</v>
      </c>
      <c r="F69" s="173">
        <f>(E69-E66)/E66*100</f>
        <v>42.290874272818016</v>
      </c>
      <c r="G69" s="172">
        <v>10.119999999999999</v>
      </c>
      <c r="H69" s="173">
        <f>G69*D69</f>
        <v>91.990799999999993</v>
      </c>
      <c r="I69" s="173">
        <f>C69*D69</f>
        <v>105.8985</v>
      </c>
      <c r="J69" s="173">
        <f>H69/E69</f>
        <v>21.244988452655885</v>
      </c>
      <c r="K69" s="173">
        <f>I69/E69</f>
        <v>24.456928406466513</v>
      </c>
      <c r="L69" s="269">
        <f>K69/F69</f>
        <v>0.57830273852214797</v>
      </c>
    </row>
    <row r="70" spans="1:12" s="26" customFormat="1" ht="15" thickBot="1" x14ac:dyDescent="0.3">
      <c r="A70" s="174" t="s">
        <v>627</v>
      </c>
      <c r="B70" s="175">
        <v>43305</v>
      </c>
      <c r="C70" s="176">
        <v>11.65</v>
      </c>
      <c r="D70" s="176">
        <v>9.09</v>
      </c>
      <c r="E70" s="176">
        <v>3.86</v>
      </c>
      <c r="F70" s="177">
        <f>(E70-E66)/E66*100</f>
        <v>26.84590639562991</v>
      </c>
      <c r="G70" s="172">
        <v>10.119999999999999</v>
      </c>
      <c r="H70" s="177">
        <f t="shared" ref="H70" si="14">G70*D70</f>
        <v>91.990799999999993</v>
      </c>
      <c r="I70" s="177">
        <f t="shared" ref="I70" si="15">C70*D70</f>
        <v>105.8985</v>
      </c>
      <c r="J70" s="177">
        <f t="shared" ref="J70" si="16">H70/E70</f>
        <v>23.831813471502588</v>
      </c>
      <c r="K70" s="177">
        <f t="shared" ref="K70" si="17">I70/E70</f>
        <v>27.434844559585493</v>
      </c>
      <c r="L70" s="270">
        <f t="shared" ref="L70" si="18">K70/F70</f>
        <v>1.0219377269396817</v>
      </c>
    </row>
    <row r="71" spans="1:12" s="88" customFormat="1" ht="138" customHeight="1" x14ac:dyDescent="0.25">
      <c r="A71" s="287" t="s">
        <v>630</v>
      </c>
      <c r="B71" s="288"/>
      <c r="C71" s="288"/>
      <c r="D71" s="288"/>
      <c r="E71" s="288"/>
      <c r="F71" s="288"/>
      <c r="G71" s="288"/>
      <c r="H71" s="288"/>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2019-02-09T03:07:53Z</dcterms:modified>
</cp:coreProperties>
</file>