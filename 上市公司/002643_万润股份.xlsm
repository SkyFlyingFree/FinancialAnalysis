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3432F3E7-CC73-4876-B320-CDBDDCE3F807}" xr6:coauthVersionLast="40" xr6:coauthVersionMax="40" xr10:uidLastSave="{00000000-0000-0000-0000-000000000000}"/>
  <bookViews>
    <workbookView xWindow="480" yWindow="48" windowWidth="24792" windowHeight="11676" tabRatio="898" firstSheet="4" activeTab="10"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F27" i="12" l="1"/>
  <c r="G27" i="12"/>
  <c r="H27" i="12"/>
  <c r="I27" i="12"/>
  <c r="J27" i="12"/>
  <c r="K27" i="12"/>
  <c r="L27" i="12"/>
  <c r="M27" i="12"/>
  <c r="N27" i="12"/>
  <c r="O27" i="12"/>
  <c r="P27" i="12"/>
  <c r="Q27" i="12"/>
  <c r="R27" i="12"/>
  <c r="S27" i="12"/>
  <c r="T27" i="12"/>
  <c r="U27" i="12"/>
  <c r="V27" i="12"/>
  <c r="W27" i="12"/>
  <c r="X27" i="12"/>
  <c r="Y27" i="12"/>
  <c r="Z27" i="12"/>
  <c r="AA27" i="12"/>
  <c r="AB27" i="12"/>
  <c r="AC27" i="12"/>
  <c r="AD27" i="12"/>
  <c r="AE27" i="12"/>
  <c r="AF27" i="12"/>
  <c r="AG27" i="12"/>
  <c r="AH27" i="12"/>
  <c r="AI27" i="12"/>
  <c r="AJ27" i="12"/>
  <c r="AK27" i="12"/>
  <c r="AL27" i="12"/>
  <c r="AM27" i="12"/>
  <c r="AN27" i="12"/>
  <c r="AO27" i="12"/>
  <c r="AP27" i="12"/>
  <c r="AQ27" i="12"/>
  <c r="AR27" i="12"/>
  <c r="AS27" i="12"/>
  <c r="AT27" i="12"/>
  <c r="AU27" i="12"/>
  <c r="AV27" i="12"/>
  <c r="AW27" i="12"/>
  <c r="AX27" i="12"/>
  <c r="AY27" i="12"/>
  <c r="AZ27" i="12"/>
  <c r="BA27" i="12"/>
  <c r="BB27" i="12"/>
  <c r="BC27" i="12"/>
  <c r="BD27" i="12"/>
  <c r="BE27" i="12"/>
  <c r="BF27" i="12"/>
  <c r="BG27" i="12"/>
  <c r="BH27" i="12"/>
  <c r="BI27" i="12"/>
  <c r="BJ27" i="12"/>
  <c r="BK27" i="12"/>
  <c r="BL27" i="12"/>
  <c r="BM27" i="12"/>
  <c r="BN27" i="12"/>
  <c r="BO27" i="12"/>
  <c r="BP27" i="12"/>
  <c r="BQ27" i="12"/>
  <c r="BR27" i="12"/>
  <c r="BS27" i="12"/>
  <c r="BT27" i="12"/>
  <c r="BU27" i="12"/>
  <c r="BV27" i="12"/>
  <c r="BW27" i="12"/>
  <c r="BX27" i="12"/>
  <c r="BY27" i="12"/>
  <c r="BZ27" i="12"/>
  <c r="CA27" i="12"/>
  <c r="CB27" i="12"/>
  <c r="CC27" i="12"/>
  <c r="CD27" i="12"/>
  <c r="CE27" i="12"/>
  <c r="CF27" i="12"/>
  <c r="CG27" i="12"/>
  <c r="CH27" i="12"/>
  <c r="CI27" i="12"/>
  <c r="CJ27" i="12"/>
  <c r="CK27" i="12"/>
  <c r="CL27" i="12"/>
  <c r="E27" i="12"/>
  <c r="B4" i="13" l="1"/>
  <c r="F9" i="8"/>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B2" i="13" l="1"/>
  <c r="M53" i="6" l="1"/>
  <c r="AG52" i="6"/>
  <c r="AC52" i="6"/>
  <c r="Y52" i="6"/>
  <c r="Q52" i="6"/>
  <c r="M52" i="6"/>
  <c r="CK46" i="11" l="1"/>
  <c r="BZ101" i="11"/>
  <c r="CA101" i="11"/>
  <c r="CB101" i="11"/>
  <c r="CC101" i="11"/>
  <c r="CD101" i="11"/>
  <c r="CE101" i="11"/>
  <c r="CF101" i="11"/>
  <c r="CG101" i="11"/>
  <c r="CH101" i="11"/>
  <c r="CI101" i="11"/>
  <c r="CJ101" i="11"/>
  <c r="CK101" i="11"/>
  <c r="BZ100" i="11"/>
  <c r="CA100" i="11"/>
  <c r="CB100" i="11"/>
  <c r="CC100" i="11"/>
  <c r="CD100" i="11"/>
  <c r="CE100" i="11"/>
  <c r="CF100" i="11"/>
  <c r="CG100" i="11"/>
  <c r="CH100" i="11"/>
  <c r="CI100" i="11"/>
  <c r="CJ100" i="11"/>
  <c r="CK100" i="11"/>
  <c r="BZ22" i="11"/>
  <c r="CA22" i="11"/>
  <c r="CB22" i="11"/>
  <c r="CC22" i="11"/>
  <c r="CD22" i="11"/>
  <c r="CE22" i="11"/>
  <c r="CF22" i="11"/>
  <c r="CG22" i="11"/>
  <c r="CH22" i="11"/>
  <c r="CI22" i="11"/>
  <c r="CJ22" i="11"/>
  <c r="CK22" i="11"/>
  <c r="F60" i="10"/>
  <c r="H60" i="10"/>
  <c r="N60" i="10"/>
  <c r="E60" i="10"/>
  <c r="F53" i="10"/>
  <c r="G53" i="10"/>
  <c r="G60" i="10" s="1"/>
  <c r="H53" i="10"/>
  <c r="I53" i="10"/>
  <c r="I60" i="10" s="1"/>
  <c r="J53" i="10"/>
  <c r="J60" i="10" s="1"/>
  <c r="K53" i="10"/>
  <c r="K60" i="10" s="1"/>
  <c r="L53" i="10"/>
  <c r="L60" i="10" s="1"/>
  <c r="M53" i="10"/>
  <c r="M60" i="10" s="1"/>
  <c r="N53" i="10"/>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AO53" i="6" l="1"/>
  <c r="AK53" i="6"/>
  <c r="AL21" i="7"/>
  <c r="AM21" i="7"/>
  <c r="AN21" i="7"/>
  <c r="AO21" i="7"/>
  <c r="AP21" i="7"/>
  <c r="AQ21" i="7"/>
  <c r="AR21" i="7"/>
  <c r="AS21" i="7"/>
  <c r="AL19" i="7"/>
  <c r="AM19" i="7"/>
  <c r="AN19" i="7"/>
  <c r="AO19" i="7"/>
  <c r="AP19" i="7"/>
  <c r="AQ19" i="7"/>
  <c r="AR19" i="7"/>
  <c r="AS19" i="7"/>
  <c r="Z17" i="7"/>
  <c r="AA17" i="7"/>
  <c r="AB17" i="7"/>
  <c r="AC17" i="7"/>
  <c r="AD17" i="7"/>
  <c r="AE17" i="7"/>
  <c r="AF17" i="7"/>
  <c r="AG17" i="7"/>
  <c r="AH17" i="7"/>
  <c r="AI17" i="7"/>
  <c r="AJ17" i="7"/>
  <c r="AK17" i="7"/>
  <c r="AL17" i="7"/>
  <c r="AM17" i="7"/>
  <c r="AN17" i="7"/>
  <c r="AO17" i="7"/>
  <c r="AP17" i="7"/>
  <c r="AQ17" i="7"/>
  <c r="AR17" i="7"/>
  <c r="AS17" i="7"/>
  <c r="AT17" i="7"/>
  <c r="AU17" i="7"/>
  <c r="AV17" i="7"/>
  <c r="AH12" i="7"/>
  <c r="AI12" i="7"/>
  <c r="AJ12" i="7"/>
  <c r="AK12" i="7"/>
  <c r="AL12" i="7"/>
  <c r="AM12" i="7"/>
  <c r="AN12" i="7"/>
  <c r="AO12" i="7"/>
  <c r="AP12" i="7"/>
  <c r="AQ12" i="7"/>
  <c r="AQ13" i="7" s="1"/>
  <c r="AR12" i="7"/>
  <c r="AS12" i="7"/>
  <c r="AT12" i="7"/>
  <c r="AU12" i="7"/>
  <c r="AV12" i="7"/>
  <c r="AW12" i="7"/>
  <c r="AX12" i="7"/>
  <c r="AY12" i="7"/>
  <c r="AZ12" i="7"/>
  <c r="BA12" i="7"/>
  <c r="BB12" i="7"/>
  <c r="BC12" i="7"/>
  <c r="BD12" i="7"/>
  <c r="BE12" i="7"/>
  <c r="BF12" i="7"/>
  <c r="BG12" i="7"/>
  <c r="BH12" i="7"/>
  <c r="BI12" i="7"/>
  <c r="BJ12" i="7"/>
  <c r="BK12" i="7"/>
  <c r="BL12" i="7"/>
  <c r="BM12" i="7"/>
  <c r="BN12"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M34" i="7"/>
  <c r="AN34" i="7"/>
  <c r="AO34" i="7"/>
  <c r="AP34" i="7"/>
  <c r="AQ34" i="7"/>
  <c r="AR34" i="7"/>
  <c r="AS34" i="7"/>
  <c r="AT34" i="7"/>
  <c r="AU34" i="7"/>
  <c r="AV34" i="7"/>
  <c r="AW34" i="7"/>
  <c r="AX34" i="7"/>
  <c r="AY34" i="7"/>
  <c r="AZ34" i="7"/>
  <c r="BA34" i="7"/>
  <c r="BB34" i="7"/>
  <c r="BC34" i="7"/>
  <c r="BD34" i="7"/>
  <c r="BE34" i="7"/>
  <c r="BF34" i="7"/>
  <c r="BG34" i="7"/>
  <c r="BH34" i="7"/>
  <c r="BI34" i="7"/>
  <c r="BJ34" i="7"/>
  <c r="BK34" i="7"/>
  <c r="BL34" i="7"/>
  <c r="BM34" i="7"/>
  <c r="BN34" i="7"/>
  <c r="BO34" i="7"/>
  <c r="BP34" i="7"/>
  <c r="AL42" i="7"/>
  <c r="AM42" i="7"/>
  <c r="AN42" i="7"/>
  <c r="AO42" i="7"/>
  <c r="AP42" i="7"/>
  <c r="AQ42" i="7"/>
  <c r="AR42" i="7"/>
  <c r="AS42" i="7"/>
  <c r="AT42" i="7"/>
  <c r="AU42" i="7"/>
  <c r="AV42" i="7"/>
  <c r="AW42" i="7"/>
  <c r="AX42" i="7"/>
  <c r="AY42" i="7"/>
  <c r="AZ42" i="7"/>
  <c r="BQ34" i="7"/>
  <c r="BR34" i="7"/>
  <c r="BS34" i="7"/>
  <c r="AP13" i="7"/>
  <c r="AR13" i="7"/>
  <c r="AL11" i="7"/>
  <c r="AL13" i="7" s="1"/>
  <c r="AM11" i="7"/>
  <c r="AN11" i="7"/>
  <c r="AO11" i="7"/>
  <c r="AO13" i="7" s="1"/>
  <c r="AP11" i="7"/>
  <c r="AQ11" i="7"/>
  <c r="AR11"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W53" i="6"/>
  <c r="AS56" i="6"/>
  <c r="AN13" i="7" l="1"/>
  <c r="AM13" i="7"/>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D11" i="7" l="1"/>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K100" i="11" s="1"/>
  <c r="K101" i="11" s="1"/>
  <c r="L84" i="11"/>
  <c r="M84" i="11"/>
  <c r="N84" i="11"/>
  <c r="O84" i="11"/>
  <c r="P84" i="11"/>
  <c r="Q84" i="11"/>
  <c r="Q100" i="11" s="1"/>
  <c r="Q101" i="11" s="1"/>
  <c r="R84" i="11"/>
  <c r="S84" i="11"/>
  <c r="S100" i="11" s="1"/>
  <c r="S101" i="11" s="1"/>
  <c r="T84" i="11"/>
  <c r="T100" i="11" s="1"/>
  <c r="T101" i="11" s="1"/>
  <c r="U84" i="11"/>
  <c r="V84" i="11"/>
  <c r="W84" i="11"/>
  <c r="X84" i="11"/>
  <c r="Y84" i="11"/>
  <c r="Y100" i="11" s="1"/>
  <c r="Y101" i="11" s="1"/>
  <c r="Z84" i="11"/>
  <c r="AA84" i="11"/>
  <c r="AA100" i="11" s="1"/>
  <c r="AA101" i="11" s="1"/>
  <c r="AB84" i="11"/>
  <c r="AB100" i="11" s="1"/>
  <c r="AB101" i="11" s="1"/>
  <c r="AC84" i="11"/>
  <c r="AD84" i="11"/>
  <c r="AE84" i="11"/>
  <c r="AF84" i="11"/>
  <c r="AG84" i="11"/>
  <c r="AG100" i="11" s="1"/>
  <c r="AG101" i="11" s="1"/>
  <c r="AH84" i="11"/>
  <c r="AH100" i="11" s="1"/>
  <c r="AH101" i="11" s="1"/>
  <c r="AI84" i="11"/>
  <c r="AI100" i="11" s="1"/>
  <c r="AI101" i="11" s="1"/>
  <c r="AJ84" i="11"/>
  <c r="AJ100" i="11" s="1"/>
  <c r="AJ101" i="11" s="1"/>
  <c r="AK84" i="11"/>
  <c r="AL84" i="11"/>
  <c r="AM84" i="11"/>
  <c r="AN84" i="11"/>
  <c r="AO84" i="11"/>
  <c r="AO100" i="11" s="1"/>
  <c r="AO101" i="11" s="1"/>
  <c r="AP84" i="11"/>
  <c r="AP100" i="11" s="1"/>
  <c r="AP101" i="11" s="1"/>
  <c r="AQ84" i="11"/>
  <c r="AQ100" i="11" s="1"/>
  <c r="AQ101" i="11" s="1"/>
  <c r="AR84" i="11"/>
  <c r="AR100" i="11" s="1"/>
  <c r="AR101" i="11" s="1"/>
  <c r="AS84" i="11"/>
  <c r="AT84" i="11"/>
  <c r="AU84" i="11"/>
  <c r="AV84" i="11"/>
  <c r="AW84" i="11"/>
  <c r="AW100" i="11" s="1"/>
  <c r="AW101" i="11" s="1"/>
  <c r="AX84" i="11"/>
  <c r="AX100" i="11" s="1"/>
  <c r="AX101" i="11" s="1"/>
  <c r="AY84" i="11"/>
  <c r="AY100" i="11" s="1"/>
  <c r="AY101" i="11" s="1"/>
  <c r="AZ84" i="11"/>
  <c r="AZ100" i="11" s="1"/>
  <c r="AZ101" i="11" s="1"/>
  <c r="BA84" i="11"/>
  <c r="BB84" i="11"/>
  <c r="BC84" i="11"/>
  <c r="BD84" i="11"/>
  <c r="BE84" i="11"/>
  <c r="BE100" i="11" s="1"/>
  <c r="BE101" i="11" s="1"/>
  <c r="BF84" i="11"/>
  <c r="BF100" i="11" s="1"/>
  <c r="BF101" i="11" s="1"/>
  <c r="BG84" i="11"/>
  <c r="BG100" i="11" s="1"/>
  <c r="BG101" i="11" s="1"/>
  <c r="BH84" i="11"/>
  <c r="BH100" i="11" s="1"/>
  <c r="BH101" i="11" s="1"/>
  <c r="BI84" i="11"/>
  <c r="BJ84" i="11"/>
  <c r="BK84" i="11"/>
  <c r="BL84" i="11"/>
  <c r="BM84" i="11"/>
  <c r="BM100" i="11" s="1"/>
  <c r="BM101" i="11" s="1"/>
  <c r="BN84" i="11"/>
  <c r="BN100" i="11" s="1"/>
  <c r="BN101" i="11" s="1"/>
  <c r="BO84" i="11"/>
  <c r="BO100" i="11" s="1"/>
  <c r="BO101" i="11" s="1"/>
  <c r="BP84" i="11"/>
  <c r="BP100" i="11" s="1"/>
  <c r="BP101" i="11" s="1"/>
  <c r="BQ84" i="11"/>
  <c r="BR84" i="11"/>
  <c r="BS84" i="11"/>
  <c r="BT84" i="11"/>
  <c r="BU84" i="11"/>
  <c r="BU100" i="11" s="1"/>
  <c r="BU101" i="11" s="1"/>
  <c r="BV84" i="11"/>
  <c r="BV100" i="11" s="1"/>
  <c r="BV101" i="11" s="1"/>
  <c r="BW84" i="11"/>
  <c r="BW100" i="11" s="1"/>
  <c r="BW101" i="11" s="1"/>
  <c r="BX84" i="11"/>
  <c r="BX100" i="11" s="1"/>
  <c r="BX101" i="11" s="1"/>
  <c r="BY84" i="11"/>
  <c r="BY100" i="11" s="1"/>
  <c r="BY101" i="11" s="1"/>
  <c r="BZ84" i="11"/>
  <c r="CA84" i="11"/>
  <c r="CB84" i="11"/>
  <c r="CC84" i="11"/>
  <c r="CD84" i="11"/>
  <c r="CE84" i="11"/>
  <c r="CF84" i="11"/>
  <c r="CG84" i="11"/>
  <c r="CH84" i="11"/>
  <c r="CH85" i="11" s="1"/>
  <c r="CI84" i="11"/>
  <c r="CJ84" i="11"/>
  <c r="CK84" i="1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E100" i="11" l="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BZ3"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BB18" i="10"/>
  <c r="AT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K5" i="10"/>
  <c r="CJ4" i="10"/>
  <c r="CI4" i="10"/>
  <c r="CH4" i="10"/>
  <c r="CG4" i="10"/>
  <c r="CG6" i="10" s="1"/>
  <c r="CF4" i="10"/>
  <c r="CF6" i="10" s="1"/>
  <c r="CE4" i="10"/>
  <c r="CD4" i="10"/>
  <c r="BZ6" i="10" s="1"/>
  <c r="CC4" i="10"/>
  <c r="CB4" i="10"/>
  <c r="CA4" i="10"/>
  <c r="BZ4" i="10"/>
  <c r="BY4" i="10"/>
  <c r="BX4" i="10"/>
  <c r="BX6" i="10" s="1"/>
  <c r="BW4" i="10"/>
  <c r="BV4" i="10"/>
  <c r="BU4" i="10"/>
  <c r="BT4" i="10"/>
  <c r="BS4" i="10"/>
  <c r="BR4" i="10"/>
  <c r="BQ4" i="10"/>
  <c r="BP4" i="10"/>
  <c r="BP6" i="10" s="1"/>
  <c r="BO4" i="10"/>
  <c r="BN4" i="10"/>
  <c r="BM4" i="10"/>
  <c r="BL4" i="10"/>
  <c r="BK4" i="10"/>
  <c r="BJ4" i="10"/>
  <c r="BI4" i="10"/>
  <c r="BH4" i="10"/>
  <c r="BH6" i="10" s="1"/>
  <c r="BG4" i="10"/>
  <c r="BF4" i="10"/>
  <c r="BE4" i="10"/>
  <c r="BD4" i="10"/>
  <c r="BC4" i="10"/>
  <c r="BB4" i="10"/>
  <c r="BA4" i="10"/>
  <c r="AZ4" i="10"/>
  <c r="AZ6" i="10" s="1"/>
  <c r="AY4" i="10"/>
  <c r="AX4" i="10"/>
  <c r="AW4" i="10"/>
  <c r="AV4" i="10"/>
  <c r="AU4" i="10"/>
  <c r="AT4" i="10"/>
  <c r="AS4" i="10"/>
  <c r="AR4" i="10"/>
  <c r="AR6" i="10" s="1"/>
  <c r="AQ4" i="10"/>
  <c r="AP4" i="10"/>
  <c r="AO4" i="10"/>
  <c r="AN4" i="10"/>
  <c r="AM4" i="10"/>
  <c r="AL4" i="10"/>
  <c r="AK4" i="10"/>
  <c r="AJ4" i="10"/>
  <c r="AI4" i="10"/>
  <c r="AH4" i="10"/>
  <c r="AG4" i="10"/>
  <c r="AF4" i="10"/>
  <c r="AE4" i="10"/>
  <c r="AD4" i="10"/>
  <c r="AC4" i="10"/>
  <c r="AB4" i="10"/>
  <c r="AB6" i="10" s="1"/>
  <c r="AA4" i="10"/>
  <c r="Z4" i="10"/>
  <c r="Y4" i="10"/>
  <c r="X4" i="10"/>
  <c r="W4" i="10"/>
  <c r="V4" i="10"/>
  <c r="U4" i="10"/>
  <c r="T4" i="10"/>
  <c r="T6" i="10" s="1"/>
  <c r="S4" i="10"/>
  <c r="R4" i="10"/>
  <c r="Q4" i="10"/>
  <c r="P4" i="10"/>
  <c r="O4" i="10"/>
  <c r="N4" i="10"/>
  <c r="M4" i="10"/>
  <c r="L4" i="10"/>
  <c r="K4" i="10"/>
  <c r="J4" i="10"/>
  <c r="I4" i="10"/>
  <c r="H4" i="10"/>
  <c r="G4" i="10"/>
  <c r="F4" i="10"/>
  <c r="E4" i="10"/>
  <c r="CG3" i="10"/>
  <c r="CJ2" i="10"/>
  <c r="CI2" i="10"/>
  <c r="CH2" i="10"/>
  <c r="CH3" i="10" s="1"/>
  <c r="CG2" i="10"/>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I5" i="10" s="1"/>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E24" i="6" s="1"/>
  <c r="CD67" i="6"/>
  <c r="CC67" i="6"/>
  <c r="CC24" i="6" s="1"/>
  <c r="CB67" i="6"/>
  <c r="CA67" i="6"/>
  <c r="CA24" i="6" s="1"/>
  <c r="BZ67" i="6"/>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W67" i="6"/>
  <c r="W24" i="6" s="1"/>
  <c r="V67" i="6"/>
  <c r="V24" i="6" s="1"/>
  <c r="U67" i="6"/>
  <c r="U24" i="6" s="1"/>
  <c r="T67" i="6"/>
  <c r="T24" i="6" s="1"/>
  <c r="S67" i="6"/>
  <c r="S24" i="6" s="1"/>
  <c r="R67" i="6"/>
  <c r="R24" i="6" s="1"/>
  <c r="Q67" i="6"/>
  <c r="Q24" i="6" s="1"/>
  <c r="P67" i="6"/>
  <c r="O67" i="6"/>
  <c r="O24" i="6" s="1"/>
  <c r="N67" i="6"/>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D24" i="6"/>
  <c r="CB24" i="6"/>
  <c r="BZ24" i="6"/>
  <c r="BV24" i="6"/>
  <c r="BT24" i="6"/>
  <c r="BL24" i="6"/>
  <c r="BD24" i="6"/>
  <c r="AX24" i="6"/>
  <c r="AV24" i="6"/>
  <c r="AN24" i="6"/>
  <c r="AF24" i="6"/>
  <c r="Z24" i="6"/>
  <c r="X24" i="6"/>
  <c r="P24" i="6"/>
  <c r="N24" i="6"/>
  <c r="H24" i="6"/>
  <c r="CK23" i="6"/>
  <c r="CJ23" i="6"/>
  <c r="CJ35" i="6" s="1"/>
  <c r="CI23" i="6"/>
  <c r="CI35" i="6" s="1"/>
  <c r="CH23" i="6"/>
  <c r="CH35" i="6" s="1"/>
  <c r="CG23" i="6"/>
  <c r="CF23" i="6"/>
  <c r="CF35" i="6" s="1"/>
  <c r="CE23" i="6"/>
  <c r="CE27" i="6" s="1"/>
  <c r="CE32" i="10" s="1"/>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A12" i="6"/>
  <c r="BA18" i="10" s="1"/>
  <c r="AZ12" i="6"/>
  <c r="AZ18" i="10" s="1"/>
  <c r="AY12" i="6"/>
  <c r="AY18" i="10" s="1"/>
  <c r="AX12" i="6"/>
  <c r="AX18" i="10" s="1"/>
  <c r="AW12" i="6"/>
  <c r="AW18" i="10" s="1"/>
  <c r="AV12" i="6"/>
  <c r="AV18" i="10" s="1"/>
  <c r="AU12" i="6"/>
  <c r="AU18" i="10" s="1"/>
  <c r="AT12" i="6"/>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D108" i="5" s="1"/>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D50" i="5" l="1"/>
  <c r="D69"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CE46" i="11" s="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BZ46" i="11" s="1"/>
  <c r="CH43" i="11"/>
  <c r="CH46" i="11" s="1"/>
  <c r="BO76" i="11"/>
  <c r="BW76" i="11"/>
  <c r="CE76" i="11"/>
  <c r="J12" i="12"/>
  <c r="R12" i="12"/>
  <c r="Z12" i="12"/>
  <c r="AH12" i="12"/>
  <c r="AH13" i="12" s="1"/>
  <c r="AP12" i="12"/>
  <c r="AX12" i="12"/>
  <c r="BF12" i="12"/>
  <c r="BN12" i="12"/>
  <c r="BV12" i="12"/>
  <c r="CD12" i="12"/>
  <c r="AS27" i="6"/>
  <c r="AS32" i="10" s="1"/>
  <c r="L57" i="11"/>
  <c r="AJ57" i="11"/>
  <c r="AR65" i="11"/>
  <c r="AR66" i="11" s="1"/>
  <c r="AZ65" i="11"/>
  <c r="AZ66" i="11" s="1"/>
  <c r="BH57" i="11"/>
  <c r="BP65" i="11"/>
  <c r="BP66" i="11" s="1"/>
  <c r="BX65" i="11"/>
  <c r="BX66" i="11" s="1"/>
  <c r="CF65" i="11"/>
  <c r="CF66" i="11" s="1"/>
  <c r="K12" i="12"/>
  <c r="K13" i="12" s="1"/>
  <c r="S12" i="12"/>
  <c r="AA12" i="12"/>
  <c r="AI12" i="12"/>
  <c r="AI13" i="12" s="1"/>
  <c r="AQ12" i="12"/>
  <c r="AY12" i="12"/>
  <c r="BG12" i="12"/>
  <c r="BO12" i="12"/>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9" i="10" s="1"/>
  <c r="AY7" i="6"/>
  <c r="BG7" i="10"/>
  <c r="BG7" i="6"/>
  <c r="BO7" i="10"/>
  <c r="BO7" i="6"/>
  <c r="BW7" i="10"/>
  <c r="BS9" i="10" s="1"/>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9" i="10" s="1"/>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T27" i="6"/>
  <c r="CB27" i="6"/>
  <c r="CB32" i="10" s="1"/>
  <c r="CJ27" i="6"/>
  <c r="AX5" i="10"/>
  <c r="BF5" i="10"/>
  <c r="BN5" i="10"/>
  <c r="BV5" i="10"/>
  <c r="CD5" i="10"/>
  <c r="BA5" i="10"/>
  <c r="CG5" i="10"/>
  <c r="BR6" i="10"/>
  <c r="BU43" i="11"/>
  <c r="CC43" i="11"/>
  <c r="CC46" i="11" s="1"/>
  <c r="AL65" i="11"/>
  <c r="AL66" i="11" s="1"/>
  <c r="AT65" i="11"/>
  <c r="AT66" i="11" s="1"/>
  <c r="BB65" i="11"/>
  <c r="BB66" i="11" s="1"/>
  <c r="BJ65" i="11"/>
  <c r="BJ66" i="11" s="1"/>
  <c r="BR65" i="11"/>
  <c r="BR66" i="11" s="1"/>
  <c r="BZ65" i="11"/>
  <c r="BZ66" i="11" s="1"/>
  <c r="BN7" i="10"/>
  <c r="BJ9" i="10" s="1"/>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M25" i="12"/>
  <c r="M26" i="12" s="1"/>
  <c r="U25" i="12"/>
  <c r="U26" i="12" s="1"/>
  <c r="AC25" i="12"/>
  <c r="AK25" i="12"/>
  <c r="AK26" i="12" s="1"/>
  <c r="AS25" i="12"/>
  <c r="AS26" i="12" s="1"/>
  <c r="BA25" i="12"/>
  <c r="BI25" i="12"/>
  <c r="BI26" i="12" s="1"/>
  <c r="BQ25" i="12"/>
  <c r="BQ26" i="12" s="1"/>
  <c r="BY25" i="12"/>
  <c r="BY26" i="12" s="1"/>
  <c r="CG25" i="12"/>
  <c r="CG26" i="12" s="1"/>
  <c r="L27" i="6"/>
  <c r="L32" i="10" s="1"/>
  <c r="N27" i="6"/>
  <c r="N32" i="10" s="1"/>
  <c r="K19" i="10"/>
  <c r="P27" i="6"/>
  <c r="P32" i="10" s="1"/>
  <c r="L19" i="10"/>
  <c r="P19" i="10"/>
  <c r="O27" i="6"/>
  <c r="O32" i="10" s="1"/>
  <c r="J27" i="6"/>
  <c r="J32" i="10" s="1"/>
  <c r="F25" i="12"/>
  <c r="F26" i="12" s="1"/>
  <c r="N25" i="12"/>
  <c r="N26" i="12" s="1"/>
  <c r="V25" i="12"/>
  <c r="V26" i="12" s="1"/>
  <c r="AD25" i="12"/>
  <c r="AD26" i="12" s="1"/>
  <c r="AL25" i="12"/>
  <c r="AL26" i="12" s="1"/>
  <c r="AT25" i="12"/>
  <c r="AT26" i="12" s="1"/>
  <c r="BB25" i="12"/>
  <c r="BB26" i="12" s="1"/>
  <c r="BJ25" i="12"/>
  <c r="BJ26" i="12" s="1"/>
  <c r="BR25" i="12"/>
  <c r="BR26" i="12" s="1"/>
  <c r="BZ25" i="12"/>
  <c r="BZ26" i="12" s="1"/>
  <c r="CH25" i="12"/>
  <c r="CH26" i="12" s="1"/>
  <c r="CH28" i="12" s="1"/>
  <c r="I25" i="12"/>
  <c r="I26" i="12" s="1"/>
  <c r="Q25" i="12"/>
  <c r="Q26" i="12" s="1"/>
  <c r="Y25" i="12"/>
  <c r="AG25" i="12"/>
  <c r="AG26" i="12" s="1"/>
  <c r="AO25" i="12"/>
  <c r="AO26" i="12" s="1"/>
  <c r="AW25" i="12"/>
  <c r="AW26" i="12" s="1"/>
  <c r="BE25" i="12"/>
  <c r="BE26" i="12" s="1"/>
  <c r="BM25" i="12"/>
  <c r="BM26" i="12" s="1"/>
  <c r="BU25" i="12"/>
  <c r="BU26" i="12" s="1"/>
  <c r="L12" i="12"/>
  <c r="T12" i="12"/>
  <c r="T13" i="12" s="1"/>
  <c r="AB12" i="12"/>
  <c r="AB13" i="12" s="1"/>
  <c r="AJ12" i="12"/>
  <c r="AJ13" i="12" s="1"/>
  <c r="AR12" i="12"/>
  <c r="AR13" i="12" s="1"/>
  <c r="AZ12" i="12"/>
  <c r="BH12" i="12"/>
  <c r="BH13" i="12" s="1"/>
  <c r="BP12" i="12"/>
  <c r="BP13" i="12" s="1"/>
  <c r="BX12" i="12"/>
  <c r="CF12" i="12"/>
  <c r="CF13" i="12" s="1"/>
  <c r="G12" i="12"/>
  <c r="G13" i="12" s="1"/>
  <c r="O12" i="12"/>
  <c r="O13" i="12" s="1"/>
  <c r="W12" i="12"/>
  <c r="W13" i="12" s="1"/>
  <c r="AE12" i="12"/>
  <c r="AM12" i="12"/>
  <c r="AM13" i="12" s="1"/>
  <c r="AU12" i="12"/>
  <c r="AU13" i="12" s="1"/>
  <c r="BC12" i="12"/>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S25" i="12"/>
  <c r="S26" i="12" s="1"/>
  <c r="E12" i="12"/>
  <c r="E13" i="12" s="1"/>
  <c r="M12" i="12"/>
  <c r="M13" i="12" s="1"/>
  <c r="U12" i="12"/>
  <c r="AC12" i="12"/>
  <c r="AK12" i="12"/>
  <c r="AK13" i="12" s="1"/>
  <c r="AS12" i="12"/>
  <c r="AS13" i="12" s="1"/>
  <c r="BA12" i="12"/>
  <c r="BI12" i="12"/>
  <c r="BI13" i="12" s="1"/>
  <c r="BQ12" i="12"/>
  <c r="BQ13" i="12" s="1"/>
  <c r="BY12" i="12"/>
  <c r="BY13" i="12" s="1"/>
  <c r="CG12" i="12"/>
  <c r="CF28" i="11"/>
  <c r="H12" i="12"/>
  <c r="H13" i="12" s="1"/>
  <c r="P12" i="12"/>
  <c r="P13" i="12" s="1"/>
  <c r="X12" i="12"/>
  <c r="AF12" i="12"/>
  <c r="AF13" i="12" s="1"/>
  <c r="AN12" i="12"/>
  <c r="AN13" i="12" s="1"/>
  <c r="AV12" i="12"/>
  <c r="AV13" i="12" s="1"/>
  <c r="BD12" i="12"/>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I25" i="12"/>
  <c r="AI26" i="12" s="1"/>
  <c r="AQ25" i="12"/>
  <c r="AQ26" i="12" s="1"/>
  <c r="AY25" i="12"/>
  <c r="AY26" i="12" s="1"/>
  <c r="BG25" i="12"/>
  <c r="BG26" i="12" s="1"/>
  <c r="BO25" i="12"/>
  <c r="BO26" i="12" s="1"/>
  <c r="BW25" i="12"/>
  <c r="BW26" i="12" s="1"/>
  <c r="CE25" i="12"/>
  <c r="CE26"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C8" i="10"/>
  <c r="BK8" i="10"/>
  <c r="BK9" i="10"/>
  <c r="BS8"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CH2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CJ32" i="10"/>
  <c r="BX8" i="10"/>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CE74" i="11" s="1"/>
  <c r="L69" i="11"/>
  <c r="L70" i="11" s="1"/>
  <c r="AB69" i="11"/>
  <c r="AB70" i="11" s="1"/>
  <c r="AJ69" i="11"/>
  <c r="AJ70" i="11" s="1"/>
  <c r="AR69" i="11"/>
  <c r="AR70" i="11" s="1"/>
  <c r="AZ69" i="11"/>
  <c r="AZ70" i="11" s="1"/>
  <c r="AZ74"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L74"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CC74"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V23" i="7" s="1"/>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CD23" i="11" s="1"/>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W54" i="11"/>
  <c r="BW55" i="11" s="1"/>
  <c r="BW2" i="9"/>
  <c r="BW16" i="9" s="1"/>
  <c r="CE54" i="11"/>
  <c r="CE55" i="11" s="1"/>
  <c r="CE2" i="9"/>
  <c r="K50" i="5"/>
  <c r="S50" i="5"/>
  <c r="AA50" i="5"/>
  <c r="AI50" i="5"/>
  <c r="AQ50" i="5"/>
  <c r="AY50" i="5"/>
  <c r="BG50" i="5"/>
  <c r="BO50" i="5"/>
  <c r="BW50" i="5"/>
  <c r="CE50" i="5"/>
  <c r="CE23" i="11" s="1"/>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CA32" i="9" s="1"/>
  <c r="I10" i="9"/>
  <c r="I89" i="5"/>
  <c r="BH89" i="5"/>
  <c r="T54" i="11"/>
  <c r="T55" i="11" s="1"/>
  <c r="T2" i="9"/>
  <c r="T35" i="7"/>
  <c r="P22" i="7" s="1"/>
  <c r="AZ54" i="11"/>
  <c r="AZ55" i="11" s="1"/>
  <c r="AZ2" i="9"/>
  <c r="AZ16" i="9" s="1"/>
  <c r="CF54" i="11"/>
  <c r="CF2" i="9"/>
  <c r="L50" i="5"/>
  <c r="T50" i="5"/>
  <c r="AB50" i="5"/>
  <c r="AJ50" i="5"/>
  <c r="AR50" i="5"/>
  <c r="AZ50" i="5"/>
  <c r="BH50" i="5"/>
  <c r="BP50" i="5"/>
  <c r="BX50" i="5"/>
  <c r="CF50" i="5"/>
  <c r="CF23" i="11" s="1"/>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BY25" i="9" s="1"/>
  <c r="CG54" i="11"/>
  <c r="CG55" i="11" s="1"/>
  <c r="CG2" i="9"/>
  <c r="E50" i="5"/>
  <c r="M50" i="5"/>
  <c r="U50" i="5"/>
  <c r="AC50" i="5"/>
  <c r="AK50" i="5"/>
  <c r="AS50" i="5"/>
  <c r="BA50" i="5"/>
  <c r="BI50" i="5"/>
  <c r="BQ50" i="5"/>
  <c r="BY50" i="5"/>
  <c r="CG50" i="5"/>
  <c r="CG23" i="11" s="1"/>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D70" i="5"/>
  <c r="AR54" i="1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J54" i="11"/>
  <c r="BJ55" i="11" s="1"/>
  <c r="BJ2" i="9"/>
  <c r="BJ16" i="9" s="1"/>
  <c r="BR54" i="11"/>
  <c r="BR55" i="11" s="1"/>
  <c r="BR2" i="9"/>
  <c r="BR25" i="9" s="1"/>
  <c r="BZ54" i="11"/>
  <c r="BZ2" i="9"/>
  <c r="BV25" i="9" s="1"/>
  <c r="CH54" i="11"/>
  <c r="CH2" i="9"/>
  <c r="CH16" i="9" s="1"/>
  <c r="F50" i="5"/>
  <c r="N50" i="5"/>
  <c r="V50" i="5"/>
  <c r="AD50" i="5"/>
  <c r="AL50" i="5"/>
  <c r="AT50" i="5"/>
  <c r="BB50" i="5"/>
  <c r="BJ50" i="5"/>
  <c r="BR50" i="5"/>
  <c r="BZ50" i="5"/>
  <c r="BZ23" i="11" s="1"/>
  <c r="BZ24" i="11" s="1"/>
  <c r="CH50" i="5"/>
  <c r="CH23" i="11" s="1"/>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7" i="9"/>
  <c r="CH52" i="11"/>
  <c r="CH7" i="9"/>
  <c r="CD32" i="9" s="1"/>
  <c r="T89" i="5"/>
  <c r="CF89" i="5"/>
  <c r="AJ54" i="11"/>
  <c r="AJ55" i="11" s="1"/>
  <c r="AJ2" i="9"/>
  <c r="BP54" i="11"/>
  <c r="BP55" i="11" s="1"/>
  <c r="BP2" i="9"/>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2" i="9"/>
  <c r="CI25" i="9" s="1"/>
  <c r="G50" i="5"/>
  <c r="O50" i="5"/>
  <c r="W50" i="5"/>
  <c r="AE50" i="5"/>
  <c r="AM50" i="5"/>
  <c r="AU50" i="5"/>
  <c r="BC50" i="5"/>
  <c r="BK50" i="5"/>
  <c r="BS50" i="5"/>
  <c r="CA50" i="5"/>
  <c r="CA23" i="11" s="1"/>
  <c r="CI50" i="5"/>
  <c r="CI23" i="11" s="1"/>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2" i="9"/>
  <c r="CB16" i="9" s="1"/>
  <c r="CJ54" i="11"/>
  <c r="CJ55" i="11" s="1"/>
  <c r="CJ2" i="9"/>
  <c r="CJ25" i="9" s="1"/>
  <c r="H30" i="9"/>
  <c r="P30" i="9"/>
  <c r="X30" i="9"/>
  <c r="AF30" i="9"/>
  <c r="H50" i="5"/>
  <c r="P50" i="5"/>
  <c r="X50" i="5"/>
  <c r="AF50" i="5"/>
  <c r="AN50" i="5"/>
  <c r="AV50" i="5"/>
  <c r="BD50" i="5"/>
  <c r="BL50" i="5"/>
  <c r="BT50" i="5"/>
  <c r="CB50" i="5"/>
  <c r="CB23" i="11" s="1"/>
  <c r="CJ50" i="5"/>
  <c r="CJ23" i="11" s="1"/>
  <c r="H52" i="11"/>
  <c r="H53" i="11" s="1"/>
  <c r="H7" i="9"/>
  <c r="P52" i="11"/>
  <c r="P53" i="11" s="1"/>
  <c r="P7" i="9"/>
  <c r="X52" i="11"/>
  <c r="X53" i="11" s="1"/>
  <c r="X7" i="9"/>
  <c r="AF52" i="11"/>
  <c r="AF7" i="9"/>
  <c r="AB32" i="9" s="1"/>
  <c r="AN52" i="11"/>
  <c r="AN53" i="11" s="1"/>
  <c r="AN7" i="9"/>
  <c r="AV52" i="11"/>
  <c r="AV53" i="11" s="1"/>
  <c r="AV7" i="9"/>
  <c r="BD52" i="11"/>
  <c r="BD53" i="11" s="1"/>
  <c r="BD7" i="9"/>
  <c r="BL52" i="11"/>
  <c r="BL53" i="11" s="1"/>
  <c r="BL7" i="9"/>
  <c r="BT52" i="11"/>
  <c r="BT53" i="11" s="1"/>
  <c r="BT7" i="9"/>
  <c r="BP32" i="9" s="1"/>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C23" i="11" s="1"/>
  <c r="CK50" i="5"/>
  <c r="CK23" i="11" s="1"/>
  <c r="CK24" i="11" s="1"/>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A46" i="11" s="1"/>
  <c r="CI43" i="11"/>
  <c r="CI46" i="11" s="1"/>
  <c r="H43" i="11"/>
  <c r="P43" i="11"/>
  <c r="X43" i="11"/>
  <c r="AF43" i="11"/>
  <c r="AN43" i="11"/>
  <c r="AV43" i="11"/>
  <c r="BD43" i="11"/>
  <c r="BL43" i="11"/>
  <c r="BT43" i="11"/>
  <c r="CB43" i="11"/>
  <c r="CB46" i="11" s="1"/>
  <c r="CJ43" i="11"/>
  <c r="CJ46" i="11" s="1"/>
  <c r="L28" i="11"/>
  <c r="T28" i="11"/>
  <c r="AB28" i="11"/>
  <c r="AJ28" i="11"/>
  <c r="AR28" i="11"/>
  <c r="AZ28" i="11"/>
  <c r="BH28" i="11"/>
  <c r="BP28" i="11"/>
  <c r="BX28" i="11"/>
  <c r="J43" i="11"/>
  <c r="R43" i="11"/>
  <c r="Z43" i="11"/>
  <c r="AH43" i="11"/>
  <c r="AP43" i="11"/>
  <c r="AX43" i="11"/>
  <c r="BF43" i="11"/>
  <c r="BN43" i="11"/>
  <c r="BV43" i="11"/>
  <c r="CD43" i="11"/>
  <c r="CD46" i="11" s="1"/>
  <c r="L43" i="11"/>
  <c r="T43" i="11"/>
  <c r="AJ43" i="11"/>
  <c r="AR43" i="11"/>
  <c r="AZ43" i="11"/>
  <c r="BH43" i="11"/>
  <c r="BP43" i="11"/>
  <c r="CF43" i="11"/>
  <c r="CF46" i="11" s="1"/>
  <c r="G28" i="11"/>
  <c r="W28" i="11"/>
  <c r="AE28" i="11"/>
  <c r="AM28" i="11"/>
  <c r="AU28" i="11"/>
  <c r="BC28" i="11"/>
  <c r="BK28" i="11"/>
  <c r="CI28" i="11"/>
  <c r="E43" i="11"/>
  <c r="M43" i="11"/>
  <c r="U43" i="11"/>
  <c r="AC43" i="11"/>
  <c r="AK43" i="11"/>
  <c r="AS43" i="11"/>
  <c r="BA43" i="11"/>
  <c r="BI43" i="11"/>
  <c r="BQ43" i="11"/>
  <c r="BY43" i="11"/>
  <c r="CG43" i="11"/>
  <c r="CG46" i="11" s="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O25" i="12"/>
  <c r="O26" i="12" s="1"/>
  <c r="W25" i="12"/>
  <c r="W26" i="12" s="1"/>
  <c r="AE25" i="12"/>
  <c r="AE26" i="12" s="1"/>
  <c r="AM25" i="12"/>
  <c r="AM26" i="12" s="1"/>
  <c r="AU25" i="12"/>
  <c r="AU26" i="12" s="1"/>
  <c r="BC25" i="12"/>
  <c r="BC26" i="12" s="1"/>
  <c r="BK25" i="12"/>
  <c r="BK26" i="12" s="1"/>
  <c r="BS25" i="12"/>
  <c r="BS26" i="12" s="1"/>
  <c r="CA25" i="12"/>
  <c r="CA26" i="12" s="1"/>
  <c r="CI25" i="12"/>
  <c r="CI26" i="12" s="1"/>
  <c r="CI28" i="12" s="1"/>
  <c r="H25" i="12"/>
  <c r="H26" i="12" s="1"/>
  <c r="P25" i="12"/>
  <c r="P26" i="12" s="1"/>
  <c r="X25" i="12"/>
  <c r="X26" i="12" s="1"/>
  <c r="AF25" i="12"/>
  <c r="AF26" i="12" s="1"/>
  <c r="AN25" i="12"/>
  <c r="AN26" i="12" s="1"/>
  <c r="AV25" i="12"/>
  <c r="AV26" i="12" s="1"/>
  <c r="BD25" i="12"/>
  <c r="BD26" i="12" s="1"/>
  <c r="BL25" i="12"/>
  <c r="BL26" i="12" s="1"/>
  <c r="BT25" i="12"/>
  <c r="BT26" i="12" s="1"/>
  <c r="CB25" i="12"/>
  <c r="CB26" i="12" s="1"/>
  <c r="CJ25" i="12"/>
  <c r="CJ26" i="12" s="1"/>
  <c r="CJ28" i="12" s="1"/>
  <c r="J5" i="12"/>
  <c r="R5" i="12"/>
  <c r="Z5" i="12"/>
  <c r="AH5" i="12"/>
  <c r="AP5" i="12"/>
  <c r="AX5" i="12"/>
  <c r="BF5" i="12"/>
  <c r="BN5" i="12"/>
  <c r="BV5" i="12"/>
  <c r="CD5" i="12"/>
  <c r="CC25" i="12"/>
  <c r="CK25" i="12"/>
  <c r="CK26" i="12" s="1"/>
  <c r="CK28" i="12" s="1"/>
  <c r="J25" i="12"/>
  <c r="J26" i="12" s="1"/>
  <c r="R25" i="12"/>
  <c r="R26" i="12" s="1"/>
  <c r="Z25" i="12"/>
  <c r="Z26" i="12" s="1"/>
  <c r="AH25" i="12"/>
  <c r="AH26" i="12" s="1"/>
  <c r="AP25" i="12"/>
  <c r="AP26" i="12" s="1"/>
  <c r="AX25" i="12"/>
  <c r="AX26" i="12" s="1"/>
  <c r="BF25" i="12"/>
  <c r="BF26" i="12" s="1"/>
  <c r="BN25" i="12"/>
  <c r="BN26" i="12" s="1"/>
  <c r="BV25" i="12"/>
  <c r="BV26" i="12" s="1"/>
  <c r="CD25" i="12"/>
  <c r="CD26" i="12" s="1"/>
  <c r="L25" i="12"/>
  <c r="L26" i="12" s="1"/>
  <c r="T25" i="12"/>
  <c r="T26" i="12" s="1"/>
  <c r="AB25" i="12"/>
  <c r="AB26" i="12" s="1"/>
  <c r="AJ25" i="12"/>
  <c r="AJ26" i="12" s="1"/>
  <c r="AR25" i="12"/>
  <c r="AR26" i="12" s="1"/>
  <c r="AZ25" i="12"/>
  <c r="AZ26" i="12" s="1"/>
  <c r="BH25" i="12"/>
  <c r="BH26" i="12" s="1"/>
  <c r="BP25" i="12"/>
  <c r="BP26" i="12" s="1"/>
  <c r="BX25" i="12"/>
  <c r="BX26" i="12" s="1"/>
  <c r="CF25" i="12"/>
  <c r="CF26" i="12" s="1"/>
  <c r="F5" i="12"/>
  <c r="N5" i="12"/>
  <c r="V5" i="12"/>
  <c r="AD5" i="12"/>
  <c r="AL5" i="12"/>
  <c r="AT5" i="12"/>
  <c r="BB5" i="12"/>
  <c r="BJ5" i="12"/>
  <c r="BR5" i="12"/>
  <c r="BZ5" i="12"/>
  <c r="CH5" i="12"/>
  <c r="I5" i="12"/>
  <c r="Q5" i="12"/>
  <c r="Y5" i="12"/>
  <c r="AG5" i="12"/>
  <c r="AO5" i="12"/>
  <c r="AW5" i="12"/>
  <c r="BE5" i="12"/>
  <c r="BM5" i="12"/>
  <c r="BU5" i="12"/>
  <c r="CC5" i="12"/>
  <c r="CK5" i="12"/>
  <c r="L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A13" i="12"/>
  <c r="AQ13" i="12"/>
  <c r="AY13" i="12"/>
  <c r="BG13" i="12"/>
  <c r="BO13" i="12"/>
  <c r="CE13" i="12"/>
  <c r="AZ13" i="12"/>
  <c r="BX13" i="12"/>
  <c r="AC26" i="12"/>
  <c r="BA26" i="12"/>
  <c r="U13" i="12"/>
  <c r="AC13" i="12"/>
  <c r="BA13" i="12"/>
  <c r="CG13" i="12"/>
  <c r="CK18" i="12"/>
  <c r="AE13" i="12"/>
  <c r="BC13" i="12"/>
  <c r="CA13" i="12"/>
  <c r="X13" i="12"/>
  <c r="BD13" i="12"/>
  <c r="BL13" i="12"/>
  <c r="CJ13" i="12"/>
  <c r="Y26" i="12"/>
  <c r="CC26" i="12"/>
  <c r="J13" i="12"/>
  <c r="R13" i="12"/>
  <c r="Z13" i="12"/>
  <c r="AP13" i="12"/>
  <c r="AX13" i="12"/>
  <c r="BF13" i="12"/>
  <c r="BN13" i="12"/>
  <c r="BV13" i="12"/>
  <c r="CD13" i="12"/>
  <c r="G57" i="11"/>
  <c r="BS57" i="11"/>
  <c r="BT55" i="11"/>
  <c r="O57" i="11"/>
  <c r="CA57" i="11"/>
  <c r="BV53" i="11"/>
  <c r="CB55"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74" i="11" s="1"/>
  <c r="CG75"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BZ53" i="11"/>
  <c r="CH53" i="11"/>
  <c r="AR55"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CH55" i="11"/>
  <c r="AD63" i="11"/>
  <c r="AD65" i="11" s="1"/>
  <c r="AD66" i="11" s="1"/>
  <c r="AX63" i="11"/>
  <c r="AX65" i="11" s="1"/>
  <c r="AX66" i="11" s="1"/>
  <c r="BU53"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BV32"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P16"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CK16" i="9"/>
  <c r="AH30" i="9"/>
  <c r="AP30" i="9"/>
  <c r="AX30" i="9"/>
  <c r="BF30" i="9"/>
  <c r="BN30" i="9"/>
  <c r="BV30" i="9"/>
  <c r="CD30" i="9"/>
  <c r="L31" i="9"/>
  <c r="T31" i="9"/>
  <c r="AB31" i="9"/>
  <c r="AJ31" i="9"/>
  <c r="AR31" i="9"/>
  <c r="AZ31" i="9"/>
  <c r="BH31" i="9"/>
  <c r="BP31" i="9"/>
  <c r="BX31" i="9"/>
  <c r="CF31" i="9"/>
  <c r="BR32" i="9"/>
  <c r="BZ32" i="9"/>
  <c r="U34" i="9"/>
  <c r="AC34" i="9"/>
  <c r="AK34" i="9"/>
  <c r="AS34" i="9"/>
  <c r="BA34" i="9"/>
  <c r="BI34" i="9"/>
  <c r="BQ34" i="9"/>
  <c r="BY34" i="9"/>
  <c r="CG34" i="9"/>
  <c r="H36" i="9"/>
  <c r="P36" i="9"/>
  <c r="X36" i="9"/>
  <c r="AF36" i="9"/>
  <c r="AN36" i="9"/>
  <c r="AV36" i="9"/>
  <c r="BD36" i="9"/>
  <c r="BL36" i="9"/>
  <c r="BT36" i="9"/>
  <c r="CB36" i="9"/>
  <c r="CJ36" i="9"/>
  <c r="AQ16" i="9"/>
  <c r="BO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B16" i="9"/>
  <c r="BZ16" i="9"/>
  <c r="L36" i="9"/>
  <c r="T36" i="9"/>
  <c r="AB36" i="9"/>
  <c r="AJ36" i="9"/>
  <c r="AR36" i="9"/>
  <c r="AZ36" i="9"/>
  <c r="BH36" i="9"/>
  <c r="BP36" i="9"/>
  <c r="BX36" i="9"/>
  <c r="CF36" i="9"/>
  <c r="CA16" i="9"/>
  <c r="M13" i="7" l="1"/>
  <c r="AC74" i="11"/>
  <c r="BW9" i="10"/>
  <c r="BN8" i="10"/>
  <c r="AM9" i="10"/>
  <c r="BN9" i="10"/>
  <c r="F74" i="11"/>
  <c r="F75" i="11" s="1"/>
  <c r="BE9" i="10"/>
  <c r="BU9" i="10"/>
  <c r="AQ74" i="11"/>
  <c r="AY8" i="10"/>
  <c r="BD9" i="10"/>
  <c r="AV9" i="10"/>
  <c r="AL9" i="10"/>
  <c r="BQ8" i="10"/>
  <c r="AQ9" i="10"/>
  <c r="M67" i="9"/>
  <c r="M78" i="9"/>
  <c r="M79" i="9" s="1"/>
  <c r="B47" i="13"/>
  <c r="E108" i="5"/>
  <c r="BQ23" i="11"/>
  <c r="BQ24" i="11" s="1"/>
  <c r="J67" i="9"/>
  <c r="J78" i="9"/>
  <c r="J79" i="9" s="1"/>
  <c r="I67" i="9"/>
  <c r="I78" i="9"/>
  <c r="I79" i="9" s="1"/>
  <c r="BU32" i="9"/>
  <c r="AX25" i="9"/>
  <c r="BM23" i="11"/>
  <c r="BM24" i="11" s="1"/>
  <c r="BU74" i="11"/>
  <c r="BU75" i="11" s="1"/>
  <c r="BS74" i="1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AC75" i="1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J74" i="11"/>
  <c r="BJ75" i="11" s="1"/>
  <c r="BC74" i="11"/>
  <c r="BC75" i="11" s="1"/>
  <c r="BB74" i="11"/>
  <c r="BB75" i="11" s="1"/>
  <c r="AW74" i="11"/>
  <c r="AW75" i="11" s="1"/>
  <c r="BT74" i="11"/>
  <c r="BT75" i="11" s="1"/>
  <c r="BW74" i="11"/>
  <c r="BW75" i="11" s="1"/>
  <c r="AR74" i="11"/>
  <c r="AR75" i="11" s="1"/>
  <c r="BT9" i="10"/>
  <c r="CG25" i="9"/>
  <c r="BE25" i="9"/>
  <c r="CG9" i="10"/>
  <c r="BZ74" i="11"/>
  <c r="CF9" i="10"/>
  <c r="BY9" i="10"/>
  <c r="CC24" i="11"/>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CG24" i="11"/>
  <c r="CF24" i="11"/>
  <c r="AO9" i="10"/>
  <c r="BR31" i="6"/>
  <c r="BR32" i="6" s="1"/>
  <c r="AT31" i="6"/>
  <c r="AT32" i="6" s="1"/>
  <c r="G9" i="10"/>
  <c r="J9" i="10"/>
  <c r="BC16" i="9"/>
  <c r="BE32" i="9"/>
  <c r="BZ25" i="9"/>
  <c r="BY74" i="11"/>
  <c r="BY75" i="11" s="1"/>
  <c r="BI74" i="11"/>
  <c r="BI75" i="11" s="1"/>
  <c r="AF74" i="11"/>
  <c r="AF75" i="11" s="1"/>
  <c r="BD32" i="9"/>
  <c r="AQ25" i="9"/>
  <c r="AT25" i="9"/>
  <c r="BG9" i="10"/>
  <c r="BX9" i="10"/>
  <c r="CJ8" i="10"/>
  <c r="CJ24" i="11"/>
  <c r="AE9" i="10"/>
  <c r="AH9" i="10"/>
  <c r="AB9" i="10"/>
  <c r="AS32" i="9"/>
  <c r="CB25" i="9"/>
  <c r="BP25" i="9"/>
  <c r="CE24" i="11"/>
  <c r="CB24" i="11"/>
  <c r="BB32" i="9"/>
  <c r="BS32" i="9"/>
  <c r="CA74" i="11"/>
  <c r="CA75" i="11" s="1"/>
  <c r="CD9" i="10"/>
  <c r="AX9" i="10"/>
  <c r="CI24" i="11"/>
  <c r="AV25" i="9"/>
  <c r="CG16" i="9"/>
  <c r="BF32" i="9"/>
  <c r="CD75" i="11"/>
  <c r="BV74" i="11"/>
  <c r="BV75" i="11" s="1"/>
  <c r="BM32" i="9"/>
  <c r="AC32" i="9"/>
  <c r="AM74" i="11"/>
  <c r="AM75" i="11" s="1"/>
  <c r="CH31" i="6"/>
  <c r="CH32" i="6" s="1"/>
  <c r="CH9" i="10"/>
  <c r="BB9" i="10"/>
  <c r="CA24" i="11"/>
  <c r="AX74" i="11"/>
  <c r="AX75" i="11" s="1"/>
  <c r="BN25" i="9"/>
  <c r="CD24" i="11"/>
  <c r="BX28" i="12"/>
  <c r="L28" i="12"/>
  <c r="CH24" i="11"/>
  <c r="AI8" i="10"/>
  <c r="AF9" i="10"/>
  <c r="AD9" i="10"/>
  <c r="L74" i="11"/>
  <c r="L75" i="11" s="1"/>
  <c r="U74" i="11"/>
  <c r="U75" i="11" s="1"/>
  <c r="AJ8" i="10"/>
  <c r="Y9" i="10"/>
  <c r="AH8" i="10"/>
  <c r="S9" i="10"/>
  <c r="W9" i="10"/>
  <c r="AI74" i="11"/>
  <c r="AI75" i="11" s="1"/>
  <c r="O74" i="11"/>
  <c r="O75" i="11" s="1"/>
  <c r="AD32" i="9"/>
  <c r="X32" i="9"/>
  <c r="I28" i="12"/>
  <c r="BU28" i="12"/>
  <c r="CE75" i="11"/>
  <c r="AZ75" i="11"/>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AQ75" i="11"/>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BS75" i="11"/>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K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BJ34" i="10"/>
  <c r="BJ29" i="10"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L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CH34" i="10"/>
  <c r="CH29" i="10" s="1"/>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CC75" i="1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29" i="9" s="1"/>
  <c r="CG69" i="5"/>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CB50" i="11"/>
  <c r="CB51" i="11" s="1"/>
  <c r="CB4" i="9"/>
  <c r="CB29" i="9" s="1"/>
  <c r="CB69" i="5"/>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S50" i="11"/>
  <c r="S51" i="11" s="1"/>
  <c r="S4" i="9"/>
  <c r="S69" i="5"/>
  <c r="S22" i="11" s="1"/>
  <c r="S23" i="11" s="1"/>
  <c r="S24" i="11" s="1"/>
  <c r="AH50" i="11"/>
  <c r="AH51" i="11" s="1"/>
  <c r="AH4" i="9"/>
  <c r="AH69" i="5"/>
  <c r="AH22" i="11" s="1"/>
  <c r="AH23" i="11" s="1"/>
  <c r="AH24" i="11" s="1"/>
  <c r="BK12" i="9"/>
  <c r="BK4" i="8"/>
  <c r="BK108" i="5"/>
  <c r="AT12" i="9"/>
  <c r="AT4" i="8"/>
  <c r="AT5" i="8" s="1"/>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W50" i="11"/>
  <c r="W51" i="11" s="1"/>
  <c r="W4" i="9"/>
  <c r="W69" i="5"/>
  <c r="W22" i="11" s="1"/>
  <c r="W23" i="11" s="1"/>
  <c r="W24" i="11" s="1"/>
  <c r="CH50" i="11"/>
  <c r="CH51" i="11" s="1"/>
  <c r="CH4" i="9"/>
  <c r="CH29" i="9" s="1"/>
  <c r="CH69" i="5"/>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O50" i="11"/>
  <c r="O51" i="11" s="1"/>
  <c r="O4" i="9"/>
  <c r="O69" i="5"/>
  <c r="O22" i="11" s="1"/>
  <c r="O23" i="11" s="1"/>
  <c r="O24" i="11" s="1"/>
  <c r="BZ50" i="11"/>
  <c r="BZ51" i="11" s="1"/>
  <c r="BZ4" i="9"/>
  <c r="BZ69" i="5"/>
  <c r="N50" i="11"/>
  <c r="N51" i="11" s="1"/>
  <c r="N4" i="9"/>
  <c r="N69" i="5"/>
  <c r="N22" i="11" s="1"/>
  <c r="N23" i="11" s="1"/>
  <c r="N24" i="11" s="1"/>
  <c r="AS50" i="11"/>
  <c r="AS51" i="11" s="1"/>
  <c r="AS4" i="9"/>
  <c r="AS69" i="5"/>
  <c r="AS22" i="11" s="1"/>
  <c r="AS23" i="11" s="1"/>
  <c r="AS24" i="11" s="1"/>
  <c r="BP12" i="9"/>
  <c r="BP4" i="8"/>
  <c r="BP5" i="8" s="1"/>
  <c r="BP108" i="5"/>
  <c r="AZ50" i="11"/>
  <c r="AZ51" i="11" s="1"/>
  <c r="AZ4" i="9"/>
  <c r="AZ69" i="5"/>
  <c r="AZ22" i="11" s="1"/>
  <c r="AZ23" i="11" s="1"/>
  <c r="AZ24" i="11" s="1"/>
  <c r="BG32" i="9"/>
  <c r="AA32" i="9"/>
  <c r="BO50" i="11"/>
  <c r="BO51" i="11" s="1"/>
  <c r="BO4" i="9"/>
  <c r="BO69" i="5"/>
  <c r="BO22" i="11" s="1"/>
  <c r="BO23" i="11" s="1"/>
  <c r="BO24" i="11" s="1"/>
  <c r="CD50" i="11"/>
  <c r="CD51" i="11" s="1"/>
  <c r="CD4" i="9"/>
  <c r="CD29" i="9" s="1"/>
  <c r="CD69" i="5"/>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BF5" i="8" s="1"/>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R39" i="10" l="1"/>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BZ42" i="10"/>
  <c r="CG6" i="11"/>
  <c r="CG39" i="10"/>
  <c r="CG34" i="10"/>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39" i="10"/>
  <c r="CD38" i="6"/>
  <c r="CD39" i="6" s="1"/>
  <c r="Z6" i="11"/>
  <c r="Z39" i="10"/>
  <c r="Z54" i="10" s="1"/>
  <c r="Z55" i="10" s="1"/>
  <c r="Z34" i="10"/>
  <c r="Z29" i="10" s="1"/>
  <c r="Z38" i="6"/>
  <c r="L6" i="11"/>
  <c r="L39" i="10"/>
  <c r="L54" i="10" s="1"/>
  <c r="L55" i="10" s="1"/>
  <c r="L34" i="10"/>
  <c r="L29" i="10" s="1"/>
  <c r="L38" i="6"/>
  <c r="CG29" i="10"/>
  <c r="CA6" i="11"/>
  <c r="CA39" i="10"/>
  <c r="CA34" i="10"/>
  <c r="CA38" i="6"/>
  <c r="CA39" i="6" s="1"/>
  <c r="CF29" i="10"/>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CA29" i="10"/>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39" i="10"/>
  <c r="CB38" i="6"/>
  <c r="CB39" i="6" s="1"/>
  <c r="CD29" i="10"/>
  <c r="CE6" i="11"/>
  <c r="CE39" i="10"/>
  <c r="CE34" i="10"/>
  <c r="CE29" i="10" s="1"/>
  <c r="CE38" i="6"/>
  <c r="CE39" i="6" s="1"/>
  <c r="U6" i="11"/>
  <c r="U39" i="10"/>
  <c r="U54" i="10" s="1"/>
  <c r="U55" i="10" s="1"/>
  <c r="U34" i="10"/>
  <c r="U29" i="10" s="1"/>
  <c r="U38" i="6"/>
  <c r="CI6" i="11"/>
  <c r="CI39" i="10"/>
  <c r="CI34" i="10"/>
  <c r="CI38" i="6"/>
  <c r="CI39" i="6" s="1"/>
  <c r="BD6" i="11"/>
  <c r="BD34" i="10"/>
  <c r="BD29" i="10" s="1"/>
  <c r="BD39" i="10"/>
  <c r="BD38" i="6"/>
  <c r="BD39" i="6" s="1"/>
  <c r="AJ6" i="11"/>
  <c r="AJ39" i="10"/>
  <c r="AJ34" i="10"/>
  <c r="AJ29" i="10" s="1"/>
  <c r="AJ38" i="6"/>
  <c r="AJ39" i="6" s="1"/>
  <c r="BJ33" i="10"/>
  <c r="BJ31" i="10"/>
  <c r="CB29" i="10"/>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CI29" i="10"/>
  <c r="AM6" i="11"/>
  <c r="AM39" i="10"/>
  <c r="AM34" i="10"/>
  <c r="AM29" i="10" s="1"/>
  <c r="AM38" i="6"/>
  <c r="AM39" i="6" s="1"/>
  <c r="CH9" i="11"/>
  <c r="CH40" i="10"/>
  <c r="CH42" i="6"/>
  <c r="CH43" i="6" s="1"/>
  <c r="CH41" i="6"/>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U37" i="9"/>
  <c r="U35" i="9"/>
  <c r="BC35" i="9"/>
  <c r="BC37" i="9"/>
  <c r="K8" i="9"/>
  <c r="K70" i="5"/>
  <c r="K46" i="11" s="1"/>
  <c r="BH8" i="9"/>
  <c r="BH70" i="5"/>
  <c r="BH46" i="11" s="1"/>
  <c r="BN37" i="9"/>
  <c r="BN35" i="9"/>
  <c r="BT8" i="9"/>
  <c r="BT70" i="5"/>
  <c r="BT46" i="11" s="1"/>
  <c r="BK37" i="9"/>
  <c r="BK35" i="9"/>
  <c r="S8" i="9"/>
  <c r="S70" i="5"/>
  <c r="S46" i="11" s="1"/>
  <c r="AK35" i="9"/>
  <c r="AK37" i="9"/>
  <c r="CJ8" i="9"/>
  <c r="CJ70" i="5"/>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13" i="8" s="1"/>
  <c r="BV7" i="8"/>
  <c r="BD37" i="9"/>
  <c r="BD35" i="9"/>
  <c r="BW37" i="9"/>
  <c r="BW35" i="9"/>
  <c r="CC8" i="9"/>
  <c r="CC70" i="5"/>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BY8" i="9"/>
  <c r="BY70" i="5"/>
  <c r="BY46" i="11" s="1"/>
  <c r="W37" i="9"/>
  <c r="W35" i="9"/>
  <c r="CD37" i="9"/>
  <c r="CD35" i="9"/>
  <c r="CK8" i="9"/>
  <c r="CK70" i="5"/>
  <c r="CK9" i="9" s="1"/>
  <c r="N37" i="9"/>
  <c r="N35" i="9"/>
  <c r="AC8" i="9"/>
  <c r="AC70" i="5"/>
  <c r="AC46" i="11" s="1"/>
  <c r="CB37" i="9"/>
  <c r="CB35" i="9"/>
  <c r="AI35" i="9"/>
  <c r="AI37" i="9"/>
  <c r="CH37" i="9"/>
  <c r="CH35" i="9"/>
  <c r="Z37" i="9"/>
  <c r="Z35" i="9"/>
  <c r="BO8" i="9"/>
  <c r="BO70" i="5"/>
  <c r="BO46" i="11" s="1"/>
  <c r="BW8" i="9"/>
  <c r="BW70" i="5"/>
  <c r="BW46" i="11" s="1"/>
  <c r="CE8" i="9"/>
  <c r="CE70" i="5"/>
  <c r="BI8" i="9"/>
  <c r="BI70" i="5"/>
  <c r="BI46" i="11" s="1"/>
  <c r="AD8" i="9"/>
  <c r="AD70" i="5"/>
  <c r="AD46" i="11" s="1"/>
  <c r="BB37" i="9"/>
  <c r="BB35" i="9"/>
  <c r="AF8" i="9"/>
  <c r="AF70" i="5"/>
  <c r="AF46" i="11" s="1"/>
  <c r="AG8" i="9"/>
  <c r="AG70" i="5"/>
  <c r="AG46" i="11" s="1"/>
  <c r="BS8" i="9"/>
  <c r="BS70" i="5"/>
  <c r="BS46" i="11" s="1"/>
  <c r="AG35" i="9"/>
  <c r="AG37" i="9"/>
  <c r="AD35" i="9"/>
  <c r="AD37" i="9"/>
  <c r="CD8" i="9"/>
  <c r="CD70" i="5"/>
  <c r="AS8" i="9"/>
  <c r="AS70" i="5"/>
  <c r="AS46" i="11" s="1"/>
  <c r="BL8" i="9"/>
  <c r="BL70" i="5"/>
  <c r="BL46" i="11" s="1"/>
  <c r="CH8" i="9"/>
  <c r="CH70" i="5"/>
  <c r="AW37" i="9"/>
  <c r="AW35" i="9"/>
  <c r="CB8" i="9"/>
  <c r="CB70" i="5"/>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Y8" i="9"/>
  <c r="Y70" i="5"/>
  <c r="Y46" i="11" s="1"/>
  <c r="Q35" i="9"/>
  <c r="Q37" i="9"/>
  <c r="BI35" i="9"/>
  <c r="BI37" i="9"/>
  <c r="AE37" i="9"/>
  <c r="AE35" i="9"/>
  <c r="C19" i="13"/>
  <c r="D19" i="13" s="1"/>
  <c r="AA39" i="6" l="1"/>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9" i="11"/>
  <c r="N42" i="6"/>
  <c r="AT40" i="10"/>
  <c r="AT41" i="10" s="1"/>
  <c r="N41" i="6"/>
  <c r="AT41" i="6"/>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CH41"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P31" i="10"/>
  <c r="P33" i="10"/>
  <c r="BX9" i="11"/>
  <c r="BX40" i="10"/>
  <c r="BX41" i="10" s="1"/>
  <c r="BX42" i="6"/>
  <c r="BX43" i="6" s="1"/>
  <c r="BX41" i="6"/>
  <c r="BS31" i="10"/>
  <c r="BS33" i="10"/>
  <c r="CH28" i="6"/>
  <c r="CH29" i="6" s="1"/>
  <c r="CH32" i="11" s="1"/>
  <c r="CH44" i="11" s="1"/>
  <c r="CH36" i="6"/>
  <c r="CH37" i="6" s="1"/>
  <c r="CH16" i="6"/>
  <c r="CH17" i="6" s="1"/>
  <c r="CH18" i="6" s="1"/>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BJ17" i="12"/>
  <c r="BJ18" i="12" s="1"/>
  <c r="BJ2" i="11"/>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CH2" i="11"/>
  <c r="CH47" i="10"/>
  <c r="CH49" i="10" s="1"/>
  <c r="CH48" i="10"/>
  <c r="CH47" i="6"/>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AT47" i="6"/>
  <c r="BQ33" i="10"/>
  <c r="BQ31" i="10"/>
  <c r="AY9" i="11"/>
  <c r="AY40" i="10"/>
  <c r="AY41" i="10" s="1"/>
  <c r="AY42" i="6"/>
  <c r="AY43" i="6" s="1"/>
  <c r="AY41" i="6"/>
  <c r="L31" i="10"/>
  <c r="L33" i="10"/>
  <c r="Z9" i="11"/>
  <c r="Z40" i="10"/>
  <c r="Z41" i="10" s="1"/>
  <c r="Z41" i="6"/>
  <c r="Z42" i="6"/>
  <c r="CD42" i="10"/>
  <c r="BG33" i="10"/>
  <c r="BG31" i="10"/>
  <c r="BB17" i="12"/>
  <c r="BB18" i="12" s="1"/>
  <c r="BB2" i="11"/>
  <c r="BB48"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AT6" i="8"/>
  <c r="AT7" i="8" s="1"/>
  <c r="AT28" i="6"/>
  <c r="AT29" i="6" s="1"/>
  <c r="AT32" i="11" s="1"/>
  <c r="AT44" i="11" s="1"/>
  <c r="AT36" i="6"/>
  <c r="AT37" i="6" s="1"/>
  <c r="AT16" i="6"/>
  <c r="AT17" i="6" s="1"/>
  <c r="AT18" i="6" s="1"/>
  <c r="X9" i="11"/>
  <c r="X40" i="10"/>
  <c r="X41" i="10" s="1"/>
  <c r="X41" i="6"/>
  <c r="X42" i="6"/>
  <c r="BQ42" i="10"/>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3" i="6" s="1"/>
  <c r="BH41" i="6"/>
  <c r="AU31" i="10"/>
  <c r="AU33" i="10"/>
  <c r="AV29" i="10"/>
  <c r="AD48"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V28" i="6"/>
  <c r="V29" i="6" s="1"/>
  <c r="V32" i="11" s="1"/>
  <c r="V44" i="11" s="1"/>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BJ6" i="8"/>
  <c r="BJ7" i="8" s="1"/>
  <c r="BJ28" i="6"/>
  <c r="BJ29" i="6" s="1"/>
  <c r="BJ32" i="11" s="1"/>
  <c r="BJ44" i="11" s="1"/>
  <c r="BJ36" i="6"/>
  <c r="BJ37" i="6" s="1"/>
  <c r="BJ16" i="6"/>
  <c r="BJ17" i="6" s="1"/>
  <c r="BJ18" i="6" s="1"/>
  <c r="AB9" i="11"/>
  <c r="AB40" i="10"/>
  <c r="AB41" i="10" s="1"/>
  <c r="AB41" i="6"/>
  <c r="AB42" i="6"/>
  <c r="T9" i="11"/>
  <c r="T40" i="10"/>
  <c r="T41" i="10" s="1"/>
  <c r="T41" i="6"/>
  <c r="T42" i="6"/>
  <c r="AF9" i="11"/>
  <c r="AF40" i="10"/>
  <c r="AF41" i="10" s="1"/>
  <c r="AF41" i="6"/>
  <c r="AF42" i="6"/>
  <c r="AF43" i="6" s="1"/>
  <c r="BW9" i="11"/>
  <c r="BW40" i="10"/>
  <c r="BW41" i="10" s="1"/>
  <c r="BW42" i="6"/>
  <c r="BW43" i="6" s="1"/>
  <c r="BW41" i="6"/>
  <c r="CA42" i="10"/>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CH42" i="10"/>
  <c r="W40" i="10"/>
  <c r="W41" i="10" s="1"/>
  <c r="W9" i="11"/>
  <c r="W41" i="6"/>
  <c r="W42" i="6"/>
  <c r="BJ7" i="11"/>
  <c r="BJ10" i="11"/>
  <c r="BJ11" i="11" s="1"/>
  <c r="BJ8" i="11"/>
  <c r="BJ9" i="9"/>
  <c r="BJ10" i="8"/>
  <c r="U7" i="11"/>
  <c r="U10" i="11"/>
  <c r="U8" i="11"/>
  <c r="U9" i="9"/>
  <c r="U45" i="9" s="1"/>
  <c r="U10" i="8"/>
  <c r="CB10" i="11"/>
  <c r="CB11" i="11" s="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11" i="11" s="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11" i="11" s="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K13" i="9"/>
  <c r="CK26" i="9"/>
  <c r="CK28" i="9"/>
  <c r="CK14" i="9"/>
  <c r="CK33" i="9"/>
  <c r="CF7" i="11"/>
  <c r="CF10" i="11"/>
  <c r="CF11" i="11" s="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11" i="11" s="1"/>
  <c r="CA7" i="11"/>
  <c r="CA9" i="9"/>
  <c r="CA8" i="11"/>
  <c r="AY10" i="11"/>
  <c r="AY8" i="11"/>
  <c r="AY9" i="9"/>
  <c r="AY7" i="11"/>
  <c r="AY10" i="8"/>
  <c r="BM10" i="11"/>
  <c r="BM8" i="11"/>
  <c r="BM7" i="11"/>
  <c r="BM9" i="9"/>
  <c r="BM10" i="8"/>
  <c r="AI10" i="11"/>
  <c r="AI8" i="11"/>
  <c r="AI7" i="11"/>
  <c r="AI9" i="9"/>
  <c r="AI10" i="8"/>
  <c r="CI10" i="11"/>
  <c r="CI11" i="11" s="1"/>
  <c r="CI7" i="11"/>
  <c r="CI9" i="9"/>
  <c r="CI8" i="11"/>
  <c r="O7" i="11"/>
  <c r="O9" i="9"/>
  <c r="O45" i="9" s="1"/>
  <c r="O10" i="11"/>
  <c r="O8" i="11"/>
  <c r="O10" i="8"/>
  <c r="CH7" i="11"/>
  <c r="CH10" i="11"/>
  <c r="CH11" i="11" s="1"/>
  <c r="CH8" i="11"/>
  <c r="CH9" i="9"/>
  <c r="AS7" i="11"/>
  <c r="AS10" i="11"/>
  <c r="AS9" i="9"/>
  <c r="AS8" i="11"/>
  <c r="AS10" i="8"/>
  <c r="CE10" i="11"/>
  <c r="CE11" i="11" s="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N41" i="10" l="1"/>
  <c r="AB43" i="6"/>
  <c r="AB63" i="10"/>
  <c r="AB64" i="10" s="1"/>
  <c r="AZ42" i="10"/>
  <c r="P43" i="6"/>
  <c r="P63" i="10"/>
  <c r="P64" i="10" s="1"/>
  <c r="G43" i="6"/>
  <c r="G48" i="10" s="1"/>
  <c r="G63" i="10"/>
  <c r="G64" i="10" s="1"/>
  <c r="M64" i="10"/>
  <c r="U43" i="6"/>
  <c r="U63" i="10"/>
  <c r="U64" i="10" s="1"/>
  <c r="Y43" i="6"/>
  <c r="Y63" i="10"/>
  <c r="Y64" i="10" s="1"/>
  <c r="V43" i="6"/>
  <c r="V48" i="10" s="1"/>
  <c r="V63" i="10"/>
  <c r="V64" i="10" s="1"/>
  <c r="X43" i="6"/>
  <c r="X48" i="10" s="1"/>
  <c r="X63" i="10"/>
  <c r="X64" i="10" s="1"/>
  <c r="AC43" i="6"/>
  <c r="AC63" i="10"/>
  <c r="AC64" i="10" s="1"/>
  <c r="Z43" i="6"/>
  <c r="Z48" i="10" s="1"/>
  <c r="Z63" i="10"/>
  <c r="Z64" i="10" s="1"/>
  <c r="Q43" i="6"/>
  <c r="Q48" i="10" s="1"/>
  <c r="Q63" i="10"/>
  <c r="Q64" i="10" s="1"/>
  <c r="N43" i="6"/>
  <c r="N48" i="10" s="1"/>
  <c r="N63" i="10"/>
  <c r="N64" i="10" s="1"/>
  <c r="W43" i="6"/>
  <c r="W63" i="10"/>
  <c r="W64" i="10" s="1"/>
  <c r="T43" i="6"/>
  <c r="T63" i="10"/>
  <c r="T64" i="10" s="1"/>
  <c r="E64" i="10"/>
  <c r="R43" i="6"/>
  <c r="R48" i="10" s="1"/>
  <c r="R63" i="10"/>
  <c r="R64" i="10" s="1"/>
  <c r="J43" i="6"/>
  <c r="J63" i="10"/>
  <c r="J64" i="10" s="1"/>
  <c r="H43" i="6"/>
  <c r="H63" i="10"/>
  <c r="H64" i="10" s="1"/>
  <c r="AA43" i="6"/>
  <c r="AA48" i="10" s="1"/>
  <c r="AA63" i="10"/>
  <c r="AA64" i="10" s="1"/>
  <c r="K43" i="6"/>
  <c r="K48" i="10" s="1"/>
  <c r="K63" i="10"/>
  <c r="K64" i="10" s="1"/>
  <c r="S43" i="6"/>
  <c r="S63" i="10"/>
  <c r="S64" i="10" s="1"/>
  <c r="I64" i="10"/>
  <c r="L43" i="6"/>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9" i="9" s="1"/>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S48" i="10"/>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8"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4" i="11"/>
  <c r="M6" i="8"/>
  <c r="M7" i="8" s="1"/>
  <c r="M36" i="6"/>
  <c r="M37" i="6" s="1"/>
  <c r="M28" i="6"/>
  <c r="M29" i="6" s="1"/>
  <c r="M32" i="11" s="1"/>
  <c r="M44" i="11" s="1"/>
  <c r="M16" i="6"/>
  <c r="M17" i="6" s="1"/>
  <c r="M18" i="6" s="1"/>
  <c r="Q17" i="12"/>
  <c r="Q18" i="12" s="1"/>
  <c r="Q2" i="11"/>
  <c r="Q47" i="10"/>
  <c r="Q47" i="6"/>
  <c r="BJ13" i="11"/>
  <c r="BJ12" i="11"/>
  <c r="BJ14" i="11" s="1"/>
  <c r="BJ4" i="11"/>
  <c r="AK42" i="10"/>
  <c r="BO17" i="12"/>
  <c r="BO18" i="12" s="1"/>
  <c r="BO2" i="11"/>
  <c r="BO47" i="10"/>
  <c r="BO48" i="10"/>
  <c r="BO47" i="6"/>
  <c r="CH15" i="12"/>
  <c r="CH16" i="12" s="1"/>
  <c r="CH23" i="10"/>
  <c r="CH24" i="10" s="1"/>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N15" i="12"/>
  <c r="N16" i="12" s="1"/>
  <c r="N23" i="10"/>
  <c r="N33" i="6"/>
  <c r="N34" i="6" s="1"/>
  <c r="AT15" i="12"/>
  <c r="AT16" i="12" s="1"/>
  <c r="AT23" i="10"/>
  <c r="AT24" i="10" s="1"/>
  <c r="AT33" i="6"/>
  <c r="AT34" i="6" s="1"/>
  <c r="P17" i="12"/>
  <c r="P18" i="12" s="1"/>
  <c r="P2" i="11"/>
  <c r="P47" i="10"/>
  <c r="P48" i="10"/>
  <c r="P47" i="6"/>
  <c r="BT17" i="12"/>
  <c r="BT18" i="12" s="1"/>
  <c r="BT2" i="11"/>
  <c r="BT47" i="10"/>
  <c r="BT48" i="10"/>
  <c r="BT47" i="6"/>
  <c r="G17" i="12"/>
  <c r="G18" i="12" s="1"/>
  <c r="G2" i="11"/>
  <c r="G47" i="10"/>
  <c r="G47" i="6"/>
  <c r="BB13" i="11"/>
  <c r="BB12" i="11"/>
  <c r="BB14" i="11" s="1"/>
  <c r="BB4" i="11"/>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9" i="10" s="1"/>
  <c r="BW47" i="6"/>
  <c r="BW48" i="10"/>
  <c r="T17" i="12"/>
  <c r="T18" i="12" s="1"/>
  <c r="T2" i="11"/>
  <c r="T47" i="10"/>
  <c r="T48"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AT5" i="11"/>
  <c r="AT50" i="10"/>
  <c r="BD6" i="8"/>
  <c r="BD7" i="8" s="1"/>
  <c r="BD28" i="6"/>
  <c r="BD29" i="6" s="1"/>
  <c r="BD32" i="11" s="1"/>
  <c r="BD44" i="11" s="1"/>
  <c r="BD36" i="6"/>
  <c r="BD37" i="6" s="1"/>
  <c r="BD16" i="6"/>
  <c r="BD17" i="6" s="1"/>
  <c r="BD18" i="6" s="1"/>
  <c r="BZ49" i="10"/>
  <c r="L17" i="12"/>
  <c r="L18" i="12" s="1"/>
  <c r="L2" i="11"/>
  <c r="L47" i="10"/>
  <c r="L48" i="10"/>
  <c r="L47" i="6"/>
  <c r="BF17" i="12"/>
  <c r="BF18" i="12" s="1"/>
  <c r="BF2" i="11"/>
  <c r="BF47" i="10"/>
  <c r="BF49" i="10" s="1"/>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8"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8"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L23" i="10"/>
  <c r="AL24" i="10" s="1"/>
  <c r="AL33" i="6"/>
  <c r="AL34" i="6" s="1"/>
  <c r="AX17" i="12"/>
  <c r="AX18" i="12" s="1"/>
  <c r="AX2" i="11"/>
  <c r="AX47" i="10"/>
  <c r="AX49" i="10" s="1"/>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9" i="10" s="1"/>
  <c r="J47" i="6"/>
  <c r="J48" i="10"/>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CH14" i="1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AT13" i="11"/>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BR13" i="8" s="1"/>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AV13" i="8" s="1"/>
  <c r="X13" i="9"/>
  <c r="X26" i="9"/>
  <c r="X14" i="9"/>
  <c r="X28" i="9"/>
  <c r="X33" i="9"/>
  <c r="AP12" i="8"/>
  <c r="AP11" i="8"/>
  <c r="AM13" i="9"/>
  <c r="AM28" i="9"/>
  <c r="AM14" i="9"/>
  <c r="AM26" i="9"/>
  <c r="AM33" i="9"/>
  <c r="BF12" i="8"/>
  <c r="BF11" i="8"/>
  <c r="BR13" i="9"/>
  <c r="BR28" i="9"/>
  <c r="BR14" i="9"/>
  <c r="BR26" i="9"/>
  <c r="BR33" i="9"/>
  <c r="BS12" i="8"/>
  <c r="BS11" i="8"/>
  <c r="BS13" i="8" s="1"/>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BA13" i="8" s="1"/>
  <c r="E12" i="8"/>
  <c r="E11" i="8"/>
  <c r="Q13" i="9"/>
  <c r="Q82" i="9" s="1"/>
  <c r="Q83" i="9" s="1"/>
  <c r="Q28" i="9"/>
  <c r="Q14" i="9"/>
  <c r="Q85" i="9" s="1"/>
  <c r="Q80" i="9" s="1"/>
  <c r="Q26" i="9"/>
  <c r="Q33" i="9"/>
  <c r="Z12" i="8"/>
  <c r="Z11" i="8"/>
  <c r="BH14" i="9"/>
  <c r="BH28" i="9"/>
  <c r="BH13" i="9"/>
  <c r="BH26" i="9"/>
  <c r="BH33" i="9"/>
  <c r="AD13" i="9"/>
  <c r="AD28" i="9"/>
  <c r="AD14" i="9"/>
  <c r="AD26" i="9"/>
  <c r="AD33" i="9"/>
  <c r="AK12" i="8"/>
  <c r="AK11" i="8"/>
  <c r="AK13" i="8" s="1"/>
  <c r="AB14" i="9"/>
  <c r="AB28" i="9"/>
  <c r="AB13" i="9"/>
  <c r="AB26" i="9"/>
  <c r="AB33" i="9"/>
  <c r="BS13" i="9"/>
  <c r="BS28" i="9"/>
  <c r="BS14" i="9"/>
  <c r="BS26" i="9"/>
  <c r="BS33" i="9"/>
  <c r="AN12" i="8"/>
  <c r="AN11" i="8"/>
  <c r="AZ14" i="9"/>
  <c r="AZ28" i="9"/>
  <c r="AZ13" i="9"/>
  <c r="AZ26" i="9"/>
  <c r="AZ33" i="9"/>
  <c r="M13" i="9"/>
  <c r="M28" i="9"/>
  <c r="M14" i="9"/>
  <c r="M33" i="9"/>
  <c r="M26" i="9"/>
  <c r="BE12" i="8"/>
  <c r="BE11" i="8"/>
  <c r="BE13" i="8" s="1"/>
  <c r="BJ12" i="8"/>
  <c r="BJ11" i="8"/>
  <c r="BJ13" i="8" s="1"/>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BG13" i="8" s="1"/>
  <c r="Z28" i="9"/>
  <c r="Z26" i="9"/>
  <c r="Z14" i="9"/>
  <c r="Z13" i="9"/>
  <c r="Z33" i="9"/>
  <c r="W12" i="8"/>
  <c r="W11" i="8"/>
  <c r="AT12" i="8"/>
  <c r="AT11" i="8"/>
  <c r="AG12" i="8"/>
  <c r="AG11" i="8"/>
  <c r="AN26" i="9"/>
  <c r="AN28" i="9"/>
  <c r="AN13" i="9"/>
  <c r="AN14" i="9"/>
  <c r="AN33" i="9"/>
  <c r="AJ12" i="8"/>
  <c r="AJ11" i="8"/>
  <c r="AJ13" i="8" s="1"/>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X13" i="8" s="1"/>
  <c r="AL12" i="8"/>
  <c r="AL11" i="8"/>
  <c r="AL13" i="8" s="1"/>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BL13" i="8" s="1"/>
  <c r="AX28" i="9"/>
  <c r="AX26" i="9"/>
  <c r="AX14" i="9"/>
  <c r="AX13" i="9"/>
  <c r="AX33" i="9"/>
  <c r="BG14" i="9"/>
  <c r="BG28" i="9"/>
  <c r="BG13" i="9"/>
  <c r="BG26" i="9"/>
  <c r="BG33" i="9"/>
  <c r="BD12" i="8"/>
  <c r="BD11" i="8"/>
  <c r="AL13" i="9"/>
  <c r="AL28" i="9"/>
  <c r="AL14" i="9"/>
  <c r="AL33" i="9"/>
  <c r="AL26" i="9"/>
  <c r="AR12" i="8"/>
  <c r="AR11" i="8"/>
  <c r="AR13" i="8" s="1"/>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AW13" i="8" s="1"/>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24" i="10" l="1"/>
  <c r="V56" i="10"/>
  <c r="V57" i="10" s="1"/>
  <c r="N24" i="10"/>
  <c r="N56" i="10"/>
  <c r="N57" i="10" s="1"/>
  <c r="G62" i="9"/>
  <c r="L13" i="8"/>
  <c r="S62" i="9"/>
  <c r="U13" i="8"/>
  <c r="E13" i="8"/>
  <c r="O13" i="8"/>
  <c r="AB13" i="8"/>
  <c r="P84" i="9"/>
  <c r="Y13" i="8"/>
  <c r="AA13" i="8"/>
  <c r="N13" i="8"/>
  <c r="AG13" i="8"/>
  <c r="R13" i="8"/>
  <c r="X13" i="8"/>
  <c r="I13" i="8"/>
  <c r="T13" i="8"/>
  <c r="M13" i="8"/>
  <c r="V13" i="8"/>
  <c r="AI13" i="8"/>
  <c r="S84" i="9"/>
  <c r="K13" i="8"/>
  <c r="Q13" i="8"/>
  <c r="N84" i="9"/>
  <c r="K74" i="9"/>
  <c r="K85" i="9"/>
  <c r="K80" i="9" s="1"/>
  <c r="AO13" i="8"/>
  <c r="I71" i="9"/>
  <c r="I82" i="9"/>
  <c r="I83" i="9" s="1"/>
  <c r="J13" i="8"/>
  <c r="BT13" i="8"/>
  <c r="BD13" i="8"/>
  <c r="BB13" i="8"/>
  <c r="O84" i="9"/>
  <c r="AU13" i="8"/>
  <c r="AT13" i="8"/>
  <c r="AE13" i="8"/>
  <c r="BN13" i="8"/>
  <c r="R84" i="9"/>
  <c r="BI13" i="8"/>
  <c r="S59" i="9"/>
  <c r="G59" i="9"/>
  <c r="U59" i="9"/>
  <c r="N59" i="9"/>
  <c r="L74" i="9"/>
  <c r="L85" i="9"/>
  <c r="L80" i="9" s="1"/>
  <c r="J71" i="9"/>
  <c r="J82" i="9"/>
  <c r="J83" i="9" s="1"/>
  <c r="M62" i="9"/>
  <c r="G74" i="9"/>
  <c r="G85" i="9"/>
  <c r="G80" i="9" s="1"/>
  <c r="AC13" i="8"/>
  <c r="BC13" i="8"/>
  <c r="AS13" i="8"/>
  <c r="AY13" i="8"/>
  <c r="BP13" i="8"/>
  <c r="F74" i="9"/>
  <c r="F70" i="9" s="1"/>
  <c r="F85" i="9"/>
  <c r="W13" i="8"/>
  <c r="G13" i="8"/>
  <c r="BH13" i="8"/>
  <c r="AH13" i="8"/>
  <c r="AP13" i="8"/>
  <c r="J74" i="9"/>
  <c r="J70" i="9" s="1"/>
  <c r="J85" i="9"/>
  <c r="J80" i="9" s="1"/>
  <c r="P13" i="8"/>
  <c r="BK13" i="8"/>
  <c r="S13" i="8"/>
  <c r="AF13" i="8"/>
  <c r="Q84" i="9"/>
  <c r="F13" i="8"/>
  <c r="AD13" i="8"/>
  <c r="BF13" i="8"/>
  <c r="P59" i="9"/>
  <c r="F71" i="9"/>
  <c r="F82" i="9"/>
  <c r="F83" i="9" s="1"/>
  <c r="T84" i="9"/>
  <c r="K71" i="9"/>
  <c r="K82" i="9"/>
  <c r="K83" i="9" s="1"/>
  <c r="AQ13" i="8"/>
  <c r="G71" i="9"/>
  <c r="G82" i="9"/>
  <c r="G83" i="9" s="1"/>
  <c r="N62" i="9"/>
  <c r="I74" i="9"/>
  <c r="I85" i="9"/>
  <c r="I80" i="9" s="1"/>
  <c r="AM13" i="8"/>
  <c r="BO13" i="8"/>
  <c r="BU13" i="8"/>
  <c r="M74" i="9"/>
  <c r="M70" i="9" s="1"/>
  <c r="M85" i="9"/>
  <c r="M80" i="9" s="1"/>
  <c r="AN13" i="8"/>
  <c r="Z13" i="8"/>
  <c r="BQ13" i="8"/>
  <c r="AZ13" i="8"/>
  <c r="H74" i="9"/>
  <c r="H85" i="9"/>
  <c r="H80" i="9" s="1"/>
  <c r="BM13" i="8"/>
  <c r="H13" i="8"/>
  <c r="U84" i="9"/>
  <c r="L71" i="9"/>
  <c r="L82" i="9"/>
  <c r="L83" i="9" s="1"/>
  <c r="M71" i="9"/>
  <c r="M82" i="9"/>
  <c r="M83" i="9" s="1"/>
  <c r="H71" i="9"/>
  <c r="H82" i="9"/>
  <c r="H83" i="9" s="1"/>
  <c r="AD13" i="11"/>
  <c r="N13" i="11"/>
  <c r="AT4" i="11"/>
  <c r="AD4" i="11"/>
  <c r="BR12" i="11"/>
  <c r="BR14" i="11"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L70"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F50" i="10"/>
  <c r="AD23" i="10"/>
  <c r="AD24" i="10" s="1"/>
  <c r="AU49" i="10"/>
  <c r="R49" i="10"/>
  <c r="V4" i="11"/>
  <c r="AY49" i="10"/>
  <c r="BA49" i="10"/>
  <c r="F23" i="10"/>
  <c r="F4" i="11"/>
  <c r="F15" i="12"/>
  <c r="F16" i="12" s="1"/>
  <c r="F12" i="11"/>
  <c r="F14" i="11"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BC34" i="6" s="1"/>
  <c r="AE12" i="11"/>
  <c r="AE14" i="11" s="1"/>
  <c r="AE13" i="11"/>
  <c r="AE4" i="11"/>
  <c r="BD50" i="10"/>
  <c r="BD5" i="11"/>
  <c r="CA15" i="12"/>
  <c r="CA16" i="12" s="1"/>
  <c r="CA23" i="10"/>
  <c r="CA24" i="10" s="1"/>
  <c r="CA33" i="6"/>
  <c r="CA34" i="6" s="1"/>
  <c r="W12" i="11"/>
  <c r="W14" i="11" s="1"/>
  <c r="W13" i="11"/>
  <c r="W4" i="11"/>
  <c r="AM5" i="11"/>
  <c r="AM50" i="10"/>
  <c r="BI13" i="11"/>
  <c r="BI12" i="11"/>
  <c r="BI14" i="11" s="1"/>
  <c r="BI4" i="11"/>
  <c r="T49" i="10"/>
  <c r="CJ15" i="12"/>
  <c r="CJ16" i="12" s="1"/>
  <c r="CJ23" i="10"/>
  <c r="CJ24" i="10" s="1"/>
  <c r="CJ33" i="6"/>
  <c r="CJ34" i="6" s="1"/>
  <c r="AR13" i="11"/>
  <c r="AR12" i="11"/>
  <c r="AR14" i="11"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AU34" i="6" s="1"/>
  <c r="L5" i="11"/>
  <c r="L50" i="10"/>
  <c r="P15" i="12"/>
  <c r="P16" i="12" s="1"/>
  <c r="P23" i="10"/>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33" i="6"/>
  <c r="AB34" i="6" s="1"/>
  <c r="Q50" i="10"/>
  <c r="Q5" i="11"/>
  <c r="E5" i="11"/>
  <c r="E50" i="10"/>
  <c r="BQ13" i="11"/>
  <c r="BQ12" i="11"/>
  <c r="BQ14" i="11" s="1"/>
  <c r="BQ4" i="11"/>
  <c r="AY4" i="11"/>
  <c r="AY13" i="11"/>
  <c r="AY12" i="11"/>
  <c r="AY14" i="11"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11"/>
  <c r="AM4" i="11"/>
  <c r="Q15" i="12"/>
  <c r="Q16" i="12" s="1"/>
  <c r="Q23" i="10"/>
  <c r="Q33" i="6"/>
  <c r="Q34" i="6" s="1"/>
  <c r="E15" i="12"/>
  <c r="E16" i="12" s="1"/>
  <c r="E23" i="10"/>
  <c r="E33" i="6"/>
  <c r="E34" i="6" s="1"/>
  <c r="D18" i="6"/>
  <c r="D33" i="6"/>
  <c r="D34" i="6" s="1"/>
  <c r="BO4" i="11"/>
  <c r="BO13" i="11"/>
  <c r="BO12" i="11"/>
  <c r="BO14" i="11" s="1"/>
  <c r="Q49" i="10"/>
  <c r="AH12" i="11"/>
  <c r="AH14" i="11" s="1"/>
  <c r="AH13" i="11"/>
  <c r="AH4" i="11"/>
  <c r="AC15" i="12"/>
  <c r="AC16" i="12" s="1"/>
  <c r="AC23" i="10"/>
  <c r="AC33" i="6"/>
  <c r="AC34" i="6" s="1"/>
  <c r="K49" i="10"/>
  <c r="BI15" i="12"/>
  <c r="BI16" i="12" s="1"/>
  <c r="BI23" i="10"/>
  <c r="BI24" i="10" s="1"/>
  <c r="BI33" i="6"/>
  <c r="BI34" i="6" s="1"/>
  <c r="BS49" i="10"/>
  <c r="AA50" i="10"/>
  <c r="AA5" i="11"/>
  <c r="AB13" i="11"/>
  <c r="AB12" i="11"/>
  <c r="AB14" i="11" s="1"/>
  <c r="AB4" i="11"/>
  <c r="BX13" i="11"/>
  <c r="BX12" i="11"/>
  <c r="BX14" i="11" s="1"/>
  <c r="BX4" i="11"/>
  <c r="M5" i="11"/>
  <c r="M50" i="10"/>
  <c r="BT15" i="12"/>
  <c r="BT16" i="12" s="1"/>
  <c r="BT23" i="10"/>
  <c r="BT24" i="10" s="1"/>
  <c r="BT33" i="6"/>
  <c r="BT34" i="6" s="1"/>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L15" i="12"/>
  <c r="BL16" i="12" s="1"/>
  <c r="BL23" i="10"/>
  <c r="BL24" i="10" s="1"/>
  <c r="BL33" i="6"/>
  <c r="BL34" i="6" s="1"/>
  <c r="AI50" i="10"/>
  <c r="AI5" i="11"/>
  <c r="I12" i="11"/>
  <c r="I14" i="11"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11"/>
  <c r="O4" i="11"/>
  <c r="BP13" i="11"/>
  <c r="BP12" i="11"/>
  <c r="BP14" i="11" s="1"/>
  <c r="BP4" i="11"/>
  <c r="BF50" i="10"/>
  <c r="BF5" i="11"/>
  <c r="G15" i="12"/>
  <c r="G16" i="12" s="1"/>
  <c r="G23" i="10"/>
  <c r="G33" i="6"/>
  <c r="G34" i="6" s="1"/>
  <c r="BH15" i="12"/>
  <c r="BH16" i="12" s="1"/>
  <c r="BH23" i="10"/>
  <c r="BH24" i="10" s="1"/>
  <c r="BH33" i="6"/>
  <c r="BH34" i="6" s="1"/>
  <c r="BI5" i="11"/>
  <c r="BI50" i="10"/>
  <c r="AR5" i="11"/>
  <c r="AR50" i="10"/>
  <c r="AZ13" i="11"/>
  <c r="AZ12" i="11"/>
  <c r="AZ14" i="11"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4" i="11"/>
  <c r="AJ15" i="12"/>
  <c r="AJ16" i="12" s="1"/>
  <c r="AJ23" i="10"/>
  <c r="AJ24" i="10" s="1"/>
  <c r="AJ33" i="6"/>
  <c r="AJ34" i="6" s="1"/>
  <c r="H15" i="12"/>
  <c r="H16" i="12" s="1"/>
  <c r="H23" i="10"/>
  <c r="H33" i="6"/>
  <c r="H34" i="6" s="1"/>
  <c r="M13" i="11"/>
  <c r="M12" i="11"/>
  <c r="M14" i="11" s="1"/>
  <c r="M4" i="11"/>
  <c r="CD50" i="10"/>
  <c r="CD5" i="11"/>
  <c r="AZ15" i="12"/>
  <c r="AZ16" i="12" s="1"/>
  <c r="AZ23" i="10"/>
  <c r="AZ24" i="10" s="1"/>
  <c r="AZ33" i="6"/>
  <c r="AZ34" i="6" s="1"/>
  <c r="CI15" i="12"/>
  <c r="CI16" i="12" s="1"/>
  <c r="CI23" i="10"/>
  <c r="CI24" i="10" s="1"/>
  <c r="CI33" i="6"/>
  <c r="CI34" i="6" s="1"/>
  <c r="BA13" i="11"/>
  <c r="BA12" i="11"/>
  <c r="BA14" i="11" s="1"/>
  <c r="BA4" i="11"/>
  <c r="AW49" i="10"/>
  <c r="H49" i="10"/>
  <c r="BC12" i="11"/>
  <c r="BC14" i="11" s="1"/>
  <c r="BC4" i="11"/>
  <c r="BC13" i="11"/>
  <c r="BE50" i="10"/>
  <c r="BE5" i="11"/>
  <c r="AP50" i="10"/>
  <c r="AP5" i="11"/>
  <c r="BG4" i="11"/>
  <c r="BG13" i="11"/>
  <c r="BG12" i="11"/>
  <c r="BG14" i="11" s="1"/>
  <c r="K15" i="12"/>
  <c r="K16" i="12" s="1"/>
  <c r="K23" i="10"/>
  <c r="K33" i="6"/>
  <c r="K34" i="6" s="1"/>
  <c r="AK13" i="11"/>
  <c r="AK12" i="11"/>
  <c r="AK14" i="11" s="1"/>
  <c r="AK4" i="11"/>
  <c r="X15" i="12"/>
  <c r="X16" i="12" s="1"/>
  <c r="X23" i="10"/>
  <c r="X33" i="6"/>
  <c r="X34" i="6" s="1"/>
  <c r="BA15" i="12"/>
  <c r="BA16" i="12" s="1"/>
  <c r="BA23" i="10"/>
  <c r="BA24" i="10" s="1"/>
  <c r="BA33" i="6"/>
  <c r="BA34" i="6" s="1"/>
  <c r="BV50" i="10"/>
  <c r="BV5" i="11"/>
  <c r="AQ50" i="10"/>
  <c r="AQ5" i="11"/>
  <c r="AF50" i="10"/>
  <c r="AF5" i="11"/>
  <c r="AI13" i="11"/>
  <c r="AI12" i="11"/>
  <c r="AI14" i="11" s="1"/>
  <c r="AI4" i="11"/>
  <c r="AE49" i="10"/>
  <c r="J50" i="10"/>
  <c r="J5" i="11"/>
  <c r="BM12" i="11"/>
  <c r="BM14" i="11"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4" i="11"/>
  <c r="BF13" i="11"/>
  <c r="BD15" i="12"/>
  <c r="BD16" i="12" s="1"/>
  <c r="BD23" i="10"/>
  <c r="BD24" i="10" s="1"/>
  <c r="BD33" i="6"/>
  <c r="BD34" i="6" s="1"/>
  <c r="BI49" i="10"/>
  <c r="BF15" i="12"/>
  <c r="BF16" i="12" s="1"/>
  <c r="BF23" i="10"/>
  <c r="BF24" i="10" s="1"/>
  <c r="BF33" i="6"/>
  <c r="BF34" i="6" s="1"/>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B40" i="13" l="1"/>
  <c r="F1" i="13"/>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20" i="13" l="1"/>
  <c r="I20" i="13" s="1"/>
  <c r="P40" i="13"/>
  <c r="I40" i="13"/>
  <c r="I41" i="13" s="1"/>
  <c r="R40" i="13"/>
  <c r="M40" i="13"/>
  <c r="D40" i="13"/>
  <c r="D41" i="13" s="1"/>
  <c r="L40" i="13"/>
  <c r="L41" i="13" s="1"/>
  <c r="O40" i="13"/>
  <c r="Q40" i="13"/>
  <c r="F40" i="13"/>
  <c r="F41" i="13" s="1"/>
  <c r="H40" i="13"/>
  <c r="H41" i="13" s="1"/>
  <c r="S40" i="13"/>
  <c r="J40" i="13"/>
  <c r="J41" i="13" s="1"/>
  <c r="E40" i="13"/>
  <c r="E41" i="13" s="1"/>
  <c r="K40" i="13"/>
  <c r="K41" i="13" s="1"/>
  <c r="N40" i="13"/>
  <c r="G40" i="13"/>
  <c r="G41" i="13" s="1"/>
  <c r="B5" i="13"/>
  <c r="B9" i="13" s="1"/>
  <c r="B11" i="13" s="1"/>
  <c r="B13" i="13" s="1"/>
  <c r="D20" i="13"/>
  <c r="D21" i="13" s="1"/>
  <c r="E20" i="13"/>
  <c r="E21" i="13" s="1"/>
  <c r="F20" i="13"/>
  <c r="F21" i="13" s="1"/>
  <c r="G20" i="13"/>
  <c r="G21" i="13" s="1"/>
  <c r="H20" i="13"/>
  <c r="H21" i="13" s="1"/>
  <c r="D42" i="13"/>
  <c r="M39" i="13"/>
  <c r="I19" i="13"/>
  <c r="I21" i="13" s="1"/>
  <c r="I22" i="13" s="1"/>
  <c r="D22" i="13" l="1"/>
  <c r="B23" i="13" s="1"/>
  <c r="B24" i="13" s="1"/>
  <c r="B28" i="13" s="1"/>
  <c r="B30" i="13" s="1"/>
  <c r="B32" i="13" s="1"/>
  <c r="M41" i="13"/>
  <c r="N39" i="13"/>
  <c r="N41" i="13" l="1"/>
  <c r="O39" i="13"/>
  <c r="E31" i="13"/>
  <c r="D31" i="13"/>
  <c r="C31" i="13"/>
  <c r="O41" i="13" l="1"/>
  <c r="P39" i="13"/>
  <c r="P41" i="13" l="1"/>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<sst xmlns="http://schemas.openxmlformats.org/spreadsheetml/2006/main" count="900" uniqueCount="750">
  <si>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</si>
  <si>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</si>
  <si>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</si>
  <si>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</si>
  <si>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</si>
  <si>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</si>
  <si>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</si>
  <si>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</si>
  <si>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</si>
  <si>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</si>
  <si>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</si>
  <si>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</si>
  <si>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</si>
  <si>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</si>
  <si>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</si>
  <si>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</si>
  <si>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</si>
  <si>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</si>
  <si>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</si>
  <si>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</si>
  <si>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</si>
  <si>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</si>
  <si>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</si>
  <si>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</si>
  <si>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</si>
  <si>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</si>
  <si>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</si>
  <si>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</si>
  <si>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</si>
  <si>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</si>
  <si>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</si>
  <si>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</si>
  <si>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</si>
  <si>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</si>
  <si>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</si>
  <si>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</si>
  <si>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</si>
  <si>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</si>
  <si>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</si>
  <si>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</si>
  <si>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</si>
  <si>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</si>
  <si>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</si>
  <si>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</si>
  <si>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</si>
  <si>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</si>
  <si>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</si>
  <si>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</si>
  <si>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</si>
  <si>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</si>
  <si>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</si>
  <si>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</si>
  <si>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</si>
  <si>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</si>
  <si>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</si>
  <si>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</si>
  <si>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</si>
  <si>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</si>
  <si>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</si>
  <si>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</si>
  <si>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</si>
  <si>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</si>
  <si>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</si>
  <si>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</si>
  <si>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</si>
  <si>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</si>
  <si>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</si>
  <si>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</si>
  <si>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</si>
  <si>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</si>
  <si>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</si>
  <si>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</si>
  <si>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</si>
  <si>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</si>
  <si>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</si>
  <si>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</si>
  <si>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</si>
  <si>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</si>
  <si>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</si>
  <si>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</si>
  <si>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</si>
  <si>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</si>
  <si>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</si>
  <si>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</si>
  <si>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</si>
  <si>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</si>
  <si>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</si>
  <si>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</si>
  <si>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</si>
  <si>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</si>
  <si>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</si>
  <si>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</si>
  <si>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</si>
  <si>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</si>
  <si>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</si>
  <si>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</si>
  <si>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</si>
  <si>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</si>
  <si>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</si>
  <si>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</si>
  <si>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</si>
  <si>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</si>
  <si>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</si>
  <si>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</si>
  <si>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</si>
  <si>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</si>
  <si>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</si>
  <si>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</si>
  <si>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</si>
  <si>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</si>
  <si>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</si>
  <si>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</si>
  <si>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</si>
  <si>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</si>
  <si>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</si>
  <si>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</si>
  <si>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</si>
  <si>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</si>
  <si>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</si>
  <si>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</si>
  <si>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</si>
  <si>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</si>
  <si>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</si>
  <si>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</si>
  <si>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</si>
  <si>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</si>
  <si>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</si>
  <si>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</si>
  <si>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</si>
  <si>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</si>
  <si>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</si>
  <si>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</si>
  <si>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</si>
  <si>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</si>
  <si>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</si>
  <si>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</si>
  <si>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</si>
  <si>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</si>
  <si>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</si>
  <si>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</si>
  <si>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</si>
  <si>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</si>
  <si>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</si>
  <si>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</si>
  <si>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</si>
  <si>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</si>
  <si>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</si>
  <si>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</si>
  <si>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</si>
  <si>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</si>
  <si>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</si>
  <si>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</si>
  <si>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</si>
  <si>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</si>
  <si>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</si>
  <si>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</si>
  <si>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</si>
  <si>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</si>
  <si>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</si>
  <si>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</si>
  <si>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</si>
  <si>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</si>
  <si>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</si>
  <si>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</si>
  <si>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</si>
  <si>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</si>
  <si>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</si>
  <si>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</si>
  <si>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</si>
  <si>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</si>
  <si>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</si>
  <si>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</si>
  <si>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</si>
  <si>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</si>
  <si>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</si>
  <si>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</si>
  <si>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</si>
  <si>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</si>
  <si>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</si>
  <si>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</si>
  <si>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</si>
  <si>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</si>
  <si>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</si>
  <si>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</si>
  <si>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</si>
  <si>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</si>
  <si>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</si>
  <si>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</si>
  <si>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</si>
  <si>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</si>
  <si>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</si>
  <si>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</si>
  <si>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</si>
  <si>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</si>
  <si>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</si>
  <si>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</si>
  <si>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</si>
  <si>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</si>
  <si>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</si>
  <si>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</si>
  <si>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</si>
  <si>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</si>
  <si>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</si>
  <si>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</si>
  <si>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</si>
  <si>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</si>
  <si>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</si>
  <si>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</si>
  <si>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</si>
  <si>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</si>
  <si>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</si>
  <si>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</si>
  <si>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</si>
  <si>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</si>
  <si>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</si>
  <si>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</si>
  <si>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</si>
  <si>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</si>
  <si>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</si>
  <si>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</si>
  <si>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</si>
  <si>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</si>
  <si>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</si>
  <si>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</si>
  <si>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</si>
  <si>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</si>
  <si>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</si>
  <si>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</si>
  <si>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</si>
  <si>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</si>
  <si>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</si>
  <si>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</si>
  <si>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</si>
  <si>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</si>
  <si>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</si>
  <si>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</si>
  <si>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</si>
  <si>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</si>
  <si>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</si>
  <si>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</si>
  <si>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</si>
  <si>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</si>
  <si>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</si>
  <si>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</si>
  <si>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</si>
  <si>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</si>
  <si>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</si>
  <si>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</si>
  <si>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</si>
  <si>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</si>
  <si>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</si>
  <si>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</si>
  <si>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</si>
  <si>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</si>
  <si>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</si>
  <si>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</si>
  <si>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</si>
  <si>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</si>
  <si>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</si>
  <si>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</si>
  <si>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</si>
  <si>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</si>
  <si>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</si>
  <si>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</si>
  <si>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</si>
  <si>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</si>
  <si>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</si>
  <si>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</si>
  <si>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</si>
  <si>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</si>
  <si>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</si>
  <si>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</si>
  <si>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</si>
  <si>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</si>
  <si>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</si>
  <si>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</si>
  <si>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</si>
  <si>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</si>
  <si>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</si>
  <si>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</si>
  <si>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</si>
  <si>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</si>
  <si>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</si>
  <si>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</si>
  <si>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</si>
  <si>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</si>
  <si>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</si>
  <si>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</si>
  <si>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</si>
  <si>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</si>
  <si>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</si>
  <si>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</si>
  <si>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</si>
  <si>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</si>
  <si>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</si>
  <si>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</si>
  <si>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</si>
  <si>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</si>
  <si>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</si>
  <si>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</si>
  <si>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</si>
  <si>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</si>
  <si>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</si>
  <si>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</si>
  <si>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</si>
  <si>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</si>
  <si>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</si>
  <si>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</si>
  <si>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</si>
  <si>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</si>
  <si>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</si>
  <si>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</si>
  <si>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</si>
  <si>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</si>
  <si>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</si>
  <si>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</si>
  <si>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</si>
  <si>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</si>
  <si>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</si>
  <si>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</si>
  <si>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</si>
  <si>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</si>
  <si>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</si>
  <si>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</si>
  <si>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</si>
  <si>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</si>
  <si>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</si>
  <si>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</si>
  <si>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</si>
  <si>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</si>
  <si>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</si>
  <si>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</si>
  <si>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</si>
  <si>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</si>
  <si>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</si>
  <si>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</si>
  <si>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</si>
  <si>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</si>
  <si>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</si>
  <si>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</si>
  <si>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</si>
  <si>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</si>
  <si>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</si>
  <si>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</si>
  <si>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</si>
  <si>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</si>
  <si>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</si>
  <si>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</si>
  <si>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</si>
  <si>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</si>
  <si>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</si>
  <si>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</si>
  <si>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</si>
  <si>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</si>
  <si>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</si>
  <si>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</si>
  <si>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</si>
  <si>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</si>
  <si>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</si>
  <si>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</si>
  <si>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</si>
  <si>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</si>
  <si>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</si>
  <si>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</si>
  <si>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</si>
  <si>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</si>
  <si>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</si>
  <si>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</si>
  <si>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</si>
  <si>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</si>
  <si>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</si>
  <si>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</si>
  <si>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</si>
  <si>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</si>
  <si>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</si>
  <si>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</si>
  <si>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</si>
  <si>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</si>
  <si>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</si>
  <si>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</si>
  <si>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</si>
  <si>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</si>
  <si>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</si>
  <si>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</si>
  <si>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</si>
  <si>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</si>
  <si>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</si>
  <si>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</si>
  <si>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</si>
  <si>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</si>
  <si>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</si>
  <si>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</si>
  <si>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</si>
  <si>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</si>
  <si>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</si>
  <si>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</si>
  <si>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</si>
  <si>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</si>
  <si>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</si>
  <si>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</si>
  <si>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</si>
  <si>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</si>
  <si>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</si>
  <si>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</si>
  <si>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</si>
  <si>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</si>
  <si>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</si>
  <si>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</si>
  <si>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</si>
  <si>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</si>
  <si>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</si>
  <si>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</si>
  <si>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</si>
  <si>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</si>
  <si>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</si>
  <si>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</si>
  <si>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</si>
  <si>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</si>
  <si>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</si>
  <si>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</si>
  <si>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</si>
  <si>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</si>
  <si>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</si>
  <si>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</si>
  <si>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</si>
  <si>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</si>
  <si>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</si>
  <si>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</si>
  <si>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</si>
  <si>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</si>
  <si>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</si>
  <si>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</si>
  <si>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</si>
  <si>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</si>
  <si>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</si>
  <si>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</si>
  <si>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</si>
  <si>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</si>
  <si>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</si>
  <si>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</si>
  <si>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</si>
  <si>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</si>
  <si>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</si>
  <si>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</si>
  <si>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</si>
  <si>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</si>
  <si>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</si>
  <si>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</si>
  <si>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</si>
  <si>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</si>
  <si>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</si>
  <si>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</si>
  <si>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</si>
  <si>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</si>
  <si>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</si>
  <si>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</si>
  <si>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</si>
  <si>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</si>
  <si>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</si>
  <si>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</si>
  <si>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</si>
  <si>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</si>
  <si>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</si>
  <si>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</si>
  <si>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</si>
  <si>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</si>
  <si>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</si>
  <si>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</si>
  <si>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</si>
  <si>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</si>
  <si>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</si>
  <si>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</si>
  <si>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</si>
  <si>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</si>
  <si>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</si>
  <si>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</si>
  <si>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</si>
  <si>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</si>
  <si>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</si>
  <si>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</si>
  <si>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</si>
  <si>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</si>
  <si>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</si>
  <si>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</si>
  <si>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</si>
  <si>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</si>
  <si>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</si>
  <si>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</si>
  <si>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</si>
  <si>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</si>
  <si>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</si>
  <si>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</si>
  <si>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</si>
  <si>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</si>
  <si>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</si>
  <si>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</si>
  <si>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</si>
  <si>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</si>
  <si>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</si>
  <si>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</si>
  <si>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</si>
  <si>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</si>
  <si>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</si>
  <si>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</si>
  <si>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</si>
  <si>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</si>
  <si>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</si>
  <si>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</si>
  <si>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</si>
  <si>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</si>
  <si>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</si>
  <si>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</si>
  <si>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</si>
  <si>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</si>
  <si>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</si>
  <si>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</si>
  <si>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</si>
  <si>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</si>
  <si>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</si>
  <si>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</si>
  <si>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</si>
  <si>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</si>
  <si>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</si>
  <si>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</si>
  <si>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</si>
  <si>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</si>
  <si>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</si>
  <si>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</si>
  <si>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</si>
  <si>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</si>
  <si>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</si>
  <si>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</si>
  <si>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</si>
  <si>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</si>
  <si>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</si>
  <si>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</si>
  <si>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</si>
  <si>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</si>
  <si>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</si>
  <si>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</si>
  <si>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</si>
  <si>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</si>
  <si>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</si>
  <si>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</si>
  <si>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</si>
  <si>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</si>
  <si>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</si>
  <si>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</si>
  <si>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</si>
  <si>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</si>
  <si>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</si>
  <si>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</si>
  <si>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</si>
  <si>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</si>
  <si>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</si>
  <si>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</si>
  <si>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</si>
  <si>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</si>
  <si>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</si>
  <si>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</si>
  <si>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</si>
  <si>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</si>
  <si>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</si>
  <si>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</si>
  <si>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</si>
  <si>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</si>
  <si>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</si>
  <si>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</si>
  <si>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</si>
  <si>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</si>
  <si>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</si>
  <si>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</si>
  <si>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</si>
  <si>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</si>
  <si>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</si>
  <si>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</si>
  <si>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</si>
  <si>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</si>
  <si>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</si>
  <si>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</si>
  <si>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</si>
  <si>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</si>
  <si>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</si>
  <si>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</si>
  <si>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</si>
  <si>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</si>
  <si>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</si>
  <si>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</si>
  <si>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</si>
  <si>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</si>
  <si>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</si>
  <si>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</si>
  <si>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</si>
  <si>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</si>
  <si>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</si>
  <si>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</si>
  <si>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</si>
  <si>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</si>
  <si>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</si>
  <si>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</si>
  <si>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</si>
  <si>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</si>
  <si>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</si>
  <si>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</si>
  <si>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</si>
  <si>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</si>
  <si>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</si>
  <si>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</si>
  <si>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</si>
  <si>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</si>
  <si>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</si>
  <si>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</si>
  <si>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</si>
  <si>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</si>
  <si>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</si>
  <si>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</si>
  <si>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</si>
  <si>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</si>
  <si>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</si>
  <si>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</si>
  <si>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</si>
  <si>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</si>
  <si>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</si>
  <si>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</si>
  <si>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</si>
  <si>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</si>
  <si>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</si>
  <si>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</si>
  <si>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</si>
  <si>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</si>
  <si>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</si>
  <si>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</si>
  <si>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</si>
  <si>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</si>
  <si>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</si>
  <si>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</si>
  <si>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665,333,76</t>
  </si>
  <si>
    <t>118,809,60</t>
  </si>
  <si>
    <t>127,296,00</t>
  </si>
  <si>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</si>
  <si>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</si>
  <si>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</si>
  <si>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</si>
  <si>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</si>
  <si>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</si>
  <si>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</si>
  <si>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</si>
  <si>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</si>
  <si>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</si>
  <si>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</si>
  <si>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</si>
  <si>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</si>
  <si>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</si>
  <si>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</si>
  <si>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</si>
  <si>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</si>
  <si>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</si>
  <si>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</si>
  <si>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</si>
  <si>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</si>
  <si>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</si>
  <si>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</si>
  <si>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</si>
  <si>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</si>
  <si>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</si>
  <si>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</si>
  <si>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</si>
  <si>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</si>
  <si>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</si>
  <si>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</si>
  <si>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</si>
  <si>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</si>
  <si>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</si>
  <si>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</si>
  <si>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</si>
  <si>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</si>
  <si>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</si>
  <si>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</si>
  <si>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</si>
  <si>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</si>
  <si>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</si>
  <si>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</si>
  <si>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</si>
  <si>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</si>
  <si>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</si>
  <si>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</si>
  <si>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</si>
  <si>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</si>
  <si>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</si>
  <si>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</si>
  <si>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</si>
  <si>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</si>
  <si>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</si>
  <si>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</si>
  <si>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</si>
  <si>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</si>
  <si>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</si>
  <si>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</si>
  <si>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</si>
  <si>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</si>
  <si>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</si>
  <si>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</si>
  <si>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</si>
  <si>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</si>
  <si>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</si>
  <si>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</si>
  <si>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</si>
  <si>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</si>
  <si>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</si>
  <si>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</si>
  <si>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</si>
  <si>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</si>
  <si>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</si>
  <si>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</si>
  <si>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</si>
  <si>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</si>
  <si>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</si>
  <si>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</si>
  <si>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</si>
  <si>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</si>
  <si>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</si>
  <si>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</si>
  <si>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</si>
  <si>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</si>
  <si>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</si>
  <si>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</si>
  <si>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</si>
  <si>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</si>
  <si>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</si>
  <si>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</si>
  <si>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</si>
  <si>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</si>
  <si>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</si>
  <si>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</si>
  <si>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</si>
  <si>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</si>
  <si>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</si>
  <si>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</si>
  <si>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</si>
  <si>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</si>
  <si>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</si>
  <si>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</si>
  <si>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</si>
  <si>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</si>
  <si>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</si>
  <si>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</si>
  <si>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</si>
  <si>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资本成本</t>
    <phoneticPr fontId="1" type="noConversion"/>
  </si>
  <si>
    <t>WACC</t>
    <phoneticPr fontId="1" type="noConversion"/>
  </si>
  <si>
    <t>自由现金流=经营活动现金流量净额-保全性资本支出=(11)-(19)
自由现金流=经营活动现金流量净额-资产折旧-资产推销-资产损失 
自由现金流=经营活动现金流量净额-保全性资本支出 + 比基期增加的扩张性营运现金支出（对于扩张公司，自由现金流=经营活动现金流量净额） =E14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</si>
</sst>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5">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27" fillId="3" borderId="0" xfId="2" applyNumberFormat="1" applyFont="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 fillId="41" borderId="16" xfId="1" applyNumberFormat="1" applyFill="1" applyBorder="1">
      <alignment vertical="center"/>
    </xf>
    <xf numFmtId="49" fontId="26" fillId="0" borderId="0" xfId="0" applyNumberFormat="1" applyFont="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49" fontId="26" fillId="6" borderId="0" xfId="0" applyNumberFormat="1" applyFont="1" applyFill="1" applyAlignment="1">
      <alignment vertical="center" wrapText="1"/>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0.39618020871649728</c:v>
                </c:pt>
                <c:pt idx="1">
                  <c:v>0.40825072097826659</c:v>
                </c:pt>
                <c:pt idx="2">
                  <c:v>0.34270459986034946</c:v>
                </c:pt>
                <c:pt idx="3">
                  <c:v>0.28139833385652757</c:v>
                </c:pt>
                <c:pt idx="4">
                  <c:v>0.3051322710324213</c:v>
                </c:pt>
                <c:pt idx="5">
                  <c:v>0.33902546928325533</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0.15042914815698941</c:v>
                </c:pt>
                <c:pt idx="1">
                  <c:v>0.1658686408668239</c:v>
                </c:pt>
                <c:pt idx="2">
                  <c:v>0.12442306585641</c:v>
                </c:pt>
                <c:pt idx="3">
                  <c:v>8.4244540621541852E-2</c:v>
                </c:pt>
                <c:pt idx="4">
                  <c:v>0.13116430723590852</c:v>
                </c:pt>
                <c:pt idx="5">
                  <c:v>0.13198077624870341</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0.15823452082732622</c:v>
                </c:pt>
                <c:pt idx="1">
                  <c:v>0.23339584668263716</c:v>
                </c:pt>
                <c:pt idx="2">
                  <c:v>0.18281270010514011</c:v>
                </c:pt>
                <c:pt idx="3">
                  <c:v>0.10572191212060428</c:v>
                </c:pt>
                <c:pt idx="4">
                  <c:v>0.15177747473061876</c:v>
                </c:pt>
                <c:pt idx="5">
                  <c:v>0.16379469386903164</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0.12953224170294098</c:v>
                </c:pt>
                <c:pt idx="1">
                  <c:v>0.20783249409524063</c:v>
                </c:pt>
                <c:pt idx="2">
                  <c:v>0.1619948652368853</c:v>
                </c:pt>
                <c:pt idx="3">
                  <c:v>9.2235684515346653E-2</c:v>
                </c:pt>
                <c:pt idx="4">
                  <c:v>0.12729276554865959</c:v>
                </c:pt>
                <c:pt idx="5">
                  <c:v>0.140431915566576</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0.1476831866919541</c:v>
                </c:pt>
                <c:pt idx="1">
                  <c:v>0.22710935863245515</c:v>
                </c:pt>
                <c:pt idx="2">
                  <c:v>0.20727544580443075</c:v>
                </c:pt>
                <c:pt idx="3">
                  <c:v>0.10676051962945907</c:v>
                </c:pt>
                <c:pt idx="4">
                  <c:v>0.137367814259925</c:v>
                </c:pt>
                <c:pt idx="5">
                  <c:v>0.15410591965761083</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0.1238834560107023</c:v>
                </c:pt>
                <c:pt idx="1">
                  <c:v>0.20028871819683605</c:v>
                </c:pt>
                <c:pt idx="2">
                  <c:v>0.18279358242497362</c:v>
                </c:pt>
                <c:pt idx="3">
                  <c:v>9.2885888612841375E-2</c:v>
                </c:pt>
                <c:pt idx="4">
                  <c:v>0.11503859862459605</c:v>
                </c:pt>
                <c:pt idx="5">
                  <c:v>0.13184258831215304</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443782624.08999997</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368244259.02999997</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297851580.62</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111688032.18000001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145093558.59999999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126827721.45</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-21322077.872000217</c:v>
                </c:pt>
                <c:pt idx="1">
                  <c:v>61397944.999599814</c:v>
                </c:pt>
                <c:pt idx="2">
                  <c:v>90199604.833999991</c:v>
                </c:pt>
                <c:pt idx="3">
                  <c:v>-12071282.663999915</c:v>
                </c:pt>
                <c:pt idx="4">
                  <c:v>3512852.35119991</c:v>
                </c:pt>
                <c:pt idx="5">
                  <c:v>4543344.2099999785</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4070353891.1500001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3857670584.8800001</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2599306347.4499998</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1391842083.3</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1344292240.3599999</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1244457985.5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1,625,401,353.28 </c:v>
                </c:pt>
                <c:pt idx="5">
                  <c:v>1,428,558,424.56 </c:v>
                </c:pt>
                <c:pt idx="6">
                  <c:v>1,313,326,374.51 </c:v>
                </c:pt>
                <c:pt idx="7">
                  <c:v>1,243,536,858.22 </c:v>
                </c:pt>
                <c:pt idx="8">
                  <c:v>1,182,271,222.83 </c:v>
                </c:pt>
                <c:pt idx="9">
                  <c:v>1,104,031,410.05 </c:v>
                </c:pt>
                <c:pt idx="10">
                  <c:v>1,038,385,980.17 </c:v>
                </c:pt>
                <c:pt idx="11">
                  <c:v>942,542,143.57 </c:v>
                </c:pt>
                <c:pt idx="12">
                  <c:v>868,526,402.48 </c:v>
                </c:pt>
                <c:pt idx="13">
                  <c:v>815,761,221.23 </c:v>
                </c:pt>
                <c:pt idx="14">
                  <c:v>805,101,670.86 </c:v>
                </c:pt>
                <c:pt idx="15">
                  <c:v>787,817,201.11 </c:v>
                </c:pt>
                <c:pt idx="16">
                  <c:v>777,212,412.94 </c:v>
                </c:pt>
                <c:pt idx="17">
                  <c:v>741,506,549.52 </c:v>
                </c:pt>
                <c:pt idx="18">
                  <c:v>710,048,074.86 </c:v>
                </c:pt>
                <c:pt idx="19">
                  <c:v>687,250,589.19 </c:v>
                </c:pt>
                <c:pt idx="20">
                  <c:v>652,357,645.92 </c:v>
                </c:pt>
              </c:strCache>
            </c:strRef>
          </c:tx>
          <c:invertIfNegative val="0"/>
          <c:cat>
            <c:numRef>
              <c:f>投资和筹资活动现金流表!$E$12</c:f>
              <c:numCache>
                <c:formatCode>#,##0.00_ </c:formatCode>
                <c:ptCount val="1"/>
                <c:pt idx="0">
                  <c:v>1625401353.2800002</c:v>
                </c:pt>
              </c:numCache>
            </c:numRef>
          </c:cat>
          <c:val>
            <c:numRef>
              <c:f>投资和筹资活动现金流表!$E$12:$U$12</c:f>
              <c:numCache>
                <c:formatCode>#,##0.00_ </c:formatCode>
                <c:ptCount val="5"/>
                <c:pt idx="0">
                  <c:v>1625401353.2800002</c:v>
                </c:pt>
                <c:pt idx="1">
                  <c:v>1182271222.8300002</c:v>
                </c:pt>
                <c:pt idx="2">
                  <c:v>868526402.4799999</c:v>
                </c:pt>
                <c:pt idx="3">
                  <c:v>777212412.93999994</c:v>
                </c:pt>
                <c:pt idx="4">
                  <c:v>652357645.91999996</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0.12017324032358638</c:v>
                </c:pt>
                <c:pt idx="1">
                  <c:v>0.23765470898245936</c:v>
                </c:pt>
                <c:pt idx="2">
                  <c:v>0.28848493985278673</c:v>
                </c:pt>
                <c:pt idx="3">
                  <c:v>0.13663136249754915</c:v>
                </c:pt>
                <c:pt idx="4">
                  <c:v>0.19088515658367985</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1.5987194150496531</c:v>
                </c:pt>
                <c:pt idx="1">
                  <c:v>0.11429262596064317</c:v>
                </c:pt>
                <c:pt idx="2">
                  <c:v>1.0319438759099255</c:v>
                </c:pt>
                <c:pt idx="3">
                  <c:v>0.75944944201001274</c:v>
                </c:pt>
                <c:pt idx="4">
                  <c:v>1.0419318151898469</c:v>
                </c:pt>
                <c:pt idx="5">
                  <c:v>0.2722478714283863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382981784.89999998</c:v>
                </c:pt>
                <c:pt idx="1">
                  <c:v>443776074.55000001</c:v>
                </c:pt>
                <c:pt idx="2">
                  <c:v>355251443.25</c:v>
                </c:pt>
                <c:pt idx="3">
                  <c:v>188788952.09999999</c:v>
                </c:pt>
                <c:pt idx="4">
                  <c:v>190169166.86999997</c:v>
                </c:pt>
                <c:pt idx="5">
                  <c:v>243949689.86000001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891869702.13</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612280415.13</c:v>
                </c:pt>
                <c:pt idx="1">
                  <c:v>152654463.16999999</c:v>
                </c:pt>
                <c:pt idx="2">
                  <c:v>366599551.26999998</c:v>
                </c:pt>
                <c:pt idx="3">
                  <c:v>143375664.33000001</c:v>
                </c:pt>
                <c:pt idx="4">
                  <c:v>198143305.22999999</c:v>
                </c:pt>
                <c:pt idx="5">
                  <c:v>66414783.799999997</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-130014013.08</c:v>
                </c:pt>
                <c:pt idx="1">
                  <c:v>870107918.21000004</c:v>
                </c:pt>
                <c:pt idx="2">
                  <c:v>925528561.24000001</c:v>
                </c:pt>
                <c:pt idx="3">
                  <c:v>-46164658.409999996</c:v>
                </c:pt>
                <c:pt idx="4">
                  <c:v>-109764360.47</c:v>
                </c:pt>
                <c:pt idx="5">
                  <c:v>-239090110.02000001</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-127278650.09999999</c:v>
                </c:pt>
                <c:pt idx="1">
                  <c:v>903038604.15999997</c:v>
                </c:pt>
                <c:pt idx="2">
                  <c:v>949052275</c:v>
                </c:pt>
                <c:pt idx="3">
                  <c:v>-49615200</c:v>
                </c:pt>
                <c:pt idx="4">
                  <c:v>-38978400</c:v>
                </c:pt>
                <c:pt idx="5">
                  <c:v>-68910000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-1735567.07</c:v>
                </c:pt>
                <c:pt idx="1">
                  <c:v>-31496604.330000043</c:v>
                </c:pt>
                <c:pt idx="2">
                  <c:v>-22723713.760000002</c:v>
                </c:pt>
                <c:pt idx="3">
                  <c:v>3529311.200000003</c:v>
                </c:pt>
                <c:pt idx="4">
                  <c:v>-70518681.409999996</c:v>
                </c:pt>
                <c:pt idx="5">
                  <c:v>-167451563.34999999</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0</c:v>
                </c:pt>
                <c:pt idx="1">
                  <c:v>888968300</c:v>
                </c:pt>
                <c:pt idx="2">
                  <c:v>0</c:v>
                </c:pt>
                <c:pt idx="3">
                  <c:v>41820000</c:v>
                </c:pt>
                <c:pt idx="4">
                  <c:v>84989480</c:v>
                </c:pt>
                <c:pt idx="5">
                  <c:v>88437836</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0</c:v>
                </c:pt>
                <c:pt idx="2">
                  <c:v>6886700</c:v>
                </c:pt>
                <c:pt idx="3">
                  <c:v>0</c:v>
                </c:pt>
                <c:pt idx="4">
                  <c:v>0</c:v>
                </c:pt>
                <c:pt idx="5">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582431.97</c:v>
                </c:pt>
                <c:pt idx="1">
                  <c:v>29121688.59</c:v>
                </c:pt>
                <c:pt idx="2">
                  <c:v>323713.76</c:v>
                </c:pt>
                <c:pt idx="3">
                  <c:v>1307144.8</c:v>
                </c:pt>
                <c:pt idx="4">
                  <c:v>1429735.18</c:v>
                </c:pt>
                <c:pt idx="5">
                  <c:v>2500935.35</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9814499.0099999998</c:v>
                </c:pt>
                <c:pt idx="1">
                  <c:v>12146828.039999999</c:v>
                </c:pt>
                <c:pt idx="2">
                  <c:v>0</c:v>
                </c:pt>
                <c:pt idx="3">
                  <c:v>22400000</c:v>
                </c:pt>
                <c:pt idx="4">
                  <c:v>28841744.43</c:v>
                </c:pt>
                <c:pt idx="5">
                  <c:v>98207484.480000004</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4070353891.1500001</c:v>
                </c:pt>
                <c:pt idx="1">
                  <c:v>3857670584.8800001</c:v>
                </c:pt>
                <c:pt idx="2">
                  <c:v>2599306347.4500003</c:v>
                </c:pt>
                <c:pt idx="3">
                  <c:v>1391842083.3</c:v>
                </c:pt>
                <c:pt idx="4">
                  <c:v>1344292240.3600001</c:v>
                </c:pt>
                <c:pt idx="5">
                  <c:v>1244457985.5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4084413679.5</c:v>
                </c:pt>
                <c:pt idx="1">
                  <c:v>3873415740.6099997</c:v>
                </c:pt>
                <c:pt idx="2">
                  <c:v>2599306347.4499998</c:v>
                </c:pt>
                <c:pt idx="3">
                  <c:v>1414242083.3</c:v>
                </c:pt>
                <c:pt idx="4">
                  <c:v>1373133984.79</c:v>
                </c:pt>
                <c:pt idx="5">
                  <c:v>1342665469.98</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2"/>
                <c:pt idx="0">
                  <c:v>7.9831530450049371E-2</c:v>
                </c:pt>
                <c:pt idx="1">
                  <c:v>9.2935733014325395E-2</c:v>
                </c:pt>
                <c:pt idx="2">
                  <c:v>8.0000000000000016E-2</c:v>
                </c:pt>
                <c:pt idx="3">
                  <c:v>7.9435951372201261E-2</c:v>
                </c:pt>
                <c:pt idx="4">
                  <c:v>7.8715550154476219E-2</c:v>
                </c:pt>
                <c:pt idx="5">
                  <c:v>7.501038323844969E-2</c:v>
                </c:pt>
                <c:pt idx="6">
                  <c:v>7.5762422943192048E-2</c:v>
                </c:pt>
                <c:pt idx="7">
                  <c:v>8.4340443352267258E-2</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0.26113045151551284</c:v>
                </c:pt>
                <c:pt idx="1">
                  <c:v>-0.28555550888053716</c:v>
                </c:pt>
                <c:pt idx="2">
                  <c:v>1.9671870681888939</c:v>
                </c:pt>
                <c:pt idx="3">
                  <c:v>-0.27236982722246755</c:v>
                </c:pt>
                <c:pt idx="4">
                  <c:v>-0.25600752585595166</c:v>
                </c:pt>
                <c:pt idx="5">
                  <c:v>-0.48863067413040756</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-0.1458607305495116</c:v>
                </c:pt>
                <c:pt idx="1">
                  <c:v>-0.16282052997038354</c:v>
                </c:pt>
                <c:pt idx="2">
                  <c:v>1.4969629362781498</c:v>
                </c:pt>
                <c:pt idx="3">
                  <c:v>0.11446773178637695</c:v>
                </c:pt>
                <c:pt idx="4">
                  <c:v>1.9663038874191876E-2</c:v>
                </c:pt>
                <c:pt idx="5">
                  <c:v>9.1036208987924735E-2</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-1.821384980720149E-2</c:v>
                </c:pt>
                <c:pt idx="1">
                  <c:v>0.43982477795930541</c:v>
                </c:pt>
                <c:pt idx="2">
                  <c:v>1.3248749282445862</c:v>
                </c:pt>
                <c:pt idx="3">
                  <c:v>0.13672459151313443</c:v>
                </c:pt>
                <c:pt idx="4">
                  <c:v>6.4068518632356172E-2</c:v>
                </c:pt>
                <c:pt idx="5">
                  <c:v>0.25286388332277954</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1.8480683511732356E-2</c:v>
                </c:pt>
                <c:pt idx="1">
                  <c:v>0.26526023386014819</c:v>
                </c:pt>
                <c:pt idx="2">
                  <c:v>1.3041591281205136</c:v>
                </c:pt>
                <c:pt idx="3">
                  <c:v>0.11379203043839013</c:v>
                </c:pt>
                <c:pt idx="4">
                  <c:v>8.2808694655355786E-2</c:v>
                </c:pt>
                <c:pt idx="5">
                  <c:v>0.30294219641100917</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0.11248775803246955</c:v>
                </c:pt>
                <c:pt idx="1">
                  <c:v>-3.4596830462362609E-2</c:v>
                </c:pt>
                <c:pt idx="2">
                  <c:v>1.2694234404880047</c:v>
                </c:pt>
                <c:pt idx="3">
                  <c:v>7.7347910634345721E-2</c:v>
                </c:pt>
                <c:pt idx="4">
                  <c:v>0.11398748709507843</c:v>
                </c:pt>
                <c:pt idx="5">
                  <c:v>0.39576249258380786</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4.455255405603558E-2</c:v>
                </c:pt>
                <c:pt idx="1">
                  <c:v>1.0035329256886822</c:v>
                </c:pt>
                <c:pt idx="2">
                  <c:v>0.34617348597333958</c:v>
                </c:pt>
                <c:pt idx="3">
                  <c:v>0.11786751062855826</c:v>
                </c:pt>
                <c:pt idx="4">
                  <c:v>0.19387359072577551</c:v>
                </c:pt>
                <c:pt idx="5">
                  <c:v>0.57621805114308078</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8.1864315168885524E-2</c:v>
                </c:pt>
                <c:pt idx="1">
                  <c:v>0</c:v>
                </c:pt>
                <c:pt idx="2">
                  <c:v>-1</c:v>
                </c:pt>
                <c:pt idx="3">
                  <c:v>-0.32746404698726672</c:v>
                </c:pt>
                <c:pt idx="4">
                  <c:v>-0.79136794896877627</c:v>
                </c:pt>
                <c:pt idx="5">
                  <c:v>-0.42274958727903794</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-0.23920088897841243</c:v>
                </c:pt>
                <c:pt idx="1">
                  <c:v>0</c:v>
                </c:pt>
                <c:pt idx="2">
                  <c:v>-1</c:v>
                </c:pt>
                <c:pt idx="3">
                  <c:v>-3.883754059468443E-2</c:v>
                </c:pt>
                <c:pt idx="4">
                  <c:v>5.8038581967198563E-2</c:v>
                </c:pt>
                <c:pt idx="5">
                  <c:v>-0.91209188095362936</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0.15357885292284826</c:v>
                </c:pt>
                <c:pt idx="1">
                  <c:v>0.1284124157304293</c:v>
                </c:pt>
                <c:pt idx="2">
                  <c:v>0.26783983577118242</c:v>
                </c:pt>
                <c:pt idx="3">
                  <c:v>0.16590671088821501</c:v>
                </c:pt>
                <c:pt idx="4">
                  <c:v>0.23483568622716416</c:v>
                </c:pt>
                <c:pt idx="5">
                  <c:v>0.32280529324736124</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4.7537007251373343E-3</c:v>
                </c:pt>
                <c:pt idx="1">
                  <c:v>5.8686573924079015E-3</c:v>
                </c:pt>
                <c:pt idx="2">
                  <c:v>1.0446163826221454E-2</c:v>
                </c:pt>
                <c:pt idx="3">
                  <c:v>7.6891520259571118E-3</c:v>
                </c:pt>
                <c:pt idx="4">
                  <c:v>7.1059441453502799E-3</c:v>
                </c:pt>
                <c:pt idx="5">
                  <c:v>7.1270566078850163E-3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0.59285884936033928</c:v>
                </c:pt>
                <c:pt idx="1">
                  <c:v>0.59848961710082815</c:v>
                </c:pt>
                <c:pt idx="2">
                  <c:v>0.44514016481555063</c:v>
                </c:pt>
                <c:pt idx="3">
                  <c:v>0.60775628788701042</c:v>
                </c:pt>
                <c:pt idx="4">
                  <c:v>0.55995092573401695</c:v>
                </c:pt>
                <c:pt idx="5">
                  <c:v>0.47966355010946504</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0.19679764683169498</c:v>
                </c:pt>
                <c:pt idx="1">
                  <c:v>0.1469780080956839</c:v>
                </c:pt>
                <c:pt idx="2">
                  <c:v>0</c:v>
                </c:pt>
                <c:pt idx="3">
                  <c:v>0.5535714285714286</c:v>
                </c:pt>
                <c:pt idx="4">
                  <c:v>0.6392704867331771</c:v>
                </c:pt>
                <c:pt idx="5">
                  <c:v>0.89987163878530485</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0.80320235316830502</c:v>
                </c:pt>
                <c:pt idx="1">
                  <c:v>0.85302199190431616</c:v>
                </c:pt>
                <c:pt idx="2">
                  <c:v>0</c:v>
                </c:pt>
                <c:pt idx="3">
                  <c:v>0.44642857142857145</c:v>
                </c:pt>
                <c:pt idx="4">
                  <c:v>0.3607295132668229</c:v>
                </c:pt>
                <c:pt idx="5">
                  <c:v>0.10012836121469507</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1.6153564095093311</c:v>
                </c:pt>
                <c:pt idx="1">
                  <c:v>1.4788078842640875</c:v>
                </c:pt>
                <c:pt idx="2">
                  <c:v>1.9684207300472782</c:v>
                </c:pt>
                <c:pt idx="3">
                  <c:v>1.718684241365646</c:v>
                </c:pt>
                <c:pt idx="4">
                  <c:v>2.1176169888399556</c:v>
                </c:pt>
                <c:pt idx="5">
                  <c:v>2.3496840459078849</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627279567.75999999</c:v>
                </c:pt>
                <c:pt idx="1">
                  <c:v>497394672.38</c:v>
                </c:pt>
                <c:pt idx="2">
                  <c:v>696197785.22000003</c:v>
                </c:pt>
                <c:pt idx="3">
                  <c:v>234632252.44</c:v>
                </c:pt>
                <c:pt idx="4">
                  <c:v>322460861.60000002</c:v>
                </c:pt>
                <c:pt idx="5">
                  <c:v>433419520.76999998</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19416080.27</c:v>
                </c:pt>
                <c:pt idx="1">
                  <c:v>22731749.920000002</c:v>
                </c:pt>
                <c:pt idx="2">
                  <c:v>27152779.940000001</c:v>
                </c:pt>
                <c:pt idx="3">
                  <c:v>10874322.380000001</c:v>
                </c:pt>
                <c:pt idx="4">
                  <c:v>9757413.4000000004</c:v>
                </c:pt>
                <c:pt idx="5">
                  <c:v>9569252.8100000005</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2421480794.3399997</c:v>
                </c:pt>
                <c:pt idx="1">
                  <c:v>2318199103.4699993</c:v>
                </c:pt>
                <c:pt idx="2">
                  <c:v>1157055655.9099998</c:v>
                </c:pt>
                <c:pt idx="3">
                  <c:v>859514518.72000015</c:v>
                </c:pt>
                <c:pt idx="4">
                  <c:v>768887645.94000006</c:v>
                </c:pt>
                <c:pt idx="5">
                  <c:v>644027685.94000018</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4084413679.5</c:v>
                </c:pt>
                <c:pt idx="1">
                  <c:v>3873415740.6099997</c:v>
                </c:pt>
                <c:pt idx="2">
                  <c:v>2599306347.4499998</c:v>
                </c:pt>
                <c:pt idx="3">
                  <c:v>1414242083.3</c:v>
                </c:pt>
                <c:pt idx="4">
                  <c:v>1373133984.79</c:v>
                </c:pt>
                <c:pt idx="5">
                  <c:v>1342665469.98</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1931470.31</c:v>
                </c:pt>
                <c:pt idx="1">
                  <c:v>1785316.59</c:v>
                </c:pt>
                <c:pt idx="2">
                  <c:v>0</c:v>
                </c:pt>
                <c:pt idx="3">
                  <c:v>12400000</c:v>
                </c:pt>
                <c:pt idx="4">
                  <c:v>18437676</c:v>
                </c:pt>
                <c:pt idx="5">
                  <c:v>88374130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7883028.7000000002</c:v>
                </c:pt>
                <c:pt idx="1">
                  <c:v>10361511.449999999</c:v>
                </c:pt>
                <c:pt idx="2">
                  <c:v>0</c:v>
                </c:pt>
                <c:pt idx="3">
                  <c:v>10000000</c:v>
                </c:pt>
                <c:pt idx="4">
                  <c:v>10404068.43</c:v>
                </c:pt>
                <c:pt idx="5">
                  <c:v>9833354.4800000004</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625348097.44999981</c:v>
                </c:pt>
                <c:pt idx="1">
                  <c:v>495609355.78999996</c:v>
                </c:pt>
                <c:pt idx="2">
                  <c:v>696197785.22000003</c:v>
                </c:pt>
                <c:pt idx="3">
                  <c:v>222232252.4399997</c:v>
                </c:pt>
                <c:pt idx="4">
                  <c:v>304023185.5999999</c:v>
                </c:pt>
                <c:pt idx="5">
                  <c:v>345045390.76999986</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-625348097.45000005</c:v>
                </c:pt>
                <c:pt idx="1">
                  <c:v>-495609355.79000002</c:v>
                </c:pt>
                <c:pt idx="2">
                  <c:v>-696197785.22000003</c:v>
                </c:pt>
                <c:pt idx="3">
                  <c:v>-222232252.44</c:v>
                </c:pt>
                <c:pt idx="4">
                  <c:v>-304023185.60000002</c:v>
                </c:pt>
                <c:pt idx="5">
                  <c:v>-345045390.76999998</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0.60381979128350272</c:v>
                </c:pt>
                <c:pt idx="1">
                  <c:v>0.59174927902173335</c:v>
                </c:pt>
                <c:pt idx="2">
                  <c:v>0.6572954001396506</c:v>
                </c:pt>
                <c:pt idx="3">
                  <c:v>0.71860166614347243</c:v>
                </c:pt>
                <c:pt idx="4">
                  <c:v>0.69486772896757876</c:v>
                </c:pt>
                <c:pt idx="5">
                  <c:v>0.66097453071674472</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0.39618020871649728</c:v>
                </c:pt>
                <c:pt idx="1">
                  <c:v>0.40825072097826659</c:v>
                </c:pt>
                <c:pt idx="2">
                  <c:v>0.34270459986034946</c:v>
                </c:pt>
                <c:pt idx="3">
                  <c:v>0.28139833385652757</c:v>
                </c:pt>
                <c:pt idx="4">
                  <c:v>0.3051322710324213</c:v>
                </c:pt>
                <c:pt idx="5">
                  <c:v>0.33902546928325533</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1.1924193130742633E-2</c:v>
                </c:pt>
                <c:pt idx="1">
                  <c:v>1.050526408337444E-2</c:v>
                </c:pt>
                <c:pt idx="2">
                  <c:v>8.5170597632964282E-3</c:v>
                </c:pt>
                <c:pt idx="3">
                  <c:v>8.9413885316732087E-3</c:v>
                </c:pt>
                <c:pt idx="4">
                  <c:v>7.717039050747161E-3</c:v>
                </c:pt>
                <c:pt idx="5">
                  <c:v>8.2305869303189606E-3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6.5928674041307131E-2</c:v>
                </c:pt>
                <c:pt idx="1">
                  <c:v>6.916896953552959E-2</c:v>
                </c:pt>
                <c:pt idx="2">
                  <c:v>2.3416469770108264E-2</c:v>
                </c:pt>
                <c:pt idx="3">
                  <c:v>2.260787210937348E-2</c:v>
                </c:pt>
                <c:pt idx="4">
                  <c:v>1.6926166085368569E-2</c:v>
                </c:pt>
                <c:pt idx="5">
                  <c:v>2.2014791586858779E-2</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0.13123988961802321</c:v>
                </c:pt>
                <c:pt idx="1">
                  <c:v>0.13452335643110122</c:v>
                </c:pt>
                <c:pt idx="2">
                  <c:v>0.15407623106413607</c:v>
                </c:pt>
                <c:pt idx="3">
                  <c:v>0.14968595949522709</c:v>
                </c:pt>
                <c:pt idx="4">
                  <c:v>0.12697129750208849</c:v>
                </c:pt>
                <c:pt idx="5">
                  <c:v>0.14815637999270226</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7.6031502074778608E-3</c:v>
                </c:pt>
                <c:pt idx="1">
                  <c:v>8.7278771227696453E-3</c:v>
                </c:pt>
                <c:pt idx="2">
                  <c:v>1.8012259765925423E-2</c:v>
                </c:pt>
                <c:pt idx="3">
                  <c:v>1.4144435243349095E-2</c:v>
                </c:pt>
                <c:pt idx="4">
                  <c:v>5.6506278513135328E-3</c:v>
                </c:pt>
                <c:pt idx="5">
                  <c:v>1.786323670529642E-2</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1.2319952976655208E-3</c:v>
                </c:pt>
                <c:pt idx="1">
                  <c:v>1.3105224193182955E-3</c:v>
                </c:pt>
                <c:pt idx="2">
                  <c:v>1.6554671019743347E-4</c:v>
                </c:pt>
                <c:pt idx="3">
                  <c:v>2.653709961142054E-4</c:v>
                </c:pt>
                <c:pt idx="4">
                  <c:v>5.6540568139756484E-4</c:v>
                </c:pt>
                <c:pt idx="5">
                  <c:v>1.6762444077350668E-4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1.076368178021951E-3</c:v>
                </c:pt>
                <c:pt idx="1">
                  <c:v>4.0653611105017006E-3</c:v>
                </c:pt>
                <c:pt idx="2">
                  <c:v>2.5702313371884057E-3</c:v>
                </c:pt>
                <c:pt idx="3">
                  <c:v>1.1075081276826149E-2</c:v>
                </c:pt>
                <c:pt idx="4">
                  <c:v>9.3218194005823818E-3</c:v>
                </c:pt>
                <c:pt idx="5">
                  <c:v>1.1674592792565368E-2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0.21900427047323834</c:v>
                </c:pt>
                <c:pt idx="1">
                  <c:v>0.22830135070259489</c:v>
                </c:pt>
                <c:pt idx="2">
                  <c:v>0.20675779841085201</c:v>
                </c:pt>
                <c:pt idx="3">
                  <c:v>0.20672010765256324</c:v>
                </c:pt>
                <c:pt idx="4">
                  <c:v>0.16715235557149771</c:v>
                </c:pt>
                <c:pt idx="5">
                  <c:v>0.20810721244851527</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0.15042914815698941</c:v>
                </c:pt>
                <c:pt idx="1">
                  <c:v>0.1658686408668239</c:v>
                </c:pt>
                <c:pt idx="2">
                  <c:v>0.12442306585641</c:v>
                </c:pt>
                <c:pt idx="3">
                  <c:v>8.4244540621541852E-2</c:v>
                </c:pt>
                <c:pt idx="4">
                  <c:v>0.13116430723590852</c:v>
                </c:pt>
                <c:pt idx="5">
                  <c:v>0.13198077624870341</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1.1333094299631095</c:v>
                </c:pt>
                <c:pt idx="1">
                  <c:v>0.80584164272819847</c:v>
                </c:pt>
                <c:pt idx="2">
                  <c:v>0.77175854873721272</c:v>
                </c:pt>
                <c:pt idx="3">
                  <c:v>0.91587814498812525</c:v>
                </c:pt>
                <c:pt idx="4">
                  <c:v>1.0319288454368514</c:v>
                </c:pt>
                <c:pt idx="5">
                  <c:v>0.94183418751782788</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-1.8899961996837354E-3</c:v>
                </c:pt>
                <c:pt idx="1">
                  <c:v>-5.858177096751311E-3</c:v>
                </c:pt>
                <c:pt idx="2">
                  <c:v>3.5876687980617397E-2</c:v>
                </c:pt>
                <c:pt idx="3">
                  <c:v>1.8444835917750764E-2</c:v>
                </c:pt>
                <c:pt idx="4">
                  <c:v>7.5716830503808558E-3</c:v>
                </c:pt>
                <c:pt idx="5">
                  <c:v>1.2689329500559695E-2</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-0.13141943376342563</c:v>
                </c:pt>
                <c:pt idx="1">
                  <c:v>0.20001653436855285</c:v>
                </c:pt>
                <c:pt idx="2">
                  <c:v>0.19236476328216984</c:v>
                </c:pt>
                <c:pt idx="3">
                  <c:v>6.5677019094123934E-2</c:v>
                </c:pt>
                <c:pt idx="4">
                  <c:v>-3.9500528487232345E-2</c:v>
                </c:pt>
                <c:pt idx="5">
                  <c:v>4.5476482981612477E-2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0.1238834560107023</c:v>
                </c:pt>
                <c:pt idx="1">
                  <c:v>0.20028871819683605</c:v>
                </c:pt>
                <c:pt idx="2">
                  <c:v>0.18279358242497362</c:v>
                </c:pt>
                <c:pt idx="3">
                  <c:v>9.2885888612841375E-2</c:v>
                </c:pt>
                <c:pt idx="4">
                  <c:v>0.11503859862459605</c:v>
                </c:pt>
                <c:pt idx="5">
                  <c:v>0.13184258831215304</c:v>
                </c:pt>
                <c:pt idx="6">
                  <c:v>0.14038242957775623</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1.1333094299631095</c:v>
                </c:pt>
                <c:pt idx="1">
                  <c:v>0.80584164272819847</c:v>
                </c:pt>
                <c:pt idx="2">
                  <c:v>0.77175854873721272</c:v>
                </c:pt>
                <c:pt idx="3">
                  <c:v>0.91587814498812525</c:v>
                </c:pt>
                <c:pt idx="4">
                  <c:v>1.0319288454368514</c:v>
                </c:pt>
                <c:pt idx="5">
                  <c:v>0.94183418751782788</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-1.8899961996837354E-3</c:v>
                </c:pt>
                <c:pt idx="1">
                  <c:v>-5.858177096751311E-3</c:v>
                </c:pt>
                <c:pt idx="2">
                  <c:v>3.5876687980617397E-2</c:v>
                </c:pt>
                <c:pt idx="3">
                  <c:v>1.8444835917750764E-2</c:v>
                </c:pt>
                <c:pt idx="4">
                  <c:v>7.5716830503808558E-3</c:v>
                </c:pt>
                <c:pt idx="5">
                  <c:v>1.2689329500559695E-2</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-0.13141943376342563</c:v>
                </c:pt>
                <c:pt idx="1">
                  <c:v>0.20001653436855285</c:v>
                </c:pt>
                <c:pt idx="2">
                  <c:v>0.19236476328216984</c:v>
                </c:pt>
                <c:pt idx="3">
                  <c:v>6.5677019094123934E-2</c:v>
                </c:pt>
                <c:pt idx="4">
                  <c:v>-3.9500528487232345E-2</c:v>
                </c:pt>
                <c:pt idx="5">
                  <c:v>4.5476482981612477E-2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6.668161966304631E-2</c:v>
                </c:pt>
                <c:pt idx="1">
                  <c:v>2.6934875403888947E-2</c:v>
                </c:pt>
                <c:pt idx="2">
                  <c:v>-0.13381316333723814</c:v>
                </c:pt>
                <c:pt idx="3">
                  <c:v>-9.8239569075329047E-3</c:v>
                </c:pt>
                <c:pt idx="4">
                  <c:v>9.4939387391104302E-2</c:v>
                </c:pt>
                <c:pt idx="5">
                  <c:v>5.9151941876504521E-2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2456391218.1599998</c:v>
                </c:pt>
                <c:pt idx="1">
                  <c:v>1847391081.8399999</c:v>
                </c:pt>
                <c:pt idx="2">
                  <c:v>1631042560</c:v>
                </c:pt>
                <c:pt idx="3">
                  <c:v>1068796191.5700001</c:v>
                </c:pt>
                <c:pt idx="4">
                  <c:v>965382340.42999995</c:v>
                </c:pt>
                <c:pt idx="5">
                  <c:v>789577816.87</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1483217632.6600001</c:v>
                </c:pt>
                <c:pt idx="1">
                  <c:v>1093192340.75</c:v>
                </c:pt>
                <c:pt idx="2">
                  <c:v>1072076772.12</c:v>
                </c:pt>
                <c:pt idx="3">
                  <c:v>768038724.02999997</c:v>
                </c:pt>
                <c:pt idx="4">
                  <c:v>670813034.48000002</c:v>
                </c:pt>
                <c:pt idx="5">
                  <c:v>521890826.97000003</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973173585.49999976</c:v>
                </c:pt>
                <c:pt idx="1">
                  <c:v>754198741.08999991</c:v>
                </c:pt>
                <c:pt idx="2">
                  <c:v>558965787.88</c:v>
                </c:pt>
                <c:pt idx="3">
                  <c:v>300757467.54000008</c:v>
                </c:pt>
                <c:pt idx="4">
                  <c:v>294569305.94999993</c:v>
                </c:pt>
                <c:pt idx="5">
                  <c:v>267686989.89999998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-3.783538385629058E-2</c:v>
                </c:pt>
                <c:pt idx="1">
                  <c:v>-0.11111727776741262</c:v>
                </c:pt>
                <c:pt idx="2">
                  <c:v>0.39397593998251951</c:v>
                </c:pt>
                <c:pt idx="3">
                  <c:v>0.19166044808761681</c:v>
                </c:pt>
                <c:pt idx="4">
                  <c:v>0.11370102859431988</c:v>
                </c:pt>
                <c:pt idx="5">
                  <c:v>0.17149656013738443</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-8.0659988386221362E-2</c:v>
                </c:pt>
                <c:pt idx="1">
                  <c:v>0.1609376674679448</c:v>
                </c:pt>
                <c:pt idx="2">
                  <c:v>7.2657027814807401E-2</c:v>
                </c:pt>
                <c:pt idx="3">
                  <c:v>2.7518495828434936E-2</c:v>
                </c:pt>
                <c:pt idx="4">
                  <c:v>-1.5031113825904054E-2</c:v>
                </c:pt>
                <c:pt idx="5">
                  <c:v>1.1609394481657971E-2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2.4171434861973777</c:v>
                </c:pt>
                <c:pt idx="1">
                  <c:v>1.7847633523668873</c:v>
                </c:pt>
                <c:pt idx="2">
                  <c:v>2.2688027170242218</c:v>
                </c:pt>
                <c:pt idx="3">
                  <c:v>3.4564154018119528</c:v>
                </c:pt>
                <c:pt idx="4">
                  <c:v>3.5488336268214051</c:v>
                </c:pt>
                <c:pt idx="5">
                  <c:v>3.0885228753644678</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1.0144169732428192</c:v>
                </c:pt>
                <c:pt idx="1">
                  <c:v>0.79690785794659746</c:v>
                </c:pt>
                <c:pt idx="2">
                  <c:v>1.4096491829662416</c:v>
                </c:pt>
                <c:pt idx="3">
                  <c:v>1.2434882346858607</c:v>
                </c:pt>
                <c:pt idx="4">
                  <c:v>1.2555570967066016</c:v>
                </c:pt>
                <c:pt idx="5">
                  <c:v>1.2259998042127025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3.9159432961154992</c:v>
                </c:pt>
                <c:pt idx="1">
                  <c:v>3.7141352419404856</c:v>
                </c:pt>
                <c:pt idx="2">
                  <c:v>2.3427861947084287</c:v>
                </c:pt>
                <c:pt idx="3">
                  <c:v>4.5551972521054491</c:v>
                </c:pt>
                <c:pt idx="4">
                  <c:v>2.9937969390763417</c:v>
                </c:pt>
                <c:pt idx="5">
                  <c:v>1.8217403209418441</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126.51323974774647</c:v>
                </c:pt>
                <c:pt idx="1">
                  <c:v>81.269197855050123</c:v>
                </c:pt>
                <c:pt idx="2">
                  <c:v>60.069081825291732</c:v>
                </c:pt>
                <c:pt idx="3">
                  <c:v>98.286233773584328</c:v>
                </c:pt>
                <c:pt idx="4">
                  <c:v>98.938345733101755</c:v>
                </c:pt>
                <c:pt idx="5">
                  <c:v>82.511961231171611</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1.3927169896365399</c:v>
                </c:pt>
                <c:pt idx="1">
                  <c:v>1.1365753314478499</c:v>
                </c:pt>
                <c:pt idx="2">
                  <c:v>1.3795840823189258</c:v>
                </c:pt>
                <c:pt idx="3">
                  <c:v>1.2305857237248603</c:v>
                </c:pt>
                <c:pt idx="4">
                  <c:v>1.2421087521983858</c:v>
                </c:pt>
                <c:pt idx="5">
                  <c:v>0.23309223579660904</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1.7448335594208908</c:v>
                </c:pt>
                <c:pt idx="1">
                  <c:v>1.6104749481506799</c:v>
                </c:pt>
                <c:pt idx="2">
                  <c:v>1.6790156086319785</c:v>
                </c:pt>
                <c:pt idx="3">
                  <c:v>1.7072052507960149</c:v>
                </c:pt>
                <c:pt idx="4">
                  <c:v>1.863422440583488</c:v>
                </c:pt>
                <c:pt idx="5">
                  <c:v>2.1399672899981055</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21.720342874876476</c:v>
                </c:pt>
                <c:pt idx="1">
                  <c:v>6.6117581240849264</c:v>
                </c:pt>
                <c:pt idx="2">
                  <c:v>33.674998676262291</c:v>
                </c:pt>
                <c:pt idx="3">
                  <c:v>8.3651467710268186</c:v>
                </c:pt>
                <c:pt idx="4">
                  <c:v>5.6994933231086433</c:v>
                </c:pt>
                <c:pt idx="5">
                  <c:v>3.7511864400846378</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14.872611487087712</c:v>
                </c:pt>
                <c:pt idx="1">
                  <c:v>16.524974034197442</c:v>
                </c:pt>
                <c:pt idx="2">
                  <c:v>17.916033198369714</c:v>
                </c:pt>
                <c:pt idx="3">
                  <c:v>15.156967486220665</c:v>
                </c:pt>
                <c:pt idx="4">
                  <c:v>13.298851709177708</c:v>
                </c:pt>
                <c:pt idx="5">
                  <c:v>14.040295515753376</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7.2526410616260888</c:v>
                </c:pt>
                <c:pt idx="1">
                  <c:v>6.9927350345226573</c:v>
                </c:pt>
                <c:pt idx="2">
                  <c:v>7.9719061940700531</c:v>
                </c:pt>
                <c:pt idx="3">
                  <c:v>6.5552465578794337</c:v>
                </c:pt>
                <c:pt idx="4">
                  <c:v>7.1774869016272627</c:v>
                </c:pt>
                <c:pt idx="5">
                  <c:v>7.9334837519634718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2.1333258777030886</c:v>
                </c:pt>
                <c:pt idx="1">
                  <c:v>2.0106394856660836</c:v>
                </c:pt>
                <c:pt idx="2">
                  <c:v>3.1521268136349385</c:v>
                </c:pt>
                <c:pt idx="3">
                  <c:v>2.6707803155030505</c:v>
                </c:pt>
                <c:pt idx="4">
                  <c:v>2.476622132980689</c:v>
                </c:pt>
                <c:pt idx="5">
                  <c:v>2.1702000287545542</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6.0125050509734619</c:v>
                </c:pt>
                <c:pt idx="1">
                  <c:v>3.8904212844751025</c:v>
                </c:pt>
                <c:pt idx="2">
                  <c:v>4.7457514308338178</c:v>
                </c:pt>
                <c:pt idx="3">
                  <c:v>5.5334173339766357</c:v>
                </c:pt>
                <c:pt idx="4">
                  <c:v>5.1125630047240689</c:v>
                </c:pt>
                <c:pt idx="5">
                  <c:v>5.2084074122738686</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0.12813772898693421</c:v>
                </c:pt>
                <c:pt idx="1">
                  <c:v>0.10361691240084005</c:v>
                </c:pt>
                <c:pt idx="2">
                  <c:v>0.12266778067609398</c:v>
                </c:pt>
                <c:pt idx="3">
                  <c:v>8.8548531630217892E-2</c:v>
                </c:pt>
                <c:pt idx="4">
                  <c:v>0.14525826823240487</c:v>
                </c:pt>
                <c:pt idx="5">
                  <c:v>0.13538880231909936</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0.17932867459930288</c:v>
                </c:pt>
                <c:pt idx="1">
                  <c:v>0.18808009249667509</c:v>
                </c:pt>
                <c:pt idx="2">
                  <c:v>0.14108726412387423</c:v>
                </c:pt>
                <c:pt idx="3">
                  <c:v>9.6828388757616637E-2</c:v>
                </c:pt>
                <c:pt idx="4">
                  <c:v>0.15662355426208832</c:v>
                </c:pt>
                <c:pt idx="5">
                  <c:v>0.15426744241987075</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304306233.41999978</c:v>
                </c:pt>
                <c:pt idx="1">
                  <c:v>370011591.78999984</c:v>
                </c:pt>
                <c:pt idx="2">
                  <c:v>298144112.63</c:v>
                </c:pt>
                <c:pt idx="3">
                  <c:v>99276084.000000089</c:v>
                </c:pt>
                <c:pt idx="4">
                  <c:v>111056231.57999991</c:v>
                </c:pt>
                <c:pt idx="5">
                  <c:v>104099983.04999998</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4070353891.1500001</c:v>
                </c:pt>
                <c:pt idx="1">
                  <c:v>3857670584.8800001</c:v>
                </c:pt>
                <c:pt idx="2">
                  <c:v>2599306347.4500003</c:v>
                </c:pt>
                <c:pt idx="3">
                  <c:v>1391842083.3</c:v>
                </c:pt>
                <c:pt idx="4">
                  <c:v>1344292240.3600001</c:v>
                </c:pt>
                <c:pt idx="5">
                  <c:v>1244457985.5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2456391218.1599998</c:v>
                </c:pt>
                <c:pt idx="1">
                  <c:v>1847391081.8399999</c:v>
                </c:pt>
                <c:pt idx="2">
                  <c:v>1631042560</c:v>
                </c:pt>
                <c:pt idx="3">
                  <c:v>1068796191.5700001</c:v>
                </c:pt>
                <c:pt idx="4">
                  <c:v>965382340.42999995</c:v>
                </c:pt>
                <c:pt idx="5">
                  <c:v>789577816.87</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440501381.44999981</c:v>
                </c:pt>
                <c:pt idx="1">
                  <c:v>347457485.54999983</c:v>
                </c:pt>
                <c:pt idx="2">
                  <c:v>230119332.45999998</c:v>
                </c:pt>
                <c:pt idx="3">
                  <c:v>103489813.14000008</c:v>
                </c:pt>
                <c:pt idx="4">
                  <c:v>151201613.37999991</c:v>
                </c:pt>
                <c:pt idx="5">
                  <c:v>121806150.39999999</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-734614.85</c:v>
                </c:pt>
                <c:pt idx="1">
                  <c:v>-2525890.17</c:v>
                </c:pt>
                <c:pt idx="2">
                  <c:v>10697542</c:v>
                </c:pt>
                <c:pt idx="3">
                  <c:v>2084177.5</c:v>
                </c:pt>
                <c:pt idx="4">
                  <c:v>1109427.94</c:v>
                </c:pt>
                <c:pt idx="5">
                  <c:v>1641093.94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19416080.27</c:v>
                </c:pt>
                <c:pt idx="1">
                  <c:v>22731749.920000002</c:v>
                </c:pt>
                <c:pt idx="2">
                  <c:v>27152779.940000001</c:v>
                </c:pt>
                <c:pt idx="3">
                  <c:v>10874322.380000001</c:v>
                </c:pt>
                <c:pt idx="4">
                  <c:v>9757413.4000000004</c:v>
                </c:pt>
                <c:pt idx="5">
                  <c:v>9569252.8100000005</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0.86624269161510814</c:v>
                </c:pt>
                <c:pt idx="1">
                  <c:v>0.8756362319623614</c:v>
                </c:pt>
                <c:pt idx="2">
                  <c:v>0.8777347857906872</c:v>
                </c:pt>
                <c:pt idx="3">
                  <c:v>0.83817860704802449</c:v>
                </c:pt>
                <c:pt idx="4">
                  <c:v>0.87093011439750834</c:v>
                </c:pt>
                <c:pt idx="5">
                  <c:v>0.82255706563712216</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0.7408081509541633</c:v>
                </c:pt>
                <c:pt idx="1">
                  <c:v>0.92807540420198975</c:v>
                </c:pt>
                <c:pt idx="2">
                  <c:v>0.7598980696624581</c:v>
                </c:pt>
                <c:pt idx="3">
                  <c:v>0.76573968058140263</c:v>
                </c:pt>
                <c:pt idx="4">
                  <c:v>0.81358753820313701</c:v>
                </c:pt>
                <c:pt idx="5">
                  <c:v>0.87302295741998071</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1.6569936179624458</c:v>
                </c:pt>
                <c:pt idx="1">
                  <c:v>0.49818010232225973</c:v>
                </c:pt>
                <c:pt idx="2">
                  <c:v>1.8064491334317963</c:v>
                </c:pt>
                <c:pt idx="3">
                  <c:v>1.592350905317004</c:v>
                </c:pt>
                <c:pt idx="4">
                  <c:v>1.5648199823344482</c:v>
                </c:pt>
                <c:pt idx="5">
                  <c:v>0.63732234658019826</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2.0120534773434562</c:v>
                </c:pt>
                <c:pt idx="1">
                  <c:v>0.4125667048199913</c:v>
                </c:pt>
                <c:pt idx="2">
                  <c:v>1.2296052001031927</c:v>
                </c:pt>
                <c:pt idx="3">
                  <c:v>1.4442115215785494</c:v>
                </c:pt>
                <c:pt idx="4">
                  <c:v>1.784170977269893</c:v>
                </c:pt>
                <c:pt idx="5">
                  <c:v>0.63799034211274075</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-16.451249206948066</c:v>
                </c:pt>
                <c:pt idx="1">
                  <c:v>-1.1129898391749247</c:v>
                </c:pt>
                <c:pt idx="2">
                  <c:v>4.0924690531117403</c:v>
                </c:pt>
                <c:pt idx="3">
                  <c:v>-0.64059223484415395</c:v>
                </c:pt>
                <c:pt idx="4">
                  <c:v>22.623135078176439</c:v>
                </c:pt>
                <c:pt idx="5">
                  <c:v>-0.96037683701145204</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612280415.13</c:v>
                </c:pt>
                <c:pt idx="1">
                  <c:v>152654463.16999999</c:v>
                </c:pt>
                <c:pt idx="2">
                  <c:v>366599551.26999998</c:v>
                </c:pt>
                <c:pt idx="3">
                  <c:v>143375664.33000001</c:v>
                </c:pt>
                <c:pt idx="4">
                  <c:v>198143305.22999999</c:v>
                </c:pt>
                <c:pt idx="5">
                  <c:v>66414783.799999997</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369512838.48811829</c:v>
                </c:pt>
                <c:pt idx="1">
                  <c:v>306424247.89429224</c:v>
                </c:pt>
                <c:pt idx="2">
                  <c:v>202939315.85748756</c:v>
                </c:pt>
                <c:pt idx="3">
                  <c:v>90040244.176868096</c:v>
                </c:pt>
                <c:pt idx="4">
                  <c:v>126623705.90028095</c:v>
                </c:pt>
                <c:pt idx="5">
                  <c:v>104209093.17925918</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304306233.41999978</c:v>
                </c:pt>
                <c:pt idx="1">
                  <c:v>370011591.78999984</c:v>
                </c:pt>
                <c:pt idx="2">
                  <c:v>298144112.63</c:v>
                </c:pt>
                <c:pt idx="3">
                  <c:v>99276084.000000089</c:v>
                </c:pt>
                <c:pt idx="4">
                  <c:v>111056231.57999991</c:v>
                </c:pt>
                <c:pt idx="5">
                  <c:v>104099983.04999998</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320039</xdr:colOff>
      <xdr:row>0</xdr:row>
      <xdr:rowOff>0</xdr:rowOff>
    </xdr:from>
    <xdr:to>
      <xdr:col>31</xdr:col>
      <xdr:colOff>647700</xdr:colOff>
      <xdr:row>9</xdr:row>
      <xdr:rowOff>61914</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306704</xdr:colOff>
      <xdr:row>9</xdr:row>
      <xdr:rowOff>126683</xdr:rowOff>
    </xdr:from>
    <xdr:to>
      <xdr:col>31</xdr:col>
      <xdr:colOff>556260</xdr:colOff>
      <xdr:row>16</xdr:row>
      <xdr:rowOff>17145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447675</xdr:colOff>
      <xdr:row>18</xdr:row>
      <xdr:rowOff>61912</xdr:rowOff>
    </xdr:from>
    <xdr:to>
      <xdr:col>35</xdr:col>
      <xdr:colOff>1076324</xdr:colOff>
      <xdr:row>28</xdr:row>
      <xdr:rowOff>744855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583712</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1231306</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I85"/>
  <sheetViews>
    <sheetView workbookViewId="0">
      <selection activeCell="Y25" sqref="Y25"/>
    </sheetView>
  </sheetViews>
  <sheetFormatPr defaultRowHeight="14.4" x14ac:dyDescent="0.25"/>
  <cols>
    <col min="1" max="1" width="35.88671875" style="190" bestFit="1" customWidth="1"/>
    <col min="2" max="3" width="12.77734375" style="190" hidden="1" customWidth="1"/>
    <col min="4" max="4" width="13.88671875" style="190" hidden="1" customWidth="1"/>
    <col min="5" max="5" width="13.886718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1" width="12.77734375" style="190" hidden="1" customWidth="1"/>
    <col min="32" max="34" width="12.77734375" style="190" bestFit="1" customWidth="1"/>
    <col min="35" max="35" width="9.5546875" style="190" hidden="1" customWidth="1"/>
    <col min="36" max="16384" width="8.88671875" style="190"/>
  </cols>
  <sheetData>
    <row r="1" spans="1:35" x14ac:dyDescent="0.25">
      <c r="A1" s="190">
        <v>2643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20101231</v>
      </c>
      <c r="AG1" s="190">
        <v>20091231</v>
      </c>
      <c r="AH1" s="190">
        <v>20081231</v>
      </c>
      <c r="AI1" s="190">
        <v>19700101</v>
      </c>
    </row>
    <row r="2" spans="1:35"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row>
    <row r="3" spans="1:35" x14ac:dyDescent="0.25">
      <c r="A3" s="190" t="s">
        <v>107</v>
      </c>
    </row>
    <row r="4" spans="1:35" x14ac:dyDescent="0.25">
      <c r="A4" s="190" t="s">
        <v>108</v>
      </c>
      <c r="B4" s="190">
        <v>911620713.48000002</v>
      </c>
      <c r="C4" s="190">
        <v>762603460.59000003</v>
      </c>
      <c r="D4" s="190">
        <v>959610927.75</v>
      </c>
      <c r="E4" s="190">
        <v>627279567.75999999</v>
      </c>
      <c r="F4" s="190">
        <v>646898398.60000002</v>
      </c>
      <c r="G4" s="190">
        <v>640706738.29999995</v>
      </c>
      <c r="H4" s="190">
        <v>748407749.91999996</v>
      </c>
      <c r="I4" s="190">
        <v>497200922.38</v>
      </c>
      <c r="J4" s="190">
        <v>1041896896.37</v>
      </c>
      <c r="K4" s="190">
        <v>388776166.88</v>
      </c>
      <c r="L4" s="190">
        <v>675753014.13</v>
      </c>
      <c r="M4" s="190">
        <v>696067859.69000006</v>
      </c>
      <c r="N4" s="190">
        <v>690771780.01999998</v>
      </c>
      <c r="O4" s="190">
        <v>641442723.11000001</v>
      </c>
      <c r="P4" s="190">
        <v>1255365928.1900001</v>
      </c>
      <c r="Q4" s="190">
        <v>234501204.41999999</v>
      </c>
      <c r="R4" s="190">
        <v>276684977.61000001</v>
      </c>
      <c r="S4" s="190">
        <v>248656253.59</v>
      </c>
      <c r="T4" s="190">
        <v>310229232.98000002</v>
      </c>
      <c r="U4" s="190">
        <v>321851231.97000003</v>
      </c>
      <c r="V4" s="190">
        <v>306954505.58999997</v>
      </c>
      <c r="W4" s="190">
        <v>295593122.75999999</v>
      </c>
      <c r="X4" s="190">
        <v>419339678.55000001</v>
      </c>
      <c r="Y4" s="190">
        <v>429298270.75</v>
      </c>
      <c r="Z4" s="190">
        <v>413831417.81</v>
      </c>
      <c r="AA4" s="190">
        <v>460824111.80000001</v>
      </c>
      <c r="AB4" s="190">
        <v>596710534.11000001</v>
      </c>
      <c r="AC4" s="190">
        <v>847566521.58000004</v>
      </c>
      <c r="AD4" s="190">
        <v>29624772.98</v>
      </c>
      <c r="AE4" s="190">
        <v>44141747.770000003</v>
      </c>
      <c r="AF4" s="190">
        <v>49695104.770000003</v>
      </c>
      <c r="AG4" s="190">
        <v>99638795.879999995</v>
      </c>
      <c r="AH4" s="190">
        <v>45384825.549999997</v>
      </c>
      <c r="AI4" s="190">
        <v>0</v>
      </c>
    </row>
    <row r="5" spans="1:35"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row>
    <row r="6" spans="1:35"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row>
    <row r="7" spans="1:35" x14ac:dyDescent="0.25">
      <c r="A7" s="190" t="s">
        <v>111</v>
      </c>
      <c r="B7" s="190">
        <v>200000</v>
      </c>
      <c r="C7" s="190">
        <v>245995.03</v>
      </c>
      <c r="D7" s="190">
        <v>215924</v>
      </c>
      <c r="E7" s="190">
        <v>150000</v>
      </c>
      <c r="F7" s="190">
        <v>150000</v>
      </c>
      <c r="G7" s="190">
        <v>200000</v>
      </c>
      <c r="H7" s="190">
        <v>50000</v>
      </c>
      <c r="I7" s="190">
        <v>0</v>
      </c>
      <c r="J7" s="190">
        <v>0</v>
      </c>
      <c r="K7" s="190">
        <v>0</v>
      </c>
      <c r="L7" s="190">
        <v>300000</v>
      </c>
      <c r="M7" s="190">
        <v>0</v>
      </c>
      <c r="N7" s="190">
        <v>0</v>
      </c>
      <c r="O7" s="190">
        <v>250000</v>
      </c>
      <c r="P7" s="190">
        <v>0</v>
      </c>
      <c r="Q7" s="190">
        <v>0</v>
      </c>
      <c r="R7" s="190">
        <v>0</v>
      </c>
      <c r="S7" s="190">
        <v>0</v>
      </c>
      <c r="T7" s="190">
        <v>0</v>
      </c>
      <c r="U7" s="190">
        <v>0</v>
      </c>
      <c r="V7" s="190">
        <v>0</v>
      </c>
      <c r="W7" s="190">
        <v>0</v>
      </c>
      <c r="X7" s="190">
        <v>0</v>
      </c>
      <c r="Y7" s="190">
        <v>0</v>
      </c>
      <c r="Z7" s="190">
        <v>0</v>
      </c>
      <c r="AA7" s="190">
        <v>2021795.9</v>
      </c>
      <c r="AB7" s="190">
        <v>2890344.5</v>
      </c>
      <c r="AC7" s="190">
        <v>0</v>
      </c>
      <c r="AD7" s="190">
        <v>0</v>
      </c>
      <c r="AE7" s="190">
        <v>0</v>
      </c>
      <c r="AF7" s="190">
        <v>700000</v>
      </c>
      <c r="AG7" s="190">
        <v>0</v>
      </c>
      <c r="AH7" s="190">
        <v>0</v>
      </c>
      <c r="AI7" s="190">
        <v>0</v>
      </c>
    </row>
    <row r="8" spans="1:35" x14ac:dyDescent="0.25">
      <c r="A8" s="190" t="s">
        <v>112</v>
      </c>
      <c r="B8" s="190">
        <v>457190186.55000001</v>
      </c>
      <c r="C8" s="190">
        <v>474913355.95999998</v>
      </c>
      <c r="D8" s="190">
        <v>410902234.14999998</v>
      </c>
      <c r="E8" s="190">
        <v>373451431.31</v>
      </c>
      <c r="F8" s="190">
        <v>347931994.82999998</v>
      </c>
      <c r="G8" s="190">
        <v>405676474.32999998</v>
      </c>
      <c r="H8" s="190">
        <v>313810139.07999998</v>
      </c>
      <c r="I8" s="190">
        <v>307783204.54000002</v>
      </c>
      <c r="J8" s="190">
        <v>260242607.81</v>
      </c>
      <c r="K8" s="190">
        <v>296398356.31999999</v>
      </c>
      <c r="L8" s="190">
        <v>269991616.93000001</v>
      </c>
      <c r="M8" s="190">
        <v>222867349.44</v>
      </c>
      <c r="N8" s="190">
        <v>88412590.75</v>
      </c>
      <c r="O8" s="190">
        <v>103816020.16</v>
      </c>
      <c r="P8" s="190">
        <v>64141687.369999997</v>
      </c>
      <c r="Q8" s="190">
        <v>187564063.86000001</v>
      </c>
      <c r="R8" s="190">
        <v>134053584.65000001</v>
      </c>
      <c r="S8" s="190">
        <v>150050878.96000001</v>
      </c>
      <c r="T8" s="190">
        <v>128964561.05</v>
      </c>
      <c r="U8" s="190">
        <v>139562369.38</v>
      </c>
      <c r="V8" s="190">
        <v>139746153.44</v>
      </c>
      <c r="W8" s="190">
        <v>142377419.00999999</v>
      </c>
      <c r="X8" s="190">
        <v>137417365.5</v>
      </c>
      <c r="Y8" s="190">
        <v>129806174.02</v>
      </c>
      <c r="Z8" s="190">
        <v>93912473.459999993</v>
      </c>
      <c r="AA8" s="190">
        <v>130530903.56</v>
      </c>
      <c r="AB8" s="190">
        <v>108929604.27</v>
      </c>
      <c r="AC8" s="190">
        <v>69329634.230000004</v>
      </c>
      <c r="AD8" s="190">
        <v>26735843.48</v>
      </c>
      <c r="AE8" s="190">
        <v>73948032.310000002</v>
      </c>
      <c r="AF8" s="190">
        <v>56862294.119999997</v>
      </c>
      <c r="AG8" s="190">
        <v>63810060.219999999</v>
      </c>
      <c r="AH8" s="190">
        <v>28635847.510000002</v>
      </c>
      <c r="AI8" s="190">
        <v>0</v>
      </c>
    </row>
    <row r="9" spans="1:35" x14ac:dyDescent="0.25">
      <c r="A9" s="190" t="s">
        <v>113</v>
      </c>
      <c r="B9" s="190">
        <v>27989384.73</v>
      </c>
      <c r="C9" s="190">
        <v>28174278.510000002</v>
      </c>
      <c r="D9" s="190">
        <v>35750698.869999997</v>
      </c>
      <c r="E9" s="190">
        <v>16430807.369999999</v>
      </c>
      <c r="F9" s="190">
        <v>26347563.100000001</v>
      </c>
      <c r="G9" s="190">
        <v>17028922.52</v>
      </c>
      <c r="H9" s="190">
        <v>20455038.829999998</v>
      </c>
      <c r="I9" s="190">
        <v>9276964.5700000003</v>
      </c>
      <c r="J9" s="190">
        <v>13217972</v>
      </c>
      <c r="K9" s="190">
        <v>15560880.02</v>
      </c>
      <c r="L9" s="190">
        <v>14278129.439999999</v>
      </c>
      <c r="M9" s="190">
        <v>7496965.7300000004</v>
      </c>
      <c r="N9" s="190">
        <v>16994138.399999999</v>
      </c>
      <c r="O9" s="190">
        <v>11305014.26</v>
      </c>
      <c r="P9" s="190">
        <v>8490318.7899999991</v>
      </c>
      <c r="Q9" s="190">
        <v>8104557.8399999999</v>
      </c>
      <c r="R9" s="190">
        <v>30787904.620000001</v>
      </c>
      <c r="S9" s="190">
        <v>17307519.850000001</v>
      </c>
      <c r="T9" s="190">
        <v>20586311.920000002</v>
      </c>
      <c r="U9" s="190">
        <v>11808182.1</v>
      </c>
      <c r="V9" s="190">
        <v>15424653.300000001</v>
      </c>
      <c r="W9" s="190">
        <v>19715557.359999999</v>
      </c>
      <c r="X9" s="190">
        <v>21883154.760000002</v>
      </c>
      <c r="Y9" s="190">
        <v>19571910.260000002</v>
      </c>
      <c r="Z9" s="190">
        <v>22571122.300000001</v>
      </c>
      <c r="AA9" s="190">
        <v>39704930.030000001</v>
      </c>
      <c r="AB9" s="190">
        <v>21889293.039999999</v>
      </c>
      <c r="AC9" s="190">
        <v>14169699.310000001</v>
      </c>
      <c r="AD9" s="190">
        <v>17268750.989999998</v>
      </c>
      <c r="AE9" s="190">
        <v>16816626.960000001</v>
      </c>
      <c r="AF9" s="190">
        <v>8472559.4700000007</v>
      </c>
      <c r="AG9" s="190">
        <v>6859299.8099999996</v>
      </c>
      <c r="AH9" s="190">
        <v>3387968.79</v>
      </c>
      <c r="AI9" s="190">
        <v>0</v>
      </c>
    </row>
    <row r="10" spans="1:35" x14ac:dyDescent="0.25">
      <c r="A10" s="190" t="s">
        <v>114</v>
      </c>
      <c r="B10" s="190">
        <v>0</v>
      </c>
      <c r="C10" s="190">
        <v>0</v>
      </c>
      <c r="D10" s="190">
        <v>0</v>
      </c>
      <c r="E10" s="190">
        <v>0</v>
      </c>
      <c r="F10" s="190">
        <v>10830.97</v>
      </c>
      <c r="G10" s="190">
        <v>0</v>
      </c>
      <c r="H10" s="190">
        <v>0</v>
      </c>
      <c r="I10" s="190">
        <v>193750</v>
      </c>
      <c r="J10" s="190">
        <v>0</v>
      </c>
      <c r="K10" s="190">
        <v>0</v>
      </c>
      <c r="L10" s="190">
        <v>8306.99</v>
      </c>
      <c r="M10" s="190">
        <v>129925.53</v>
      </c>
      <c r="N10" s="190">
        <v>18955.82</v>
      </c>
      <c r="O10" s="190">
        <v>82599.98</v>
      </c>
      <c r="P10" s="190">
        <v>0</v>
      </c>
      <c r="Q10" s="190">
        <v>131048.02</v>
      </c>
      <c r="R10" s="190">
        <v>0</v>
      </c>
      <c r="S10" s="190">
        <v>522726.33</v>
      </c>
      <c r="T10" s="190">
        <v>0</v>
      </c>
      <c r="U10" s="190">
        <v>609629.63</v>
      </c>
      <c r="V10" s="190">
        <v>0</v>
      </c>
      <c r="W10" s="190">
        <v>716588.88</v>
      </c>
      <c r="X10" s="190">
        <v>0</v>
      </c>
      <c r="Y10" s="190">
        <v>4121250.02</v>
      </c>
      <c r="Z10" s="190">
        <v>0</v>
      </c>
      <c r="AA10" s="190">
        <v>0</v>
      </c>
      <c r="AB10" s="190">
        <v>0</v>
      </c>
      <c r="AC10" s="190">
        <v>0</v>
      </c>
      <c r="AD10" s="190">
        <v>0</v>
      </c>
      <c r="AE10" s="190">
        <v>0</v>
      </c>
      <c r="AF10" s="190">
        <v>0</v>
      </c>
      <c r="AG10" s="190">
        <v>0</v>
      </c>
      <c r="AH10" s="190">
        <v>0</v>
      </c>
      <c r="AI10" s="190">
        <v>0</v>
      </c>
    </row>
    <row r="11" spans="1:35"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row>
    <row r="12" spans="1:35" x14ac:dyDescent="0.25">
      <c r="A12" s="190" t="s">
        <v>116</v>
      </c>
      <c r="B12" s="190">
        <v>19937282.710000001</v>
      </c>
      <c r="C12" s="190">
        <v>37125081.630000003</v>
      </c>
      <c r="D12" s="190">
        <v>35043837.350000001</v>
      </c>
      <c r="E12" s="190">
        <v>20183993.539999999</v>
      </c>
      <c r="F12" s="190">
        <v>19551545.969999999</v>
      </c>
      <c r="G12" s="190">
        <v>19769029.32</v>
      </c>
      <c r="H12" s="190">
        <v>20214448.02</v>
      </c>
      <c r="I12" s="190">
        <v>22495177.010000002</v>
      </c>
      <c r="J12" s="190">
        <v>12955267.68</v>
      </c>
      <c r="K12" s="190">
        <v>10682420.949999999</v>
      </c>
      <c r="L12" s="190">
        <v>37340759.840000004</v>
      </c>
      <c r="M12" s="190">
        <v>5812950.0099999998</v>
      </c>
      <c r="N12" s="190">
        <v>8009865.1900000004</v>
      </c>
      <c r="O12" s="190">
        <v>6727090.9699999997</v>
      </c>
      <c r="P12" s="190">
        <v>7434514.1600000001</v>
      </c>
      <c r="Q12" s="190">
        <v>5572281.7999999998</v>
      </c>
      <c r="R12" s="190">
        <v>13651129.630000001</v>
      </c>
      <c r="S12" s="190">
        <v>6774735.7800000003</v>
      </c>
      <c r="T12" s="190">
        <v>6429637.2400000002</v>
      </c>
      <c r="U12" s="190">
        <v>6586460.2800000003</v>
      </c>
      <c r="V12" s="190">
        <v>6255076.7300000004</v>
      </c>
      <c r="W12" s="190">
        <v>6106708.0099999998</v>
      </c>
      <c r="X12" s="190">
        <v>6493551.2699999996</v>
      </c>
      <c r="Y12" s="190">
        <v>3459452.6</v>
      </c>
      <c r="Z12" s="190">
        <v>7525596.2000000002</v>
      </c>
      <c r="AA12" s="190">
        <v>4907998.07</v>
      </c>
      <c r="AB12" s="190">
        <v>6183559.4299999997</v>
      </c>
      <c r="AC12" s="190">
        <v>6151751.8700000001</v>
      </c>
      <c r="AD12" s="190">
        <v>6434584.7300000004</v>
      </c>
      <c r="AE12" s="190">
        <v>7853661.7699999996</v>
      </c>
      <c r="AF12" s="190">
        <v>3474200.07</v>
      </c>
      <c r="AG12" s="190">
        <v>1846889.36</v>
      </c>
      <c r="AH12" s="190">
        <v>1502403.77</v>
      </c>
      <c r="AI12" s="190">
        <v>0</v>
      </c>
    </row>
    <row r="13" spans="1:35"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row>
    <row r="14" spans="1:35" x14ac:dyDescent="0.25">
      <c r="A14" s="190" t="s">
        <v>118</v>
      </c>
      <c r="B14" s="190">
        <v>800982418.14999998</v>
      </c>
      <c r="C14" s="190">
        <v>692097814.60000002</v>
      </c>
      <c r="D14" s="190">
        <v>664238165.96000004</v>
      </c>
      <c r="E14" s="190">
        <v>693441799.19000006</v>
      </c>
      <c r="F14" s="190">
        <v>664605855.32000005</v>
      </c>
      <c r="G14" s="190">
        <v>638743101.07000005</v>
      </c>
      <c r="H14" s="190">
        <v>644547802.22000003</v>
      </c>
      <c r="I14" s="190">
        <v>697079591.05999994</v>
      </c>
      <c r="J14" s="190">
        <v>681821488.59000003</v>
      </c>
      <c r="K14" s="190">
        <v>592297432.84000003</v>
      </c>
      <c r="L14" s="190">
        <v>521266645.61000001</v>
      </c>
      <c r="M14" s="190">
        <v>390328020.83999997</v>
      </c>
      <c r="N14" s="190">
        <v>441613151.01999998</v>
      </c>
      <c r="O14" s="190">
        <v>387700988.93000001</v>
      </c>
      <c r="P14" s="190">
        <v>342844806.60000002</v>
      </c>
      <c r="Q14" s="190">
        <v>289896370.81999999</v>
      </c>
      <c r="R14" s="190">
        <v>312193074.07999998</v>
      </c>
      <c r="S14" s="190">
        <v>288874923.70999998</v>
      </c>
      <c r="T14" s="190">
        <v>306601886.50999999</v>
      </c>
      <c r="U14" s="190">
        <v>285245447.89999998</v>
      </c>
      <c r="V14" s="190">
        <v>272899559.27999997</v>
      </c>
      <c r="W14" s="190">
        <v>272276630.54000002</v>
      </c>
      <c r="X14" s="190">
        <v>273104736.24000001</v>
      </c>
      <c r="Y14" s="190">
        <v>256470646.41</v>
      </c>
      <c r="Z14" s="190">
        <v>234456271.97</v>
      </c>
      <c r="AA14" s="190">
        <v>215824597.50999999</v>
      </c>
      <c r="AB14" s="190">
        <v>224156467.27000001</v>
      </c>
      <c r="AC14" s="190">
        <v>224490389.49000001</v>
      </c>
      <c r="AD14" s="190">
        <v>227799281.63</v>
      </c>
      <c r="AE14" s="190">
        <v>213187752.13</v>
      </c>
      <c r="AF14" s="190">
        <v>227794263.31</v>
      </c>
      <c r="AG14" s="190">
        <v>196151344.22</v>
      </c>
      <c r="AH14" s="190">
        <v>223636319.30000001</v>
      </c>
      <c r="AI14" s="190">
        <v>0</v>
      </c>
    </row>
    <row r="15" spans="1:35"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row>
    <row r="16" spans="1:35"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row>
    <row r="17" spans="1:35"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row>
    <row r="18" spans="1:35"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row>
    <row r="19" spans="1:35" x14ac:dyDescent="0.25">
      <c r="A19" s="190" t="s">
        <v>123</v>
      </c>
      <c r="B19" s="190">
        <v>184126598.31</v>
      </c>
      <c r="C19" s="190">
        <v>276214511.33999997</v>
      </c>
      <c r="D19" s="190">
        <v>6675989.5800000001</v>
      </c>
      <c r="E19" s="190">
        <v>362063244.63999999</v>
      </c>
      <c r="F19" s="190">
        <v>358072392.25</v>
      </c>
      <c r="G19" s="190">
        <v>287386955.77999997</v>
      </c>
      <c r="H19" s="190">
        <v>287183944.5</v>
      </c>
      <c r="I19" s="190">
        <v>402490320.44999999</v>
      </c>
      <c r="J19" s="190">
        <v>434195085.63999999</v>
      </c>
      <c r="K19" s="190">
        <v>506344099.74000001</v>
      </c>
      <c r="L19" s="190">
        <v>371923683.51999998</v>
      </c>
      <c r="M19" s="190">
        <v>510909151.82999998</v>
      </c>
      <c r="N19" s="190">
        <v>513344472.51999998</v>
      </c>
      <c r="O19" s="190">
        <v>513708534.76999998</v>
      </c>
      <c r="P19" s="190">
        <v>3529610.76</v>
      </c>
      <c r="Q19" s="190">
        <v>2498093.12</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row>
    <row r="20" spans="1:35" x14ac:dyDescent="0.25">
      <c r="A20" s="190" t="s">
        <v>124</v>
      </c>
      <c r="B20" s="190">
        <v>2402046583.9299998</v>
      </c>
      <c r="C20" s="190">
        <v>2271374497.6599998</v>
      </c>
      <c r="D20" s="190">
        <v>2112437777.6600001</v>
      </c>
      <c r="E20" s="190">
        <v>2093000843.8099999</v>
      </c>
      <c r="F20" s="190">
        <v>2063568581.04</v>
      </c>
      <c r="G20" s="190">
        <v>2009511221.3199999</v>
      </c>
      <c r="H20" s="190">
        <v>2034669122.5699999</v>
      </c>
      <c r="I20" s="190">
        <v>1936519930.01</v>
      </c>
      <c r="J20" s="190">
        <v>2444329318.0900002</v>
      </c>
      <c r="K20" s="190">
        <v>1810059356.75</v>
      </c>
      <c r="L20" s="190">
        <v>1890862156.46</v>
      </c>
      <c r="M20" s="190">
        <v>1833612223.0699999</v>
      </c>
      <c r="N20" s="190">
        <v>1759164953.72</v>
      </c>
      <c r="O20" s="190">
        <v>1665032972.1800001</v>
      </c>
      <c r="P20" s="190">
        <v>1681806865.8699999</v>
      </c>
      <c r="Q20" s="190">
        <v>728267619.88</v>
      </c>
      <c r="R20" s="190">
        <v>767370670.59000003</v>
      </c>
      <c r="S20" s="190">
        <v>712187038.22000003</v>
      </c>
      <c r="T20" s="190">
        <v>772811629.70000005</v>
      </c>
      <c r="U20" s="190">
        <v>765663321.25999999</v>
      </c>
      <c r="V20" s="190">
        <v>741279948.34000003</v>
      </c>
      <c r="W20" s="190">
        <v>736786026.55999994</v>
      </c>
      <c r="X20" s="190">
        <v>858238486.32000005</v>
      </c>
      <c r="Y20" s="190">
        <v>842727704.05999994</v>
      </c>
      <c r="Z20" s="190">
        <v>772296881.74000001</v>
      </c>
      <c r="AA20" s="190">
        <v>853814336.87</v>
      </c>
      <c r="AB20" s="190">
        <v>960759802.62</v>
      </c>
      <c r="AC20" s="190">
        <v>1161707996.48</v>
      </c>
      <c r="AD20" s="190">
        <v>307863233.81</v>
      </c>
      <c r="AE20" s="190">
        <v>355947820.94</v>
      </c>
      <c r="AF20" s="190">
        <v>346998421.74000001</v>
      </c>
      <c r="AG20" s="190">
        <v>368306389.49000001</v>
      </c>
      <c r="AH20" s="190">
        <v>302547364.92000002</v>
      </c>
      <c r="AI20" s="190">
        <v>0</v>
      </c>
    </row>
    <row r="21" spans="1:35" x14ac:dyDescent="0.25">
      <c r="A21" s="190" t="s">
        <v>125</v>
      </c>
    </row>
    <row r="22" spans="1:35"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row>
    <row r="23" spans="1:35" x14ac:dyDescent="0.25">
      <c r="A23" s="190" t="s">
        <v>127</v>
      </c>
      <c r="B23" s="190">
        <v>0</v>
      </c>
      <c r="C23" s="190">
        <v>0</v>
      </c>
      <c r="D23" s="190">
        <v>0</v>
      </c>
      <c r="E23" s="190">
        <v>0</v>
      </c>
      <c r="F23" s="190">
        <v>0</v>
      </c>
      <c r="G23" s="190">
        <v>0</v>
      </c>
      <c r="H23" s="190">
        <v>0</v>
      </c>
      <c r="I23" s="190">
        <v>0</v>
      </c>
      <c r="J23" s="190">
        <v>0</v>
      </c>
      <c r="K23" s="190">
        <v>0</v>
      </c>
      <c r="L23" s="190">
        <v>0</v>
      </c>
      <c r="M23" s="190">
        <v>0</v>
      </c>
      <c r="N23" s="190">
        <v>0</v>
      </c>
      <c r="O23" s="190">
        <v>0</v>
      </c>
      <c r="P23" s="190">
        <v>0</v>
      </c>
      <c r="Q23" s="190">
        <v>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row>
    <row r="24" spans="1:35"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row>
    <row r="25" spans="1:35"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row>
    <row r="26" spans="1:35" x14ac:dyDescent="0.25">
      <c r="A26" s="190" t="s">
        <v>130</v>
      </c>
      <c r="B26" s="190">
        <v>18798751.239999998</v>
      </c>
      <c r="C26" s="190">
        <v>18798751.239999998</v>
      </c>
      <c r="D26" s="190">
        <v>19416080.27</v>
      </c>
      <c r="E26" s="190">
        <v>19416080.27</v>
      </c>
      <c r="F26" s="190">
        <v>17743024.609999999</v>
      </c>
      <c r="G26" s="190">
        <v>17743024.609999999</v>
      </c>
      <c r="H26" s="190">
        <v>22731749.920000002</v>
      </c>
      <c r="I26" s="190">
        <v>22731749.920000002</v>
      </c>
      <c r="J26" s="190">
        <v>28084982.890000001</v>
      </c>
      <c r="K26" s="190">
        <v>28084982.890000001</v>
      </c>
      <c r="L26" s="190">
        <v>27152779.940000001</v>
      </c>
      <c r="M26" s="190">
        <v>27152779.940000001</v>
      </c>
      <c r="N26" s="190">
        <v>17383078.079999998</v>
      </c>
      <c r="O26" s="190">
        <v>10543582.140000001</v>
      </c>
      <c r="P26" s="190">
        <v>10874322.380000001</v>
      </c>
      <c r="Q26" s="190">
        <v>10874322.380000001</v>
      </c>
      <c r="R26" s="190">
        <v>9729124.8499999996</v>
      </c>
      <c r="S26" s="190">
        <v>9729124.8499999996</v>
      </c>
      <c r="T26" s="190">
        <v>9757413.4000000004</v>
      </c>
      <c r="U26" s="190">
        <v>9757413.4000000004</v>
      </c>
      <c r="V26" s="190">
        <v>9452578.0399999991</v>
      </c>
      <c r="W26" s="190">
        <v>9452578.0399999991</v>
      </c>
      <c r="X26" s="190">
        <v>9569252.8100000005</v>
      </c>
      <c r="Y26" s="190">
        <v>9569252.8100000005</v>
      </c>
      <c r="Z26" s="190">
        <v>7757046</v>
      </c>
      <c r="AA26" s="190">
        <v>7757046</v>
      </c>
      <c r="AB26" s="190">
        <v>8770793.0600000005</v>
      </c>
      <c r="AC26" s="190">
        <v>8770793.0600000005</v>
      </c>
      <c r="AD26" s="190">
        <v>8652923.2200000007</v>
      </c>
      <c r="AE26" s="190">
        <v>8652923.2200000007</v>
      </c>
      <c r="AF26" s="190">
        <v>8086976.54</v>
      </c>
      <c r="AG26" s="190">
        <v>7235745.2300000004</v>
      </c>
      <c r="AH26" s="190">
        <v>8140066.6500000004</v>
      </c>
      <c r="AI26" s="190">
        <v>0</v>
      </c>
    </row>
    <row r="27" spans="1:35" x14ac:dyDescent="0.25">
      <c r="A27" s="190" t="s">
        <v>131</v>
      </c>
      <c r="B27" s="190">
        <v>0</v>
      </c>
      <c r="C27" s="190">
        <v>0</v>
      </c>
      <c r="D27" s="190">
        <v>0</v>
      </c>
      <c r="E27" s="190">
        <v>0</v>
      </c>
      <c r="F27" s="190">
        <v>0</v>
      </c>
      <c r="G27" s="190">
        <v>0</v>
      </c>
      <c r="H27" s="190">
        <v>0</v>
      </c>
      <c r="I27" s="190">
        <v>0</v>
      </c>
      <c r="J27" s="190">
        <v>0</v>
      </c>
      <c r="K27" s="190">
        <v>0</v>
      </c>
      <c r="L27" s="190">
        <v>4837055.33</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2426856.9700000002</v>
      </c>
      <c r="AI27" s="190">
        <v>0</v>
      </c>
    </row>
    <row r="28" spans="1:35" x14ac:dyDescent="0.25">
      <c r="A28" s="190" t="s">
        <v>132</v>
      </c>
      <c r="B28" s="190">
        <v>1386880640.49</v>
      </c>
      <c r="C28" s="190">
        <v>1342375708.76</v>
      </c>
      <c r="D28" s="190">
        <v>1358276837.48</v>
      </c>
      <c r="E28" s="190">
        <v>1407808329.28</v>
      </c>
      <c r="F28" s="190">
        <v>1327994325.1099999</v>
      </c>
      <c r="G28" s="190">
        <v>1090765616.02</v>
      </c>
      <c r="H28" s="190">
        <v>1096346620.8399999</v>
      </c>
      <c r="I28" s="190">
        <v>1147109480.9400001</v>
      </c>
      <c r="J28" s="190">
        <v>1028537189.73</v>
      </c>
      <c r="K28" s="190">
        <v>1032903264.25</v>
      </c>
      <c r="L28" s="190">
        <v>999829416.71000004</v>
      </c>
      <c r="M28" s="190">
        <v>971427872.14999998</v>
      </c>
      <c r="N28" s="190">
        <v>765150815.38999999</v>
      </c>
      <c r="O28" s="190">
        <v>605585717.96000004</v>
      </c>
      <c r="P28" s="190">
        <v>611232503.77999997</v>
      </c>
      <c r="Q28" s="190">
        <v>626050201.67999995</v>
      </c>
      <c r="R28" s="190">
        <v>492930704.68000001</v>
      </c>
      <c r="S28" s="190">
        <v>495337929.56999999</v>
      </c>
      <c r="T28" s="190">
        <v>505294519.75999999</v>
      </c>
      <c r="U28" s="190">
        <v>518069504.48000002</v>
      </c>
      <c r="V28" s="190">
        <v>498491588.25</v>
      </c>
      <c r="W28" s="190">
        <v>462358764.74000001</v>
      </c>
      <c r="X28" s="190">
        <v>361594285.97000003</v>
      </c>
      <c r="Y28" s="190">
        <v>368967236.35000002</v>
      </c>
      <c r="Z28" s="190">
        <v>371912158.13999999</v>
      </c>
      <c r="AA28" s="190">
        <v>286541051.58999997</v>
      </c>
      <c r="AB28" s="190">
        <v>286771606.66000003</v>
      </c>
      <c r="AC28" s="190">
        <v>289698829.98000002</v>
      </c>
      <c r="AD28" s="190">
        <v>267423996.31999999</v>
      </c>
      <c r="AE28" s="190">
        <v>262304981.87</v>
      </c>
      <c r="AF28" s="190">
        <v>262306611.97999999</v>
      </c>
      <c r="AG28" s="190">
        <v>150708089.31999999</v>
      </c>
      <c r="AH28" s="190">
        <v>146235755.78999999</v>
      </c>
      <c r="AI28" s="190">
        <v>0</v>
      </c>
    </row>
    <row r="29" spans="1:35" x14ac:dyDescent="0.25">
      <c r="A29" s="190" t="s">
        <v>133</v>
      </c>
      <c r="B29" s="190">
        <v>162696744.75999999</v>
      </c>
      <c r="C29" s="190">
        <v>180966472.41</v>
      </c>
      <c r="D29" s="190">
        <v>134231764.31999999</v>
      </c>
      <c r="E29" s="190">
        <v>113091733.05</v>
      </c>
      <c r="F29" s="190">
        <v>169915391.47</v>
      </c>
      <c r="G29" s="190">
        <v>390738533.88</v>
      </c>
      <c r="H29" s="190">
        <v>333097545.00999999</v>
      </c>
      <c r="I29" s="190">
        <v>279409961.33999997</v>
      </c>
      <c r="J29" s="190">
        <v>204331825.59</v>
      </c>
      <c r="K29" s="190">
        <v>102336399.09999999</v>
      </c>
      <c r="L29" s="190">
        <v>73660922.420000002</v>
      </c>
      <c r="M29" s="190">
        <v>48434821.799999997</v>
      </c>
      <c r="N29" s="190">
        <v>178745125.09</v>
      </c>
      <c r="O29" s="190">
        <v>287680029.07999998</v>
      </c>
      <c r="P29" s="190">
        <v>188489303.34</v>
      </c>
      <c r="Q29" s="190">
        <v>127767775.13</v>
      </c>
      <c r="R29" s="190">
        <v>231456132.97999999</v>
      </c>
      <c r="S29" s="190">
        <v>220190018.83000001</v>
      </c>
      <c r="T29" s="190">
        <v>193467042.68000001</v>
      </c>
      <c r="U29" s="190">
        <v>169380379.22</v>
      </c>
      <c r="V29" s="190">
        <v>153432736.44999999</v>
      </c>
      <c r="W29" s="190">
        <v>161499658.41</v>
      </c>
      <c r="X29" s="190">
        <v>253325619.31</v>
      </c>
      <c r="Y29" s="190">
        <v>210487489.62</v>
      </c>
      <c r="Z29" s="190">
        <v>113785816.63</v>
      </c>
      <c r="AA29" s="190">
        <v>132100748.42</v>
      </c>
      <c r="AB29" s="190">
        <v>94106720.329999998</v>
      </c>
      <c r="AC29" s="190">
        <v>79082365.659999996</v>
      </c>
      <c r="AD29" s="190">
        <v>82365259.859999999</v>
      </c>
      <c r="AE29" s="190">
        <v>75953231.200000003</v>
      </c>
      <c r="AF29" s="190">
        <v>36679712.399999999</v>
      </c>
      <c r="AG29" s="190">
        <v>23729794.98</v>
      </c>
      <c r="AH29" s="190">
        <v>5634372.7300000004</v>
      </c>
      <c r="AI29" s="190">
        <v>0</v>
      </c>
    </row>
    <row r="30" spans="1:35"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row>
    <row r="31" spans="1:35"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row>
    <row r="32" spans="1:35"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row>
    <row r="33" spans="1:35"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row>
    <row r="34" spans="1:35"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row>
    <row r="35" spans="1:35" x14ac:dyDescent="0.25">
      <c r="A35" s="190" t="s">
        <v>139</v>
      </c>
      <c r="B35" s="190">
        <v>162503693.96000001</v>
      </c>
      <c r="C35" s="190">
        <v>162378448.84</v>
      </c>
      <c r="D35" s="190">
        <v>162991156.59</v>
      </c>
      <c r="E35" s="190">
        <v>165162064.53</v>
      </c>
      <c r="F35" s="190">
        <v>168385646.59</v>
      </c>
      <c r="G35" s="190">
        <v>171513331.06999999</v>
      </c>
      <c r="H35" s="190">
        <v>109591307.73999999</v>
      </c>
      <c r="I35" s="190">
        <v>111793887.12</v>
      </c>
      <c r="J35" s="190">
        <v>94067777.439999998</v>
      </c>
      <c r="K35" s="190">
        <v>95582655.099999994</v>
      </c>
      <c r="L35" s="190">
        <v>95745261.209999993</v>
      </c>
      <c r="M35" s="190">
        <v>91038152.359999999</v>
      </c>
      <c r="N35" s="190">
        <v>68400431.640000001</v>
      </c>
      <c r="O35" s="190">
        <v>69035022.489999995</v>
      </c>
      <c r="P35" s="190">
        <v>69762489.5</v>
      </c>
      <c r="Q35" s="190">
        <v>70515173.469999999</v>
      </c>
      <c r="R35" s="190">
        <v>71258656.549999997</v>
      </c>
      <c r="S35" s="190">
        <v>72043936.469999999</v>
      </c>
      <c r="T35" s="190">
        <v>71935028.560000002</v>
      </c>
      <c r="U35" s="190">
        <v>72591405.75</v>
      </c>
      <c r="V35" s="190">
        <v>73342903.370000005</v>
      </c>
      <c r="W35" s="190">
        <v>69982986.569999993</v>
      </c>
      <c r="X35" s="190">
        <v>55853402.700000003</v>
      </c>
      <c r="Y35" s="190">
        <v>56236552.57</v>
      </c>
      <c r="Z35" s="190">
        <v>56140966</v>
      </c>
      <c r="AA35" s="190">
        <v>30553867.210000001</v>
      </c>
      <c r="AB35" s="190">
        <v>30784611.100000001</v>
      </c>
      <c r="AC35" s="190">
        <v>30883998.02</v>
      </c>
      <c r="AD35" s="190">
        <v>31327306.539999999</v>
      </c>
      <c r="AE35" s="190">
        <v>31520155.059999999</v>
      </c>
      <c r="AF35" s="190">
        <v>31275028.030000001</v>
      </c>
      <c r="AG35" s="190">
        <v>17688197.780000001</v>
      </c>
      <c r="AH35" s="190">
        <v>17250697.210000001</v>
      </c>
      <c r="AI35" s="190">
        <v>0</v>
      </c>
    </row>
    <row r="36" spans="1:35" x14ac:dyDescent="0.25">
      <c r="A36" s="190" t="s">
        <v>140</v>
      </c>
      <c r="B36" s="190">
        <v>0</v>
      </c>
      <c r="C36" s="190">
        <v>0</v>
      </c>
      <c r="D36" s="190">
        <v>0</v>
      </c>
      <c r="E36" s="190">
        <v>0</v>
      </c>
      <c r="F36" s="190">
        <v>0</v>
      </c>
      <c r="G36" s="190">
        <v>0</v>
      </c>
      <c r="H36" s="190">
        <v>0</v>
      </c>
      <c r="I36" s="190">
        <v>0</v>
      </c>
      <c r="J36" s="190">
        <v>0</v>
      </c>
      <c r="K36" s="190">
        <v>0</v>
      </c>
      <c r="L36" s="190">
        <v>409921.75</v>
      </c>
      <c r="M36" s="190">
        <v>447143.41</v>
      </c>
      <c r="N36" s="190">
        <v>995781.95</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row>
    <row r="37" spans="1:35" x14ac:dyDescent="0.25">
      <c r="A37" s="190" t="s">
        <v>141</v>
      </c>
      <c r="B37" s="190">
        <v>730261957.53999996</v>
      </c>
      <c r="C37" s="190">
        <v>704026030.13999999</v>
      </c>
      <c r="D37" s="190">
        <v>669217863.13</v>
      </c>
      <c r="E37" s="190">
        <v>695294849.13</v>
      </c>
      <c r="F37" s="190">
        <v>705286965.25999999</v>
      </c>
      <c r="G37" s="190">
        <v>720746665.62</v>
      </c>
      <c r="H37" s="190">
        <v>732879192.63</v>
      </c>
      <c r="I37" s="190">
        <v>737975913.58000004</v>
      </c>
      <c r="J37" s="190">
        <v>802931740.98000002</v>
      </c>
      <c r="K37" s="190">
        <v>803665866.40999997</v>
      </c>
      <c r="L37" s="190">
        <v>726580468.24000001</v>
      </c>
      <c r="M37" s="190">
        <v>2924910.33</v>
      </c>
      <c r="N37" s="190">
        <v>2924910.33</v>
      </c>
      <c r="O37" s="190">
        <v>2924910.33</v>
      </c>
      <c r="P37" s="190">
        <v>2924910.33</v>
      </c>
      <c r="Q37" s="190">
        <v>2924910.33</v>
      </c>
      <c r="R37" s="190">
        <v>2924910.33</v>
      </c>
      <c r="S37" s="190">
        <v>2924910.33</v>
      </c>
      <c r="T37" s="190">
        <v>2924910.33</v>
      </c>
      <c r="U37" s="190">
        <v>2924910.33</v>
      </c>
      <c r="V37" s="190">
        <v>2924910.33</v>
      </c>
      <c r="W37" s="190">
        <v>2924910.33</v>
      </c>
      <c r="X37" s="190">
        <v>2924910.33</v>
      </c>
      <c r="Y37" s="190">
        <v>2924910.33</v>
      </c>
      <c r="Z37" s="190">
        <v>2924910.33</v>
      </c>
      <c r="AA37" s="190">
        <v>2924910.33</v>
      </c>
      <c r="AB37" s="190">
        <v>2924910.33</v>
      </c>
      <c r="AC37" s="190">
        <v>2924910.33</v>
      </c>
      <c r="AD37" s="190">
        <v>2924910.33</v>
      </c>
      <c r="AE37" s="190">
        <v>2924910.33</v>
      </c>
      <c r="AF37" s="190">
        <v>2924910.33</v>
      </c>
      <c r="AG37" s="190">
        <v>0</v>
      </c>
      <c r="AH37" s="190">
        <v>0</v>
      </c>
      <c r="AI37" s="190">
        <v>0</v>
      </c>
    </row>
    <row r="38" spans="1:35" x14ac:dyDescent="0.25">
      <c r="A38" s="190" t="s">
        <v>142</v>
      </c>
      <c r="B38" s="190">
        <v>8050031.1699999999</v>
      </c>
      <c r="C38" s="190">
        <v>8497675.0600000005</v>
      </c>
      <c r="D38" s="190">
        <v>8014804.5599999996</v>
      </c>
      <c r="E38" s="190">
        <v>8245160.0999999996</v>
      </c>
      <c r="F38" s="190">
        <v>8651767.6300000008</v>
      </c>
      <c r="G38" s="190">
        <v>9058375.1500000004</v>
      </c>
      <c r="H38" s="190">
        <v>9464982.6699999999</v>
      </c>
      <c r="I38" s="190">
        <v>8673391.9900000002</v>
      </c>
      <c r="J38" s="190">
        <v>8071096.2000000002</v>
      </c>
      <c r="K38" s="190">
        <v>8377229.4000000004</v>
      </c>
      <c r="L38" s="190">
        <v>8583029.2699999996</v>
      </c>
      <c r="M38" s="190">
        <v>9202457.9900000002</v>
      </c>
      <c r="N38" s="190">
        <v>6822996.5199999996</v>
      </c>
      <c r="O38" s="190">
        <v>7323084.8899999997</v>
      </c>
      <c r="P38" s="190">
        <v>7966314.2400000002</v>
      </c>
      <c r="Q38" s="190">
        <v>8653543.5899999999</v>
      </c>
      <c r="R38" s="190">
        <v>2902453.48</v>
      </c>
      <c r="S38" s="190">
        <v>516232.29</v>
      </c>
      <c r="T38" s="190">
        <v>503394.42</v>
      </c>
      <c r="U38" s="190">
        <v>556011.09</v>
      </c>
      <c r="V38" s="190">
        <v>390000</v>
      </c>
      <c r="W38" s="190">
        <v>420000</v>
      </c>
      <c r="X38" s="190">
        <v>450000</v>
      </c>
      <c r="Y38" s="190">
        <v>480000</v>
      </c>
      <c r="Z38" s="190">
        <v>510660</v>
      </c>
      <c r="AA38" s="190">
        <v>540000</v>
      </c>
      <c r="AB38" s="190">
        <v>0</v>
      </c>
      <c r="AC38" s="190">
        <v>0</v>
      </c>
      <c r="AD38" s="190">
        <v>0</v>
      </c>
      <c r="AE38" s="190">
        <v>0</v>
      </c>
      <c r="AF38" s="190">
        <v>5168.66</v>
      </c>
      <c r="AG38" s="190">
        <v>20675.419999999998</v>
      </c>
      <c r="AH38" s="190">
        <v>36182.18</v>
      </c>
      <c r="AI38" s="190">
        <v>0</v>
      </c>
    </row>
    <row r="39" spans="1:35" x14ac:dyDescent="0.25">
      <c r="A39" s="190" t="s">
        <v>143</v>
      </c>
      <c r="B39" s="190">
        <v>38307971.640000001</v>
      </c>
      <c r="C39" s="190">
        <v>38414270.829999998</v>
      </c>
      <c r="D39" s="190">
        <v>28257639.469999999</v>
      </c>
      <c r="E39" s="190">
        <v>28037801.629999999</v>
      </c>
      <c r="F39" s="190">
        <v>32173124.289999999</v>
      </c>
      <c r="G39" s="190">
        <v>31366998.219999999</v>
      </c>
      <c r="H39" s="190">
        <v>25533525.23</v>
      </c>
      <c r="I39" s="190">
        <v>24413957.199999999</v>
      </c>
      <c r="J39" s="190">
        <v>26745370.379999999</v>
      </c>
      <c r="K39" s="190">
        <v>27100437.719999999</v>
      </c>
      <c r="L39" s="190">
        <v>18620868.879999999</v>
      </c>
      <c r="M39" s="190">
        <v>17811897.559999999</v>
      </c>
      <c r="N39" s="190">
        <v>20198829.399999999</v>
      </c>
      <c r="O39" s="190">
        <v>20406023.93</v>
      </c>
      <c r="P39" s="190">
        <v>10097838.279999999</v>
      </c>
      <c r="Q39" s="190">
        <v>9061522.2599999998</v>
      </c>
      <c r="R39" s="190">
        <v>7484148.6900000004</v>
      </c>
      <c r="S39" s="190">
        <v>7284428.8499999996</v>
      </c>
      <c r="T39" s="190">
        <v>6859802.29</v>
      </c>
      <c r="U39" s="190">
        <v>6857699</v>
      </c>
      <c r="V39" s="190">
        <v>6396743.4100000001</v>
      </c>
      <c r="W39" s="190">
        <v>6334087.0999999996</v>
      </c>
      <c r="X39" s="190">
        <v>6458028.4000000004</v>
      </c>
      <c r="Y39" s="190">
        <v>6617114.5700000003</v>
      </c>
      <c r="Z39" s="190">
        <v>5636416.8300000001</v>
      </c>
      <c r="AA39" s="190">
        <v>5627683.4699999997</v>
      </c>
      <c r="AB39" s="190">
        <v>7381636.0599999996</v>
      </c>
      <c r="AC39" s="190">
        <v>7661810.2400000002</v>
      </c>
      <c r="AD39" s="190">
        <v>6784044.75</v>
      </c>
      <c r="AE39" s="190">
        <v>6514700.7599999998</v>
      </c>
      <c r="AF39" s="190">
        <v>3170786.84</v>
      </c>
      <c r="AG39" s="190">
        <v>3335824.8</v>
      </c>
      <c r="AH39" s="190">
        <v>1877635.82</v>
      </c>
      <c r="AI39" s="190">
        <v>0</v>
      </c>
    </row>
    <row r="40" spans="1:35" x14ac:dyDescent="0.25">
      <c r="A40" s="190" t="s">
        <v>144</v>
      </c>
      <c r="B40" s="190">
        <v>38552141.280000001</v>
      </c>
      <c r="C40" s="190">
        <v>34097842.149999999</v>
      </c>
      <c r="D40" s="190">
        <v>33887055.579999998</v>
      </c>
      <c r="E40" s="190">
        <v>21979229.539999999</v>
      </c>
      <c r="F40" s="190">
        <v>21731047.059999999</v>
      </c>
      <c r="G40" s="190">
        <v>22660234.050000001</v>
      </c>
      <c r="H40" s="190">
        <v>63046315.130000003</v>
      </c>
      <c r="I40" s="190">
        <v>31268924.77</v>
      </c>
      <c r="J40" s="190">
        <v>38720182.329999998</v>
      </c>
      <c r="K40" s="190">
        <v>18941406.050000001</v>
      </c>
      <c r="L40" s="190">
        <v>14697602.710000001</v>
      </c>
      <c r="M40" s="190">
        <v>16756097.619999999</v>
      </c>
      <c r="N40" s="190">
        <v>46334351.979999997</v>
      </c>
      <c r="O40" s="190">
        <v>37812519.68</v>
      </c>
      <c r="P40" s="190">
        <v>44119372.049999997</v>
      </c>
      <c r="Q40" s="190">
        <v>15603863.970000001</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row>
    <row r="41" spans="1:35" x14ac:dyDescent="0.25">
      <c r="A41" s="190" t="s">
        <v>145</v>
      </c>
      <c r="B41" s="190">
        <v>2546051932.0799999</v>
      </c>
      <c r="C41" s="190">
        <v>2489555199.4299998</v>
      </c>
      <c r="D41" s="190">
        <v>2414293201.4000001</v>
      </c>
      <c r="E41" s="190">
        <v>2459035247.5300002</v>
      </c>
      <c r="F41" s="190">
        <v>2451881292.02</v>
      </c>
      <c r="G41" s="190">
        <v>2454592778.6199999</v>
      </c>
      <c r="H41" s="190">
        <v>2392691239.1700001</v>
      </c>
      <c r="I41" s="190">
        <v>2363377266.8600001</v>
      </c>
      <c r="J41" s="190">
        <v>2231490165.54</v>
      </c>
      <c r="K41" s="190">
        <v>2116992240.9200001</v>
      </c>
      <c r="L41" s="190">
        <v>1970117326.46</v>
      </c>
      <c r="M41" s="190">
        <v>1185196133.1600001</v>
      </c>
      <c r="N41" s="190">
        <v>1106956320.3800001</v>
      </c>
      <c r="O41" s="190">
        <v>1041310890.5</v>
      </c>
      <c r="P41" s="190">
        <v>945467053.89999998</v>
      </c>
      <c r="Q41" s="190">
        <v>871451312.80999994</v>
      </c>
      <c r="R41" s="190">
        <v>818686131.55999994</v>
      </c>
      <c r="S41" s="190">
        <v>808026581.19000006</v>
      </c>
      <c r="T41" s="190">
        <v>790742111.44000006</v>
      </c>
      <c r="U41" s="190">
        <v>780137323.26999998</v>
      </c>
      <c r="V41" s="190">
        <v>744431459.85000002</v>
      </c>
      <c r="W41" s="190">
        <v>712972985.19000006</v>
      </c>
      <c r="X41" s="190">
        <v>690175499.51999998</v>
      </c>
      <c r="Y41" s="190">
        <v>655282556.25</v>
      </c>
      <c r="Z41" s="190">
        <v>558667973.92999995</v>
      </c>
      <c r="AA41" s="190">
        <v>466045307.01999998</v>
      </c>
      <c r="AB41" s="190">
        <v>430740277.54000002</v>
      </c>
      <c r="AC41" s="190">
        <v>419022707.29000002</v>
      </c>
      <c r="AD41" s="190">
        <v>399478441.01999998</v>
      </c>
      <c r="AE41" s="190">
        <v>387870902.44</v>
      </c>
      <c r="AF41" s="190">
        <v>344449194.77999997</v>
      </c>
      <c r="AG41" s="190">
        <v>202718327.53</v>
      </c>
      <c r="AH41" s="190">
        <v>181601567.34999999</v>
      </c>
      <c r="AI41" s="190">
        <v>0</v>
      </c>
    </row>
    <row r="42" spans="1:35" x14ac:dyDescent="0.25">
      <c r="A42" s="190" t="s">
        <v>146</v>
      </c>
      <c r="B42" s="190">
        <v>4948098516.0100002</v>
      </c>
      <c r="C42" s="190">
        <v>4760929697.0900002</v>
      </c>
      <c r="D42" s="190">
        <v>4526730979.0600004</v>
      </c>
      <c r="E42" s="190">
        <v>4552036091.3400002</v>
      </c>
      <c r="F42" s="190">
        <v>4515449873.0600004</v>
      </c>
      <c r="G42" s="190">
        <v>4464103999.9399996</v>
      </c>
      <c r="H42" s="190">
        <v>4427360361.7399998</v>
      </c>
      <c r="I42" s="190">
        <v>4299897196.8699999</v>
      </c>
      <c r="J42" s="190">
        <v>4675819483.6300001</v>
      </c>
      <c r="K42" s="190">
        <v>3927051597.6700001</v>
      </c>
      <c r="L42" s="190">
        <v>3860979482.9200001</v>
      </c>
      <c r="M42" s="190">
        <v>3018808356.23</v>
      </c>
      <c r="N42" s="190">
        <v>2866121274.0999999</v>
      </c>
      <c r="O42" s="190">
        <v>2706343862.6799998</v>
      </c>
      <c r="P42" s="190">
        <v>2627273919.77</v>
      </c>
      <c r="Q42" s="190">
        <v>1599718932.6900001</v>
      </c>
      <c r="R42" s="190">
        <v>1586056802.1500001</v>
      </c>
      <c r="S42" s="190">
        <v>1520213619.4100001</v>
      </c>
      <c r="T42" s="190">
        <v>1563553741.1400001</v>
      </c>
      <c r="U42" s="190">
        <v>1545800644.53</v>
      </c>
      <c r="V42" s="190">
        <v>1485711408.1900001</v>
      </c>
      <c r="W42" s="190">
        <v>1449759011.75</v>
      </c>
      <c r="X42" s="190">
        <v>1548413985.8399999</v>
      </c>
      <c r="Y42" s="190">
        <v>1498010260.3099999</v>
      </c>
      <c r="Z42" s="190">
        <v>1330964855.6700001</v>
      </c>
      <c r="AA42" s="190">
        <v>1319859643.8900001</v>
      </c>
      <c r="AB42" s="190">
        <v>1391500080.1600001</v>
      </c>
      <c r="AC42" s="190">
        <v>1580730703.77</v>
      </c>
      <c r="AD42" s="190">
        <v>707341674.83000004</v>
      </c>
      <c r="AE42" s="190">
        <v>743818723.38</v>
      </c>
      <c r="AF42" s="190">
        <v>691447616.51999998</v>
      </c>
      <c r="AG42" s="190">
        <v>571024717.01999998</v>
      </c>
      <c r="AH42" s="190">
        <v>484148932.26999998</v>
      </c>
      <c r="AI42" s="190">
        <v>0</v>
      </c>
    </row>
    <row r="43" spans="1:35" x14ac:dyDescent="0.25">
      <c r="A43" s="190" t="s">
        <v>147</v>
      </c>
    </row>
    <row r="44" spans="1:35" x14ac:dyDescent="0.25">
      <c r="A44" s="190" t="s">
        <v>148</v>
      </c>
      <c r="B44" s="190">
        <v>0</v>
      </c>
      <c r="C44" s="190">
        <v>0</v>
      </c>
      <c r="D44" s="190">
        <v>0</v>
      </c>
      <c r="E44" s="190">
        <v>0</v>
      </c>
      <c r="F44" s="190">
        <v>0</v>
      </c>
      <c r="G44" s="190">
        <v>0</v>
      </c>
      <c r="H44" s="190">
        <v>0</v>
      </c>
      <c r="I44" s="190">
        <v>0</v>
      </c>
      <c r="J44" s="190">
        <v>100000000</v>
      </c>
      <c r="K44" s="190">
        <v>220000000</v>
      </c>
      <c r="L44" s="190">
        <v>157000000</v>
      </c>
      <c r="M44" s="190">
        <v>0</v>
      </c>
      <c r="N44" s="190">
        <v>0</v>
      </c>
      <c r="O44" s="190">
        <v>0</v>
      </c>
      <c r="P44" s="190">
        <v>6400000</v>
      </c>
      <c r="Q44" s="190">
        <v>12400000</v>
      </c>
      <c r="R44" s="190">
        <v>12000000</v>
      </c>
      <c r="S44" s="190">
        <v>12000000</v>
      </c>
      <c r="T44" s="190">
        <v>24857676</v>
      </c>
      <c r="U44" s="190">
        <v>18437676</v>
      </c>
      <c r="V44" s="190">
        <v>10000000</v>
      </c>
      <c r="W44" s="190">
        <v>11178700</v>
      </c>
      <c r="X44" s="190">
        <v>100551802</v>
      </c>
      <c r="Y44" s="190">
        <v>88374130</v>
      </c>
      <c r="Z44" s="190">
        <v>0</v>
      </c>
      <c r="AA44" s="190">
        <v>0</v>
      </c>
      <c r="AB44" s="190">
        <v>36350000</v>
      </c>
      <c r="AC44" s="190">
        <v>153094962</v>
      </c>
      <c r="AD44" s="190">
        <v>73613130</v>
      </c>
      <c r="AE44" s="190">
        <v>118135472.91</v>
      </c>
      <c r="AF44" s="190">
        <v>137571048</v>
      </c>
      <c r="AG44" s="190">
        <v>70000000</v>
      </c>
      <c r="AH44" s="190">
        <v>180000000</v>
      </c>
      <c r="AI44" s="190">
        <v>0</v>
      </c>
    </row>
    <row r="45" spans="1:35"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row>
    <row r="46" spans="1:35" x14ac:dyDescent="0.25">
      <c r="A46" s="190" t="s">
        <v>150</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row>
    <row r="47" spans="1:35" x14ac:dyDescent="0.25">
      <c r="A47" s="190" t="s">
        <v>151</v>
      </c>
      <c r="B47" s="190">
        <v>0</v>
      </c>
      <c r="C47" s="190">
        <v>217506390.21000001</v>
      </c>
      <c r="D47" s="190">
        <v>205786252.25999999</v>
      </c>
      <c r="E47" s="190">
        <v>259242594.13999999</v>
      </c>
      <c r="F47" s="190">
        <v>251602181.19999999</v>
      </c>
      <c r="G47" s="190">
        <v>269053636.76999998</v>
      </c>
      <c r="H47" s="190">
        <v>235753116.55000001</v>
      </c>
      <c r="I47" s="190">
        <v>259842770.03</v>
      </c>
      <c r="J47" s="190">
        <v>236441117.68000001</v>
      </c>
      <c r="K47" s="190">
        <v>260548703.13999999</v>
      </c>
      <c r="L47" s="190">
        <v>280918166.41000003</v>
      </c>
      <c r="M47" s="190">
        <v>318922914.27999997</v>
      </c>
      <c r="N47" s="190">
        <v>225404975.72</v>
      </c>
      <c r="O47" s="190">
        <v>180706111.16</v>
      </c>
      <c r="P47" s="190">
        <v>140315224.65000001</v>
      </c>
      <c r="Q47" s="190">
        <v>148483465.80000001</v>
      </c>
      <c r="R47" s="190">
        <v>153736434.63999999</v>
      </c>
      <c r="S47" s="190">
        <v>136140102.69999999</v>
      </c>
      <c r="T47" s="190">
        <v>143567111.81999999</v>
      </c>
      <c r="U47" s="190">
        <v>149029418.02000001</v>
      </c>
      <c r="V47" s="190">
        <v>127096063.15000001</v>
      </c>
      <c r="W47" s="190">
        <v>129330219.93000001</v>
      </c>
      <c r="X47" s="190">
        <v>141333030.47</v>
      </c>
      <c r="Y47" s="190">
        <v>144768187.38</v>
      </c>
      <c r="Z47" s="190">
        <v>90962137.049999997</v>
      </c>
      <c r="AA47" s="190">
        <v>86833174.109999999</v>
      </c>
      <c r="AB47" s="190">
        <v>89647964.659999996</v>
      </c>
      <c r="AC47" s="190">
        <v>89376649.379999995</v>
      </c>
      <c r="AD47" s="190">
        <v>89927590.230000004</v>
      </c>
      <c r="AE47" s="190">
        <v>95645357.810000002</v>
      </c>
      <c r="AF47" s="190">
        <v>77977867.230000004</v>
      </c>
      <c r="AG47" s="190">
        <v>28273560.960000001</v>
      </c>
      <c r="AH47" s="190">
        <v>34648761.43</v>
      </c>
      <c r="AI47" s="190">
        <v>0</v>
      </c>
    </row>
    <row r="48" spans="1:35" x14ac:dyDescent="0.25">
      <c r="A48" s="190" t="s">
        <v>152</v>
      </c>
      <c r="B48" s="190">
        <v>37677413.530000001</v>
      </c>
      <c r="C48" s="190">
        <v>15834630.83</v>
      </c>
      <c r="D48" s="190">
        <v>19213908.489999998</v>
      </c>
      <c r="E48" s="190">
        <v>2206717.0099999998</v>
      </c>
      <c r="F48" s="190">
        <v>18761336.550000001</v>
      </c>
      <c r="G48" s="190">
        <v>20081627.260000002</v>
      </c>
      <c r="H48" s="190">
        <v>19320789.170000002</v>
      </c>
      <c r="I48" s="190">
        <v>1799513.57</v>
      </c>
      <c r="J48" s="190">
        <v>10312673.84</v>
      </c>
      <c r="K48" s="190">
        <v>8869768.8699999992</v>
      </c>
      <c r="L48" s="190">
        <v>788083.11</v>
      </c>
      <c r="M48" s="190">
        <v>476642.49</v>
      </c>
      <c r="N48" s="190">
        <v>6478353.0499999998</v>
      </c>
      <c r="O48" s="190">
        <v>1486485.68</v>
      </c>
      <c r="P48" s="190">
        <v>924314.22</v>
      </c>
      <c r="Q48" s="190">
        <v>757140.96</v>
      </c>
      <c r="R48" s="190">
        <v>430707.16</v>
      </c>
      <c r="S48" s="190">
        <v>54015.94</v>
      </c>
      <c r="T48" s="190">
        <v>287329.27</v>
      </c>
      <c r="U48" s="190">
        <v>280507.63</v>
      </c>
      <c r="V48" s="190">
        <v>674364.47</v>
      </c>
      <c r="W48" s="190">
        <v>11145.9</v>
      </c>
      <c r="X48" s="190">
        <v>232807.01</v>
      </c>
      <c r="Y48" s="190">
        <v>85151.15</v>
      </c>
      <c r="Z48" s="190">
        <v>397181.59</v>
      </c>
      <c r="AA48" s="190">
        <v>344580</v>
      </c>
      <c r="AB48" s="190">
        <v>591708.96</v>
      </c>
      <c r="AC48" s="190">
        <v>1200</v>
      </c>
      <c r="AD48" s="190">
        <v>120600</v>
      </c>
      <c r="AE48" s="190">
        <v>139838.96</v>
      </c>
      <c r="AF48" s="190">
        <v>192762.5</v>
      </c>
      <c r="AG48" s="190">
        <v>73642.14</v>
      </c>
      <c r="AH48" s="190">
        <v>1537.79</v>
      </c>
      <c r="AI48" s="190">
        <v>0</v>
      </c>
    </row>
    <row r="49" spans="1:35"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row>
    <row r="50" spans="1:35" x14ac:dyDescent="0.25">
      <c r="A50" s="190" t="s">
        <v>154</v>
      </c>
      <c r="B50" s="190">
        <v>135036785.02000001</v>
      </c>
      <c r="C50" s="190">
        <v>106756961.06</v>
      </c>
      <c r="D50" s="190">
        <v>80365403</v>
      </c>
      <c r="E50" s="190">
        <v>63918111.630000003</v>
      </c>
      <c r="F50" s="190">
        <v>129581960.88</v>
      </c>
      <c r="G50" s="190">
        <v>116698588.29000001</v>
      </c>
      <c r="H50" s="190">
        <v>92374449.599999994</v>
      </c>
      <c r="I50" s="190">
        <v>64856152.950000003</v>
      </c>
      <c r="J50" s="190">
        <v>120912330.94</v>
      </c>
      <c r="K50" s="190">
        <v>97266394.200000003</v>
      </c>
      <c r="L50" s="190">
        <v>83004254.370000005</v>
      </c>
      <c r="M50" s="190">
        <v>43766813.350000001</v>
      </c>
      <c r="N50" s="190">
        <v>103510981.95</v>
      </c>
      <c r="O50" s="190">
        <v>74591803</v>
      </c>
      <c r="P50" s="190">
        <v>24883752.760000002</v>
      </c>
      <c r="Q50" s="190">
        <v>6282587.7000000002</v>
      </c>
      <c r="R50" s="190">
        <v>25869982.940000001</v>
      </c>
      <c r="S50" s="190">
        <v>7456532.8499999996</v>
      </c>
      <c r="T50" s="190">
        <v>5650061.4900000002</v>
      </c>
      <c r="U50" s="190">
        <v>4920040.33</v>
      </c>
      <c r="V50" s="190">
        <v>13360432.4</v>
      </c>
      <c r="W50" s="190">
        <v>5498201.9500000002</v>
      </c>
      <c r="X50" s="190">
        <v>5567430.1699999999</v>
      </c>
      <c r="Y50" s="190">
        <v>8756933.1699999999</v>
      </c>
      <c r="Z50" s="190">
        <v>8378516.6299999999</v>
      </c>
      <c r="AA50" s="190">
        <v>2331725.9</v>
      </c>
      <c r="AB50" s="190">
        <v>2399002.98</v>
      </c>
      <c r="AC50" s="190">
        <v>7035607.9299999997</v>
      </c>
      <c r="AD50" s="190">
        <v>22772314.920000002</v>
      </c>
      <c r="AE50" s="190">
        <v>15126699.18</v>
      </c>
      <c r="AF50" s="190">
        <v>3917707.93</v>
      </c>
      <c r="AG50" s="190">
        <v>4023756.41</v>
      </c>
      <c r="AH50" s="190">
        <v>245862.98</v>
      </c>
      <c r="AI50" s="190">
        <v>0</v>
      </c>
    </row>
    <row r="51" spans="1:35" x14ac:dyDescent="0.25">
      <c r="A51" s="190" t="s">
        <v>155</v>
      </c>
      <c r="B51" s="190">
        <v>36906676.75</v>
      </c>
      <c r="C51" s="190">
        <v>35794490.649999999</v>
      </c>
      <c r="D51" s="190">
        <v>33765926.899999999</v>
      </c>
      <c r="E51" s="190">
        <v>52377299.350000001</v>
      </c>
      <c r="F51" s="190">
        <v>28546918.670000002</v>
      </c>
      <c r="G51" s="190">
        <v>41313036.990000002</v>
      </c>
      <c r="H51" s="190">
        <v>36481306.869999997</v>
      </c>
      <c r="I51" s="190">
        <v>35506760.590000004</v>
      </c>
      <c r="J51" s="190">
        <v>22994252.32</v>
      </c>
      <c r="K51" s="190">
        <v>31619847.280000001</v>
      </c>
      <c r="L51" s="190">
        <v>41348909.740000002</v>
      </c>
      <c r="M51" s="190">
        <v>32181720.289999999</v>
      </c>
      <c r="N51" s="190">
        <v>27305566.800000001</v>
      </c>
      <c r="O51" s="190">
        <v>21879832.41</v>
      </c>
      <c r="P51" s="190">
        <v>12744614.720000001</v>
      </c>
      <c r="Q51" s="190">
        <v>12911863.550000001</v>
      </c>
      <c r="R51" s="190">
        <v>10303285.699999999</v>
      </c>
      <c r="S51" s="190">
        <v>7712606.5700000003</v>
      </c>
      <c r="T51" s="190">
        <v>11825309.9</v>
      </c>
      <c r="U51" s="190">
        <v>12765222.02</v>
      </c>
      <c r="V51" s="190">
        <v>6622124.5999999996</v>
      </c>
      <c r="W51" s="190">
        <v>6054883.4100000001</v>
      </c>
      <c r="X51" s="190">
        <v>8956041.3399999999</v>
      </c>
      <c r="Y51" s="190">
        <v>-3620664.85</v>
      </c>
      <c r="Z51" s="190">
        <v>-1883970.67</v>
      </c>
      <c r="AA51" s="190">
        <v>9523213.6199999992</v>
      </c>
      <c r="AB51" s="190">
        <v>12378361.49</v>
      </c>
      <c r="AC51" s="190">
        <v>6386685.2699999996</v>
      </c>
      <c r="AD51" s="190">
        <v>5463987.1799999997</v>
      </c>
      <c r="AE51" s="190">
        <v>13633343.34</v>
      </c>
      <c r="AF51" s="190">
        <v>10580653.16</v>
      </c>
      <c r="AG51" s="190">
        <v>2413439.2000000002</v>
      </c>
      <c r="AH51" s="190">
        <v>-7498325.1100000003</v>
      </c>
      <c r="AI51" s="190">
        <v>0</v>
      </c>
    </row>
    <row r="52" spans="1:35" x14ac:dyDescent="0.25">
      <c r="A52" s="190" t="s">
        <v>156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row>
    <row r="53" spans="1:35" x14ac:dyDescent="0.25">
      <c r="A53" s="190" t="s">
        <v>157</v>
      </c>
      <c r="B53" s="190">
        <v>0</v>
      </c>
      <c r="C53" s="190">
        <v>0</v>
      </c>
      <c r="D53" s="190">
        <v>0</v>
      </c>
      <c r="E53" s="190">
        <v>0</v>
      </c>
      <c r="F53" s="190">
        <v>0</v>
      </c>
      <c r="G53" s="190">
        <v>0</v>
      </c>
      <c r="H53" s="190">
        <v>127278650.09999999</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68910000</v>
      </c>
      <c r="AC53" s="190">
        <v>0</v>
      </c>
      <c r="AD53" s="190">
        <v>0</v>
      </c>
      <c r="AE53" s="190">
        <v>0</v>
      </c>
      <c r="AF53" s="190">
        <v>0</v>
      </c>
      <c r="AG53" s="190">
        <v>0</v>
      </c>
      <c r="AH53" s="190">
        <v>0</v>
      </c>
      <c r="AI53" s="190">
        <v>0</v>
      </c>
    </row>
    <row r="54" spans="1:35" x14ac:dyDescent="0.25">
      <c r="A54" s="190" t="s">
        <v>158</v>
      </c>
      <c r="B54" s="190">
        <v>50604709.75</v>
      </c>
      <c r="C54" s="190">
        <v>40924383.149999999</v>
      </c>
      <c r="D54" s="190">
        <v>45024679.939999998</v>
      </c>
      <c r="E54" s="190">
        <v>49709791.909999996</v>
      </c>
      <c r="F54" s="190">
        <v>39500557.920000002</v>
      </c>
      <c r="G54" s="190">
        <v>41473895.990000002</v>
      </c>
      <c r="H54" s="190">
        <v>40860629.090000004</v>
      </c>
      <c r="I54" s="190">
        <v>30798743.030000001</v>
      </c>
      <c r="J54" s="190">
        <v>20067764.870000001</v>
      </c>
      <c r="K54" s="190">
        <v>13419661.65</v>
      </c>
      <c r="L54" s="190">
        <v>21577432.829999998</v>
      </c>
      <c r="M54" s="190">
        <v>9123735.5299999993</v>
      </c>
      <c r="N54" s="190">
        <v>6831941.9699999997</v>
      </c>
      <c r="O54" s="190">
        <v>6565746.4199999999</v>
      </c>
      <c r="P54" s="190">
        <v>5142971.21</v>
      </c>
      <c r="Q54" s="190">
        <v>4730151.87</v>
      </c>
      <c r="R54" s="190">
        <v>5763638</v>
      </c>
      <c r="S54" s="190">
        <v>4961341.53</v>
      </c>
      <c r="T54" s="190">
        <v>5009273.68</v>
      </c>
      <c r="U54" s="190">
        <v>4179207.81</v>
      </c>
      <c r="V54" s="190">
        <v>5126698.3600000003</v>
      </c>
      <c r="W54" s="190">
        <v>3674119.02</v>
      </c>
      <c r="X54" s="190">
        <v>4002852.99</v>
      </c>
      <c r="Y54" s="190">
        <v>3669565.98</v>
      </c>
      <c r="Z54" s="190">
        <v>4255449.8600000003</v>
      </c>
      <c r="AA54" s="190">
        <v>3703248.8</v>
      </c>
      <c r="AB54" s="190">
        <v>5047021.34</v>
      </c>
      <c r="AC54" s="190">
        <v>7289628.1699999999</v>
      </c>
      <c r="AD54" s="190">
        <v>18023160.82</v>
      </c>
      <c r="AE54" s="190">
        <v>16513163.5</v>
      </c>
      <c r="AF54" s="190">
        <v>41932081.890000001</v>
      </c>
      <c r="AG54" s="190">
        <v>37738663.57</v>
      </c>
      <c r="AH54" s="190">
        <v>32569373.59</v>
      </c>
      <c r="AI54" s="190">
        <v>0</v>
      </c>
    </row>
    <row r="55" spans="1:35"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row>
    <row r="56" spans="1:35"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row>
    <row r="57" spans="1:35"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row>
    <row r="58" spans="1:35" x14ac:dyDescent="0.25">
      <c r="A58" s="190" t="s">
        <v>162</v>
      </c>
      <c r="B58" s="190">
        <v>1993398</v>
      </c>
      <c r="C58" s="190">
        <v>1940966.38</v>
      </c>
      <c r="D58" s="190">
        <v>1901131.58</v>
      </c>
      <c r="E58" s="190">
        <v>1931470.31</v>
      </c>
      <c r="F58" s="190">
        <v>1948951.34</v>
      </c>
      <c r="G58" s="190">
        <v>1603764.68</v>
      </c>
      <c r="H58" s="190">
        <v>1610046.15</v>
      </c>
      <c r="I58" s="190">
        <v>1785316.59</v>
      </c>
      <c r="J58" s="190">
        <v>1604314.74</v>
      </c>
      <c r="K58" s="190">
        <v>2038338.04</v>
      </c>
      <c r="L58" s="190">
        <v>1562478.14</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row>
    <row r="59" spans="1:35" x14ac:dyDescent="0.25">
      <c r="A59" s="190" t="s">
        <v>163</v>
      </c>
      <c r="B59" s="190">
        <v>0</v>
      </c>
      <c r="C59" s="190">
        <v>0</v>
      </c>
      <c r="D59" s="190">
        <v>0</v>
      </c>
      <c r="E59" s="190">
        <v>0</v>
      </c>
      <c r="F59" s="190">
        <v>0</v>
      </c>
      <c r="G59" s="190">
        <v>0</v>
      </c>
      <c r="H59" s="190">
        <v>0</v>
      </c>
      <c r="I59" s="190">
        <v>0</v>
      </c>
      <c r="J59" s="190">
        <v>0</v>
      </c>
      <c r="K59" s="190">
        <v>0</v>
      </c>
      <c r="L59" s="190">
        <v>2123367.7999999998</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row>
    <row r="60" spans="1:35" x14ac:dyDescent="0.25">
      <c r="A60" s="190" t="s">
        <v>164</v>
      </c>
      <c r="B60" s="190">
        <v>452452839.12</v>
      </c>
      <c r="C60" s="190">
        <v>418757822.27999997</v>
      </c>
      <c r="D60" s="190">
        <v>386057302.17000002</v>
      </c>
      <c r="E60" s="190">
        <v>429385984.35000002</v>
      </c>
      <c r="F60" s="190">
        <v>469941906.56</v>
      </c>
      <c r="G60" s="190">
        <v>490224549.98000002</v>
      </c>
      <c r="H60" s="190">
        <v>553678987.52999997</v>
      </c>
      <c r="I60" s="190">
        <v>394589256.75999999</v>
      </c>
      <c r="J60" s="190">
        <v>512332454.38999999</v>
      </c>
      <c r="K60" s="190">
        <v>633762713.17999995</v>
      </c>
      <c r="L60" s="190">
        <v>588322692.39999998</v>
      </c>
      <c r="M60" s="190">
        <v>404471825.94</v>
      </c>
      <c r="N60" s="190">
        <v>369531819.49000001</v>
      </c>
      <c r="O60" s="190">
        <v>285229978.67000002</v>
      </c>
      <c r="P60" s="190">
        <v>190410877.56</v>
      </c>
      <c r="Q60" s="190">
        <v>185565209.88</v>
      </c>
      <c r="R60" s="190">
        <v>208104048.44</v>
      </c>
      <c r="S60" s="190">
        <v>168324599.59</v>
      </c>
      <c r="T60" s="190">
        <v>191196762.16</v>
      </c>
      <c r="U60" s="190">
        <v>189612071.81</v>
      </c>
      <c r="V60" s="190">
        <v>162879682.97999999</v>
      </c>
      <c r="W60" s="190">
        <v>155747270.21000001</v>
      </c>
      <c r="X60" s="190">
        <v>260643963.97999999</v>
      </c>
      <c r="Y60" s="190">
        <v>242033302.83000001</v>
      </c>
      <c r="Z60" s="190">
        <v>102109314.45999999</v>
      </c>
      <c r="AA60" s="190">
        <v>102735942.43000001</v>
      </c>
      <c r="AB60" s="190">
        <v>215324059.43000001</v>
      </c>
      <c r="AC60" s="190">
        <v>263184732.75</v>
      </c>
      <c r="AD60" s="190">
        <v>209920783.15000001</v>
      </c>
      <c r="AE60" s="190">
        <v>259193875.69999999</v>
      </c>
      <c r="AF60" s="190">
        <v>272172120.70999998</v>
      </c>
      <c r="AG60" s="190">
        <v>142523062.28</v>
      </c>
      <c r="AH60" s="190">
        <v>239967210.68000001</v>
      </c>
      <c r="AI60" s="190">
        <v>0</v>
      </c>
    </row>
    <row r="61" spans="1:35" x14ac:dyDescent="0.25">
      <c r="A61" s="190" t="s">
        <v>165</v>
      </c>
    </row>
    <row r="62" spans="1:35" x14ac:dyDescent="0.25">
      <c r="A62" s="190" t="s">
        <v>166</v>
      </c>
      <c r="B62" s="190">
        <v>6593688.7400000002</v>
      </c>
      <c r="C62" s="190">
        <v>6941726.4900000002</v>
      </c>
      <c r="D62" s="190">
        <v>7275665.4100000001</v>
      </c>
      <c r="E62" s="190">
        <v>7863236.6100000003</v>
      </c>
      <c r="F62" s="190">
        <v>8388960.0700000003</v>
      </c>
      <c r="G62" s="190">
        <v>9278738.7200000007</v>
      </c>
      <c r="H62" s="190">
        <v>9803851.9199999999</v>
      </c>
      <c r="I62" s="190">
        <v>9799618.5399999991</v>
      </c>
      <c r="J62" s="190">
        <v>380150325.94</v>
      </c>
      <c r="K62" s="190">
        <v>578364955.11000001</v>
      </c>
      <c r="L62" s="190">
        <v>567460890.89999998</v>
      </c>
      <c r="M62" s="190">
        <v>0</v>
      </c>
      <c r="N62" s="190">
        <v>0</v>
      </c>
      <c r="O62" s="190">
        <v>0</v>
      </c>
      <c r="P62" s="190">
        <v>0</v>
      </c>
      <c r="Q62" s="190">
        <v>10000000</v>
      </c>
      <c r="R62" s="190">
        <v>10000000</v>
      </c>
      <c r="S62" s="190">
        <v>10000000</v>
      </c>
      <c r="T62" s="190">
        <v>0</v>
      </c>
      <c r="U62" s="190">
        <v>0</v>
      </c>
      <c r="V62" s="190">
        <v>0</v>
      </c>
      <c r="W62" s="190">
        <v>0</v>
      </c>
      <c r="X62" s="190">
        <v>0</v>
      </c>
      <c r="Y62" s="190">
        <v>0</v>
      </c>
      <c r="Z62" s="190">
        <v>0</v>
      </c>
      <c r="AA62" s="190">
        <v>0</v>
      </c>
      <c r="AB62" s="190">
        <v>0</v>
      </c>
      <c r="AC62" s="190">
        <v>100000000</v>
      </c>
      <c r="AD62" s="190">
        <v>112500000</v>
      </c>
      <c r="AE62" s="190">
        <v>125000000</v>
      </c>
      <c r="AF62" s="190">
        <v>99870000</v>
      </c>
      <c r="AG62" s="190">
        <v>156870000</v>
      </c>
      <c r="AH62" s="190">
        <v>0</v>
      </c>
      <c r="AI62" s="190">
        <v>0</v>
      </c>
    </row>
    <row r="63" spans="1:35"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row>
    <row r="64" spans="1:35"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row>
    <row r="65" spans="1:35" x14ac:dyDescent="0.25">
      <c r="A65" s="190" t="s">
        <v>169</v>
      </c>
      <c r="B65" s="190">
        <v>5053705.47</v>
      </c>
      <c r="C65" s="190">
        <v>4632268.43</v>
      </c>
      <c r="D65" s="190">
        <v>4121516.28</v>
      </c>
      <c r="E65" s="190">
        <v>3763588.12</v>
      </c>
      <c r="F65" s="190">
        <v>2339701.42</v>
      </c>
      <c r="G65" s="190">
        <v>1692346.74</v>
      </c>
      <c r="H65" s="190">
        <v>1636044.86</v>
      </c>
      <c r="I65" s="190">
        <v>1544183.14</v>
      </c>
      <c r="J65" s="190">
        <v>1665363.19</v>
      </c>
      <c r="K65" s="190">
        <v>1575082.41</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row>
    <row r="66" spans="1:35"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row>
    <row r="67" spans="1:35" x14ac:dyDescent="0.25">
      <c r="A67" s="190" t="s">
        <v>171</v>
      </c>
      <c r="B67" s="190">
        <v>4198666.4000000004</v>
      </c>
      <c r="C67" s="190">
        <v>4092578.83</v>
      </c>
      <c r="D67" s="190">
        <v>3984298.75</v>
      </c>
      <c r="E67" s="190">
        <v>4245289.34</v>
      </c>
      <c r="F67" s="190">
        <v>4184591.94</v>
      </c>
      <c r="G67" s="190">
        <v>4316173.47</v>
      </c>
      <c r="H67" s="190">
        <v>4692939.12</v>
      </c>
      <c r="I67" s="190">
        <v>3598327.69</v>
      </c>
      <c r="J67" s="190">
        <v>507372.57</v>
      </c>
      <c r="K67" s="190">
        <v>1333640.42</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row>
    <row r="68" spans="1:35" x14ac:dyDescent="0.25">
      <c r="A68" s="190" t="s">
        <v>172</v>
      </c>
      <c r="B68" s="190">
        <v>17087625.390000001</v>
      </c>
      <c r="C68" s="190">
        <v>17144366.41</v>
      </c>
      <c r="D68" s="190">
        <v>16926068.27</v>
      </c>
      <c r="E68" s="190">
        <v>18138372.920000002</v>
      </c>
      <c r="F68" s="190">
        <v>19811568.440000001</v>
      </c>
      <c r="G68" s="190">
        <v>20705994.91</v>
      </c>
      <c r="H68" s="190">
        <v>21661369.27</v>
      </c>
      <c r="I68" s="190">
        <v>22446413.469999999</v>
      </c>
      <c r="J68" s="190">
        <v>1982752.91</v>
      </c>
      <c r="K68" s="190">
        <v>2507088.25</v>
      </c>
      <c r="L68" s="190">
        <v>2605456.25</v>
      </c>
      <c r="M68" s="190">
        <v>987697.31</v>
      </c>
      <c r="N68" s="190">
        <v>555295.68000000005</v>
      </c>
      <c r="O68" s="190">
        <v>555295.68000000005</v>
      </c>
      <c r="P68" s="190">
        <v>1062471.71</v>
      </c>
      <c r="Q68" s="190">
        <v>1062471.71</v>
      </c>
      <c r="R68" s="190">
        <v>1281830.31</v>
      </c>
      <c r="S68" s="190">
        <v>1281830.31</v>
      </c>
      <c r="T68" s="190">
        <v>1492263.93</v>
      </c>
      <c r="U68" s="190">
        <v>1492263.93</v>
      </c>
      <c r="V68" s="190">
        <v>1641365.65</v>
      </c>
      <c r="W68" s="190">
        <v>1641365.65</v>
      </c>
      <c r="X68" s="190">
        <v>1685617.5</v>
      </c>
      <c r="Y68" s="190">
        <v>1685617.5</v>
      </c>
      <c r="Z68" s="190">
        <v>1677883.74</v>
      </c>
      <c r="AA68" s="190">
        <v>1677883.74</v>
      </c>
      <c r="AB68" s="190">
        <v>1661436.87</v>
      </c>
      <c r="AC68" s="190">
        <v>1661436.87</v>
      </c>
      <c r="AD68" s="190">
        <v>1784279.98</v>
      </c>
      <c r="AE68" s="190">
        <v>1784279.98</v>
      </c>
      <c r="AF68" s="190">
        <v>1826832.48</v>
      </c>
      <c r="AG68" s="190">
        <v>0</v>
      </c>
      <c r="AH68" s="190">
        <v>0</v>
      </c>
      <c r="AI68" s="190">
        <v>0</v>
      </c>
    </row>
    <row r="69" spans="1:35" x14ac:dyDescent="0.25">
      <c r="A69" s="190" t="s">
        <v>173</v>
      </c>
      <c r="B69" s="190">
        <v>16897350.030000001</v>
      </c>
      <c r="C69" s="190">
        <v>16780432</v>
      </c>
      <c r="D69" s="190">
        <v>17897878.629999999</v>
      </c>
      <c r="E69" s="190">
        <v>18265936.760000002</v>
      </c>
      <c r="F69" s="190">
        <v>15408994.99</v>
      </c>
      <c r="G69" s="190">
        <v>11208303.119999999</v>
      </c>
      <c r="H69" s="190">
        <v>12102611.34</v>
      </c>
      <c r="I69" s="190">
        <v>9686919.4800000004</v>
      </c>
      <c r="J69" s="190">
        <v>10029561.029999999</v>
      </c>
      <c r="K69" s="190">
        <v>11688869.17</v>
      </c>
      <c r="L69" s="190">
        <v>14348177.390000001</v>
      </c>
      <c r="M69" s="190">
        <v>14042485.529999999</v>
      </c>
      <c r="N69" s="190">
        <v>8468192.8699999992</v>
      </c>
      <c r="O69" s="190">
        <v>9359628.9399999995</v>
      </c>
      <c r="P69" s="190">
        <v>10304398.380000001</v>
      </c>
      <c r="Q69" s="190">
        <v>11249167.800000001</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row>
    <row r="70" spans="1:35" x14ac:dyDescent="0.25">
      <c r="A70" s="190" t="s">
        <v>174</v>
      </c>
      <c r="B70" s="190">
        <v>20269.98</v>
      </c>
      <c r="C70" s="190">
        <v>19757.169999999998</v>
      </c>
      <c r="D70" s="190">
        <v>22044.880000000001</v>
      </c>
      <c r="E70" s="190">
        <v>19792.09</v>
      </c>
      <c r="F70" s="190">
        <v>65183.34</v>
      </c>
      <c r="G70" s="190">
        <v>65554.45</v>
      </c>
      <c r="H70" s="190">
        <v>65809.66</v>
      </c>
      <c r="I70" s="190">
        <v>561892.91</v>
      </c>
      <c r="J70" s="190">
        <v>0</v>
      </c>
      <c r="K70" s="190">
        <v>0</v>
      </c>
      <c r="L70" s="190">
        <v>1543512.32</v>
      </c>
      <c r="M70" s="190">
        <v>0</v>
      </c>
      <c r="N70" s="190">
        <v>0</v>
      </c>
      <c r="O70" s="190">
        <v>0</v>
      </c>
      <c r="P70" s="190">
        <v>0</v>
      </c>
      <c r="Q70" s="190">
        <v>0</v>
      </c>
      <c r="R70" s="190">
        <v>8139770.5199999996</v>
      </c>
      <c r="S70" s="190">
        <v>8922039.9600000009</v>
      </c>
      <c r="T70" s="190">
        <v>9704309.4000000004</v>
      </c>
      <c r="U70" s="190">
        <v>10404068.43</v>
      </c>
      <c r="V70" s="190">
        <v>10343556.58</v>
      </c>
      <c r="W70" s="190">
        <v>8879678.1199999992</v>
      </c>
      <c r="X70" s="190">
        <v>9525266.2699999996</v>
      </c>
      <c r="Y70" s="190">
        <v>9833354.4800000004</v>
      </c>
      <c r="Z70" s="190">
        <v>10294880.039999999</v>
      </c>
      <c r="AA70" s="190">
        <v>10646405.76</v>
      </c>
      <c r="AB70" s="190">
        <v>11252931.48</v>
      </c>
      <c r="AC70" s="190">
        <v>11859457.199999999</v>
      </c>
      <c r="AD70" s="190">
        <v>826666.61</v>
      </c>
      <c r="AE70" s="190">
        <v>881666.63</v>
      </c>
      <c r="AF70" s="190">
        <v>991666.67</v>
      </c>
      <c r="AG70" s="190">
        <v>100000</v>
      </c>
      <c r="AH70" s="190">
        <v>0</v>
      </c>
      <c r="AI70" s="190">
        <v>0</v>
      </c>
    </row>
    <row r="71" spans="1:35" x14ac:dyDescent="0.25">
      <c r="A71" s="190" t="s">
        <v>175</v>
      </c>
      <c r="B71" s="190">
        <v>49851306.009999998</v>
      </c>
      <c r="C71" s="190">
        <v>49611129.329999998</v>
      </c>
      <c r="D71" s="190">
        <v>50227472.219999999</v>
      </c>
      <c r="E71" s="190">
        <v>52296215.840000004</v>
      </c>
      <c r="F71" s="190">
        <v>50199000.200000003</v>
      </c>
      <c r="G71" s="190">
        <v>47267111.409999996</v>
      </c>
      <c r="H71" s="190">
        <v>49962626.170000002</v>
      </c>
      <c r="I71" s="190">
        <v>47637355.229999997</v>
      </c>
      <c r="J71" s="190">
        <v>394335375.63999999</v>
      </c>
      <c r="K71" s="190">
        <v>595469635.36000001</v>
      </c>
      <c r="L71" s="190">
        <v>585958036.86000001</v>
      </c>
      <c r="M71" s="190">
        <v>15030182.84</v>
      </c>
      <c r="N71" s="190">
        <v>9023488.5500000007</v>
      </c>
      <c r="O71" s="190">
        <v>9914924.6199999992</v>
      </c>
      <c r="P71" s="190">
        <v>11366870.09</v>
      </c>
      <c r="Q71" s="190">
        <v>22311639.510000002</v>
      </c>
      <c r="R71" s="190">
        <v>19421600.829999998</v>
      </c>
      <c r="S71" s="190">
        <v>20203870.27</v>
      </c>
      <c r="T71" s="190">
        <v>11196573.33</v>
      </c>
      <c r="U71" s="190">
        <v>11896332.359999999</v>
      </c>
      <c r="V71" s="190">
        <v>11984922.23</v>
      </c>
      <c r="W71" s="190">
        <v>10521043.77</v>
      </c>
      <c r="X71" s="190">
        <v>11210883.77</v>
      </c>
      <c r="Y71" s="190">
        <v>11518971.98</v>
      </c>
      <c r="Z71" s="190">
        <v>11972763.779999999</v>
      </c>
      <c r="AA71" s="190">
        <v>12324289.5</v>
      </c>
      <c r="AB71" s="190">
        <v>12914368.35</v>
      </c>
      <c r="AC71" s="190">
        <v>113520894.06999999</v>
      </c>
      <c r="AD71" s="190">
        <v>115110946.59</v>
      </c>
      <c r="AE71" s="190">
        <v>127665946.61</v>
      </c>
      <c r="AF71" s="190">
        <v>102688499.15000001</v>
      </c>
      <c r="AG71" s="190">
        <v>156970000</v>
      </c>
      <c r="AH71" s="190">
        <v>0</v>
      </c>
      <c r="AI71" s="190">
        <v>0</v>
      </c>
    </row>
    <row r="72" spans="1:35" x14ac:dyDescent="0.25">
      <c r="A72" s="190" t="s">
        <v>176</v>
      </c>
      <c r="B72" s="190">
        <v>502304145.13</v>
      </c>
      <c r="C72" s="190">
        <v>468368951.61000001</v>
      </c>
      <c r="D72" s="190">
        <v>436284774.38999999</v>
      </c>
      <c r="E72" s="190">
        <v>481682200.19</v>
      </c>
      <c r="F72" s="190">
        <v>520140906.75999999</v>
      </c>
      <c r="G72" s="190">
        <v>537491661.38999999</v>
      </c>
      <c r="H72" s="190">
        <v>603641613.70000005</v>
      </c>
      <c r="I72" s="190">
        <v>442226611.99000001</v>
      </c>
      <c r="J72" s="190">
        <v>906667830.02999997</v>
      </c>
      <c r="K72" s="190">
        <v>1229232348.54</v>
      </c>
      <c r="L72" s="190">
        <v>1174280729.26</v>
      </c>
      <c r="M72" s="190">
        <v>419502008.77999997</v>
      </c>
      <c r="N72" s="190">
        <v>378555308.04000002</v>
      </c>
      <c r="O72" s="190">
        <v>295144903.29000002</v>
      </c>
      <c r="P72" s="190">
        <v>201777747.65000001</v>
      </c>
      <c r="Q72" s="190">
        <v>207876849.38999999</v>
      </c>
      <c r="R72" s="190">
        <v>227525649.27000001</v>
      </c>
      <c r="S72" s="190">
        <v>188528469.86000001</v>
      </c>
      <c r="T72" s="190">
        <v>202393335.49000001</v>
      </c>
      <c r="U72" s="190">
        <v>201508404.16999999</v>
      </c>
      <c r="V72" s="190">
        <v>174864605.21000001</v>
      </c>
      <c r="W72" s="190">
        <v>166268313.97999999</v>
      </c>
      <c r="X72" s="190">
        <v>271854847.75</v>
      </c>
      <c r="Y72" s="190">
        <v>253552274.81</v>
      </c>
      <c r="Z72" s="190">
        <v>114082078.23999999</v>
      </c>
      <c r="AA72" s="190">
        <v>115060231.93000001</v>
      </c>
      <c r="AB72" s="190">
        <v>228238427.78</v>
      </c>
      <c r="AC72" s="190">
        <v>376705626.81999999</v>
      </c>
      <c r="AD72" s="190">
        <v>325031729.74000001</v>
      </c>
      <c r="AE72" s="190">
        <v>386859822.31</v>
      </c>
      <c r="AF72" s="190">
        <v>374860619.86000001</v>
      </c>
      <c r="AG72" s="190">
        <v>299493062.27999997</v>
      </c>
      <c r="AH72" s="190">
        <v>239967210.68000001</v>
      </c>
      <c r="AI72" s="190">
        <v>0</v>
      </c>
    </row>
    <row r="73" spans="1:35" x14ac:dyDescent="0.25">
      <c r="A73" s="190" t="s">
        <v>177</v>
      </c>
    </row>
    <row r="74" spans="1:35" x14ac:dyDescent="0.25">
      <c r="A74" s="190" t="s">
        <v>178</v>
      </c>
      <c r="B74" s="190">
        <v>909133215</v>
      </c>
      <c r="C74" s="190">
        <v>909133215</v>
      </c>
      <c r="D74" s="190">
        <v>909133215</v>
      </c>
      <c r="E74" s="190">
        <v>909133215</v>
      </c>
      <c r="F74" s="190">
        <v>909133215</v>
      </c>
      <c r="G74" s="190">
        <v>909133215</v>
      </c>
      <c r="H74" s="190">
        <v>363653286</v>
      </c>
      <c r="I74" s="190">
        <v>363653286</v>
      </c>
      <c r="J74" s="190">
        <v>363653286</v>
      </c>
      <c r="K74" s="190">
        <v>339871250</v>
      </c>
      <c r="L74" s="190">
        <v>339871250</v>
      </c>
      <c r="M74" s="190">
        <v>339871250</v>
      </c>
      <c r="N74" s="190">
        <v>339871250</v>
      </c>
      <c r="O74" s="190">
        <v>339871250</v>
      </c>
      <c r="P74" s="190">
        <v>339871250</v>
      </c>
      <c r="Q74" s="190">
        <v>275640000</v>
      </c>
      <c r="R74" s="190">
        <v>275640000</v>
      </c>
      <c r="S74" s="190">
        <v>275640000</v>
      </c>
      <c r="T74" s="190">
        <v>275640000</v>
      </c>
      <c r="U74" s="190">
        <v>275640000</v>
      </c>
      <c r="V74" s="190">
        <v>275640000</v>
      </c>
      <c r="W74" s="190">
        <v>275640000</v>
      </c>
      <c r="X74" s="190">
        <v>137820000</v>
      </c>
      <c r="Y74" s="190">
        <v>137820000</v>
      </c>
      <c r="Z74" s="190">
        <v>137820000</v>
      </c>
      <c r="AA74" s="190">
        <v>137820000</v>
      </c>
      <c r="AB74" s="190">
        <v>137820000</v>
      </c>
      <c r="AC74" s="190">
        <v>137820000</v>
      </c>
      <c r="AD74" s="190">
        <v>103360000</v>
      </c>
      <c r="AE74" s="190">
        <v>103360000</v>
      </c>
      <c r="AF74" s="190">
        <v>103360000</v>
      </c>
      <c r="AG74" s="190">
        <v>103360000</v>
      </c>
      <c r="AH74" s="190">
        <v>103360000</v>
      </c>
      <c r="AI74" s="190">
        <v>0</v>
      </c>
    </row>
    <row r="75" spans="1:35" x14ac:dyDescent="0.25">
      <c r="A75" s="190" t="s">
        <v>179</v>
      </c>
      <c r="B75" s="190">
        <v>2078935908.6500001</v>
      </c>
      <c r="C75" s="190">
        <v>2078935908.6500001</v>
      </c>
      <c r="D75" s="190">
        <v>2065597354.03</v>
      </c>
      <c r="E75" s="190">
        <v>2065597354.03</v>
      </c>
      <c r="F75" s="190">
        <v>2065597354.03</v>
      </c>
      <c r="G75" s="190">
        <v>2065597354.03</v>
      </c>
      <c r="H75" s="190">
        <v>2611077283.0300002</v>
      </c>
      <c r="I75" s="190">
        <v>2611077283.0300002</v>
      </c>
      <c r="J75" s="190">
        <v>2611071295.29</v>
      </c>
      <c r="K75" s="190">
        <v>1629860693.6600001</v>
      </c>
      <c r="L75" s="190">
        <v>1629860693.6600001</v>
      </c>
      <c r="M75" s="190">
        <v>1629860693.6600001</v>
      </c>
      <c r="N75" s="190">
        <v>1629860693.6600001</v>
      </c>
      <c r="O75" s="190">
        <v>1629860693.6600001</v>
      </c>
      <c r="P75" s="190">
        <v>1621654522.49</v>
      </c>
      <c r="Q75" s="190">
        <v>676456672.49000001</v>
      </c>
      <c r="R75" s="190">
        <v>676456672.49000001</v>
      </c>
      <c r="S75" s="190">
        <v>676456672.49000001</v>
      </c>
      <c r="T75" s="190">
        <v>675760670.57000005</v>
      </c>
      <c r="U75" s="190">
        <v>675760670.57000005</v>
      </c>
      <c r="V75" s="190">
        <v>675760670.57000005</v>
      </c>
      <c r="W75" s="190">
        <v>675760670.57000005</v>
      </c>
      <c r="X75" s="190">
        <v>813580670.57000005</v>
      </c>
      <c r="Y75" s="190">
        <v>813580670.57000005</v>
      </c>
      <c r="Z75" s="190">
        <v>813580670.57000005</v>
      </c>
      <c r="AA75" s="190">
        <v>813580670.57000005</v>
      </c>
      <c r="AB75" s="190">
        <v>813580670.57000005</v>
      </c>
      <c r="AC75" s="190">
        <v>813580670.57000005</v>
      </c>
      <c r="AD75" s="190">
        <v>43730242.100000001</v>
      </c>
      <c r="AE75" s="190">
        <v>43730242.100000001</v>
      </c>
      <c r="AF75" s="190">
        <v>43730242.100000001</v>
      </c>
      <c r="AG75" s="190">
        <v>43730242.100000001</v>
      </c>
      <c r="AH75" s="190">
        <v>43730242.100000001</v>
      </c>
      <c r="AI75" s="190">
        <v>0</v>
      </c>
    </row>
    <row r="76" spans="1:35" x14ac:dyDescent="0.25">
      <c r="A76" s="190" t="s">
        <v>180</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row>
    <row r="77" spans="1:35" x14ac:dyDescent="0.25">
      <c r="A77" s="190" t="s">
        <v>181</v>
      </c>
      <c r="B77" s="190">
        <v>28734213.379999999</v>
      </c>
      <c r="C77" s="190">
        <v>-8405130.3800000008</v>
      </c>
      <c r="D77" s="190">
        <v>-58214299.530000001</v>
      </c>
      <c r="E77" s="190">
        <v>-14266876.52</v>
      </c>
      <c r="F77" s="190">
        <v>-5767056.8099999996</v>
      </c>
      <c r="G77" s="190">
        <v>14682218.48</v>
      </c>
      <c r="H77" s="190">
        <v>26828215.25</v>
      </c>
      <c r="I77" s="190">
        <v>33807458.079999998</v>
      </c>
      <c r="J77" s="190">
        <v>14133959.609999999</v>
      </c>
      <c r="K77" s="190">
        <v>13835549.17</v>
      </c>
      <c r="L77" s="190">
        <v>-2968605.04</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row>
    <row r="78" spans="1:35" x14ac:dyDescent="0.25">
      <c r="A78" s="190" t="s">
        <v>182</v>
      </c>
      <c r="B78" s="190">
        <v>10880684.65</v>
      </c>
      <c r="C78" s="190">
        <v>10817820.359999999</v>
      </c>
      <c r="D78" s="190">
        <v>10441557.57</v>
      </c>
      <c r="E78" s="190">
        <v>9733305.5</v>
      </c>
      <c r="F78" s="190">
        <v>9335935.6899999995</v>
      </c>
      <c r="G78" s="190">
        <v>8675013.8900000006</v>
      </c>
      <c r="H78" s="190">
        <v>7834061.1200000001</v>
      </c>
      <c r="I78" s="190">
        <v>7018189.1799999997</v>
      </c>
      <c r="J78" s="190">
        <v>6292139.9500000002</v>
      </c>
      <c r="K78" s="190">
        <v>5552340.3200000003</v>
      </c>
      <c r="L78" s="190">
        <v>4892179.5999999996</v>
      </c>
      <c r="M78" s="190">
        <v>4194707.28</v>
      </c>
      <c r="N78" s="190">
        <v>4426762.9000000004</v>
      </c>
      <c r="O78" s="190">
        <v>3919748.8</v>
      </c>
      <c r="P78" s="190">
        <v>3492215.75</v>
      </c>
      <c r="Q78" s="190">
        <v>2948620.67</v>
      </c>
      <c r="R78" s="190">
        <v>3351809.25</v>
      </c>
      <c r="S78" s="190">
        <v>3136896.96</v>
      </c>
      <c r="T78" s="190">
        <v>2934096.78</v>
      </c>
      <c r="U78" s="190">
        <v>2642457.12</v>
      </c>
      <c r="V78" s="190">
        <v>2793494.74</v>
      </c>
      <c r="W78" s="190">
        <v>2794569.74</v>
      </c>
      <c r="X78" s="190">
        <v>3326676.61</v>
      </c>
      <c r="Y78" s="190">
        <v>1869530.41</v>
      </c>
      <c r="Z78" s="190">
        <v>1805099.27</v>
      </c>
      <c r="AA78" s="190">
        <v>2020491.41</v>
      </c>
      <c r="AB78" s="190">
        <v>2070928.67</v>
      </c>
      <c r="AC78" s="190">
        <v>1775710.75</v>
      </c>
      <c r="AD78" s="190">
        <v>2560766.17</v>
      </c>
      <c r="AE78" s="190">
        <v>2119081.59</v>
      </c>
      <c r="AF78" s="190">
        <v>2713164.15</v>
      </c>
      <c r="AG78" s="190">
        <v>612187.56999999995</v>
      </c>
      <c r="AH78" s="190">
        <v>485584.96</v>
      </c>
      <c r="AI78" s="190">
        <v>0</v>
      </c>
    </row>
    <row r="79" spans="1:35" x14ac:dyDescent="0.25">
      <c r="A79" s="190" t="s">
        <v>183</v>
      </c>
      <c r="B79" s="190">
        <v>161678313.06</v>
      </c>
      <c r="C79" s="190">
        <v>161678313.06</v>
      </c>
      <c r="D79" s="190">
        <v>161678313.06</v>
      </c>
      <c r="E79" s="190">
        <v>161678313.06</v>
      </c>
      <c r="F79" s="190">
        <v>125608622.54000001</v>
      </c>
      <c r="G79" s="190">
        <v>125608622.54000001</v>
      </c>
      <c r="H79" s="190">
        <v>125608622.54000001</v>
      </c>
      <c r="I79" s="190">
        <v>125608622.54000001</v>
      </c>
      <c r="J79" s="190">
        <v>93526769.629999995</v>
      </c>
      <c r="K79" s="190">
        <v>93526769.629999995</v>
      </c>
      <c r="L79" s="190">
        <v>93526769.629999995</v>
      </c>
      <c r="M79" s="190">
        <v>93526769.629999995</v>
      </c>
      <c r="N79" s="190">
        <v>69903721.870000005</v>
      </c>
      <c r="O79" s="190">
        <v>69903721.870000005</v>
      </c>
      <c r="P79" s="190">
        <v>69903721.870000005</v>
      </c>
      <c r="Q79" s="190">
        <v>69903721.870000005</v>
      </c>
      <c r="R79" s="190">
        <v>60512913.909999996</v>
      </c>
      <c r="S79" s="190">
        <v>60512913.909999996</v>
      </c>
      <c r="T79" s="190">
        <v>60512913.909999996</v>
      </c>
      <c r="U79" s="190">
        <v>60512913.909999996</v>
      </c>
      <c r="V79" s="190">
        <v>49229942.700000003</v>
      </c>
      <c r="W79" s="190">
        <v>49229942.700000003</v>
      </c>
      <c r="X79" s="190">
        <v>49229942.700000003</v>
      </c>
      <c r="Y79" s="190">
        <v>49229942.700000003</v>
      </c>
      <c r="Z79" s="190">
        <v>38763344.090000004</v>
      </c>
      <c r="AA79" s="190">
        <v>38763344.090000004</v>
      </c>
      <c r="AB79" s="190">
        <v>38763344.090000004</v>
      </c>
      <c r="AC79" s="190">
        <v>38763344.090000004</v>
      </c>
      <c r="AD79" s="190">
        <v>26018756.809999999</v>
      </c>
      <c r="AE79" s="190">
        <v>26018756.809999999</v>
      </c>
      <c r="AF79" s="190">
        <v>26018756.809999999</v>
      </c>
      <c r="AG79" s="190">
        <v>16038520.279999999</v>
      </c>
      <c r="AH79" s="190">
        <v>9698587.2300000004</v>
      </c>
      <c r="AI79" s="190">
        <v>0</v>
      </c>
    </row>
    <row r="80" spans="1:35"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row>
    <row r="81" spans="1:35" x14ac:dyDescent="0.25">
      <c r="A81" s="190" t="s">
        <v>185</v>
      </c>
      <c r="B81" s="190">
        <v>1097514459.0899999</v>
      </c>
      <c r="C81" s="190">
        <v>984120596.15999997</v>
      </c>
      <c r="D81" s="190">
        <v>994508543.42999995</v>
      </c>
      <c r="E81" s="190">
        <v>930383872.50999999</v>
      </c>
      <c r="F81" s="190">
        <v>883341124.33000004</v>
      </c>
      <c r="G81" s="190">
        <v>794838261.96000004</v>
      </c>
      <c r="H81" s="190">
        <v>680663307.17999995</v>
      </c>
      <c r="I81" s="190">
        <v>708453778.74000001</v>
      </c>
      <c r="J81" s="190">
        <v>672413569.78999996</v>
      </c>
      <c r="K81" s="190">
        <v>607155082.14999998</v>
      </c>
      <c r="L81" s="190">
        <v>613506795.20000005</v>
      </c>
      <c r="M81" s="190">
        <v>523844312.26999998</v>
      </c>
      <c r="N81" s="190">
        <v>435408006.12</v>
      </c>
      <c r="O81" s="190">
        <v>359669148.26999998</v>
      </c>
      <c r="P81" s="190">
        <v>374415448.94</v>
      </c>
      <c r="Q81" s="190">
        <v>350796697.31999999</v>
      </c>
      <c r="R81" s="190">
        <v>326814331.75</v>
      </c>
      <c r="S81" s="190">
        <v>300552893.77999997</v>
      </c>
      <c r="T81" s="190">
        <v>330254116.07999998</v>
      </c>
      <c r="U81" s="190">
        <v>313270464.06</v>
      </c>
      <c r="V81" s="190">
        <v>290944104.58999997</v>
      </c>
      <c r="W81" s="190">
        <v>263332878.65000001</v>
      </c>
      <c r="X81" s="190">
        <v>272601848.20999998</v>
      </c>
      <c r="Y81" s="190">
        <v>241957841.81999999</v>
      </c>
      <c r="Z81" s="190">
        <v>224913663.5</v>
      </c>
      <c r="AA81" s="190">
        <v>212614905.88999999</v>
      </c>
      <c r="AB81" s="190">
        <v>171026709.05000001</v>
      </c>
      <c r="AC81" s="190">
        <v>212085351.53999999</v>
      </c>
      <c r="AD81" s="190">
        <v>206640180.00999999</v>
      </c>
      <c r="AE81" s="190">
        <v>181730820.56999999</v>
      </c>
      <c r="AF81" s="190">
        <v>140764833.59999999</v>
      </c>
      <c r="AG81" s="190">
        <v>107790704.79000001</v>
      </c>
      <c r="AH81" s="190">
        <v>86907307.299999997</v>
      </c>
      <c r="AI81" s="190">
        <v>0</v>
      </c>
    </row>
    <row r="82" spans="1:35" x14ac:dyDescent="0.25">
      <c r="A82" s="190" t="s">
        <v>186</v>
      </c>
      <c r="B82" s="190">
        <v>4286876793.8299999</v>
      </c>
      <c r="C82" s="190">
        <v>4136280722.8499999</v>
      </c>
      <c r="D82" s="190">
        <v>4083144683.5599999</v>
      </c>
      <c r="E82" s="190">
        <v>4062259183.5799999</v>
      </c>
      <c r="F82" s="190">
        <v>3987249194.7800002</v>
      </c>
      <c r="G82" s="190">
        <v>3918534685.9000001</v>
      </c>
      <c r="H82" s="190">
        <v>3815664775.1199999</v>
      </c>
      <c r="I82" s="190">
        <v>3849618617.5700002</v>
      </c>
      <c r="J82" s="190">
        <v>3761091020.27</v>
      </c>
      <c r="K82" s="190">
        <v>2689801684.9299998</v>
      </c>
      <c r="L82" s="190">
        <v>2678689083.0500002</v>
      </c>
      <c r="M82" s="190">
        <v>2591297732.8400002</v>
      </c>
      <c r="N82" s="190">
        <v>2479470434.5500002</v>
      </c>
      <c r="O82" s="190">
        <v>2403224562.5999999</v>
      </c>
      <c r="P82" s="190">
        <v>2409337159.0500002</v>
      </c>
      <c r="Q82" s="190">
        <v>1375745712.3499999</v>
      </c>
      <c r="R82" s="190">
        <v>1342775727.4000001</v>
      </c>
      <c r="S82" s="190">
        <v>1316299377.1400001</v>
      </c>
      <c r="T82" s="190">
        <v>1345101797.3399999</v>
      </c>
      <c r="U82" s="190">
        <v>1327826505.6600001</v>
      </c>
      <c r="V82" s="190">
        <v>1294368212.5999999</v>
      </c>
      <c r="W82" s="190">
        <v>1266758061.6600001</v>
      </c>
      <c r="X82" s="190">
        <v>1276559138.0899999</v>
      </c>
      <c r="Y82" s="190">
        <v>1244457985.5</v>
      </c>
      <c r="Z82" s="190">
        <v>1216882777.4300001</v>
      </c>
      <c r="AA82" s="190">
        <v>1204799411.96</v>
      </c>
      <c r="AB82" s="190">
        <v>1163261652.3800001</v>
      </c>
      <c r="AC82" s="190">
        <v>1204025076.95</v>
      </c>
      <c r="AD82" s="190">
        <v>382309945.08999997</v>
      </c>
      <c r="AE82" s="190">
        <v>356958901.06999999</v>
      </c>
      <c r="AF82" s="190">
        <v>316586996.66000003</v>
      </c>
      <c r="AG82" s="190">
        <v>271531654.74000001</v>
      </c>
      <c r="AH82" s="190">
        <v>244181721.59</v>
      </c>
      <c r="AI82" s="190">
        <v>0</v>
      </c>
    </row>
    <row r="83" spans="1:35" x14ac:dyDescent="0.25">
      <c r="A83" s="190" t="s">
        <v>187</v>
      </c>
      <c r="B83" s="190">
        <v>158917577.05000001</v>
      </c>
      <c r="C83" s="190">
        <v>156280022.63</v>
      </c>
      <c r="D83" s="190">
        <v>7301521.1100000003</v>
      </c>
      <c r="E83" s="190">
        <v>8094707.5700000003</v>
      </c>
      <c r="F83" s="190">
        <v>8059771.5199999996</v>
      </c>
      <c r="G83" s="190">
        <v>8077652.6500000004</v>
      </c>
      <c r="H83" s="190">
        <v>8053972.9199999999</v>
      </c>
      <c r="I83" s="190">
        <v>8051967.3099999996</v>
      </c>
      <c r="J83" s="190">
        <v>8060633.3300000001</v>
      </c>
      <c r="K83" s="190">
        <v>8017564.2000000002</v>
      </c>
      <c r="L83" s="190">
        <v>8009670.6100000003</v>
      </c>
      <c r="M83" s="190">
        <v>8008614.6100000003</v>
      </c>
      <c r="N83" s="190">
        <v>8095531.5099999998</v>
      </c>
      <c r="O83" s="190">
        <v>7974396.79</v>
      </c>
      <c r="P83" s="190">
        <v>16159013.07</v>
      </c>
      <c r="Q83" s="190">
        <v>16096370.949999999</v>
      </c>
      <c r="R83" s="190">
        <v>15755425.48</v>
      </c>
      <c r="S83" s="190">
        <v>15385772.41</v>
      </c>
      <c r="T83" s="190">
        <v>16058608.310000001</v>
      </c>
      <c r="U83" s="190">
        <v>16465734.699999999</v>
      </c>
      <c r="V83" s="190">
        <v>16478590.380000001</v>
      </c>
      <c r="W83" s="190">
        <v>16732636.109999999</v>
      </c>
      <c r="X83" s="190">
        <v>0</v>
      </c>
      <c r="Y83" s="190">
        <v>0</v>
      </c>
      <c r="Z83" s="190">
        <v>0</v>
      </c>
      <c r="AA83" s="190">
        <v>0</v>
      </c>
      <c r="AB83" s="190">
        <v>0</v>
      </c>
      <c r="AC83" s="190">
        <v>0</v>
      </c>
      <c r="AD83" s="190">
        <v>0</v>
      </c>
      <c r="AE83" s="190">
        <v>0</v>
      </c>
      <c r="AF83" s="190">
        <v>0</v>
      </c>
      <c r="AG83" s="190">
        <v>0</v>
      </c>
      <c r="AH83" s="190">
        <v>0</v>
      </c>
      <c r="AI83" s="190">
        <v>0</v>
      </c>
    </row>
    <row r="84" spans="1:35" x14ac:dyDescent="0.25">
      <c r="A84" s="190" t="s">
        <v>188</v>
      </c>
      <c r="B84" s="190">
        <v>4445794370.8800001</v>
      </c>
      <c r="C84" s="190">
        <v>4292560745.48</v>
      </c>
      <c r="D84" s="190">
        <v>4090446204.6700001</v>
      </c>
      <c r="E84" s="190">
        <v>4070353891.1500001</v>
      </c>
      <c r="F84" s="190">
        <v>3995308966.3000002</v>
      </c>
      <c r="G84" s="190">
        <v>3926612338.5500002</v>
      </c>
      <c r="H84" s="190">
        <v>3823718748.04</v>
      </c>
      <c r="I84" s="190">
        <v>3857670584.8800001</v>
      </c>
      <c r="J84" s="190">
        <v>3769151653.5999999</v>
      </c>
      <c r="K84" s="190">
        <v>2697819249.1300001</v>
      </c>
      <c r="L84" s="190">
        <v>2686698753.6599998</v>
      </c>
      <c r="M84" s="190">
        <v>2599306347.4499998</v>
      </c>
      <c r="N84" s="190">
        <v>2487565966.0599999</v>
      </c>
      <c r="O84" s="190">
        <v>2411198959.3899999</v>
      </c>
      <c r="P84" s="190">
        <v>2425496172.1199999</v>
      </c>
      <c r="Q84" s="190">
        <v>1391842083.3</v>
      </c>
      <c r="R84" s="190">
        <v>1358531152.8800001</v>
      </c>
      <c r="S84" s="190">
        <v>1331685149.55</v>
      </c>
      <c r="T84" s="190">
        <v>1361160405.6500001</v>
      </c>
      <c r="U84" s="190">
        <v>1344292240.3599999</v>
      </c>
      <c r="V84" s="190">
        <v>1310846802.98</v>
      </c>
      <c r="W84" s="190">
        <v>1283490697.77</v>
      </c>
      <c r="X84" s="190">
        <v>1276559138.0899999</v>
      </c>
      <c r="Y84" s="190">
        <v>1244457985.5</v>
      </c>
      <c r="Z84" s="190">
        <v>1216882777.4300001</v>
      </c>
      <c r="AA84" s="190">
        <v>1204799411.96</v>
      </c>
      <c r="AB84" s="190">
        <v>1163261652.3800001</v>
      </c>
      <c r="AC84" s="190">
        <v>1204025076.95</v>
      </c>
      <c r="AD84" s="190">
        <v>382309945.08999997</v>
      </c>
      <c r="AE84" s="190">
        <v>356958901.06999999</v>
      </c>
      <c r="AF84" s="190">
        <v>316586996.66000003</v>
      </c>
      <c r="AG84" s="190">
        <v>271531654.74000001</v>
      </c>
      <c r="AH84" s="190">
        <v>244181721.59</v>
      </c>
      <c r="AI84" s="190">
        <v>0</v>
      </c>
    </row>
    <row r="85" spans="1:35" x14ac:dyDescent="0.25">
      <c r="A85" s="190" t="s">
        <v>189</v>
      </c>
      <c r="B85" s="190">
        <v>4948098516.0100002</v>
      </c>
      <c r="C85" s="190">
        <v>4760929697.0900002</v>
      </c>
      <c r="D85" s="190">
        <v>4526730979.0600004</v>
      </c>
      <c r="E85" s="190">
        <v>4552036091.3400002</v>
      </c>
      <c r="F85" s="190">
        <v>4515449873.0600004</v>
      </c>
      <c r="G85" s="190">
        <v>4464103999.9399996</v>
      </c>
      <c r="H85" s="190">
        <v>4427360361.7399998</v>
      </c>
      <c r="I85" s="190">
        <v>4299897196.8699999</v>
      </c>
      <c r="J85" s="190">
        <v>4675819483.6300001</v>
      </c>
      <c r="K85" s="190">
        <v>3927051597.6700001</v>
      </c>
      <c r="L85" s="190">
        <v>3860979482.9200001</v>
      </c>
      <c r="M85" s="190">
        <v>3018808356.23</v>
      </c>
      <c r="N85" s="190">
        <v>2866121274.0999999</v>
      </c>
      <c r="O85" s="190">
        <v>2706343862.6799998</v>
      </c>
      <c r="P85" s="190">
        <v>2627273919.77</v>
      </c>
      <c r="Q85" s="190">
        <v>1599718932.6900001</v>
      </c>
      <c r="R85" s="190">
        <v>1586056802.1500001</v>
      </c>
      <c r="S85" s="190">
        <v>1520213619.4100001</v>
      </c>
      <c r="T85" s="190">
        <v>1563553741.1400001</v>
      </c>
      <c r="U85" s="190">
        <v>1545800644.53</v>
      </c>
      <c r="V85" s="190">
        <v>1485711408.1900001</v>
      </c>
      <c r="W85" s="190">
        <v>1449759011.75</v>
      </c>
      <c r="X85" s="190">
        <v>1548413985.8399999</v>
      </c>
      <c r="Y85" s="190">
        <v>1498010260.3099999</v>
      </c>
      <c r="Z85" s="190">
        <v>1330964855.6700001</v>
      </c>
      <c r="AA85" s="190">
        <v>1319859643.8900001</v>
      </c>
      <c r="AB85" s="190">
        <v>1391500080.1600001</v>
      </c>
      <c r="AC85" s="190">
        <v>1580730703.77</v>
      </c>
      <c r="AD85" s="190">
        <v>707341674.83000004</v>
      </c>
      <c r="AE85" s="190">
        <v>743818723.38</v>
      </c>
      <c r="AF85" s="190">
        <v>691447616.51999998</v>
      </c>
      <c r="AG85" s="190">
        <v>571024717.01999998</v>
      </c>
      <c r="AH85" s="190">
        <v>484148932.26999998</v>
      </c>
      <c r="AI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K31"/>
  <sheetViews>
    <sheetView workbookViewId="0">
      <selection activeCell="A2" sqref="A2"/>
    </sheetView>
  </sheetViews>
  <sheetFormatPr defaultRowHeight="14.4" x14ac:dyDescent="0.25"/>
  <cols>
    <col min="1" max="1" width="39.109375" style="190" bestFit="1" customWidth="1"/>
    <col min="2" max="3" width="12.77734375" style="190" hidden="1" customWidth="1"/>
    <col min="4" max="4" width="13.88671875" style="190" hidden="1" customWidth="1"/>
    <col min="5" max="5" width="12.77734375" style="190" bestFit="1" customWidth="1"/>
    <col min="6" max="6" width="13.88671875" style="190" hidden="1" customWidth="1"/>
    <col min="7" max="8" width="12.77734375" style="190" hidden="1" customWidth="1"/>
    <col min="9" max="9" width="12.77734375" style="190" bestFit="1" customWidth="1"/>
    <col min="10" max="12" width="12.77734375" style="190" hidden="1" customWidth="1"/>
    <col min="13" max="13" width="13.88671875" style="190" bestFit="1" customWidth="1"/>
    <col min="14" max="15" width="13.88671875" style="190" hidden="1" customWidth="1"/>
    <col min="16"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4" width="12.77734375" style="190" hidden="1" customWidth="1"/>
    <col min="35" max="36" width="12.77734375" style="190" bestFit="1" customWidth="1"/>
    <col min="37" max="37" width="9.5546875" style="190" hidden="1" customWidth="1"/>
    <col min="38" max="16384" width="8.88671875" style="190"/>
  </cols>
  <sheetData>
    <row r="1" spans="1:37" x14ac:dyDescent="0.25">
      <c r="A1" s="190">
        <v>2643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20091231</v>
      </c>
      <c r="AJ1" s="190">
        <v>20081231</v>
      </c>
      <c r="AK1" s="190">
        <v>19700101</v>
      </c>
    </row>
    <row r="2" spans="1:37"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row>
    <row r="3" spans="1:37" x14ac:dyDescent="0.25">
      <c r="A3" s="190" t="s">
        <v>190</v>
      </c>
      <c r="B3" s="190">
        <v>1849934355.4400001</v>
      </c>
      <c r="C3" s="190">
        <v>1277996624.8399999</v>
      </c>
      <c r="D3" s="190">
        <v>657642184.55999994</v>
      </c>
      <c r="E3" s="190">
        <v>2456391218.1599998</v>
      </c>
      <c r="F3" s="190">
        <v>1797303663.71</v>
      </c>
      <c r="G3" s="190">
        <v>1262280095.75</v>
      </c>
      <c r="H3" s="190">
        <v>612156580.71000004</v>
      </c>
      <c r="I3" s="190">
        <v>1847391081.8399999</v>
      </c>
      <c r="J3" s="190">
        <v>1324775375.3399999</v>
      </c>
      <c r="K3" s="190">
        <v>888376461.49000001</v>
      </c>
      <c r="L3" s="190">
        <v>423001389.69</v>
      </c>
      <c r="M3" s="190">
        <v>1631042560</v>
      </c>
      <c r="N3" s="190">
        <v>1022711562.04</v>
      </c>
      <c r="O3" s="190">
        <v>615138524.07000005</v>
      </c>
      <c r="P3" s="190">
        <v>265749041.91</v>
      </c>
      <c r="Q3" s="190">
        <v>1068796191.5700001</v>
      </c>
      <c r="R3" s="190">
        <v>705098562.99000001</v>
      </c>
      <c r="S3" s="190">
        <v>433011175.55000001</v>
      </c>
      <c r="T3" s="190">
        <v>196981639.65000001</v>
      </c>
      <c r="U3" s="190">
        <v>965382340.42999995</v>
      </c>
      <c r="V3" s="190">
        <v>705638264.82000005</v>
      </c>
      <c r="W3" s="190">
        <v>483178236.35000002</v>
      </c>
      <c r="X3" s="190">
        <v>221315195.03</v>
      </c>
      <c r="Y3" s="190">
        <v>789577816.87</v>
      </c>
      <c r="Z3" s="190">
        <v>539360672.49000001</v>
      </c>
      <c r="AA3" s="190">
        <v>394771497.57999998</v>
      </c>
      <c r="AB3" s="190">
        <v>177632246.53</v>
      </c>
      <c r="AC3" s="190">
        <v>820090562.65999997</v>
      </c>
      <c r="AD3" s="190">
        <v>640951585.91999996</v>
      </c>
      <c r="AE3" s="190">
        <v>469202622.25999999</v>
      </c>
      <c r="AF3" s="190">
        <v>205970417.91999999</v>
      </c>
      <c r="AG3" s="190">
        <v>731662751.10000002</v>
      </c>
      <c r="AH3" s="190">
        <v>538217516.25999999</v>
      </c>
      <c r="AI3" s="190">
        <v>404874884.06999999</v>
      </c>
      <c r="AJ3" s="190">
        <v>639478592.48000002</v>
      </c>
      <c r="AK3" s="190">
        <v>0</v>
      </c>
    </row>
    <row r="4" spans="1:37" x14ac:dyDescent="0.25">
      <c r="A4" s="190" t="s">
        <v>191</v>
      </c>
      <c r="B4" s="190">
        <v>1849934355.4400001</v>
      </c>
      <c r="C4" s="190">
        <v>1277996624.8399999</v>
      </c>
      <c r="D4" s="190">
        <v>657642184.55999994</v>
      </c>
      <c r="E4" s="190">
        <v>2456391218.1599998</v>
      </c>
      <c r="F4" s="190">
        <v>1797303663.71</v>
      </c>
      <c r="G4" s="190">
        <v>1262280095.75</v>
      </c>
      <c r="H4" s="190">
        <v>612156580.71000004</v>
      </c>
      <c r="I4" s="190">
        <v>1847391081.8399999</v>
      </c>
      <c r="J4" s="190">
        <v>1324775375.3399999</v>
      </c>
      <c r="K4" s="190">
        <v>888376461.49000001</v>
      </c>
      <c r="L4" s="190">
        <v>423001389.69</v>
      </c>
      <c r="M4" s="190">
        <v>1631042560</v>
      </c>
      <c r="N4" s="190">
        <v>1022711562.04</v>
      </c>
      <c r="O4" s="190">
        <v>615138524.07000005</v>
      </c>
      <c r="P4" s="190">
        <v>265749041.91</v>
      </c>
      <c r="Q4" s="190">
        <v>1068796191.5700001</v>
      </c>
      <c r="R4" s="190">
        <v>705098562.99000001</v>
      </c>
      <c r="S4" s="190">
        <v>433011175.55000001</v>
      </c>
      <c r="T4" s="190">
        <v>196981639.65000001</v>
      </c>
      <c r="U4" s="190">
        <v>965382340.42999995</v>
      </c>
      <c r="V4" s="190">
        <v>705638264.82000005</v>
      </c>
      <c r="W4" s="190">
        <v>483178236.35000002</v>
      </c>
      <c r="X4" s="190">
        <v>221315195.03</v>
      </c>
      <c r="Y4" s="190">
        <v>789577816.87</v>
      </c>
      <c r="Z4" s="190">
        <v>539360672.49000001</v>
      </c>
      <c r="AA4" s="190">
        <v>394771497.57999998</v>
      </c>
      <c r="AB4" s="190">
        <v>177632246.53</v>
      </c>
      <c r="AC4" s="190">
        <v>820090562.65999997</v>
      </c>
      <c r="AD4" s="190">
        <v>640951585.91999996</v>
      </c>
      <c r="AE4" s="190">
        <v>469202622.25999999</v>
      </c>
      <c r="AF4" s="190">
        <v>205970417.91999999</v>
      </c>
      <c r="AG4" s="190">
        <v>731662751.10000002</v>
      </c>
      <c r="AH4" s="190">
        <v>538217516.25999999</v>
      </c>
      <c r="AI4" s="190">
        <v>404874884.06999999</v>
      </c>
      <c r="AJ4" s="190">
        <v>639478592.48000002</v>
      </c>
      <c r="AK4" s="190">
        <v>0</v>
      </c>
    </row>
    <row r="5" spans="1:37" x14ac:dyDescent="0.25">
      <c r="A5" s="190" t="s">
        <v>192</v>
      </c>
      <c r="B5" s="190">
        <v>1504798094.1900001</v>
      </c>
      <c r="C5" s="190">
        <v>1067138382.58</v>
      </c>
      <c r="D5" s="190">
        <v>585194747</v>
      </c>
      <c r="E5" s="190">
        <v>2034281961.3199999</v>
      </c>
      <c r="F5" s="190">
        <v>1457109797.1099999</v>
      </c>
      <c r="G5" s="190">
        <v>1015661612.0599999</v>
      </c>
      <c r="H5" s="190">
        <v>496916255.81999999</v>
      </c>
      <c r="I5" s="190">
        <v>1503293744.5</v>
      </c>
      <c r="J5" s="190">
        <v>1055005318</v>
      </c>
      <c r="K5" s="190">
        <v>691278767.86000001</v>
      </c>
      <c r="L5" s="190">
        <v>326637699.12</v>
      </c>
      <c r="M5" s="190">
        <v>1354429993.1500001</v>
      </c>
      <c r="N5" s="190">
        <v>854800623.60000002</v>
      </c>
      <c r="O5" s="190">
        <v>536661937.56999999</v>
      </c>
      <c r="P5" s="190">
        <v>238240498.86000001</v>
      </c>
      <c r="Q5" s="190">
        <v>971029341.58000004</v>
      </c>
      <c r="R5" s="190">
        <v>637032973.20000005</v>
      </c>
      <c r="S5" s="190">
        <v>393250373.12</v>
      </c>
      <c r="T5" s="190">
        <v>177616863.99000001</v>
      </c>
      <c r="U5" s="190">
        <v>830397329.60000002</v>
      </c>
      <c r="V5" s="190">
        <v>608246035.66999996</v>
      </c>
      <c r="W5" s="190">
        <v>412618414.31999999</v>
      </c>
      <c r="X5" s="190">
        <v>185720043.25999999</v>
      </c>
      <c r="Y5" s="190">
        <v>673609188.85000002</v>
      </c>
      <c r="Z5" s="190">
        <v>449831558.39999998</v>
      </c>
      <c r="AA5" s="190">
        <v>318643361.12</v>
      </c>
      <c r="AB5" s="190">
        <v>148996615.50999999</v>
      </c>
      <c r="AC5" s="190">
        <v>691531940.67999995</v>
      </c>
      <c r="AD5" s="190">
        <v>530909389.60000002</v>
      </c>
      <c r="AE5" s="190">
        <v>385869638.37</v>
      </c>
      <c r="AF5" s="190">
        <v>170809610.47</v>
      </c>
      <c r="AG5" s="190">
        <v>619633275.08000004</v>
      </c>
      <c r="AH5" s="190">
        <v>452364901.25</v>
      </c>
      <c r="AI5" s="190">
        <v>331072789.50999999</v>
      </c>
      <c r="AJ5" s="190">
        <v>536507956.55000001</v>
      </c>
      <c r="AK5" s="190">
        <v>0</v>
      </c>
    </row>
    <row r="6" spans="1:37" x14ac:dyDescent="0.25">
      <c r="A6" s="190" t="s">
        <v>193</v>
      </c>
      <c r="B6" s="190">
        <v>1135658201.5899999</v>
      </c>
      <c r="C6" s="190">
        <v>804497078.79999995</v>
      </c>
      <c r="D6" s="190">
        <v>437269597.19999999</v>
      </c>
      <c r="E6" s="190">
        <v>1483217632.6600001</v>
      </c>
      <c r="F6" s="190">
        <v>1076327673.26</v>
      </c>
      <c r="G6" s="190">
        <v>763209419.25999999</v>
      </c>
      <c r="H6" s="190">
        <v>379066624.18000001</v>
      </c>
      <c r="I6" s="190">
        <v>1093192340.75</v>
      </c>
      <c r="J6" s="190">
        <v>774816435.69000006</v>
      </c>
      <c r="K6" s="190">
        <v>523069803.54000002</v>
      </c>
      <c r="L6" s="190">
        <v>261347307.03</v>
      </c>
      <c r="M6" s="190">
        <v>1072076772.12</v>
      </c>
      <c r="N6" s="190">
        <v>666132747.07000005</v>
      </c>
      <c r="O6" s="190">
        <v>408201899.26999998</v>
      </c>
      <c r="P6" s="190">
        <v>177861626.05000001</v>
      </c>
      <c r="Q6" s="190">
        <v>768038724.02999997</v>
      </c>
      <c r="R6" s="190">
        <v>507051456.85000002</v>
      </c>
      <c r="S6" s="190">
        <v>315018885.75999999</v>
      </c>
      <c r="T6" s="190">
        <v>139161166.72</v>
      </c>
      <c r="U6" s="190">
        <v>670813034.48000002</v>
      </c>
      <c r="V6" s="190">
        <v>496650507.01999998</v>
      </c>
      <c r="W6" s="190">
        <v>341931917.73000002</v>
      </c>
      <c r="X6" s="190">
        <v>156289971.44999999</v>
      </c>
      <c r="Y6" s="190">
        <v>521890826.97000003</v>
      </c>
      <c r="Z6" s="190">
        <v>355153963.38</v>
      </c>
      <c r="AA6" s="190">
        <v>254538342.21000001</v>
      </c>
      <c r="AB6" s="190">
        <v>119441195.91</v>
      </c>
      <c r="AC6" s="190">
        <v>531176597.10000002</v>
      </c>
      <c r="AD6" s="190">
        <v>402979000.42000002</v>
      </c>
      <c r="AE6" s="190">
        <v>294317658.50999999</v>
      </c>
      <c r="AF6" s="190">
        <v>134954397.66</v>
      </c>
      <c r="AG6" s="190">
        <v>498840802.37</v>
      </c>
      <c r="AH6" s="190">
        <v>366482751.81999999</v>
      </c>
      <c r="AI6" s="190">
        <v>249155678</v>
      </c>
      <c r="AJ6" s="190">
        <v>447889209.37</v>
      </c>
      <c r="AK6" s="190">
        <v>0</v>
      </c>
    </row>
    <row r="7" spans="1:37" x14ac:dyDescent="0.25">
      <c r="A7" s="190" t="s">
        <v>194</v>
      </c>
      <c r="B7" s="190">
        <v>23191224.52</v>
      </c>
      <c r="C7" s="190">
        <v>16542253.810000001</v>
      </c>
      <c r="D7" s="190">
        <v>8779622.5099999998</v>
      </c>
      <c r="E7" s="190">
        <v>29290483.289999999</v>
      </c>
      <c r="F7" s="190">
        <v>20515098.809999999</v>
      </c>
      <c r="G7" s="190">
        <v>14190798.9</v>
      </c>
      <c r="H7" s="190">
        <v>7259068.7199999997</v>
      </c>
      <c r="I7" s="190">
        <v>19407331.18</v>
      </c>
      <c r="J7" s="190">
        <v>7888050.0099999998</v>
      </c>
      <c r="K7" s="190">
        <v>5589750.1100000003</v>
      </c>
      <c r="L7" s="190">
        <v>1931265.36</v>
      </c>
      <c r="M7" s="190">
        <v>13891686.960000001</v>
      </c>
      <c r="N7" s="190">
        <v>11091047.01</v>
      </c>
      <c r="O7" s="190">
        <v>7469738.3899999997</v>
      </c>
      <c r="P7" s="190">
        <v>3557840.46</v>
      </c>
      <c r="Q7" s="190">
        <v>9556522.0099999998</v>
      </c>
      <c r="R7" s="190">
        <v>6871760.4199999999</v>
      </c>
      <c r="S7" s="190">
        <v>4342226.78</v>
      </c>
      <c r="T7" s="190">
        <v>2075024.7</v>
      </c>
      <c r="U7" s="190">
        <v>7449893.2199999997</v>
      </c>
      <c r="V7" s="190">
        <v>4833119.1500000004</v>
      </c>
      <c r="W7" s="190">
        <v>2868816.48</v>
      </c>
      <c r="X7" s="190">
        <v>591991.57999999996</v>
      </c>
      <c r="Y7" s="190">
        <v>6498688.8600000003</v>
      </c>
      <c r="Z7" s="190">
        <v>5460486.7300000004</v>
      </c>
      <c r="AA7" s="190">
        <v>3884074.67</v>
      </c>
      <c r="AB7" s="190">
        <v>1261607.6399999999</v>
      </c>
      <c r="AC7" s="190">
        <v>7563965.7599999998</v>
      </c>
      <c r="AD7" s="190">
        <v>6183916.9900000002</v>
      </c>
      <c r="AE7" s="190">
        <v>3394963.58</v>
      </c>
      <c r="AF7" s="190">
        <v>1168668.52</v>
      </c>
      <c r="AG7" s="190">
        <v>5622497.25</v>
      </c>
      <c r="AH7" s="190">
        <v>4295612.0999999996</v>
      </c>
      <c r="AI7" s="190">
        <v>4126801.4</v>
      </c>
      <c r="AJ7" s="190">
        <v>4576691.03</v>
      </c>
      <c r="AK7" s="190">
        <v>0</v>
      </c>
    </row>
    <row r="8" spans="1:37" x14ac:dyDescent="0.25">
      <c r="A8" s="190" t="s">
        <v>195</v>
      </c>
      <c r="B8" s="190">
        <v>110648258.59999999</v>
      </c>
      <c r="C8" s="190">
        <v>72758768.090000004</v>
      </c>
      <c r="D8" s="190">
        <v>28654047.329999998</v>
      </c>
      <c r="E8" s="190">
        <v>161946615.94</v>
      </c>
      <c r="F8" s="190">
        <v>115835567.73999999</v>
      </c>
      <c r="G8" s="190">
        <v>79063494.579999998</v>
      </c>
      <c r="H8" s="190">
        <v>38085936.170000002</v>
      </c>
      <c r="I8" s="190">
        <v>127782137.45999999</v>
      </c>
      <c r="J8" s="190">
        <v>79823343.730000004</v>
      </c>
      <c r="K8" s="190">
        <v>44739353.159999996</v>
      </c>
      <c r="L8" s="190">
        <v>4311945.47</v>
      </c>
      <c r="M8" s="190">
        <v>38193258.799999997</v>
      </c>
      <c r="N8" s="190">
        <v>30523308.300000001</v>
      </c>
      <c r="O8" s="190">
        <v>16053033.359999999</v>
      </c>
      <c r="P8" s="190">
        <v>7590713.0899999999</v>
      </c>
      <c r="Q8" s="190">
        <v>24163207.609999999</v>
      </c>
      <c r="R8" s="190">
        <v>15881130.720000001</v>
      </c>
      <c r="S8" s="190">
        <v>11730498.82</v>
      </c>
      <c r="T8" s="190">
        <v>5135968.8099999996</v>
      </c>
      <c r="U8" s="190">
        <v>16340221.83</v>
      </c>
      <c r="V8" s="190">
        <v>12802972.93</v>
      </c>
      <c r="W8" s="190">
        <v>7576609.4900000002</v>
      </c>
      <c r="X8" s="190">
        <v>2902536.7</v>
      </c>
      <c r="Y8" s="190">
        <v>17382391.079999998</v>
      </c>
      <c r="Z8" s="190">
        <v>10896233.470000001</v>
      </c>
      <c r="AA8" s="190">
        <v>7025899.1500000004</v>
      </c>
      <c r="AB8" s="190">
        <v>4075108.68</v>
      </c>
      <c r="AC8" s="190">
        <v>18337717.219999999</v>
      </c>
      <c r="AD8" s="190">
        <v>16095605.960000001</v>
      </c>
      <c r="AE8" s="190">
        <v>11738887.710000001</v>
      </c>
      <c r="AF8" s="190">
        <v>3767219.08</v>
      </c>
      <c r="AG8" s="190">
        <v>10156455.640000001</v>
      </c>
      <c r="AH8" s="190">
        <v>7771348.21</v>
      </c>
      <c r="AI8" s="190">
        <v>6459453.6500000004</v>
      </c>
      <c r="AJ8" s="190">
        <v>6710158.71</v>
      </c>
      <c r="AK8" s="190">
        <v>0</v>
      </c>
    </row>
    <row r="9" spans="1:37" x14ac:dyDescent="0.25">
      <c r="A9" s="190" t="s">
        <v>196</v>
      </c>
      <c r="B9" s="190">
        <v>145536471.53999999</v>
      </c>
      <c r="C9" s="190">
        <v>181401307.44999999</v>
      </c>
      <c r="D9" s="190">
        <v>91954482.650000006</v>
      </c>
      <c r="E9" s="190">
        <v>322376512.32999998</v>
      </c>
      <c r="F9" s="190">
        <v>227571290.36000001</v>
      </c>
      <c r="G9" s="190">
        <v>149051947.09</v>
      </c>
      <c r="H9" s="190">
        <v>70210928.969999999</v>
      </c>
      <c r="I9" s="190">
        <v>248517248.97</v>
      </c>
      <c r="J9" s="190">
        <v>179481284.69999999</v>
      </c>
      <c r="K9" s="190">
        <v>114411910.42</v>
      </c>
      <c r="L9" s="190">
        <v>50658210.920000002</v>
      </c>
      <c r="M9" s="190">
        <v>251304890.34999999</v>
      </c>
      <c r="N9" s="190">
        <v>172162246.28</v>
      </c>
      <c r="O9" s="190">
        <v>121462995.86</v>
      </c>
      <c r="P9" s="190">
        <v>51106501.609999999</v>
      </c>
      <c r="Q9" s="190">
        <v>159983783.44</v>
      </c>
      <c r="R9" s="190">
        <v>111377146.03</v>
      </c>
      <c r="S9" s="190">
        <v>65725165.530000001</v>
      </c>
      <c r="T9" s="190">
        <v>31816342.18</v>
      </c>
      <c r="U9" s="190">
        <v>122575848.34999999</v>
      </c>
      <c r="V9" s="190">
        <v>86828470.189999998</v>
      </c>
      <c r="W9" s="190">
        <v>53964969.229999997</v>
      </c>
      <c r="X9" s="190">
        <v>25488351.719999999</v>
      </c>
      <c r="Y9" s="190">
        <v>116980991.06999999</v>
      </c>
      <c r="Z9" s="190">
        <v>78100978.640000001</v>
      </c>
      <c r="AA9" s="190">
        <v>49409278.43</v>
      </c>
      <c r="AB9" s="190">
        <v>23011740.16</v>
      </c>
      <c r="AC9" s="190">
        <v>102116537.31</v>
      </c>
      <c r="AD9" s="190">
        <v>82818317.629999995</v>
      </c>
      <c r="AE9" s="190">
        <v>57192219.799999997</v>
      </c>
      <c r="AF9" s="190">
        <v>26394348.949999999</v>
      </c>
      <c r="AG9" s="190">
        <v>80905786.969999999</v>
      </c>
      <c r="AH9" s="190">
        <v>58116124.539999999</v>
      </c>
      <c r="AI9" s="190">
        <v>49034496.270000003</v>
      </c>
      <c r="AJ9" s="190">
        <v>47734088.259999998</v>
      </c>
      <c r="AK9" s="190">
        <v>0</v>
      </c>
    </row>
    <row r="10" spans="1:37" x14ac:dyDescent="0.25">
      <c r="A10" s="190" t="s">
        <v>197</v>
      </c>
      <c r="B10" s="190">
        <v>-41517260.700000003</v>
      </c>
      <c r="C10" s="190">
        <v>-16547966.6</v>
      </c>
      <c r="D10" s="190">
        <v>18019538.379999999</v>
      </c>
      <c r="E10" s="190">
        <v>18774405.699999999</v>
      </c>
      <c r="F10" s="190">
        <v>12811691.41</v>
      </c>
      <c r="G10" s="190">
        <v>6341483.3700000001</v>
      </c>
      <c r="H10" s="190">
        <v>2323167.48</v>
      </c>
      <c r="I10" s="190">
        <v>-1729116.22</v>
      </c>
      <c r="J10" s="190">
        <v>10100781.220000001</v>
      </c>
      <c r="K10" s="190">
        <v>1886322.93</v>
      </c>
      <c r="L10" s="190">
        <v>8726252.4700000007</v>
      </c>
      <c r="M10" s="190">
        <v>-50415377.359999999</v>
      </c>
      <c r="N10" s="190">
        <v>-21080294.359999999</v>
      </c>
      <c r="O10" s="190">
        <v>-12497298.609999999</v>
      </c>
      <c r="P10" s="190">
        <v>-1876182.35</v>
      </c>
      <c r="Q10" s="190">
        <v>-5830414.0300000003</v>
      </c>
      <c r="R10" s="190">
        <v>-4825255.8600000003</v>
      </c>
      <c r="S10" s="190">
        <v>-4243138.8099999996</v>
      </c>
      <c r="T10" s="190">
        <v>-571638.42000000004</v>
      </c>
      <c r="U10" s="190">
        <v>7763315.3799999999</v>
      </c>
      <c r="V10" s="190">
        <v>6252847.4400000004</v>
      </c>
      <c r="W10" s="190">
        <v>5397982.4500000002</v>
      </c>
      <c r="X10" s="190">
        <v>447191.81</v>
      </c>
      <c r="Y10" s="190">
        <v>-3248124.57</v>
      </c>
      <c r="Z10" s="190">
        <v>-2438942.9900000002</v>
      </c>
      <c r="AA10" s="190">
        <v>-826896.2</v>
      </c>
      <c r="AB10" s="190">
        <v>1206963.1200000001</v>
      </c>
      <c r="AC10" s="190">
        <v>15704298.779999999</v>
      </c>
      <c r="AD10" s="190">
        <v>12927230.65</v>
      </c>
      <c r="AE10" s="190">
        <v>9320590.8200000003</v>
      </c>
      <c r="AF10" s="190">
        <v>3892186.12</v>
      </c>
      <c r="AG10" s="190">
        <v>13156554.99</v>
      </c>
      <c r="AH10" s="190">
        <v>7153456.8099999996</v>
      </c>
      <c r="AI10" s="190">
        <v>14830022.32</v>
      </c>
      <c r="AJ10" s="190">
        <v>26978204.850000001</v>
      </c>
      <c r="AK10" s="190">
        <v>0</v>
      </c>
    </row>
    <row r="11" spans="1:37" x14ac:dyDescent="0.25">
      <c r="A11" s="190" t="s">
        <v>198</v>
      </c>
      <c r="B11" s="190">
        <v>8686952.8499999996</v>
      </c>
      <c r="C11" s="190">
        <v>8486941.0299999993</v>
      </c>
      <c r="D11" s="190">
        <v>517458.93</v>
      </c>
      <c r="E11" s="190">
        <v>18676311.399999999</v>
      </c>
      <c r="F11" s="190">
        <v>4048475.53</v>
      </c>
      <c r="G11" s="190">
        <v>3804468.86</v>
      </c>
      <c r="H11" s="190">
        <v>-29469.7</v>
      </c>
      <c r="I11" s="190">
        <v>16123802.359999999</v>
      </c>
      <c r="J11" s="190">
        <v>2895422.65</v>
      </c>
      <c r="K11" s="190">
        <v>1581627.7</v>
      </c>
      <c r="L11" s="190">
        <v>-337282.13</v>
      </c>
      <c r="M11" s="190">
        <v>29378762.280000001</v>
      </c>
      <c r="N11" s="190">
        <v>-4028430.7</v>
      </c>
      <c r="O11" s="190">
        <v>-4028430.7</v>
      </c>
      <c r="P11" s="190">
        <v>0</v>
      </c>
      <c r="Q11" s="190">
        <v>15117518.52</v>
      </c>
      <c r="R11" s="190">
        <v>676735.04</v>
      </c>
      <c r="S11" s="190">
        <v>676735.04</v>
      </c>
      <c r="T11" s="190">
        <v>0</v>
      </c>
      <c r="U11" s="190">
        <v>5455016.3399999999</v>
      </c>
      <c r="V11" s="190">
        <v>878118.94</v>
      </c>
      <c r="W11" s="190">
        <v>878118.94</v>
      </c>
      <c r="X11" s="190">
        <v>0</v>
      </c>
      <c r="Y11" s="190">
        <v>14104415.439999999</v>
      </c>
      <c r="Z11" s="190">
        <v>2658839.17</v>
      </c>
      <c r="AA11" s="190">
        <v>4612662.8600000003</v>
      </c>
      <c r="AB11" s="190">
        <v>0</v>
      </c>
      <c r="AC11" s="190">
        <v>16632824.51</v>
      </c>
      <c r="AD11" s="190">
        <v>9905317.9499999993</v>
      </c>
      <c r="AE11" s="190">
        <v>9905317.9499999993</v>
      </c>
      <c r="AF11" s="190">
        <v>632790.14</v>
      </c>
      <c r="AG11" s="190">
        <v>10951177.859999999</v>
      </c>
      <c r="AH11" s="190">
        <v>8545607.7699999996</v>
      </c>
      <c r="AI11" s="190">
        <v>7466337.8700000001</v>
      </c>
      <c r="AJ11" s="190">
        <v>2619604.33</v>
      </c>
      <c r="AK11" s="190">
        <v>0</v>
      </c>
    </row>
    <row r="12" spans="1:37"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row>
    <row r="13" spans="1:37" x14ac:dyDescent="0.25">
      <c r="A13" s="190" t="s">
        <v>200</v>
      </c>
      <c r="B13" s="190">
        <v>6630461.0800000001</v>
      </c>
      <c r="C13" s="190">
        <v>3985461.08</v>
      </c>
      <c r="D13" s="190">
        <v>2777250</v>
      </c>
      <c r="E13" s="190">
        <v>11424551.82</v>
      </c>
      <c r="F13" s="190">
        <v>5958671.5499999998</v>
      </c>
      <c r="G13" s="190">
        <v>2948671.55</v>
      </c>
      <c r="H13" s="190">
        <v>2796666.67</v>
      </c>
      <c r="I13" s="190">
        <v>16636609.83</v>
      </c>
      <c r="J13" s="190">
        <v>19035752.93</v>
      </c>
      <c r="K13" s="190">
        <v>15160752.93</v>
      </c>
      <c r="L13" s="190">
        <v>9125000</v>
      </c>
      <c r="M13" s="190">
        <v>17046857.07</v>
      </c>
      <c r="N13" s="190">
        <v>921630.25</v>
      </c>
      <c r="O13" s="190">
        <v>963291.36</v>
      </c>
      <c r="P13" s="190">
        <v>0</v>
      </c>
      <c r="Q13" s="190">
        <v>2084177.5</v>
      </c>
      <c r="R13" s="190">
        <v>917949.38</v>
      </c>
      <c r="S13" s="190">
        <v>917949.38</v>
      </c>
      <c r="T13" s="190">
        <v>0</v>
      </c>
      <c r="U13" s="190">
        <v>1109427.94</v>
      </c>
      <c r="V13" s="190">
        <v>685467.8</v>
      </c>
      <c r="W13" s="190">
        <v>685467.8</v>
      </c>
      <c r="X13" s="190">
        <v>0</v>
      </c>
      <c r="Y13" s="190">
        <v>1641093.94</v>
      </c>
      <c r="Z13" s="190">
        <v>97671.69</v>
      </c>
      <c r="AA13" s="190">
        <v>97671.69</v>
      </c>
      <c r="AB13" s="190">
        <v>0</v>
      </c>
      <c r="AC13" s="190">
        <v>1854065.85</v>
      </c>
      <c r="AD13" s="190">
        <v>960699.51</v>
      </c>
      <c r="AE13" s="190">
        <v>960699.51</v>
      </c>
      <c r="AF13" s="190">
        <v>0</v>
      </c>
      <c r="AG13" s="190">
        <v>1618437.56</v>
      </c>
      <c r="AH13" s="190">
        <v>461717.08</v>
      </c>
      <c r="AI13" s="190">
        <v>529831.25</v>
      </c>
      <c r="AJ13" s="190">
        <v>2975960.3</v>
      </c>
      <c r="AK13" s="190">
        <v>0</v>
      </c>
    </row>
    <row r="14" spans="1:37" x14ac:dyDescent="0.25">
      <c r="A14" s="190" t="s">
        <v>201</v>
      </c>
      <c r="B14" s="190">
        <v>1208211.08</v>
      </c>
      <c r="C14" s="190">
        <v>1208211.08</v>
      </c>
      <c r="D14" s="190">
        <v>0</v>
      </c>
      <c r="E14" s="190">
        <v>-734614.85</v>
      </c>
      <c r="F14" s="190">
        <v>-2437995.12</v>
      </c>
      <c r="G14" s="190">
        <v>-2437995.12</v>
      </c>
      <c r="H14" s="190">
        <v>0</v>
      </c>
      <c r="I14" s="190">
        <v>-2525890.17</v>
      </c>
      <c r="J14" s="190">
        <v>3168252.93</v>
      </c>
      <c r="K14" s="190">
        <v>3168252.93</v>
      </c>
      <c r="L14" s="190">
        <v>0</v>
      </c>
      <c r="M14" s="190">
        <v>10697542</v>
      </c>
      <c r="N14" s="190">
        <v>921630.25</v>
      </c>
      <c r="O14" s="190">
        <v>963291.36</v>
      </c>
      <c r="P14" s="190">
        <v>0</v>
      </c>
      <c r="Q14" s="190">
        <v>2084177.5</v>
      </c>
      <c r="R14" s="190">
        <v>917949.38</v>
      </c>
      <c r="S14" s="190">
        <v>917949.38</v>
      </c>
      <c r="T14" s="190">
        <v>0</v>
      </c>
      <c r="U14" s="190">
        <v>1109427.94</v>
      </c>
      <c r="V14" s="190">
        <v>685467.8</v>
      </c>
      <c r="W14" s="190">
        <v>685467.8</v>
      </c>
      <c r="X14" s="190">
        <v>0</v>
      </c>
      <c r="Y14" s="190">
        <v>1641093.94</v>
      </c>
      <c r="Z14" s="190">
        <v>0</v>
      </c>
      <c r="AA14" s="190">
        <v>97671.69</v>
      </c>
      <c r="AB14" s="190">
        <v>0</v>
      </c>
      <c r="AC14" s="190">
        <v>1854065.85</v>
      </c>
      <c r="AD14" s="190">
        <v>0</v>
      </c>
      <c r="AE14" s="190">
        <v>960699.51</v>
      </c>
      <c r="AF14" s="190">
        <v>0</v>
      </c>
      <c r="AG14" s="190">
        <v>1618437.56</v>
      </c>
      <c r="AH14" s="190">
        <v>0</v>
      </c>
      <c r="AI14" s="190">
        <v>529831.25</v>
      </c>
      <c r="AJ14" s="190">
        <v>2975960.3</v>
      </c>
      <c r="AK14" s="190">
        <v>0</v>
      </c>
    </row>
    <row r="15" spans="1:37"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row>
    <row r="16" spans="1:37" x14ac:dyDescent="0.25">
      <c r="A16" s="190" t="s">
        <v>203</v>
      </c>
      <c r="B16" s="190">
        <v>354958312.56999999</v>
      </c>
      <c r="C16" s="190">
        <v>216924255.5</v>
      </c>
      <c r="D16" s="190">
        <v>76086846.319999993</v>
      </c>
      <c r="E16" s="190">
        <v>441138642.75</v>
      </c>
      <c r="F16" s="190">
        <v>346152538.14999998</v>
      </c>
      <c r="G16" s="190">
        <v>249567155.24000001</v>
      </c>
      <c r="H16" s="190">
        <v>118036991.56</v>
      </c>
      <c r="I16" s="190">
        <v>360733947.17000002</v>
      </c>
      <c r="J16" s="190">
        <v>288805810.26999998</v>
      </c>
      <c r="K16" s="190">
        <v>212258446.56</v>
      </c>
      <c r="L16" s="190">
        <v>105488690.56999999</v>
      </c>
      <c r="M16" s="190">
        <v>293659423.92000002</v>
      </c>
      <c r="N16" s="190">
        <v>168832568.69</v>
      </c>
      <c r="O16" s="190">
        <v>79439877.859999999</v>
      </c>
      <c r="P16" s="190">
        <v>27508543.050000001</v>
      </c>
      <c r="Q16" s="190">
        <v>99851027.489999995</v>
      </c>
      <c r="R16" s="190">
        <v>68983539.170000002</v>
      </c>
      <c r="S16" s="190">
        <v>40678751.810000002</v>
      </c>
      <c r="T16" s="190">
        <v>19364775.66</v>
      </c>
      <c r="U16" s="190">
        <v>136094438.77000001</v>
      </c>
      <c r="V16" s="190">
        <v>98077696.950000003</v>
      </c>
      <c r="W16" s="190">
        <v>71245289.829999998</v>
      </c>
      <c r="X16" s="190">
        <v>35595151.770000003</v>
      </c>
      <c r="Y16" s="190">
        <v>117609721.95999999</v>
      </c>
      <c r="Z16" s="190">
        <v>89626785.780000001</v>
      </c>
      <c r="AA16" s="190">
        <v>76225808.150000006</v>
      </c>
      <c r="AB16" s="190">
        <v>28635631.02</v>
      </c>
      <c r="AC16" s="190">
        <v>130412687.83</v>
      </c>
      <c r="AD16" s="190">
        <v>111002895.83</v>
      </c>
      <c r="AE16" s="190">
        <v>84293683.400000006</v>
      </c>
      <c r="AF16" s="190">
        <v>35160807.450000003</v>
      </c>
      <c r="AG16" s="190">
        <v>113647913.58</v>
      </c>
      <c r="AH16" s="190">
        <v>86314332.090000004</v>
      </c>
      <c r="AI16" s="190">
        <v>74331925.810000002</v>
      </c>
      <c r="AJ16" s="190">
        <v>105946596.23</v>
      </c>
      <c r="AK16" s="190">
        <v>0</v>
      </c>
    </row>
    <row r="17" spans="1:37" x14ac:dyDescent="0.25">
      <c r="A17" s="190" t="s">
        <v>204</v>
      </c>
      <c r="B17" s="190">
        <v>2706759.17</v>
      </c>
      <c r="C17" s="190">
        <v>2392385.86</v>
      </c>
      <c r="D17" s="190">
        <v>819230.38</v>
      </c>
      <c r="E17" s="190">
        <v>4132920.46</v>
      </c>
      <c r="F17" s="190">
        <v>7197083.2400000002</v>
      </c>
      <c r="G17" s="190">
        <v>3270422.03</v>
      </c>
      <c r="H17" s="190">
        <v>907992.32</v>
      </c>
      <c r="I17" s="190">
        <v>10882263.08</v>
      </c>
      <c r="J17" s="190">
        <v>8499527.3699999992</v>
      </c>
      <c r="K17" s="190">
        <v>5445432.7999999998</v>
      </c>
      <c r="L17" s="190">
        <v>951099.03</v>
      </c>
      <c r="M17" s="190">
        <v>5967218.29</v>
      </c>
      <c r="N17" s="190">
        <v>3446853.7</v>
      </c>
      <c r="O17" s="190">
        <v>2166220.73</v>
      </c>
      <c r="P17" s="190">
        <v>1043398.09</v>
      </c>
      <c r="Q17" s="190">
        <v>14535979.99</v>
      </c>
      <c r="R17" s="190">
        <v>6270270.7699999996</v>
      </c>
      <c r="S17" s="190">
        <v>2107251.66</v>
      </c>
      <c r="T17" s="190">
        <v>1008542.13</v>
      </c>
      <c r="U17" s="190">
        <v>9922765.7899999991</v>
      </c>
      <c r="V17" s="190">
        <v>8009245.6500000004</v>
      </c>
      <c r="W17" s="190">
        <v>2068378.58</v>
      </c>
      <c r="X17" s="190">
        <v>780628.21</v>
      </c>
      <c r="Y17" s="190">
        <v>9537453.9399999995</v>
      </c>
      <c r="Z17" s="190">
        <v>6208491.6500000004</v>
      </c>
      <c r="AA17" s="190">
        <v>4951952.37</v>
      </c>
      <c r="AB17" s="190">
        <v>4191715.87</v>
      </c>
      <c r="AC17" s="190">
        <v>10576468.130000001</v>
      </c>
      <c r="AD17" s="190">
        <v>8574065.5999999996</v>
      </c>
      <c r="AE17" s="190">
        <v>5185333.8</v>
      </c>
      <c r="AF17" s="190">
        <v>319680.62</v>
      </c>
      <c r="AG17" s="190">
        <v>768060.65</v>
      </c>
      <c r="AH17" s="190">
        <v>474871.71</v>
      </c>
      <c r="AI17" s="190">
        <v>445565.69</v>
      </c>
      <c r="AJ17" s="190">
        <v>627227.28</v>
      </c>
      <c r="AK17" s="190">
        <v>0</v>
      </c>
    </row>
    <row r="18" spans="1:37" x14ac:dyDescent="0.25">
      <c r="A18" s="190" t="s">
        <v>205</v>
      </c>
      <c r="B18" s="190">
        <v>1053240.6399999999</v>
      </c>
      <c r="C18" s="190">
        <v>706097.36</v>
      </c>
      <c r="D18" s="190">
        <v>234495.82</v>
      </c>
      <c r="E18" s="190">
        <v>1488939.12</v>
      </c>
      <c r="F18" s="190">
        <v>1215204.83</v>
      </c>
      <c r="G18" s="190">
        <v>477646.97</v>
      </c>
      <c r="H18" s="190">
        <v>170917.41</v>
      </c>
      <c r="I18" s="190">
        <v>3371951.22</v>
      </c>
      <c r="J18" s="190">
        <v>1955593.33</v>
      </c>
      <c r="K18" s="190">
        <v>1072725.5900000001</v>
      </c>
      <c r="L18" s="190">
        <v>410638.17</v>
      </c>
      <c r="M18" s="190">
        <v>1775061.59</v>
      </c>
      <c r="N18" s="190">
        <v>777840.97</v>
      </c>
      <c r="O18" s="190">
        <v>411840.47</v>
      </c>
      <c r="P18" s="190">
        <v>277119.46999999997</v>
      </c>
      <c r="Q18" s="190">
        <v>2698975.3</v>
      </c>
      <c r="R18" s="190">
        <v>1162569.75</v>
      </c>
      <c r="S18" s="190">
        <v>524424.22</v>
      </c>
      <c r="T18" s="190">
        <v>372603.87</v>
      </c>
      <c r="U18" s="190">
        <v>923645.96</v>
      </c>
      <c r="V18" s="190">
        <v>328291.57</v>
      </c>
      <c r="W18" s="190">
        <v>267917.84000000003</v>
      </c>
      <c r="X18" s="190">
        <v>62001.53</v>
      </c>
      <c r="Y18" s="190">
        <v>319454.45</v>
      </c>
      <c r="Z18" s="190">
        <v>293894.90000000002</v>
      </c>
      <c r="AA18" s="190">
        <v>140250.95000000001</v>
      </c>
      <c r="AB18" s="190">
        <v>40974.43</v>
      </c>
      <c r="AC18" s="190">
        <v>592960.87</v>
      </c>
      <c r="AD18" s="190">
        <v>585080.53</v>
      </c>
      <c r="AE18" s="190">
        <v>486783.88</v>
      </c>
      <c r="AF18" s="190">
        <v>191011.66</v>
      </c>
      <c r="AG18" s="190">
        <v>483767.13</v>
      </c>
      <c r="AH18" s="190">
        <v>296715.90999999997</v>
      </c>
      <c r="AI18" s="190">
        <v>23732.639999999999</v>
      </c>
      <c r="AJ18" s="190">
        <v>351518.25</v>
      </c>
      <c r="AK18" s="190">
        <v>0</v>
      </c>
    </row>
    <row r="19" spans="1:37" x14ac:dyDescent="0.25">
      <c r="A19" s="190" t="s">
        <v>206</v>
      </c>
      <c r="B19" s="190">
        <v>0</v>
      </c>
      <c r="C19" s="190">
        <v>0</v>
      </c>
      <c r="D19" s="190">
        <v>0</v>
      </c>
      <c r="E19" s="190">
        <v>0</v>
      </c>
      <c r="F19" s="190">
        <v>1158503.93</v>
      </c>
      <c r="G19" s="190">
        <v>445267.8</v>
      </c>
      <c r="H19" s="190">
        <v>149162.16</v>
      </c>
      <c r="I19" s="190">
        <v>2634995.87</v>
      </c>
      <c r="J19" s="190">
        <v>1284388.68</v>
      </c>
      <c r="K19" s="190">
        <v>621694.43000000005</v>
      </c>
      <c r="L19" s="190">
        <v>405893.24</v>
      </c>
      <c r="M19" s="190">
        <v>1760397.97</v>
      </c>
      <c r="N19" s="190">
        <v>696185.19</v>
      </c>
      <c r="O19" s="190">
        <v>406369.04</v>
      </c>
      <c r="P19" s="190">
        <v>277119.46999999997</v>
      </c>
      <c r="Q19" s="190">
        <v>2678344.2200000002</v>
      </c>
      <c r="R19" s="190">
        <v>1146891.82</v>
      </c>
      <c r="S19" s="190">
        <v>521158.62</v>
      </c>
      <c r="T19" s="190">
        <v>370255.56</v>
      </c>
      <c r="U19" s="190">
        <v>801986.97</v>
      </c>
      <c r="V19" s="190">
        <v>210742.57</v>
      </c>
      <c r="W19" s="190">
        <v>161485.84</v>
      </c>
      <c r="X19" s="190">
        <v>60311.53</v>
      </c>
      <c r="Y19" s="190">
        <v>311289.92</v>
      </c>
      <c r="Z19" s="190">
        <v>288963.52</v>
      </c>
      <c r="AA19" s="190">
        <v>136247.95000000001</v>
      </c>
      <c r="AB19" s="190">
        <v>0</v>
      </c>
      <c r="AC19" s="190">
        <v>589960.87</v>
      </c>
      <c r="AD19" s="190">
        <v>0</v>
      </c>
      <c r="AE19" s="190">
        <v>483783.88</v>
      </c>
      <c r="AF19" s="190">
        <v>0</v>
      </c>
      <c r="AG19" s="190">
        <v>373767.13</v>
      </c>
      <c r="AH19" s="190">
        <v>0</v>
      </c>
      <c r="AI19" s="190">
        <v>3732.64</v>
      </c>
      <c r="AJ19" s="190">
        <v>161925.24</v>
      </c>
      <c r="AK19" s="190">
        <v>0</v>
      </c>
    </row>
    <row r="20" spans="1:37" x14ac:dyDescent="0.25">
      <c r="A20" s="190" t="s">
        <v>207</v>
      </c>
      <c r="B20" s="190">
        <v>356611831.10000002</v>
      </c>
      <c r="C20" s="190">
        <v>218610544</v>
      </c>
      <c r="D20" s="190">
        <v>76671580.879999995</v>
      </c>
      <c r="E20" s="190">
        <v>443782624.08999997</v>
      </c>
      <c r="F20" s="190">
        <v>352134416.56</v>
      </c>
      <c r="G20" s="190">
        <v>252359930.30000001</v>
      </c>
      <c r="H20" s="190">
        <v>118774066.47</v>
      </c>
      <c r="I20" s="190">
        <v>368244259.02999997</v>
      </c>
      <c r="J20" s="190">
        <v>295349744.31</v>
      </c>
      <c r="K20" s="190">
        <v>216631153.77000001</v>
      </c>
      <c r="L20" s="190">
        <v>106029151.43000001</v>
      </c>
      <c r="M20" s="190">
        <v>297851580.62</v>
      </c>
      <c r="N20" s="190">
        <v>171501581.41999999</v>
      </c>
      <c r="O20" s="190">
        <v>81194258.120000005</v>
      </c>
      <c r="P20" s="190">
        <v>28274821.670000002</v>
      </c>
      <c r="Q20" s="190">
        <v>111688032.18000001</v>
      </c>
      <c r="R20" s="190">
        <v>74091240.189999998</v>
      </c>
      <c r="S20" s="190">
        <v>42261579.25</v>
      </c>
      <c r="T20" s="190">
        <v>20000713.920000002</v>
      </c>
      <c r="U20" s="190">
        <v>145093558.59999999</v>
      </c>
      <c r="V20" s="190">
        <v>105758651.03</v>
      </c>
      <c r="W20" s="190">
        <v>73045750.569999993</v>
      </c>
      <c r="X20" s="190">
        <v>36313778.450000003</v>
      </c>
      <c r="Y20" s="190">
        <v>126827721.45</v>
      </c>
      <c r="Z20" s="190">
        <v>95541382.530000001</v>
      </c>
      <c r="AA20" s="190">
        <v>81037509.569999993</v>
      </c>
      <c r="AB20" s="190">
        <v>32786372.460000001</v>
      </c>
      <c r="AC20" s="190">
        <v>140396195.09</v>
      </c>
      <c r="AD20" s="190">
        <v>118991880.90000001</v>
      </c>
      <c r="AE20" s="190">
        <v>88992233.319999993</v>
      </c>
      <c r="AF20" s="190">
        <v>35289476.409999996</v>
      </c>
      <c r="AG20" s="190">
        <v>113932207.09999999</v>
      </c>
      <c r="AH20" s="190">
        <v>86492487.890000001</v>
      </c>
      <c r="AI20" s="190">
        <v>74753758.859999999</v>
      </c>
      <c r="AJ20" s="190">
        <v>106222305.26000001</v>
      </c>
      <c r="AK20" s="190">
        <v>0</v>
      </c>
    </row>
    <row r="21" spans="1:37" x14ac:dyDescent="0.25">
      <c r="A21" s="190" t="s">
        <v>208</v>
      </c>
      <c r="B21" s="190">
        <v>47822442.520000003</v>
      </c>
      <c r="C21" s="190">
        <v>25852572.77</v>
      </c>
      <c r="D21" s="190">
        <v>13340096.42</v>
      </c>
      <c r="E21" s="190">
        <v>58461449.439999998</v>
      </c>
      <c r="F21" s="190">
        <v>49960616.659999996</v>
      </c>
      <c r="G21" s="190">
        <v>38671111.640000001</v>
      </c>
      <c r="H21" s="190">
        <v>19283882.32</v>
      </c>
      <c r="I21" s="190">
        <v>49548211.950000003</v>
      </c>
      <c r="J21" s="190">
        <v>44767093.07</v>
      </c>
      <c r="K21" s="190">
        <v>31350059.300000001</v>
      </c>
      <c r="L21" s="190">
        <v>16365612.5</v>
      </c>
      <c r="M21" s="190">
        <v>39930961.119999997</v>
      </c>
      <c r="N21" s="190">
        <v>25553398.93</v>
      </c>
      <c r="O21" s="190">
        <v>11106068.199999999</v>
      </c>
      <c r="P21" s="190">
        <v>4593427.93</v>
      </c>
      <c r="Q21" s="190">
        <v>14829152.789999999</v>
      </c>
      <c r="R21" s="190">
        <v>10946479.800000001</v>
      </c>
      <c r="S21" s="190">
        <v>5747909.9000000004</v>
      </c>
      <c r="T21" s="190">
        <v>3424188.29</v>
      </c>
      <c r="U21" s="190">
        <v>21556230.449999999</v>
      </c>
      <c r="V21" s="190">
        <v>15817797.880000001</v>
      </c>
      <c r="W21" s="190">
        <v>10462077.630000001</v>
      </c>
      <c r="X21" s="190">
        <v>5669772.0599999996</v>
      </c>
      <c r="Y21" s="190">
        <v>17578632.559999999</v>
      </c>
      <c r="Z21" s="190">
        <v>13803070.57</v>
      </c>
      <c r="AA21" s="190">
        <v>11597955.220000001</v>
      </c>
      <c r="AB21" s="190">
        <v>4935014.95</v>
      </c>
      <c r="AC21" s="190">
        <v>20155089.870000001</v>
      </c>
      <c r="AD21" s="190">
        <v>16940534.489999998</v>
      </c>
      <c r="AE21" s="190">
        <v>11850246.35</v>
      </c>
      <c r="AF21" s="190">
        <v>5659989.3600000003</v>
      </c>
      <c r="AG21" s="190">
        <v>14129841.76</v>
      </c>
      <c r="AH21" s="190">
        <v>11796294.48</v>
      </c>
      <c r="AI21" s="190">
        <v>11354428.32</v>
      </c>
      <c r="AJ21" s="190">
        <v>12598035.869999999</v>
      </c>
      <c r="AK21" s="190">
        <v>0</v>
      </c>
    </row>
    <row r="22" spans="1:37" x14ac:dyDescent="0.25">
      <c r="A22" s="190" t="s">
        <v>209</v>
      </c>
      <c r="B22" s="190">
        <v>308789388.57999998</v>
      </c>
      <c r="C22" s="190">
        <v>192757971.22999999</v>
      </c>
      <c r="D22" s="190">
        <v>63331484.460000001</v>
      </c>
      <c r="E22" s="190">
        <v>385321174.64999998</v>
      </c>
      <c r="F22" s="190">
        <v>302173799.89999998</v>
      </c>
      <c r="G22" s="190">
        <v>213688818.66</v>
      </c>
      <c r="H22" s="190">
        <v>99490184.150000006</v>
      </c>
      <c r="I22" s="190">
        <v>318696047.07999998</v>
      </c>
      <c r="J22" s="190">
        <v>250582651.24000001</v>
      </c>
      <c r="K22" s="190">
        <v>185281094.47</v>
      </c>
      <c r="L22" s="190">
        <v>89663538.930000007</v>
      </c>
      <c r="M22" s="190">
        <v>257920619.5</v>
      </c>
      <c r="N22" s="190">
        <v>145948182.49000001</v>
      </c>
      <c r="O22" s="190">
        <v>70088189.920000002</v>
      </c>
      <c r="P22" s="190">
        <v>23681393.739999998</v>
      </c>
      <c r="Q22" s="190">
        <v>96858879.390000001</v>
      </c>
      <c r="R22" s="190">
        <v>63144760.390000001</v>
      </c>
      <c r="S22" s="190">
        <v>36513669.350000001</v>
      </c>
      <c r="T22" s="190">
        <v>16576525.630000001</v>
      </c>
      <c r="U22" s="190">
        <v>123537328.15000001</v>
      </c>
      <c r="V22" s="190">
        <v>89940853.150000006</v>
      </c>
      <c r="W22" s="190">
        <v>62583672.939999998</v>
      </c>
      <c r="X22" s="190">
        <v>30644006.390000001</v>
      </c>
      <c r="Y22" s="190">
        <v>109249088.89</v>
      </c>
      <c r="Z22" s="190">
        <v>81738311.959999993</v>
      </c>
      <c r="AA22" s="190">
        <v>69439554.349999994</v>
      </c>
      <c r="AB22" s="190">
        <v>27851357.510000002</v>
      </c>
      <c r="AC22" s="190">
        <v>120241105.22</v>
      </c>
      <c r="AD22" s="190">
        <v>102051346.41</v>
      </c>
      <c r="AE22" s="190">
        <v>77141986.969999999</v>
      </c>
      <c r="AF22" s="190">
        <v>29629487.050000001</v>
      </c>
      <c r="AG22" s="190">
        <v>99802365.340000004</v>
      </c>
      <c r="AH22" s="190">
        <v>74696193.409999996</v>
      </c>
      <c r="AI22" s="190">
        <v>63399330.539999999</v>
      </c>
      <c r="AJ22" s="190">
        <v>93624269.390000001</v>
      </c>
      <c r="AK22" s="190">
        <v>0</v>
      </c>
    </row>
    <row r="23" spans="1:37" x14ac:dyDescent="0.25">
      <c r="A23" s="190" t="s">
        <v>210</v>
      </c>
      <c r="B23" s="190">
        <v>306227968.48000002</v>
      </c>
      <c r="C23" s="190">
        <v>192834105.55000001</v>
      </c>
      <c r="D23" s="190">
        <v>64124670.920000002</v>
      </c>
      <c r="E23" s="190">
        <v>385278434.38999999</v>
      </c>
      <c r="F23" s="190">
        <v>302165995.69</v>
      </c>
      <c r="G23" s="190">
        <v>213663133.31999999</v>
      </c>
      <c r="H23" s="190">
        <v>99488178.540000007</v>
      </c>
      <c r="I23" s="190">
        <v>318652694.38</v>
      </c>
      <c r="J23" s="190">
        <v>250530632.52000001</v>
      </c>
      <c r="K23" s="190">
        <v>185272144.88</v>
      </c>
      <c r="L23" s="190">
        <v>89662482.930000007</v>
      </c>
      <c r="M23" s="190">
        <v>257847487.71000001</v>
      </c>
      <c r="N23" s="190">
        <v>145788133.80000001</v>
      </c>
      <c r="O23" s="190">
        <v>70049275.950000003</v>
      </c>
      <c r="P23" s="190">
        <v>23618751.620000001</v>
      </c>
      <c r="Q23" s="190">
        <v>96532241.219999999</v>
      </c>
      <c r="R23" s="190">
        <v>63159067.689999998</v>
      </c>
      <c r="S23" s="190">
        <v>36897629.719999999</v>
      </c>
      <c r="T23" s="190">
        <v>16983652.02</v>
      </c>
      <c r="U23" s="190">
        <v>123941593.45</v>
      </c>
      <c r="V23" s="190">
        <v>90332262.769999996</v>
      </c>
      <c r="W23" s="190">
        <v>62721036.829999998</v>
      </c>
      <c r="X23" s="190">
        <v>30644006.390000001</v>
      </c>
      <c r="Y23" s="190">
        <v>109249088.89</v>
      </c>
      <c r="Z23" s="190">
        <v>81738311.959999993</v>
      </c>
      <c r="AA23" s="190">
        <v>69439554.349999994</v>
      </c>
      <c r="AB23" s="190">
        <v>27851357.510000002</v>
      </c>
      <c r="AC23" s="190">
        <v>120241105.22</v>
      </c>
      <c r="AD23" s="190">
        <v>102051346.41</v>
      </c>
      <c r="AE23" s="190">
        <v>77141986.969999999</v>
      </c>
      <c r="AF23" s="190">
        <v>29629487.050000001</v>
      </c>
      <c r="AG23" s="190">
        <v>99802365.340000004</v>
      </c>
      <c r="AH23" s="190">
        <v>74696193.409999996</v>
      </c>
      <c r="AI23" s="190">
        <v>63399330.539999999</v>
      </c>
      <c r="AJ23" s="190">
        <v>93624269.390000001</v>
      </c>
      <c r="AK23" s="190">
        <v>0</v>
      </c>
    </row>
    <row r="24" spans="1:37" x14ac:dyDescent="0.25">
      <c r="A24" s="190" t="s">
        <v>211</v>
      </c>
      <c r="B24" s="190">
        <v>2561420.1</v>
      </c>
      <c r="C24" s="190">
        <v>-76134.320000000007</v>
      </c>
      <c r="D24" s="190">
        <v>-793186.46</v>
      </c>
      <c r="E24" s="190">
        <v>42740.26</v>
      </c>
      <c r="F24" s="190">
        <v>7804.21</v>
      </c>
      <c r="G24" s="190">
        <v>25685.34</v>
      </c>
      <c r="H24" s="190">
        <v>2005.61</v>
      </c>
      <c r="I24" s="190">
        <v>43352.7</v>
      </c>
      <c r="J24" s="190">
        <v>52018.720000000001</v>
      </c>
      <c r="K24" s="190">
        <v>8949.59</v>
      </c>
      <c r="L24" s="190">
        <v>1056</v>
      </c>
      <c r="M24" s="190">
        <v>73131.789999999994</v>
      </c>
      <c r="N24" s="190">
        <v>160048.69</v>
      </c>
      <c r="O24" s="190">
        <v>38913.97</v>
      </c>
      <c r="P24" s="190">
        <v>62642.12</v>
      </c>
      <c r="Q24" s="190">
        <v>326638.17</v>
      </c>
      <c r="R24" s="190">
        <v>-14307.3</v>
      </c>
      <c r="S24" s="190">
        <v>-383960.37</v>
      </c>
      <c r="T24" s="190">
        <v>-407126.39</v>
      </c>
      <c r="U24" s="190">
        <v>-404265.3</v>
      </c>
      <c r="V24" s="190">
        <v>-391409.62</v>
      </c>
      <c r="W24" s="190">
        <v>-137363.89000000001</v>
      </c>
      <c r="X24" s="190">
        <v>0</v>
      </c>
      <c r="Y24" s="190">
        <v>0</v>
      </c>
      <c r="Z24" s="190">
        <v>0</v>
      </c>
      <c r="AA24" s="190">
        <v>0</v>
      </c>
      <c r="AB24" s="190">
        <v>0</v>
      </c>
      <c r="AC24" s="190">
        <v>0</v>
      </c>
      <c r="AD24" s="190">
        <v>0</v>
      </c>
      <c r="AE24" s="190">
        <v>0</v>
      </c>
      <c r="AF24" s="190">
        <v>0</v>
      </c>
      <c r="AG24" s="190">
        <v>0</v>
      </c>
      <c r="AH24" s="190">
        <v>0</v>
      </c>
      <c r="AI24" s="190">
        <v>0</v>
      </c>
      <c r="AJ24" s="190">
        <v>0</v>
      </c>
      <c r="AK24" s="190">
        <v>0</v>
      </c>
    </row>
    <row r="25" spans="1:37" x14ac:dyDescent="0.25">
      <c r="A25" s="190" t="s">
        <v>212</v>
      </c>
    </row>
    <row r="26" spans="1:37" x14ac:dyDescent="0.25">
      <c r="A26" s="190" t="s">
        <v>213</v>
      </c>
      <c r="B26" s="190">
        <v>0.34</v>
      </c>
      <c r="C26" s="190">
        <v>0.21</v>
      </c>
      <c r="D26" s="190">
        <v>7.0000000000000007E-2</v>
      </c>
      <c r="E26" s="190">
        <v>0.42</v>
      </c>
      <c r="F26" s="190">
        <v>0.33</v>
      </c>
      <c r="G26" s="190">
        <v>0.24</v>
      </c>
      <c r="H26" s="190">
        <v>0.27</v>
      </c>
      <c r="I26" s="190">
        <v>0.92</v>
      </c>
      <c r="J26" s="190">
        <v>0.73</v>
      </c>
      <c r="K26" s="190">
        <v>0.55000000000000004</v>
      </c>
      <c r="L26" s="190">
        <v>0.26</v>
      </c>
      <c r="M26" s="190">
        <v>0.78</v>
      </c>
      <c r="N26" s="190">
        <v>0.45</v>
      </c>
      <c r="O26" s="190">
        <v>0.22</v>
      </c>
      <c r="P26" s="190">
        <v>0.08</v>
      </c>
      <c r="Q26" s="190">
        <v>0.35</v>
      </c>
      <c r="R26" s="190">
        <v>0.23</v>
      </c>
      <c r="S26" s="190">
        <v>0.13</v>
      </c>
      <c r="T26" s="190">
        <v>0.06</v>
      </c>
      <c r="U26" s="190">
        <v>0.45</v>
      </c>
      <c r="V26" s="190">
        <v>0.33</v>
      </c>
      <c r="W26" s="190">
        <v>0.23</v>
      </c>
      <c r="X26" s="190">
        <v>0.22</v>
      </c>
      <c r="Y26" s="190">
        <v>0.79</v>
      </c>
      <c r="Z26" s="190">
        <v>0.59</v>
      </c>
      <c r="AA26" s="190">
        <v>0.5</v>
      </c>
      <c r="AB26" s="190">
        <v>0.2</v>
      </c>
      <c r="AC26" s="190">
        <v>1.1599999999999999</v>
      </c>
      <c r="AD26" s="190">
        <v>0</v>
      </c>
      <c r="AE26" s="190">
        <v>0.75</v>
      </c>
      <c r="AF26" s="190">
        <v>0.28999999999999998</v>
      </c>
      <c r="AG26" s="190">
        <v>0.97</v>
      </c>
      <c r="AH26" s="190">
        <v>0</v>
      </c>
      <c r="AI26" s="190">
        <v>0.61</v>
      </c>
      <c r="AJ26" s="190">
        <v>0.91</v>
      </c>
      <c r="AK26" s="190">
        <v>0</v>
      </c>
    </row>
    <row r="27" spans="1:37" x14ac:dyDescent="0.25">
      <c r="A27" s="190" t="s">
        <v>214</v>
      </c>
      <c r="B27" s="190">
        <v>0.34</v>
      </c>
      <c r="C27" s="190">
        <v>0.21</v>
      </c>
      <c r="D27" s="190">
        <v>7.0000000000000007E-2</v>
      </c>
      <c r="E27" s="190">
        <v>0.42</v>
      </c>
      <c r="F27" s="190">
        <v>0.33</v>
      </c>
      <c r="G27" s="190">
        <v>0.24</v>
      </c>
      <c r="H27" s="190">
        <v>0.27</v>
      </c>
      <c r="I27" s="190">
        <v>0.92</v>
      </c>
      <c r="J27" s="190">
        <v>0.73</v>
      </c>
      <c r="K27" s="190">
        <v>0.55000000000000004</v>
      </c>
      <c r="L27" s="190">
        <v>0.26</v>
      </c>
      <c r="M27" s="190">
        <v>0.78</v>
      </c>
      <c r="N27" s="190">
        <v>0.45</v>
      </c>
      <c r="O27" s="190">
        <v>0.22</v>
      </c>
      <c r="P27" s="190">
        <v>0.08</v>
      </c>
      <c r="Q27" s="190">
        <v>0.35</v>
      </c>
      <c r="R27" s="190">
        <v>0.23</v>
      </c>
      <c r="S27" s="190">
        <v>0.13</v>
      </c>
      <c r="T27" s="190">
        <v>0.06</v>
      </c>
      <c r="U27" s="190">
        <v>0.45</v>
      </c>
      <c r="V27" s="190">
        <v>0.33</v>
      </c>
      <c r="W27" s="190">
        <v>0.23</v>
      </c>
      <c r="X27" s="190">
        <v>0.22</v>
      </c>
      <c r="Y27" s="190">
        <v>0.79</v>
      </c>
      <c r="Z27" s="190">
        <v>0.59</v>
      </c>
      <c r="AA27" s="190">
        <v>0.5</v>
      </c>
      <c r="AB27" s="190">
        <v>0.2</v>
      </c>
      <c r="AC27" s="190">
        <v>1.1599999999999999</v>
      </c>
      <c r="AD27" s="190">
        <v>0</v>
      </c>
      <c r="AE27" s="190">
        <v>0.75</v>
      </c>
      <c r="AF27" s="190">
        <v>0.28999999999999998</v>
      </c>
      <c r="AG27" s="190">
        <v>0.97</v>
      </c>
      <c r="AH27" s="190">
        <v>0</v>
      </c>
      <c r="AI27" s="190">
        <v>0.61</v>
      </c>
      <c r="AJ27" s="190">
        <v>0.91</v>
      </c>
      <c r="AK27" s="190">
        <v>0</v>
      </c>
    </row>
    <row r="28" spans="1:37" x14ac:dyDescent="0.25">
      <c r="A28" s="190" t="s">
        <v>215</v>
      </c>
      <c r="B28" s="190">
        <v>43001089.899999999</v>
      </c>
      <c r="C28" s="190">
        <v>5861746.1399999997</v>
      </c>
      <c r="D28" s="190">
        <v>-43947423.009999998</v>
      </c>
      <c r="E28" s="190">
        <v>-48074334.600000001</v>
      </c>
      <c r="F28" s="190">
        <v>-39574514.890000001</v>
      </c>
      <c r="G28" s="190">
        <v>-19125239.600000001</v>
      </c>
      <c r="H28" s="190">
        <v>-6979242.8300000001</v>
      </c>
      <c r="I28" s="190">
        <v>33807458.079999998</v>
      </c>
      <c r="J28" s="190">
        <v>14133959.609999999</v>
      </c>
      <c r="K28" s="190">
        <v>13835549.17</v>
      </c>
      <c r="L28" s="190">
        <v>-2968605.04</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45000</v>
      </c>
      <c r="AK28" s="190">
        <v>0</v>
      </c>
    </row>
    <row r="29" spans="1:37" x14ac:dyDescent="0.25">
      <c r="A29" s="190" t="s">
        <v>216</v>
      </c>
      <c r="B29" s="190">
        <v>351790478.48000002</v>
      </c>
      <c r="C29" s="190">
        <v>198619717.37</v>
      </c>
      <c r="D29" s="190">
        <v>19384061.449999999</v>
      </c>
      <c r="E29" s="190">
        <v>337246840.05000001</v>
      </c>
      <c r="F29" s="190">
        <v>262599285.00999999</v>
      </c>
      <c r="G29" s="190">
        <v>194563579.06</v>
      </c>
      <c r="H29" s="190">
        <v>92510941.319999993</v>
      </c>
      <c r="I29" s="190">
        <v>352503505.16000003</v>
      </c>
      <c r="J29" s="190">
        <v>264716610.84999999</v>
      </c>
      <c r="K29" s="190">
        <v>199116643.63999999</v>
      </c>
      <c r="L29" s="190">
        <v>86694933.890000001</v>
      </c>
      <c r="M29" s="190">
        <v>257920619.5</v>
      </c>
      <c r="N29" s="190">
        <v>145948182.49000001</v>
      </c>
      <c r="O29" s="190">
        <v>70088189.920000002</v>
      </c>
      <c r="P29" s="190">
        <v>23681393.739999998</v>
      </c>
      <c r="Q29" s="190">
        <v>96858879.390000001</v>
      </c>
      <c r="R29" s="190">
        <v>63144760.390000001</v>
      </c>
      <c r="S29" s="190">
        <v>36513669.350000001</v>
      </c>
      <c r="T29" s="190">
        <v>16576525.630000001</v>
      </c>
      <c r="U29" s="190">
        <v>123537328.15000001</v>
      </c>
      <c r="V29" s="190">
        <v>89940853.150000006</v>
      </c>
      <c r="W29" s="190">
        <v>62583672.939999998</v>
      </c>
      <c r="X29" s="190">
        <v>30644006.390000001</v>
      </c>
      <c r="Y29" s="190">
        <v>109249088.89</v>
      </c>
      <c r="Z29" s="190">
        <v>81738311.959999993</v>
      </c>
      <c r="AA29" s="190">
        <v>69439554.349999994</v>
      </c>
      <c r="AB29" s="190">
        <v>27851357.510000002</v>
      </c>
      <c r="AC29" s="190">
        <v>120241105.22</v>
      </c>
      <c r="AD29" s="190">
        <v>0</v>
      </c>
      <c r="AE29" s="190">
        <v>77141986.969999999</v>
      </c>
      <c r="AF29" s="190">
        <v>29629487.050000001</v>
      </c>
      <c r="AG29" s="190">
        <v>99802365.340000004</v>
      </c>
      <c r="AH29" s="190">
        <v>0</v>
      </c>
      <c r="AI29" s="190">
        <v>63399330.539999999</v>
      </c>
      <c r="AJ29" s="190">
        <v>93669269.390000001</v>
      </c>
      <c r="AK29" s="190">
        <v>0</v>
      </c>
    </row>
    <row r="30" spans="1:37" x14ac:dyDescent="0.25">
      <c r="A30" s="190" t="s">
        <v>217</v>
      </c>
      <c r="B30" s="190">
        <v>349229058.38</v>
      </c>
      <c r="C30" s="190">
        <v>198695851.69</v>
      </c>
      <c r="D30" s="190">
        <v>20177247.91</v>
      </c>
      <c r="E30" s="190">
        <v>337204099.79000002</v>
      </c>
      <c r="F30" s="190">
        <v>262591480.80000001</v>
      </c>
      <c r="G30" s="190">
        <v>194537893.72</v>
      </c>
      <c r="H30" s="190">
        <v>92508935.709999993</v>
      </c>
      <c r="I30" s="190">
        <v>352460152.45999998</v>
      </c>
      <c r="J30" s="190">
        <v>264664592.13</v>
      </c>
      <c r="K30" s="190">
        <v>199107694.05000001</v>
      </c>
      <c r="L30" s="190">
        <v>86693877.890000001</v>
      </c>
      <c r="M30" s="190">
        <v>257847487.71000001</v>
      </c>
      <c r="N30" s="190">
        <v>145788133.80000001</v>
      </c>
      <c r="O30" s="190">
        <v>70049275.950000003</v>
      </c>
      <c r="P30" s="190">
        <v>23618751.620000001</v>
      </c>
      <c r="Q30" s="190">
        <v>96532241.219999999</v>
      </c>
      <c r="R30" s="190">
        <v>63159067.689999998</v>
      </c>
      <c r="S30" s="190">
        <v>36897629.719999999</v>
      </c>
      <c r="T30" s="190">
        <v>16983652.02</v>
      </c>
      <c r="U30" s="190">
        <v>123941593.45</v>
      </c>
      <c r="V30" s="190">
        <v>90332262.769999996</v>
      </c>
      <c r="W30" s="190">
        <v>62721036.829999998</v>
      </c>
      <c r="X30" s="190">
        <v>30644006.390000001</v>
      </c>
      <c r="Y30" s="190">
        <v>109249088.89</v>
      </c>
      <c r="Z30" s="190">
        <v>81738311.959999993</v>
      </c>
      <c r="AA30" s="190">
        <v>69439554.349999994</v>
      </c>
      <c r="AB30" s="190">
        <v>27851357.510000002</v>
      </c>
      <c r="AC30" s="190">
        <v>120241105.22</v>
      </c>
      <c r="AD30" s="190">
        <v>0</v>
      </c>
      <c r="AE30" s="190">
        <v>77141986.969999999</v>
      </c>
      <c r="AF30" s="190">
        <v>29629487.050000001</v>
      </c>
      <c r="AG30" s="190">
        <v>99802365.340000004</v>
      </c>
      <c r="AH30" s="190">
        <v>0</v>
      </c>
      <c r="AI30" s="190">
        <v>63399330.539999999</v>
      </c>
      <c r="AJ30" s="190">
        <v>93669269.390000001</v>
      </c>
      <c r="AK30" s="190">
        <v>0</v>
      </c>
    </row>
    <row r="31" spans="1:37" x14ac:dyDescent="0.25">
      <c r="A31" s="190" t="s">
        <v>218</v>
      </c>
      <c r="B31" s="190">
        <v>2561420.1</v>
      </c>
      <c r="C31" s="190">
        <v>-76134.320000000007</v>
      </c>
      <c r="D31" s="190">
        <v>-793186.46</v>
      </c>
      <c r="E31" s="190">
        <v>42740.26</v>
      </c>
      <c r="F31" s="190">
        <v>7804.21</v>
      </c>
      <c r="G31" s="190">
        <v>25685.34</v>
      </c>
      <c r="H31" s="190">
        <v>2005.61</v>
      </c>
      <c r="I31" s="190">
        <v>43352.7</v>
      </c>
      <c r="J31" s="190">
        <v>52018.720000000001</v>
      </c>
      <c r="K31" s="190">
        <v>8949.59</v>
      </c>
      <c r="L31" s="190">
        <v>1056</v>
      </c>
      <c r="M31" s="190">
        <v>73131.789999999994</v>
      </c>
      <c r="N31" s="190">
        <v>160048.69</v>
      </c>
      <c r="O31" s="190">
        <v>38913.97</v>
      </c>
      <c r="P31" s="190">
        <v>62642.12</v>
      </c>
      <c r="Q31" s="190">
        <v>326638.17</v>
      </c>
      <c r="R31" s="190">
        <v>-14307.3</v>
      </c>
      <c r="S31" s="190">
        <v>-383960.37</v>
      </c>
      <c r="T31" s="190">
        <v>-407126.39</v>
      </c>
      <c r="U31" s="190">
        <v>-404265.3</v>
      </c>
      <c r="V31" s="190">
        <v>-391409.62</v>
      </c>
      <c r="W31" s="190">
        <v>-137363.89000000001</v>
      </c>
      <c r="X31" s="190">
        <v>0</v>
      </c>
      <c r="Y31" s="190">
        <v>0</v>
      </c>
      <c r="Z31" s="190">
        <v>0</v>
      </c>
      <c r="AA31" s="190">
        <v>0</v>
      </c>
      <c r="AB31" s="190">
        <v>0</v>
      </c>
      <c r="AC31" s="190">
        <v>0</v>
      </c>
      <c r="AD31" s="190">
        <v>0</v>
      </c>
      <c r="AE31" s="190">
        <v>0</v>
      </c>
      <c r="AF31" s="190">
        <v>0</v>
      </c>
      <c r="AG31" s="190">
        <v>0</v>
      </c>
      <c r="AH31" s="190">
        <v>0</v>
      </c>
      <c r="AI31" s="190">
        <v>0</v>
      </c>
      <c r="AJ31" s="190">
        <v>0</v>
      </c>
      <c r="AK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K77"/>
  <sheetViews>
    <sheetView workbookViewId="0">
      <selection activeCell="A31" sqref="A31"/>
    </sheetView>
  </sheetViews>
  <sheetFormatPr defaultRowHeight="14.4" x14ac:dyDescent="0.25"/>
  <cols>
    <col min="1" max="1" width="57.77734375" style="190" bestFit="1" customWidth="1"/>
    <col min="2" max="4" width="13.88671875" style="190" hidden="1" customWidth="1"/>
    <col min="5" max="5" width="13.88671875" style="190" bestFit="1" customWidth="1"/>
    <col min="6" max="7" width="13.88671875" style="190" hidden="1" customWidth="1"/>
    <col min="8" max="8" width="12.777343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4" width="13.88671875" style="190" hidden="1" customWidth="1"/>
    <col min="35" max="36" width="13.88671875" style="190" bestFit="1" customWidth="1"/>
    <col min="37" max="37" width="9.5546875" style="190" hidden="1" customWidth="1"/>
    <col min="38" max="16384" width="8.88671875" style="190"/>
  </cols>
  <sheetData>
    <row r="1" spans="1:37" x14ac:dyDescent="0.25">
      <c r="A1" s="190">
        <v>2643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20091231</v>
      </c>
      <c r="AJ1" s="190">
        <v>20081231</v>
      </c>
      <c r="AK1" s="190">
        <v>19700101</v>
      </c>
    </row>
    <row r="2" spans="1:37"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row>
    <row r="3" spans="1:37" x14ac:dyDescent="0.25">
      <c r="A3" s="190" t="s">
        <v>219</v>
      </c>
    </row>
    <row r="4" spans="1:37" x14ac:dyDescent="0.25">
      <c r="A4" s="190" t="s">
        <v>220</v>
      </c>
      <c r="B4" s="190">
        <v>1871037108.6900001</v>
      </c>
      <c r="C4" s="190">
        <v>1260175619.3099999</v>
      </c>
      <c r="D4" s="190">
        <v>623842872.50999999</v>
      </c>
      <c r="E4" s="190">
        <v>2489562200.3600001</v>
      </c>
      <c r="F4" s="190">
        <v>1838587599.73</v>
      </c>
      <c r="G4" s="190">
        <v>1227179259.3599999</v>
      </c>
      <c r="H4" s="190">
        <v>633299706.84000003</v>
      </c>
      <c r="I4" s="190">
        <v>1892641802.0599999</v>
      </c>
      <c r="J4" s="190">
        <v>1423140723.1199999</v>
      </c>
      <c r="K4" s="190">
        <v>915875965.85000002</v>
      </c>
      <c r="L4" s="190">
        <v>455359540.66000003</v>
      </c>
      <c r="M4" s="190">
        <v>1674998666.6600001</v>
      </c>
      <c r="N4" s="190">
        <v>1190075144.3099999</v>
      </c>
      <c r="O4" s="190">
        <v>734399973.87</v>
      </c>
      <c r="P4" s="190">
        <v>403182544.54000002</v>
      </c>
      <c r="Q4" s="190">
        <v>1048135260.59</v>
      </c>
      <c r="R4" s="190">
        <v>731066760.69000006</v>
      </c>
      <c r="S4" s="190">
        <v>435723810.61000001</v>
      </c>
      <c r="T4" s="190">
        <v>215608725.69999999</v>
      </c>
      <c r="U4" s="190">
        <v>983713246.05999994</v>
      </c>
      <c r="V4" s="190">
        <v>721943336.62</v>
      </c>
      <c r="W4" s="190">
        <v>488581898.77999997</v>
      </c>
      <c r="X4" s="190">
        <v>225880062.72999999</v>
      </c>
      <c r="Y4" s="190">
        <v>759883190.20000005</v>
      </c>
      <c r="Z4" s="190">
        <v>526886508.75</v>
      </c>
      <c r="AA4" s="190">
        <v>343834032.43000001</v>
      </c>
      <c r="AB4" s="190">
        <v>137433502.61000001</v>
      </c>
      <c r="AC4" s="190">
        <v>838331857.85000002</v>
      </c>
      <c r="AD4" s="190">
        <v>675453758.52999997</v>
      </c>
      <c r="AE4" s="190">
        <v>455254637.06</v>
      </c>
      <c r="AF4" s="190">
        <v>196764019.13</v>
      </c>
      <c r="AG4" s="190">
        <v>727807694.75999999</v>
      </c>
      <c r="AH4" s="190">
        <v>538178721.91999996</v>
      </c>
      <c r="AI4" s="190">
        <v>370270549.44999999</v>
      </c>
      <c r="AJ4" s="190">
        <v>541440474.25</v>
      </c>
      <c r="AK4" s="190">
        <v>0</v>
      </c>
    </row>
    <row r="5" spans="1:37" x14ac:dyDescent="0.25">
      <c r="A5" s="190" t="s">
        <v>221</v>
      </c>
      <c r="B5" s="190">
        <v>13314542.300000001</v>
      </c>
      <c r="C5" s="190">
        <v>8106733.1299999999</v>
      </c>
      <c r="D5" s="190">
        <v>6020330.2999999998</v>
      </c>
      <c r="E5" s="190">
        <v>22358031.190000001</v>
      </c>
      <c r="F5" s="190">
        <v>17914912.800000001</v>
      </c>
      <c r="G5" s="190">
        <v>11581656.92</v>
      </c>
      <c r="H5" s="190">
        <v>9589512.2899999991</v>
      </c>
      <c r="I5" s="190">
        <v>29510947</v>
      </c>
      <c r="J5" s="190">
        <v>25273092.41</v>
      </c>
      <c r="K5" s="190">
        <v>20930244.48</v>
      </c>
      <c r="L5" s="190">
        <v>15217112.16</v>
      </c>
      <c r="M5" s="190">
        <v>22733672.649999999</v>
      </c>
      <c r="N5" s="190">
        <v>16338576.380000001</v>
      </c>
      <c r="O5" s="190">
        <v>12504257.529999999</v>
      </c>
      <c r="P5" s="190">
        <v>8170555.8200000003</v>
      </c>
      <c r="Q5" s="190">
        <v>16508113.08</v>
      </c>
      <c r="R5" s="190">
        <v>12615783.91</v>
      </c>
      <c r="S5" s="190">
        <v>11955281.300000001</v>
      </c>
      <c r="T5" s="190">
        <v>7448425.6299999999</v>
      </c>
      <c r="U5" s="190">
        <v>28605412.300000001</v>
      </c>
      <c r="V5" s="190">
        <v>27509461.760000002</v>
      </c>
      <c r="W5" s="190">
        <v>23786767.219999999</v>
      </c>
      <c r="X5" s="190">
        <v>19426136.210000001</v>
      </c>
      <c r="Y5" s="190">
        <v>17994515.140000001</v>
      </c>
      <c r="Z5" s="190">
        <v>7855676.5899999999</v>
      </c>
      <c r="AA5" s="190">
        <v>6059358.1799999997</v>
      </c>
      <c r="AB5" s="190">
        <v>3519149.44</v>
      </c>
      <c r="AC5" s="190">
        <v>15189857.189999999</v>
      </c>
      <c r="AD5" s="190">
        <v>11413050.98</v>
      </c>
      <c r="AE5" s="190">
        <v>9604024.3399999999</v>
      </c>
      <c r="AF5" s="190">
        <v>5360119.9000000004</v>
      </c>
      <c r="AG5" s="190">
        <v>12303324.1</v>
      </c>
      <c r="AH5" s="190">
        <v>5986543.4900000002</v>
      </c>
      <c r="AI5" s="190">
        <v>3058585.25</v>
      </c>
      <c r="AJ5" s="190">
        <v>3482022.34</v>
      </c>
      <c r="AK5" s="190">
        <v>0</v>
      </c>
    </row>
    <row r="6" spans="1:37" x14ac:dyDescent="0.25">
      <c r="A6" s="190" t="s">
        <v>222</v>
      </c>
      <c r="B6" s="190">
        <v>11756065.890000001</v>
      </c>
      <c r="C6" s="190">
        <v>5402037.5599999996</v>
      </c>
      <c r="D6" s="190">
        <v>2198865.62</v>
      </c>
      <c r="E6" s="190">
        <v>53075452.509999998</v>
      </c>
      <c r="F6" s="190">
        <v>41604647.350000001</v>
      </c>
      <c r="G6" s="190">
        <v>32968165.289999999</v>
      </c>
      <c r="H6" s="190">
        <v>29900940.210000001</v>
      </c>
      <c r="I6" s="190">
        <v>21797862.16</v>
      </c>
      <c r="J6" s="190">
        <v>17958870.43</v>
      </c>
      <c r="K6" s="190">
        <v>14271849.66</v>
      </c>
      <c r="L6" s="190">
        <v>3574443.62</v>
      </c>
      <c r="M6" s="190">
        <v>20897343.890000001</v>
      </c>
      <c r="N6" s="190">
        <v>8369375.0300000003</v>
      </c>
      <c r="O6" s="190">
        <v>6437917.71</v>
      </c>
      <c r="P6" s="190">
        <v>2360047.2400000002</v>
      </c>
      <c r="Q6" s="190">
        <v>20886532.350000001</v>
      </c>
      <c r="R6" s="190">
        <v>8698485.6600000001</v>
      </c>
      <c r="S6" s="190">
        <v>3926409.3</v>
      </c>
      <c r="T6" s="190">
        <v>2419497.7599999998</v>
      </c>
      <c r="U6" s="190">
        <v>22398287.27</v>
      </c>
      <c r="V6" s="190">
        <v>19690520.620000001</v>
      </c>
      <c r="W6" s="190">
        <v>9675322.4299999997</v>
      </c>
      <c r="X6" s="190">
        <v>6082605.2800000003</v>
      </c>
      <c r="Y6" s="190">
        <v>19723875.600000001</v>
      </c>
      <c r="Z6" s="190">
        <v>9896101.5500000007</v>
      </c>
      <c r="AA6" s="190">
        <v>7147520.0800000001</v>
      </c>
      <c r="AB6" s="190">
        <v>5183978.75</v>
      </c>
      <c r="AC6" s="190">
        <v>15278139.109999999</v>
      </c>
      <c r="AD6" s="190">
        <v>14087972.630000001</v>
      </c>
      <c r="AE6" s="190">
        <v>7498986.5999999996</v>
      </c>
      <c r="AF6" s="190">
        <v>1170173.8999999999</v>
      </c>
      <c r="AG6" s="190">
        <v>4502476.57</v>
      </c>
      <c r="AH6" s="190">
        <v>1548912.12</v>
      </c>
      <c r="AI6" s="190">
        <v>3047555.55</v>
      </c>
      <c r="AJ6" s="190">
        <v>4510110.59</v>
      </c>
      <c r="AK6" s="190">
        <v>0</v>
      </c>
    </row>
    <row r="7" spans="1:37" x14ac:dyDescent="0.25">
      <c r="A7" s="190" t="s">
        <v>223</v>
      </c>
      <c r="B7" s="190">
        <v>1896107716.8800001</v>
      </c>
      <c r="C7" s="190">
        <v>1273684390</v>
      </c>
      <c r="D7" s="190">
        <v>632062068.42999995</v>
      </c>
      <c r="E7" s="190">
        <v>2564995684.0599999</v>
      </c>
      <c r="F7" s="190">
        <v>1898107159.8800001</v>
      </c>
      <c r="G7" s="190">
        <v>1271729081.5699999</v>
      </c>
      <c r="H7" s="190">
        <v>672790159.34000003</v>
      </c>
      <c r="I7" s="190">
        <v>1943950611.22</v>
      </c>
      <c r="J7" s="190">
        <v>1466372685.96</v>
      </c>
      <c r="K7" s="190">
        <v>951078059.99000001</v>
      </c>
      <c r="L7" s="190">
        <v>474151096.44</v>
      </c>
      <c r="M7" s="190">
        <v>1718629683.2</v>
      </c>
      <c r="N7" s="190">
        <v>1214783095.72</v>
      </c>
      <c r="O7" s="190">
        <v>753342149.11000001</v>
      </c>
      <c r="P7" s="190">
        <v>413713147.60000002</v>
      </c>
      <c r="Q7" s="190">
        <v>1085529906.02</v>
      </c>
      <c r="R7" s="190">
        <v>752381030.25999999</v>
      </c>
      <c r="S7" s="190">
        <v>451605501.20999998</v>
      </c>
      <c r="T7" s="190">
        <v>225476649.09</v>
      </c>
      <c r="U7" s="190">
        <v>1034716945.63</v>
      </c>
      <c r="V7" s="190">
        <v>769143319</v>
      </c>
      <c r="W7" s="190">
        <v>522043988.43000001</v>
      </c>
      <c r="X7" s="190">
        <v>251388804.22</v>
      </c>
      <c r="Y7" s="190">
        <v>797601580.94000006</v>
      </c>
      <c r="Z7" s="190">
        <v>544638286.88999999</v>
      </c>
      <c r="AA7" s="190">
        <v>357040910.69</v>
      </c>
      <c r="AB7" s="190">
        <v>146136630.80000001</v>
      </c>
      <c r="AC7" s="190">
        <v>868799854.14999998</v>
      </c>
      <c r="AD7" s="190">
        <v>700954782.13999999</v>
      </c>
      <c r="AE7" s="190">
        <v>472357648</v>
      </c>
      <c r="AF7" s="190">
        <v>203294312.93000001</v>
      </c>
      <c r="AG7" s="190">
        <v>744613495.42999995</v>
      </c>
      <c r="AH7" s="190">
        <v>545714177.52999997</v>
      </c>
      <c r="AI7" s="190">
        <v>376376690.25</v>
      </c>
      <c r="AJ7" s="190">
        <v>549432607.17999995</v>
      </c>
      <c r="AK7" s="190">
        <v>0</v>
      </c>
    </row>
    <row r="8" spans="1:37" x14ac:dyDescent="0.25">
      <c r="A8" s="190" t="s">
        <v>224</v>
      </c>
      <c r="B8" s="190">
        <v>906055274.52999997</v>
      </c>
      <c r="C8" s="190">
        <v>609767201.38</v>
      </c>
      <c r="D8" s="190">
        <v>307181791.18000001</v>
      </c>
      <c r="E8" s="190">
        <v>1046759094.41</v>
      </c>
      <c r="F8" s="190">
        <v>771127965.14999998</v>
      </c>
      <c r="G8" s="190">
        <v>501812262.50999999</v>
      </c>
      <c r="H8" s="190">
        <v>240075390.88999999</v>
      </c>
      <c r="I8" s="190">
        <v>1080398728.6600001</v>
      </c>
      <c r="J8" s="190">
        <v>827331652.34000003</v>
      </c>
      <c r="K8" s="190">
        <v>571192503.84000003</v>
      </c>
      <c r="L8" s="190">
        <v>273597225.42000002</v>
      </c>
      <c r="M8" s="190">
        <v>868983590.24000001</v>
      </c>
      <c r="N8" s="190">
        <v>620991183.94000006</v>
      </c>
      <c r="O8" s="190">
        <v>389469548.67000002</v>
      </c>
      <c r="P8" s="190">
        <v>184052871.40000001</v>
      </c>
      <c r="Q8" s="190">
        <v>616488817.42999995</v>
      </c>
      <c r="R8" s="190">
        <v>404166157.33999997</v>
      </c>
      <c r="S8" s="190">
        <v>254757898.31999999</v>
      </c>
      <c r="T8" s="190">
        <v>122442118.84</v>
      </c>
      <c r="U8" s="190">
        <v>557865131.52999997</v>
      </c>
      <c r="V8" s="190">
        <v>448603807.57999998</v>
      </c>
      <c r="W8" s="190">
        <v>326353073.56</v>
      </c>
      <c r="X8" s="190">
        <v>159682846.5</v>
      </c>
      <c r="Y8" s="190">
        <v>479195758.54000002</v>
      </c>
      <c r="Z8" s="190">
        <v>301155917.61000001</v>
      </c>
      <c r="AA8" s="190">
        <v>205883625.25</v>
      </c>
      <c r="AB8" s="190">
        <v>87800254.319999993</v>
      </c>
      <c r="AC8" s="190">
        <v>442559102.07999998</v>
      </c>
      <c r="AD8" s="190">
        <v>308902899.94999999</v>
      </c>
      <c r="AE8" s="190">
        <v>211258065.16</v>
      </c>
      <c r="AF8" s="190">
        <v>105168769.86</v>
      </c>
      <c r="AG8" s="190">
        <v>437170485.63999999</v>
      </c>
      <c r="AH8" s="190">
        <v>336271096.13999999</v>
      </c>
      <c r="AI8" s="190">
        <v>197307762.19999999</v>
      </c>
      <c r="AJ8" s="190">
        <v>343892052.47000003</v>
      </c>
      <c r="AK8" s="190">
        <v>0</v>
      </c>
    </row>
    <row r="9" spans="1:37" x14ac:dyDescent="0.25">
      <c r="A9" s="190" t="s">
        <v>225</v>
      </c>
      <c r="B9" s="190">
        <v>370457456.11000001</v>
      </c>
      <c r="C9" s="190">
        <v>247471045.88</v>
      </c>
      <c r="D9" s="190">
        <v>132302205.14</v>
      </c>
      <c r="E9" s="190">
        <v>584602969.13999999</v>
      </c>
      <c r="F9" s="190">
        <v>351153722.91000003</v>
      </c>
      <c r="G9" s="190">
        <v>227990666.15000001</v>
      </c>
      <c r="H9" s="190">
        <v>104858704.03</v>
      </c>
      <c r="I9" s="190">
        <v>458392878.60000002</v>
      </c>
      <c r="J9" s="190">
        <v>276703592.47000003</v>
      </c>
      <c r="K9" s="190">
        <v>162898403.28999999</v>
      </c>
      <c r="L9" s="190">
        <v>59049377.810000002</v>
      </c>
      <c r="M9" s="190">
        <v>302493403.18000001</v>
      </c>
      <c r="N9" s="190">
        <v>165962481.62</v>
      </c>
      <c r="O9" s="190">
        <v>108924806.89</v>
      </c>
      <c r="P9" s="190">
        <v>57275289.619999997</v>
      </c>
      <c r="Q9" s="190">
        <v>209530674.25999999</v>
      </c>
      <c r="R9" s="190">
        <v>128613183.97</v>
      </c>
      <c r="S9" s="190">
        <v>87086253.810000002</v>
      </c>
      <c r="T9" s="190">
        <v>50911026.490000002</v>
      </c>
      <c r="U9" s="190">
        <v>188038844.43000001</v>
      </c>
      <c r="V9" s="190">
        <v>120754294.19</v>
      </c>
      <c r="W9" s="190">
        <v>80928091.840000004</v>
      </c>
      <c r="X9" s="190">
        <v>45955424.100000001</v>
      </c>
      <c r="Y9" s="190">
        <v>169029470.63999999</v>
      </c>
      <c r="Z9" s="190">
        <v>109662200.76000001</v>
      </c>
      <c r="AA9" s="190">
        <v>74656945.480000004</v>
      </c>
      <c r="AB9" s="190">
        <v>41627579.07</v>
      </c>
      <c r="AC9" s="190">
        <v>144541341.15000001</v>
      </c>
      <c r="AD9" s="190">
        <v>91804107.409999996</v>
      </c>
      <c r="AE9" s="190">
        <v>59743370.229999997</v>
      </c>
      <c r="AF9" s="190">
        <v>29303456.59</v>
      </c>
      <c r="AG9" s="190">
        <v>82039052.959999993</v>
      </c>
      <c r="AH9" s="190">
        <v>47018674.25</v>
      </c>
      <c r="AI9" s="190">
        <v>57164739.579999998</v>
      </c>
      <c r="AJ9" s="190">
        <v>61967595.829999998</v>
      </c>
      <c r="AK9" s="190">
        <v>0</v>
      </c>
    </row>
    <row r="10" spans="1:37" x14ac:dyDescent="0.25">
      <c r="A10" s="190" t="s">
        <v>226</v>
      </c>
      <c r="B10" s="190">
        <v>134850414.84999999</v>
      </c>
      <c r="C10" s="190">
        <v>92690267.170000002</v>
      </c>
      <c r="D10" s="190">
        <v>42187860.990000002</v>
      </c>
      <c r="E10" s="190">
        <v>158526599.24000001</v>
      </c>
      <c r="F10" s="190">
        <v>122813706.14</v>
      </c>
      <c r="G10" s="190">
        <v>81870526.629999995</v>
      </c>
      <c r="H10" s="190">
        <v>31931269.449999999</v>
      </c>
      <c r="I10" s="190">
        <v>120155701.97</v>
      </c>
      <c r="J10" s="190">
        <v>114129384.90000001</v>
      </c>
      <c r="K10" s="190">
        <v>74392187.489999995</v>
      </c>
      <c r="L10" s="190">
        <v>23520014.039999999</v>
      </c>
      <c r="M10" s="190">
        <v>77361364.340000004</v>
      </c>
      <c r="N10" s="190">
        <v>56215018.899999999</v>
      </c>
      <c r="O10" s="190">
        <v>38067910.939999998</v>
      </c>
      <c r="P10" s="190">
        <v>18523570.039999999</v>
      </c>
      <c r="Q10" s="190">
        <v>53625030.109999999</v>
      </c>
      <c r="R10" s="190">
        <v>39148629.579999998</v>
      </c>
      <c r="S10" s="190">
        <v>27305298.309999999</v>
      </c>
      <c r="T10" s="190">
        <v>13745777.83</v>
      </c>
      <c r="U10" s="190">
        <v>44434533.43</v>
      </c>
      <c r="V10" s="190">
        <v>31906362.84</v>
      </c>
      <c r="W10" s="190">
        <v>19037747.91</v>
      </c>
      <c r="X10" s="190">
        <v>4613813.79</v>
      </c>
      <c r="Y10" s="190">
        <v>40026520.5</v>
      </c>
      <c r="Z10" s="190">
        <v>32582231.02</v>
      </c>
      <c r="AA10" s="190">
        <v>18476310.32</v>
      </c>
      <c r="AB10" s="190">
        <v>4124985.49</v>
      </c>
      <c r="AC10" s="190">
        <v>47853822.740000002</v>
      </c>
      <c r="AD10" s="190">
        <v>37601387.18</v>
      </c>
      <c r="AE10" s="190">
        <v>20753002.91</v>
      </c>
      <c r="AF10" s="190">
        <v>6631862.3700000001</v>
      </c>
      <c r="AG10" s="190">
        <v>23763393.539999999</v>
      </c>
      <c r="AH10" s="190">
        <v>18455043.559999999</v>
      </c>
      <c r="AI10" s="190">
        <v>12496354.5</v>
      </c>
      <c r="AJ10" s="190">
        <v>55432131.82</v>
      </c>
      <c r="AK10" s="190">
        <v>0</v>
      </c>
    </row>
    <row r="11" spans="1:37" x14ac:dyDescent="0.25">
      <c r="A11" s="190" t="s">
        <v>227</v>
      </c>
      <c r="B11" s="190">
        <v>148499420.58000001</v>
      </c>
      <c r="C11" s="190">
        <v>101591924.02</v>
      </c>
      <c r="D11" s="190">
        <v>54752075.979999997</v>
      </c>
      <c r="E11" s="190">
        <v>162826606.13999999</v>
      </c>
      <c r="F11" s="190">
        <v>128998080.12</v>
      </c>
      <c r="G11" s="190">
        <v>71308163.959999993</v>
      </c>
      <c r="H11" s="190">
        <v>38630973.990000002</v>
      </c>
      <c r="I11" s="190">
        <v>132348838.81999999</v>
      </c>
      <c r="J11" s="190">
        <v>102854154.76000001</v>
      </c>
      <c r="K11" s="190">
        <v>56482302.859999999</v>
      </c>
      <c r="L11" s="190">
        <v>15645385.01</v>
      </c>
      <c r="M11" s="190">
        <v>103191774.17</v>
      </c>
      <c r="N11" s="190">
        <v>70215895.140000001</v>
      </c>
      <c r="O11" s="190">
        <v>40492751.619999997</v>
      </c>
      <c r="P11" s="190">
        <v>20175175.899999999</v>
      </c>
      <c r="Q11" s="190">
        <v>62509719.890000001</v>
      </c>
      <c r="R11" s="190">
        <v>51133327.840000004</v>
      </c>
      <c r="S11" s="190">
        <v>26351099.640000001</v>
      </c>
      <c r="T11" s="190">
        <v>13376711.57</v>
      </c>
      <c r="U11" s="190">
        <v>46235131.009999998</v>
      </c>
      <c r="V11" s="190">
        <v>39007316.390000001</v>
      </c>
      <c r="W11" s="190">
        <v>30333339.050000001</v>
      </c>
      <c r="X11" s="190">
        <v>12733678.109999999</v>
      </c>
      <c r="Y11" s="190">
        <v>42935047.460000001</v>
      </c>
      <c r="Z11" s="190">
        <v>37436401.710000001</v>
      </c>
      <c r="AA11" s="190">
        <v>26686914.73</v>
      </c>
      <c r="AB11" s="190">
        <v>12524428.23</v>
      </c>
      <c r="AC11" s="190">
        <v>44766399.649999999</v>
      </c>
      <c r="AD11" s="190">
        <v>46086209.079999998</v>
      </c>
      <c r="AE11" s="190">
        <v>36392192.82</v>
      </c>
      <c r="AF11" s="190">
        <v>10091431.17</v>
      </c>
      <c r="AG11" s="190">
        <v>45571710.57</v>
      </c>
      <c r="AH11" s="190">
        <v>26548796.199999999</v>
      </c>
      <c r="AI11" s="190">
        <v>14702918.24</v>
      </c>
      <c r="AJ11" s="190">
        <v>23182867.420000002</v>
      </c>
      <c r="AK11" s="190">
        <v>0</v>
      </c>
    </row>
    <row r="12" spans="1:37" x14ac:dyDescent="0.25">
      <c r="A12" s="190" t="s">
        <v>228</v>
      </c>
      <c r="B12" s="190">
        <v>1559862566.0699999</v>
      </c>
      <c r="C12" s="190">
        <v>1051520438.45</v>
      </c>
      <c r="D12" s="190">
        <v>536423933.29000002</v>
      </c>
      <c r="E12" s="190">
        <v>1952715268.9300001</v>
      </c>
      <c r="F12" s="190">
        <v>1374093474.3199999</v>
      </c>
      <c r="G12" s="190">
        <v>882981619.25</v>
      </c>
      <c r="H12" s="190">
        <v>415496338.36000001</v>
      </c>
      <c r="I12" s="190">
        <v>1791296148.05</v>
      </c>
      <c r="J12" s="190">
        <v>1321018784.47</v>
      </c>
      <c r="K12" s="190">
        <v>864965397.48000002</v>
      </c>
      <c r="L12" s="190">
        <v>371812002.27999997</v>
      </c>
      <c r="M12" s="190">
        <v>1352030131.9300001</v>
      </c>
      <c r="N12" s="190">
        <v>913384579.60000002</v>
      </c>
      <c r="O12" s="190">
        <v>576955018.12</v>
      </c>
      <c r="P12" s="190">
        <v>280026906.95999998</v>
      </c>
      <c r="Q12" s="190">
        <v>942154241.69000006</v>
      </c>
      <c r="R12" s="190">
        <v>623061298.73000002</v>
      </c>
      <c r="S12" s="190">
        <v>395500550.07999998</v>
      </c>
      <c r="T12" s="190">
        <v>200475634.72999999</v>
      </c>
      <c r="U12" s="190">
        <v>836573640.39999998</v>
      </c>
      <c r="V12" s="190">
        <v>640271781</v>
      </c>
      <c r="W12" s="190">
        <v>456652252.36000001</v>
      </c>
      <c r="X12" s="190">
        <v>222985762.5</v>
      </c>
      <c r="Y12" s="190">
        <v>731186797.13999999</v>
      </c>
      <c r="Z12" s="190">
        <v>480836751.10000002</v>
      </c>
      <c r="AA12" s="190">
        <v>325703795.77999997</v>
      </c>
      <c r="AB12" s="190">
        <v>146077247.11000001</v>
      </c>
      <c r="AC12" s="190">
        <v>679720665.62</v>
      </c>
      <c r="AD12" s="190">
        <v>484394603.62</v>
      </c>
      <c r="AE12" s="190">
        <v>328146631.12</v>
      </c>
      <c r="AF12" s="190">
        <v>151195519.99000001</v>
      </c>
      <c r="AG12" s="190">
        <v>588544642.71000004</v>
      </c>
      <c r="AH12" s="190">
        <v>428293610.14999998</v>
      </c>
      <c r="AI12" s="190">
        <v>281671774.51999998</v>
      </c>
      <c r="AJ12" s="190">
        <v>484474647.54000002</v>
      </c>
      <c r="AK12" s="190">
        <v>0</v>
      </c>
    </row>
    <row r="13" spans="1:37" x14ac:dyDescent="0.25">
      <c r="A13" s="190" t="s">
        <v>229</v>
      </c>
      <c r="B13" s="190">
        <v>336245150.81</v>
      </c>
      <c r="C13" s="190">
        <v>222163951.55000001</v>
      </c>
      <c r="D13" s="190">
        <v>95638135.140000001</v>
      </c>
      <c r="E13" s="190">
        <v>612280415.13</v>
      </c>
      <c r="F13" s="190">
        <v>524013685.56</v>
      </c>
      <c r="G13" s="190">
        <v>388747462.31999999</v>
      </c>
      <c r="H13" s="190">
        <v>257293820.97999999</v>
      </c>
      <c r="I13" s="190">
        <v>152654463.16999999</v>
      </c>
      <c r="J13" s="190">
        <v>145353901.49000001</v>
      </c>
      <c r="K13" s="190">
        <v>86112662.510000005</v>
      </c>
      <c r="L13" s="190">
        <v>102339094.16</v>
      </c>
      <c r="M13" s="190">
        <v>366599551.26999998</v>
      </c>
      <c r="N13" s="190">
        <v>301398516.12</v>
      </c>
      <c r="O13" s="190">
        <v>176387130.99000001</v>
      </c>
      <c r="P13" s="190">
        <v>133686240.64</v>
      </c>
      <c r="Q13" s="190">
        <v>143375664.33000001</v>
      </c>
      <c r="R13" s="190">
        <v>129319731.53</v>
      </c>
      <c r="S13" s="190">
        <v>56104951.130000003</v>
      </c>
      <c r="T13" s="190">
        <v>25001014.359999999</v>
      </c>
      <c r="U13" s="190">
        <v>198143305.22999999</v>
      </c>
      <c r="V13" s="190">
        <v>128871538</v>
      </c>
      <c r="W13" s="190">
        <v>65391736.07</v>
      </c>
      <c r="X13" s="190">
        <v>28403041.719999999</v>
      </c>
      <c r="Y13" s="190">
        <v>66414783.799999997</v>
      </c>
      <c r="Z13" s="190">
        <v>63801535.789999999</v>
      </c>
      <c r="AA13" s="190">
        <v>31337114.91</v>
      </c>
      <c r="AB13" s="190">
        <v>59383.69</v>
      </c>
      <c r="AC13" s="190">
        <v>189079188.53</v>
      </c>
      <c r="AD13" s="190">
        <v>216560178.52000001</v>
      </c>
      <c r="AE13" s="190">
        <v>144211016.88</v>
      </c>
      <c r="AF13" s="190">
        <v>52098792.939999998</v>
      </c>
      <c r="AG13" s="190">
        <v>156068852.72</v>
      </c>
      <c r="AH13" s="190">
        <v>117420567.38</v>
      </c>
      <c r="AI13" s="190">
        <v>94704915.730000004</v>
      </c>
      <c r="AJ13" s="190">
        <v>64957959.640000001</v>
      </c>
      <c r="AK13" s="190">
        <v>0</v>
      </c>
    </row>
    <row r="14" spans="1:37" x14ac:dyDescent="0.25">
      <c r="A14" s="190" t="s">
        <v>230</v>
      </c>
    </row>
    <row r="15" spans="1:37" x14ac:dyDescent="0.25">
      <c r="A15" s="190" t="s">
        <v>231</v>
      </c>
      <c r="B15" s="190">
        <v>0</v>
      </c>
      <c r="C15" s="190">
        <v>0</v>
      </c>
      <c r="D15" s="190">
        <v>0</v>
      </c>
      <c r="E15" s="190">
        <v>0</v>
      </c>
      <c r="F15" s="190">
        <v>0</v>
      </c>
      <c r="G15" s="190">
        <v>0</v>
      </c>
      <c r="H15" s="190">
        <v>0</v>
      </c>
      <c r="I15" s="190">
        <v>0</v>
      </c>
      <c r="J15" s="190">
        <v>3238347.51</v>
      </c>
      <c r="K15" s="190">
        <v>3211382.4</v>
      </c>
      <c r="L15" s="190">
        <v>0</v>
      </c>
      <c r="M15" s="190">
        <v>113300</v>
      </c>
      <c r="N15" s="190">
        <v>500113300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row>
    <row r="16" spans="1:37" x14ac:dyDescent="0.25">
      <c r="A16" s="190" t="s">
        <v>232</v>
      </c>
      <c r="B16" s="190">
        <v>7418190.5300000003</v>
      </c>
      <c r="C16" s="190">
        <v>4773190.53</v>
      </c>
      <c r="D16" s="190">
        <v>2777250</v>
      </c>
      <c r="E16" s="190">
        <v>14938212.85</v>
      </c>
      <c r="F16" s="190">
        <v>11175712.85</v>
      </c>
      <c r="G16" s="190">
        <v>8165712.8499999996</v>
      </c>
      <c r="H16" s="190">
        <v>2796666.67</v>
      </c>
      <c r="I16" s="190">
        <v>21519281.039999999</v>
      </c>
      <c r="J16" s="190">
        <v>18224281.039999999</v>
      </c>
      <c r="K16" s="190">
        <v>14349281.039999999</v>
      </c>
      <c r="L16" s="190">
        <v>9125000</v>
      </c>
      <c r="M16" s="190">
        <v>7713408.6500000004</v>
      </c>
      <c r="N16" s="190">
        <v>7713408.6500000004</v>
      </c>
      <c r="O16" s="190">
        <v>1364093.58</v>
      </c>
      <c r="P16" s="190">
        <v>0</v>
      </c>
      <c r="Q16" s="190">
        <v>1034528.12</v>
      </c>
      <c r="R16" s="190">
        <v>1034528.12</v>
      </c>
      <c r="S16" s="190">
        <v>1034528.12</v>
      </c>
      <c r="T16" s="190">
        <v>0</v>
      </c>
      <c r="U16" s="190">
        <v>856247.79</v>
      </c>
      <c r="V16" s="190">
        <v>856247.79</v>
      </c>
      <c r="W16" s="190">
        <v>856247.79</v>
      </c>
      <c r="X16" s="190">
        <v>0</v>
      </c>
      <c r="Y16" s="190">
        <v>965977.34</v>
      </c>
      <c r="Z16" s="190">
        <v>965977.34</v>
      </c>
      <c r="AA16" s="190">
        <v>965977.34</v>
      </c>
      <c r="AB16" s="190">
        <v>0</v>
      </c>
      <c r="AC16" s="190">
        <v>1082643.8</v>
      </c>
      <c r="AD16" s="190">
        <v>373611.15</v>
      </c>
      <c r="AE16" s="190">
        <v>373611.15</v>
      </c>
      <c r="AF16" s="190">
        <v>0</v>
      </c>
      <c r="AG16" s="190">
        <v>963169.19</v>
      </c>
      <c r="AH16" s="190">
        <v>963169.19</v>
      </c>
      <c r="AI16" s="190">
        <v>1560755.28</v>
      </c>
      <c r="AJ16" s="190">
        <v>0</v>
      </c>
      <c r="AK16" s="190">
        <v>0</v>
      </c>
    </row>
    <row r="17" spans="1:37" x14ac:dyDescent="0.25">
      <c r="A17" s="190" t="s">
        <v>233</v>
      </c>
      <c r="B17" s="190">
        <v>129388.2</v>
      </c>
      <c r="C17" s="190">
        <v>71940.2</v>
      </c>
      <c r="D17" s="190">
        <v>25253</v>
      </c>
      <c r="E17" s="190">
        <v>500821.88</v>
      </c>
      <c r="F17" s="190">
        <v>256335.39</v>
      </c>
      <c r="G17" s="190">
        <v>186055.39</v>
      </c>
      <c r="H17" s="190">
        <v>14831.3</v>
      </c>
      <c r="I17" s="190">
        <v>509414.36</v>
      </c>
      <c r="J17" s="190">
        <v>336576.14</v>
      </c>
      <c r="K17" s="190">
        <v>275103.32</v>
      </c>
      <c r="L17" s="190">
        <v>39875.42</v>
      </c>
      <c r="M17" s="190">
        <v>1327190.75</v>
      </c>
      <c r="N17" s="190">
        <v>232587.08</v>
      </c>
      <c r="O17" s="190">
        <v>118967.9</v>
      </c>
      <c r="P17" s="190">
        <v>55815.9</v>
      </c>
      <c r="Q17" s="190">
        <v>673654.08</v>
      </c>
      <c r="R17" s="190">
        <v>267127.71999999997</v>
      </c>
      <c r="S17" s="190">
        <v>130191.1</v>
      </c>
      <c r="T17" s="190">
        <v>35145.730000000003</v>
      </c>
      <c r="U17" s="190">
        <v>294821.3</v>
      </c>
      <c r="V17" s="190">
        <v>187875.19</v>
      </c>
      <c r="W17" s="190">
        <v>146367.4</v>
      </c>
      <c r="X17" s="190">
        <v>26896</v>
      </c>
      <c r="Y17" s="190">
        <v>240565.67</v>
      </c>
      <c r="Z17" s="190">
        <v>188909.4</v>
      </c>
      <c r="AA17" s="190">
        <v>161853.79999999999</v>
      </c>
      <c r="AB17" s="190">
        <v>40311</v>
      </c>
      <c r="AC17" s="190">
        <v>948399.81</v>
      </c>
      <c r="AD17" s="190">
        <v>409720.02</v>
      </c>
      <c r="AE17" s="190">
        <v>208457.01</v>
      </c>
      <c r="AF17" s="190">
        <v>40738.6</v>
      </c>
      <c r="AG17" s="190">
        <v>204761.65</v>
      </c>
      <c r="AH17" s="190">
        <v>117257.1</v>
      </c>
      <c r="AI17" s="190">
        <v>0</v>
      </c>
      <c r="AJ17" s="190">
        <v>1452357</v>
      </c>
      <c r="AK17" s="190">
        <v>0</v>
      </c>
    </row>
    <row r="18" spans="1:37"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row>
    <row r="19" spans="1:37" x14ac:dyDescent="0.25">
      <c r="A19" s="190" t="s">
        <v>235</v>
      </c>
      <c r="B19" s="190">
        <v>592000000</v>
      </c>
      <c r="C19" s="190">
        <v>350000000</v>
      </c>
      <c r="D19" s="190">
        <v>350000000</v>
      </c>
      <c r="E19" s="190">
        <v>1290000000</v>
      </c>
      <c r="F19" s="190">
        <v>940000000</v>
      </c>
      <c r="G19" s="190">
        <v>660000000</v>
      </c>
      <c r="H19" s="190">
        <v>380000000</v>
      </c>
      <c r="I19" s="190">
        <v>1825261600</v>
      </c>
      <c r="J19" s="190">
        <v>1395261600</v>
      </c>
      <c r="K19" s="190">
        <v>895261600</v>
      </c>
      <c r="L19" s="190">
        <v>500000000</v>
      </c>
      <c r="M19" s="190">
        <v>500000000</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295909.3</v>
      </c>
      <c r="AH19" s="190">
        <v>0</v>
      </c>
      <c r="AI19" s="190">
        <v>0</v>
      </c>
      <c r="AJ19" s="190">
        <v>0</v>
      </c>
      <c r="AK19" s="190">
        <v>0</v>
      </c>
    </row>
    <row r="20" spans="1:37" x14ac:dyDescent="0.25">
      <c r="A20" s="190" t="s">
        <v>236</v>
      </c>
      <c r="B20" s="190">
        <v>599547578.73000002</v>
      </c>
      <c r="C20" s="190">
        <v>354845130.73000002</v>
      </c>
      <c r="D20" s="190">
        <v>352802503</v>
      </c>
      <c r="E20" s="190">
        <v>1305439034.73</v>
      </c>
      <c r="F20" s="190">
        <v>951432048.24000001</v>
      </c>
      <c r="G20" s="190">
        <v>668351768.24000001</v>
      </c>
      <c r="H20" s="190">
        <v>382811497.97000003</v>
      </c>
      <c r="I20" s="190">
        <v>1847290295.4000001</v>
      </c>
      <c r="J20" s="190">
        <v>1417060804.6900001</v>
      </c>
      <c r="K20" s="190">
        <v>913097366.75999999</v>
      </c>
      <c r="L20" s="190">
        <v>509164875.42000002</v>
      </c>
      <c r="M20" s="190">
        <v>509153899.39999998</v>
      </c>
      <c r="N20" s="190">
        <v>508059295.73000002</v>
      </c>
      <c r="O20" s="190">
        <v>1483061.48</v>
      </c>
      <c r="P20" s="190">
        <v>55815.9</v>
      </c>
      <c r="Q20" s="190">
        <v>1708182.2</v>
      </c>
      <c r="R20" s="190">
        <v>1301655.8400000001</v>
      </c>
      <c r="S20" s="190">
        <v>1164719.22</v>
      </c>
      <c r="T20" s="190">
        <v>35145.730000000003</v>
      </c>
      <c r="U20" s="190">
        <v>1151069.0900000001</v>
      </c>
      <c r="V20" s="190">
        <v>1044122.98</v>
      </c>
      <c r="W20" s="190">
        <v>1002615.19</v>
      </c>
      <c r="X20" s="190">
        <v>26896</v>
      </c>
      <c r="Y20" s="190">
        <v>1206543.01</v>
      </c>
      <c r="Z20" s="190">
        <v>1154886.74</v>
      </c>
      <c r="AA20" s="190">
        <v>1127831.1399999999</v>
      </c>
      <c r="AB20" s="190">
        <v>40311</v>
      </c>
      <c r="AC20" s="190">
        <v>2031043.61</v>
      </c>
      <c r="AD20" s="190">
        <v>783331.17</v>
      </c>
      <c r="AE20" s="190">
        <v>582068.16</v>
      </c>
      <c r="AF20" s="190">
        <v>40738.6</v>
      </c>
      <c r="AG20" s="190">
        <v>1463840.14</v>
      </c>
      <c r="AH20" s="190">
        <v>1080426.29</v>
      </c>
      <c r="AI20" s="190">
        <v>1560755.28</v>
      </c>
      <c r="AJ20" s="190">
        <v>1452357</v>
      </c>
      <c r="AK20" s="190">
        <v>0</v>
      </c>
    </row>
    <row r="21" spans="1:37" x14ac:dyDescent="0.25">
      <c r="A21" s="190" t="s">
        <v>237</v>
      </c>
      <c r="B21" s="190">
        <v>285538820.86000001</v>
      </c>
      <c r="C21" s="190">
        <v>209989508.33000001</v>
      </c>
      <c r="D21" s="190">
        <v>103997142.14</v>
      </c>
      <c r="E21" s="190">
        <v>383482606.77999997</v>
      </c>
      <c r="F21" s="190">
        <v>275734020.55000001</v>
      </c>
      <c r="G21" s="190">
        <v>216983104.25999999</v>
      </c>
      <c r="H21" s="190">
        <v>103896644.69</v>
      </c>
      <c r="I21" s="190">
        <v>444285488.91000003</v>
      </c>
      <c r="J21" s="190">
        <v>322844853.11000001</v>
      </c>
      <c r="K21" s="190">
        <v>164773450.24000001</v>
      </c>
      <c r="L21" s="190">
        <v>59555754.280000001</v>
      </c>
      <c r="M21" s="190">
        <v>356578634</v>
      </c>
      <c r="N21" s="190">
        <v>277935839.25</v>
      </c>
      <c r="O21" s="190">
        <v>202616698.78</v>
      </c>
      <c r="P21" s="190">
        <v>106473734.16</v>
      </c>
      <c r="Q21" s="190">
        <v>189462606.18000001</v>
      </c>
      <c r="R21" s="190">
        <v>130049784.45999999</v>
      </c>
      <c r="S21" s="190">
        <v>84986028.730000004</v>
      </c>
      <c r="T21" s="190">
        <v>42901551.719999999</v>
      </c>
      <c r="U21" s="190">
        <v>190463988.16999999</v>
      </c>
      <c r="V21" s="190">
        <v>129631786.98999999</v>
      </c>
      <c r="W21" s="190">
        <v>80028428.140000001</v>
      </c>
      <c r="X21" s="190">
        <v>50144035.409999996</v>
      </c>
      <c r="Y21" s="190">
        <v>244190255.53</v>
      </c>
      <c r="Z21" s="190">
        <v>172122744.43000001</v>
      </c>
      <c r="AA21" s="190">
        <v>90616778.060000002</v>
      </c>
      <c r="AB21" s="190">
        <v>26177655.390000001</v>
      </c>
      <c r="AC21" s="190">
        <v>127262489.27</v>
      </c>
      <c r="AD21" s="190">
        <v>101090715.77</v>
      </c>
      <c r="AE21" s="190">
        <v>75148807.060000002</v>
      </c>
      <c r="AF21" s="190">
        <v>37253138.159999996</v>
      </c>
      <c r="AG21" s="190">
        <v>82339064.920000002</v>
      </c>
      <c r="AH21" s="190">
        <v>57371568.490000002</v>
      </c>
      <c r="AI21" s="190">
        <v>39015549.149999999</v>
      </c>
      <c r="AJ21" s="190">
        <v>37084603.770000003</v>
      </c>
      <c r="AK21" s="190">
        <v>0</v>
      </c>
    </row>
    <row r="22" spans="1:37" x14ac:dyDescent="0.25">
      <c r="A22" s="190" t="s">
        <v>238</v>
      </c>
      <c r="B22" s="190">
        <v>0</v>
      </c>
      <c r="C22" s="190">
        <v>0</v>
      </c>
      <c r="D22" s="190">
        <v>0</v>
      </c>
      <c r="E22" s="190">
        <v>0</v>
      </c>
      <c r="F22" s="190">
        <v>0</v>
      </c>
      <c r="G22" s="190">
        <v>0</v>
      </c>
      <c r="H22" s="190">
        <v>0</v>
      </c>
      <c r="I22" s="190">
        <v>0</v>
      </c>
      <c r="J22" s="190">
        <v>0</v>
      </c>
      <c r="K22" s="190">
        <v>0</v>
      </c>
      <c r="L22" s="190">
        <v>0</v>
      </c>
      <c r="M22" s="190">
        <v>7000000</v>
      </c>
      <c r="N22" s="190">
        <v>1007000000</v>
      </c>
      <c r="O22" s="190">
        <v>500000000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row>
    <row r="23" spans="1:37" x14ac:dyDescent="0.25">
      <c r="A23" s="190" t="s">
        <v>239</v>
      </c>
      <c r="B23" s="190">
        <v>0</v>
      </c>
      <c r="C23" s="190">
        <v>0</v>
      </c>
      <c r="D23" s="190">
        <v>0</v>
      </c>
      <c r="E23" s="190">
        <v>0</v>
      </c>
      <c r="F23" s="190">
        <v>0</v>
      </c>
      <c r="G23" s="190">
        <v>0</v>
      </c>
      <c r="H23" s="190">
        <v>0</v>
      </c>
      <c r="I23" s="190">
        <v>891869702.13</v>
      </c>
      <c r="J23" s="190">
        <v>891869702.51999998</v>
      </c>
      <c r="K23" s="190">
        <v>896988543.84000003</v>
      </c>
      <c r="L23" s="190">
        <v>906764353.39999998</v>
      </c>
      <c r="M23" s="190">
        <v>0</v>
      </c>
      <c r="N23" s="190">
        <v>0</v>
      </c>
      <c r="O23" s="190">
        <v>0</v>
      </c>
      <c r="P23" s="190">
        <v>0</v>
      </c>
      <c r="Q23" s="190">
        <v>0</v>
      </c>
      <c r="R23" s="190">
        <v>0</v>
      </c>
      <c r="S23" s="190">
        <v>0</v>
      </c>
      <c r="T23" s="190">
        <v>0</v>
      </c>
      <c r="U23" s="190">
        <v>0</v>
      </c>
      <c r="V23" s="190">
        <v>0</v>
      </c>
      <c r="W23" s="190">
        <v>0</v>
      </c>
      <c r="X23" s="190">
        <v>0</v>
      </c>
      <c r="Y23" s="190">
        <v>0</v>
      </c>
      <c r="Z23" s="190">
        <v>0</v>
      </c>
      <c r="AA23" s="190">
        <v>0</v>
      </c>
      <c r="AB23" s="190">
        <v>0</v>
      </c>
      <c r="AC23" s="190">
        <v>35607731.289999999</v>
      </c>
      <c r="AD23" s="190">
        <v>35607731.289999999</v>
      </c>
      <c r="AE23" s="190">
        <v>35607731.289999999</v>
      </c>
      <c r="AF23" s="190">
        <v>29547519.329999998</v>
      </c>
      <c r="AG23" s="190">
        <v>13414505.08</v>
      </c>
      <c r="AH23" s="190">
        <v>0</v>
      </c>
      <c r="AI23" s="190">
        <v>0</v>
      </c>
      <c r="AJ23" s="190">
        <v>0</v>
      </c>
      <c r="AK23" s="190">
        <v>0</v>
      </c>
    </row>
    <row r="24" spans="1:37" x14ac:dyDescent="0.25">
      <c r="A24" s="190" t="s">
        <v>240</v>
      </c>
      <c r="B24" s="190">
        <v>416000000</v>
      </c>
      <c r="C24" s="190">
        <v>266000000</v>
      </c>
      <c r="D24" s="190">
        <v>0</v>
      </c>
      <c r="E24" s="190">
        <v>1260000000</v>
      </c>
      <c r="F24" s="190">
        <v>910000000</v>
      </c>
      <c r="G24" s="190">
        <v>560000000</v>
      </c>
      <c r="H24" s="190">
        <v>280000000</v>
      </c>
      <c r="I24" s="190">
        <v>1680000000</v>
      </c>
      <c r="J24" s="190">
        <v>1300031268</v>
      </c>
      <c r="K24" s="190">
        <v>870000000</v>
      </c>
      <c r="L24" s="190">
        <v>370000000</v>
      </c>
      <c r="M24" s="190">
        <v>1025261600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20295909.300000001</v>
      </c>
      <c r="AH24" s="190">
        <v>295909.3</v>
      </c>
      <c r="AI24" s="190">
        <v>0</v>
      </c>
      <c r="AJ24" s="190">
        <v>0</v>
      </c>
      <c r="AK24" s="190">
        <v>0</v>
      </c>
    </row>
    <row r="25" spans="1:37" x14ac:dyDescent="0.25">
      <c r="A25" s="190" t="s">
        <v>241</v>
      </c>
      <c r="B25" s="190">
        <v>701538820.86000001</v>
      </c>
      <c r="C25" s="190">
        <v>475989508.32999998</v>
      </c>
      <c r="D25" s="190">
        <v>103997142.14</v>
      </c>
      <c r="E25" s="190">
        <v>1643482606.78</v>
      </c>
      <c r="F25" s="190">
        <v>1185734020.55</v>
      </c>
      <c r="G25" s="190">
        <v>776983104.25999999</v>
      </c>
      <c r="H25" s="190">
        <v>383896644.69</v>
      </c>
      <c r="I25" s="190">
        <v>3016155191.04</v>
      </c>
      <c r="J25" s="190">
        <v>2514745823.6300001</v>
      </c>
      <c r="K25" s="190">
        <v>1931761994.0799999</v>
      </c>
      <c r="L25" s="190">
        <v>1336320107.6800001</v>
      </c>
      <c r="M25" s="190">
        <v>1388840234</v>
      </c>
      <c r="N25" s="190">
        <v>1284935839.25</v>
      </c>
      <c r="O25" s="190">
        <v>702616698.77999997</v>
      </c>
      <c r="P25" s="190">
        <v>106473734.16</v>
      </c>
      <c r="Q25" s="190">
        <v>189462606.18000001</v>
      </c>
      <c r="R25" s="190">
        <v>130049784.45999999</v>
      </c>
      <c r="S25" s="190">
        <v>84986028.730000004</v>
      </c>
      <c r="T25" s="190">
        <v>42901551.719999999</v>
      </c>
      <c r="U25" s="190">
        <v>190463988.16999999</v>
      </c>
      <c r="V25" s="190">
        <v>129631786.98999999</v>
      </c>
      <c r="W25" s="190">
        <v>80028428.140000001</v>
      </c>
      <c r="X25" s="190">
        <v>50144035.409999996</v>
      </c>
      <c r="Y25" s="190">
        <v>244190255.53</v>
      </c>
      <c r="Z25" s="190">
        <v>172122744.43000001</v>
      </c>
      <c r="AA25" s="190">
        <v>90616778.060000002</v>
      </c>
      <c r="AB25" s="190">
        <v>26177655.390000001</v>
      </c>
      <c r="AC25" s="190">
        <v>162870220.56</v>
      </c>
      <c r="AD25" s="190">
        <v>136698447.06</v>
      </c>
      <c r="AE25" s="190">
        <v>110756538.34999999</v>
      </c>
      <c r="AF25" s="190">
        <v>66800657.490000002</v>
      </c>
      <c r="AG25" s="190">
        <v>116049479.3</v>
      </c>
      <c r="AH25" s="190">
        <v>57667477.789999999</v>
      </c>
      <c r="AI25" s="190">
        <v>39015549.149999999</v>
      </c>
      <c r="AJ25" s="190">
        <v>37084603.770000003</v>
      </c>
      <c r="AK25" s="190">
        <v>0</v>
      </c>
    </row>
    <row r="26" spans="1:37" x14ac:dyDescent="0.25">
      <c r="A26" s="190" t="s">
        <v>242</v>
      </c>
      <c r="B26" s="190">
        <v>-101991242.13</v>
      </c>
      <c r="C26" s="190">
        <v>-121144377.59999999</v>
      </c>
      <c r="D26" s="190">
        <v>248805360.86000001</v>
      </c>
      <c r="E26" s="190">
        <v>-338043572.05000001</v>
      </c>
      <c r="F26" s="190">
        <v>-234301972.31</v>
      </c>
      <c r="G26" s="190">
        <v>-108631336.02</v>
      </c>
      <c r="H26" s="190">
        <v>-1085146.72</v>
      </c>
      <c r="I26" s="190">
        <v>-1168864895.6400001</v>
      </c>
      <c r="J26" s="190">
        <v>-1097685018.9400001</v>
      </c>
      <c r="K26" s="190">
        <v>-1018664627.3200001</v>
      </c>
      <c r="L26" s="190">
        <v>-827155232.25999999</v>
      </c>
      <c r="M26" s="190">
        <v>-879686334.60000002</v>
      </c>
      <c r="N26" s="190">
        <v>-776876543.51999998</v>
      </c>
      <c r="O26" s="190">
        <v>-701133637.29999995</v>
      </c>
      <c r="P26" s="190">
        <v>-106417918.26000001</v>
      </c>
      <c r="Q26" s="190">
        <v>-187754423.97999999</v>
      </c>
      <c r="R26" s="190">
        <v>-128748128.62</v>
      </c>
      <c r="S26" s="190">
        <v>-83821309.510000005</v>
      </c>
      <c r="T26" s="190">
        <v>-42866405.990000002</v>
      </c>
      <c r="U26" s="190">
        <v>-189312919.08000001</v>
      </c>
      <c r="V26" s="190">
        <v>-128587664.01000001</v>
      </c>
      <c r="W26" s="190">
        <v>-79025812.950000003</v>
      </c>
      <c r="X26" s="190">
        <v>-50117139.409999996</v>
      </c>
      <c r="Y26" s="190">
        <v>-242983712.52000001</v>
      </c>
      <c r="Z26" s="190">
        <v>-170967857.69</v>
      </c>
      <c r="AA26" s="190">
        <v>-89488946.920000002</v>
      </c>
      <c r="AB26" s="190">
        <v>-26137344.390000001</v>
      </c>
      <c r="AC26" s="190">
        <v>-160839176.94999999</v>
      </c>
      <c r="AD26" s="190">
        <v>-135915115.88999999</v>
      </c>
      <c r="AE26" s="190">
        <v>-110174470.19</v>
      </c>
      <c r="AF26" s="190">
        <v>-66759918.890000001</v>
      </c>
      <c r="AG26" s="190">
        <v>-114585639.16</v>
      </c>
      <c r="AH26" s="190">
        <v>-56587051.5</v>
      </c>
      <c r="AI26" s="190">
        <v>-37454793.869999997</v>
      </c>
      <c r="AJ26" s="190">
        <v>-35632246.770000003</v>
      </c>
      <c r="AK26" s="190">
        <v>0</v>
      </c>
    </row>
    <row r="27" spans="1:37" x14ac:dyDescent="0.25">
      <c r="A27" s="190" t="s">
        <v>243</v>
      </c>
    </row>
    <row r="28" spans="1:37" x14ac:dyDescent="0.25">
      <c r="A28" s="190" t="s">
        <v>244</v>
      </c>
      <c r="B28" s="190">
        <v>161600004</v>
      </c>
      <c r="C28" s="190">
        <v>161600004</v>
      </c>
      <c r="D28" s="190">
        <v>0</v>
      </c>
      <c r="E28" s="190">
        <v>0</v>
      </c>
      <c r="F28" s="190">
        <v>0</v>
      </c>
      <c r="G28" s="190">
        <v>0</v>
      </c>
      <c r="H28" s="190">
        <v>0</v>
      </c>
      <c r="I28" s="190">
        <v>1004999979.16</v>
      </c>
      <c r="J28" s="190">
        <v>1004999979.16</v>
      </c>
      <c r="K28" s="190">
        <v>0</v>
      </c>
      <c r="L28" s="190">
        <v>0</v>
      </c>
      <c r="M28" s="190">
        <v>1010229100</v>
      </c>
      <c r="N28" s="190">
        <v>1010229100</v>
      </c>
      <c r="O28" s="190">
        <v>1010229100</v>
      </c>
      <c r="P28" s="190">
        <v>1010229100</v>
      </c>
      <c r="Q28" s="190">
        <v>0</v>
      </c>
      <c r="R28" s="190">
        <v>0</v>
      </c>
      <c r="S28" s="190">
        <v>0</v>
      </c>
      <c r="T28" s="190">
        <v>0</v>
      </c>
      <c r="U28" s="190">
        <v>2367600</v>
      </c>
      <c r="V28" s="190">
        <v>2367600</v>
      </c>
      <c r="W28" s="190">
        <v>2367600</v>
      </c>
      <c r="X28" s="190">
        <v>0</v>
      </c>
      <c r="Y28" s="190">
        <v>0</v>
      </c>
      <c r="Z28" s="190">
        <v>0</v>
      </c>
      <c r="AA28" s="190">
        <v>0</v>
      </c>
      <c r="AB28" s="190">
        <v>0</v>
      </c>
      <c r="AC28" s="190">
        <v>815170000</v>
      </c>
      <c r="AD28" s="190">
        <v>0</v>
      </c>
      <c r="AE28" s="190">
        <v>0</v>
      </c>
      <c r="AF28" s="190">
        <v>0</v>
      </c>
      <c r="AG28" s="190">
        <v>0</v>
      </c>
      <c r="AH28" s="190">
        <v>0</v>
      </c>
      <c r="AI28" s="190">
        <v>0</v>
      </c>
      <c r="AJ28" s="190">
        <v>0</v>
      </c>
      <c r="AK28" s="190">
        <v>0</v>
      </c>
    </row>
    <row r="29" spans="1:37" x14ac:dyDescent="0.25">
      <c r="A29" s="190" t="s">
        <v>245</v>
      </c>
      <c r="B29" s="190">
        <v>161600004</v>
      </c>
      <c r="C29" s="190">
        <v>161600004</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2367600</v>
      </c>
      <c r="V29" s="190">
        <v>2367600</v>
      </c>
      <c r="W29" s="190">
        <v>2367600</v>
      </c>
      <c r="X29" s="190">
        <v>0</v>
      </c>
      <c r="Y29" s="190">
        <v>0</v>
      </c>
      <c r="Z29" s="190">
        <v>0</v>
      </c>
      <c r="AA29" s="190">
        <v>0</v>
      </c>
      <c r="AB29" s="190">
        <v>0</v>
      </c>
      <c r="AC29" s="190">
        <v>0</v>
      </c>
      <c r="AD29" s="190">
        <v>0</v>
      </c>
      <c r="AE29" s="190">
        <v>0</v>
      </c>
      <c r="AF29" s="190">
        <v>0</v>
      </c>
      <c r="AG29" s="190">
        <v>0</v>
      </c>
      <c r="AH29" s="190">
        <v>0</v>
      </c>
      <c r="AI29" s="190">
        <v>0</v>
      </c>
      <c r="AJ29" s="190">
        <v>0</v>
      </c>
      <c r="AK29" s="190">
        <v>0</v>
      </c>
    </row>
    <row r="30" spans="1:37" x14ac:dyDescent="0.25">
      <c r="A30" s="190" t="s">
        <v>246</v>
      </c>
      <c r="B30" s="190">
        <v>0</v>
      </c>
      <c r="C30" s="190">
        <v>0</v>
      </c>
      <c r="D30" s="190">
        <v>0</v>
      </c>
      <c r="E30" s="190">
        <v>0</v>
      </c>
      <c r="F30" s="190">
        <v>0</v>
      </c>
      <c r="G30" s="190">
        <v>0</v>
      </c>
      <c r="H30" s="190">
        <v>0</v>
      </c>
      <c r="I30" s="190">
        <v>888968300</v>
      </c>
      <c r="J30" s="190">
        <v>886671322.96000004</v>
      </c>
      <c r="K30" s="190">
        <v>778075600</v>
      </c>
      <c r="L30" s="190">
        <v>714938800</v>
      </c>
      <c r="M30" s="190">
        <v>0</v>
      </c>
      <c r="N30" s="190">
        <v>0</v>
      </c>
      <c r="O30" s="190">
        <v>0</v>
      </c>
      <c r="P30" s="190">
        <v>0</v>
      </c>
      <c r="Q30" s="190">
        <v>41820000</v>
      </c>
      <c r="R30" s="190">
        <v>34420000</v>
      </c>
      <c r="S30" s="190">
        <v>28420000</v>
      </c>
      <c r="T30" s="190">
        <v>12420000</v>
      </c>
      <c r="U30" s="190">
        <v>84989480</v>
      </c>
      <c r="V30" s="190">
        <v>66464900</v>
      </c>
      <c r="W30" s="190">
        <v>61464900</v>
      </c>
      <c r="X30" s="190">
        <v>50196000</v>
      </c>
      <c r="Y30" s="190">
        <v>88437836</v>
      </c>
      <c r="Z30" s="190">
        <v>0</v>
      </c>
      <c r="AA30" s="190">
        <v>0</v>
      </c>
      <c r="AB30" s="190">
        <v>0</v>
      </c>
      <c r="AC30" s="190">
        <v>333935853.41000003</v>
      </c>
      <c r="AD30" s="190">
        <v>199930237.41</v>
      </c>
      <c r="AE30" s="190">
        <v>138755646.87</v>
      </c>
      <c r="AF30" s="190">
        <v>81719313.329999998</v>
      </c>
      <c r="AG30" s="190">
        <v>220530859</v>
      </c>
      <c r="AH30" s="190">
        <v>104141968</v>
      </c>
      <c r="AI30" s="190">
        <v>256870000</v>
      </c>
      <c r="AJ30" s="190">
        <v>256770517.59999999</v>
      </c>
      <c r="AK30" s="190">
        <v>0</v>
      </c>
    </row>
    <row r="31" spans="1:37"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row>
    <row r="32" spans="1:37" x14ac:dyDescent="0.25">
      <c r="A32" s="190" t="s">
        <v>248</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320800</v>
      </c>
      <c r="AE32" s="190">
        <v>0</v>
      </c>
      <c r="AF32" s="190">
        <v>0</v>
      </c>
      <c r="AG32" s="190">
        <v>0</v>
      </c>
      <c r="AH32" s="190">
        <v>0</v>
      </c>
      <c r="AI32" s="190">
        <v>0</v>
      </c>
      <c r="AJ32" s="190">
        <v>0</v>
      </c>
      <c r="AK32" s="190">
        <v>0</v>
      </c>
    </row>
    <row r="33" spans="1:37" x14ac:dyDescent="0.25">
      <c r="A33" s="190" t="s">
        <v>249</v>
      </c>
      <c r="B33" s="190">
        <v>161600004</v>
      </c>
      <c r="C33" s="190">
        <v>161600004</v>
      </c>
      <c r="D33" s="190">
        <v>0</v>
      </c>
      <c r="E33" s="190">
        <v>0</v>
      </c>
      <c r="F33" s="190">
        <v>0</v>
      </c>
      <c r="G33" s="190">
        <v>0</v>
      </c>
      <c r="H33" s="190">
        <v>0</v>
      </c>
      <c r="I33" s="190">
        <v>1893968279.1600001</v>
      </c>
      <c r="J33" s="190">
        <v>1891671302.1199999</v>
      </c>
      <c r="K33" s="190">
        <v>778075600</v>
      </c>
      <c r="L33" s="190">
        <v>714938800</v>
      </c>
      <c r="M33" s="190">
        <v>1010229100</v>
      </c>
      <c r="N33" s="190">
        <v>1010229100</v>
      </c>
      <c r="O33" s="190">
        <v>1010229100</v>
      </c>
      <c r="P33" s="190">
        <v>1010229100</v>
      </c>
      <c r="Q33" s="190">
        <v>41820000</v>
      </c>
      <c r="R33" s="190">
        <v>34420000</v>
      </c>
      <c r="S33" s="190">
        <v>28420000</v>
      </c>
      <c r="T33" s="190">
        <v>12420000</v>
      </c>
      <c r="U33" s="190">
        <v>87357080</v>
      </c>
      <c r="V33" s="190">
        <v>68832500</v>
      </c>
      <c r="W33" s="190">
        <v>63832500</v>
      </c>
      <c r="X33" s="190">
        <v>50196000</v>
      </c>
      <c r="Y33" s="190">
        <v>88437836</v>
      </c>
      <c r="Z33" s="190">
        <v>0</v>
      </c>
      <c r="AA33" s="190">
        <v>0</v>
      </c>
      <c r="AB33" s="190">
        <v>0</v>
      </c>
      <c r="AC33" s="190">
        <v>1149105853.4100001</v>
      </c>
      <c r="AD33" s="190">
        <v>200251037.41</v>
      </c>
      <c r="AE33" s="190">
        <v>138755646.87</v>
      </c>
      <c r="AF33" s="190">
        <v>81719313.329999998</v>
      </c>
      <c r="AG33" s="190">
        <v>220530859</v>
      </c>
      <c r="AH33" s="190">
        <v>104141968</v>
      </c>
      <c r="AI33" s="190">
        <v>256870000</v>
      </c>
      <c r="AJ33" s="190">
        <v>256770517.59999999</v>
      </c>
      <c r="AK33" s="190">
        <v>0</v>
      </c>
    </row>
    <row r="34" spans="1:37" x14ac:dyDescent="0.25">
      <c r="A34" s="190" t="s">
        <v>250</v>
      </c>
      <c r="B34" s="190">
        <v>1587899.24</v>
      </c>
      <c r="C34" s="190">
        <v>995962.21</v>
      </c>
      <c r="D34" s="190">
        <v>391254.89</v>
      </c>
      <c r="E34" s="190">
        <v>1153135.1000000001</v>
      </c>
      <c r="F34" s="190">
        <v>1788802.08</v>
      </c>
      <c r="G34" s="190">
        <v>1184532.03</v>
      </c>
      <c r="H34" s="190">
        <v>570558.6</v>
      </c>
      <c r="I34" s="190">
        <v>891343215.74000001</v>
      </c>
      <c r="J34" s="190">
        <v>423927036.30000001</v>
      </c>
      <c r="K34" s="190">
        <v>701674</v>
      </c>
      <c r="L34" s="190">
        <v>0</v>
      </c>
      <c r="M34" s="190">
        <v>22400000</v>
      </c>
      <c r="N34" s="190">
        <v>22400000</v>
      </c>
      <c r="O34" s="190">
        <v>22400000</v>
      </c>
      <c r="P34" s="190">
        <v>16000000</v>
      </c>
      <c r="Q34" s="190">
        <v>36983544</v>
      </c>
      <c r="R34" s="190">
        <v>31076160</v>
      </c>
      <c r="S34" s="190">
        <v>25076160</v>
      </c>
      <c r="T34" s="190">
        <v>6000000</v>
      </c>
      <c r="U34" s="190">
        <v>154078426.22999999</v>
      </c>
      <c r="V34" s="190">
        <v>144078426.22999999</v>
      </c>
      <c r="W34" s="190">
        <v>137928726.22999999</v>
      </c>
      <c r="X34" s="190">
        <v>38018328</v>
      </c>
      <c r="Y34" s="190">
        <v>253388464</v>
      </c>
      <c r="Z34" s="190">
        <v>253388464</v>
      </c>
      <c r="AA34" s="190">
        <v>253388464</v>
      </c>
      <c r="AB34" s="190">
        <v>217038464</v>
      </c>
      <c r="AC34" s="190">
        <v>316354604.79000002</v>
      </c>
      <c r="AD34" s="190">
        <v>249964604.78999999</v>
      </c>
      <c r="AE34" s="190">
        <v>132196434.7</v>
      </c>
      <c r="AF34" s="190">
        <v>68706483.799999997</v>
      </c>
      <c r="AG34" s="190">
        <v>227411447.61000001</v>
      </c>
      <c r="AH34" s="190">
        <v>154010250.13</v>
      </c>
      <c r="AI34" s="190">
        <v>210000000</v>
      </c>
      <c r="AJ34" s="190">
        <v>186700517.59999999</v>
      </c>
      <c r="AK34" s="190">
        <v>0</v>
      </c>
    </row>
    <row r="35" spans="1:37" x14ac:dyDescent="0.25">
      <c r="A35" s="190" t="s">
        <v>550</v>
      </c>
      <c r="B35" s="190">
        <v>139255681.34999999</v>
      </c>
      <c r="C35" s="190">
        <v>139252065.52000001</v>
      </c>
      <c r="D35" s="190">
        <v>152990.75</v>
      </c>
      <c r="E35" s="190">
        <v>128860877.98</v>
      </c>
      <c r="F35" s="190">
        <v>127278650.09999999</v>
      </c>
      <c r="G35" s="190">
        <v>128182234.73</v>
      </c>
      <c r="H35" s="190">
        <v>211993.45</v>
      </c>
      <c r="I35" s="190">
        <v>131009363.17</v>
      </c>
      <c r="J35" s="190">
        <v>129627148.7</v>
      </c>
      <c r="K35" s="190">
        <v>120608760.58</v>
      </c>
      <c r="L35" s="190">
        <v>10933428.57</v>
      </c>
      <c r="M35" s="190">
        <v>61500538.759999998</v>
      </c>
      <c r="N35" s="190">
        <v>61500538.759999998</v>
      </c>
      <c r="O35" s="190">
        <v>61500538.759999998</v>
      </c>
      <c r="P35" s="190">
        <v>234333.32</v>
      </c>
      <c r="Q35" s="190">
        <v>51001114.409999996</v>
      </c>
      <c r="R35" s="190">
        <v>50527513.039999999</v>
      </c>
      <c r="S35" s="190">
        <v>50169309.310000002</v>
      </c>
      <c r="T35" s="190">
        <v>176825.59</v>
      </c>
      <c r="U35" s="190">
        <v>43043014.240000002</v>
      </c>
      <c r="V35" s="190">
        <v>42885879.799999997</v>
      </c>
      <c r="W35" s="190">
        <v>42679373.490000002</v>
      </c>
      <c r="X35" s="190">
        <v>371366.31</v>
      </c>
      <c r="Y35" s="190">
        <v>71819594.109999999</v>
      </c>
      <c r="Z35" s="190">
        <v>71819594.109999999</v>
      </c>
      <c r="AA35" s="190">
        <v>71819594.109999999</v>
      </c>
      <c r="AB35" s="190">
        <v>2529330.36</v>
      </c>
      <c r="AC35" s="190">
        <v>51964353.670000002</v>
      </c>
      <c r="AD35" s="190">
        <v>48425377.539999999</v>
      </c>
      <c r="AE35" s="190">
        <v>44452481.969999999</v>
      </c>
      <c r="AF35" s="190">
        <v>1705284.62</v>
      </c>
      <c r="AG35" s="190">
        <v>68961299.260000005</v>
      </c>
      <c r="AH35" s="190">
        <v>77101494.010000005</v>
      </c>
      <c r="AI35" s="190">
        <v>49426205.950000003</v>
      </c>
      <c r="AJ35" s="190">
        <v>59097105.920000002</v>
      </c>
      <c r="AK35" s="190">
        <v>0</v>
      </c>
    </row>
    <row r="36" spans="1:37" x14ac:dyDescent="0.25">
      <c r="A36" s="190" t="s">
        <v>251</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row>
    <row r="37" spans="1:37" x14ac:dyDescent="0.25">
      <c r="A37" s="190" t="s">
        <v>252</v>
      </c>
      <c r="B37" s="190">
        <v>0</v>
      </c>
      <c r="C37" s="190">
        <v>0</v>
      </c>
      <c r="D37" s="190">
        <v>0</v>
      </c>
      <c r="E37" s="190">
        <v>0</v>
      </c>
      <c r="F37" s="190">
        <v>0</v>
      </c>
      <c r="G37" s="190">
        <v>0</v>
      </c>
      <c r="H37" s="190">
        <v>0</v>
      </c>
      <c r="I37" s="190">
        <v>1507782.04</v>
      </c>
      <c r="J37" s="190">
        <v>1507782.04</v>
      </c>
      <c r="K37" s="190">
        <v>0</v>
      </c>
      <c r="L37" s="190">
        <v>0</v>
      </c>
      <c r="M37" s="190">
        <v>800000</v>
      </c>
      <c r="N37" s="190">
        <v>800000</v>
      </c>
      <c r="O37" s="190">
        <v>800000</v>
      </c>
      <c r="P37" s="190">
        <v>600000</v>
      </c>
      <c r="Q37" s="190">
        <v>0</v>
      </c>
      <c r="R37" s="190">
        <v>0</v>
      </c>
      <c r="S37" s="190">
        <v>0</v>
      </c>
      <c r="T37" s="190">
        <v>0</v>
      </c>
      <c r="U37" s="190">
        <v>0</v>
      </c>
      <c r="V37" s="190">
        <v>0</v>
      </c>
      <c r="W37" s="190">
        <v>0</v>
      </c>
      <c r="X37" s="190">
        <v>0</v>
      </c>
      <c r="Y37" s="190">
        <v>2319887.91</v>
      </c>
      <c r="Z37" s="190">
        <v>2319887.91</v>
      </c>
      <c r="AA37" s="190">
        <v>2319887.91</v>
      </c>
      <c r="AB37" s="190">
        <v>2319887.91</v>
      </c>
      <c r="AC37" s="190">
        <v>8926854.5299999993</v>
      </c>
      <c r="AD37" s="190">
        <v>407170.92</v>
      </c>
      <c r="AE37" s="190">
        <v>337763.91</v>
      </c>
      <c r="AF37" s="190">
        <v>158582.09</v>
      </c>
      <c r="AG37" s="190">
        <v>12658033.369999999</v>
      </c>
      <c r="AH37" s="190">
        <v>0</v>
      </c>
      <c r="AI37" s="190">
        <v>0</v>
      </c>
      <c r="AJ37" s="190">
        <v>0</v>
      </c>
      <c r="AK37" s="190">
        <v>0</v>
      </c>
    </row>
    <row r="38" spans="1:37" x14ac:dyDescent="0.25">
      <c r="A38" s="190" t="s">
        <v>253</v>
      </c>
      <c r="B38" s="190">
        <v>140843580.59</v>
      </c>
      <c r="C38" s="190">
        <v>140248027.72999999</v>
      </c>
      <c r="D38" s="190">
        <v>544245.64</v>
      </c>
      <c r="E38" s="190">
        <v>130014013.08</v>
      </c>
      <c r="F38" s="190">
        <v>129067452.18000001</v>
      </c>
      <c r="G38" s="190">
        <v>129366766.76000001</v>
      </c>
      <c r="H38" s="190">
        <v>782552.05</v>
      </c>
      <c r="I38" s="190">
        <v>1023860360.95</v>
      </c>
      <c r="J38" s="190">
        <v>555061967.03999996</v>
      </c>
      <c r="K38" s="190">
        <v>121310434.58</v>
      </c>
      <c r="L38" s="190">
        <v>10933428.57</v>
      </c>
      <c r="M38" s="190">
        <v>84700538.760000005</v>
      </c>
      <c r="N38" s="190">
        <v>84700538.760000005</v>
      </c>
      <c r="O38" s="190">
        <v>84700538.760000005</v>
      </c>
      <c r="P38" s="190">
        <v>16834333.32</v>
      </c>
      <c r="Q38" s="190">
        <v>87984658.409999996</v>
      </c>
      <c r="R38" s="190">
        <v>81603673.040000007</v>
      </c>
      <c r="S38" s="190">
        <v>75245469.310000002</v>
      </c>
      <c r="T38" s="190">
        <v>6176825.5899999999</v>
      </c>
      <c r="U38" s="190">
        <v>197121440.47</v>
      </c>
      <c r="V38" s="190">
        <v>186964306.03</v>
      </c>
      <c r="W38" s="190">
        <v>180608099.72</v>
      </c>
      <c r="X38" s="190">
        <v>38389694.310000002</v>
      </c>
      <c r="Y38" s="190">
        <v>327527946.01999998</v>
      </c>
      <c r="Z38" s="190">
        <v>327527946.01999998</v>
      </c>
      <c r="AA38" s="190">
        <v>327527946.01999998</v>
      </c>
      <c r="AB38" s="190">
        <v>221887682.27000001</v>
      </c>
      <c r="AC38" s="190">
        <v>377245812.99000001</v>
      </c>
      <c r="AD38" s="190">
        <v>298797153.25</v>
      </c>
      <c r="AE38" s="190">
        <v>176986680.58000001</v>
      </c>
      <c r="AF38" s="190">
        <v>70570350.510000005</v>
      </c>
      <c r="AG38" s="190">
        <v>309030780.24000001</v>
      </c>
      <c r="AH38" s="190">
        <v>231111744.13999999</v>
      </c>
      <c r="AI38" s="190">
        <v>259426205.94999999</v>
      </c>
      <c r="AJ38" s="190">
        <v>245797623.52000001</v>
      </c>
      <c r="AK38" s="190">
        <v>0</v>
      </c>
    </row>
    <row r="39" spans="1:37" x14ac:dyDescent="0.25">
      <c r="A39" s="190" t="s">
        <v>254</v>
      </c>
      <c r="B39" s="190">
        <v>20756423.41</v>
      </c>
      <c r="C39" s="190">
        <v>21351976.27</v>
      </c>
      <c r="D39" s="190">
        <v>-544245.64</v>
      </c>
      <c r="E39" s="190">
        <v>-130014013.08</v>
      </c>
      <c r="F39" s="190">
        <v>-129067452.18000001</v>
      </c>
      <c r="G39" s="190">
        <v>-129366766.76000001</v>
      </c>
      <c r="H39" s="190">
        <v>-782552.05</v>
      </c>
      <c r="I39" s="190">
        <v>870107918.21000004</v>
      </c>
      <c r="J39" s="190">
        <v>1336609335.0799999</v>
      </c>
      <c r="K39" s="190">
        <v>656765165.41999996</v>
      </c>
      <c r="L39" s="190">
        <v>704005371.42999995</v>
      </c>
      <c r="M39" s="190">
        <v>925528561.24000001</v>
      </c>
      <c r="N39" s="190">
        <v>925528561.24000001</v>
      </c>
      <c r="O39" s="190">
        <v>925528561.24000001</v>
      </c>
      <c r="P39" s="190">
        <v>993394766.67999995</v>
      </c>
      <c r="Q39" s="190">
        <v>-46164658.409999996</v>
      </c>
      <c r="R39" s="190">
        <v>-47183673.039999999</v>
      </c>
      <c r="S39" s="190">
        <v>-46825469.310000002</v>
      </c>
      <c r="T39" s="190">
        <v>6243174.4100000001</v>
      </c>
      <c r="U39" s="190">
        <v>-109764360.47</v>
      </c>
      <c r="V39" s="190">
        <v>-118131806.03</v>
      </c>
      <c r="W39" s="190">
        <v>-116775599.72</v>
      </c>
      <c r="X39" s="190">
        <v>11806305.689999999</v>
      </c>
      <c r="Y39" s="190">
        <v>-239090110.02000001</v>
      </c>
      <c r="Z39" s="190">
        <v>-327527946.01999998</v>
      </c>
      <c r="AA39" s="190">
        <v>-327527946.01999998</v>
      </c>
      <c r="AB39" s="190">
        <v>-221887682.27000001</v>
      </c>
      <c r="AC39" s="190">
        <v>771860040.41999996</v>
      </c>
      <c r="AD39" s="190">
        <v>-98546115.840000004</v>
      </c>
      <c r="AE39" s="190">
        <v>-38231033.710000001</v>
      </c>
      <c r="AF39" s="190">
        <v>11148962.82</v>
      </c>
      <c r="AG39" s="190">
        <v>-88499921.239999995</v>
      </c>
      <c r="AH39" s="190">
        <v>-126969776.14</v>
      </c>
      <c r="AI39" s="190">
        <v>-2556205.9500000002</v>
      </c>
      <c r="AJ39" s="190">
        <v>10972894.08</v>
      </c>
      <c r="AK39" s="190">
        <v>0</v>
      </c>
    </row>
    <row r="40" spans="1:37" x14ac:dyDescent="0.25">
      <c r="A40" s="190" t="s">
        <v>255</v>
      </c>
      <c r="B40" s="190">
        <v>29330813.629999999</v>
      </c>
      <c r="C40" s="190">
        <v>12092184.609999999</v>
      </c>
      <c r="D40" s="190">
        <v>-11567890.369999999</v>
      </c>
      <c r="E40" s="190">
        <v>-10597132.619999999</v>
      </c>
      <c r="F40" s="190">
        <v>-7399732.8499999996</v>
      </c>
      <c r="G40" s="190">
        <v>-3696491.62</v>
      </c>
      <c r="H40" s="190">
        <v>-672242.67</v>
      </c>
      <c r="I40" s="190">
        <v>-29336375.050000001</v>
      </c>
      <c r="J40" s="190">
        <v>-11474080.949999999</v>
      </c>
      <c r="K40" s="190">
        <v>-4529793.42</v>
      </c>
      <c r="L40" s="190">
        <v>495921.11</v>
      </c>
      <c r="M40" s="190">
        <v>22149777.359999999</v>
      </c>
      <c r="N40" s="190">
        <v>6220041.7599999998</v>
      </c>
      <c r="O40" s="190">
        <v>6159463.7599999998</v>
      </c>
      <c r="P40" s="190">
        <v>201634.71</v>
      </c>
      <c r="Q40" s="190">
        <v>3193390.51</v>
      </c>
      <c r="R40" s="190">
        <v>1445815.77</v>
      </c>
      <c r="S40" s="190">
        <v>1346849.31</v>
      </c>
      <c r="T40" s="190">
        <v>218.23</v>
      </c>
      <c r="U40" s="190">
        <v>-6513064.46</v>
      </c>
      <c r="V40" s="190">
        <v>-4495833.12</v>
      </c>
      <c r="W40" s="190">
        <v>-3295471.39</v>
      </c>
      <c r="X40" s="190">
        <v>-50800.2</v>
      </c>
      <c r="Y40" s="190">
        <v>-2609212.09</v>
      </c>
      <c r="Z40" s="190">
        <v>959164.15</v>
      </c>
      <c r="AA40" s="190">
        <v>959164.15</v>
      </c>
      <c r="AB40" s="190">
        <v>0</v>
      </c>
      <c r="AC40" s="190">
        <v>-2228635.19</v>
      </c>
      <c r="AD40" s="190">
        <v>-2169278.58</v>
      </c>
      <c r="AE40" s="190">
        <v>-1358869.98</v>
      </c>
      <c r="AF40" s="190">
        <v>-400344.82</v>
      </c>
      <c r="AG40" s="190">
        <v>-2926983.43</v>
      </c>
      <c r="AH40" s="190">
        <v>-448911.57</v>
      </c>
      <c r="AI40" s="190">
        <v>-439945.58</v>
      </c>
      <c r="AJ40" s="190">
        <v>-1856558.51</v>
      </c>
      <c r="AK40" s="190">
        <v>0</v>
      </c>
    </row>
    <row r="41" spans="1:37" x14ac:dyDescent="0.25">
      <c r="A41" s="190" t="s">
        <v>256</v>
      </c>
      <c r="B41" s="190">
        <v>284341145.72000003</v>
      </c>
      <c r="C41" s="190">
        <v>134463734.83000001</v>
      </c>
      <c r="D41" s="190">
        <v>332331359.99000001</v>
      </c>
      <c r="E41" s="190">
        <v>133625697.38</v>
      </c>
      <c r="F41" s="190">
        <v>153244528.22</v>
      </c>
      <c r="G41" s="190">
        <v>147052867.91999999</v>
      </c>
      <c r="H41" s="190">
        <v>254753879.53999999</v>
      </c>
      <c r="I41" s="190">
        <v>-175438889.31</v>
      </c>
      <c r="J41" s="190">
        <v>372804136.68000001</v>
      </c>
      <c r="K41" s="190">
        <v>-280316592.81</v>
      </c>
      <c r="L41" s="190">
        <v>-20314845.559999999</v>
      </c>
      <c r="M41" s="190">
        <v>434591555.26999998</v>
      </c>
      <c r="N41" s="190">
        <v>456270575.60000002</v>
      </c>
      <c r="O41" s="190">
        <v>406941518.69</v>
      </c>
      <c r="P41" s="190">
        <v>1020864723.77</v>
      </c>
      <c r="Q41" s="190">
        <v>-87350027.549999997</v>
      </c>
      <c r="R41" s="190">
        <v>-45166254.359999999</v>
      </c>
      <c r="S41" s="190">
        <v>-73194978.379999995</v>
      </c>
      <c r="T41" s="190">
        <v>-11621998.99</v>
      </c>
      <c r="U41" s="190">
        <v>-107447038.78</v>
      </c>
      <c r="V41" s="190">
        <v>-122343765.16</v>
      </c>
      <c r="W41" s="190">
        <v>-133705147.98999999</v>
      </c>
      <c r="X41" s="190">
        <v>-9958592.1999999993</v>
      </c>
      <c r="Y41" s="190">
        <v>-418268250.82999998</v>
      </c>
      <c r="Z41" s="190">
        <v>-433735103.76999998</v>
      </c>
      <c r="AA41" s="190">
        <v>-384720613.88</v>
      </c>
      <c r="AB41" s="190">
        <v>-247965642.97</v>
      </c>
      <c r="AC41" s="190">
        <v>797871416.80999994</v>
      </c>
      <c r="AD41" s="190">
        <v>-20070331.789999999</v>
      </c>
      <c r="AE41" s="190">
        <v>-5553357</v>
      </c>
      <c r="AF41" s="190">
        <v>-3912507.95</v>
      </c>
      <c r="AG41" s="190">
        <v>-49943691.109999999</v>
      </c>
      <c r="AH41" s="190">
        <v>-66585171.829999998</v>
      </c>
      <c r="AI41" s="190">
        <v>54253970.329999998</v>
      </c>
      <c r="AJ41" s="190">
        <v>38442048.439999998</v>
      </c>
      <c r="AK41" s="190">
        <v>0</v>
      </c>
    </row>
    <row r="42" spans="1:37" x14ac:dyDescent="0.25">
      <c r="A42" s="190" t="s">
        <v>257</v>
      </c>
      <c r="B42" s="190">
        <v>627279567.75999999</v>
      </c>
      <c r="C42" s="190">
        <v>627279567.75999999</v>
      </c>
      <c r="D42" s="190">
        <v>627279567.75999999</v>
      </c>
      <c r="E42" s="190">
        <v>493653870.38</v>
      </c>
      <c r="F42" s="190">
        <v>493653870.38</v>
      </c>
      <c r="G42" s="190">
        <v>493653870.38</v>
      </c>
      <c r="H42" s="190">
        <v>493653870.38</v>
      </c>
      <c r="I42" s="190">
        <v>669092759.69000006</v>
      </c>
      <c r="J42" s="190">
        <v>669092759.69000006</v>
      </c>
      <c r="K42" s="190">
        <v>669092759.69000006</v>
      </c>
      <c r="L42" s="190">
        <v>696067859.69000006</v>
      </c>
      <c r="M42" s="190">
        <v>234501204.41999999</v>
      </c>
      <c r="N42" s="190">
        <v>234501204.41999999</v>
      </c>
      <c r="O42" s="190">
        <v>234501204.41999999</v>
      </c>
      <c r="P42" s="190">
        <v>234501204.41999999</v>
      </c>
      <c r="Q42" s="190">
        <v>321851231.97000003</v>
      </c>
      <c r="R42" s="190">
        <v>321851231.97000003</v>
      </c>
      <c r="S42" s="190">
        <v>321851231.97000003</v>
      </c>
      <c r="T42" s="190">
        <v>321851231.97000003</v>
      </c>
      <c r="U42" s="190">
        <v>429298270.75</v>
      </c>
      <c r="V42" s="190">
        <v>429298270.75</v>
      </c>
      <c r="W42" s="190">
        <v>429298270.75</v>
      </c>
      <c r="X42" s="190">
        <v>429298270.75</v>
      </c>
      <c r="Y42" s="190">
        <v>847566521.58000004</v>
      </c>
      <c r="Z42" s="190">
        <v>847566521.58000004</v>
      </c>
      <c r="AA42" s="190">
        <v>847566521.58000004</v>
      </c>
      <c r="AB42" s="190">
        <v>847566521.58000004</v>
      </c>
      <c r="AC42" s="190">
        <v>49695104.770000003</v>
      </c>
      <c r="AD42" s="190">
        <v>49695104.770000003</v>
      </c>
      <c r="AE42" s="190">
        <v>49695104.770000003</v>
      </c>
      <c r="AF42" s="190">
        <v>49695104.770000003</v>
      </c>
      <c r="AG42" s="190">
        <v>99638795.879999995</v>
      </c>
      <c r="AH42" s="190">
        <v>99638795.879999995</v>
      </c>
      <c r="AI42" s="190">
        <v>45384825.549999997</v>
      </c>
      <c r="AJ42" s="190">
        <v>6942777.1100000003</v>
      </c>
      <c r="AK42" s="190">
        <v>0</v>
      </c>
    </row>
    <row r="43" spans="1:37" x14ac:dyDescent="0.25">
      <c r="A43" s="190" t="s">
        <v>258</v>
      </c>
      <c r="B43" s="190">
        <v>911620713.48000002</v>
      </c>
      <c r="C43" s="190">
        <v>761743302.59000003</v>
      </c>
      <c r="D43" s="190">
        <v>959610927.75</v>
      </c>
      <c r="E43" s="190">
        <v>627279567.75999999</v>
      </c>
      <c r="F43" s="190">
        <v>646898398.60000002</v>
      </c>
      <c r="G43" s="190">
        <v>640706738.29999995</v>
      </c>
      <c r="H43" s="190">
        <v>748407749.91999996</v>
      </c>
      <c r="I43" s="190">
        <v>493653870.38</v>
      </c>
      <c r="J43" s="190">
        <v>1041896896.37</v>
      </c>
      <c r="K43" s="190">
        <v>388776166.88</v>
      </c>
      <c r="L43" s="190">
        <v>675753014.13</v>
      </c>
      <c r="M43" s="190">
        <v>669092759.69000006</v>
      </c>
      <c r="N43" s="190">
        <v>690771780.01999998</v>
      </c>
      <c r="O43" s="190">
        <v>641442723.11000001</v>
      </c>
      <c r="P43" s="190">
        <v>1255365928.1900001</v>
      </c>
      <c r="Q43" s="190">
        <v>234501204.41999999</v>
      </c>
      <c r="R43" s="190">
        <v>276684977.61000001</v>
      </c>
      <c r="S43" s="190">
        <v>248656253.59</v>
      </c>
      <c r="T43" s="190">
        <v>310229232.98000002</v>
      </c>
      <c r="U43" s="190">
        <v>321851231.97000003</v>
      </c>
      <c r="V43" s="190">
        <v>306954505.58999997</v>
      </c>
      <c r="W43" s="190">
        <v>295593122.75999999</v>
      </c>
      <c r="X43" s="190">
        <v>419339678.55000001</v>
      </c>
      <c r="Y43" s="190">
        <v>429298270.75</v>
      </c>
      <c r="Z43" s="190">
        <v>413831417.81</v>
      </c>
      <c r="AA43" s="190">
        <v>462845907.69999999</v>
      </c>
      <c r="AB43" s="190">
        <v>599600878.61000001</v>
      </c>
      <c r="AC43" s="190">
        <v>847566521.58000004</v>
      </c>
      <c r="AD43" s="190">
        <v>29624772.98</v>
      </c>
      <c r="AE43" s="190">
        <v>44141747.770000003</v>
      </c>
      <c r="AF43" s="190">
        <v>45782596.82</v>
      </c>
      <c r="AG43" s="190">
        <v>49695104.770000003</v>
      </c>
      <c r="AH43" s="190">
        <v>33053624.050000001</v>
      </c>
      <c r="AI43" s="190">
        <v>99638795.879999995</v>
      </c>
      <c r="AJ43" s="190">
        <v>45384825.549999997</v>
      </c>
      <c r="AK43" s="190">
        <v>0</v>
      </c>
    </row>
    <row r="44" spans="1:37" x14ac:dyDescent="0.25">
      <c r="A44" s="190" t="s">
        <v>259</v>
      </c>
    </row>
    <row r="45" spans="1:37" x14ac:dyDescent="0.25">
      <c r="A45" s="190" t="s">
        <v>260</v>
      </c>
      <c r="B45" s="190">
        <v>0</v>
      </c>
      <c r="C45" s="190">
        <v>192757971.22999999</v>
      </c>
      <c r="D45" s="190">
        <v>0</v>
      </c>
      <c r="E45" s="190">
        <v>385321174.64999998</v>
      </c>
      <c r="F45" s="190">
        <v>0</v>
      </c>
      <c r="G45" s="190">
        <v>213688818.66</v>
      </c>
      <c r="H45" s="190">
        <v>0</v>
      </c>
      <c r="I45" s="190">
        <v>318696047.07999998</v>
      </c>
      <c r="J45" s="190">
        <v>0</v>
      </c>
      <c r="K45" s="190">
        <v>185281094.47</v>
      </c>
      <c r="L45" s="190">
        <v>0</v>
      </c>
      <c r="M45" s="190">
        <v>257920619.5</v>
      </c>
      <c r="N45" s="190">
        <v>0</v>
      </c>
      <c r="O45" s="190">
        <v>70088189.920000002</v>
      </c>
      <c r="P45" s="190">
        <v>0</v>
      </c>
      <c r="Q45" s="190">
        <v>96858879.390000001</v>
      </c>
      <c r="R45" s="190">
        <v>0</v>
      </c>
      <c r="S45" s="190">
        <v>36513669.350000001</v>
      </c>
      <c r="T45" s="190">
        <v>0</v>
      </c>
      <c r="U45" s="190">
        <v>123537328.15000001</v>
      </c>
      <c r="V45" s="190">
        <v>0</v>
      </c>
      <c r="W45" s="190">
        <v>62583672.939999998</v>
      </c>
      <c r="X45" s="190">
        <v>0</v>
      </c>
      <c r="Y45" s="190">
        <v>109249088.89</v>
      </c>
      <c r="Z45" s="190">
        <v>0</v>
      </c>
      <c r="AA45" s="190">
        <v>69439554.349999994</v>
      </c>
      <c r="AB45" s="190">
        <v>0</v>
      </c>
      <c r="AC45" s="190">
        <v>120241105.22</v>
      </c>
      <c r="AD45" s="190">
        <v>0</v>
      </c>
      <c r="AE45" s="190">
        <v>77141986.969999999</v>
      </c>
      <c r="AF45" s="190">
        <v>0</v>
      </c>
      <c r="AG45" s="190">
        <v>99802365.340000004</v>
      </c>
      <c r="AH45" s="190">
        <v>0</v>
      </c>
      <c r="AI45" s="190">
        <v>63399330.539999999</v>
      </c>
      <c r="AJ45" s="190">
        <v>93624269.390000001</v>
      </c>
      <c r="AK45" s="190">
        <v>0</v>
      </c>
    </row>
    <row r="46" spans="1:37"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row>
    <row r="47" spans="1:37"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row>
    <row r="48" spans="1:37" x14ac:dyDescent="0.25">
      <c r="A48" s="190" t="s">
        <v>262</v>
      </c>
      <c r="B48" s="190">
        <v>0</v>
      </c>
      <c r="C48" s="190">
        <v>8486941.0299999993</v>
      </c>
      <c r="D48" s="190">
        <v>0</v>
      </c>
      <c r="E48" s="190">
        <v>18676311.399999999</v>
      </c>
      <c r="F48" s="190">
        <v>0</v>
      </c>
      <c r="G48" s="190">
        <v>3804468.86</v>
      </c>
      <c r="H48" s="190">
        <v>0</v>
      </c>
      <c r="I48" s="190">
        <v>16123802.359999999</v>
      </c>
      <c r="J48" s="190">
        <v>0</v>
      </c>
      <c r="K48" s="190">
        <v>1581627.7</v>
      </c>
      <c r="L48" s="190">
        <v>0</v>
      </c>
      <c r="M48" s="190">
        <v>29378762.280000001</v>
      </c>
      <c r="N48" s="190">
        <v>0</v>
      </c>
      <c r="O48" s="190">
        <v>-4028430.7</v>
      </c>
      <c r="P48" s="190">
        <v>0</v>
      </c>
      <c r="Q48" s="190">
        <v>15117518.52</v>
      </c>
      <c r="R48" s="190">
        <v>0</v>
      </c>
      <c r="S48" s="190">
        <v>676735.04</v>
      </c>
      <c r="T48" s="190">
        <v>0</v>
      </c>
      <c r="U48" s="190">
        <v>5455016.3399999999</v>
      </c>
      <c r="V48" s="190">
        <v>0</v>
      </c>
      <c r="W48" s="190">
        <v>878118.94</v>
      </c>
      <c r="X48" s="190">
        <v>0</v>
      </c>
      <c r="Y48" s="190">
        <v>14104415.439999999</v>
      </c>
      <c r="Z48" s="190">
        <v>0</v>
      </c>
      <c r="AA48" s="190">
        <v>4612662.8600000003</v>
      </c>
      <c r="AB48" s="190">
        <v>0</v>
      </c>
      <c r="AC48" s="190">
        <v>16632824.51</v>
      </c>
      <c r="AD48" s="190">
        <v>0</v>
      </c>
      <c r="AE48" s="190">
        <v>9905317.9499999993</v>
      </c>
      <c r="AF48" s="190">
        <v>0</v>
      </c>
      <c r="AG48" s="190">
        <v>10951177.859999999</v>
      </c>
      <c r="AH48" s="190">
        <v>0</v>
      </c>
      <c r="AI48" s="190">
        <v>7466337.8700000001</v>
      </c>
      <c r="AJ48" s="190">
        <v>2619604.33</v>
      </c>
      <c r="AK48" s="190">
        <v>0</v>
      </c>
    </row>
    <row r="49" spans="1:37" x14ac:dyDescent="0.25">
      <c r="A49" s="190" t="s">
        <v>263</v>
      </c>
      <c r="B49" s="190">
        <v>0</v>
      </c>
      <c r="C49" s="190">
        <v>102766484.88</v>
      </c>
      <c r="D49" s="190">
        <v>0</v>
      </c>
      <c r="E49" s="190">
        <v>173230418.30000001</v>
      </c>
      <c r="F49" s="190">
        <v>0</v>
      </c>
      <c r="G49" s="190">
        <v>79854733.640000001</v>
      </c>
      <c r="H49" s="190">
        <v>0</v>
      </c>
      <c r="I49" s="190">
        <v>150031056.47999999</v>
      </c>
      <c r="J49" s="190">
        <v>0</v>
      </c>
      <c r="K49" s="190">
        <v>67914415.5</v>
      </c>
      <c r="L49" s="190">
        <v>0</v>
      </c>
      <c r="M49" s="190">
        <v>96675925.170000002</v>
      </c>
      <c r="N49" s="190">
        <v>0</v>
      </c>
      <c r="O49" s="190">
        <v>44409696.719999999</v>
      </c>
      <c r="P49" s="190">
        <v>0</v>
      </c>
      <c r="Q49" s="190">
        <v>76072722.219999999</v>
      </c>
      <c r="R49" s="190">
        <v>0</v>
      </c>
      <c r="S49" s="190">
        <v>36401626.950000003</v>
      </c>
      <c r="T49" s="190">
        <v>0</v>
      </c>
      <c r="U49" s="190">
        <v>62226272.899999999</v>
      </c>
      <c r="V49" s="190">
        <v>0</v>
      </c>
      <c r="W49" s="190">
        <v>27338084.989999998</v>
      </c>
      <c r="X49" s="190">
        <v>0</v>
      </c>
      <c r="Y49" s="190">
        <v>45232711.859999999</v>
      </c>
      <c r="Z49" s="190">
        <v>0</v>
      </c>
      <c r="AA49" s="190">
        <v>20451241.800000001</v>
      </c>
      <c r="AB49" s="190">
        <v>0</v>
      </c>
      <c r="AC49" s="190">
        <v>35284248.549999997</v>
      </c>
      <c r="AD49" s="190">
        <v>0</v>
      </c>
      <c r="AE49" s="190">
        <v>16920517.710000001</v>
      </c>
      <c r="AF49" s="190">
        <v>0</v>
      </c>
      <c r="AG49" s="190">
        <v>22557386.629999999</v>
      </c>
      <c r="AH49" s="190">
        <v>0</v>
      </c>
      <c r="AI49" s="190">
        <v>18490294.390000001</v>
      </c>
      <c r="AJ49" s="190">
        <v>16791841.57</v>
      </c>
      <c r="AK49" s="190">
        <v>0</v>
      </c>
    </row>
    <row r="50" spans="1:37" x14ac:dyDescent="0.25">
      <c r="A50" s="190" t="s">
        <v>264</v>
      </c>
      <c r="B50" s="190">
        <v>0</v>
      </c>
      <c r="C50" s="190">
        <v>6571291.8600000003</v>
      </c>
      <c r="D50" s="190">
        <v>0</v>
      </c>
      <c r="E50" s="190">
        <v>11700805.390000001</v>
      </c>
      <c r="F50" s="190">
        <v>0</v>
      </c>
      <c r="G50" s="190">
        <v>5321577.1900000004</v>
      </c>
      <c r="H50" s="190">
        <v>0</v>
      </c>
      <c r="I50" s="190">
        <v>8666877.9299999997</v>
      </c>
      <c r="J50" s="190">
        <v>0</v>
      </c>
      <c r="K50" s="190">
        <v>3284233.46</v>
      </c>
      <c r="L50" s="190">
        <v>0</v>
      </c>
      <c r="M50" s="190">
        <v>3584346.75</v>
      </c>
      <c r="N50" s="190">
        <v>0</v>
      </c>
      <c r="O50" s="190">
        <v>1593132.18</v>
      </c>
      <c r="P50" s="190">
        <v>0</v>
      </c>
      <c r="Q50" s="190">
        <v>3129421</v>
      </c>
      <c r="R50" s="190">
        <v>0</v>
      </c>
      <c r="S50" s="190">
        <v>1598201.93</v>
      </c>
      <c r="T50" s="190">
        <v>0</v>
      </c>
      <c r="U50" s="190">
        <v>2483597.77</v>
      </c>
      <c r="V50" s="190">
        <v>0</v>
      </c>
      <c r="W50" s="190">
        <v>914265.14</v>
      </c>
      <c r="X50" s="190">
        <v>0</v>
      </c>
      <c r="Y50" s="190">
        <v>1348313.89</v>
      </c>
      <c r="Z50" s="190">
        <v>0</v>
      </c>
      <c r="AA50" s="190">
        <v>535823.12</v>
      </c>
      <c r="AB50" s="190">
        <v>0</v>
      </c>
      <c r="AC50" s="190">
        <v>970913.64</v>
      </c>
      <c r="AD50" s="190">
        <v>0</v>
      </c>
      <c r="AE50" s="190">
        <v>466446.08000000002</v>
      </c>
      <c r="AF50" s="190">
        <v>0</v>
      </c>
      <c r="AG50" s="190">
        <v>570064.04</v>
      </c>
      <c r="AH50" s="190">
        <v>0</v>
      </c>
      <c r="AI50" s="190">
        <v>535006.5</v>
      </c>
      <c r="AJ50" s="190">
        <v>548148.18999999994</v>
      </c>
      <c r="AK50" s="190">
        <v>0</v>
      </c>
    </row>
    <row r="51" spans="1:37" x14ac:dyDescent="0.25">
      <c r="A51" s="190" t="s">
        <v>265</v>
      </c>
      <c r="B51" s="190">
        <v>0</v>
      </c>
      <c r="C51" s="190">
        <v>842831.44</v>
      </c>
      <c r="D51" s="190">
        <v>0</v>
      </c>
      <c r="E51" s="190">
        <v>1626430.09</v>
      </c>
      <c r="F51" s="190">
        <v>0</v>
      </c>
      <c r="G51" s="190">
        <v>813215.04</v>
      </c>
      <c r="H51" s="190">
        <v>0</v>
      </c>
      <c r="I51" s="190">
        <v>1549161.68</v>
      </c>
      <c r="J51" s="190">
        <v>0</v>
      </c>
      <c r="K51" s="190">
        <v>937228.59</v>
      </c>
      <c r="L51" s="190">
        <v>0</v>
      </c>
      <c r="M51" s="190">
        <v>2792414.15</v>
      </c>
      <c r="N51" s="190">
        <v>0</v>
      </c>
      <c r="O51" s="190">
        <v>1379958.7</v>
      </c>
      <c r="P51" s="190">
        <v>0</v>
      </c>
      <c r="Q51" s="190">
        <v>762424.54</v>
      </c>
      <c r="R51" s="190">
        <v>0</v>
      </c>
      <c r="S51" s="190">
        <v>111778.8</v>
      </c>
      <c r="T51" s="190">
        <v>0</v>
      </c>
      <c r="U51" s="190">
        <v>195388.91</v>
      </c>
      <c r="V51" s="190">
        <v>0</v>
      </c>
      <c r="W51" s="190">
        <v>60000</v>
      </c>
      <c r="X51" s="190">
        <v>0</v>
      </c>
      <c r="Y51" s="190">
        <v>120000</v>
      </c>
      <c r="Z51" s="190">
        <v>0</v>
      </c>
      <c r="AA51" s="190">
        <v>60000</v>
      </c>
      <c r="AB51" s="190">
        <v>0</v>
      </c>
      <c r="AC51" s="190">
        <v>5168.66</v>
      </c>
      <c r="AD51" s="190">
        <v>0</v>
      </c>
      <c r="AE51" s="190">
        <v>5168.66</v>
      </c>
      <c r="AF51" s="190">
        <v>0</v>
      </c>
      <c r="AG51" s="190">
        <v>15506.76</v>
      </c>
      <c r="AH51" s="190">
        <v>0</v>
      </c>
      <c r="AI51" s="190">
        <v>15506.76</v>
      </c>
      <c r="AJ51" s="190">
        <v>15506.76</v>
      </c>
      <c r="AK51" s="190">
        <v>0</v>
      </c>
    </row>
    <row r="52" spans="1:37"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row>
    <row r="53" spans="1:37"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row>
    <row r="54" spans="1:37" x14ac:dyDescent="0.25">
      <c r="A54" s="190" t="s">
        <v>268</v>
      </c>
      <c r="B54" s="190">
        <v>0</v>
      </c>
      <c r="C54" s="190">
        <v>-5047.3999999999996</v>
      </c>
      <c r="D54" s="190">
        <v>0</v>
      </c>
      <c r="E54" s="190">
        <v>-327151.37</v>
      </c>
      <c r="F54" s="190">
        <v>0</v>
      </c>
      <c r="G54" s="190">
        <v>388967.5</v>
      </c>
      <c r="H54" s="190">
        <v>0</v>
      </c>
      <c r="I54" s="190">
        <v>2556655.06</v>
      </c>
      <c r="J54" s="190">
        <v>0</v>
      </c>
      <c r="K54" s="190">
        <v>583822.57999999996</v>
      </c>
      <c r="L54" s="190">
        <v>0</v>
      </c>
      <c r="M54" s="190">
        <v>1641970.2</v>
      </c>
      <c r="N54" s="190">
        <v>0</v>
      </c>
      <c r="O54" s="190">
        <v>362534.43</v>
      </c>
      <c r="P54" s="190">
        <v>0</v>
      </c>
      <c r="Q54" s="190">
        <v>2632793.41</v>
      </c>
      <c r="R54" s="190">
        <v>0</v>
      </c>
      <c r="S54" s="190">
        <v>521158.62</v>
      </c>
      <c r="T54" s="190">
        <v>0</v>
      </c>
      <c r="U54" s="190">
        <v>738515.9</v>
      </c>
      <c r="V54" s="190">
        <v>0</v>
      </c>
      <c r="W54" s="190">
        <v>47657.3</v>
      </c>
      <c r="X54" s="190">
        <v>0</v>
      </c>
      <c r="Y54" s="190">
        <v>231372.54</v>
      </c>
      <c r="Z54" s="190">
        <v>0</v>
      </c>
      <c r="AA54" s="190">
        <v>148114.17000000001</v>
      </c>
      <c r="AB54" s="190">
        <v>0</v>
      </c>
      <c r="AC54" s="190">
        <v>458098.69</v>
      </c>
      <c r="AD54" s="190">
        <v>0</v>
      </c>
      <c r="AE54" s="190">
        <v>465390.72</v>
      </c>
      <c r="AF54" s="190">
        <v>0</v>
      </c>
      <c r="AG54" s="190">
        <v>319153.53000000003</v>
      </c>
      <c r="AH54" s="190">
        <v>0</v>
      </c>
      <c r="AI54" s="190">
        <v>3732.64</v>
      </c>
      <c r="AJ54" s="190">
        <v>144334.32999999999</v>
      </c>
      <c r="AK54" s="190">
        <v>0</v>
      </c>
    </row>
    <row r="55" spans="1:37" x14ac:dyDescent="0.25">
      <c r="A55" s="190" t="s">
        <v>269</v>
      </c>
      <c r="B55" s="190">
        <v>0</v>
      </c>
      <c r="C55" s="190">
        <v>604355.14</v>
      </c>
      <c r="D55" s="190">
        <v>0</v>
      </c>
      <c r="E55" s="190">
        <v>1421535.04</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row>
    <row r="56" spans="1:37"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row>
    <row r="57" spans="1:37"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row>
    <row r="58" spans="1:37"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row>
    <row r="59" spans="1:37" x14ac:dyDescent="0.25">
      <c r="A59" s="190" t="s">
        <v>197</v>
      </c>
      <c r="B59" s="190">
        <v>0</v>
      </c>
      <c r="C59" s="190">
        <v>-10592937.93</v>
      </c>
      <c r="D59" s="190">
        <v>0</v>
      </c>
      <c r="E59" s="190">
        <v>6166195</v>
      </c>
      <c r="F59" s="190">
        <v>0</v>
      </c>
      <c r="G59" s="190">
        <v>1560488.71</v>
      </c>
      <c r="H59" s="190">
        <v>0</v>
      </c>
      <c r="I59" s="190">
        <v>22652354.219999999</v>
      </c>
      <c r="J59" s="190">
        <v>0</v>
      </c>
      <c r="K59" s="190">
        <v>10052786.15</v>
      </c>
      <c r="L59" s="190">
        <v>0</v>
      </c>
      <c r="M59" s="190">
        <v>-21905396.93</v>
      </c>
      <c r="N59" s="190">
        <v>0</v>
      </c>
      <c r="O59" s="190">
        <v>-5915083.3300000001</v>
      </c>
      <c r="P59" s="190">
        <v>0</v>
      </c>
      <c r="Q59" s="190">
        <v>-2233977.64</v>
      </c>
      <c r="R59" s="190">
        <v>0</v>
      </c>
      <c r="S59" s="190">
        <v>-653025.55000000005</v>
      </c>
      <c r="T59" s="190">
        <v>0</v>
      </c>
      <c r="U59" s="190">
        <v>7297185.9199999999</v>
      </c>
      <c r="V59" s="190">
        <v>0</v>
      </c>
      <c r="W59" s="190">
        <v>3956003.25</v>
      </c>
      <c r="X59" s="190">
        <v>0</v>
      </c>
      <c r="Y59" s="190">
        <v>4947429.59</v>
      </c>
      <c r="Z59" s="190">
        <v>0</v>
      </c>
      <c r="AA59" s="190">
        <v>1683139.85</v>
      </c>
      <c r="AB59" s="190">
        <v>0</v>
      </c>
      <c r="AC59" s="190">
        <v>11706100.68</v>
      </c>
      <c r="AD59" s="190">
        <v>0</v>
      </c>
      <c r="AE59" s="190">
        <v>6837293.7599999998</v>
      </c>
      <c r="AF59" s="190">
        <v>0</v>
      </c>
      <c r="AG59" s="190">
        <v>5320069.2300000004</v>
      </c>
      <c r="AH59" s="190">
        <v>0</v>
      </c>
      <c r="AI59" s="190">
        <v>15016555.880000001</v>
      </c>
      <c r="AJ59" s="190">
        <v>22059780.489999998</v>
      </c>
      <c r="AK59" s="190">
        <v>0</v>
      </c>
    </row>
    <row r="60" spans="1:37" x14ac:dyDescent="0.25">
      <c r="A60" s="190" t="s">
        <v>273</v>
      </c>
      <c r="B60" s="190">
        <v>0</v>
      </c>
      <c r="C60" s="190">
        <v>-3985461.08</v>
      </c>
      <c r="D60" s="190">
        <v>0</v>
      </c>
      <c r="E60" s="190">
        <v>-11424551.82</v>
      </c>
      <c r="F60" s="190">
        <v>0</v>
      </c>
      <c r="G60" s="190">
        <v>-2948671.55</v>
      </c>
      <c r="H60" s="190">
        <v>0</v>
      </c>
      <c r="I60" s="190">
        <v>-16636609.83</v>
      </c>
      <c r="J60" s="190">
        <v>0</v>
      </c>
      <c r="K60" s="190">
        <v>-15160752.93</v>
      </c>
      <c r="L60" s="190">
        <v>0</v>
      </c>
      <c r="M60" s="190">
        <v>-17046857.07</v>
      </c>
      <c r="N60" s="190">
        <v>0</v>
      </c>
      <c r="O60" s="190">
        <v>-963291.36</v>
      </c>
      <c r="P60" s="190">
        <v>0</v>
      </c>
      <c r="Q60" s="190">
        <v>-2084177.5</v>
      </c>
      <c r="R60" s="190">
        <v>0</v>
      </c>
      <c r="S60" s="190">
        <v>-917949.38</v>
      </c>
      <c r="T60" s="190">
        <v>0</v>
      </c>
      <c r="U60" s="190">
        <v>-1109427.94</v>
      </c>
      <c r="V60" s="190">
        <v>0</v>
      </c>
      <c r="W60" s="190">
        <v>-685467.8</v>
      </c>
      <c r="X60" s="190">
        <v>0</v>
      </c>
      <c r="Y60" s="190">
        <v>-1641093.94</v>
      </c>
      <c r="Z60" s="190">
        <v>0</v>
      </c>
      <c r="AA60" s="190">
        <v>-97671.69</v>
      </c>
      <c r="AB60" s="190">
        <v>0</v>
      </c>
      <c r="AC60" s="190">
        <v>-1854065.85</v>
      </c>
      <c r="AD60" s="190">
        <v>0</v>
      </c>
      <c r="AE60" s="190">
        <v>-960699.51</v>
      </c>
      <c r="AF60" s="190">
        <v>0</v>
      </c>
      <c r="AG60" s="190">
        <v>-1618437.56</v>
      </c>
      <c r="AH60" s="190">
        <v>0</v>
      </c>
      <c r="AI60" s="190">
        <v>-529831.25</v>
      </c>
      <c r="AJ60" s="190">
        <v>-2975960.3</v>
      </c>
      <c r="AK60" s="190">
        <v>0</v>
      </c>
    </row>
    <row r="61" spans="1:37" x14ac:dyDescent="0.25">
      <c r="A61" s="190" t="s">
        <v>274</v>
      </c>
      <c r="B61" s="190">
        <v>0</v>
      </c>
      <c r="C61" s="190">
        <v>-10376469.199999999</v>
      </c>
      <c r="D61" s="190">
        <v>0</v>
      </c>
      <c r="E61" s="190">
        <v>-3896384.11</v>
      </c>
      <c r="F61" s="190">
        <v>0</v>
      </c>
      <c r="G61" s="190">
        <v>-6953041.0199999996</v>
      </c>
      <c r="H61" s="190">
        <v>0</v>
      </c>
      <c r="I61" s="190">
        <v>-5825572.2999999998</v>
      </c>
      <c r="J61" s="190">
        <v>0</v>
      </c>
      <c r="K61" s="190">
        <v>-8812083.25</v>
      </c>
      <c r="L61" s="190">
        <v>0</v>
      </c>
      <c r="M61" s="190">
        <v>-8750375.3000000007</v>
      </c>
      <c r="N61" s="190">
        <v>0</v>
      </c>
      <c r="O61" s="190">
        <v>-11344501.67</v>
      </c>
      <c r="P61" s="190">
        <v>0</v>
      </c>
      <c r="Q61" s="190">
        <v>-2203823.2599999998</v>
      </c>
      <c r="R61" s="190">
        <v>0</v>
      </c>
      <c r="S61" s="190">
        <v>-426729.85</v>
      </c>
      <c r="T61" s="190">
        <v>0</v>
      </c>
      <c r="U61" s="190">
        <v>-240584.43</v>
      </c>
      <c r="V61" s="190">
        <v>0</v>
      </c>
      <c r="W61" s="190">
        <v>283027.46999999997</v>
      </c>
      <c r="X61" s="190">
        <v>0</v>
      </c>
      <c r="Y61" s="190">
        <v>1044695.67</v>
      </c>
      <c r="Z61" s="190">
        <v>0</v>
      </c>
      <c r="AA61" s="190">
        <v>2034126.77</v>
      </c>
      <c r="AB61" s="190">
        <v>0</v>
      </c>
      <c r="AC61" s="190">
        <v>-4491023.4000000004</v>
      </c>
      <c r="AD61" s="190">
        <v>0</v>
      </c>
      <c r="AE61" s="190">
        <v>-3343913.92</v>
      </c>
      <c r="AF61" s="190">
        <v>0</v>
      </c>
      <c r="AG61" s="190">
        <v>623422.14</v>
      </c>
      <c r="AH61" s="190">
        <v>0</v>
      </c>
      <c r="AI61" s="190">
        <v>-1458188.98</v>
      </c>
      <c r="AJ61" s="190">
        <v>1103989.32</v>
      </c>
      <c r="AK61" s="190">
        <v>0</v>
      </c>
    </row>
    <row r="62" spans="1:37" x14ac:dyDescent="0.25">
      <c r="A62" s="190" t="s">
        <v>275</v>
      </c>
      <c r="B62" s="190">
        <v>0</v>
      </c>
      <c r="C62" s="190">
        <v>-994006.51</v>
      </c>
      <c r="D62" s="190">
        <v>0</v>
      </c>
      <c r="E62" s="190">
        <v>-3182712.51</v>
      </c>
      <c r="F62" s="190">
        <v>0</v>
      </c>
      <c r="G62" s="190">
        <v>-1740418.56</v>
      </c>
      <c r="H62" s="190">
        <v>0</v>
      </c>
      <c r="I62" s="190">
        <v>-2216696.38</v>
      </c>
      <c r="J62" s="190">
        <v>0</v>
      </c>
      <c r="K62" s="190">
        <v>273594.64</v>
      </c>
      <c r="L62" s="190">
        <v>0</v>
      </c>
      <c r="M62" s="190">
        <v>-74774.399999999994</v>
      </c>
      <c r="N62" s="190">
        <v>0</v>
      </c>
      <c r="O62" s="190">
        <v>-507176.03</v>
      </c>
      <c r="P62" s="190">
        <v>0</v>
      </c>
      <c r="Q62" s="190">
        <v>-429792.22</v>
      </c>
      <c r="R62" s="190">
        <v>0</v>
      </c>
      <c r="S62" s="190">
        <v>-210433.62</v>
      </c>
      <c r="T62" s="190">
        <v>0</v>
      </c>
      <c r="U62" s="190">
        <v>-193353.57</v>
      </c>
      <c r="V62" s="190">
        <v>0</v>
      </c>
      <c r="W62" s="190">
        <v>-44251.85</v>
      </c>
      <c r="X62" s="190">
        <v>0</v>
      </c>
      <c r="Y62" s="190">
        <v>24180.63</v>
      </c>
      <c r="Z62" s="190">
        <v>0</v>
      </c>
      <c r="AA62" s="190">
        <v>16446.87</v>
      </c>
      <c r="AB62" s="190">
        <v>0</v>
      </c>
      <c r="AC62" s="190">
        <v>-165395.60999999999</v>
      </c>
      <c r="AD62" s="190">
        <v>0</v>
      </c>
      <c r="AE62" s="190">
        <v>-42552.5</v>
      </c>
      <c r="AF62" s="190">
        <v>0</v>
      </c>
      <c r="AG62" s="190">
        <v>0</v>
      </c>
      <c r="AH62" s="190">
        <v>0</v>
      </c>
      <c r="AI62" s="190">
        <v>0</v>
      </c>
      <c r="AJ62" s="190">
        <v>0</v>
      </c>
      <c r="AK62" s="190">
        <v>0</v>
      </c>
    </row>
    <row r="63" spans="1:37" x14ac:dyDescent="0.25">
      <c r="A63" s="190" t="s">
        <v>276</v>
      </c>
      <c r="B63" s="190">
        <v>0</v>
      </c>
      <c r="C63" s="190">
        <v>1873653.8</v>
      </c>
      <c r="D63" s="190">
        <v>0</v>
      </c>
      <c r="E63" s="190">
        <v>-13735896.41</v>
      </c>
      <c r="F63" s="190">
        <v>0</v>
      </c>
      <c r="G63" s="190">
        <v>58320439.399999999</v>
      </c>
      <c r="H63" s="190">
        <v>0</v>
      </c>
      <c r="I63" s="190">
        <v>-216990428.78999999</v>
      </c>
      <c r="J63" s="190">
        <v>0</v>
      </c>
      <c r="K63" s="190">
        <v>-102861343.3</v>
      </c>
      <c r="L63" s="190">
        <v>0</v>
      </c>
      <c r="M63" s="190">
        <v>-127424271.89</v>
      </c>
      <c r="N63" s="190">
        <v>0</v>
      </c>
      <c r="O63" s="190">
        <v>-97804618.109999999</v>
      </c>
      <c r="P63" s="190">
        <v>0</v>
      </c>
      <c r="Q63" s="190">
        <v>-17485690.140000001</v>
      </c>
      <c r="R63" s="190">
        <v>0</v>
      </c>
      <c r="S63" s="190">
        <v>-3600433.17</v>
      </c>
      <c r="T63" s="190">
        <v>0</v>
      </c>
      <c r="U63" s="190">
        <v>-33393919.210000001</v>
      </c>
      <c r="V63" s="190">
        <v>0</v>
      </c>
      <c r="W63" s="190">
        <v>-15802891.060000001</v>
      </c>
      <c r="X63" s="190">
        <v>0</v>
      </c>
      <c r="Y63" s="190">
        <v>-43268701.5</v>
      </c>
      <c r="Z63" s="190">
        <v>0</v>
      </c>
      <c r="AA63" s="190">
        <v>7306475.9800000004</v>
      </c>
      <c r="AB63" s="190">
        <v>0</v>
      </c>
      <c r="AC63" s="190">
        <v>-12765711.91</v>
      </c>
      <c r="AD63" s="190">
        <v>0</v>
      </c>
      <c r="AE63" s="190">
        <v>5662761.71</v>
      </c>
      <c r="AF63" s="190">
        <v>0</v>
      </c>
      <c r="AG63" s="190">
        <v>-15318460.800000001</v>
      </c>
      <c r="AH63" s="190">
        <v>0</v>
      </c>
      <c r="AI63" s="190">
        <v>23140395.559999999</v>
      </c>
      <c r="AJ63" s="190">
        <v>-22893193.93</v>
      </c>
      <c r="AK63" s="190">
        <v>0</v>
      </c>
    </row>
    <row r="64" spans="1:37" x14ac:dyDescent="0.25">
      <c r="A64" s="190" t="s">
        <v>277</v>
      </c>
      <c r="B64" s="190">
        <v>0</v>
      </c>
      <c r="C64" s="190">
        <v>-139091608.19999999</v>
      </c>
      <c r="D64" s="190">
        <v>0</v>
      </c>
      <c r="E64" s="190">
        <v>-56395049.920000002</v>
      </c>
      <c r="F64" s="190">
        <v>0</v>
      </c>
      <c r="G64" s="190">
        <v>-107003276.56999999</v>
      </c>
      <c r="H64" s="190">
        <v>0</v>
      </c>
      <c r="I64" s="190">
        <v>-40371982.450000003</v>
      </c>
      <c r="J64" s="190">
        <v>0</v>
      </c>
      <c r="K64" s="190">
        <v>-37557249.560000002</v>
      </c>
      <c r="L64" s="190">
        <v>0</v>
      </c>
      <c r="M64" s="190">
        <v>-32451742.219999999</v>
      </c>
      <c r="N64" s="190">
        <v>0</v>
      </c>
      <c r="O64" s="190">
        <v>79191226.150000006</v>
      </c>
      <c r="P64" s="190">
        <v>0</v>
      </c>
      <c r="Q64" s="190">
        <v>-59408808.939999998</v>
      </c>
      <c r="R64" s="190">
        <v>0</v>
      </c>
      <c r="S64" s="190">
        <v>-33391381.379999999</v>
      </c>
      <c r="T64" s="190">
        <v>0</v>
      </c>
      <c r="U64" s="190">
        <v>-1221967.49</v>
      </c>
      <c r="V64" s="190">
        <v>0</v>
      </c>
      <c r="W64" s="190">
        <v>-12388605.939999999</v>
      </c>
      <c r="X64" s="190">
        <v>0</v>
      </c>
      <c r="Y64" s="190">
        <v>-67464248.379999995</v>
      </c>
      <c r="Z64" s="190">
        <v>0</v>
      </c>
      <c r="AA64" s="190">
        <v>-66690961.979999997</v>
      </c>
      <c r="AB64" s="190">
        <v>0</v>
      </c>
      <c r="AC64" s="190">
        <v>-15891290.779999999</v>
      </c>
      <c r="AD64" s="190">
        <v>0</v>
      </c>
      <c r="AE64" s="190">
        <v>-26081552.18</v>
      </c>
      <c r="AF64" s="190">
        <v>0</v>
      </c>
      <c r="AG64" s="190">
        <v>-18905707.390000001</v>
      </c>
      <c r="AH64" s="190">
        <v>0</v>
      </c>
      <c r="AI64" s="190">
        <v>-40279616.909999996</v>
      </c>
      <c r="AJ64" s="190">
        <v>4878523.7699999996</v>
      </c>
      <c r="AK64" s="190">
        <v>0</v>
      </c>
    </row>
    <row r="65" spans="1:37" x14ac:dyDescent="0.25">
      <c r="A65" s="190" t="s">
        <v>278</v>
      </c>
      <c r="B65" s="190">
        <v>0</v>
      </c>
      <c r="C65" s="190">
        <v>73305952.489999995</v>
      </c>
      <c r="D65" s="190">
        <v>0</v>
      </c>
      <c r="E65" s="190">
        <v>103099291.40000001</v>
      </c>
      <c r="F65" s="190">
        <v>0</v>
      </c>
      <c r="G65" s="190">
        <v>143640161.02000001</v>
      </c>
      <c r="H65" s="190">
        <v>0</v>
      </c>
      <c r="I65" s="190">
        <v>-85580201.890000001</v>
      </c>
      <c r="J65" s="190">
        <v>0</v>
      </c>
      <c r="K65" s="190">
        <v>-19404711.539999999</v>
      </c>
      <c r="L65" s="190">
        <v>0</v>
      </c>
      <c r="M65" s="190">
        <v>182258931.03</v>
      </c>
      <c r="N65" s="190">
        <v>0</v>
      </c>
      <c r="O65" s="190">
        <v>99925494.090000004</v>
      </c>
      <c r="P65" s="190">
        <v>0</v>
      </c>
      <c r="Q65" s="190">
        <v>32648174.949999999</v>
      </c>
      <c r="R65" s="190">
        <v>0</v>
      </c>
      <c r="S65" s="190">
        <v>19481733.390000001</v>
      </c>
      <c r="T65" s="190">
        <v>0</v>
      </c>
      <c r="U65" s="190">
        <v>32369251.98</v>
      </c>
      <c r="V65" s="190">
        <v>0</v>
      </c>
      <c r="W65" s="190">
        <v>-1747877.31</v>
      </c>
      <c r="X65" s="190">
        <v>0</v>
      </c>
      <c r="Y65" s="190">
        <v>2949342.96</v>
      </c>
      <c r="Z65" s="190">
        <v>0</v>
      </c>
      <c r="AA65" s="190">
        <v>-8161837.1900000004</v>
      </c>
      <c r="AB65" s="190">
        <v>0</v>
      </c>
      <c r="AC65" s="190">
        <v>38948216.130000003</v>
      </c>
      <c r="AD65" s="190">
        <v>0</v>
      </c>
      <c r="AE65" s="190">
        <v>57234851.43</v>
      </c>
      <c r="AF65" s="190">
        <v>0</v>
      </c>
      <c r="AG65" s="190">
        <v>51752312.939999998</v>
      </c>
      <c r="AH65" s="190">
        <v>0</v>
      </c>
      <c r="AI65" s="190">
        <v>8905392.7300000004</v>
      </c>
      <c r="AJ65" s="190">
        <v>-50958884.280000001</v>
      </c>
      <c r="AK65" s="190">
        <v>0</v>
      </c>
    </row>
    <row r="66" spans="1:37"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row>
    <row r="67" spans="1:37"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row>
    <row r="68" spans="1:37" x14ac:dyDescent="0.25">
      <c r="A68" s="190" t="s">
        <v>281</v>
      </c>
      <c r="B68" s="190">
        <v>0</v>
      </c>
      <c r="C68" s="190">
        <v>0</v>
      </c>
      <c r="D68" s="190">
        <v>0</v>
      </c>
      <c r="E68" s="190">
        <v>0</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-462723.85</v>
      </c>
      <c r="Z68" s="190">
        <v>0</v>
      </c>
      <c r="AA68" s="190">
        <v>0</v>
      </c>
      <c r="AB68" s="190">
        <v>0</v>
      </c>
      <c r="AC68" s="190">
        <v>0</v>
      </c>
      <c r="AD68" s="190">
        <v>0</v>
      </c>
      <c r="AE68" s="190">
        <v>0</v>
      </c>
      <c r="AF68" s="190">
        <v>0</v>
      </c>
      <c r="AG68" s="190">
        <v>0</v>
      </c>
      <c r="AH68" s="190">
        <v>0</v>
      </c>
      <c r="AI68" s="190">
        <v>0</v>
      </c>
      <c r="AJ68" s="190">
        <v>0</v>
      </c>
      <c r="AK68" s="190">
        <v>0</v>
      </c>
    </row>
    <row r="69" spans="1:37" x14ac:dyDescent="0.25">
      <c r="A69" s="190" t="s">
        <v>282</v>
      </c>
      <c r="B69" s="190">
        <v>0</v>
      </c>
      <c r="C69" s="190">
        <v>222163951.55000001</v>
      </c>
      <c r="D69" s="190">
        <v>0</v>
      </c>
      <c r="E69" s="190">
        <v>612280415.13</v>
      </c>
      <c r="F69" s="190">
        <v>0</v>
      </c>
      <c r="G69" s="190">
        <v>388747462.31999999</v>
      </c>
      <c r="H69" s="190">
        <v>0</v>
      </c>
      <c r="I69" s="190">
        <v>152654463.16999999</v>
      </c>
      <c r="J69" s="190">
        <v>0</v>
      </c>
      <c r="K69" s="190">
        <v>86112662.510000005</v>
      </c>
      <c r="L69" s="190">
        <v>0</v>
      </c>
      <c r="M69" s="190">
        <v>366599551.26999998</v>
      </c>
      <c r="N69" s="190">
        <v>0</v>
      </c>
      <c r="O69" s="190">
        <v>176387130.99000001</v>
      </c>
      <c r="P69" s="190">
        <v>0</v>
      </c>
      <c r="Q69" s="190">
        <v>143375664.33000001</v>
      </c>
      <c r="R69" s="190">
        <v>0</v>
      </c>
      <c r="S69" s="190">
        <v>56104951.130000003</v>
      </c>
      <c r="T69" s="190">
        <v>0</v>
      </c>
      <c r="U69" s="190">
        <v>198143305.22999999</v>
      </c>
      <c r="V69" s="190">
        <v>0</v>
      </c>
      <c r="W69" s="190">
        <v>65391736.07</v>
      </c>
      <c r="X69" s="190">
        <v>0</v>
      </c>
      <c r="Y69" s="190">
        <v>66414783.799999997</v>
      </c>
      <c r="Z69" s="190">
        <v>0</v>
      </c>
      <c r="AA69" s="190">
        <v>31337114.91</v>
      </c>
      <c r="AB69" s="190">
        <v>0</v>
      </c>
      <c r="AC69" s="190">
        <v>189079188.53</v>
      </c>
      <c r="AD69" s="190">
        <v>0</v>
      </c>
      <c r="AE69" s="190">
        <v>144211016.88</v>
      </c>
      <c r="AF69" s="190">
        <v>0</v>
      </c>
      <c r="AG69" s="190">
        <v>156068852.72</v>
      </c>
      <c r="AH69" s="190">
        <v>0</v>
      </c>
      <c r="AI69" s="190">
        <v>94704915.730000004</v>
      </c>
      <c r="AJ69" s="190">
        <v>64957959.640000001</v>
      </c>
      <c r="AK69" s="190">
        <v>0</v>
      </c>
    </row>
    <row r="70" spans="1:37"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row>
    <row r="71" spans="1:37"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row>
    <row r="72" spans="1:37"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row>
    <row r="73" spans="1:37" x14ac:dyDescent="0.25">
      <c r="A73" s="190" t="s">
        <v>286</v>
      </c>
      <c r="B73" s="190">
        <v>0</v>
      </c>
      <c r="C73" s="190">
        <v>761743302.59000003</v>
      </c>
      <c r="D73" s="190">
        <v>0</v>
      </c>
      <c r="E73" s="190">
        <v>627279567.75999999</v>
      </c>
      <c r="F73" s="190">
        <v>0</v>
      </c>
      <c r="G73" s="190">
        <v>640706738.29999995</v>
      </c>
      <c r="H73" s="190">
        <v>0</v>
      </c>
      <c r="I73" s="190">
        <v>493653870.38</v>
      </c>
      <c r="J73" s="190">
        <v>0</v>
      </c>
      <c r="K73" s="190">
        <v>388776166.88</v>
      </c>
      <c r="L73" s="190">
        <v>0</v>
      </c>
      <c r="M73" s="190">
        <v>669092759.69000006</v>
      </c>
      <c r="N73" s="190">
        <v>0</v>
      </c>
      <c r="O73" s="190">
        <v>641442723.11000001</v>
      </c>
      <c r="P73" s="190">
        <v>0</v>
      </c>
      <c r="Q73" s="190">
        <v>234501204.41999999</v>
      </c>
      <c r="R73" s="190">
        <v>0</v>
      </c>
      <c r="S73" s="190">
        <v>248656253.59</v>
      </c>
      <c r="T73" s="190">
        <v>0</v>
      </c>
      <c r="U73" s="190">
        <v>321851231.97000003</v>
      </c>
      <c r="V73" s="190">
        <v>0</v>
      </c>
      <c r="W73" s="190">
        <v>295593122.75999999</v>
      </c>
      <c r="X73" s="190">
        <v>0</v>
      </c>
      <c r="Y73" s="190">
        <v>429298270.75</v>
      </c>
      <c r="Z73" s="190">
        <v>0</v>
      </c>
      <c r="AA73" s="190">
        <v>460824111.80000001</v>
      </c>
      <c r="AB73" s="190">
        <v>0</v>
      </c>
      <c r="AC73" s="190">
        <v>847566521.58000004</v>
      </c>
      <c r="AD73" s="190">
        <v>0</v>
      </c>
      <c r="AE73" s="190">
        <v>44141747.770000003</v>
      </c>
      <c r="AF73" s="190">
        <v>0</v>
      </c>
      <c r="AG73" s="190">
        <v>49695104.770000003</v>
      </c>
      <c r="AH73" s="190">
        <v>0</v>
      </c>
      <c r="AI73" s="190">
        <v>99638795.879999995</v>
      </c>
      <c r="AJ73" s="190">
        <v>45384825.549999997</v>
      </c>
      <c r="AK73" s="190">
        <v>0</v>
      </c>
    </row>
    <row r="74" spans="1:37" x14ac:dyDescent="0.25">
      <c r="A74" s="190" t="s">
        <v>287</v>
      </c>
      <c r="B74" s="190">
        <v>0</v>
      </c>
      <c r="C74" s="190">
        <v>627279567.75999999</v>
      </c>
      <c r="D74" s="190">
        <v>0</v>
      </c>
      <c r="E74" s="190">
        <v>493653870.38</v>
      </c>
      <c r="F74" s="190">
        <v>0</v>
      </c>
      <c r="G74" s="190">
        <v>493653870.38</v>
      </c>
      <c r="H74" s="190">
        <v>0</v>
      </c>
      <c r="I74" s="190">
        <v>669092759.69000006</v>
      </c>
      <c r="J74" s="190">
        <v>0</v>
      </c>
      <c r="K74" s="190">
        <v>669092759.69000006</v>
      </c>
      <c r="L74" s="190">
        <v>0</v>
      </c>
      <c r="M74" s="190">
        <v>234501204.41999999</v>
      </c>
      <c r="N74" s="190">
        <v>0</v>
      </c>
      <c r="O74" s="190">
        <v>234501204.41999999</v>
      </c>
      <c r="P74" s="190">
        <v>0</v>
      </c>
      <c r="Q74" s="190">
        <v>321851231.97000003</v>
      </c>
      <c r="R74" s="190">
        <v>0</v>
      </c>
      <c r="S74" s="190">
        <v>321851231.97000003</v>
      </c>
      <c r="T74" s="190">
        <v>0</v>
      </c>
      <c r="U74" s="190">
        <v>429298270.75</v>
      </c>
      <c r="V74" s="190">
        <v>0</v>
      </c>
      <c r="W74" s="190">
        <v>429298270.75</v>
      </c>
      <c r="X74" s="190">
        <v>0</v>
      </c>
      <c r="Y74" s="190">
        <v>847566521.58000004</v>
      </c>
      <c r="Z74" s="190">
        <v>0</v>
      </c>
      <c r="AA74" s="190">
        <v>847566521.58000004</v>
      </c>
      <c r="AB74" s="190">
        <v>0</v>
      </c>
      <c r="AC74" s="190">
        <v>49695104.770000003</v>
      </c>
      <c r="AD74" s="190">
        <v>0</v>
      </c>
      <c r="AE74" s="190">
        <v>49695104.770000003</v>
      </c>
      <c r="AF74" s="190">
        <v>0</v>
      </c>
      <c r="AG74" s="190">
        <v>99638795.879999995</v>
      </c>
      <c r="AH74" s="190">
        <v>0</v>
      </c>
      <c r="AI74" s="190">
        <v>45384825.549999997</v>
      </c>
      <c r="AJ74" s="190">
        <v>6942777.1100000003</v>
      </c>
      <c r="AK74" s="190">
        <v>0</v>
      </c>
    </row>
    <row r="75" spans="1:37"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2021795.9</v>
      </c>
      <c r="AB75" s="190">
        <v>0</v>
      </c>
      <c r="AC75" s="190">
        <v>0</v>
      </c>
      <c r="AD75" s="190">
        <v>0</v>
      </c>
      <c r="AE75" s="190">
        <v>0</v>
      </c>
      <c r="AF75" s="190">
        <v>0</v>
      </c>
      <c r="AG75" s="190">
        <v>0</v>
      </c>
      <c r="AH75" s="190">
        <v>0</v>
      </c>
      <c r="AI75" s="190">
        <v>0</v>
      </c>
      <c r="AJ75" s="190">
        <v>0</v>
      </c>
      <c r="AK75" s="190">
        <v>0</v>
      </c>
    </row>
    <row r="76" spans="1:37"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row>
    <row r="77" spans="1:37" x14ac:dyDescent="0.25">
      <c r="A77" s="190" t="s">
        <v>290</v>
      </c>
      <c r="B77" s="190">
        <v>0</v>
      </c>
      <c r="C77" s="190">
        <v>134463734.83000001</v>
      </c>
      <c r="D77" s="190">
        <v>0</v>
      </c>
      <c r="E77" s="190">
        <v>133625697.38</v>
      </c>
      <c r="F77" s="190">
        <v>0</v>
      </c>
      <c r="G77" s="190">
        <v>147052867.91999999</v>
      </c>
      <c r="H77" s="190">
        <v>0</v>
      </c>
      <c r="I77" s="190">
        <v>-175438889.31</v>
      </c>
      <c r="J77" s="190">
        <v>0</v>
      </c>
      <c r="K77" s="190">
        <v>-280316592.81</v>
      </c>
      <c r="L77" s="190">
        <v>0</v>
      </c>
      <c r="M77" s="190">
        <v>434591555.26999998</v>
      </c>
      <c r="N77" s="190">
        <v>0</v>
      </c>
      <c r="O77" s="190">
        <v>406941518.69</v>
      </c>
      <c r="P77" s="190">
        <v>0</v>
      </c>
      <c r="Q77" s="190">
        <v>-87350027.549999997</v>
      </c>
      <c r="R77" s="190">
        <v>0</v>
      </c>
      <c r="S77" s="190">
        <v>-73194978.379999995</v>
      </c>
      <c r="T77" s="190">
        <v>0</v>
      </c>
      <c r="U77" s="190">
        <v>-107447038.78</v>
      </c>
      <c r="V77" s="190">
        <v>0</v>
      </c>
      <c r="W77" s="190">
        <v>-133705147.98999999</v>
      </c>
      <c r="X77" s="190">
        <v>0</v>
      </c>
      <c r="Y77" s="190">
        <v>-418268250.82999998</v>
      </c>
      <c r="Z77" s="190">
        <v>0</v>
      </c>
      <c r="AA77" s="190">
        <v>-384720613.88</v>
      </c>
      <c r="AB77" s="190">
        <v>0</v>
      </c>
      <c r="AC77" s="190">
        <v>797871416.80999994</v>
      </c>
      <c r="AD77" s="190">
        <v>0</v>
      </c>
      <c r="AE77" s="190">
        <v>-5553357</v>
      </c>
      <c r="AF77" s="190">
        <v>0</v>
      </c>
      <c r="AG77" s="190">
        <v>-49943691.109999999</v>
      </c>
      <c r="AH77" s="190">
        <v>0</v>
      </c>
      <c r="AI77" s="190">
        <v>54253970.329999998</v>
      </c>
      <c r="AJ77" s="190">
        <v>38442048.439999998</v>
      </c>
      <c r="AK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19.332031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1" width="19" hidden="1" customWidth="1"/>
    <col min="32" max="34" width="19" bestFit="1" customWidth="1"/>
    <col min="35" max="35" width="9.5546875" hidden="1" customWidth="1"/>
    <col min="36" max="61" width="19.33203125" bestFit="1" customWidth="1"/>
    <col min="62" max="75" width="17.21875" bestFit="1" customWidth="1"/>
    <col min="76" max="76" width="16.109375" bestFit="1" customWidth="1"/>
    <col min="77" max="77" width="7.109375" bestFit="1" customWidth="1"/>
    <col min="78" max="84" width="19.33203125" bestFit="1" customWidth="1"/>
    <col min="85" max="87" width="17.21875" bestFit="1" customWidth="1"/>
    <col min="88" max="89" width="16.109375" bestFit="1" customWidth="1"/>
    <col min="90" max="90" width="7.109375" bestFit="1" customWidth="1"/>
  </cols>
  <sheetData>
    <row r="1" spans="1:90" s="41" customFormat="1" x14ac:dyDescent="0.25">
      <c r="A1" s="41">
        <v>2643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20101231</v>
      </c>
      <c r="AG1" s="190">
        <v>20091231</v>
      </c>
      <c r="AH1" s="190">
        <v>20081231</v>
      </c>
      <c r="AI1" s="190">
        <v>19700101</v>
      </c>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40"/>
      <c r="CA1" s="40"/>
      <c r="CB1" s="40"/>
      <c r="CC1" s="40"/>
      <c r="CD1" s="40"/>
      <c r="CE1" s="40"/>
      <c r="CF1" s="40"/>
      <c r="CG1" s="40"/>
      <c r="CH1" s="40"/>
      <c r="CI1" s="40"/>
      <c r="CJ1" s="40"/>
      <c r="CK1" s="40"/>
      <c r="CL1" s="4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911620713.48000002</v>
      </c>
      <c r="C4" s="190">
        <v>762603460.59000003</v>
      </c>
      <c r="D4" s="190">
        <v>959610927.75</v>
      </c>
      <c r="E4" s="190">
        <v>627279567.75999999</v>
      </c>
      <c r="F4" s="190">
        <v>646898398.60000002</v>
      </c>
      <c r="G4" s="190">
        <v>640706738.29999995</v>
      </c>
      <c r="H4" s="190">
        <v>748407749.91999996</v>
      </c>
      <c r="I4" s="190">
        <v>497200922.38</v>
      </c>
      <c r="J4" s="190">
        <v>1041896896.37</v>
      </c>
      <c r="K4" s="190">
        <v>388776166.88</v>
      </c>
      <c r="L4" s="190">
        <v>675753014.13</v>
      </c>
      <c r="M4" s="190">
        <v>696067859.69000006</v>
      </c>
      <c r="N4" s="190">
        <v>690771780.01999998</v>
      </c>
      <c r="O4" s="190">
        <v>641442723.11000001</v>
      </c>
      <c r="P4" s="190">
        <v>1255365928.1900001</v>
      </c>
      <c r="Q4" s="190">
        <v>234501204.41999999</v>
      </c>
      <c r="R4" s="190">
        <v>276684977.61000001</v>
      </c>
      <c r="S4" s="190">
        <v>248656253.59</v>
      </c>
      <c r="T4" s="190">
        <v>310229232.98000002</v>
      </c>
      <c r="U4" s="190">
        <v>321851231.97000003</v>
      </c>
      <c r="V4" s="190">
        <v>306954505.58999997</v>
      </c>
      <c r="W4" s="190">
        <v>295593122.75999999</v>
      </c>
      <c r="X4" s="190">
        <v>419339678.55000001</v>
      </c>
      <c r="Y4" s="190">
        <v>429298270.75</v>
      </c>
      <c r="Z4" s="190">
        <v>413831417.81</v>
      </c>
      <c r="AA4" s="190">
        <v>460824111.80000001</v>
      </c>
      <c r="AB4" s="190">
        <v>596710534.11000001</v>
      </c>
      <c r="AC4" s="190">
        <v>847566521.58000004</v>
      </c>
      <c r="AD4" s="190">
        <v>29624772.98</v>
      </c>
      <c r="AE4" s="190">
        <v>44141747.770000003</v>
      </c>
      <c r="AF4" s="190">
        <v>49695104.770000003</v>
      </c>
      <c r="AG4" s="190">
        <v>99638795.879999995</v>
      </c>
      <c r="AH4" s="190">
        <v>45384825.549999997</v>
      </c>
      <c r="AI4" s="190">
        <v>0</v>
      </c>
      <c r="AJ4" s="190"/>
      <c r="AK4" s="190"/>
      <c r="AL4" s="190"/>
      <c r="AM4" s="190"/>
      <c r="AN4" s="190"/>
      <c r="AO4" s="190"/>
      <c r="AP4" s="190"/>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40"/>
      <c r="CA4" s="40"/>
      <c r="CB4" s="40"/>
      <c r="CC4" s="40"/>
      <c r="CD4" s="40"/>
      <c r="CE4" s="40"/>
      <c r="CF4" s="40"/>
      <c r="CG4" s="40"/>
      <c r="CH4" s="40"/>
      <c r="CI4" s="40"/>
      <c r="CJ4" s="40"/>
      <c r="CK4" s="40"/>
      <c r="CL4" s="4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c r="AK5" s="190"/>
      <c r="AL5" s="190"/>
      <c r="AM5" s="190"/>
      <c r="AN5" s="190"/>
      <c r="AO5" s="190"/>
      <c r="AP5" s="190"/>
      <c r="AQ5" s="190"/>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40"/>
      <c r="CA5" s="40"/>
      <c r="CB5" s="40"/>
      <c r="CC5" s="40"/>
      <c r="CD5" s="40"/>
      <c r="CE5" s="40"/>
      <c r="CF5" s="40"/>
      <c r="CG5" s="40"/>
      <c r="CH5" s="40"/>
      <c r="CI5" s="40"/>
      <c r="CJ5" s="40"/>
      <c r="CK5" s="40"/>
      <c r="CL5" s="4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c r="AK6" s="190"/>
      <c r="AL6" s="190"/>
      <c r="AM6" s="190"/>
      <c r="AN6" s="190"/>
      <c r="AO6" s="190"/>
      <c r="AP6" s="190"/>
      <c r="AQ6" s="190"/>
      <c r="AR6" s="190"/>
      <c r="AS6" s="190"/>
      <c r="AT6" s="190"/>
      <c r="AU6" s="190"/>
      <c r="AV6" s="190"/>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40"/>
      <c r="CA6" s="40"/>
      <c r="CB6" s="40"/>
      <c r="CC6" s="40"/>
      <c r="CD6" s="40"/>
      <c r="CE6" s="40"/>
      <c r="CF6" s="40"/>
      <c r="CG6" s="40"/>
      <c r="CH6" s="40"/>
      <c r="CI6" s="40"/>
      <c r="CJ6" s="40"/>
      <c r="CK6" s="40"/>
      <c r="CL6" s="4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c r="AK7" s="190"/>
      <c r="AL7" s="190"/>
      <c r="AM7" s="190"/>
      <c r="AN7" s="190"/>
      <c r="AO7" s="190"/>
      <c r="AP7" s="190"/>
      <c r="AQ7" s="190"/>
      <c r="AR7" s="190"/>
      <c r="AS7" s="190"/>
      <c r="AT7" s="190"/>
      <c r="AU7" s="190"/>
      <c r="AV7" s="190"/>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40"/>
      <c r="CA7" s="40"/>
      <c r="CB7" s="40"/>
      <c r="CC7" s="40"/>
      <c r="CD7" s="40"/>
      <c r="CE7" s="40"/>
      <c r="CF7" s="40"/>
      <c r="CG7" s="40"/>
      <c r="CH7" s="40"/>
      <c r="CI7" s="40"/>
      <c r="CJ7" s="40"/>
      <c r="CK7" s="40"/>
      <c r="CL7" s="40"/>
    </row>
    <row r="8" spans="1:90" x14ac:dyDescent="0.25">
      <c r="A8" s="17" t="s">
        <v>5</v>
      </c>
      <c r="B8" s="190">
        <v>0</v>
      </c>
      <c r="C8" s="190">
        <v>0</v>
      </c>
      <c r="D8" s="190">
        <v>0</v>
      </c>
      <c r="E8" s="190">
        <v>0</v>
      </c>
      <c r="F8" s="190">
        <v>0</v>
      </c>
      <c r="G8" s="190">
        <v>0</v>
      </c>
      <c r="H8" s="190">
        <v>0</v>
      </c>
      <c r="I8" s="190">
        <v>0</v>
      </c>
      <c r="J8" s="190">
        <v>0</v>
      </c>
      <c r="K8" s="190">
        <v>0</v>
      </c>
      <c r="L8" s="190">
        <v>0</v>
      </c>
      <c r="M8" s="190">
        <v>0</v>
      </c>
      <c r="N8" s="190">
        <v>0</v>
      </c>
      <c r="O8" s="190">
        <v>0</v>
      </c>
      <c r="P8" s="190">
        <v>0</v>
      </c>
      <c r="Q8" s="190">
        <v>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c r="AK8" s="190"/>
      <c r="AL8" s="190"/>
      <c r="AM8" s="190"/>
      <c r="AN8" s="190"/>
      <c r="AO8" s="190"/>
      <c r="AP8" s="190"/>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40"/>
      <c r="CA8" s="40"/>
      <c r="CB8" s="40"/>
      <c r="CC8" s="40"/>
      <c r="CD8" s="40"/>
      <c r="CE8" s="40"/>
      <c r="CF8" s="40"/>
      <c r="CG8" s="40"/>
      <c r="CH8" s="40"/>
      <c r="CI8" s="40"/>
      <c r="CJ8" s="40"/>
      <c r="CK8" s="40"/>
      <c r="CL8" s="4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c r="AK9" s="190"/>
      <c r="AL9" s="190"/>
      <c r="AM9" s="190"/>
      <c r="AN9" s="190"/>
      <c r="AO9" s="190"/>
      <c r="AP9" s="190"/>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40"/>
      <c r="CA9" s="40"/>
      <c r="CB9" s="40"/>
      <c r="CC9" s="40"/>
      <c r="CD9" s="40"/>
      <c r="CE9" s="40"/>
      <c r="CF9" s="40"/>
      <c r="CG9" s="40"/>
      <c r="CH9" s="40"/>
      <c r="CI9" s="40"/>
      <c r="CJ9" s="40"/>
      <c r="CK9" s="40"/>
      <c r="CL9" s="40"/>
    </row>
    <row r="10" spans="1:90" x14ac:dyDescent="0.25">
      <c r="A10" s="19" t="s">
        <v>7</v>
      </c>
      <c r="B10" s="190">
        <v>0</v>
      </c>
      <c r="C10" s="190">
        <v>0</v>
      </c>
      <c r="D10" s="190">
        <v>0</v>
      </c>
      <c r="E10" s="190">
        <v>0</v>
      </c>
      <c r="F10" s="190">
        <v>0</v>
      </c>
      <c r="G10" s="190">
        <v>0</v>
      </c>
      <c r="H10" s="190">
        <v>0</v>
      </c>
      <c r="I10" s="190">
        <v>0</v>
      </c>
      <c r="J10" s="190">
        <v>0</v>
      </c>
      <c r="K10" s="190">
        <v>0</v>
      </c>
      <c r="L10" s="190">
        <v>4837055.33</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2426856.9700000002</v>
      </c>
      <c r="AI10" s="190">
        <v>0</v>
      </c>
      <c r="AJ10" s="190"/>
      <c r="AK10" s="190"/>
      <c r="AL10" s="190"/>
      <c r="AM10" s="190"/>
      <c r="AN10" s="190"/>
      <c r="AO10" s="190"/>
      <c r="AP10" s="190"/>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40"/>
      <c r="CA10" s="40"/>
      <c r="CB10" s="40"/>
      <c r="CC10" s="40"/>
      <c r="CD10" s="40"/>
      <c r="CE10" s="40"/>
      <c r="CF10" s="40"/>
      <c r="CG10" s="40"/>
      <c r="CH10" s="40"/>
      <c r="CI10" s="40"/>
      <c r="CJ10" s="40"/>
      <c r="CK10" s="40"/>
      <c r="CL10" s="4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40"/>
      <c r="CA11" s="40"/>
      <c r="CB11" s="40"/>
      <c r="CC11" s="40"/>
      <c r="CD11" s="40"/>
      <c r="CE11" s="40"/>
      <c r="CF11" s="40"/>
      <c r="CG11" s="40"/>
      <c r="CH11" s="40"/>
      <c r="CI11" s="40"/>
      <c r="CJ11" s="40"/>
      <c r="CK11" s="40"/>
      <c r="CL11" s="4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c r="AK12" s="190"/>
      <c r="AL12" s="190"/>
      <c r="AM12" s="190"/>
      <c r="AN12" s="190"/>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40"/>
      <c r="CA12" s="40"/>
      <c r="CB12" s="40"/>
      <c r="CC12" s="40"/>
      <c r="CD12" s="40"/>
      <c r="CE12" s="40"/>
      <c r="CF12" s="40"/>
      <c r="CG12" s="40"/>
      <c r="CH12" s="40"/>
      <c r="CI12" s="40"/>
      <c r="CJ12" s="40"/>
      <c r="CK12" s="40"/>
      <c r="CL12" s="40"/>
    </row>
    <row r="13" spans="1:90" x14ac:dyDescent="0.25">
      <c r="A13" s="17" t="s">
        <v>10</v>
      </c>
      <c r="B13" s="190">
        <v>0</v>
      </c>
      <c r="C13" s="190">
        <v>0</v>
      </c>
      <c r="D13" s="190">
        <v>0</v>
      </c>
      <c r="E13" s="190">
        <v>0</v>
      </c>
      <c r="F13" s="190">
        <v>10830.97</v>
      </c>
      <c r="G13" s="190">
        <v>0</v>
      </c>
      <c r="H13" s="190">
        <v>0</v>
      </c>
      <c r="I13" s="190">
        <v>193750</v>
      </c>
      <c r="J13" s="190">
        <v>0</v>
      </c>
      <c r="K13" s="190">
        <v>0</v>
      </c>
      <c r="L13" s="190">
        <v>8306.99</v>
      </c>
      <c r="M13" s="190">
        <v>129925.53</v>
      </c>
      <c r="N13" s="190">
        <v>18955.82</v>
      </c>
      <c r="O13" s="190">
        <v>82599.98</v>
      </c>
      <c r="P13" s="190">
        <v>0</v>
      </c>
      <c r="Q13" s="190">
        <v>131048.02</v>
      </c>
      <c r="R13" s="190">
        <v>0</v>
      </c>
      <c r="S13" s="190">
        <v>522726.33</v>
      </c>
      <c r="T13" s="190">
        <v>0</v>
      </c>
      <c r="U13" s="190">
        <v>609629.63</v>
      </c>
      <c r="V13" s="190">
        <v>0</v>
      </c>
      <c r="W13" s="190">
        <v>716588.88</v>
      </c>
      <c r="X13" s="190">
        <v>0</v>
      </c>
      <c r="Y13" s="190">
        <v>4121250.02</v>
      </c>
      <c r="Z13" s="190">
        <v>0</v>
      </c>
      <c r="AA13" s="190">
        <v>0</v>
      </c>
      <c r="AB13" s="190">
        <v>0</v>
      </c>
      <c r="AC13" s="190">
        <v>0</v>
      </c>
      <c r="AD13" s="190">
        <v>0</v>
      </c>
      <c r="AE13" s="190">
        <v>0</v>
      </c>
      <c r="AF13" s="190">
        <v>0</v>
      </c>
      <c r="AG13" s="190">
        <v>0</v>
      </c>
      <c r="AH13" s="190">
        <v>0</v>
      </c>
      <c r="AI13" s="190">
        <v>0</v>
      </c>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40"/>
      <c r="CA13" s="40"/>
      <c r="CB13" s="40"/>
      <c r="CC13" s="40"/>
      <c r="CD13" s="40"/>
      <c r="CE13" s="40"/>
      <c r="CF13" s="40"/>
      <c r="CG13" s="40"/>
      <c r="CH13" s="40"/>
      <c r="CI13" s="40"/>
      <c r="CJ13" s="40"/>
      <c r="CK13" s="40"/>
      <c r="CL13" s="4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2" t="s">
        <v>11</v>
      </c>
      <c r="B17" s="33">
        <f>SUM(B4:B13)</f>
        <v>911620713.48000002</v>
      </c>
      <c r="C17" s="33">
        <f t="shared" ref="C17:BN17" si="0">SUM(C4:C13)</f>
        <v>762603460.59000003</v>
      </c>
      <c r="D17" s="33">
        <f t="shared" si="0"/>
        <v>959610927.75</v>
      </c>
      <c r="E17" s="33">
        <f t="shared" si="0"/>
        <v>627279567.75999999</v>
      </c>
      <c r="F17" s="33">
        <f t="shared" si="0"/>
        <v>646909229.57000005</v>
      </c>
      <c r="G17" s="33">
        <f t="shared" si="0"/>
        <v>640706738.29999995</v>
      </c>
      <c r="H17" s="33">
        <f t="shared" si="0"/>
        <v>748407749.91999996</v>
      </c>
      <c r="I17" s="33">
        <f t="shared" si="0"/>
        <v>497394672.38</v>
      </c>
      <c r="J17" s="33">
        <f t="shared" si="0"/>
        <v>1041896896.37</v>
      </c>
      <c r="K17" s="33">
        <f t="shared" si="0"/>
        <v>388776166.88</v>
      </c>
      <c r="L17" s="33">
        <f t="shared" si="0"/>
        <v>680598376.45000005</v>
      </c>
      <c r="M17" s="33">
        <f t="shared" si="0"/>
        <v>696197785.22000003</v>
      </c>
      <c r="N17" s="33">
        <f t="shared" si="0"/>
        <v>690790735.84000003</v>
      </c>
      <c r="O17" s="33">
        <f t="shared" si="0"/>
        <v>641525323.09000003</v>
      </c>
      <c r="P17" s="33">
        <f t="shared" si="0"/>
        <v>1255365928.1900001</v>
      </c>
      <c r="Q17" s="33">
        <f t="shared" si="0"/>
        <v>234632252.44</v>
      </c>
      <c r="R17" s="33">
        <f t="shared" si="0"/>
        <v>276684977.61000001</v>
      </c>
      <c r="S17" s="33">
        <f t="shared" si="0"/>
        <v>249178979.92000002</v>
      </c>
      <c r="T17" s="33">
        <f t="shared" si="0"/>
        <v>310229232.98000002</v>
      </c>
      <c r="U17" s="33">
        <f t="shared" si="0"/>
        <v>322460861.60000002</v>
      </c>
      <c r="V17" s="33">
        <f t="shared" si="0"/>
        <v>306954505.58999997</v>
      </c>
      <c r="W17" s="33">
        <f t="shared" si="0"/>
        <v>296309711.63999999</v>
      </c>
      <c r="X17" s="33">
        <f t="shared" si="0"/>
        <v>419339678.55000001</v>
      </c>
      <c r="Y17" s="33">
        <f t="shared" si="0"/>
        <v>433419520.76999998</v>
      </c>
      <c r="Z17" s="33">
        <f t="shared" si="0"/>
        <v>413831417.81</v>
      </c>
      <c r="AA17" s="33">
        <f t="shared" si="0"/>
        <v>460824111.80000001</v>
      </c>
      <c r="AB17" s="33">
        <f t="shared" si="0"/>
        <v>596710534.11000001</v>
      </c>
      <c r="AC17" s="33">
        <f t="shared" si="0"/>
        <v>847566521.58000004</v>
      </c>
      <c r="AD17" s="33">
        <f t="shared" si="0"/>
        <v>29624772.98</v>
      </c>
      <c r="AE17" s="33">
        <f t="shared" si="0"/>
        <v>44141747.770000003</v>
      </c>
      <c r="AF17" s="33">
        <f t="shared" si="0"/>
        <v>49695104.770000003</v>
      </c>
      <c r="AG17" s="33">
        <f t="shared" si="0"/>
        <v>99638795.879999995</v>
      </c>
      <c r="AH17" s="33">
        <f t="shared" si="0"/>
        <v>47811682.519999996</v>
      </c>
      <c r="AI17" s="33">
        <f t="shared" si="0"/>
        <v>0</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3" t="s">
        <v>79</v>
      </c>
      <c r="B18" s="34"/>
      <c r="C18" s="34"/>
      <c r="D18" s="34"/>
      <c r="E18" s="34"/>
      <c r="F18" s="34"/>
      <c r="G18" s="34"/>
      <c r="H18" s="34"/>
      <c r="I18" s="34"/>
      <c r="J18" s="34"/>
      <c r="K18" s="34"/>
      <c r="L18" s="32"/>
      <c r="M18" s="14"/>
      <c r="N18" s="14"/>
    </row>
    <row r="19" spans="1:90" s="5" customFormat="1" x14ac:dyDescent="0.25">
      <c r="A19" s="122" t="s">
        <v>78</v>
      </c>
      <c r="B19" s="190">
        <v>18798751.239999998</v>
      </c>
      <c r="C19" s="190">
        <v>18798751.239999998</v>
      </c>
      <c r="D19" s="190">
        <v>19416080.27</v>
      </c>
      <c r="E19" s="190">
        <v>19416080.27</v>
      </c>
      <c r="F19" s="190">
        <v>17743024.609999999</v>
      </c>
      <c r="G19" s="190">
        <v>17743024.609999999</v>
      </c>
      <c r="H19" s="190">
        <v>22731749.920000002</v>
      </c>
      <c r="I19" s="190">
        <v>22731749.920000002</v>
      </c>
      <c r="J19" s="190">
        <v>28084982.890000001</v>
      </c>
      <c r="K19" s="190">
        <v>28084982.890000001</v>
      </c>
      <c r="L19" s="190">
        <v>27152779.940000001</v>
      </c>
      <c r="M19" s="190">
        <v>27152779.940000001</v>
      </c>
      <c r="N19" s="190">
        <v>17383078.079999998</v>
      </c>
      <c r="O19" s="190">
        <v>10543582.140000001</v>
      </c>
      <c r="P19" s="190">
        <v>10874322.380000001</v>
      </c>
      <c r="Q19" s="190">
        <v>10874322.380000001</v>
      </c>
      <c r="R19" s="190">
        <v>9729124.8499999996</v>
      </c>
      <c r="S19" s="190">
        <v>9729124.8499999996</v>
      </c>
      <c r="T19" s="190">
        <v>9757413.4000000004</v>
      </c>
      <c r="U19" s="190">
        <v>9757413.4000000004</v>
      </c>
      <c r="V19" s="190">
        <v>9452578.0399999991</v>
      </c>
      <c r="W19" s="190">
        <v>9452578.0399999991</v>
      </c>
      <c r="X19" s="190">
        <v>9569252.8100000005</v>
      </c>
      <c r="Y19" s="190">
        <v>9569252.8100000005</v>
      </c>
      <c r="Z19" s="190">
        <v>7757046</v>
      </c>
      <c r="AA19" s="190">
        <v>7757046</v>
      </c>
      <c r="AB19" s="190">
        <v>8770793.0600000005</v>
      </c>
      <c r="AC19" s="190">
        <v>8770793.0600000005</v>
      </c>
      <c r="AD19" s="190">
        <v>8652923.2200000007</v>
      </c>
      <c r="AE19" s="190">
        <v>8652923.2200000007</v>
      </c>
      <c r="AF19" s="190">
        <v>8086976.54</v>
      </c>
      <c r="AG19" s="190">
        <v>7235745.2300000004</v>
      </c>
      <c r="AH19" s="190">
        <v>8140066.6500000004</v>
      </c>
      <c r="AI19" s="190">
        <v>0</v>
      </c>
      <c r="AJ19" s="190"/>
      <c r="AK19" s="190"/>
      <c r="AL19" s="190"/>
      <c r="AM19" s="190"/>
      <c r="AN19" s="190"/>
      <c r="AO19" s="190"/>
      <c r="AP19" s="190"/>
      <c r="AQ19" s="190"/>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40"/>
      <c r="CA19" s="40"/>
      <c r="CB19" s="40"/>
      <c r="CC19" s="40"/>
      <c r="CD19" s="40"/>
      <c r="CE19" s="40"/>
      <c r="CF19" s="40"/>
      <c r="CG19" s="40"/>
      <c r="CH19" s="40"/>
      <c r="CI19" s="40"/>
      <c r="CJ19" s="40"/>
      <c r="CK19" s="40"/>
      <c r="CL19" s="4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200000</v>
      </c>
      <c r="C22" s="190">
        <v>245995.03</v>
      </c>
      <c r="D22" s="190">
        <v>215924</v>
      </c>
      <c r="E22" s="190">
        <v>150000</v>
      </c>
      <c r="F22" s="190">
        <v>150000</v>
      </c>
      <c r="G22" s="190">
        <v>200000</v>
      </c>
      <c r="H22" s="190">
        <v>50000</v>
      </c>
      <c r="I22" s="190">
        <v>0</v>
      </c>
      <c r="J22" s="190">
        <v>0</v>
      </c>
      <c r="K22" s="190">
        <v>0</v>
      </c>
      <c r="L22" s="190">
        <v>300000</v>
      </c>
      <c r="M22" s="190">
        <v>0</v>
      </c>
      <c r="N22" s="190">
        <v>0</v>
      </c>
      <c r="O22" s="190">
        <v>250000</v>
      </c>
      <c r="P22" s="190">
        <v>0</v>
      </c>
      <c r="Q22" s="190">
        <v>0</v>
      </c>
      <c r="R22" s="190">
        <v>0</v>
      </c>
      <c r="S22" s="190">
        <v>0</v>
      </c>
      <c r="T22" s="190">
        <v>0</v>
      </c>
      <c r="U22" s="190">
        <v>0</v>
      </c>
      <c r="V22" s="190">
        <v>0</v>
      </c>
      <c r="W22" s="190">
        <v>0</v>
      </c>
      <c r="X22" s="190">
        <v>0</v>
      </c>
      <c r="Y22" s="190">
        <v>0</v>
      </c>
      <c r="Z22" s="190">
        <v>0</v>
      </c>
      <c r="AA22" s="190">
        <v>2021795.9</v>
      </c>
      <c r="AB22" s="190">
        <v>2890344.5</v>
      </c>
      <c r="AC22" s="190">
        <v>0</v>
      </c>
      <c r="AD22" s="190">
        <v>0</v>
      </c>
      <c r="AE22" s="190">
        <v>0</v>
      </c>
      <c r="AF22" s="190">
        <v>700000</v>
      </c>
      <c r="AG22" s="190">
        <v>0</v>
      </c>
      <c r="AH22" s="190">
        <v>0</v>
      </c>
      <c r="AI22" s="190">
        <v>0</v>
      </c>
      <c r="AJ22" s="190"/>
      <c r="AK22" s="190"/>
      <c r="AL22" s="190"/>
      <c r="AM22" s="190"/>
      <c r="AN22" s="190"/>
      <c r="AO22" s="190"/>
      <c r="AP22" s="190"/>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40"/>
      <c r="CA22" s="40"/>
      <c r="CB22" s="40"/>
      <c r="CC22" s="40"/>
      <c r="CD22" s="40"/>
      <c r="CE22" s="40"/>
      <c r="CF22" s="40"/>
      <c r="CG22" s="40"/>
      <c r="CH22" s="40"/>
      <c r="CI22" s="40"/>
      <c r="CJ22" s="40"/>
      <c r="CK22" s="40"/>
      <c r="CL22" s="40"/>
    </row>
    <row r="23" spans="1:90" x14ac:dyDescent="0.25">
      <c r="A23" s="17" t="s">
        <v>15</v>
      </c>
      <c r="B23" s="190">
        <v>457190186.55000001</v>
      </c>
      <c r="C23" s="190">
        <v>474913355.95999998</v>
      </c>
      <c r="D23" s="190">
        <v>410902234.14999998</v>
      </c>
      <c r="E23" s="190">
        <v>373451431.31</v>
      </c>
      <c r="F23" s="190">
        <v>347931994.82999998</v>
      </c>
      <c r="G23" s="190">
        <v>405676474.32999998</v>
      </c>
      <c r="H23" s="190">
        <v>313810139.07999998</v>
      </c>
      <c r="I23" s="190">
        <v>307783204.54000002</v>
      </c>
      <c r="J23" s="190">
        <v>260242607.81</v>
      </c>
      <c r="K23" s="190">
        <v>296398356.31999999</v>
      </c>
      <c r="L23" s="190">
        <v>269991616.93000001</v>
      </c>
      <c r="M23" s="190">
        <v>222867349.44</v>
      </c>
      <c r="N23" s="190">
        <v>88412590.75</v>
      </c>
      <c r="O23" s="190">
        <v>103816020.16</v>
      </c>
      <c r="P23" s="190">
        <v>64141687.369999997</v>
      </c>
      <c r="Q23" s="190">
        <v>187564063.86000001</v>
      </c>
      <c r="R23" s="190">
        <v>134053584.65000001</v>
      </c>
      <c r="S23" s="190">
        <v>150050878.96000001</v>
      </c>
      <c r="T23" s="190">
        <v>128964561.05</v>
      </c>
      <c r="U23" s="190">
        <v>139562369.38</v>
      </c>
      <c r="V23" s="190">
        <v>139746153.44</v>
      </c>
      <c r="W23" s="190">
        <v>142377419.00999999</v>
      </c>
      <c r="X23" s="190">
        <v>137417365.5</v>
      </c>
      <c r="Y23" s="190">
        <v>129806174.02</v>
      </c>
      <c r="Z23" s="190">
        <v>93912473.459999993</v>
      </c>
      <c r="AA23" s="190">
        <v>130530903.56</v>
      </c>
      <c r="AB23" s="190">
        <v>108929604.27</v>
      </c>
      <c r="AC23" s="190">
        <v>69329634.230000004</v>
      </c>
      <c r="AD23" s="190">
        <v>26735843.48</v>
      </c>
      <c r="AE23" s="190">
        <v>73948032.310000002</v>
      </c>
      <c r="AF23" s="190">
        <v>56862294.119999997</v>
      </c>
      <c r="AG23" s="190">
        <v>63810060.219999999</v>
      </c>
      <c r="AH23" s="190">
        <v>28635847.510000002</v>
      </c>
      <c r="AI23" s="190">
        <v>0</v>
      </c>
      <c r="AJ23" s="190"/>
      <c r="AK23" s="190"/>
      <c r="AL23" s="190"/>
      <c r="AM23" s="190"/>
      <c r="AN23" s="190"/>
      <c r="AO23" s="190"/>
      <c r="AP23" s="190"/>
      <c r="AQ23" s="190"/>
      <c r="AR23" s="190"/>
      <c r="AS23" s="190"/>
      <c r="AT23" s="190"/>
      <c r="AU23" s="190"/>
      <c r="AV23" s="190"/>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40"/>
      <c r="CA23" s="40"/>
      <c r="CB23" s="40"/>
      <c r="CC23" s="40"/>
      <c r="CD23" s="40"/>
      <c r="CE23" s="40"/>
      <c r="CF23" s="40"/>
      <c r="CG23" s="40"/>
      <c r="CH23" s="40"/>
      <c r="CI23" s="40"/>
      <c r="CJ23" s="40"/>
      <c r="CK23" s="40"/>
      <c r="CL23" s="40"/>
    </row>
    <row r="24" spans="1:90" x14ac:dyDescent="0.25">
      <c r="A24" s="17" t="s">
        <v>16</v>
      </c>
      <c r="B24" s="190">
        <v>27989384.73</v>
      </c>
      <c r="C24" s="190">
        <v>28174278.510000002</v>
      </c>
      <c r="D24" s="190">
        <v>35750698.869999997</v>
      </c>
      <c r="E24" s="190">
        <v>16430807.369999999</v>
      </c>
      <c r="F24" s="190">
        <v>26347563.100000001</v>
      </c>
      <c r="G24" s="190">
        <v>17028922.52</v>
      </c>
      <c r="H24" s="190">
        <v>20455038.829999998</v>
      </c>
      <c r="I24" s="190">
        <v>9276964.5700000003</v>
      </c>
      <c r="J24" s="190">
        <v>13217972</v>
      </c>
      <c r="K24" s="190">
        <v>15560880.02</v>
      </c>
      <c r="L24" s="190">
        <v>14278129.439999999</v>
      </c>
      <c r="M24" s="190">
        <v>7496965.7300000004</v>
      </c>
      <c r="N24" s="190">
        <v>16994138.399999999</v>
      </c>
      <c r="O24" s="190">
        <v>11305014.26</v>
      </c>
      <c r="P24" s="190">
        <v>8490318.7899999991</v>
      </c>
      <c r="Q24" s="190">
        <v>8104557.8399999999</v>
      </c>
      <c r="R24" s="190">
        <v>30787904.620000001</v>
      </c>
      <c r="S24" s="190">
        <v>17307519.850000001</v>
      </c>
      <c r="T24" s="190">
        <v>20586311.920000002</v>
      </c>
      <c r="U24" s="190">
        <v>11808182.1</v>
      </c>
      <c r="V24" s="190">
        <v>15424653.300000001</v>
      </c>
      <c r="W24" s="190">
        <v>19715557.359999999</v>
      </c>
      <c r="X24" s="190">
        <v>21883154.760000002</v>
      </c>
      <c r="Y24" s="190">
        <v>19571910.260000002</v>
      </c>
      <c r="Z24" s="190">
        <v>22571122.300000001</v>
      </c>
      <c r="AA24" s="190">
        <v>39704930.030000001</v>
      </c>
      <c r="AB24" s="190">
        <v>21889293.039999999</v>
      </c>
      <c r="AC24" s="190">
        <v>14169699.310000001</v>
      </c>
      <c r="AD24" s="190">
        <v>17268750.989999998</v>
      </c>
      <c r="AE24" s="190">
        <v>16816626.960000001</v>
      </c>
      <c r="AF24" s="190">
        <v>8472559.4700000007</v>
      </c>
      <c r="AG24" s="190">
        <v>6859299.8099999996</v>
      </c>
      <c r="AH24" s="190">
        <v>3387968.79</v>
      </c>
      <c r="AI24" s="190">
        <v>0</v>
      </c>
      <c r="AJ24" s="190"/>
      <c r="AK24" s="190"/>
      <c r="AL24" s="190"/>
      <c r="AM24" s="190"/>
      <c r="AN24" s="190"/>
      <c r="AO24" s="190"/>
      <c r="AP24" s="190"/>
      <c r="AQ24" s="190"/>
      <c r="AR24" s="190"/>
      <c r="AS24" s="190"/>
      <c r="AT24" s="190"/>
      <c r="AU24" s="190"/>
      <c r="AV24" s="190"/>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40"/>
      <c r="CA24" s="40"/>
      <c r="CB24" s="40"/>
      <c r="CC24" s="40"/>
      <c r="CD24" s="40"/>
      <c r="CE24" s="40"/>
      <c r="CF24" s="40"/>
      <c r="CG24" s="40"/>
      <c r="CH24" s="40"/>
      <c r="CI24" s="40"/>
      <c r="CJ24" s="40"/>
      <c r="CK24" s="40"/>
      <c r="CL24" s="40"/>
    </row>
    <row r="25" spans="1:90" x14ac:dyDescent="0.25">
      <c r="A25" s="17" t="s">
        <v>17</v>
      </c>
      <c r="B25" s="190">
        <v>19937282.710000001</v>
      </c>
      <c r="C25" s="190">
        <v>37125081.630000003</v>
      </c>
      <c r="D25" s="190">
        <v>35043837.350000001</v>
      </c>
      <c r="E25" s="190">
        <v>20183993.539999999</v>
      </c>
      <c r="F25" s="190">
        <v>19551545.969999999</v>
      </c>
      <c r="G25" s="190">
        <v>19769029.32</v>
      </c>
      <c r="H25" s="190">
        <v>20214448.02</v>
      </c>
      <c r="I25" s="190">
        <v>22495177.010000002</v>
      </c>
      <c r="J25" s="190">
        <v>12955267.68</v>
      </c>
      <c r="K25" s="190">
        <v>10682420.949999999</v>
      </c>
      <c r="L25" s="190">
        <v>37340759.840000004</v>
      </c>
      <c r="M25" s="190">
        <v>5812950.0099999998</v>
      </c>
      <c r="N25" s="190">
        <v>8009865.1900000004</v>
      </c>
      <c r="O25" s="190">
        <v>6727090.9699999997</v>
      </c>
      <c r="P25" s="190">
        <v>7434514.1600000001</v>
      </c>
      <c r="Q25" s="190">
        <v>5572281.7999999998</v>
      </c>
      <c r="R25" s="190">
        <v>13651129.630000001</v>
      </c>
      <c r="S25" s="190">
        <v>6774735.7800000003</v>
      </c>
      <c r="T25" s="190">
        <v>6429637.2400000002</v>
      </c>
      <c r="U25" s="190">
        <v>6586460.2800000003</v>
      </c>
      <c r="V25" s="190">
        <v>6255076.7300000004</v>
      </c>
      <c r="W25" s="190">
        <v>6106708.0099999998</v>
      </c>
      <c r="X25" s="190">
        <v>6493551.2699999996</v>
      </c>
      <c r="Y25" s="190">
        <v>3459452.6</v>
      </c>
      <c r="Z25" s="190">
        <v>7525596.2000000002</v>
      </c>
      <c r="AA25" s="190">
        <v>4907998.07</v>
      </c>
      <c r="AB25" s="190">
        <v>6183559.4299999997</v>
      </c>
      <c r="AC25" s="190">
        <v>6151751.8700000001</v>
      </c>
      <c r="AD25" s="190">
        <v>6434584.7300000004</v>
      </c>
      <c r="AE25" s="190">
        <v>7853661.7699999996</v>
      </c>
      <c r="AF25" s="190">
        <v>3474200.07</v>
      </c>
      <c r="AG25" s="190">
        <v>1846889.36</v>
      </c>
      <c r="AH25" s="190">
        <v>1502403.77</v>
      </c>
      <c r="AI25" s="190">
        <v>0</v>
      </c>
      <c r="AJ25" s="190"/>
      <c r="AK25" s="190"/>
      <c r="AL25" s="190"/>
      <c r="AM25" s="190"/>
      <c r="AN25" s="190"/>
      <c r="AO25" s="190"/>
      <c r="AP25" s="190"/>
      <c r="AQ25" s="190"/>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40"/>
      <c r="CA25" s="40"/>
      <c r="CB25" s="40"/>
      <c r="CC25" s="40"/>
      <c r="CD25" s="40"/>
      <c r="CE25" s="40"/>
      <c r="CF25" s="40"/>
      <c r="CG25" s="40"/>
      <c r="CH25" s="40"/>
      <c r="CI25" s="40"/>
      <c r="CJ25" s="40"/>
      <c r="CK25" s="40"/>
      <c r="CL25" s="40"/>
    </row>
    <row r="26" spans="1:90" x14ac:dyDescent="0.25">
      <c r="A26" s="17" t="s">
        <v>18</v>
      </c>
      <c r="B26" s="190">
        <v>800982418.14999998</v>
      </c>
      <c r="C26" s="190">
        <v>692097814.60000002</v>
      </c>
      <c r="D26" s="190">
        <v>664238165.96000004</v>
      </c>
      <c r="E26" s="190">
        <v>693441799.19000006</v>
      </c>
      <c r="F26" s="190">
        <v>664605855.32000005</v>
      </c>
      <c r="G26" s="190">
        <v>638743101.07000005</v>
      </c>
      <c r="H26" s="190">
        <v>644547802.22000003</v>
      </c>
      <c r="I26" s="190">
        <v>697079591.05999994</v>
      </c>
      <c r="J26" s="190">
        <v>681821488.59000003</v>
      </c>
      <c r="K26" s="190">
        <v>592297432.84000003</v>
      </c>
      <c r="L26" s="190">
        <v>521266645.61000001</v>
      </c>
      <c r="M26" s="190">
        <v>390328020.83999997</v>
      </c>
      <c r="N26" s="190">
        <v>441613151.01999998</v>
      </c>
      <c r="O26" s="190">
        <v>387700988.93000001</v>
      </c>
      <c r="P26" s="190">
        <v>342844806.60000002</v>
      </c>
      <c r="Q26" s="190">
        <v>289896370.81999999</v>
      </c>
      <c r="R26" s="190">
        <v>312193074.07999998</v>
      </c>
      <c r="S26" s="190">
        <v>288874923.70999998</v>
      </c>
      <c r="T26" s="190">
        <v>306601886.50999999</v>
      </c>
      <c r="U26" s="190">
        <v>285245447.89999998</v>
      </c>
      <c r="V26" s="190">
        <v>272899559.27999997</v>
      </c>
      <c r="W26" s="190">
        <v>272276630.54000002</v>
      </c>
      <c r="X26" s="190">
        <v>273104736.24000001</v>
      </c>
      <c r="Y26" s="190">
        <v>256470646.41</v>
      </c>
      <c r="Z26" s="190">
        <v>234456271.97</v>
      </c>
      <c r="AA26" s="190">
        <v>215824597.50999999</v>
      </c>
      <c r="AB26" s="190">
        <v>224156467.27000001</v>
      </c>
      <c r="AC26" s="190">
        <v>224490389.49000001</v>
      </c>
      <c r="AD26" s="190">
        <v>227799281.63</v>
      </c>
      <c r="AE26" s="190">
        <v>213187752.13</v>
      </c>
      <c r="AF26" s="190">
        <v>227794263.31</v>
      </c>
      <c r="AG26" s="190">
        <v>196151344.22</v>
      </c>
      <c r="AH26" s="190">
        <v>223636319.30000001</v>
      </c>
      <c r="AI26" s="190">
        <v>0</v>
      </c>
      <c r="AJ26" s="190"/>
      <c r="AK26" s="190"/>
      <c r="AL26" s="190"/>
      <c r="AM26" s="190"/>
      <c r="AN26" s="190"/>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40"/>
      <c r="CA26" s="40"/>
      <c r="CB26" s="40"/>
      <c r="CC26" s="40"/>
      <c r="CD26" s="40"/>
      <c r="CE26" s="40"/>
      <c r="CF26" s="40"/>
      <c r="CG26" s="40"/>
      <c r="CH26" s="40"/>
      <c r="CI26" s="40"/>
      <c r="CJ26" s="40"/>
      <c r="CK26" s="40"/>
      <c r="CL26" s="40"/>
    </row>
    <row r="27" spans="1:90" x14ac:dyDescent="0.25">
      <c r="A27" s="17" t="s">
        <v>19</v>
      </c>
      <c r="B27" s="190">
        <v>184126598.31</v>
      </c>
      <c r="C27" s="190">
        <v>276214511.33999997</v>
      </c>
      <c r="D27" s="190">
        <v>6675989.5800000001</v>
      </c>
      <c r="E27" s="190">
        <v>362063244.63999999</v>
      </c>
      <c r="F27" s="190">
        <v>358072392.25</v>
      </c>
      <c r="G27" s="190">
        <v>287386955.77999997</v>
      </c>
      <c r="H27" s="190">
        <v>287183944.5</v>
      </c>
      <c r="I27" s="190">
        <v>402490320.44999999</v>
      </c>
      <c r="J27" s="190">
        <v>434195085.63999999</v>
      </c>
      <c r="K27" s="190">
        <v>506344099.74000001</v>
      </c>
      <c r="L27" s="190">
        <v>371923683.51999998</v>
      </c>
      <c r="M27" s="190">
        <v>510909151.82999998</v>
      </c>
      <c r="N27" s="190">
        <v>513344472.51999998</v>
      </c>
      <c r="O27" s="190">
        <v>513708534.76999998</v>
      </c>
      <c r="P27" s="190">
        <v>3529610.76</v>
      </c>
      <c r="Q27" s="190">
        <v>2498093.12</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c r="AK27" s="190"/>
      <c r="AL27" s="190"/>
      <c r="AM27" s="190"/>
      <c r="AN27" s="190"/>
      <c r="AO27" s="190"/>
      <c r="AP27" s="190"/>
      <c r="AQ27" s="190"/>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40"/>
      <c r="CA27" s="40"/>
      <c r="CB27" s="40"/>
      <c r="CC27" s="40"/>
      <c r="CD27" s="40"/>
      <c r="CE27" s="40"/>
      <c r="CF27" s="40"/>
      <c r="CG27" s="40"/>
      <c r="CH27" s="40"/>
      <c r="CI27" s="40"/>
      <c r="CJ27" s="40"/>
      <c r="CK27" s="40"/>
      <c r="CL27" s="4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c r="AK28" s="190"/>
      <c r="AL28" s="190"/>
      <c r="AM28" s="190"/>
      <c r="AN28" s="190"/>
      <c r="AO28" s="190"/>
      <c r="AP28" s="190"/>
      <c r="AQ28" s="190"/>
      <c r="AR28" s="190"/>
      <c r="AS28" s="190"/>
      <c r="AT28" s="190"/>
      <c r="AU28" s="190"/>
      <c r="AV28" s="190"/>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40"/>
      <c r="CA28" s="40"/>
      <c r="CB28" s="40"/>
      <c r="CC28" s="40"/>
      <c r="CD28" s="40"/>
      <c r="CE28" s="40"/>
      <c r="CF28" s="40"/>
      <c r="CG28" s="40"/>
      <c r="CH28" s="40"/>
      <c r="CI28" s="40"/>
      <c r="CJ28" s="40"/>
      <c r="CK28" s="40"/>
      <c r="CL28" s="4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c r="AK29" s="190"/>
      <c r="AL29" s="190"/>
      <c r="AM29" s="190"/>
      <c r="AN29" s="190"/>
      <c r="AO29" s="190"/>
      <c r="AP29" s="190"/>
      <c r="AQ29" s="190"/>
      <c r="AR29" s="190"/>
      <c r="AS29" s="190"/>
      <c r="AT29" s="190"/>
      <c r="AU29" s="190"/>
      <c r="AV29" s="190"/>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40"/>
      <c r="CA29" s="40"/>
      <c r="CB29" s="40"/>
      <c r="CC29" s="40"/>
      <c r="CD29" s="40"/>
      <c r="CE29" s="40"/>
      <c r="CF29" s="40"/>
      <c r="CG29" s="40"/>
      <c r="CH29" s="40"/>
      <c r="CI29" s="40"/>
      <c r="CJ29" s="40"/>
      <c r="CK29" s="40"/>
      <c r="CL29" s="4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4" t="s">
        <v>20</v>
      </c>
      <c r="B33" s="35">
        <f>SUM(B22:B29)</f>
        <v>1490425870.4499998</v>
      </c>
      <c r="C33" s="35">
        <f t="shared" ref="C33:BN33" si="2">SUM(C22:C29)</f>
        <v>1508771037.0699999</v>
      </c>
      <c r="D33" s="35">
        <f t="shared" si="2"/>
        <v>1152826849.9099998</v>
      </c>
      <c r="E33" s="35">
        <f t="shared" si="2"/>
        <v>1465721276.0500002</v>
      </c>
      <c r="F33" s="35">
        <f t="shared" si="2"/>
        <v>1416659351.47</v>
      </c>
      <c r="G33" s="35">
        <f t="shared" si="2"/>
        <v>1368804483.02</v>
      </c>
      <c r="H33" s="35">
        <f t="shared" si="2"/>
        <v>1286261372.6500001</v>
      </c>
      <c r="I33" s="35">
        <f t="shared" si="2"/>
        <v>1439125257.6299999</v>
      </c>
      <c r="J33" s="35">
        <f t="shared" si="2"/>
        <v>1402432421.72</v>
      </c>
      <c r="K33" s="35">
        <f t="shared" si="2"/>
        <v>1421283189.8699999</v>
      </c>
      <c r="L33" s="35">
        <f t="shared" si="2"/>
        <v>1215100835.3400002</v>
      </c>
      <c r="M33" s="35">
        <f t="shared" si="2"/>
        <v>1137414437.8499999</v>
      </c>
      <c r="N33" s="35">
        <f t="shared" si="2"/>
        <v>1068374217.88</v>
      </c>
      <c r="O33" s="35">
        <f t="shared" si="2"/>
        <v>1023507649.0899999</v>
      </c>
      <c r="P33" s="35">
        <f t="shared" si="2"/>
        <v>426440937.68000001</v>
      </c>
      <c r="Q33" s="35">
        <f t="shared" si="2"/>
        <v>493635367.44000006</v>
      </c>
      <c r="R33" s="35">
        <f t="shared" si="2"/>
        <v>490685692.98000002</v>
      </c>
      <c r="S33" s="35">
        <f t="shared" si="2"/>
        <v>463008058.29999995</v>
      </c>
      <c r="T33" s="35">
        <f t="shared" si="2"/>
        <v>462582396.72000003</v>
      </c>
      <c r="U33" s="35">
        <f t="shared" si="2"/>
        <v>443202459.65999997</v>
      </c>
      <c r="V33" s="35">
        <f t="shared" si="2"/>
        <v>434325442.75</v>
      </c>
      <c r="W33" s="35">
        <f t="shared" si="2"/>
        <v>440476314.92000002</v>
      </c>
      <c r="X33" s="35">
        <f t="shared" si="2"/>
        <v>438898807.76999998</v>
      </c>
      <c r="Y33" s="35">
        <f t="shared" si="2"/>
        <v>409308183.28999996</v>
      </c>
      <c r="Z33" s="35">
        <f t="shared" si="2"/>
        <v>358465463.93000001</v>
      </c>
      <c r="AA33" s="35">
        <f t="shared" si="2"/>
        <v>392990225.06999999</v>
      </c>
      <c r="AB33" s="35">
        <f t="shared" si="2"/>
        <v>364049268.50999999</v>
      </c>
      <c r="AC33" s="35">
        <f t="shared" si="2"/>
        <v>314141474.90000004</v>
      </c>
      <c r="AD33" s="35">
        <f t="shared" si="2"/>
        <v>278238460.82999998</v>
      </c>
      <c r="AE33" s="35">
        <f t="shared" si="2"/>
        <v>311806073.17000002</v>
      </c>
      <c r="AF33" s="35">
        <f t="shared" si="2"/>
        <v>297303316.97000003</v>
      </c>
      <c r="AG33" s="35">
        <f t="shared" si="2"/>
        <v>268667593.61000001</v>
      </c>
      <c r="AH33" s="35">
        <f t="shared" si="2"/>
        <v>257162539.37</v>
      </c>
      <c r="AI33" s="35">
        <f t="shared" si="2"/>
        <v>0</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3" t="s">
        <v>82</v>
      </c>
      <c r="B34" s="34"/>
      <c r="C34" s="34"/>
      <c r="D34" s="34"/>
      <c r="E34" s="34"/>
      <c r="F34" s="34"/>
      <c r="G34" s="34"/>
      <c r="H34" s="34"/>
      <c r="I34" s="34"/>
      <c r="J34" s="34"/>
      <c r="K34" s="34"/>
      <c r="L34" s="32"/>
      <c r="M34" s="14"/>
      <c r="N34" s="14"/>
    </row>
    <row r="35" spans="1:90" x14ac:dyDescent="0.25">
      <c r="A35" s="17" t="s">
        <v>21</v>
      </c>
      <c r="B35" s="190">
        <v>0</v>
      </c>
      <c r="C35" s="190">
        <v>0</v>
      </c>
      <c r="D35" s="190">
        <v>0</v>
      </c>
      <c r="E35" s="190">
        <v>0</v>
      </c>
      <c r="F35" s="190">
        <v>0</v>
      </c>
      <c r="G35" s="190">
        <v>0</v>
      </c>
      <c r="H35" s="190">
        <v>0</v>
      </c>
      <c r="I35" s="190">
        <v>0</v>
      </c>
      <c r="J35" s="190">
        <v>0</v>
      </c>
      <c r="K35" s="190">
        <v>0</v>
      </c>
      <c r="L35" s="190">
        <v>0</v>
      </c>
      <c r="M35" s="190">
        <v>0</v>
      </c>
      <c r="N35" s="190">
        <v>0</v>
      </c>
      <c r="O35" s="190">
        <v>0</v>
      </c>
      <c r="P35" s="190">
        <v>0</v>
      </c>
      <c r="Q35" s="190">
        <v>0</v>
      </c>
      <c r="R35" s="190">
        <v>0</v>
      </c>
      <c r="S35" s="190">
        <v>0</v>
      </c>
      <c r="T35" s="190">
        <v>0</v>
      </c>
      <c r="U35" s="190">
        <v>0</v>
      </c>
      <c r="V35" s="190">
        <v>0</v>
      </c>
      <c r="W35" s="190">
        <v>0</v>
      </c>
      <c r="X35" s="190">
        <v>0</v>
      </c>
      <c r="Y35" s="190">
        <v>0</v>
      </c>
      <c r="Z35" s="190">
        <v>0</v>
      </c>
      <c r="AA35" s="190">
        <v>0</v>
      </c>
      <c r="AB35" s="190">
        <v>0</v>
      </c>
      <c r="AC35" s="190">
        <v>0</v>
      </c>
      <c r="AD35" s="190">
        <v>0</v>
      </c>
      <c r="AE35" s="190">
        <v>0</v>
      </c>
      <c r="AF35" s="190">
        <v>0</v>
      </c>
      <c r="AG35" s="190">
        <v>0</v>
      </c>
      <c r="AH35" s="190">
        <v>0</v>
      </c>
      <c r="AI35" s="190">
        <v>0</v>
      </c>
      <c r="AJ35" s="190"/>
      <c r="AK35" s="190"/>
      <c r="AL35" s="190"/>
      <c r="AM35" s="190"/>
      <c r="AN35" s="190"/>
      <c r="AO35" s="190"/>
      <c r="AP35" s="190"/>
      <c r="AQ35" s="190"/>
      <c r="AR35" s="190"/>
      <c r="AS35" s="190"/>
      <c r="AT35" s="190"/>
      <c r="AU35" s="190"/>
      <c r="AV35" s="190"/>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40"/>
      <c r="CA35" s="40"/>
      <c r="CB35" s="40"/>
      <c r="CC35" s="40"/>
      <c r="CD35" s="40"/>
      <c r="CE35" s="40"/>
      <c r="CF35" s="40"/>
      <c r="CG35" s="40"/>
      <c r="CH35" s="40"/>
      <c r="CI35" s="40"/>
      <c r="CJ35" s="40"/>
      <c r="CK35" s="40"/>
      <c r="CL35" s="40"/>
    </row>
    <row r="36" spans="1:90" x14ac:dyDescent="0.25">
      <c r="A36" s="17" t="s">
        <v>22</v>
      </c>
      <c r="B36" s="190">
        <v>0</v>
      </c>
      <c r="C36" s="190">
        <v>217506390.21000001</v>
      </c>
      <c r="D36" s="190">
        <v>205786252.25999999</v>
      </c>
      <c r="E36" s="190">
        <v>259242594.13999999</v>
      </c>
      <c r="F36" s="190">
        <v>251602181.19999999</v>
      </c>
      <c r="G36" s="190">
        <v>269053636.76999998</v>
      </c>
      <c r="H36" s="190">
        <v>235753116.55000001</v>
      </c>
      <c r="I36" s="190">
        <v>259842770.03</v>
      </c>
      <c r="J36" s="190">
        <v>236441117.68000001</v>
      </c>
      <c r="K36" s="190">
        <v>260548703.13999999</v>
      </c>
      <c r="L36" s="190">
        <v>280918166.41000003</v>
      </c>
      <c r="M36" s="190">
        <v>318922914.27999997</v>
      </c>
      <c r="N36" s="190">
        <v>225404975.72</v>
      </c>
      <c r="O36" s="190">
        <v>180706111.16</v>
      </c>
      <c r="P36" s="190">
        <v>140315224.65000001</v>
      </c>
      <c r="Q36" s="190">
        <v>148483465.80000001</v>
      </c>
      <c r="R36" s="190">
        <v>153736434.63999999</v>
      </c>
      <c r="S36" s="190">
        <v>136140102.69999999</v>
      </c>
      <c r="T36" s="190">
        <v>143567111.81999999</v>
      </c>
      <c r="U36" s="190">
        <v>149029418.02000001</v>
      </c>
      <c r="V36" s="190">
        <v>127096063.15000001</v>
      </c>
      <c r="W36" s="190">
        <v>129330219.93000001</v>
      </c>
      <c r="X36" s="190">
        <v>141333030.47</v>
      </c>
      <c r="Y36" s="190">
        <v>144768187.38</v>
      </c>
      <c r="Z36" s="190">
        <v>90962137.049999997</v>
      </c>
      <c r="AA36" s="190">
        <v>86833174.109999999</v>
      </c>
      <c r="AB36" s="190">
        <v>89647964.659999996</v>
      </c>
      <c r="AC36" s="190">
        <v>89376649.379999995</v>
      </c>
      <c r="AD36" s="190">
        <v>89927590.230000004</v>
      </c>
      <c r="AE36" s="190">
        <v>95645357.810000002</v>
      </c>
      <c r="AF36" s="190">
        <v>77977867.230000004</v>
      </c>
      <c r="AG36" s="190">
        <v>28273560.960000001</v>
      </c>
      <c r="AH36" s="190">
        <v>34648761.43</v>
      </c>
      <c r="AI36" s="190">
        <v>0</v>
      </c>
      <c r="AJ36" s="190"/>
      <c r="AK36" s="190"/>
      <c r="AL36" s="190"/>
      <c r="AM36" s="190"/>
      <c r="AN36" s="190"/>
      <c r="AO36" s="190"/>
      <c r="AP36" s="190"/>
      <c r="AQ36" s="190"/>
      <c r="AR36" s="190"/>
      <c r="AS36" s="190"/>
      <c r="AT36" s="190"/>
      <c r="AU36" s="190"/>
      <c r="AV36" s="190"/>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40"/>
      <c r="CA36" s="40"/>
      <c r="CB36" s="40"/>
      <c r="CC36" s="40"/>
      <c r="CD36" s="40"/>
      <c r="CE36" s="40"/>
      <c r="CF36" s="40"/>
      <c r="CG36" s="40"/>
      <c r="CH36" s="40"/>
      <c r="CI36" s="40"/>
      <c r="CJ36" s="40"/>
      <c r="CK36" s="40"/>
      <c r="CL36" s="40"/>
    </row>
    <row r="37" spans="1:90" x14ac:dyDescent="0.25">
      <c r="A37" s="17" t="s">
        <v>23</v>
      </c>
      <c r="B37" s="190">
        <v>37677413.530000001</v>
      </c>
      <c r="C37" s="190">
        <v>15834630.83</v>
      </c>
      <c r="D37" s="190">
        <v>19213908.489999998</v>
      </c>
      <c r="E37" s="190">
        <v>2206717.0099999998</v>
      </c>
      <c r="F37" s="190">
        <v>18761336.550000001</v>
      </c>
      <c r="G37" s="190">
        <v>20081627.260000002</v>
      </c>
      <c r="H37" s="190">
        <v>19320789.170000002</v>
      </c>
      <c r="I37" s="190">
        <v>1799513.57</v>
      </c>
      <c r="J37" s="190">
        <v>10312673.84</v>
      </c>
      <c r="K37" s="190">
        <v>8869768.8699999992</v>
      </c>
      <c r="L37" s="190">
        <v>788083.11</v>
      </c>
      <c r="M37" s="190">
        <v>476642.49</v>
      </c>
      <c r="N37" s="190">
        <v>6478353.0499999998</v>
      </c>
      <c r="O37" s="190">
        <v>1486485.68</v>
      </c>
      <c r="P37" s="190">
        <v>924314.22</v>
      </c>
      <c r="Q37" s="190">
        <v>757140.96</v>
      </c>
      <c r="R37" s="190">
        <v>430707.16</v>
      </c>
      <c r="S37" s="190">
        <v>54015.94</v>
      </c>
      <c r="T37" s="190">
        <v>287329.27</v>
      </c>
      <c r="U37" s="190">
        <v>280507.63</v>
      </c>
      <c r="V37" s="190">
        <v>674364.47</v>
      </c>
      <c r="W37" s="190">
        <v>11145.9</v>
      </c>
      <c r="X37" s="190">
        <v>232807.01</v>
      </c>
      <c r="Y37" s="190">
        <v>85151.15</v>
      </c>
      <c r="Z37" s="190">
        <v>397181.59</v>
      </c>
      <c r="AA37" s="190">
        <v>344580</v>
      </c>
      <c r="AB37" s="190">
        <v>591708.96</v>
      </c>
      <c r="AC37" s="190">
        <v>1200</v>
      </c>
      <c r="AD37" s="190">
        <v>120600</v>
      </c>
      <c r="AE37" s="190">
        <v>139838.96</v>
      </c>
      <c r="AF37" s="190">
        <v>192762.5</v>
      </c>
      <c r="AG37" s="190">
        <v>73642.14</v>
      </c>
      <c r="AH37" s="190">
        <v>1537.79</v>
      </c>
      <c r="AI37" s="190">
        <v>0</v>
      </c>
      <c r="AJ37" s="190"/>
      <c r="AK37" s="190"/>
      <c r="AL37" s="190"/>
      <c r="AM37" s="190"/>
      <c r="AN37" s="190"/>
      <c r="AO37" s="190"/>
      <c r="AP37" s="190"/>
      <c r="AQ37" s="190"/>
      <c r="AR37" s="190"/>
      <c r="AS37" s="190"/>
      <c r="AT37" s="190"/>
      <c r="AU37" s="190"/>
      <c r="AV37" s="190"/>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40"/>
      <c r="CA37" s="40"/>
      <c r="CB37" s="40"/>
      <c r="CC37" s="40"/>
      <c r="CD37" s="40"/>
      <c r="CE37" s="40"/>
      <c r="CF37" s="40"/>
      <c r="CG37" s="40"/>
      <c r="CH37" s="40"/>
      <c r="CI37" s="40"/>
      <c r="CJ37" s="40"/>
      <c r="CK37" s="40"/>
      <c r="CL37" s="4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c r="AK38" s="190"/>
      <c r="AL38" s="190"/>
      <c r="AM38" s="190"/>
      <c r="AN38" s="190"/>
      <c r="AO38" s="190"/>
      <c r="AP38" s="190"/>
      <c r="AQ38" s="190"/>
      <c r="AR38" s="190"/>
      <c r="AS38" s="190"/>
      <c r="AT38" s="190"/>
      <c r="AU38" s="190"/>
      <c r="AV38" s="190"/>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40"/>
      <c r="CA38" s="40"/>
      <c r="CB38" s="40"/>
      <c r="CC38" s="40"/>
      <c r="CD38" s="40"/>
      <c r="CE38" s="40"/>
      <c r="CF38" s="40"/>
      <c r="CG38" s="40"/>
      <c r="CH38" s="40"/>
      <c r="CI38" s="40"/>
      <c r="CJ38" s="40"/>
      <c r="CK38" s="40"/>
      <c r="CL38" s="40"/>
    </row>
    <row r="39" spans="1:90" x14ac:dyDescent="0.25">
      <c r="A39" s="17" t="s">
        <v>25</v>
      </c>
      <c r="B39" s="190">
        <v>135036785.02000001</v>
      </c>
      <c r="C39" s="190">
        <v>106756961.06</v>
      </c>
      <c r="D39" s="190">
        <v>80365403</v>
      </c>
      <c r="E39" s="190">
        <v>63918111.630000003</v>
      </c>
      <c r="F39" s="190">
        <v>129581960.88</v>
      </c>
      <c r="G39" s="190">
        <v>116698588.29000001</v>
      </c>
      <c r="H39" s="190">
        <v>92374449.599999994</v>
      </c>
      <c r="I39" s="190">
        <v>64856152.950000003</v>
      </c>
      <c r="J39" s="190">
        <v>120912330.94</v>
      </c>
      <c r="K39" s="190">
        <v>97266394.200000003</v>
      </c>
      <c r="L39" s="190">
        <v>83004254.370000005</v>
      </c>
      <c r="M39" s="190">
        <v>43766813.350000001</v>
      </c>
      <c r="N39" s="190">
        <v>103510981.95</v>
      </c>
      <c r="O39" s="190">
        <v>74591803</v>
      </c>
      <c r="P39" s="190">
        <v>24883752.760000002</v>
      </c>
      <c r="Q39" s="190">
        <v>6282587.7000000002</v>
      </c>
      <c r="R39" s="190">
        <v>25869982.940000001</v>
      </c>
      <c r="S39" s="190">
        <v>7456532.8499999996</v>
      </c>
      <c r="T39" s="190">
        <v>5650061.4900000002</v>
      </c>
      <c r="U39" s="190">
        <v>4920040.33</v>
      </c>
      <c r="V39" s="190">
        <v>13360432.4</v>
      </c>
      <c r="W39" s="190">
        <v>5498201.9500000002</v>
      </c>
      <c r="X39" s="190">
        <v>5567430.1699999999</v>
      </c>
      <c r="Y39" s="190">
        <v>8756933.1699999999</v>
      </c>
      <c r="Z39" s="190">
        <v>8378516.6299999999</v>
      </c>
      <c r="AA39" s="190">
        <v>2331725.9</v>
      </c>
      <c r="AB39" s="190">
        <v>2399002.98</v>
      </c>
      <c r="AC39" s="190">
        <v>7035607.9299999997</v>
      </c>
      <c r="AD39" s="190">
        <v>22772314.920000002</v>
      </c>
      <c r="AE39" s="190">
        <v>15126699.18</v>
      </c>
      <c r="AF39" s="190">
        <v>3917707.93</v>
      </c>
      <c r="AG39" s="190">
        <v>4023756.41</v>
      </c>
      <c r="AH39" s="190">
        <v>245862.98</v>
      </c>
      <c r="AI39" s="190">
        <v>0</v>
      </c>
      <c r="AJ39" s="190"/>
      <c r="AK39" s="190"/>
      <c r="AL39" s="190"/>
      <c r="AM39" s="190"/>
      <c r="AN39" s="190"/>
      <c r="AO39" s="190"/>
      <c r="AP39" s="190"/>
      <c r="AQ39" s="190"/>
      <c r="AR39" s="190"/>
      <c r="AS39" s="190"/>
      <c r="AT39" s="190"/>
      <c r="AU39" s="190"/>
      <c r="AV39" s="190"/>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40"/>
      <c r="CA39" s="40"/>
      <c r="CB39" s="40"/>
      <c r="CC39" s="40"/>
      <c r="CD39" s="40"/>
      <c r="CE39" s="40"/>
      <c r="CF39" s="40"/>
      <c r="CG39" s="40"/>
      <c r="CH39" s="40"/>
      <c r="CI39" s="40"/>
      <c r="CJ39" s="40"/>
      <c r="CK39" s="40"/>
      <c r="CL39" s="40"/>
    </row>
    <row r="40" spans="1:90" x14ac:dyDescent="0.25">
      <c r="A40" s="17" t="s">
        <v>26</v>
      </c>
      <c r="B40" s="190">
        <v>36906676.75</v>
      </c>
      <c r="C40" s="190">
        <v>35794490.649999999</v>
      </c>
      <c r="D40" s="190">
        <v>33765926.899999999</v>
      </c>
      <c r="E40" s="190">
        <v>52377299.350000001</v>
      </c>
      <c r="F40" s="190">
        <v>28546918.670000002</v>
      </c>
      <c r="G40" s="190">
        <v>41313036.990000002</v>
      </c>
      <c r="H40" s="190">
        <v>36481306.869999997</v>
      </c>
      <c r="I40" s="190">
        <v>35506760.590000004</v>
      </c>
      <c r="J40" s="190">
        <v>22994252.32</v>
      </c>
      <c r="K40" s="190">
        <v>31619847.280000001</v>
      </c>
      <c r="L40" s="190">
        <v>41348909.740000002</v>
      </c>
      <c r="M40" s="190">
        <v>32181720.289999999</v>
      </c>
      <c r="N40" s="190">
        <v>27305566.800000001</v>
      </c>
      <c r="O40" s="190">
        <v>21879832.41</v>
      </c>
      <c r="P40" s="190">
        <v>12744614.720000001</v>
      </c>
      <c r="Q40" s="190">
        <v>12911863.550000001</v>
      </c>
      <c r="R40" s="190">
        <v>10303285.699999999</v>
      </c>
      <c r="S40" s="190">
        <v>7712606.5700000003</v>
      </c>
      <c r="T40" s="190">
        <v>11825309.9</v>
      </c>
      <c r="U40" s="190">
        <v>12765222.02</v>
      </c>
      <c r="V40" s="190">
        <v>6622124.5999999996</v>
      </c>
      <c r="W40" s="190">
        <v>6054883.4100000001</v>
      </c>
      <c r="X40" s="190">
        <v>8956041.3399999999</v>
      </c>
      <c r="Y40" s="190">
        <v>-3620664.85</v>
      </c>
      <c r="Z40" s="190">
        <v>-1883970.67</v>
      </c>
      <c r="AA40" s="190">
        <v>9523213.6199999992</v>
      </c>
      <c r="AB40" s="190">
        <v>12378361.49</v>
      </c>
      <c r="AC40" s="190">
        <v>6386685.2699999996</v>
      </c>
      <c r="AD40" s="190">
        <v>5463987.1799999997</v>
      </c>
      <c r="AE40" s="190">
        <v>13633343.34</v>
      </c>
      <c r="AF40" s="190">
        <v>10580653.16</v>
      </c>
      <c r="AG40" s="190">
        <v>2413439.2000000002</v>
      </c>
      <c r="AH40" s="190">
        <v>-7498325.1100000003</v>
      </c>
      <c r="AI40" s="190">
        <v>0</v>
      </c>
      <c r="AJ40" s="190"/>
      <c r="AK40" s="190"/>
      <c r="AL40" s="190"/>
      <c r="AM40" s="190"/>
      <c r="AN40" s="190"/>
      <c r="AO40" s="190"/>
      <c r="AP40" s="190"/>
      <c r="AQ40" s="190"/>
      <c r="AR40" s="190"/>
      <c r="AS40" s="190"/>
      <c r="AT40" s="190"/>
      <c r="AU40" s="190"/>
      <c r="AV40" s="190"/>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40"/>
      <c r="CA40" s="40"/>
      <c r="CB40" s="40"/>
      <c r="CC40" s="40"/>
      <c r="CD40" s="40"/>
      <c r="CE40" s="40"/>
      <c r="CF40" s="40"/>
      <c r="CG40" s="40"/>
      <c r="CH40" s="40"/>
      <c r="CI40" s="40"/>
      <c r="CJ40" s="40"/>
      <c r="CK40" s="40"/>
      <c r="CL40" s="40"/>
    </row>
    <row r="41" spans="1:90" x14ac:dyDescent="0.25">
      <c r="A41" s="17" t="s">
        <v>27</v>
      </c>
      <c r="B41" s="190">
        <v>50604709.75</v>
      </c>
      <c r="C41" s="190">
        <v>40924383.149999999</v>
      </c>
      <c r="D41" s="190">
        <v>45024679.939999998</v>
      </c>
      <c r="E41" s="190">
        <v>49709791.909999996</v>
      </c>
      <c r="F41" s="190">
        <v>39500557.920000002</v>
      </c>
      <c r="G41" s="190">
        <v>41473895.990000002</v>
      </c>
      <c r="H41" s="190">
        <v>40860629.090000004</v>
      </c>
      <c r="I41" s="190">
        <v>30798743.030000001</v>
      </c>
      <c r="J41" s="190">
        <v>20067764.870000001</v>
      </c>
      <c r="K41" s="190">
        <v>13419661.65</v>
      </c>
      <c r="L41" s="190">
        <v>21577432.829999998</v>
      </c>
      <c r="M41" s="190">
        <v>9123735.5299999993</v>
      </c>
      <c r="N41" s="190">
        <v>6831941.9699999997</v>
      </c>
      <c r="O41" s="190">
        <v>6565746.4199999999</v>
      </c>
      <c r="P41" s="190">
        <v>5142971.21</v>
      </c>
      <c r="Q41" s="190">
        <v>4730151.87</v>
      </c>
      <c r="R41" s="190">
        <v>5763638</v>
      </c>
      <c r="S41" s="190">
        <v>4961341.53</v>
      </c>
      <c r="T41" s="190">
        <v>5009273.68</v>
      </c>
      <c r="U41" s="190">
        <v>4179207.81</v>
      </c>
      <c r="V41" s="190">
        <v>5126698.3600000003</v>
      </c>
      <c r="W41" s="190">
        <v>3674119.02</v>
      </c>
      <c r="X41" s="190">
        <v>4002852.99</v>
      </c>
      <c r="Y41" s="190">
        <v>3669565.98</v>
      </c>
      <c r="Z41" s="190">
        <v>4255449.8600000003</v>
      </c>
      <c r="AA41" s="190">
        <v>3703248.8</v>
      </c>
      <c r="AB41" s="190">
        <v>5047021.34</v>
      </c>
      <c r="AC41" s="190">
        <v>7289628.1699999999</v>
      </c>
      <c r="AD41" s="190">
        <v>18023160.82</v>
      </c>
      <c r="AE41" s="190">
        <v>16513163.5</v>
      </c>
      <c r="AF41" s="190">
        <v>41932081.890000001</v>
      </c>
      <c r="AG41" s="190">
        <v>37738663.57</v>
      </c>
      <c r="AH41" s="190">
        <v>32569373.59</v>
      </c>
      <c r="AI41" s="190">
        <v>0</v>
      </c>
      <c r="AJ41" s="190"/>
      <c r="AK41" s="190"/>
      <c r="AL41" s="190"/>
      <c r="AM41" s="190"/>
      <c r="AN41" s="190"/>
      <c r="AO41" s="190"/>
      <c r="AP41" s="190"/>
      <c r="AQ41" s="190"/>
      <c r="AR41" s="190"/>
      <c r="AS41" s="190"/>
      <c r="AT41" s="190"/>
      <c r="AU41" s="190"/>
      <c r="AV41" s="190"/>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40"/>
      <c r="CA41" s="40"/>
      <c r="CB41" s="40"/>
      <c r="CC41" s="40"/>
      <c r="CD41" s="40"/>
      <c r="CE41" s="40"/>
      <c r="CF41" s="40"/>
      <c r="CG41" s="40"/>
      <c r="CH41" s="40"/>
      <c r="CI41" s="40"/>
      <c r="CJ41" s="40"/>
      <c r="CK41" s="40"/>
      <c r="CL41" s="40"/>
    </row>
    <row r="42" spans="1:90" s="39" customFormat="1" x14ac:dyDescent="0.25">
      <c r="A42" s="125" t="s">
        <v>28</v>
      </c>
      <c r="B42" s="190">
        <v>5053705.47</v>
      </c>
      <c r="C42" s="190">
        <v>4632268.43</v>
      </c>
      <c r="D42" s="190">
        <v>4121516.28</v>
      </c>
      <c r="E42" s="190">
        <v>3763588.12</v>
      </c>
      <c r="F42" s="190">
        <v>2339701.42</v>
      </c>
      <c r="G42" s="190">
        <v>1692346.74</v>
      </c>
      <c r="H42" s="190">
        <v>1636044.86</v>
      </c>
      <c r="I42" s="190">
        <v>1544183.14</v>
      </c>
      <c r="J42" s="190">
        <v>1665363.19</v>
      </c>
      <c r="K42" s="190">
        <v>1575082.41</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c r="AK42" s="190"/>
      <c r="AL42" s="190"/>
      <c r="AM42" s="190"/>
      <c r="AN42" s="190"/>
      <c r="AO42" s="190"/>
      <c r="AP42" s="190"/>
      <c r="AQ42" s="190"/>
      <c r="AR42" s="190"/>
      <c r="AS42" s="190"/>
      <c r="AT42" s="190"/>
      <c r="AU42" s="190"/>
      <c r="AV42" s="190"/>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40"/>
      <c r="CA42" s="40"/>
      <c r="CB42" s="40"/>
      <c r="CC42" s="40"/>
      <c r="CD42" s="40"/>
      <c r="CE42" s="40"/>
      <c r="CF42" s="40"/>
      <c r="CG42" s="40"/>
      <c r="CH42" s="40"/>
      <c r="CI42" s="40"/>
      <c r="CJ42" s="40"/>
      <c r="CK42" s="40"/>
      <c r="CL42" s="40"/>
    </row>
    <row r="43" spans="1:90" x14ac:dyDescent="0.25">
      <c r="A43" s="17" t="s">
        <v>29</v>
      </c>
      <c r="B43" s="190">
        <v>16897350.030000001</v>
      </c>
      <c r="C43" s="190">
        <v>16780432</v>
      </c>
      <c r="D43" s="190">
        <v>17897878.629999999</v>
      </c>
      <c r="E43" s="190">
        <v>18265936.760000002</v>
      </c>
      <c r="F43" s="190">
        <v>15408994.99</v>
      </c>
      <c r="G43" s="190">
        <v>11208303.119999999</v>
      </c>
      <c r="H43" s="190">
        <v>12102611.34</v>
      </c>
      <c r="I43" s="190">
        <v>9686919.4800000004</v>
      </c>
      <c r="J43" s="190">
        <v>10029561.029999999</v>
      </c>
      <c r="K43" s="190">
        <v>11688869.17</v>
      </c>
      <c r="L43" s="190">
        <v>14348177.390000001</v>
      </c>
      <c r="M43" s="190">
        <v>14042485.529999999</v>
      </c>
      <c r="N43" s="190">
        <v>8468192.8699999992</v>
      </c>
      <c r="O43" s="190">
        <v>9359628.9399999995</v>
      </c>
      <c r="P43" s="190">
        <v>10304398.380000001</v>
      </c>
      <c r="Q43" s="190">
        <v>11249167.800000001</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c r="AK43" s="190"/>
      <c r="AL43" s="190"/>
      <c r="AM43" s="190"/>
      <c r="AN43" s="190"/>
      <c r="AO43" s="190"/>
      <c r="AP43" s="190"/>
      <c r="AQ43" s="190"/>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40"/>
      <c r="CA43" s="40"/>
      <c r="CB43" s="40"/>
      <c r="CC43" s="40"/>
      <c r="CD43" s="40"/>
      <c r="CE43" s="40"/>
      <c r="CF43" s="40"/>
      <c r="CG43" s="40"/>
      <c r="CH43" s="40"/>
      <c r="CI43" s="40"/>
      <c r="CJ43" s="40"/>
      <c r="CK43" s="40"/>
      <c r="CL43" s="4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c r="AK44" s="190"/>
      <c r="AL44" s="190"/>
      <c r="AM44" s="190"/>
      <c r="AN44" s="190"/>
      <c r="AO44" s="190"/>
      <c r="AP44" s="190"/>
      <c r="AQ44" s="190"/>
      <c r="AR44" s="190"/>
      <c r="AS44" s="190"/>
      <c r="AT44" s="190"/>
      <c r="AU44" s="190"/>
      <c r="AV44" s="190"/>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40"/>
      <c r="CA44" s="40"/>
      <c r="CB44" s="40"/>
      <c r="CC44" s="40"/>
      <c r="CD44" s="40"/>
      <c r="CE44" s="40"/>
      <c r="CF44" s="40"/>
      <c r="CG44" s="40"/>
      <c r="CH44" s="40"/>
      <c r="CI44" s="40"/>
      <c r="CJ44" s="40"/>
      <c r="CK44" s="40"/>
      <c r="CL44" s="40"/>
    </row>
    <row r="45" spans="1:90" x14ac:dyDescent="0.25">
      <c r="A45" s="17" t="s">
        <v>31</v>
      </c>
      <c r="B45" s="190">
        <v>0</v>
      </c>
      <c r="C45" s="190">
        <v>0</v>
      </c>
      <c r="D45" s="190">
        <v>0</v>
      </c>
      <c r="E45" s="190">
        <v>0</v>
      </c>
      <c r="F45" s="190">
        <v>0</v>
      </c>
      <c r="G45" s="190">
        <v>0</v>
      </c>
      <c r="H45" s="190">
        <v>0</v>
      </c>
      <c r="I45" s="190">
        <v>0</v>
      </c>
      <c r="J45" s="190">
        <v>0</v>
      </c>
      <c r="K45" s="190">
        <v>0</v>
      </c>
      <c r="L45" s="190">
        <v>2123367.7999999998</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c r="AK45" s="190"/>
      <c r="AL45" s="190"/>
      <c r="AM45" s="190"/>
      <c r="AN45" s="190"/>
      <c r="AO45" s="190"/>
      <c r="AP45" s="190"/>
      <c r="AQ45" s="190"/>
      <c r="AR45" s="190"/>
      <c r="AS45" s="190"/>
      <c r="AT45" s="190"/>
      <c r="AU45" s="190"/>
      <c r="AV45" s="190"/>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40"/>
      <c r="CA45" s="40"/>
      <c r="CB45" s="40"/>
      <c r="CC45" s="40"/>
      <c r="CD45" s="40"/>
      <c r="CE45" s="40"/>
      <c r="CF45" s="40"/>
      <c r="CG45" s="40"/>
      <c r="CH45" s="40"/>
      <c r="CI45" s="40"/>
      <c r="CJ45" s="40"/>
      <c r="CK45" s="40"/>
      <c r="CL45" s="4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89" s="10" customFormat="1" x14ac:dyDescent="0.25">
      <c r="A49" s="124" t="s">
        <v>32</v>
      </c>
      <c r="B49" s="35">
        <f>SUM(B35:B41)+SUM(B43:B45)</f>
        <v>277122935.08000004</v>
      </c>
      <c r="C49" s="35">
        <f>SUM(C35:C41)+SUM(C43:C45)</f>
        <v>433597287.89999998</v>
      </c>
      <c r="D49" s="35">
        <f>SUM(D35:D41)+SUM(D43:D45)</f>
        <v>402054049.21999997</v>
      </c>
      <c r="E49" s="35">
        <f>SUM(E35:E45)</f>
        <v>449484038.91999996</v>
      </c>
      <c r="F49" s="35">
        <f t="shared" ref="F49:BQ49" si="4">SUM(F35:F45)</f>
        <v>485741651.63000005</v>
      </c>
      <c r="G49" s="35">
        <f t="shared" si="4"/>
        <v>501521435.16000003</v>
      </c>
      <c r="H49" s="35">
        <f t="shared" si="4"/>
        <v>438528947.48000008</v>
      </c>
      <c r="I49" s="35">
        <f t="shared" si="4"/>
        <v>404035042.78999996</v>
      </c>
      <c r="J49" s="35">
        <f t="shared" si="4"/>
        <v>422423063.87</v>
      </c>
      <c r="K49" s="35">
        <f t="shared" si="4"/>
        <v>424988326.72000003</v>
      </c>
      <c r="L49" s="35">
        <f t="shared" si="4"/>
        <v>444108391.65000004</v>
      </c>
      <c r="M49" s="35">
        <f t="shared" si="4"/>
        <v>418514311.46999997</v>
      </c>
      <c r="N49" s="35">
        <f t="shared" si="4"/>
        <v>378000012.36000007</v>
      </c>
      <c r="O49" s="35">
        <f t="shared" si="4"/>
        <v>294589607.61000001</v>
      </c>
      <c r="P49" s="35">
        <f t="shared" si="4"/>
        <v>194315275.94</v>
      </c>
      <c r="Q49" s="35">
        <f t="shared" si="4"/>
        <v>184414377.68000004</v>
      </c>
      <c r="R49" s="35">
        <f t="shared" si="4"/>
        <v>196104048.43999997</v>
      </c>
      <c r="S49" s="35">
        <f t="shared" si="4"/>
        <v>156324599.58999997</v>
      </c>
      <c r="T49" s="35">
        <f t="shared" si="4"/>
        <v>166339086.16000003</v>
      </c>
      <c r="U49" s="35">
        <f t="shared" si="4"/>
        <v>171174395.81000003</v>
      </c>
      <c r="V49" s="35">
        <f t="shared" si="4"/>
        <v>152879682.98000002</v>
      </c>
      <c r="W49" s="35">
        <f t="shared" si="4"/>
        <v>144568570.21000001</v>
      </c>
      <c r="X49" s="35">
        <f t="shared" si="4"/>
        <v>160092161.97999999</v>
      </c>
      <c r="Y49" s="35">
        <f t="shared" si="4"/>
        <v>153659172.82999998</v>
      </c>
      <c r="Z49" s="35">
        <f t="shared" si="4"/>
        <v>102109314.45999999</v>
      </c>
      <c r="AA49" s="35">
        <f t="shared" si="4"/>
        <v>102735942.43000001</v>
      </c>
      <c r="AB49" s="35">
        <f t="shared" si="4"/>
        <v>110064059.42999999</v>
      </c>
      <c r="AC49" s="35">
        <f t="shared" si="4"/>
        <v>110089770.75</v>
      </c>
      <c r="AD49" s="35">
        <f t="shared" si="4"/>
        <v>136307653.15000001</v>
      </c>
      <c r="AE49" s="35">
        <f t="shared" si="4"/>
        <v>141058402.78999999</v>
      </c>
      <c r="AF49" s="35">
        <f t="shared" si="4"/>
        <v>134601072.71000001</v>
      </c>
      <c r="AG49" s="35">
        <f t="shared" si="4"/>
        <v>72523062.280000001</v>
      </c>
      <c r="AH49" s="35">
        <f t="shared" si="4"/>
        <v>59967210.679999992</v>
      </c>
      <c r="AI49" s="35">
        <f t="shared" si="4"/>
        <v>0</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89" s="15" customFormat="1" x14ac:dyDescent="0.25">
      <c r="A50" s="126" t="s">
        <v>81</v>
      </c>
      <c r="B50" s="36">
        <f>B33-B49</f>
        <v>1213302935.3699999</v>
      </c>
      <c r="C50" s="36">
        <f t="shared" ref="C50:BN50" si="6">C33-C49</f>
        <v>1075173749.1700001</v>
      </c>
      <c r="D50" s="36">
        <f t="shared" si="6"/>
        <v>750772800.68999982</v>
      </c>
      <c r="E50" s="36">
        <f t="shared" si="6"/>
        <v>1016237237.1300002</v>
      </c>
      <c r="F50" s="36">
        <f t="shared" si="6"/>
        <v>930917699.83999991</v>
      </c>
      <c r="G50" s="36">
        <f t="shared" si="6"/>
        <v>867283047.8599999</v>
      </c>
      <c r="H50" s="36">
        <f t="shared" si="6"/>
        <v>847732425.17000008</v>
      </c>
      <c r="I50" s="36">
        <f t="shared" si="6"/>
        <v>1035090214.8399999</v>
      </c>
      <c r="J50" s="36">
        <f t="shared" si="6"/>
        <v>980009357.85000002</v>
      </c>
      <c r="K50" s="36">
        <f t="shared" si="6"/>
        <v>996294863.14999986</v>
      </c>
      <c r="L50" s="36">
        <f t="shared" si="6"/>
        <v>770992443.69000006</v>
      </c>
      <c r="M50" s="36">
        <f t="shared" si="6"/>
        <v>718900126.37999988</v>
      </c>
      <c r="N50" s="36">
        <f t="shared" si="6"/>
        <v>690374205.51999998</v>
      </c>
      <c r="O50" s="36">
        <f t="shared" si="6"/>
        <v>728918041.4799999</v>
      </c>
      <c r="P50" s="36">
        <f t="shared" si="6"/>
        <v>232125661.74000001</v>
      </c>
      <c r="Q50" s="36">
        <f t="shared" si="6"/>
        <v>309220989.75999999</v>
      </c>
      <c r="R50" s="36">
        <f t="shared" si="6"/>
        <v>294581644.54000008</v>
      </c>
      <c r="S50" s="36">
        <f t="shared" si="6"/>
        <v>306683458.70999998</v>
      </c>
      <c r="T50" s="36">
        <f t="shared" si="6"/>
        <v>296243310.56</v>
      </c>
      <c r="U50" s="36">
        <f t="shared" si="6"/>
        <v>272028063.8499999</v>
      </c>
      <c r="V50" s="36">
        <f t="shared" si="6"/>
        <v>281445759.76999998</v>
      </c>
      <c r="W50" s="36">
        <f t="shared" si="6"/>
        <v>295907744.71000004</v>
      </c>
      <c r="X50" s="36">
        <f t="shared" si="6"/>
        <v>278806645.78999996</v>
      </c>
      <c r="Y50" s="36">
        <f t="shared" si="6"/>
        <v>255649010.45999998</v>
      </c>
      <c r="Z50" s="36">
        <f t="shared" si="6"/>
        <v>256356149.47000003</v>
      </c>
      <c r="AA50" s="36">
        <f t="shared" si="6"/>
        <v>290254282.63999999</v>
      </c>
      <c r="AB50" s="36">
        <f t="shared" si="6"/>
        <v>253985209.07999998</v>
      </c>
      <c r="AC50" s="36">
        <f t="shared" si="6"/>
        <v>204051704.15000004</v>
      </c>
      <c r="AD50" s="36">
        <f t="shared" si="6"/>
        <v>141930807.67999998</v>
      </c>
      <c r="AE50" s="36">
        <f t="shared" si="6"/>
        <v>170747670.38000003</v>
      </c>
      <c r="AF50" s="36">
        <f t="shared" si="6"/>
        <v>162702244.26000002</v>
      </c>
      <c r="AG50" s="36">
        <f t="shared" si="6"/>
        <v>196144531.33000001</v>
      </c>
      <c r="AH50" s="36">
        <f t="shared" si="6"/>
        <v>197195328.69</v>
      </c>
      <c r="AI50" s="36">
        <f t="shared" si="6"/>
        <v>0</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89" s="193" customFormat="1" x14ac:dyDescent="0.25">
      <c r="A51" s="193" t="s">
        <v>33</v>
      </c>
    </row>
    <row r="52" spans="1:89" s="193" customFormat="1" x14ac:dyDescent="0.25">
      <c r="A52" s="193" t="s">
        <v>34</v>
      </c>
      <c r="B52" s="190">
        <v>1386880640.49</v>
      </c>
      <c r="C52" s="190">
        <v>1342375708.76</v>
      </c>
      <c r="D52" s="190">
        <v>1358276837.48</v>
      </c>
      <c r="E52" s="190">
        <v>1407808329.28</v>
      </c>
      <c r="F52" s="190">
        <v>1327994325.1099999</v>
      </c>
      <c r="G52" s="190">
        <v>1090765616.02</v>
      </c>
      <c r="H52" s="190">
        <v>1096346620.8399999</v>
      </c>
      <c r="I52" s="190">
        <v>1147109480.9400001</v>
      </c>
      <c r="J52" s="190">
        <v>1028537189.73</v>
      </c>
      <c r="K52" s="190">
        <v>1032903264.25</v>
      </c>
      <c r="L52" s="190">
        <v>999829416.71000004</v>
      </c>
      <c r="M52" s="190">
        <v>971427872.14999998</v>
      </c>
      <c r="N52" s="190">
        <v>765150815.38999999</v>
      </c>
      <c r="O52" s="190">
        <v>605585717.96000004</v>
      </c>
      <c r="P52" s="190">
        <v>611232503.77999997</v>
      </c>
      <c r="Q52" s="190">
        <v>626050201.67999995</v>
      </c>
      <c r="R52" s="190">
        <v>492930704.68000001</v>
      </c>
      <c r="S52" s="190">
        <v>495337929.56999999</v>
      </c>
      <c r="T52" s="190">
        <v>505294519.75999999</v>
      </c>
      <c r="U52" s="190">
        <v>518069504.48000002</v>
      </c>
      <c r="V52" s="190">
        <v>498491588.25</v>
      </c>
      <c r="W52" s="190">
        <v>462358764.74000001</v>
      </c>
      <c r="X52" s="190">
        <v>361594285.97000003</v>
      </c>
      <c r="Y52" s="190">
        <v>368967236.35000002</v>
      </c>
      <c r="Z52" s="190">
        <v>371912158.13999999</v>
      </c>
      <c r="AA52" s="190">
        <v>286541051.58999997</v>
      </c>
      <c r="AB52" s="190">
        <v>286771606.66000003</v>
      </c>
      <c r="AC52" s="190">
        <v>289698829.98000002</v>
      </c>
      <c r="AD52" s="190">
        <v>267423996.31999999</v>
      </c>
      <c r="AE52" s="190">
        <v>262304981.87</v>
      </c>
      <c r="AF52" s="190">
        <v>262306611.97999999</v>
      </c>
      <c r="AG52" s="190">
        <v>150708089.31999999</v>
      </c>
      <c r="AH52" s="190">
        <v>146235755.78999999</v>
      </c>
      <c r="AI52" s="190">
        <v>0</v>
      </c>
    </row>
    <row r="53" spans="1:89" s="193" customFormat="1" x14ac:dyDescent="0.25">
      <c r="A53" s="193" t="s">
        <v>35</v>
      </c>
      <c r="B53" s="190">
        <v>162696744.75999999</v>
      </c>
      <c r="C53" s="190">
        <v>180966472.41</v>
      </c>
      <c r="D53" s="190">
        <v>134231764.31999999</v>
      </c>
      <c r="E53" s="190">
        <v>113091733.05</v>
      </c>
      <c r="F53" s="190">
        <v>169915391.47</v>
      </c>
      <c r="G53" s="190">
        <v>390738533.88</v>
      </c>
      <c r="H53" s="190">
        <v>333097545.00999999</v>
      </c>
      <c r="I53" s="190">
        <v>279409961.33999997</v>
      </c>
      <c r="J53" s="190">
        <v>204331825.59</v>
      </c>
      <c r="K53" s="190">
        <v>102336399.09999999</v>
      </c>
      <c r="L53" s="190">
        <v>73660922.420000002</v>
      </c>
      <c r="M53" s="190">
        <v>48434821.799999997</v>
      </c>
      <c r="N53" s="190">
        <v>178745125.09</v>
      </c>
      <c r="O53" s="190">
        <v>287680029.07999998</v>
      </c>
      <c r="P53" s="190">
        <v>188489303.34</v>
      </c>
      <c r="Q53" s="190">
        <v>127767775.13</v>
      </c>
      <c r="R53" s="190">
        <v>231456132.97999999</v>
      </c>
      <c r="S53" s="190">
        <v>220190018.83000001</v>
      </c>
      <c r="T53" s="190">
        <v>193467042.68000001</v>
      </c>
      <c r="U53" s="190">
        <v>169380379.22</v>
      </c>
      <c r="V53" s="190">
        <v>153432736.44999999</v>
      </c>
      <c r="W53" s="190">
        <v>161499658.41</v>
      </c>
      <c r="X53" s="190">
        <v>253325619.31</v>
      </c>
      <c r="Y53" s="190">
        <v>210487489.62</v>
      </c>
      <c r="Z53" s="190">
        <v>113785816.63</v>
      </c>
      <c r="AA53" s="190">
        <v>132100748.42</v>
      </c>
      <c r="AB53" s="190">
        <v>94106720.329999998</v>
      </c>
      <c r="AC53" s="190">
        <v>79082365.659999996</v>
      </c>
      <c r="AD53" s="190">
        <v>82365259.859999999</v>
      </c>
      <c r="AE53" s="190">
        <v>75953231.200000003</v>
      </c>
      <c r="AF53" s="190">
        <v>36679712.399999999</v>
      </c>
      <c r="AG53" s="190">
        <v>23729794.98</v>
      </c>
      <c r="AH53" s="190">
        <v>5634372.7300000004</v>
      </c>
      <c r="AI53" s="190">
        <v>0</v>
      </c>
    </row>
    <row r="54" spans="1:89"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row>
    <row r="55" spans="1:89"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row>
    <row r="56" spans="1:89"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row>
    <row r="57" spans="1:89"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row>
    <row r="58" spans="1:89" s="193" customFormat="1" x14ac:dyDescent="0.25">
      <c r="A58" s="193" t="s">
        <v>40</v>
      </c>
      <c r="B58" s="190">
        <v>162503693.96000001</v>
      </c>
      <c r="C58" s="190">
        <v>162378448.84</v>
      </c>
      <c r="D58" s="190">
        <v>162991156.59</v>
      </c>
      <c r="E58" s="190">
        <v>165162064.53</v>
      </c>
      <c r="F58" s="190">
        <v>168385646.59</v>
      </c>
      <c r="G58" s="190">
        <v>171513331.06999999</v>
      </c>
      <c r="H58" s="190">
        <v>109591307.73999999</v>
      </c>
      <c r="I58" s="190">
        <v>111793887.12</v>
      </c>
      <c r="J58" s="190">
        <v>94067777.439999998</v>
      </c>
      <c r="K58" s="190">
        <v>95582655.099999994</v>
      </c>
      <c r="L58" s="190">
        <v>95745261.209999993</v>
      </c>
      <c r="M58" s="190">
        <v>91038152.359999999</v>
      </c>
      <c r="N58" s="190">
        <v>68400431.640000001</v>
      </c>
      <c r="O58" s="190">
        <v>69035022.489999995</v>
      </c>
      <c r="P58" s="190">
        <v>69762489.5</v>
      </c>
      <c r="Q58" s="190">
        <v>70515173.469999999</v>
      </c>
      <c r="R58" s="190">
        <v>71258656.549999997</v>
      </c>
      <c r="S58" s="190">
        <v>72043936.469999999</v>
      </c>
      <c r="T58" s="190">
        <v>71935028.560000002</v>
      </c>
      <c r="U58" s="190">
        <v>72591405.75</v>
      </c>
      <c r="V58" s="190">
        <v>73342903.370000005</v>
      </c>
      <c r="W58" s="190">
        <v>69982986.569999993</v>
      </c>
      <c r="X58" s="190">
        <v>55853402.700000003</v>
      </c>
      <c r="Y58" s="190">
        <v>56236552.57</v>
      </c>
      <c r="Z58" s="190">
        <v>56140966</v>
      </c>
      <c r="AA58" s="190">
        <v>30553867.210000001</v>
      </c>
      <c r="AB58" s="190">
        <v>30784611.100000001</v>
      </c>
      <c r="AC58" s="190">
        <v>30883998.02</v>
      </c>
      <c r="AD58" s="190">
        <v>31327306.539999999</v>
      </c>
      <c r="AE58" s="190">
        <v>31520155.059999999</v>
      </c>
      <c r="AF58" s="190">
        <v>31275028.030000001</v>
      </c>
      <c r="AG58" s="190">
        <v>17688197.780000001</v>
      </c>
      <c r="AH58" s="190">
        <v>17250697.210000001</v>
      </c>
      <c r="AI58" s="190">
        <v>0</v>
      </c>
    </row>
    <row r="59" spans="1:89" s="193" customFormat="1" x14ac:dyDescent="0.25">
      <c r="A59" s="193" t="s">
        <v>41</v>
      </c>
      <c r="B59" s="190">
        <v>0</v>
      </c>
      <c r="C59" s="190">
        <v>0</v>
      </c>
      <c r="D59" s="190">
        <v>0</v>
      </c>
      <c r="E59" s="190">
        <v>0</v>
      </c>
      <c r="F59" s="190">
        <v>0</v>
      </c>
      <c r="G59" s="190">
        <v>0</v>
      </c>
      <c r="H59" s="190">
        <v>0</v>
      </c>
      <c r="I59" s="190">
        <v>0</v>
      </c>
      <c r="J59" s="190">
        <v>0</v>
      </c>
      <c r="K59" s="190">
        <v>0</v>
      </c>
      <c r="L59" s="190">
        <v>409921.75</v>
      </c>
      <c r="M59" s="190">
        <v>447143.41</v>
      </c>
      <c r="N59" s="190">
        <v>995781.95</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row>
    <row r="60" spans="1:89" s="193" customFormat="1" x14ac:dyDescent="0.25">
      <c r="A60" s="193" t="s">
        <v>42</v>
      </c>
      <c r="B60" s="190">
        <v>730261957.53999996</v>
      </c>
      <c r="C60" s="190">
        <v>704026030.13999999</v>
      </c>
      <c r="D60" s="190">
        <v>669217863.13</v>
      </c>
      <c r="E60" s="190">
        <v>695294849.13</v>
      </c>
      <c r="F60" s="190">
        <v>705286965.25999999</v>
      </c>
      <c r="G60" s="190">
        <v>720746665.62</v>
      </c>
      <c r="H60" s="190">
        <v>732879192.63</v>
      </c>
      <c r="I60" s="190">
        <v>737975913.58000004</v>
      </c>
      <c r="J60" s="190">
        <v>802931740.98000002</v>
      </c>
      <c r="K60" s="190">
        <v>803665866.40999997</v>
      </c>
      <c r="L60" s="190">
        <v>726580468.24000001</v>
      </c>
      <c r="M60" s="190">
        <v>2924910.33</v>
      </c>
      <c r="N60" s="190">
        <v>2924910.33</v>
      </c>
      <c r="O60" s="190">
        <v>2924910.33</v>
      </c>
      <c r="P60" s="190">
        <v>2924910.33</v>
      </c>
      <c r="Q60" s="190">
        <v>2924910.33</v>
      </c>
      <c r="R60" s="190">
        <v>2924910.33</v>
      </c>
      <c r="S60" s="190">
        <v>2924910.33</v>
      </c>
      <c r="T60" s="190">
        <v>2924910.33</v>
      </c>
      <c r="U60" s="190">
        <v>2924910.33</v>
      </c>
      <c r="V60" s="190">
        <v>2924910.33</v>
      </c>
      <c r="W60" s="190">
        <v>2924910.33</v>
      </c>
      <c r="X60" s="190">
        <v>2924910.33</v>
      </c>
      <c r="Y60" s="190">
        <v>2924910.33</v>
      </c>
      <c r="Z60" s="190">
        <v>2924910.33</v>
      </c>
      <c r="AA60" s="190">
        <v>2924910.33</v>
      </c>
      <c r="AB60" s="190">
        <v>2924910.33</v>
      </c>
      <c r="AC60" s="190">
        <v>2924910.33</v>
      </c>
      <c r="AD60" s="190">
        <v>2924910.33</v>
      </c>
      <c r="AE60" s="190">
        <v>2924910.33</v>
      </c>
      <c r="AF60" s="190">
        <v>2924910.33</v>
      </c>
      <c r="AG60" s="190">
        <v>0</v>
      </c>
      <c r="AH60" s="190">
        <v>0</v>
      </c>
      <c r="AI60" s="190">
        <v>0</v>
      </c>
    </row>
    <row r="61" spans="1:89" s="193" customFormat="1" x14ac:dyDescent="0.25">
      <c r="A61" s="193" t="s">
        <v>43</v>
      </c>
      <c r="B61" s="190">
        <v>8050031.1699999999</v>
      </c>
      <c r="C61" s="190">
        <v>8497675.0600000005</v>
      </c>
      <c r="D61" s="190">
        <v>8014804.5599999996</v>
      </c>
      <c r="E61" s="190">
        <v>8245160.0999999996</v>
      </c>
      <c r="F61" s="190">
        <v>8651767.6300000008</v>
      </c>
      <c r="G61" s="190">
        <v>9058375.1500000004</v>
      </c>
      <c r="H61" s="190">
        <v>9464982.6699999999</v>
      </c>
      <c r="I61" s="190">
        <v>8673391.9900000002</v>
      </c>
      <c r="J61" s="190">
        <v>8071096.2000000002</v>
      </c>
      <c r="K61" s="190">
        <v>8377229.4000000004</v>
      </c>
      <c r="L61" s="190">
        <v>8583029.2699999996</v>
      </c>
      <c r="M61" s="190">
        <v>9202457.9900000002</v>
      </c>
      <c r="N61" s="190">
        <v>6822996.5199999996</v>
      </c>
      <c r="O61" s="190">
        <v>7323084.8899999997</v>
      </c>
      <c r="P61" s="190">
        <v>7966314.2400000002</v>
      </c>
      <c r="Q61" s="190">
        <v>8653543.5899999999</v>
      </c>
      <c r="R61" s="190">
        <v>2902453.48</v>
      </c>
      <c r="S61" s="190">
        <v>516232.29</v>
      </c>
      <c r="T61" s="190">
        <v>503394.42</v>
      </c>
      <c r="U61" s="190">
        <v>556011.09</v>
      </c>
      <c r="V61" s="190">
        <v>390000</v>
      </c>
      <c r="W61" s="190">
        <v>420000</v>
      </c>
      <c r="X61" s="190">
        <v>450000</v>
      </c>
      <c r="Y61" s="190">
        <v>480000</v>
      </c>
      <c r="Z61" s="190">
        <v>510660</v>
      </c>
      <c r="AA61" s="190">
        <v>540000</v>
      </c>
      <c r="AB61" s="190">
        <v>0</v>
      </c>
      <c r="AC61" s="190">
        <v>0</v>
      </c>
      <c r="AD61" s="190">
        <v>0</v>
      </c>
      <c r="AE61" s="190">
        <v>0</v>
      </c>
      <c r="AF61" s="190">
        <v>5168.66</v>
      </c>
      <c r="AG61" s="190">
        <v>20675.419999999998</v>
      </c>
      <c r="AH61" s="190">
        <v>36182.18</v>
      </c>
      <c r="AI61" s="190">
        <v>0</v>
      </c>
    </row>
    <row r="62" spans="1:89" s="193" customFormat="1" x14ac:dyDescent="0.25">
      <c r="A62" s="193" t="s">
        <v>44</v>
      </c>
      <c r="B62" s="190">
        <v>38307971.640000001</v>
      </c>
      <c r="C62" s="190">
        <v>38414270.829999998</v>
      </c>
      <c r="D62" s="190">
        <v>28257639.469999999</v>
      </c>
      <c r="E62" s="190">
        <v>28037801.629999999</v>
      </c>
      <c r="F62" s="190">
        <v>32173124.289999999</v>
      </c>
      <c r="G62" s="190">
        <v>31366998.219999999</v>
      </c>
      <c r="H62" s="190">
        <v>25533525.23</v>
      </c>
      <c r="I62" s="190">
        <v>24413957.199999999</v>
      </c>
      <c r="J62" s="190">
        <v>26745370.379999999</v>
      </c>
      <c r="K62" s="190">
        <v>27100437.719999999</v>
      </c>
      <c r="L62" s="190">
        <v>18620868.879999999</v>
      </c>
      <c r="M62" s="190">
        <v>17811897.559999999</v>
      </c>
      <c r="N62" s="190">
        <v>20198829.399999999</v>
      </c>
      <c r="O62" s="190">
        <v>20406023.93</v>
      </c>
      <c r="P62" s="190">
        <v>10097838.279999999</v>
      </c>
      <c r="Q62" s="190">
        <v>9061522.2599999998</v>
      </c>
      <c r="R62" s="190">
        <v>7484148.6900000004</v>
      </c>
      <c r="S62" s="190">
        <v>7284428.8499999996</v>
      </c>
      <c r="T62" s="190">
        <v>6859802.29</v>
      </c>
      <c r="U62" s="190">
        <v>6857699</v>
      </c>
      <c r="V62" s="190">
        <v>6396743.4100000001</v>
      </c>
      <c r="W62" s="190">
        <v>6334087.0999999996</v>
      </c>
      <c r="X62" s="190">
        <v>6458028.4000000004</v>
      </c>
      <c r="Y62" s="190">
        <v>6617114.5700000003</v>
      </c>
      <c r="Z62" s="190">
        <v>5636416.8300000001</v>
      </c>
      <c r="AA62" s="190">
        <v>5627683.4699999997</v>
      </c>
      <c r="AB62" s="190">
        <v>7381636.0599999996</v>
      </c>
      <c r="AC62" s="190">
        <v>7661810.2400000002</v>
      </c>
      <c r="AD62" s="190">
        <v>6784044.75</v>
      </c>
      <c r="AE62" s="190">
        <v>6514700.7599999998</v>
      </c>
      <c r="AF62" s="190">
        <v>3170786.84</v>
      </c>
      <c r="AG62" s="190">
        <v>3335824.8</v>
      </c>
      <c r="AH62" s="190">
        <v>1877635.82</v>
      </c>
      <c r="AI62" s="190">
        <v>0</v>
      </c>
    </row>
    <row r="63" spans="1:89" s="193" customFormat="1" x14ac:dyDescent="0.25">
      <c r="A63" s="193" t="s">
        <v>45</v>
      </c>
      <c r="B63" s="190">
        <v>17087625.390000001</v>
      </c>
      <c r="C63" s="190">
        <v>17144366.41</v>
      </c>
      <c r="D63" s="190">
        <v>16926068.27</v>
      </c>
      <c r="E63" s="190">
        <v>18138372.920000002</v>
      </c>
      <c r="F63" s="190">
        <v>19811568.440000001</v>
      </c>
      <c r="G63" s="190">
        <v>20705994.91</v>
      </c>
      <c r="H63" s="190">
        <v>21661369.27</v>
      </c>
      <c r="I63" s="190">
        <v>22446413.469999999</v>
      </c>
      <c r="J63" s="190">
        <v>1982752.91</v>
      </c>
      <c r="K63" s="190">
        <v>2507088.25</v>
      </c>
      <c r="L63" s="190">
        <v>2605456.25</v>
      </c>
      <c r="M63" s="190">
        <v>987697.31</v>
      </c>
      <c r="N63" s="190">
        <v>555295.68000000005</v>
      </c>
      <c r="O63" s="190">
        <v>555295.68000000005</v>
      </c>
      <c r="P63" s="190">
        <v>1062471.71</v>
      </c>
      <c r="Q63" s="190">
        <v>1062471.71</v>
      </c>
      <c r="R63" s="190">
        <v>1281830.31</v>
      </c>
      <c r="S63" s="190">
        <v>1281830.31</v>
      </c>
      <c r="T63" s="190">
        <v>1492263.93</v>
      </c>
      <c r="U63" s="190">
        <v>1492263.93</v>
      </c>
      <c r="V63" s="190">
        <v>1641365.65</v>
      </c>
      <c r="W63" s="190">
        <v>1641365.65</v>
      </c>
      <c r="X63" s="190">
        <v>1685617.5</v>
      </c>
      <c r="Y63" s="190">
        <v>1685617.5</v>
      </c>
      <c r="Z63" s="190">
        <v>1677883.74</v>
      </c>
      <c r="AA63" s="190">
        <v>1677883.74</v>
      </c>
      <c r="AB63" s="190">
        <v>1661436.87</v>
      </c>
      <c r="AC63" s="190">
        <v>1661436.87</v>
      </c>
      <c r="AD63" s="190">
        <v>1784279.98</v>
      </c>
      <c r="AE63" s="190">
        <v>1784279.98</v>
      </c>
      <c r="AF63" s="190">
        <v>1826832.48</v>
      </c>
      <c r="AG63" s="190">
        <v>0</v>
      </c>
      <c r="AH63" s="190">
        <v>0</v>
      </c>
      <c r="AI63" s="190">
        <v>0</v>
      </c>
    </row>
    <row r="64" spans="1:89" s="193" customFormat="1" x14ac:dyDescent="0.25">
      <c r="A64" s="193" t="s">
        <v>46</v>
      </c>
      <c r="B64" s="190">
        <v>38552141.280000001</v>
      </c>
      <c r="C64" s="190">
        <v>34097842.149999999</v>
      </c>
      <c r="D64" s="190">
        <v>33887055.579999998</v>
      </c>
      <c r="E64" s="190">
        <v>21979229.539999999</v>
      </c>
      <c r="F64" s="190">
        <v>21731047.059999999</v>
      </c>
      <c r="G64" s="190">
        <v>22660234.050000001</v>
      </c>
      <c r="H64" s="190">
        <v>63046315.130000003</v>
      </c>
      <c r="I64" s="190">
        <v>31268924.77</v>
      </c>
      <c r="J64" s="190">
        <v>38720182.329999998</v>
      </c>
      <c r="K64" s="190">
        <v>18941406.050000001</v>
      </c>
      <c r="L64" s="190">
        <v>14697602.710000001</v>
      </c>
      <c r="M64" s="190">
        <v>16756097.619999999</v>
      </c>
      <c r="N64" s="190">
        <v>46334351.979999997</v>
      </c>
      <c r="O64" s="190">
        <v>37812519.68</v>
      </c>
      <c r="P64" s="190">
        <v>44119372.049999997</v>
      </c>
      <c r="Q64" s="190">
        <v>15603863.970000001</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6" t="s">
        <v>47</v>
      </c>
      <c r="B68" s="36">
        <f>SUM(B52:B64)-2*B63</f>
        <v>2510165555.4499998</v>
      </c>
      <c r="C68" s="36">
        <f t="shared" ref="C68:BN68" si="8">SUM(C52:C64)-2*C63</f>
        <v>2453612081.7799997</v>
      </c>
      <c r="D68" s="36">
        <f t="shared" si="8"/>
        <v>2377951052.8599997</v>
      </c>
      <c r="E68" s="36">
        <f t="shared" si="8"/>
        <v>2421480794.3399997</v>
      </c>
      <c r="F68" s="36">
        <f t="shared" si="8"/>
        <v>2414326698.9699998</v>
      </c>
      <c r="G68" s="36">
        <f t="shared" si="8"/>
        <v>2416143759.0999999</v>
      </c>
      <c r="H68" s="36">
        <f t="shared" si="8"/>
        <v>2348298119.98</v>
      </c>
      <c r="I68" s="36">
        <f t="shared" si="8"/>
        <v>2318199103.4699993</v>
      </c>
      <c r="J68" s="36">
        <f t="shared" si="8"/>
        <v>2201422429.7399998</v>
      </c>
      <c r="K68" s="36">
        <f t="shared" si="8"/>
        <v>2086400169.7799997</v>
      </c>
      <c r="L68" s="36">
        <f t="shared" si="8"/>
        <v>1935522034.9400001</v>
      </c>
      <c r="M68" s="36">
        <f t="shared" si="8"/>
        <v>1157055655.9099998</v>
      </c>
      <c r="N68" s="36">
        <f t="shared" si="8"/>
        <v>1089017946.6200001</v>
      </c>
      <c r="O68" s="36">
        <f t="shared" si="8"/>
        <v>1030212012.6799998</v>
      </c>
      <c r="P68" s="36">
        <f t="shared" si="8"/>
        <v>933530259.81000006</v>
      </c>
      <c r="Q68" s="36">
        <f t="shared" si="8"/>
        <v>859514518.72000015</v>
      </c>
      <c r="R68" s="36">
        <f t="shared" si="8"/>
        <v>807675176.39999998</v>
      </c>
      <c r="S68" s="36">
        <f t="shared" si="8"/>
        <v>797015626.02999997</v>
      </c>
      <c r="T68" s="36">
        <f t="shared" si="8"/>
        <v>779492434.1099999</v>
      </c>
      <c r="U68" s="36">
        <f t="shared" si="8"/>
        <v>768887645.94000006</v>
      </c>
      <c r="V68" s="36">
        <f t="shared" si="8"/>
        <v>733337516.16000009</v>
      </c>
      <c r="W68" s="36">
        <f t="shared" si="8"/>
        <v>701879041.50000012</v>
      </c>
      <c r="X68" s="36">
        <f t="shared" si="8"/>
        <v>678920629.21000004</v>
      </c>
      <c r="Y68" s="36">
        <f t="shared" si="8"/>
        <v>644027685.94000018</v>
      </c>
      <c r="Z68" s="36">
        <f t="shared" si="8"/>
        <v>549233044.19000006</v>
      </c>
      <c r="AA68" s="36">
        <f t="shared" si="8"/>
        <v>456610377.27999997</v>
      </c>
      <c r="AB68" s="36">
        <f t="shared" si="8"/>
        <v>420308047.61000001</v>
      </c>
      <c r="AC68" s="36">
        <f t="shared" si="8"/>
        <v>408590477.35999995</v>
      </c>
      <c r="AD68" s="36">
        <f t="shared" si="8"/>
        <v>389041237.82000005</v>
      </c>
      <c r="AE68" s="36">
        <f t="shared" si="8"/>
        <v>377433699.24000001</v>
      </c>
      <c r="AF68" s="36">
        <f t="shared" si="8"/>
        <v>334535385.75999999</v>
      </c>
      <c r="AG68" s="36">
        <f t="shared" si="8"/>
        <v>195482582.29999998</v>
      </c>
      <c r="AH68" s="36">
        <f t="shared" si="8"/>
        <v>171034643.72999999</v>
      </c>
      <c r="AI68" s="36">
        <f t="shared" si="8"/>
        <v>0</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7" t="s">
        <v>48</v>
      </c>
      <c r="B69" s="33">
        <f>B50+B68</f>
        <v>3723468490.8199997</v>
      </c>
      <c r="C69" s="33">
        <f t="shared" ref="C69:BN69" si="10">C50+C68</f>
        <v>3528785830.9499998</v>
      </c>
      <c r="D69" s="33">
        <f t="shared" si="10"/>
        <v>3128723853.5499992</v>
      </c>
      <c r="E69" s="33">
        <f t="shared" si="10"/>
        <v>3437718031.4699998</v>
      </c>
      <c r="F69" s="33">
        <f t="shared" si="10"/>
        <v>3345244398.8099995</v>
      </c>
      <c r="G69" s="33">
        <f t="shared" si="10"/>
        <v>3283426806.96</v>
      </c>
      <c r="H69" s="33">
        <f t="shared" si="10"/>
        <v>3196030545.1500001</v>
      </c>
      <c r="I69" s="33">
        <f t="shared" si="10"/>
        <v>3353289318.3099995</v>
      </c>
      <c r="J69" s="33">
        <f t="shared" si="10"/>
        <v>3181431787.5899997</v>
      </c>
      <c r="K69" s="33">
        <f t="shared" si="10"/>
        <v>3082695032.9299994</v>
      </c>
      <c r="L69" s="33">
        <f t="shared" si="10"/>
        <v>2706514478.6300001</v>
      </c>
      <c r="M69" s="33">
        <f t="shared" si="10"/>
        <v>1875955782.2899997</v>
      </c>
      <c r="N69" s="33">
        <f t="shared" si="10"/>
        <v>1779392152.1400001</v>
      </c>
      <c r="O69" s="33">
        <f t="shared" si="10"/>
        <v>1759130054.1599998</v>
      </c>
      <c r="P69" s="33">
        <f t="shared" si="10"/>
        <v>1165655921.5500002</v>
      </c>
      <c r="Q69" s="33">
        <f t="shared" si="10"/>
        <v>1168735508.48</v>
      </c>
      <c r="R69" s="33">
        <f t="shared" si="10"/>
        <v>1102256820.9400001</v>
      </c>
      <c r="S69" s="33">
        <f t="shared" si="10"/>
        <v>1103699084.74</v>
      </c>
      <c r="T69" s="33">
        <f t="shared" si="10"/>
        <v>1075735744.6699998</v>
      </c>
      <c r="U69" s="33">
        <f t="shared" si="10"/>
        <v>1040915709.79</v>
      </c>
      <c r="V69" s="33">
        <f t="shared" si="10"/>
        <v>1014783275.9300001</v>
      </c>
      <c r="W69" s="33">
        <f t="shared" si="10"/>
        <v>997786786.21000016</v>
      </c>
      <c r="X69" s="33">
        <f t="shared" si="10"/>
        <v>957727275</v>
      </c>
      <c r="Y69" s="33">
        <f t="shared" si="10"/>
        <v>899676696.4000001</v>
      </c>
      <c r="Z69" s="33">
        <f t="shared" si="10"/>
        <v>805589193.66000009</v>
      </c>
      <c r="AA69" s="33">
        <f t="shared" si="10"/>
        <v>746864659.91999996</v>
      </c>
      <c r="AB69" s="33">
        <f t="shared" si="10"/>
        <v>674293256.69000006</v>
      </c>
      <c r="AC69" s="33">
        <f t="shared" si="10"/>
        <v>612642181.50999999</v>
      </c>
      <c r="AD69" s="33">
        <f t="shared" si="10"/>
        <v>530972045.5</v>
      </c>
      <c r="AE69" s="33">
        <f t="shared" si="10"/>
        <v>548181369.62</v>
      </c>
      <c r="AF69" s="33">
        <f t="shared" si="10"/>
        <v>497237630.01999998</v>
      </c>
      <c r="AG69" s="33">
        <f t="shared" si="10"/>
        <v>391627113.63</v>
      </c>
      <c r="AH69" s="33">
        <f t="shared" si="10"/>
        <v>368229972.41999996</v>
      </c>
      <c r="AI69" s="33">
        <f t="shared" si="10"/>
        <v>0</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8" t="s">
        <v>49</v>
      </c>
      <c r="B70" s="37">
        <f>B17+B19+B69</f>
        <v>4653887955.54</v>
      </c>
      <c r="C70" s="37">
        <f t="shared" ref="C70:BN70" si="12">C17+C19+C69</f>
        <v>4310188042.7799997</v>
      </c>
      <c r="D70" s="37">
        <f t="shared" si="12"/>
        <v>4107750861.5699992</v>
      </c>
      <c r="E70" s="37">
        <f t="shared" si="12"/>
        <v>4084413679.5</v>
      </c>
      <c r="F70" s="37">
        <f t="shared" si="12"/>
        <v>4009896652.9899998</v>
      </c>
      <c r="G70" s="37">
        <f t="shared" si="12"/>
        <v>3941876569.8699999</v>
      </c>
      <c r="H70" s="37">
        <f t="shared" si="12"/>
        <v>3967170044.9899998</v>
      </c>
      <c r="I70" s="37">
        <f t="shared" si="12"/>
        <v>3873415740.6099997</v>
      </c>
      <c r="J70" s="37">
        <f t="shared" si="12"/>
        <v>4251413666.8499994</v>
      </c>
      <c r="K70" s="37">
        <f t="shared" si="12"/>
        <v>3499556182.6999993</v>
      </c>
      <c r="L70" s="37">
        <f t="shared" si="12"/>
        <v>3414265635.0200005</v>
      </c>
      <c r="M70" s="37">
        <f t="shared" si="12"/>
        <v>2599306347.4499998</v>
      </c>
      <c r="N70" s="37">
        <f t="shared" si="12"/>
        <v>2487565966.0600004</v>
      </c>
      <c r="O70" s="37">
        <f t="shared" si="12"/>
        <v>2411198959.3899999</v>
      </c>
      <c r="P70" s="37">
        <f t="shared" si="12"/>
        <v>2431896172.1200004</v>
      </c>
      <c r="Q70" s="37">
        <f t="shared" si="12"/>
        <v>1414242083.3</v>
      </c>
      <c r="R70" s="37">
        <f t="shared" si="12"/>
        <v>1388670923.4000001</v>
      </c>
      <c r="S70" s="37">
        <f t="shared" si="12"/>
        <v>1362607189.51</v>
      </c>
      <c r="T70" s="37">
        <f t="shared" si="12"/>
        <v>1395722391.0499997</v>
      </c>
      <c r="U70" s="37">
        <f t="shared" si="12"/>
        <v>1373133984.79</v>
      </c>
      <c r="V70" s="37">
        <f t="shared" si="12"/>
        <v>1331190359.5599999</v>
      </c>
      <c r="W70" s="37">
        <f t="shared" si="12"/>
        <v>1303549075.8900001</v>
      </c>
      <c r="X70" s="37">
        <f t="shared" si="12"/>
        <v>1386636206.3600001</v>
      </c>
      <c r="Y70" s="37">
        <f t="shared" si="12"/>
        <v>1342665469.98</v>
      </c>
      <c r="Z70" s="37">
        <f t="shared" si="12"/>
        <v>1227177657.47</v>
      </c>
      <c r="AA70" s="37">
        <f t="shared" si="12"/>
        <v>1215445817.72</v>
      </c>
      <c r="AB70" s="37">
        <f t="shared" si="12"/>
        <v>1279774583.8600001</v>
      </c>
      <c r="AC70" s="37">
        <f t="shared" si="12"/>
        <v>1468979496.1500001</v>
      </c>
      <c r="AD70" s="37">
        <f t="shared" si="12"/>
        <v>569249741.70000005</v>
      </c>
      <c r="AE70" s="37">
        <f t="shared" si="12"/>
        <v>600976040.61000001</v>
      </c>
      <c r="AF70" s="37">
        <f t="shared" si="12"/>
        <v>555019711.32999992</v>
      </c>
      <c r="AG70" s="37">
        <f t="shared" si="12"/>
        <v>498501654.74000001</v>
      </c>
      <c r="AH70" s="37">
        <f t="shared" si="12"/>
        <v>424181721.58999997</v>
      </c>
      <c r="AI70" s="37">
        <f t="shared" si="12"/>
        <v>0</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1931470.31</v>
      </c>
      <c r="F72" s="28">
        <f t="shared" ref="F72:BQ72" si="14">SUM(F73:F77)</f>
        <v>1948951.34</v>
      </c>
      <c r="G72" s="28">
        <f t="shared" si="14"/>
        <v>1603764.68</v>
      </c>
      <c r="H72" s="28">
        <f t="shared" si="14"/>
        <v>1610046.15</v>
      </c>
      <c r="I72" s="28">
        <f t="shared" si="14"/>
        <v>1785316.59</v>
      </c>
      <c r="J72" s="28">
        <f t="shared" si="14"/>
        <v>101604314.73999999</v>
      </c>
      <c r="K72" s="28">
        <f t="shared" si="14"/>
        <v>222038338.03999999</v>
      </c>
      <c r="L72" s="28">
        <f t="shared" si="14"/>
        <v>158562478.13999999</v>
      </c>
      <c r="M72" s="28">
        <f t="shared" si="14"/>
        <v>0</v>
      </c>
      <c r="N72" s="28">
        <f t="shared" si="14"/>
        <v>0</v>
      </c>
      <c r="O72" s="28">
        <f t="shared" si="14"/>
        <v>0</v>
      </c>
      <c r="P72" s="28">
        <f t="shared" si="14"/>
        <v>6400000</v>
      </c>
      <c r="Q72" s="28">
        <f t="shared" si="14"/>
        <v>12400000</v>
      </c>
      <c r="R72" s="28">
        <f t="shared" si="14"/>
        <v>12000000</v>
      </c>
      <c r="S72" s="28">
        <f t="shared" si="14"/>
        <v>12000000</v>
      </c>
      <c r="T72" s="28">
        <f t="shared" si="14"/>
        <v>24857676</v>
      </c>
      <c r="U72" s="28">
        <f t="shared" si="14"/>
        <v>18437676</v>
      </c>
      <c r="V72" s="28">
        <f t="shared" si="14"/>
        <v>10000000</v>
      </c>
      <c r="W72" s="28">
        <f t="shared" si="14"/>
        <v>11178700</v>
      </c>
      <c r="X72" s="28">
        <f t="shared" si="14"/>
        <v>100551802</v>
      </c>
      <c r="Y72" s="28">
        <f t="shared" si="14"/>
        <v>88374130</v>
      </c>
      <c r="Z72" s="28">
        <f t="shared" si="14"/>
        <v>0</v>
      </c>
      <c r="AA72" s="28">
        <f t="shared" si="14"/>
        <v>0</v>
      </c>
      <c r="AB72" s="28">
        <f t="shared" si="14"/>
        <v>36350000</v>
      </c>
      <c r="AC72" s="28">
        <f t="shared" si="14"/>
        <v>153094962</v>
      </c>
      <c r="AD72" s="28">
        <f t="shared" si="14"/>
        <v>73613130</v>
      </c>
      <c r="AE72" s="28">
        <f t="shared" si="14"/>
        <v>118135472.91</v>
      </c>
      <c r="AF72" s="28">
        <f t="shared" si="14"/>
        <v>137571048</v>
      </c>
      <c r="AG72" s="28">
        <f t="shared" si="14"/>
        <v>70000000</v>
      </c>
      <c r="AH72" s="28">
        <f t="shared" si="14"/>
        <v>180000000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9" t="s">
        <v>52</v>
      </c>
      <c r="B73" s="190">
        <v>0</v>
      </c>
      <c r="C73" s="190">
        <v>0</v>
      </c>
      <c r="D73" s="190">
        <v>0</v>
      </c>
      <c r="E73" s="190">
        <v>0</v>
      </c>
      <c r="F73" s="190">
        <v>0</v>
      </c>
      <c r="G73" s="190">
        <v>0</v>
      </c>
      <c r="H73" s="190">
        <v>0</v>
      </c>
      <c r="I73" s="190">
        <v>0</v>
      </c>
      <c r="J73" s="190">
        <v>100000000</v>
      </c>
      <c r="K73" s="190">
        <v>220000000</v>
      </c>
      <c r="L73" s="190">
        <v>157000000</v>
      </c>
      <c r="M73" s="190">
        <v>0</v>
      </c>
      <c r="N73" s="190">
        <v>0</v>
      </c>
      <c r="O73" s="190">
        <v>0</v>
      </c>
      <c r="P73" s="190">
        <v>6400000</v>
      </c>
      <c r="Q73" s="190">
        <v>12400000</v>
      </c>
      <c r="R73" s="190">
        <v>12000000</v>
      </c>
      <c r="S73" s="190">
        <v>12000000</v>
      </c>
      <c r="T73" s="190">
        <v>24857676</v>
      </c>
      <c r="U73" s="190">
        <v>18437676</v>
      </c>
      <c r="V73" s="190">
        <v>10000000</v>
      </c>
      <c r="W73" s="190">
        <v>11178700</v>
      </c>
      <c r="X73" s="190">
        <v>100551802</v>
      </c>
      <c r="Y73" s="190">
        <v>88374130</v>
      </c>
      <c r="Z73" s="190">
        <v>0</v>
      </c>
      <c r="AA73" s="190">
        <v>0</v>
      </c>
      <c r="AB73" s="190">
        <v>36350000</v>
      </c>
      <c r="AC73" s="190">
        <v>153094962</v>
      </c>
      <c r="AD73" s="190">
        <v>73613130</v>
      </c>
      <c r="AE73" s="190">
        <v>118135472.91</v>
      </c>
      <c r="AF73" s="190">
        <v>137571048</v>
      </c>
      <c r="AG73" s="190">
        <v>70000000</v>
      </c>
      <c r="AH73" s="190">
        <v>180000000</v>
      </c>
      <c r="AI73" s="190">
        <v>0</v>
      </c>
      <c r="AJ73" s="190"/>
      <c r="AK73" s="190"/>
      <c r="AL73" s="190"/>
      <c r="AM73" s="190"/>
      <c r="AN73" s="190"/>
      <c r="AO73" s="190"/>
      <c r="AP73" s="190"/>
      <c r="AQ73" s="190"/>
      <c r="AR73" s="190"/>
      <c r="AS73" s="190"/>
      <c r="AT73" s="190"/>
      <c r="AU73" s="190"/>
      <c r="AV73" s="190"/>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40"/>
      <c r="CA73" s="40"/>
      <c r="CB73" s="40"/>
      <c r="CC73" s="40"/>
      <c r="CD73" s="40"/>
      <c r="CE73" s="40"/>
      <c r="CF73" s="40"/>
      <c r="CG73" s="40"/>
      <c r="CH73" s="40"/>
      <c r="CI73" s="40"/>
      <c r="CJ73" s="40"/>
      <c r="CK73" s="40"/>
      <c r="CL73" s="40"/>
    </row>
    <row r="74" spans="1:90" x14ac:dyDescent="0.25">
      <c r="A74" s="129" t="s">
        <v>77</v>
      </c>
      <c r="B74" s="190">
        <v>0</v>
      </c>
      <c r="C74" s="190">
        <v>0</v>
      </c>
      <c r="D74" s="190">
        <v>0</v>
      </c>
      <c r="E74" s="190">
        <v>0</v>
      </c>
      <c r="F74" s="190">
        <v>0</v>
      </c>
      <c r="G74" s="190">
        <v>0</v>
      </c>
      <c r="H74" s="190">
        <v>0</v>
      </c>
      <c r="I74" s="190">
        <v>0</v>
      </c>
      <c r="J74" s="190">
        <v>0</v>
      </c>
      <c r="K74" s="190">
        <v>0</v>
      </c>
      <c r="L74" s="190">
        <v>0</v>
      </c>
      <c r="M74" s="190">
        <v>0</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c r="AK74" s="190"/>
      <c r="AL74" s="190"/>
      <c r="AM74" s="190"/>
      <c r="AN74" s="190"/>
      <c r="AO74" s="190"/>
      <c r="AP74" s="190"/>
      <c r="AQ74" s="190"/>
      <c r="AR74" s="190"/>
      <c r="AS74" s="190"/>
      <c r="AT74" s="190"/>
      <c r="AU74" s="190"/>
      <c r="AV74" s="190"/>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40"/>
      <c r="CA74" s="40"/>
      <c r="CB74" s="40"/>
      <c r="CC74" s="40"/>
      <c r="CD74" s="40"/>
      <c r="CE74" s="40"/>
      <c r="CF74" s="40"/>
      <c r="CG74" s="40"/>
      <c r="CH74" s="40"/>
      <c r="CI74" s="40"/>
      <c r="CJ74" s="40"/>
      <c r="CK74" s="40"/>
      <c r="CL74" s="40"/>
    </row>
    <row r="75" spans="1:90" x14ac:dyDescent="0.25">
      <c r="A75" s="129"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c r="AK75" s="190"/>
      <c r="AL75" s="190"/>
      <c r="AM75" s="190"/>
      <c r="AN75" s="190"/>
      <c r="AO75" s="190"/>
      <c r="AP75" s="190"/>
      <c r="AQ75" s="190"/>
      <c r="AR75" s="190"/>
      <c r="AS75" s="190"/>
      <c r="AT75" s="190"/>
      <c r="AU75" s="190"/>
      <c r="AV75" s="190"/>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40"/>
      <c r="CA75" s="40"/>
      <c r="CB75" s="40"/>
      <c r="CC75" s="40"/>
      <c r="CD75" s="40"/>
      <c r="CE75" s="40"/>
      <c r="CF75" s="40"/>
      <c r="CG75" s="40"/>
      <c r="CH75" s="40"/>
      <c r="CI75" s="40"/>
      <c r="CJ75" s="40"/>
      <c r="CK75" s="40"/>
      <c r="CL75" s="40"/>
    </row>
    <row r="76" spans="1:90" x14ac:dyDescent="0.25">
      <c r="A76" s="129" t="s">
        <v>54</v>
      </c>
      <c r="B76" s="190">
        <v>1993398</v>
      </c>
      <c r="C76" s="190">
        <v>1940966.38</v>
      </c>
      <c r="D76" s="190">
        <v>1901131.58</v>
      </c>
      <c r="E76" s="190">
        <v>1931470.31</v>
      </c>
      <c r="F76" s="190">
        <v>1948951.34</v>
      </c>
      <c r="G76" s="190">
        <v>1603764.68</v>
      </c>
      <c r="H76" s="190">
        <v>1610046.15</v>
      </c>
      <c r="I76" s="190">
        <v>1785316.59</v>
      </c>
      <c r="J76" s="190">
        <v>1604314.74</v>
      </c>
      <c r="K76" s="190">
        <v>2038338.04</v>
      </c>
      <c r="L76" s="190">
        <v>1562478.14</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c r="AK76" s="190"/>
      <c r="AL76" s="190"/>
      <c r="AM76" s="190"/>
      <c r="AN76" s="190"/>
      <c r="AO76" s="190"/>
      <c r="AP76" s="190"/>
      <c r="AQ76" s="190"/>
      <c r="AR76" s="190"/>
      <c r="AS76" s="190"/>
      <c r="AT76" s="190"/>
      <c r="AU76" s="190"/>
      <c r="AV76" s="190"/>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40"/>
      <c r="CA76" s="40"/>
      <c r="CB76" s="40"/>
      <c r="CC76" s="40"/>
      <c r="CD76" s="40"/>
      <c r="CE76" s="40"/>
      <c r="CF76" s="40"/>
      <c r="CG76" s="40"/>
      <c r="CH76" s="40"/>
      <c r="CI76" s="40"/>
      <c r="CJ76" s="40"/>
      <c r="CK76" s="40"/>
      <c r="CL76" s="40"/>
    </row>
    <row r="77" spans="1:90" x14ac:dyDescent="0.25">
      <c r="A77" s="129"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c r="AK77" s="190"/>
      <c r="AL77" s="190"/>
      <c r="AM77" s="190"/>
      <c r="AN77" s="190"/>
      <c r="AO77" s="190"/>
      <c r="AP77" s="190"/>
      <c r="AQ77" s="190"/>
      <c r="AR77" s="190"/>
      <c r="AS77" s="190"/>
      <c r="AT77" s="190"/>
      <c r="AU77" s="190"/>
      <c r="AV77" s="190"/>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40"/>
      <c r="CA77" s="40"/>
      <c r="CB77" s="40"/>
      <c r="CC77" s="40"/>
      <c r="CD77" s="40"/>
      <c r="CE77" s="40"/>
      <c r="CF77" s="40"/>
      <c r="CG77" s="40"/>
      <c r="CH77" s="40"/>
      <c r="CI77" s="40"/>
      <c r="CJ77" s="40"/>
      <c r="CK77" s="40"/>
      <c r="CL77" s="40"/>
    </row>
    <row r="78" spans="1:90" hidden="1" x14ac:dyDescent="0.25">
      <c r="A78" s="129"/>
      <c r="B78" s="26"/>
      <c r="C78" s="26"/>
      <c r="D78" s="26"/>
      <c r="E78" s="26"/>
      <c r="F78" s="26"/>
      <c r="G78" s="26"/>
      <c r="H78" s="26"/>
      <c r="I78" s="26"/>
      <c r="J78" s="26"/>
      <c r="K78" s="26"/>
      <c r="L78" s="23"/>
    </row>
    <row r="79" spans="1:90" hidden="1" x14ac:dyDescent="0.25">
      <c r="A79" s="129"/>
      <c r="B79" s="26"/>
      <c r="C79" s="26"/>
      <c r="D79" s="26"/>
      <c r="E79" s="26"/>
      <c r="F79" s="26"/>
      <c r="G79" s="26"/>
      <c r="H79" s="26"/>
      <c r="I79" s="26"/>
      <c r="J79" s="26"/>
      <c r="K79" s="26"/>
      <c r="L79" s="23"/>
    </row>
    <row r="80" spans="1:90" hidden="1" x14ac:dyDescent="0.25">
      <c r="A80" s="129"/>
      <c r="B80" s="26"/>
      <c r="C80" s="26"/>
      <c r="D80" s="26"/>
      <c r="E80" s="26"/>
      <c r="F80" s="26"/>
      <c r="G80" s="26"/>
      <c r="H80" s="26"/>
      <c r="I80" s="26"/>
      <c r="J80" s="26"/>
      <c r="K80" s="26"/>
      <c r="L80" s="23"/>
    </row>
    <row r="81" spans="1:90" s="2" customFormat="1" x14ac:dyDescent="0.25">
      <c r="A81" s="20" t="s">
        <v>56</v>
      </c>
      <c r="B81" s="28"/>
      <c r="C81" s="28"/>
      <c r="D81" s="28"/>
      <c r="E81" s="28">
        <f>SUM(E82:E85)</f>
        <v>7883028.7000000002</v>
      </c>
      <c r="F81" s="28">
        <f t="shared" ref="F81:BQ81" si="16">SUM(F82:F85)</f>
        <v>8454143.4100000001</v>
      </c>
      <c r="G81" s="28">
        <f t="shared" si="16"/>
        <v>9344293.1699999999</v>
      </c>
      <c r="H81" s="28">
        <f t="shared" si="16"/>
        <v>9869661.5800000001</v>
      </c>
      <c r="I81" s="28">
        <f t="shared" si="16"/>
        <v>10361511.449999999</v>
      </c>
      <c r="J81" s="28">
        <f t="shared" si="16"/>
        <v>380150325.94</v>
      </c>
      <c r="K81" s="28">
        <f t="shared" si="16"/>
        <v>578364955.11000001</v>
      </c>
      <c r="L81" s="28">
        <f t="shared" si="16"/>
        <v>569004403.22000003</v>
      </c>
      <c r="M81" s="28">
        <f t="shared" si="16"/>
        <v>0</v>
      </c>
      <c r="N81" s="28">
        <f t="shared" si="16"/>
        <v>0</v>
      </c>
      <c r="O81" s="28">
        <f t="shared" si="16"/>
        <v>0</v>
      </c>
      <c r="P81" s="28">
        <f t="shared" si="16"/>
        <v>0</v>
      </c>
      <c r="Q81" s="28">
        <f t="shared" si="16"/>
        <v>10000000</v>
      </c>
      <c r="R81" s="28">
        <f t="shared" si="16"/>
        <v>18139770.52</v>
      </c>
      <c r="S81" s="28">
        <f t="shared" si="16"/>
        <v>18922039.960000001</v>
      </c>
      <c r="T81" s="28">
        <f t="shared" si="16"/>
        <v>9704309.4000000004</v>
      </c>
      <c r="U81" s="28">
        <f t="shared" si="16"/>
        <v>10404068.43</v>
      </c>
      <c r="V81" s="28">
        <f t="shared" si="16"/>
        <v>10343556.58</v>
      </c>
      <c r="W81" s="28">
        <f t="shared" si="16"/>
        <v>8879678.1199999992</v>
      </c>
      <c r="X81" s="28">
        <f t="shared" si="16"/>
        <v>9525266.2699999996</v>
      </c>
      <c r="Y81" s="28">
        <f t="shared" si="16"/>
        <v>9833354.4800000004</v>
      </c>
      <c r="Z81" s="28">
        <f t="shared" si="16"/>
        <v>10294880.039999999</v>
      </c>
      <c r="AA81" s="28">
        <f t="shared" si="16"/>
        <v>10646405.76</v>
      </c>
      <c r="AB81" s="28">
        <f t="shared" si="16"/>
        <v>11252931.48</v>
      </c>
      <c r="AC81" s="28">
        <f t="shared" si="16"/>
        <v>111859457.2</v>
      </c>
      <c r="AD81" s="28">
        <f t="shared" si="16"/>
        <v>113326666.61</v>
      </c>
      <c r="AE81" s="28">
        <f t="shared" si="16"/>
        <v>125881666.63</v>
      </c>
      <c r="AF81" s="28">
        <f t="shared" si="16"/>
        <v>100861666.67</v>
      </c>
      <c r="AG81" s="28">
        <f t="shared" si="16"/>
        <v>156970000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9" t="s">
        <v>57</v>
      </c>
      <c r="B82" s="190">
        <v>6593688.7400000002</v>
      </c>
      <c r="C82" s="190">
        <v>6941726.4900000002</v>
      </c>
      <c r="D82" s="190">
        <v>7275665.4100000001</v>
      </c>
      <c r="E82" s="190">
        <v>7863236.6100000003</v>
      </c>
      <c r="F82" s="190">
        <v>8388960.0700000003</v>
      </c>
      <c r="G82" s="190">
        <v>9278738.7200000007</v>
      </c>
      <c r="H82" s="190">
        <v>9803851.9199999999</v>
      </c>
      <c r="I82" s="190">
        <v>9799618.5399999991</v>
      </c>
      <c r="J82" s="190">
        <v>380150325.94</v>
      </c>
      <c r="K82" s="190">
        <v>578364955.11000001</v>
      </c>
      <c r="L82" s="190">
        <v>567460890.89999998</v>
      </c>
      <c r="M82" s="190">
        <v>0</v>
      </c>
      <c r="N82" s="190">
        <v>0</v>
      </c>
      <c r="O82" s="190">
        <v>0</v>
      </c>
      <c r="P82" s="190">
        <v>0</v>
      </c>
      <c r="Q82" s="190">
        <v>10000000</v>
      </c>
      <c r="R82" s="190">
        <v>10000000</v>
      </c>
      <c r="S82" s="190">
        <v>10000000</v>
      </c>
      <c r="T82" s="190">
        <v>0</v>
      </c>
      <c r="U82" s="190">
        <v>0</v>
      </c>
      <c r="V82" s="190">
        <v>0</v>
      </c>
      <c r="W82" s="190">
        <v>0</v>
      </c>
      <c r="X82" s="190">
        <v>0</v>
      </c>
      <c r="Y82" s="190">
        <v>0</v>
      </c>
      <c r="Z82" s="190">
        <v>0</v>
      </c>
      <c r="AA82" s="190">
        <v>0</v>
      </c>
      <c r="AB82" s="190">
        <v>0</v>
      </c>
      <c r="AC82" s="190">
        <v>100000000</v>
      </c>
      <c r="AD82" s="190">
        <v>112500000</v>
      </c>
      <c r="AE82" s="190">
        <v>125000000</v>
      </c>
      <c r="AF82" s="190">
        <v>99870000</v>
      </c>
      <c r="AG82" s="190">
        <v>156870000</v>
      </c>
      <c r="AH82" s="190">
        <v>0</v>
      </c>
      <c r="AI82" s="190">
        <v>0</v>
      </c>
      <c r="AJ82" s="190"/>
      <c r="AK82" s="190"/>
      <c r="AL82" s="190"/>
      <c r="AM82" s="190"/>
      <c r="AN82" s="190"/>
      <c r="AO82" s="190"/>
      <c r="AP82" s="190"/>
      <c r="AQ82" s="190"/>
      <c r="AR82" s="190"/>
      <c r="AS82" s="190"/>
      <c r="AT82" s="190"/>
      <c r="AU82" s="190"/>
      <c r="AV82" s="190"/>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40"/>
      <c r="CA82" s="40"/>
      <c r="CB82" s="40"/>
      <c r="CC82" s="40"/>
      <c r="CD82" s="40"/>
      <c r="CE82" s="40"/>
      <c r="CF82" s="40"/>
      <c r="CG82" s="40"/>
      <c r="CH82" s="40"/>
      <c r="CI82" s="40"/>
      <c r="CJ82" s="40"/>
      <c r="CK82" s="40"/>
      <c r="CL82" s="40"/>
    </row>
    <row r="83" spans="1:90" x14ac:dyDescent="0.25">
      <c r="A83" s="129"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c r="AK83" s="190"/>
      <c r="AL83" s="190"/>
      <c r="AM83" s="190"/>
      <c r="AN83" s="190"/>
      <c r="AO83" s="190"/>
      <c r="AP83" s="190"/>
      <c r="AQ83" s="190"/>
      <c r="AR83" s="190"/>
      <c r="AS83" s="190"/>
      <c r="AT83" s="190"/>
      <c r="AU83" s="190"/>
      <c r="AV83" s="190"/>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40"/>
      <c r="CA83" s="40"/>
      <c r="CB83" s="40"/>
      <c r="CC83" s="40"/>
      <c r="CD83" s="40"/>
      <c r="CE83" s="40"/>
      <c r="CF83" s="40"/>
      <c r="CG83" s="40"/>
      <c r="CH83" s="40"/>
      <c r="CI83" s="40"/>
      <c r="CJ83" s="40"/>
      <c r="CK83" s="40"/>
      <c r="CL83" s="40"/>
    </row>
    <row r="84" spans="1:90" x14ac:dyDescent="0.25">
      <c r="A84" s="129"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40"/>
      <c r="CA84" s="40"/>
      <c r="CB84" s="40"/>
      <c r="CC84" s="40"/>
      <c r="CD84" s="40"/>
      <c r="CE84" s="40"/>
      <c r="CF84" s="40"/>
      <c r="CG84" s="40"/>
      <c r="CH84" s="40"/>
      <c r="CI84" s="40"/>
      <c r="CJ84" s="40"/>
      <c r="CK84" s="40"/>
      <c r="CL84" s="40"/>
    </row>
    <row r="85" spans="1:90" x14ac:dyDescent="0.25">
      <c r="A85" s="129" t="s">
        <v>83</v>
      </c>
      <c r="B85" s="190">
        <v>20269.98</v>
      </c>
      <c r="C85" s="190">
        <v>19757.169999999998</v>
      </c>
      <c r="D85" s="190">
        <v>22044.880000000001</v>
      </c>
      <c r="E85" s="190">
        <v>19792.09</v>
      </c>
      <c r="F85" s="190">
        <v>65183.34</v>
      </c>
      <c r="G85" s="190">
        <v>65554.45</v>
      </c>
      <c r="H85" s="190">
        <v>65809.66</v>
      </c>
      <c r="I85" s="190">
        <v>561892.91</v>
      </c>
      <c r="J85" s="190">
        <v>0</v>
      </c>
      <c r="K85" s="190">
        <v>0</v>
      </c>
      <c r="L85" s="190">
        <v>1543512.32</v>
      </c>
      <c r="M85" s="190">
        <v>0</v>
      </c>
      <c r="N85" s="190">
        <v>0</v>
      </c>
      <c r="O85" s="190">
        <v>0</v>
      </c>
      <c r="P85" s="190">
        <v>0</v>
      </c>
      <c r="Q85" s="190">
        <v>0</v>
      </c>
      <c r="R85" s="190">
        <v>8139770.5199999996</v>
      </c>
      <c r="S85" s="190">
        <v>8922039.9600000009</v>
      </c>
      <c r="T85" s="190">
        <v>9704309.4000000004</v>
      </c>
      <c r="U85" s="190">
        <v>10404068.43</v>
      </c>
      <c r="V85" s="190">
        <v>10343556.58</v>
      </c>
      <c r="W85" s="190">
        <v>8879678.1199999992</v>
      </c>
      <c r="X85" s="190">
        <v>9525266.2699999996</v>
      </c>
      <c r="Y85" s="190">
        <v>9833354.4800000004</v>
      </c>
      <c r="Z85" s="190">
        <v>10294880.039999999</v>
      </c>
      <c r="AA85" s="190">
        <v>10646405.76</v>
      </c>
      <c r="AB85" s="190">
        <v>11252931.48</v>
      </c>
      <c r="AC85" s="190">
        <v>11859457.199999999</v>
      </c>
      <c r="AD85" s="190">
        <v>826666.61</v>
      </c>
      <c r="AE85" s="190">
        <v>881666.63</v>
      </c>
      <c r="AF85" s="190">
        <v>991666.67</v>
      </c>
      <c r="AG85" s="190">
        <v>100000</v>
      </c>
      <c r="AH85" s="190">
        <v>0</v>
      </c>
      <c r="AI85" s="190">
        <v>0</v>
      </c>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40"/>
      <c r="CA85" s="40"/>
      <c r="CB85" s="40"/>
      <c r="CC85" s="40"/>
      <c r="CD85" s="40"/>
      <c r="CE85" s="40"/>
      <c r="CF85" s="40"/>
      <c r="CG85" s="40"/>
      <c r="CH85" s="40"/>
      <c r="CI85" s="40"/>
      <c r="CJ85" s="40"/>
      <c r="CK85" s="40"/>
      <c r="CL85" s="40"/>
    </row>
    <row r="86" spans="1:90" hidden="1" x14ac:dyDescent="0.25">
      <c r="A86" s="129"/>
      <c r="B86" s="26"/>
      <c r="C86" s="26"/>
      <c r="D86" s="26"/>
      <c r="E86" s="26"/>
      <c r="F86" s="26"/>
      <c r="G86" s="26"/>
      <c r="H86" s="26"/>
      <c r="I86" s="26"/>
      <c r="J86" s="26"/>
      <c r="K86" s="26"/>
      <c r="L86" s="23"/>
    </row>
    <row r="87" spans="1:90" hidden="1" x14ac:dyDescent="0.25">
      <c r="A87" s="129"/>
      <c r="B87" s="26"/>
      <c r="C87" s="26"/>
      <c r="D87" s="26"/>
      <c r="E87" s="26"/>
      <c r="F87" s="26"/>
      <c r="G87" s="26"/>
      <c r="H87" s="26"/>
      <c r="I87" s="26"/>
      <c r="J87" s="26"/>
      <c r="K87" s="26"/>
      <c r="L87" s="23"/>
    </row>
    <row r="88" spans="1:90" hidden="1" x14ac:dyDescent="0.25">
      <c r="A88" s="129"/>
      <c r="B88" s="26"/>
      <c r="C88" s="26"/>
      <c r="D88" s="26"/>
      <c r="E88" s="26"/>
      <c r="F88" s="26"/>
      <c r="G88" s="26"/>
      <c r="H88" s="26"/>
      <c r="I88" s="26"/>
      <c r="J88" s="26"/>
      <c r="K88" s="26"/>
      <c r="L88" s="23"/>
    </row>
    <row r="89" spans="1:90" s="5" customFormat="1" x14ac:dyDescent="0.25">
      <c r="A89" s="130" t="s">
        <v>60</v>
      </c>
      <c r="B89" s="33">
        <f>SUM(B73:B85)</f>
        <v>8607356.7200000007</v>
      </c>
      <c r="C89" s="33">
        <f>SUM(C73:C85)</f>
        <v>8902450.040000001</v>
      </c>
      <c r="D89" s="33">
        <f>SUM(D73:D85)</f>
        <v>9198841.870000001</v>
      </c>
      <c r="E89" s="33">
        <f>E72+E81</f>
        <v>9814499.0099999998</v>
      </c>
      <c r="F89" s="33">
        <f t="shared" ref="F89:BQ89" si="18">F72+F81</f>
        <v>10403094.75</v>
      </c>
      <c r="G89" s="33">
        <f t="shared" si="18"/>
        <v>10948057.85</v>
      </c>
      <c r="H89" s="33">
        <f t="shared" si="18"/>
        <v>11479707.73</v>
      </c>
      <c r="I89" s="33">
        <f t="shared" si="18"/>
        <v>12146828.039999999</v>
      </c>
      <c r="J89" s="33">
        <f t="shared" si="18"/>
        <v>481754640.68000001</v>
      </c>
      <c r="K89" s="33">
        <f t="shared" si="18"/>
        <v>800403293.14999998</v>
      </c>
      <c r="L89" s="33">
        <f t="shared" si="18"/>
        <v>727566881.36000001</v>
      </c>
      <c r="M89" s="33">
        <f t="shared" si="18"/>
        <v>0</v>
      </c>
      <c r="N89" s="33">
        <f t="shared" si="18"/>
        <v>0</v>
      </c>
      <c r="O89" s="33">
        <f t="shared" si="18"/>
        <v>0</v>
      </c>
      <c r="P89" s="33">
        <f t="shared" si="18"/>
        <v>6400000</v>
      </c>
      <c r="Q89" s="33">
        <f t="shared" si="18"/>
        <v>22400000</v>
      </c>
      <c r="R89" s="33">
        <f t="shared" si="18"/>
        <v>30139770.52</v>
      </c>
      <c r="S89" s="33">
        <f t="shared" si="18"/>
        <v>30922039.960000001</v>
      </c>
      <c r="T89" s="33">
        <f t="shared" si="18"/>
        <v>34561985.399999999</v>
      </c>
      <c r="U89" s="33">
        <f t="shared" si="18"/>
        <v>28841744.43</v>
      </c>
      <c r="V89" s="33">
        <f t="shared" si="18"/>
        <v>20343556.579999998</v>
      </c>
      <c r="W89" s="33">
        <f t="shared" si="18"/>
        <v>20058378.119999997</v>
      </c>
      <c r="X89" s="33">
        <f t="shared" si="18"/>
        <v>110077068.27</v>
      </c>
      <c r="Y89" s="33">
        <f t="shared" si="18"/>
        <v>98207484.480000004</v>
      </c>
      <c r="Z89" s="33">
        <f t="shared" si="18"/>
        <v>10294880.039999999</v>
      </c>
      <c r="AA89" s="33">
        <f t="shared" si="18"/>
        <v>10646405.76</v>
      </c>
      <c r="AB89" s="33">
        <f t="shared" si="18"/>
        <v>47602931.480000004</v>
      </c>
      <c r="AC89" s="33">
        <f t="shared" si="18"/>
        <v>264954419.19999999</v>
      </c>
      <c r="AD89" s="33">
        <f t="shared" si="18"/>
        <v>186939796.61000001</v>
      </c>
      <c r="AE89" s="33">
        <f t="shared" si="18"/>
        <v>244017139.53999999</v>
      </c>
      <c r="AF89" s="33">
        <f t="shared" si="18"/>
        <v>238432714.67000002</v>
      </c>
      <c r="AG89" s="33">
        <f t="shared" si="18"/>
        <v>226970000</v>
      </c>
      <c r="AH89" s="33">
        <f t="shared" si="18"/>
        <v>180000000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9" t="s">
        <v>62</v>
      </c>
      <c r="B91" s="190">
        <v>909133215</v>
      </c>
      <c r="C91" s="190">
        <v>909133215</v>
      </c>
      <c r="D91" s="190">
        <v>909133215</v>
      </c>
      <c r="E91" s="190">
        <v>909133215</v>
      </c>
      <c r="F91" s="190">
        <v>909133215</v>
      </c>
      <c r="G91" s="190">
        <v>909133215</v>
      </c>
      <c r="H91" s="190">
        <v>363653286</v>
      </c>
      <c r="I91" s="190">
        <v>363653286</v>
      </c>
      <c r="J91" s="190">
        <v>363653286</v>
      </c>
      <c r="K91" s="190">
        <v>339871250</v>
      </c>
      <c r="L91" s="190">
        <v>339871250</v>
      </c>
      <c r="M91" s="190">
        <v>339871250</v>
      </c>
      <c r="N91" s="190">
        <v>339871250</v>
      </c>
      <c r="O91" s="190">
        <v>339871250</v>
      </c>
      <c r="P91" s="190">
        <v>339871250</v>
      </c>
      <c r="Q91" s="190">
        <v>275640000</v>
      </c>
      <c r="R91" s="190">
        <v>275640000</v>
      </c>
      <c r="S91" s="190">
        <v>275640000</v>
      </c>
      <c r="T91" s="190">
        <v>275640000</v>
      </c>
      <c r="U91" s="190">
        <v>275640000</v>
      </c>
      <c r="V91" s="190">
        <v>275640000</v>
      </c>
      <c r="W91" s="190">
        <v>275640000</v>
      </c>
      <c r="X91" s="190">
        <v>137820000</v>
      </c>
      <c r="Y91" s="190">
        <v>137820000</v>
      </c>
      <c r="Z91" s="190">
        <v>137820000</v>
      </c>
      <c r="AA91" s="190">
        <v>137820000</v>
      </c>
      <c r="AB91" s="190">
        <v>137820000</v>
      </c>
      <c r="AC91" s="190">
        <v>137820000</v>
      </c>
      <c r="AD91" s="190">
        <v>103360000</v>
      </c>
      <c r="AE91" s="190">
        <v>103360000</v>
      </c>
      <c r="AF91" s="190">
        <v>103360000</v>
      </c>
      <c r="AG91" s="190">
        <v>103360000</v>
      </c>
      <c r="AH91" s="190">
        <v>103360000</v>
      </c>
      <c r="AI91" s="190">
        <v>0</v>
      </c>
      <c r="AJ91" s="190"/>
      <c r="AK91" s="190"/>
      <c r="AL91" s="190"/>
      <c r="AM91" s="190"/>
      <c r="AN91" s="190"/>
      <c r="AO91" s="190"/>
      <c r="AP91" s="190"/>
      <c r="AQ91" s="190"/>
      <c r="AR91" s="190"/>
      <c r="AS91" s="190"/>
      <c r="AT91" s="190"/>
      <c r="AU91" s="190"/>
      <c r="AV91" s="190"/>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40"/>
      <c r="CA91" s="40"/>
      <c r="CB91" s="40"/>
      <c r="CC91" s="40"/>
      <c r="CD91" s="40"/>
      <c r="CE91" s="40"/>
      <c r="CF91" s="40"/>
      <c r="CG91" s="40"/>
      <c r="CH91" s="40"/>
      <c r="CI91" s="40"/>
      <c r="CJ91" s="40"/>
      <c r="CK91" s="40"/>
      <c r="CL91" s="40"/>
    </row>
    <row r="92" spans="1:90" x14ac:dyDescent="0.25">
      <c r="A92" s="129" t="s">
        <v>63</v>
      </c>
      <c r="B92" s="190">
        <v>2078935908.6500001</v>
      </c>
      <c r="C92" s="190">
        <v>2078935908.6500001</v>
      </c>
      <c r="D92" s="190">
        <v>2065597354.03</v>
      </c>
      <c r="E92" s="190">
        <v>2065597354.03</v>
      </c>
      <c r="F92" s="190">
        <v>2065597354.03</v>
      </c>
      <c r="G92" s="190">
        <v>2065597354.03</v>
      </c>
      <c r="H92" s="190">
        <v>2611077283.0300002</v>
      </c>
      <c r="I92" s="190">
        <v>2611077283.0300002</v>
      </c>
      <c r="J92" s="190">
        <v>2611071295.29</v>
      </c>
      <c r="K92" s="190">
        <v>1629860693.6600001</v>
      </c>
      <c r="L92" s="190">
        <v>1629860693.6600001</v>
      </c>
      <c r="M92" s="190">
        <v>1629860693.6600001</v>
      </c>
      <c r="N92" s="190">
        <v>1629860693.6600001</v>
      </c>
      <c r="O92" s="190">
        <v>1629860693.6600001</v>
      </c>
      <c r="P92" s="190">
        <v>1621654522.49</v>
      </c>
      <c r="Q92" s="190">
        <v>676456672.49000001</v>
      </c>
      <c r="R92" s="190">
        <v>676456672.49000001</v>
      </c>
      <c r="S92" s="190">
        <v>676456672.49000001</v>
      </c>
      <c r="T92" s="190">
        <v>675760670.57000005</v>
      </c>
      <c r="U92" s="190">
        <v>675760670.57000005</v>
      </c>
      <c r="V92" s="190">
        <v>675760670.57000005</v>
      </c>
      <c r="W92" s="190">
        <v>675760670.57000005</v>
      </c>
      <c r="X92" s="190">
        <v>813580670.57000005</v>
      </c>
      <c r="Y92" s="190">
        <v>813580670.57000005</v>
      </c>
      <c r="Z92" s="190">
        <v>813580670.57000005</v>
      </c>
      <c r="AA92" s="190">
        <v>813580670.57000005</v>
      </c>
      <c r="AB92" s="190">
        <v>813580670.57000005</v>
      </c>
      <c r="AC92" s="190">
        <v>813580670.57000005</v>
      </c>
      <c r="AD92" s="190">
        <v>43730242.100000001</v>
      </c>
      <c r="AE92" s="190">
        <v>43730242.100000001</v>
      </c>
      <c r="AF92" s="190">
        <v>43730242.100000001</v>
      </c>
      <c r="AG92" s="190">
        <v>43730242.100000001</v>
      </c>
      <c r="AH92" s="190">
        <v>43730242.100000001</v>
      </c>
      <c r="AI92" s="190">
        <v>0</v>
      </c>
      <c r="AJ92" s="190"/>
      <c r="AK92" s="190"/>
      <c r="AL92" s="190"/>
      <c r="AM92" s="190"/>
      <c r="AN92" s="190"/>
      <c r="AO92" s="190"/>
      <c r="AP92" s="190"/>
      <c r="AQ92" s="190"/>
      <c r="AR92" s="190"/>
      <c r="AS92" s="190"/>
      <c r="AT92" s="190"/>
      <c r="AU92" s="190"/>
      <c r="AV92" s="190"/>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40"/>
      <c r="CA92" s="40"/>
      <c r="CB92" s="40"/>
      <c r="CC92" s="40"/>
      <c r="CD92" s="40"/>
      <c r="CE92" s="40"/>
      <c r="CF92" s="40"/>
      <c r="CG92" s="40"/>
      <c r="CH92" s="40"/>
      <c r="CI92" s="40"/>
      <c r="CJ92" s="40"/>
      <c r="CK92" s="40"/>
      <c r="CL92" s="40"/>
    </row>
    <row r="93" spans="1:90" x14ac:dyDescent="0.25">
      <c r="A93" s="129" t="s">
        <v>64</v>
      </c>
      <c r="B93" s="190">
        <v>0</v>
      </c>
      <c r="C93" s="190">
        <v>0</v>
      </c>
      <c r="D93" s="190">
        <v>0</v>
      </c>
      <c r="E93" s="190">
        <v>0</v>
      </c>
      <c r="F93" s="190">
        <v>0</v>
      </c>
      <c r="G93" s="190">
        <v>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40">
        <v>0</v>
      </c>
      <c r="CA93" s="40">
        <v>0</v>
      </c>
      <c r="CB93" s="40">
        <v>0</v>
      </c>
      <c r="CC93" s="40">
        <v>0</v>
      </c>
      <c r="CD93" s="40">
        <v>0</v>
      </c>
      <c r="CE93" s="40">
        <v>0</v>
      </c>
      <c r="CF93" s="40">
        <v>0</v>
      </c>
      <c r="CG93" s="40">
        <v>0</v>
      </c>
      <c r="CH93" s="40">
        <v>0</v>
      </c>
      <c r="CI93" s="40">
        <v>0</v>
      </c>
      <c r="CJ93" s="40">
        <v>0</v>
      </c>
      <c r="CK93" s="40">
        <v>0</v>
      </c>
      <c r="CL93" s="40">
        <v>0</v>
      </c>
    </row>
    <row r="94" spans="1:90" x14ac:dyDescent="0.25">
      <c r="A94" s="129" t="s">
        <v>65</v>
      </c>
      <c r="B94" s="190">
        <v>28734213.379999999</v>
      </c>
      <c r="C94" s="190">
        <v>-8405130.3800000008</v>
      </c>
      <c r="D94" s="190">
        <v>-58214299.530000001</v>
      </c>
      <c r="E94" s="190">
        <v>-14266876.52</v>
      </c>
      <c r="F94" s="190">
        <v>-5767056.8099999996</v>
      </c>
      <c r="G94" s="190">
        <v>14682218.48</v>
      </c>
      <c r="H94" s="190">
        <v>26828215.25</v>
      </c>
      <c r="I94" s="190">
        <v>33807458.079999998</v>
      </c>
      <c r="J94" s="190">
        <v>14133959.609999999</v>
      </c>
      <c r="K94" s="190">
        <v>13835549.17</v>
      </c>
      <c r="L94" s="190">
        <v>-2968605.04</v>
      </c>
      <c r="M94" s="190">
        <v>0</v>
      </c>
      <c r="N94" s="190">
        <v>0</v>
      </c>
      <c r="O94" s="190">
        <v>0</v>
      </c>
      <c r="P94" s="190">
        <v>0</v>
      </c>
      <c r="Q94" s="190">
        <v>0</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40">
        <v>0</v>
      </c>
      <c r="CA94" s="40">
        <v>0</v>
      </c>
      <c r="CB94" s="40">
        <v>0</v>
      </c>
      <c r="CC94" s="40">
        <v>0</v>
      </c>
      <c r="CD94" s="40">
        <v>0</v>
      </c>
      <c r="CE94" s="40">
        <v>0</v>
      </c>
      <c r="CF94" s="40">
        <v>0</v>
      </c>
      <c r="CG94" s="40">
        <v>0</v>
      </c>
      <c r="CH94" s="40">
        <v>0</v>
      </c>
      <c r="CI94" s="40">
        <v>0</v>
      </c>
      <c r="CJ94" s="40">
        <v>0</v>
      </c>
      <c r="CK94" s="40">
        <v>0</v>
      </c>
      <c r="CL94" s="40">
        <v>0</v>
      </c>
    </row>
    <row r="95" spans="1:90" x14ac:dyDescent="0.25">
      <c r="A95" s="129" t="s">
        <v>66</v>
      </c>
      <c r="B95" s="190">
        <v>10880684.65</v>
      </c>
      <c r="C95" s="190">
        <v>10817820.359999999</v>
      </c>
      <c r="D95" s="190">
        <v>10441557.57</v>
      </c>
      <c r="E95" s="190">
        <v>9733305.5</v>
      </c>
      <c r="F95" s="190">
        <v>9335935.6899999995</v>
      </c>
      <c r="G95" s="190">
        <v>8675013.8900000006</v>
      </c>
      <c r="H95" s="190">
        <v>7834061.1200000001</v>
      </c>
      <c r="I95" s="190">
        <v>7018189.1799999997</v>
      </c>
      <c r="J95" s="190">
        <v>6292139.9500000002</v>
      </c>
      <c r="K95" s="190">
        <v>5552340.3200000003</v>
      </c>
      <c r="L95" s="190">
        <v>4892179.5999999996</v>
      </c>
      <c r="M95" s="190">
        <v>4194707.28</v>
      </c>
      <c r="N95" s="190">
        <v>4426762.9000000004</v>
      </c>
      <c r="O95" s="190">
        <v>3919748.8</v>
      </c>
      <c r="P95" s="190">
        <v>3492215.75</v>
      </c>
      <c r="Q95" s="190">
        <v>2948620.67</v>
      </c>
      <c r="R95" s="190">
        <v>3351809.25</v>
      </c>
      <c r="S95" s="190">
        <v>3136896.96</v>
      </c>
      <c r="T95" s="190">
        <v>2934096.78</v>
      </c>
      <c r="U95" s="190">
        <v>2642457.12</v>
      </c>
      <c r="V95" s="190">
        <v>2793494.74</v>
      </c>
      <c r="W95" s="190">
        <v>2794569.74</v>
      </c>
      <c r="X95" s="190">
        <v>3326676.61</v>
      </c>
      <c r="Y95" s="190">
        <v>1869530.41</v>
      </c>
      <c r="Z95" s="190">
        <v>1805099.27</v>
      </c>
      <c r="AA95" s="190">
        <v>2020491.41</v>
      </c>
      <c r="AB95" s="190">
        <v>2070928.67</v>
      </c>
      <c r="AC95" s="190">
        <v>1775710.75</v>
      </c>
      <c r="AD95" s="190">
        <v>2560766.17</v>
      </c>
      <c r="AE95" s="190">
        <v>2119081.59</v>
      </c>
      <c r="AF95" s="190">
        <v>2713164.15</v>
      </c>
      <c r="AG95" s="190">
        <v>612187.56999999995</v>
      </c>
      <c r="AH95" s="190">
        <v>485584.96</v>
      </c>
      <c r="AI95" s="190">
        <v>0</v>
      </c>
      <c r="AJ95" s="190">
        <v>1551967.96</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40">
        <v>0</v>
      </c>
      <c r="CA95" s="40">
        <v>0</v>
      </c>
      <c r="CB95" s="40">
        <v>0</v>
      </c>
      <c r="CC95" s="40">
        <v>0</v>
      </c>
      <c r="CD95" s="40">
        <v>0</v>
      </c>
      <c r="CE95" s="40">
        <v>0</v>
      </c>
      <c r="CF95" s="40">
        <v>0</v>
      </c>
      <c r="CG95" s="40">
        <v>0</v>
      </c>
      <c r="CH95" s="40">
        <v>0</v>
      </c>
      <c r="CI95" s="40">
        <v>0</v>
      </c>
      <c r="CJ95" s="40">
        <v>0</v>
      </c>
      <c r="CK95" s="40">
        <v>0</v>
      </c>
      <c r="CL95" s="40">
        <v>0</v>
      </c>
    </row>
    <row r="96" spans="1:90" x14ac:dyDescent="0.25">
      <c r="A96" s="129" t="s">
        <v>67</v>
      </c>
      <c r="B96" s="190">
        <v>161678313.06</v>
      </c>
      <c r="C96" s="190">
        <v>161678313.06</v>
      </c>
      <c r="D96" s="190">
        <v>161678313.06</v>
      </c>
      <c r="E96" s="190">
        <v>161678313.06</v>
      </c>
      <c r="F96" s="190">
        <v>125608622.54000001</v>
      </c>
      <c r="G96" s="190">
        <v>125608622.54000001</v>
      </c>
      <c r="H96" s="190">
        <v>125608622.54000001</v>
      </c>
      <c r="I96" s="190">
        <v>125608622.54000001</v>
      </c>
      <c r="J96" s="190">
        <v>93526769.629999995</v>
      </c>
      <c r="K96" s="190">
        <v>93526769.629999995</v>
      </c>
      <c r="L96" s="190">
        <v>93526769.629999995</v>
      </c>
      <c r="M96" s="190">
        <v>93526769.629999995</v>
      </c>
      <c r="N96" s="190">
        <v>69903721.870000005</v>
      </c>
      <c r="O96" s="190">
        <v>69903721.870000005</v>
      </c>
      <c r="P96" s="190">
        <v>69903721.870000005</v>
      </c>
      <c r="Q96" s="190">
        <v>69903721.870000005</v>
      </c>
      <c r="R96" s="190">
        <v>60512913.909999996</v>
      </c>
      <c r="S96" s="190">
        <v>60512913.909999996</v>
      </c>
      <c r="T96" s="190">
        <v>60512913.909999996</v>
      </c>
      <c r="U96" s="190">
        <v>60512913.909999996</v>
      </c>
      <c r="V96" s="190">
        <v>49229942.700000003</v>
      </c>
      <c r="W96" s="190">
        <v>49229942.700000003</v>
      </c>
      <c r="X96" s="190">
        <v>49229942.700000003</v>
      </c>
      <c r="Y96" s="190">
        <v>49229942.700000003</v>
      </c>
      <c r="Z96" s="190">
        <v>38763344.090000004</v>
      </c>
      <c r="AA96" s="190">
        <v>38763344.090000004</v>
      </c>
      <c r="AB96" s="190">
        <v>38763344.090000004</v>
      </c>
      <c r="AC96" s="190">
        <v>38763344.090000004</v>
      </c>
      <c r="AD96" s="190">
        <v>26018756.809999999</v>
      </c>
      <c r="AE96" s="190">
        <v>26018756.809999999</v>
      </c>
      <c r="AF96" s="190">
        <v>26018756.809999999</v>
      </c>
      <c r="AG96" s="190">
        <v>16038520.279999999</v>
      </c>
      <c r="AH96" s="190">
        <v>9698587.2300000004</v>
      </c>
      <c r="AI96" s="190">
        <v>0</v>
      </c>
      <c r="AJ96" s="190">
        <v>963714323.86000001</v>
      </c>
      <c r="AK96" s="190">
        <v>963714323.86000001</v>
      </c>
      <c r="AL96" s="190">
        <v>818420076.46000004</v>
      </c>
      <c r="AM96" s="190">
        <v>818420076.46000004</v>
      </c>
      <c r="AN96" s="190">
        <v>818420076.46000004</v>
      </c>
      <c r="AO96" s="190">
        <v>818420076.46000004</v>
      </c>
      <c r="AP96" s="190">
        <v>621628353.90999997</v>
      </c>
      <c r="AQ96" s="190">
        <v>621628353.90999997</v>
      </c>
      <c r="AR96" s="190">
        <v>621628353.90999997</v>
      </c>
      <c r="AS96" s="190">
        <v>621628353.90999997</v>
      </c>
      <c r="AT96" s="190">
        <v>592322663.15999997</v>
      </c>
      <c r="AU96" s="190">
        <v>592322663.15999997</v>
      </c>
      <c r="AV96" s="190">
        <v>592491649.66999996</v>
      </c>
      <c r="AW96" s="190">
        <v>576705891.12</v>
      </c>
      <c r="AX96" s="190">
        <v>397235332.06</v>
      </c>
      <c r="AY96" s="190">
        <v>397235332.06</v>
      </c>
      <c r="AZ96" s="190">
        <v>397235332.06</v>
      </c>
      <c r="BA96" s="190">
        <v>397235332.06</v>
      </c>
      <c r="BB96" s="190">
        <v>241084797.59</v>
      </c>
      <c r="BC96" s="190">
        <v>241084797.59</v>
      </c>
      <c r="BD96" s="190">
        <v>241084797.59</v>
      </c>
      <c r="BE96" s="190">
        <v>241084797.59</v>
      </c>
      <c r="BF96" s="190">
        <v>139540139.34</v>
      </c>
      <c r="BG96" s="190">
        <v>139540139.34</v>
      </c>
      <c r="BH96" s="190">
        <v>139540139.34</v>
      </c>
      <c r="BI96" s="190">
        <v>139540139.34</v>
      </c>
      <c r="BJ96" s="190">
        <v>81470601.019999996</v>
      </c>
      <c r="BK96" s="190">
        <v>81470601.019999996</v>
      </c>
      <c r="BL96" s="190">
        <v>81470601.019999996</v>
      </c>
      <c r="BM96" s="190">
        <v>81470601.019999996</v>
      </c>
      <c r="BN96" s="190">
        <v>42888991.719999999</v>
      </c>
      <c r="BO96" s="190">
        <v>42888991.719999999</v>
      </c>
      <c r="BP96" s="190">
        <v>42888991.719999999</v>
      </c>
      <c r="BQ96" s="190">
        <v>42888991.719999999</v>
      </c>
      <c r="BR96" s="190">
        <v>0</v>
      </c>
      <c r="BS96" s="190">
        <v>17706893.420000002</v>
      </c>
      <c r="BT96" s="190">
        <v>17706893.420000002</v>
      </c>
      <c r="BU96" s="190">
        <v>5256015.32</v>
      </c>
      <c r="BV96" s="190">
        <v>5256015.32</v>
      </c>
      <c r="BW96" s="190">
        <v>0</v>
      </c>
      <c r="BX96" s="190">
        <v>0</v>
      </c>
      <c r="BY96" s="190">
        <v>0</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x14ac:dyDescent="0.25">
      <c r="A97" s="129"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40">
        <v>0</v>
      </c>
      <c r="CA97" s="40">
        <v>0</v>
      </c>
      <c r="CB97" s="40">
        <v>0</v>
      </c>
      <c r="CC97" s="40">
        <v>0</v>
      </c>
      <c r="CD97" s="40">
        <v>0</v>
      </c>
      <c r="CE97" s="40">
        <v>0</v>
      </c>
      <c r="CF97" s="40">
        <v>0</v>
      </c>
      <c r="CG97" s="40">
        <v>0</v>
      </c>
      <c r="CH97" s="40">
        <v>0</v>
      </c>
      <c r="CI97" s="40">
        <v>0</v>
      </c>
      <c r="CJ97" s="40">
        <v>0</v>
      </c>
      <c r="CK97" s="40">
        <v>0</v>
      </c>
      <c r="CL97" s="40">
        <v>0</v>
      </c>
    </row>
    <row r="98" spans="1:90" x14ac:dyDescent="0.25">
      <c r="A98" s="129" t="s">
        <v>69</v>
      </c>
      <c r="B98" s="190">
        <v>1097514459.0899999</v>
      </c>
      <c r="C98" s="190">
        <v>984120596.15999997</v>
      </c>
      <c r="D98" s="190">
        <v>994508543.42999995</v>
      </c>
      <c r="E98" s="190">
        <v>930383872.50999999</v>
      </c>
      <c r="F98" s="190">
        <v>883341124.33000004</v>
      </c>
      <c r="G98" s="190">
        <v>794838261.96000004</v>
      </c>
      <c r="H98" s="190">
        <v>680663307.17999995</v>
      </c>
      <c r="I98" s="190">
        <v>708453778.74000001</v>
      </c>
      <c r="J98" s="190">
        <v>672413569.78999996</v>
      </c>
      <c r="K98" s="190">
        <v>607155082.14999998</v>
      </c>
      <c r="L98" s="190">
        <v>613506795.20000005</v>
      </c>
      <c r="M98" s="190">
        <v>523844312.26999998</v>
      </c>
      <c r="N98" s="190">
        <v>435408006.12</v>
      </c>
      <c r="O98" s="190">
        <v>359669148.26999998</v>
      </c>
      <c r="P98" s="190">
        <v>374415448.94</v>
      </c>
      <c r="Q98" s="190">
        <v>350796697.31999999</v>
      </c>
      <c r="R98" s="190">
        <v>326814331.75</v>
      </c>
      <c r="S98" s="190">
        <v>300552893.77999997</v>
      </c>
      <c r="T98" s="190">
        <v>330254116.07999998</v>
      </c>
      <c r="U98" s="190">
        <v>313270464.06</v>
      </c>
      <c r="V98" s="190">
        <v>290944104.58999997</v>
      </c>
      <c r="W98" s="190">
        <v>263332878.65000001</v>
      </c>
      <c r="X98" s="190">
        <v>272601848.20999998</v>
      </c>
      <c r="Y98" s="190">
        <v>241957841.81999999</v>
      </c>
      <c r="Z98" s="190">
        <v>224913663.5</v>
      </c>
      <c r="AA98" s="190">
        <v>212614905.88999999</v>
      </c>
      <c r="AB98" s="190">
        <v>171026709.05000001</v>
      </c>
      <c r="AC98" s="190">
        <v>212085351.53999999</v>
      </c>
      <c r="AD98" s="190">
        <v>206640180.00999999</v>
      </c>
      <c r="AE98" s="190">
        <v>181730820.56999999</v>
      </c>
      <c r="AF98" s="190">
        <v>140764833.59999999</v>
      </c>
      <c r="AG98" s="190">
        <v>107790704.79000001</v>
      </c>
      <c r="AH98" s="190">
        <v>86907307.299999997</v>
      </c>
      <c r="AI98" s="190">
        <v>0</v>
      </c>
      <c r="AJ98" s="190">
        <v>2626452412.21</v>
      </c>
      <c r="AK98" s="190">
        <v>2375758008.4699998</v>
      </c>
      <c r="AL98" s="190">
        <v>2318734264.23</v>
      </c>
      <c r="AM98" s="190">
        <v>1957121490.8800001</v>
      </c>
      <c r="AN98" s="190">
        <v>1646015531.5699999</v>
      </c>
      <c r="AO98" s="190">
        <v>2286340877.0999999</v>
      </c>
      <c r="AP98" s="190">
        <v>2144026850.47</v>
      </c>
      <c r="AQ98" s="190">
        <v>1815028972.0799999</v>
      </c>
      <c r="AR98" s="190">
        <v>1310575566.74</v>
      </c>
      <c r="AS98" s="190">
        <v>1599625590.21</v>
      </c>
      <c r="AT98" s="190">
        <v>1205036648.6099999</v>
      </c>
      <c r="AU98" s="190">
        <v>1187801160.9100001</v>
      </c>
      <c r="AV98" s="190">
        <v>1021560591.4</v>
      </c>
      <c r="AW98" s="190">
        <v>681228072.42999995</v>
      </c>
      <c r="AX98" s="190">
        <v>613695017.59000003</v>
      </c>
      <c r="AY98" s="190">
        <v>353316020.97000003</v>
      </c>
      <c r="AZ98" s="190">
        <v>679548415.61000001</v>
      </c>
      <c r="BA98" s="190">
        <v>501491847.06999999</v>
      </c>
      <c r="BB98" s="190">
        <v>520254651.60000002</v>
      </c>
      <c r="BC98" s="190">
        <v>368309344.67000002</v>
      </c>
      <c r="BD98" s="190">
        <v>523055535.56</v>
      </c>
      <c r="BE98" s="190">
        <v>366412157.57999998</v>
      </c>
      <c r="BF98" s="190">
        <v>379317072.97000003</v>
      </c>
      <c r="BG98" s="190">
        <v>279732865.20999998</v>
      </c>
      <c r="BH98" s="190">
        <v>315338311.29000002</v>
      </c>
      <c r="BI98" s="190">
        <v>218052371.97999999</v>
      </c>
      <c r="BJ98" s="190">
        <v>230483116.19999999</v>
      </c>
      <c r="BK98" s="190">
        <v>182126950.84</v>
      </c>
      <c r="BL98" s="190">
        <v>101831572.37</v>
      </c>
      <c r="BM98" s="190">
        <v>43843757.030000001</v>
      </c>
      <c r="BN98" s="190">
        <v>129264055.06999999</v>
      </c>
      <c r="BO98" s="190">
        <v>97938789.680000007</v>
      </c>
      <c r="BP98" s="190">
        <v>64592394.740000002</v>
      </c>
      <c r="BQ98" s="190">
        <v>28898929.140000001</v>
      </c>
      <c r="BR98" s="190">
        <v>0</v>
      </c>
      <c r="BS98" s="190">
        <v>64124081.960000001</v>
      </c>
      <c r="BT98" s="190">
        <v>25352634.260000002</v>
      </c>
      <c r="BU98" s="190">
        <v>26896127.27</v>
      </c>
      <c r="BV98" s="190">
        <v>7970356.0700000003</v>
      </c>
      <c r="BW98" s="190">
        <v>-653705.18999999994</v>
      </c>
      <c r="BX98" s="190">
        <v>0</v>
      </c>
      <c r="BY98" s="190">
        <v>0</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x14ac:dyDescent="0.25">
      <c r="A99" s="129" t="s">
        <v>70</v>
      </c>
      <c r="B99" s="190">
        <v>0</v>
      </c>
      <c r="C99" s="190">
        <v>0</v>
      </c>
      <c r="D99" s="190">
        <v>0</v>
      </c>
      <c r="E99" s="190">
        <v>0</v>
      </c>
      <c r="F99" s="190">
        <v>0</v>
      </c>
      <c r="G99" s="190">
        <v>0</v>
      </c>
      <c r="H99" s="190">
        <v>127278650.09999999</v>
      </c>
      <c r="I99" s="190">
        <v>0</v>
      </c>
      <c r="J99" s="190">
        <v>0</v>
      </c>
      <c r="K99" s="190">
        <v>0</v>
      </c>
      <c r="L99" s="190">
        <v>0</v>
      </c>
      <c r="M99" s="190">
        <v>0</v>
      </c>
      <c r="N99" s="190">
        <v>0</v>
      </c>
      <c r="O99" s="190">
        <v>0</v>
      </c>
      <c r="P99" s="190">
        <v>0</v>
      </c>
      <c r="Q99" s="190">
        <v>0</v>
      </c>
      <c r="R99" s="190">
        <v>0</v>
      </c>
      <c r="S99" s="190">
        <v>0</v>
      </c>
      <c r="T99" s="190">
        <v>0</v>
      </c>
      <c r="U99" s="190">
        <v>0</v>
      </c>
      <c r="V99" s="190">
        <v>0</v>
      </c>
      <c r="W99" s="190">
        <v>0</v>
      </c>
      <c r="X99" s="190">
        <v>0</v>
      </c>
      <c r="Y99" s="190">
        <v>0</v>
      </c>
      <c r="Z99" s="190">
        <v>0</v>
      </c>
      <c r="AA99" s="190">
        <v>0</v>
      </c>
      <c r="AB99" s="190">
        <v>68910000</v>
      </c>
      <c r="AC99" s="190">
        <v>0</v>
      </c>
      <c r="AD99" s="190">
        <v>0</v>
      </c>
      <c r="AE99" s="190">
        <v>0</v>
      </c>
      <c r="AF99" s="190">
        <v>0</v>
      </c>
      <c r="AG99" s="190">
        <v>0</v>
      </c>
      <c r="AH99" s="190">
        <v>0</v>
      </c>
      <c r="AI99" s="190">
        <v>0</v>
      </c>
      <c r="AJ99" s="190">
        <v>0</v>
      </c>
      <c r="AK99" s="190">
        <v>0</v>
      </c>
      <c r="AL99" s="190">
        <v>0</v>
      </c>
      <c r="AM99" s="190">
        <v>0</v>
      </c>
      <c r="AN99" s="190">
        <v>951007200</v>
      </c>
      <c r="AO99" s="190">
        <v>0</v>
      </c>
      <c r="AP99" s="190">
        <v>0</v>
      </c>
      <c r="AQ99" s="190">
        <v>0</v>
      </c>
      <c r="AR99" s="190">
        <v>665333760</v>
      </c>
      <c r="AS99" s="190">
        <v>0</v>
      </c>
      <c r="AT99" s="190">
        <v>0</v>
      </c>
      <c r="AU99" s="190">
        <v>164709600</v>
      </c>
      <c r="AV99" s="190">
        <v>0</v>
      </c>
      <c r="AW99" s="190">
        <v>0</v>
      </c>
      <c r="AX99" s="190">
        <v>0</v>
      </c>
      <c r="AY99" s="190">
        <v>0</v>
      </c>
      <c r="AZ99" s="190">
        <v>0</v>
      </c>
      <c r="BA99" s="190">
        <v>0</v>
      </c>
      <c r="BB99" s="190">
        <v>0</v>
      </c>
      <c r="BC99" s="190">
        <v>0</v>
      </c>
      <c r="BD99" s="190">
        <v>0</v>
      </c>
      <c r="BE99" s="190">
        <v>0</v>
      </c>
      <c r="BF99" s="190">
        <v>0</v>
      </c>
      <c r="BG99" s="190">
        <v>0</v>
      </c>
      <c r="BH99" s="190">
        <v>0</v>
      </c>
      <c r="BI99" s="190">
        <v>0</v>
      </c>
      <c r="BJ99" s="190">
        <v>0</v>
      </c>
      <c r="BK99" s="190">
        <v>0</v>
      </c>
      <c r="BL99" s="190">
        <v>76800000</v>
      </c>
      <c r="BM99" s="190">
        <v>76800000</v>
      </c>
      <c r="BN99" s="190">
        <v>0</v>
      </c>
      <c r="BO99" s="190">
        <v>0</v>
      </c>
      <c r="BP99" s="190">
        <v>48000000</v>
      </c>
      <c r="BQ99" s="190">
        <v>48000000</v>
      </c>
      <c r="BR99" s="190">
        <v>0</v>
      </c>
      <c r="BS99" s="190">
        <v>7970356.0700000003</v>
      </c>
      <c r="BT99" s="190">
        <v>17570356.07</v>
      </c>
      <c r="BU99" s="190">
        <v>16628762.310000001</v>
      </c>
      <c r="BV99" s="190">
        <v>20370356.07</v>
      </c>
      <c r="BW99" s="190">
        <v>0</v>
      </c>
      <c r="BX99" s="190">
        <v>0</v>
      </c>
      <c r="BY99" s="190">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x14ac:dyDescent="0.25">
      <c r="A100" s="129"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9"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c r="BV101" s="190"/>
      <c r="BW101" s="190"/>
      <c r="BX101" s="190"/>
      <c r="BY101" s="190"/>
      <c r="BZ101" s="40"/>
      <c r="CA101" s="40"/>
      <c r="CB101" s="40"/>
      <c r="CC101" s="40"/>
      <c r="CD101" s="40"/>
      <c r="CE101" s="40"/>
      <c r="CF101" s="40"/>
      <c r="CG101" s="40"/>
      <c r="CH101" s="40"/>
      <c r="CI101" s="40"/>
      <c r="CJ101" s="40"/>
      <c r="CK101" s="40"/>
      <c r="CL101" s="40"/>
    </row>
    <row r="102" spans="1:90" x14ac:dyDescent="0.25">
      <c r="A102" s="129" t="s">
        <v>72</v>
      </c>
      <c r="B102" s="190">
        <v>4286876793.8299999</v>
      </c>
      <c r="C102" s="190">
        <v>4136280722.8499999</v>
      </c>
      <c r="D102" s="190">
        <v>4083144683.5599999</v>
      </c>
      <c r="E102" s="190">
        <v>4062259183.5799999</v>
      </c>
      <c r="F102" s="190">
        <v>3987249194.7800002</v>
      </c>
      <c r="G102" s="190">
        <v>3918534685.9000001</v>
      </c>
      <c r="H102" s="190">
        <v>3815664775.1199999</v>
      </c>
      <c r="I102" s="190">
        <v>3849618617.5700002</v>
      </c>
      <c r="J102" s="190">
        <v>3761091020.27</v>
      </c>
      <c r="K102" s="190">
        <v>2689801684.9299998</v>
      </c>
      <c r="L102" s="190">
        <v>2678689083.0500002</v>
      </c>
      <c r="M102" s="190">
        <v>2591297732.8400002</v>
      </c>
      <c r="N102" s="190">
        <v>2479470434.5500002</v>
      </c>
      <c r="O102" s="190">
        <v>2403224562.5999999</v>
      </c>
      <c r="P102" s="190">
        <v>2409337159.0500002</v>
      </c>
      <c r="Q102" s="190">
        <v>1375745712.3499999</v>
      </c>
      <c r="R102" s="190">
        <v>1342775727.4000001</v>
      </c>
      <c r="S102" s="190">
        <v>1316299377.1400001</v>
      </c>
      <c r="T102" s="190">
        <v>1345101797.3399999</v>
      </c>
      <c r="U102" s="190">
        <v>1327826505.6600001</v>
      </c>
      <c r="V102" s="190">
        <v>1294368212.5999999</v>
      </c>
      <c r="W102" s="190">
        <v>1266758061.6600001</v>
      </c>
      <c r="X102" s="190">
        <v>1276559138.0899999</v>
      </c>
      <c r="Y102" s="190">
        <v>1244457985.5</v>
      </c>
      <c r="Z102" s="190">
        <v>1216882777.4300001</v>
      </c>
      <c r="AA102" s="190">
        <v>1204799411.96</v>
      </c>
      <c r="AB102" s="190">
        <v>1163261652.3800001</v>
      </c>
      <c r="AC102" s="190">
        <v>1204025076.95</v>
      </c>
      <c r="AD102" s="190">
        <v>382309945.08999997</v>
      </c>
      <c r="AE102" s="190">
        <v>356958901.06999999</v>
      </c>
      <c r="AF102" s="190">
        <v>316586996.66000003</v>
      </c>
      <c r="AG102" s="190">
        <v>271531654.74000001</v>
      </c>
      <c r="AH102" s="190">
        <v>244181721.59</v>
      </c>
      <c r="AI102" s="190">
        <v>0</v>
      </c>
      <c r="AJ102" s="190">
        <v>5341196617.0299997</v>
      </c>
      <c r="AK102" s="190">
        <v>5051236705.5500002</v>
      </c>
      <c r="AL102" s="190">
        <v>4848250345.4300003</v>
      </c>
      <c r="AM102" s="190">
        <v>4488287554.1099997</v>
      </c>
      <c r="AN102" s="190">
        <v>4177908501.96</v>
      </c>
      <c r="AO102" s="190">
        <v>4817456931.3400002</v>
      </c>
      <c r="AP102" s="190">
        <v>4477787263.29</v>
      </c>
      <c r="AQ102" s="190">
        <v>4148533020.7399998</v>
      </c>
      <c r="AR102" s="190">
        <v>3635964250.9499998</v>
      </c>
      <c r="AS102" s="190">
        <v>3924015709.2199998</v>
      </c>
      <c r="AT102" s="190">
        <v>3499729124.0900002</v>
      </c>
      <c r="AU102" s="190">
        <v>3007024908.1999998</v>
      </c>
      <c r="AV102" s="190">
        <v>2833639454.2199998</v>
      </c>
      <c r="AW102" s="190">
        <v>2477426469.6300001</v>
      </c>
      <c r="AX102" s="190">
        <v>2231356366.6500001</v>
      </c>
      <c r="AY102" s="190">
        <v>1970977370.03</v>
      </c>
      <c r="AZ102" s="190">
        <v>1956516331.6099999</v>
      </c>
      <c r="BA102" s="190">
        <v>1778435527.8699999</v>
      </c>
      <c r="BB102" s="190">
        <v>1641047797.9300001</v>
      </c>
      <c r="BC102" s="190">
        <v>1489102491</v>
      </c>
      <c r="BD102" s="190">
        <v>1447583996.9100001</v>
      </c>
      <c r="BE102" s="190">
        <v>1290940618.9300001</v>
      </c>
      <c r="BF102" s="190">
        <v>1202220566.6300001</v>
      </c>
      <c r="BG102" s="190">
        <v>1102636808.8699999</v>
      </c>
      <c r="BH102" s="190">
        <v>1061442254.95</v>
      </c>
      <c r="BI102" s="190">
        <v>964156315.63999999</v>
      </c>
      <c r="BJ102" s="190">
        <v>918556647.08000004</v>
      </c>
      <c r="BK102" s="190">
        <v>870142014.30999994</v>
      </c>
      <c r="BL102" s="190">
        <v>789846635.84000003</v>
      </c>
      <c r="BM102" s="190">
        <v>808658820.5</v>
      </c>
      <c r="BN102" s="190">
        <v>778165133.73000002</v>
      </c>
      <c r="BO102" s="190">
        <v>746839868.34000003</v>
      </c>
      <c r="BP102" s="190">
        <v>689491725.37</v>
      </c>
      <c r="BQ102" s="190">
        <v>653798259.76999998</v>
      </c>
      <c r="BR102" s="190">
        <v>687705800</v>
      </c>
      <c r="BS102" s="190">
        <v>663841314.28999996</v>
      </c>
      <c r="BT102" s="190">
        <v>601069866.59000003</v>
      </c>
      <c r="BU102" s="190">
        <v>155202681.5</v>
      </c>
      <c r="BV102" s="190">
        <v>128306554.23</v>
      </c>
      <c r="BW102" s="190">
        <v>122396833.72</v>
      </c>
      <c r="BX102" s="190">
        <v>70008325.519999996</v>
      </c>
      <c r="BY102" s="190">
        <v>0</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x14ac:dyDescent="0.25">
      <c r="A103" s="129" t="s">
        <v>73</v>
      </c>
      <c r="B103" s="190">
        <v>158917577.05000001</v>
      </c>
      <c r="C103" s="190">
        <v>156280022.63</v>
      </c>
      <c r="D103" s="190">
        <v>7301521.1100000003</v>
      </c>
      <c r="E103" s="190">
        <v>8094707.5700000003</v>
      </c>
      <c r="F103" s="190">
        <v>8059771.5199999996</v>
      </c>
      <c r="G103" s="190">
        <v>8077652.6500000004</v>
      </c>
      <c r="H103" s="190">
        <v>8053972.9199999999</v>
      </c>
      <c r="I103" s="190">
        <v>8051967.3099999996</v>
      </c>
      <c r="J103" s="190">
        <v>8060633.3300000001</v>
      </c>
      <c r="K103" s="190">
        <v>8017564.2000000002</v>
      </c>
      <c r="L103" s="190">
        <v>8009670.6100000003</v>
      </c>
      <c r="M103" s="190">
        <v>8008614.6100000003</v>
      </c>
      <c r="N103" s="190">
        <v>8095531.5099999998</v>
      </c>
      <c r="O103" s="190">
        <v>7974396.79</v>
      </c>
      <c r="P103" s="190">
        <v>16159013.07</v>
      </c>
      <c r="Q103" s="190">
        <v>16096370.949999999</v>
      </c>
      <c r="R103" s="190">
        <v>15755425.48</v>
      </c>
      <c r="S103" s="190">
        <v>15385772.41</v>
      </c>
      <c r="T103" s="190">
        <v>16058608.310000001</v>
      </c>
      <c r="U103" s="190">
        <v>16465734.699999999</v>
      </c>
      <c r="V103" s="190">
        <v>16478590.380000001</v>
      </c>
      <c r="W103" s="190">
        <v>16732636.109999999</v>
      </c>
      <c r="X103" s="190">
        <v>0</v>
      </c>
      <c r="Y103" s="190">
        <v>0</v>
      </c>
      <c r="Z103" s="190">
        <v>0</v>
      </c>
      <c r="AA103" s="190">
        <v>0</v>
      </c>
      <c r="AB103" s="190">
        <v>0</v>
      </c>
      <c r="AC103" s="190">
        <v>0</v>
      </c>
      <c r="AD103" s="190">
        <v>0</v>
      </c>
      <c r="AE103" s="190">
        <v>0</v>
      </c>
      <c r="AF103" s="190">
        <v>0</v>
      </c>
      <c r="AG103" s="190">
        <v>0</v>
      </c>
      <c r="AH103" s="190">
        <v>0</v>
      </c>
      <c r="AI103" s="190">
        <v>0</v>
      </c>
      <c r="AJ103" s="190">
        <v>804966272.05999994</v>
      </c>
      <c r="AK103" s="190">
        <v>773881633.17999995</v>
      </c>
      <c r="AL103" s="190">
        <v>728282702.60000002</v>
      </c>
      <c r="AM103" s="190">
        <v>649261921.52999997</v>
      </c>
      <c r="AN103" s="190">
        <v>541200964.52999997</v>
      </c>
      <c r="AO103" s="190">
        <v>631957305.69000006</v>
      </c>
      <c r="AP103" s="190">
        <v>569251664.46000004</v>
      </c>
      <c r="AQ103" s="190">
        <v>515681053.38999999</v>
      </c>
      <c r="AR103" s="190">
        <v>385986526.14999998</v>
      </c>
      <c r="AS103" s="190">
        <v>514461139.75</v>
      </c>
      <c r="AT103" s="190">
        <v>443556823.94</v>
      </c>
      <c r="AU103" s="190">
        <v>394170221.25</v>
      </c>
      <c r="AV103" s="190">
        <v>422515795.08999997</v>
      </c>
      <c r="AW103" s="190">
        <v>342337783.56</v>
      </c>
      <c r="AX103" s="190">
        <v>318517901.66000003</v>
      </c>
      <c r="AY103" s="190">
        <v>274763019.31999999</v>
      </c>
      <c r="AZ103" s="190">
        <v>266893856.94</v>
      </c>
      <c r="BA103" s="190">
        <v>76967924.849999994</v>
      </c>
      <c r="BB103" s="190">
        <v>74206073.739999995</v>
      </c>
      <c r="BC103" s="190">
        <v>74096419.620000005</v>
      </c>
      <c r="BD103" s="190">
        <v>73864189.609999999</v>
      </c>
      <c r="BE103" s="190">
        <v>73828709.079999998</v>
      </c>
      <c r="BF103" s="190">
        <v>73773300.180000007</v>
      </c>
      <c r="BG103" s="190">
        <v>73740285.659999996</v>
      </c>
      <c r="BH103" s="190">
        <v>73734515.349999994</v>
      </c>
      <c r="BI103" s="190">
        <v>73742160.650000006</v>
      </c>
      <c r="BJ103" s="190">
        <v>73750000</v>
      </c>
      <c r="BK103" s="190">
        <v>0</v>
      </c>
      <c r="BL103" s="190">
        <v>0</v>
      </c>
      <c r="BM103" s="190">
        <v>0</v>
      </c>
      <c r="BN103" s="190">
        <v>0</v>
      </c>
      <c r="BO103" s="190">
        <v>0</v>
      </c>
      <c r="BP103" s="190">
        <v>0</v>
      </c>
      <c r="BQ103" s="190">
        <v>0</v>
      </c>
      <c r="BR103" s="190">
        <v>0</v>
      </c>
      <c r="BS103" s="190">
        <v>0</v>
      </c>
      <c r="BT103" s="190">
        <v>0</v>
      </c>
      <c r="BU103" s="190">
        <v>0</v>
      </c>
      <c r="BV103" s="190">
        <v>0</v>
      </c>
      <c r="BW103" s="190">
        <v>0</v>
      </c>
      <c r="BX103" s="190">
        <v>0</v>
      </c>
      <c r="BY103" s="190">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x14ac:dyDescent="0.25">
      <c r="A104" s="129"/>
      <c r="B104" s="26"/>
      <c r="C104" s="26"/>
      <c r="D104" s="26"/>
      <c r="E104" s="26"/>
      <c r="F104" s="26"/>
      <c r="G104" s="26"/>
      <c r="H104" s="26"/>
      <c r="I104" s="26"/>
      <c r="J104" s="26"/>
      <c r="K104" s="26"/>
      <c r="L104" s="23"/>
    </row>
    <row r="105" spans="1:90" hidden="1" x14ac:dyDescent="0.25">
      <c r="A105" s="129"/>
      <c r="B105" s="26"/>
      <c r="C105" s="26"/>
      <c r="D105" s="26"/>
      <c r="E105" s="26"/>
      <c r="F105" s="26"/>
      <c r="G105" s="26"/>
      <c r="H105" s="26"/>
      <c r="I105" s="26"/>
      <c r="J105" s="26"/>
      <c r="K105" s="26"/>
      <c r="L105" s="23"/>
    </row>
    <row r="106" spans="1:90" hidden="1" x14ac:dyDescent="0.25">
      <c r="A106" s="129"/>
      <c r="B106" s="26"/>
      <c r="C106" s="26"/>
      <c r="D106" s="26"/>
      <c r="E106" s="26"/>
      <c r="F106" s="26"/>
      <c r="G106" s="26"/>
      <c r="H106" s="26"/>
      <c r="I106" s="26"/>
      <c r="J106" s="26"/>
      <c r="K106" s="26"/>
      <c r="L106" s="23"/>
    </row>
    <row r="107" spans="1:90" s="5" customFormat="1" x14ac:dyDescent="0.25">
      <c r="A107" s="130" t="s">
        <v>74</v>
      </c>
      <c r="B107" s="33">
        <f>B102+B103</f>
        <v>4445794370.8800001</v>
      </c>
      <c r="C107" s="33">
        <f>C102+C103</f>
        <v>4292560745.48</v>
      </c>
      <c r="D107" s="33">
        <f>D102+D103</f>
        <v>4090446204.6700001</v>
      </c>
      <c r="E107" s="33">
        <f>E102+E103</f>
        <v>4070353891.1500001</v>
      </c>
      <c r="F107" s="33">
        <f t="shared" ref="F107:BQ107" si="20">F102+F103</f>
        <v>3995308966.3000002</v>
      </c>
      <c r="G107" s="33">
        <f t="shared" si="20"/>
        <v>3926612338.5500002</v>
      </c>
      <c r="H107" s="33">
        <f t="shared" si="20"/>
        <v>3823718748.04</v>
      </c>
      <c r="I107" s="33">
        <f t="shared" si="20"/>
        <v>3857670584.8800001</v>
      </c>
      <c r="J107" s="33">
        <f t="shared" si="20"/>
        <v>3769151653.5999999</v>
      </c>
      <c r="K107" s="33">
        <f t="shared" si="20"/>
        <v>2697819249.1299996</v>
      </c>
      <c r="L107" s="33">
        <f t="shared" si="20"/>
        <v>2686698753.6600003</v>
      </c>
      <c r="M107" s="33">
        <f t="shared" si="20"/>
        <v>2599306347.4500003</v>
      </c>
      <c r="N107" s="33">
        <f t="shared" si="20"/>
        <v>2487565966.0600004</v>
      </c>
      <c r="O107" s="33">
        <f t="shared" si="20"/>
        <v>2411198959.3899999</v>
      </c>
      <c r="P107" s="33">
        <f t="shared" si="20"/>
        <v>2425496172.1200004</v>
      </c>
      <c r="Q107" s="33">
        <f t="shared" si="20"/>
        <v>1391842083.3</v>
      </c>
      <c r="R107" s="33">
        <f t="shared" si="20"/>
        <v>1358531152.8800001</v>
      </c>
      <c r="S107" s="33">
        <f t="shared" si="20"/>
        <v>1331685149.5500002</v>
      </c>
      <c r="T107" s="33">
        <f t="shared" si="20"/>
        <v>1361160405.6499999</v>
      </c>
      <c r="U107" s="33">
        <f t="shared" si="20"/>
        <v>1344292240.3600001</v>
      </c>
      <c r="V107" s="33">
        <f t="shared" si="20"/>
        <v>1310846802.98</v>
      </c>
      <c r="W107" s="33">
        <f t="shared" si="20"/>
        <v>1283490697.77</v>
      </c>
      <c r="X107" s="33">
        <f t="shared" si="20"/>
        <v>1276559138.0899999</v>
      </c>
      <c r="Y107" s="33">
        <f t="shared" si="20"/>
        <v>1244457985.5</v>
      </c>
      <c r="Z107" s="33">
        <f t="shared" si="20"/>
        <v>1216882777.4300001</v>
      </c>
      <c r="AA107" s="33">
        <f t="shared" si="20"/>
        <v>1204799411.96</v>
      </c>
      <c r="AB107" s="33">
        <f t="shared" si="20"/>
        <v>1163261652.3800001</v>
      </c>
      <c r="AC107" s="33">
        <f t="shared" si="20"/>
        <v>1204025076.95</v>
      </c>
      <c r="AD107" s="33">
        <f t="shared" si="20"/>
        <v>382309945.08999997</v>
      </c>
      <c r="AE107" s="33">
        <f t="shared" si="20"/>
        <v>356958901.06999999</v>
      </c>
      <c r="AF107" s="33">
        <f t="shared" si="20"/>
        <v>316586996.66000003</v>
      </c>
      <c r="AG107" s="33">
        <f t="shared" si="20"/>
        <v>271531654.74000001</v>
      </c>
      <c r="AH107" s="33">
        <f t="shared" si="20"/>
        <v>244181721.59</v>
      </c>
      <c r="AI107" s="33">
        <f t="shared" si="20"/>
        <v>0</v>
      </c>
      <c r="AJ107" s="33">
        <f t="shared" si="20"/>
        <v>6146162889.0900002</v>
      </c>
      <c r="AK107" s="33">
        <f t="shared" si="20"/>
        <v>5825118338.7300005</v>
      </c>
      <c r="AL107" s="33">
        <f t="shared" si="20"/>
        <v>5576533048.0300007</v>
      </c>
      <c r="AM107" s="33">
        <f t="shared" si="20"/>
        <v>5137549475.6399994</v>
      </c>
      <c r="AN107" s="33">
        <f t="shared" si="20"/>
        <v>4719109466.4899998</v>
      </c>
      <c r="AO107" s="33">
        <f t="shared" si="20"/>
        <v>5449414237.0300007</v>
      </c>
      <c r="AP107" s="33">
        <f t="shared" si="20"/>
        <v>5047038927.75</v>
      </c>
      <c r="AQ107" s="33">
        <f t="shared" si="20"/>
        <v>4664214074.1300001</v>
      </c>
      <c r="AR107" s="33">
        <f t="shared" si="20"/>
        <v>4021950777.0999999</v>
      </c>
      <c r="AS107" s="33">
        <f t="shared" si="20"/>
        <v>4438476848.9699993</v>
      </c>
      <c r="AT107" s="33">
        <f t="shared" si="20"/>
        <v>3943285948.0300002</v>
      </c>
      <c r="AU107" s="33">
        <f t="shared" si="20"/>
        <v>3401195129.4499998</v>
      </c>
      <c r="AV107" s="33">
        <f t="shared" si="20"/>
        <v>3256155249.3099999</v>
      </c>
      <c r="AW107" s="33">
        <f t="shared" si="20"/>
        <v>2819764253.1900001</v>
      </c>
      <c r="AX107" s="33">
        <f t="shared" si="20"/>
        <v>2549874268.3099999</v>
      </c>
      <c r="AY107" s="33">
        <f t="shared" si="20"/>
        <v>2245740389.3499999</v>
      </c>
      <c r="AZ107" s="33">
        <f t="shared" si="20"/>
        <v>2223410188.5499997</v>
      </c>
      <c r="BA107" s="33">
        <f t="shared" si="20"/>
        <v>1855403452.7199998</v>
      </c>
      <c r="BB107" s="33">
        <f t="shared" si="20"/>
        <v>1715253871.6700001</v>
      </c>
      <c r="BC107" s="33">
        <f t="shared" si="20"/>
        <v>1563198910.6199999</v>
      </c>
      <c r="BD107" s="33">
        <f t="shared" si="20"/>
        <v>1521448186.52</v>
      </c>
      <c r="BE107" s="33">
        <f t="shared" si="20"/>
        <v>1364769328.01</v>
      </c>
      <c r="BF107" s="33">
        <f t="shared" si="20"/>
        <v>1275993866.8100002</v>
      </c>
      <c r="BG107" s="33">
        <f t="shared" si="20"/>
        <v>1176377094.53</v>
      </c>
      <c r="BH107" s="33">
        <f t="shared" si="20"/>
        <v>1135176770.3</v>
      </c>
      <c r="BI107" s="33">
        <f t="shared" si="20"/>
        <v>1037898476.29</v>
      </c>
      <c r="BJ107" s="33">
        <f t="shared" si="20"/>
        <v>992306647.08000004</v>
      </c>
      <c r="BK107" s="33">
        <f t="shared" si="20"/>
        <v>870142014.30999994</v>
      </c>
      <c r="BL107" s="33">
        <f t="shared" si="20"/>
        <v>789846635.84000003</v>
      </c>
      <c r="BM107" s="33">
        <f t="shared" si="20"/>
        <v>808658820.5</v>
      </c>
      <c r="BN107" s="33">
        <f t="shared" si="20"/>
        <v>778165133.73000002</v>
      </c>
      <c r="BO107" s="33">
        <f t="shared" si="20"/>
        <v>746839868.34000003</v>
      </c>
      <c r="BP107" s="33">
        <f t="shared" si="20"/>
        <v>689491725.37</v>
      </c>
      <c r="BQ107" s="33">
        <f t="shared" si="20"/>
        <v>653798259.76999998</v>
      </c>
      <c r="BR107" s="33">
        <f t="shared" ref="BR107:CK107" si="21">BR102+BR103</f>
        <v>687705800</v>
      </c>
      <c r="BS107" s="33">
        <f t="shared" si="21"/>
        <v>663841314.28999996</v>
      </c>
      <c r="BT107" s="33">
        <f t="shared" si="21"/>
        <v>601069866.59000003</v>
      </c>
      <c r="BU107" s="33">
        <f t="shared" si="21"/>
        <v>155202681.5</v>
      </c>
      <c r="BV107" s="33">
        <f t="shared" si="21"/>
        <v>128306554.23</v>
      </c>
      <c r="BW107" s="33">
        <f t="shared" si="21"/>
        <v>122396833.72</v>
      </c>
      <c r="BX107" s="33">
        <f t="shared" si="21"/>
        <v>70008325.519999996</v>
      </c>
      <c r="BY107" s="33">
        <f t="shared" si="21"/>
        <v>0</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1" t="s">
        <v>75</v>
      </c>
      <c r="B108" s="38">
        <f>SUM(B89+B107)</f>
        <v>4454401727.6000004</v>
      </c>
      <c r="C108" s="38">
        <f t="shared" ref="C108:BN108" si="22">SUM(C89+C107)</f>
        <v>4301463195.5200005</v>
      </c>
      <c r="D108" s="38">
        <f t="shared" si="22"/>
        <v>4099645046.54</v>
      </c>
      <c r="E108" s="38">
        <f>SUM(E107+E89)</f>
        <v>4080168390.1600003</v>
      </c>
      <c r="F108" s="38">
        <f t="shared" si="22"/>
        <v>4005712061.0500002</v>
      </c>
      <c r="G108" s="38">
        <f t="shared" si="22"/>
        <v>3937560396.4000001</v>
      </c>
      <c r="H108" s="38">
        <f t="shared" si="22"/>
        <v>3835198455.77</v>
      </c>
      <c r="I108" s="38">
        <f t="shared" si="22"/>
        <v>3869817412.9200001</v>
      </c>
      <c r="J108" s="38">
        <f t="shared" si="22"/>
        <v>4250906294.2799997</v>
      </c>
      <c r="K108" s="38">
        <f t="shared" si="22"/>
        <v>3498222542.2799997</v>
      </c>
      <c r="L108" s="38">
        <f t="shared" si="22"/>
        <v>3414265635.0200005</v>
      </c>
      <c r="M108" s="38">
        <f t="shared" si="22"/>
        <v>2599306347.4500003</v>
      </c>
      <c r="N108" s="38">
        <f t="shared" si="22"/>
        <v>2487565966.0600004</v>
      </c>
      <c r="O108" s="38">
        <f t="shared" si="22"/>
        <v>2411198959.3899999</v>
      </c>
      <c r="P108" s="38">
        <f t="shared" si="22"/>
        <v>2431896172.1200004</v>
      </c>
      <c r="Q108" s="38">
        <f t="shared" si="22"/>
        <v>1414242083.3</v>
      </c>
      <c r="R108" s="38">
        <f t="shared" si="22"/>
        <v>1388670923.4000001</v>
      </c>
      <c r="S108" s="38">
        <f t="shared" si="22"/>
        <v>1362607189.5100002</v>
      </c>
      <c r="T108" s="38">
        <f t="shared" si="22"/>
        <v>1395722391.05</v>
      </c>
      <c r="U108" s="38">
        <f t="shared" si="22"/>
        <v>1373133984.7900002</v>
      </c>
      <c r="V108" s="38">
        <f t="shared" si="22"/>
        <v>1331190359.5599999</v>
      </c>
      <c r="W108" s="38">
        <f t="shared" si="22"/>
        <v>1303549075.8899999</v>
      </c>
      <c r="X108" s="38">
        <f t="shared" si="22"/>
        <v>1386636206.3599999</v>
      </c>
      <c r="Y108" s="38">
        <f t="shared" si="22"/>
        <v>1342665469.98</v>
      </c>
      <c r="Z108" s="38">
        <f t="shared" si="22"/>
        <v>1227177657.47</v>
      </c>
      <c r="AA108" s="38">
        <f t="shared" si="22"/>
        <v>1215445817.72</v>
      </c>
      <c r="AB108" s="38">
        <f t="shared" si="22"/>
        <v>1210864583.8600001</v>
      </c>
      <c r="AC108" s="38">
        <f t="shared" si="22"/>
        <v>1468979496.1500001</v>
      </c>
      <c r="AD108" s="38">
        <f t="shared" si="22"/>
        <v>569249741.70000005</v>
      </c>
      <c r="AE108" s="38">
        <f t="shared" si="22"/>
        <v>600976040.61000001</v>
      </c>
      <c r="AF108" s="38">
        <f t="shared" si="22"/>
        <v>555019711.33000004</v>
      </c>
      <c r="AG108" s="38">
        <f t="shared" si="22"/>
        <v>498501654.74000001</v>
      </c>
      <c r="AH108" s="38">
        <f t="shared" si="22"/>
        <v>424181721.59000003</v>
      </c>
      <c r="AI108" s="38">
        <f t="shared" si="22"/>
        <v>0</v>
      </c>
      <c r="AJ108" s="38">
        <f t="shared" si="22"/>
        <v>6146162889.0900002</v>
      </c>
      <c r="AK108" s="38">
        <f t="shared" si="22"/>
        <v>5825118338.7300005</v>
      </c>
      <c r="AL108" s="38">
        <f t="shared" si="22"/>
        <v>5576533048.0300007</v>
      </c>
      <c r="AM108" s="38">
        <f t="shared" si="22"/>
        <v>5137549475.6399994</v>
      </c>
      <c r="AN108" s="38">
        <f t="shared" si="22"/>
        <v>4719109466.4899998</v>
      </c>
      <c r="AO108" s="38">
        <f t="shared" si="22"/>
        <v>5449414237.0300007</v>
      </c>
      <c r="AP108" s="38">
        <f t="shared" si="22"/>
        <v>5047038927.75</v>
      </c>
      <c r="AQ108" s="38">
        <f t="shared" si="22"/>
        <v>4664214074.1300001</v>
      </c>
      <c r="AR108" s="38">
        <f t="shared" si="22"/>
        <v>4021950777.0999999</v>
      </c>
      <c r="AS108" s="38">
        <f t="shared" si="22"/>
        <v>4438476848.9699993</v>
      </c>
      <c r="AT108" s="38">
        <f t="shared" si="22"/>
        <v>3943285948.0300002</v>
      </c>
      <c r="AU108" s="38">
        <f t="shared" si="22"/>
        <v>3401195129.4499998</v>
      </c>
      <c r="AV108" s="38">
        <f t="shared" si="22"/>
        <v>3256155249.3099999</v>
      </c>
      <c r="AW108" s="38">
        <f t="shared" si="22"/>
        <v>2819764253.1900001</v>
      </c>
      <c r="AX108" s="38">
        <f t="shared" si="22"/>
        <v>2549874268.3099999</v>
      </c>
      <c r="AY108" s="38">
        <f t="shared" si="22"/>
        <v>2245740389.3499999</v>
      </c>
      <c r="AZ108" s="38">
        <f t="shared" si="22"/>
        <v>2223410188.5499997</v>
      </c>
      <c r="BA108" s="38">
        <f t="shared" si="22"/>
        <v>1855403452.7199998</v>
      </c>
      <c r="BB108" s="38">
        <f t="shared" si="22"/>
        <v>1715253871.6700001</v>
      </c>
      <c r="BC108" s="38">
        <f t="shared" si="22"/>
        <v>1563198910.6199999</v>
      </c>
      <c r="BD108" s="38">
        <f t="shared" si="22"/>
        <v>1521448186.52</v>
      </c>
      <c r="BE108" s="38">
        <f t="shared" si="22"/>
        <v>1364769328.01</v>
      </c>
      <c r="BF108" s="38">
        <f t="shared" si="22"/>
        <v>1275993866.8100002</v>
      </c>
      <c r="BG108" s="38">
        <f t="shared" si="22"/>
        <v>1176377094.53</v>
      </c>
      <c r="BH108" s="38">
        <f t="shared" si="22"/>
        <v>1135176770.3</v>
      </c>
      <c r="BI108" s="38">
        <f t="shared" si="22"/>
        <v>1037898476.29</v>
      </c>
      <c r="BJ108" s="38">
        <f t="shared" si="22"/>
        <v>992306647.08000004</v>
      </c>
      <c r="BK108" s="38">
        <f t="shared" si="22"/>
        <v>870142014.30999994</v>
      </c>
      <c r="BL108" s="38">
        <f t="shared" si="22"/>
        <v>789846635.84000003</v>
      </c>
      <c r="BM108" s="38">
        <f t="shared" si="22"/>
        <v>808658820.5</v>
      </c>
      <c r="BN108" s="38">
        <f t="shared" si="22"/>
        <v>778165133.73000002</v>
      </c>
      <c r="BO108" s="38">
        <f t="shared" ref="BO108:CK108" si="23">SUM(BO89+BO107)</f>
        <v>746839868.34000003</v>
      </c>
      <c r="BP108" s="38">
        <f t="shared" si="23"/>
        <v>689491725.37</v>
      </c>
      <c r="BQ108" s="38">
        <f t="shared" si="23"/>
        <v>653798259.76999998</v>
      </c>
      <c r="BR108" s="38">
        <f t="shared" si="23"/>
        <v>687705800</v>
      </c>
      <c r="BS108" s="38">
        <f t="shared" si="23"/>
        <v>663841314.28999996</v>
      </c>
      <c r="BT108" s="38">
        <f t="shared" si="23"/>
        <v>601069866.59000003</v>
      </c>
      <c r="BU108" s="38">
        <f t="shared" si="23"/>
        <v>155202681.5</v>
      </c>
      <c r="BV108" s="38">
        <f t="shared" si="23"/>
        <v>128306554.23</v>
      </c>
      <c r="BW108" s="38">
        <f t="shared" si="23"/>
        <v>122396833.72</v>
      </c>
      <c r="BX108" s="38">
        <f t="shared" si="23"/>
        <v>70008325.519999996</v>
      </c>
      <c r="BY108" s="38">
        <f t="shared" si="23"/>
        <v>0</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M1" workbookViewId="0">
      <selection activeCell="E52" sqref="E52:AG55"/>
    </sheetView>
  </sheetViews>
  <sheetFormatPr defaultRowHeight="14.4" x14ac:dyDescent="0.25"/>
  <cols>
    <col min="1" max="1" width="57.21875" style="17" bestFit="1" customWidth="1"/>
    <col min="2" max="2" width="19" hidden="1" customWidth="1"/>
    <col min="3" max="4" width="20.21875" hidden="1" customWidth="1"/>
    <col min="5" max="5" width="20.21875" bestFit="1" customWidth="1"/>
    <col min="6" max="6" width="19" hidden="1" customWidth="1"/>
    <col min="7" max="8" width="20.21875" hidden="1" customWidth="1"/>
    <col min="9" max="9" width="19" bestFit="1" customWidth="1"/>
    <col min="10" max="11" width="19" hidden="1" customWidth="1"/>
    <col min="12" max="12" width="20.21875" hidden="1" customWidth="1"/>
    <col min="13" max="13" width="20.21875" bestFit="1" customWidth="1"/>
    <col min="14" max="14" width="19" hidden="1" customWidth="1"/>
    <col min="15" max="16" width="20.21875"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9" bestFit="1" customWidth="1"/>
    <col min="30" max="30" width="19" hidden="1" customWidth="1"/>
    <col min="31" max="32" width="17.77734375" hidden="1" customWidth="1"/>
    <col min="33" max="33" width="19" bestFit="1" customWidth="1"/>
    <col min="34" max="34" width="17.77734375" hidden="1" customWidth="1"/>
    <col min="35" max="35" width="17.77734375" bestFit="1" customWidth="1"/>
    <col min="36" max="36" width="19" bestFit="1" customWidth="1"/>
    <col min="37" max="37" width="19" hidden="1" customWidth="1"/>
    <col min="38" max="40" width="20.21875" bestFit="1" customWidth="1"/>
    <col min="41" max="41" width="25.109375" bestFit="1" customWidth="1"/>
    <col min="42" max="45" width="20.21875" bestFit="1" customWidth="1"/>
    <col min="46" max="46" width="23.88671875" bestFit="1" customWidth="1"/>
    <col min="47" max="49" width="20.21875" bestFit="1" customWidth="1"/>
    <col min="50" max="50" width="21.44140625" bestFit="1" customWidth="1"/>
    <col min="51" max="51" width="22.6640625" bestFit="1" customWidth="1"/>
    <col min="52" max="63" width="20.21875" bestFit="1" customWidth="1"/>
    <col min="64" max="76" width="19" bestFit="1" customWidth="1"/>
    <col min="77" max="77" width="9.5546875" bestFit="1" customWidth="1"/>
    <col min="78" max="78" width="19" bestFit="1" customWidth="1"/>
    <col min="79"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90">
        <v>1849934355.4400001</v>
      </c>
      <c r="C4" s="190">
        <v>1277996624.8399999</v>
      </c>
      <c r="D4" s="190">
        <v>657642184.55999994</v>
      </c>
      <c r="E4" s="190">
        <v>2456391218.1599998</v>
      </c>
      <c r="F4" s="190">
        <v>1797303663.71</v>
      </c>
      <c r="G4" s="190">
        <v>1262280095.75</v>
      </c>
      <c r="H4" s="190">
        <v>612156580.71000004</v>
      </c>
      <c r="I4" s="190">
        <v>1847391081.8399999</v>
      </c>
      <c r="J4" s="190">
        <v>1324775375.3399999</v>
      </c>
      <c r="K4" s="190">
        <v>888376461.49000001</v>
      </c>
      <c r="L4" s="190">
        <v>423001389.69</v>
      </c>
      <c r="M4" s="190">
        <v>1631042560</v>
      </c>
      <c r="N4" s="190">
        <v>1022711562.04</v>
      </c>
      <c r="O4" s="190">
        <v>615138524.07000005</v>
      </c>
      <c r="P4" s="190">
        <v>265749041.91</v>
      </c>
      <c r="Q4" s="190">
        <v>1068796191.5700001</v>
      </c>
      <c r="R4" s="190">
        <v>705098562.99000001</v>
      </c>
      <c r="S4" s="190">
        <v>433011175.55000001</v>
      </c>
      <c r="T4" s="190">
        <v>196981639.65000001</v>
      </c>
      <c r="U4" s="190">
        <v>965382340.42999995</v>
      </c>
      <c r="V4" s="190">
        <v>705638264.82000005</v>
      </c>
      <c r="W4" s="190">
        <v>483178236.35000002</v>
      </c>
      <c r="X4" s="190">
        <v>221315195.03</v>
      </c>
      <c r="Y4" s="190">
        <v>789577816.87</v>
      </c>
      <c r="Z4" s="190">
        <v>539360672.49000001</v>
      </c>
      <c r="AA4" s="190">
        <v>394771497.57999998</v>
      </c>
      <c r="AB4" s="190">
        <v>177632246.53</v>
      </c>
      <c r="AC4" s="190">
        <v>820090562.65999997</v>
      </c>
      <c r="AD4" s="190">
        <v>640951585.91999996</v>
      </c>
      <c r="AE4" s="190">
        <v>469202622.25999999</v>
      </c>
      <c r="AF4" s="190">
        <v>205970417.91999999</v>
      </c>
      <c r="AG4" s="190">
        <v>731662751.10000002</v>
      </c>
      <c r="AH4" s="190">
        <v>538217516.25999999</v>
      </c>
      <c r="AI4" s="190">
        <v>404874884.06999999</v>
      </c>
      <c r="AJ4" s="190">
        <v>639478592.48000002</v>
      </c>
      <c r="AK4" s="190">
        <v>0</v>
      </c>
      <c r="AL4" s="190"/>
      <c r="AM4" s="190"/>
      <c r="AN4" s="190"/>
      <c r="AO4" s="190"/>
      <c r="AP4" s="190"/>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40"/>
      <c r="CA4" s="40"/>
      <c r="CB4" s="40"/>
      <c r="CC4" s="40"/>
      <c r="CD4" s="40"/>
      <c r="CE4" s="40"/>
      <c r="CF4" s="40"/>
      <c r="CG4" s="40"/>
      <c r="CH4" s="40"/>
      <c r="CI4" s="40"/>
      <c r="CJ4" s="40"/>
      <c r="CK4" s="40"/>
    </row>
    <row r="5" spans="1:89" x14ac:dyDescent="0.25">
      <c r="A5" s="19" t="s">
        <v>385</v>
      </c>
      <c r="B5" s="190">
        <v>1135658201.5899999</v>
      </c>
      <c r="C5" s="190">
        <v>804497078.79999995</v>
      </c>
      <c r="D5" s="190">
        <v>437269597.19999999</v>
      </c>
      <c r="E5" s="190">
        <v>1483217632.6600001</v>
      </c>
      <c r="F5" s="190">
        <v>1076327673.26</v>
      </c>
      <c r="G5" s="190">
        <v>763209419.25999999</v>
      </c>
      <c r="H5" s="190">
        <v>379066624.18000001</v>
      </c>
      <c r="I5" s="190">
        <v>1093192340.75</v>
      </c>
      <c r="J5" s="190">
        <v>774816435.69000006</v>
      </c>
      <c r="K5" s="190">
        <v>523069803.54000002</v>
      </c>
      <c r="L5" s="190">
        <v>261347307.03</v>
      </c>
      <c r="M5" s="190">
        <v>1072076772.12</v>
      </c>
      <c r="N5" s="190">
        <v>666132747.07000005</v>
      </c>
      <c r="O5" s="190">
        <v>408201899.26999998</v>
      </c>
      <c r="P5" s="190">
        <v>177861626.05000001</v>
      </c>
      <c r="Q5" s="190">
        <v>768038724.02999997</v>
      </c>
      <c r="R5" s="190">
        <v>507051456.85000002</v>
      </c>
      <c r="S5" s="190">
        <v>315018885.75999999</v>
      </c>
      <c r="T5" s="190">
        <v>139161166.72</v>
      </c>
      <c r="U5" s="190">
        <v>670813034.48000002</v>
      </c>
      <c r="V5" s="190">
        <v>496650507.01999998</v>
      </c>
      <c r="W5" s="190">
        <v>341931917.73000002</v>
      </c>
      <c r="X5" s="190">
        <v>156289971.44999999</v>
      </c>
      <c r="Y5" s="190">
        <v>521890826.97000003</v>
      </c>
      <c r="Z5" s="190">
        <v>355153963.38</v>
      </c>
      <c r="AA5" s="190">
        <v>254538342.21000001</v>
      </c>
      <c r="AB5" s="190">
        <v>119441195.91</v>
      </c>
      <c r="AC5" s="190">
        <v>531176597.10000002</v>
      </c>
      <c r="AD5" s="190">
        <v>402979000.42000002</v>
      </c>
      <c r="AE5" s="190">
        <v>294317658.50999999</v>
      </c>
      <c r="AF5" s="190">
        <v>134954397.66</v>
      </c>
      <c r="AG5" s="190">
        <v>498840802.37</v>
      </c>
      <c r="AH5" s="190">
        <v>366482751.81999999</v>
      </c>
      <c r="AI5" s="190">
        <v>249155678</v>
      </c>
      <c r="AJ5" s="190">
        <v>447889209.37</v>
      </c>
      <c r="AK5" s="190">
        <v>0</v>
      </c>
      <c r="AL5" s="190"/>
      <c r="AM5" s="190"/>
      <c r="AN5" s="190"/>
      <c r="AO5" s="190"/>
      <c r="AP5" s="190"/>
      <c r="AQ5" s="190"/>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40"/>
      <c r="CA5" s="40"/>
      <c r="CB5" s="40"/>
      <c r="CC5" s="40"/>
      <c r="CD5" s="40"/>
      <c r="CE5" s="40"/>
      <c r="CF5" s="40"/>
      <c r="CG5" s="40"/>
      <c r="CH5" s="40"/>
      <c r="CI5" s="40"/>
      <c r="CJ5" s="40"/>
      <c r="CK5" s="40"/>
    </row>
    <row r="6" spans="1:89" s="3" customFormat="1" x14ac:dyDescent="0.25">
      <c r="A6" s="20" t="s">
        <v>386</v>
      </c>
      <c r="B6" s="27">
        <f>B4-B5</f>
        <v>714276153.85000014</v>
      </c>
      <c r="C6" s="27">
        <f t="shared" ref="C6:BN6" si="0">C4-C5</f>
        <v>473499546.03999996</v>
      </c>
      <c r="D6" s="27">
        <f t="shared" si="0"/>
        <v>220372587.35999995</v>
      </c>
      <c r="E6" s="27">
        <f t="shared" si="0"/>
        <v>973173585.49999976</v>
      </c>
      <c r="F6" s="27">
        <f t="shared" si="0"/>
        <v>720975990.45000005</v>
      </c>
      <c r="G6" s="27">
        <f t="shared" si="0"/>
        <v>499070676.49000001</v>
      </c>
      <c r="H6" s="27">
        <f t="shared" si="0"/>
        <v>233089956.53000003</v>
      </c>
      <c r="I6" s="27">
        <f t="shared" si="0"/>
        <v>754198741.08999991</v>
      </c>
      <c r="J6" s="27">
        <f t="shared" si="0"/>
        <v>549958939.64999986</v>
      </c>
      <c r="K6" s="27">
        <f t="shared" si="0"/>
        <v>365306657.94999999</v>
      </c>
      <c r="L6" s="27">
        <f t="shared" si="0"/>
        <v>161654082.66</v>
      </c>
      <c r="M6" s="27">
        <f t="shared" si="0"/>
        <v>558965787.88</v>
      </c>
      <c r="N6" s="27">
        <f t="shared" si="0"/>
        <v>356578814.96999991</v>
      </c>
      <c r="O6" s="27">
        <f t="shared" si="0"/>
        <v>206936624.80000007</v>
      </c>
      <c r="P6" s="27">
        <f t="shared" si="0"/>
        <v>87887415.859999985</v>
      </c>
      <c r="Q6" s="27">
        <f t="shared" si="0"/>
        <v>300757467.54000008</v>
      </c>
      <c r="R6" s="27">
        <f t="shared" si="0"/>
        <v>198047106.13999999</v>
      </c>
      <c r="S6" s="27">
        <f t="shared" si="0"/>
        <v>117992289.79000002</v>
      </c>
      <c r="T6" s="27">
        <f t="shared" si="0"/>
        <v>57820472.930000007</v>
      </c>
      <c r="U6" s="27">
        <f t="shared" si="0"/>
        <v>294569305.94999993</v>
      </c>
      <c r="V6" s="27">
        <f t="shared" si="0"/>
        <v>208987757.80000007</v>
      </c>
      <c r="W6" s="27">
        <f t="shared" si="0"/>
        <v>141246318.62</v>
      </c>
      <c r="X6" s="27">
        <f t="shared" si="0"/>
        <v>65025223.580000013</v>
      </c>
      <c r="Y6" s="27">
        <f t="shared" si="0"/>
        <v>267686989.89999998</v>
      </c>
      <c r="Z6" s="27">
        <f t="shared" si="0"/>
        <v>184206709.11000001</v>
      </c>
      <c r="AA6" s="27">
        <f t="shared" si="0"/>
        <v>140233155.36999997</v>
      </c>
      <c r="AB6" s="27">
        <f t="shared" si="0"/>
        <v>58191050.620000005</v>
      </c>
      <c r="AC6" s="27">
        <f t="shared" si="0"/>
        <v>288913965.55999994</v>
      </c>
      <c r="AD6" s="27">
        <f t="shared" si="0"/>
        <v>237972585.49999994</v>
      </c>
      <c r="AE6" s="27">
        <f t="shared" si="0"/>
        <v>174884963.75</v>
      </c>
      <c r="AF6" s="27">
        <f t="shared" si="0"/>
        <v>71016020.25999999</v>
      </c>
      <c r="AG6" s="27">
        <f t="shared" si="0"/>
        <v>232821948.73000002</v>
      </c>
      <c r="AH6" s="27">
        <f t="shared" si="0"/>
        <v>171734764.44</v>
      </c>
      <c r="AI6" s="27">
        <f t="shared" si="0"/>
        <v>155719206.06999999</v>
      </c>
      <c r="AJ6" s="27">
        <f t="shared" si="0"/>
        <v>191589383.11000001</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38.610891881085813</v>
      </c>
      <c r="C7" s="57">
        <f t="shared" ref="C7:D7" si="2">C6/C4*100</f>
        <v>37.05014057445419</v>
      </c>
      <c r="D7" s="57">
        <f t="shared" si="2"/>
        <v>33.509496886584571</v>
      </c>
      <c r="E7" s="57">
        <f>E6/E4</f>
        <v>0.39618020871649728</v>
      </c>
      <c r="F7" s="57">
        <f t="shared" ref="F7:BQ7" si="3">F6/F4</f>
        <v>0.40114311510485606</v>
      </c>
      <c r="G7" s="57">
        <f t="shared" si="3"/>
        <v>0.3953723727169054</v>
      </c>
      <c r="H7" s="57">
        <f t="shared" si="3"/>
        <v>0.38076852209879763</v>
      </c>
      <c r="I7" s="57">
        <f t="shared" si="3"/>
        <v>0.40825072097826659</v>
      </c>
      <c r="J7" s="57">
        <f t="shared" si="3"/>
        <v>0.41513372748859739</v>
      </c>
      <c r="K7" s="57">
        <f t="shared" si="3"/>
        <v>0.41120704316872769</v>
      </c>
      <c r="L7" s="57">
        <f t="shared" si="3"/>
        <v>0.38215969639832509</v>
      </c>
      <c r="M7" s="57">
        <f t="shared" si="3"/>
        <v>0.34270459986034946</v>
      </c>
      <c r="N7" s="57">
        <f t="shared" si="3"/>
        <v>0.34866019726884978</v>
      </c>
      <c r="O7" s="57">
        <f t="shared" si="3"/>
        <v>0.33640654373396323</v>
      </c>
      <c r="P7" s="57">
        <f t="shared" si="3"/>
        <v>0.33071583336042437</v>
      </c>
      <c r="Q7" s="57">
        <f t="shared" si="3"/>
        <v>0.28139833385652757</v>
      </c>
      <c r="R7" s="57">
        <f t="shared" si="3"/>
        <v>0.28087861262994629</v>
      </c>
      <c r="S7" s="57">
        <f t="shared" si="3"/>
        <v>0.27249248160888495</v>
      </c>
      <c r="T7" s="57">
        <f t="shared" si="3"/>
        <v>0.29353229586643864</v>
      </c>
      <c r="U7" s="57">
        <f t="shared" si="3"/>
        <v>0.3051322710324213</v>
      </c>
      <c r="V7" s="57">
        <f t="shared" si="3"/>
        <v>0.29616840273438172</v>
      </c>
      <c r="W7" s="57">
        <f t="shared" si="3"/>
        <v>0.29232756774600532</v>
      </c>
      <c r="X7" s="57">
        <f t="shared" si="3"/>
        <v>0.29381273875562691</v>
      </c>
      <c r="Y7" s="57">
        <f t="shared" si="3"/>
        <v>0.33902546928325533</v>
      </c>
      <c r="Z7" s="57">
        <f t="shared" si="3"/>
        <v>0.34152788385477861</v>
      </c>
      <c r="AA7" s="57">
        <f t="shared" si="3"/>
        <v>0.3552261402599915</v>
      </c>
      <c r="AB7" s="57">
        <f t="shared" si="3"/>
        <v>0.32759283157617569</v>
      </c>
      <c r="AC7" s="57">
        <f t="shared" si="3"/>
        <v>0.35229519606090176</v>
      </c>
      <c r="AD7" s="57">
        <f t="shared" si="3"/>
        <v>0.37128012587475268</v>
      </c>
      <c r="AE7" s="57">
        <f t="shared" si="3"/>
        <v>0.37272801867055788</v>
      </c>
      <c r="AF7" s="57">
        <f t="shared" si="3"/>
        <v>0.34478747471194138</v>
      </c>
      <c r="AG7" s="57">
        <f t="shared" si="3"/>
        <v>0.31820937772214003</v>
      </c>
      <c r="AH7" s="57">
        <f t="shared" si="3"/>
        <v>0.31908059335073563</v>
      </c>
      <c r="AI7" s="57">
        <f t="shared" si="3"/>
        <v>0.38461068393434167</v>
      </c>
      <c r="AJ7" s="57">
        <f t="shared" si="3"/>
        <v>0.29960249703901082</v>
      </c>
      <c r="AK7" s="57" t="e">
        <f t="shared" si="3"/>
        <v>#DIV/0!</v>
      </c>
      <c r="AL7" s="57" t="e">
        <f t="shared" si="3"/>
        <v>#DIV/0!</v>
      </c>
      <c r="AM7" s="57" t="e">
        <f t="shared" si="3"/>
        <v>#DIV/0!</v>
      </c>
      <c r="AN7" s="57" t="e">
        <f t="shared" si="3"/>
        <v>#DIV/0!</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90">
        <v>23191224.52</v>
      </c>
      <c r="C8" s="190">
        <v>16542253.810000001</v>
      </c>
      <c r="D8" s="190">
        <v>8779622.5099999998</v>
      </c>
      <c r="E8" s="190">
        <v>29290483.289999999</v>
      </c>
      <c r="F8" s="190">
        <v>20515098.809999999</v>
      </c>
      <c r="G8" s="190">
        <v>14190798.9</v>
      </c>
      <c r="H8" s="190">
        <v>7259068.7199999997</v>
      </c>
      <c r="I8" s="190">
        <v>19407331.18</v>
      </c>
      <c r="J8" s="190">
        <v>7888050.0099999998</v>
      </c>
      <c r="K8" s="190">
        <v>5589750.1100000003</v>
      </c>
      <c r="L8" s="190">
        <v>1931265.36</v>
      </c>
      <c r="M8" s="190">
        <v>13891686.960000001</v>
      </c>
      <c r="N8" s="190">
        <v>11091047.01</v>
      </c>
      <c r="O8" s="190">
        <v>7469738.3899999997</v>
      </c>
      <c r="P8" s="190">
        <v>3557840.46</v>
      </c>
      <c r="Q8" s="190">
        <v>9556522.0099999998</v>
      </c>
      <c r="R8" s="190">
        <v>6871760.4199999999</v>
      </c>
      <c r="S8" s="190">
        <v>4342226.78</v>
      </c>
      <c r="T8" s="190">
        <v>2075024.7</v>
      </c>
      <c r="U8" s="190">
        <v>7449893.2199999997</v>
      </c>
      <c r="V8" s="190">
        <v>4833119.1500000004</v>
      </c>
      <c r="W8" s="190">
        <v>2868816.48</v>
      </c>
      <c r="X8" s="190">
        <v>591991.57999999996</v>
      </c>
      <c r="Y8" s="190">
        <v>6498688.8600000003</v>
      </c>
      <c r="Z8" s="190">
        <v>5460486.7300000004</v>
      </c>
      <c r="AA8" s="190">
        <v>3884074.67</v>
      </c>
      <c r="AB8" s="190">
        <v>1261607.6399999999</v>
      </c>
      <c r="AC8" s="190">
        <v>7563965.7599999998</v>
      </c>
      <c r="AD8" s="190">
        <v>6183916.9900000002</v>
      </c>
      <c r="AE8" s="190">
        <v>3394963.58</v>
      </c>
      <c r="AF8" s="190">
        <v>1168668.52</v>
      </c>
      <c r="AG8" s="190">
        <v>5622497.25</v>
      </c>
      <c r="AH8" s="190">
        <v>4295612.0999999996</v>
      </c>
      <c r="AI8" s="190">
        <v>4126801.4</v>
      </c>
      <c r="AJ8" s="190">
        <v>4576691.03</v>
      </c>
      <c r="AK8" s="190">
        <v>0</v>
      </c>
      <c r="AL8" s="190"/>
      <c r="AM8" s="190"/>
      <c r="AN8" s="190"/>
      <c r="AO8" s="190"/>
      <c r="AP8" s="190"/>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40"/>
      <c r="CA8" s="40"/>
      <c r="CB8" s="40"/>
      <c r="CC8" s="40"/>
      <c r="CD8" s="40"/>
      <c r="CE8" s="40"/>
      <c r="CF8" s="40"/>
      <c r="CG8" s="40"/>
      <c r="CH8" s="40"/>
      <c r="CI8" s="40"/>
      <c r="CJ8" s="40"/>
      <c r="CK8" s="40"/>
    </row>
    <row r="9" spans="1:89" x14ac:dyDescent="0.25">
      <c r="A9" s="17" t="s">
        <v>389</v>
      </c>
      <c r="B9" s="190">
        <v>110648258.59999999</v>
      </c>
      <c r="C9" s="190">
        <v>72758768.090000004</v>
      </c>
      <c r="D9" s="190">
        <v>28654047.329999998</v>
      </c>
      <c r="E9" s="190">
        <v>161946615.94</v>
      </c>
      <c r="F9" s="190">
        <v>115835567.73999999</v>
      </c>
      <c r="G9" s="190">
        <v>79063494.579999998</v>
      </c>
      <c r="H9" s="190">
        <v>38085936.170000002</v>
      </c>
      <c r="I9" s="190">
        <v>127782137.45999999</v>
      </c>
      <c r="J9" s="190">
        <v>79823343.730000004</v>
      </c>
      <c r="K9" s="190">
        <v>44739353.159999996</v>
      </c>
      <c r="L9" s="190">
        <v>4311945.47</v>
      </c>
      <c r="M9" s="190">
        <v>38193258.799999997</v>
      </c>
      <c r="N9" s="190">
        <v>30523308.300000001</v>
      </c>
      <c r="O9" s="190">
        <v>16053033.359999999</v>
      </c>
      <c r="P9" s="190">
        <v>7590713.0899999999</v>
      </c>
      <c r="Q9" s="190">
        <v>24163207.609999999</v>
      </c>
      <c r="R9" s="190">
        <v>15881130.720000001</v>
      </c>
      <c r="S9" s="190">
        <v>11730498.82</v>
      </c>
      <c r="T9" s="190">
        <v>5135968.8099999996</v>
      </c>
      <c r="U9" s="190">
        <v>16340221.83</v>
      </c>
      <c r="V9" s="190">
        <v>12802972.93</v>
      </c>
      <c r="W9" s="190">
        <v>7576609.4900000002</v>
      </c>
      <c r="X9" s="190">
        <v>2902536.7</v>
      </c>
      <c r="Y9" s="190">
        <v>17382391.079999998</v>
      </c>
      <c r="Z9" s="190">
        <v>10896233.470000001</v>
      </c>
      <c r="AA9" s="190">
        <v>7025899.1500000004</v>
      </c>
      <c r="AB9" s="190">
        <v>4075108.68</v>
      </c>
      <c r="AC9" s="190">
        <v>18337717.219999999</v>
      </c>
      <c r="AD9" s="190">
        <v>16095605.960000001</v>
      </c>
      <c r="AE9" s="190">
        <v>11738887.710000001</v>
      </c>
      <c r="AF9" s="190">
        <v>3767219.08</v>
      </c>
      <c r="AG9" s="190">
        <v>10156455.640000001</v>
      </c>
      <c r="AH9" s="190">
        <v>7771348.21</v>
      </c>
      <c r="AI9" s="190">
        <v>6459453.6500000004</v>
      </c>
      <c r="AJ9" s="190">
        <v>6710158.71</v>
      </c>
      <c r="AK9" s="190">
        <v>0</v>
      </c>
      <c r="AL9" s="190"/>
      <c r="AM9" s="190"/>
      <c r="AN9" s="190"/>
      <c r="AO9" s="190"/>
      <c r="AP9" s="190"/>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40"/>
      <c r="CA9" s="40"/>
      <c r="CB9" s="40"/>
      <c r="CC9" s="40"/>
      <c r="CD9" s="40"/>
      <c r="CE9" s="40"/>
      <c r="CF9" s="40"/>
      <c r="CG9" s="40"/>
      <c r="CH9" s="40"/>
      <c r="CI9" s="40"/>
      <c r="CJ9" s="40"/>
      <c r="CK9" s="40"/>
    </row>
    <row r="10" spans="1:89" x14ac:dyDescent="0.25">
      <c r="A10" s="17" t="s">
        <v>390</v>
      </c>
      <c r="B10" s="190">
        <v>145536471.53999999</v>
      </c>
      <c r="C10" s="190">
        <v>181401307.44999999</v>
      </c>
      <c r="D10" s="190">
        <v>91954482.650000006</v>
      </c>
      <c r="E10" s="190">
        <v>322376512.32999998</v>
      </c>
      <c r="F10" s="190">
        <v>227571290.36000001</v>
      </c>
      <c r="G10" s="190">
        <v>149051947.09</v>
      </c>
      <c r="H10" s="190">
        <v>70210928.969999999</v>
      </c>
      <c r="I10" s="190">
        <v>248517248.97</v>
      </c>
      <c r="J10" s="190">
        <v>179481284.69999999</v>
      </c>
      <c r="K10" s="190">
        <v>114411910.42</v>
      </c>
      <c r="L10" s="190">
        <v>50658210.920000002</v>
      </c>
      <c r="M10" s="190">
        <v>251304890.34999999</v>
      </c>
      <c r="N10" s="190">
        <v>172162246.28</v>
      </c>
      <c r="O10" s="190">
        <v>121462995.86</v>
      </c>
      <c r="P10" s="190">
        <v>51106501.609999999</v>
      </c>
      <c r="Q10" s="190">
        <v>159983783.44</v>
      </c>
      <c r="R10" s="190">
        <v>111377146.03</v>
      </c>
      <c r="S10" s="190">
        <v>65725165.530000001</v>
      </c>
      <c r="T10" s="190">
        <v>31816342.18</v>
      </c>
      <c r="U10" s="190">
        <v>122575848.34999999</v>
      </c>
      <c r="V10" s="190">
        <v>86828470.189999998</v>
      </c>
      <c r="W10" s="190">
        <v>53964969.229999997</v>
      </c>
      <c r="X10" s="190">
        <v>25488351.719999999</v>
      </c>
      <c r="Y10" s="190">
        <v>116980991.06999999</v>
      </c>
      <c r="Z10" s="190">
        <v>78100978.640000001</v>
      </c>
      <c r="AA10" s="190">
        <v>49409278.43</v>
      </c>
      <c r="AB10" s="190">
        <v>23011740.16</v>
      </c>
      <c r="AC10" s="190">
        <v>102116537.31</v>
      </c>
      <c r="AD10" s="190">
        <v>82818317.629999995</v>
      </c>
      <c r="AE10" s="190">
        <v>57192219.799999997</v>
      </c>
      <c r="AF10" s="190">
        <v>26394348.949999999</v>
      </c>
      <c r="AG10" s="190">
        <v>80905786.969999999</v>
      </c>
      <c r="AH10" s="190">
        <v>58116124.539999999</v>
      </c>
      <c r="AI10" s="190">
        <v>49034496.270000003</v>
      </c>
      <c r="AJ10" s="190">
        <v>47734088.259999998</v>
      </c>
      <c r="AK10" s="190">
        <v>0</v>
      </c>
      <c r="AL10" s="190"/>
      <c r="AM10" s="190"/>
      <c r="AN10" s="190"/>
      <c r="AO10" s="190"/>
      <c r="AP10" s="190"/>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40"/>
      <c r="CA10" s="40"/>
      <c r="CB10" s="40"/>
      <c r="CC10" s="40"/>
      <c r="CD10" s="40"/>
      <c r="CE10" s="40"/>
      <c r="CF10" s="40"/>
      <c r="CG10" s="40"/>
      <c r="CH10" s="40"/>
      <c r="CI10" s="40"/>
      <c r="CJ10" s="40"/>
      <c r="CK10" s="40"/>
    </row>
    <row r="11" spans="1:89" x14ac:dyDescent="0.25">
      <c r="A11" s="17" t="s">
        <v>391</v>
      </c>
      <c r="B11" s="190">
        <v>8686952.8499999996</v>
      </c>
      <c r="C11" s="190">
        <v>8486941.0299999993</v>
      </c>
      <c r="D11" s="190">
        <v>517458.93</v>
      </c>
      <c r="E11" s="190">
        <v>18676311.399999999</v>
      </c>
      <c r="F11" s="190">
        <v>4048475.53</v>
      </c>
      <c r="G11" s="190">
        <v>3804468.86</v>
      </c>
      <c r="H11" s="190">
        <v>-29469.7</v>
      </c>
      <c r="I11" s="190">
        <v>16123802.359999999</v>
      </c>
      <c r="J11" s="190">
        <v>2895422.65</v>
      </c>
      <c r="K11" s="190">
        <v>1581627.7</v>
      </c>
      <c r="L11" s="190">
        <v>-337282.13</v>
      </c>
      <c r="M11" s="190">
        <v>29378762.280000001</v>
      </c>
      <c r="N11" s="190">
        <v>-4028430.7</v>
      </c>
      <c r="O11" s="190">
        <v>-4028430.7</v>
      </c>
      <c r="P11" s="190">
        <v>0</v>
      </c>
      <c r="Q11" s="190">
        <v>15117518.52</v>
      </c>
      <c r="R11" s="190">
        <v>676735.04</v>
      </c>
      <c r="S11" s="190">
        <v>676735.04</v>
      </c>
      <c r="T11" s="190">
        <v>0</v>
      </c>
      <c r="U11" s="190">
        <v>5455016.3399999999</v>
      </c>
      <c r="V11" s="190">
        <v>878118.94</v>
      </c>
      <c r="W11" s="190">
        <v>878118.94</v>
      </c>
      <c r="X11" s="190">
        <v>0</v>
      </c>
      <c r="Y11" s="190">
        <v>14104415.439999999</v>
      </c>
      <c r="Z11" s="190">
        <v>2658839.17</v>
      </c>
      <c r="AA11" s="190">
        <v>4612662.8600000003</v>
      </c>
      <c r="AB11" s="190">
        <v>0</v>
      </c>
      <c r="AC11" s="190">
        <v>16632824.51</v>
      </c>
      <c r="AD11" s="190">
        <v>9905317.9499999993</v>
      </c>
      <c r="AE11" s="190">
        <v>9905317.9499999993</v>
      </c>
      <c r="AF11" s="190">
        <v>632790.14</v>
      </c>
      <c r="AG11" s="190">
        <v>10951177.859999999</v>
      </c>
      <c r="AH11" s="190">
        <v>8545607.7699999996</v>
      </c>
      <c r="AI11" s="190">
        <v>7466337.8700000001</v>
      </c>
      <c r="AJ11" s="190">
        <v>2619604.33</v>
      </c>
      <c r="AK11" s="190">
        <v>0</v>
      </c>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40"/>
      <c r="CA11" s="40"/>
      <c r="CB11" s="40"/>
      <c r="CC11" s="40"/>
      <c r="CD11" s="40"/>
      <c r="CE11" s="40"/>
      <c r="CF11" s="40"/>
      <c r="CG11" s="40"/>
      <c r="CH11" s="40"/>
      <c r="CI11" s="40"/>
      <c r="CJ11" s="40"/>
      <c r="CK11" s="40"/>
    </row>
    <row r="12" spans="1:89" s="7" customFormat="1" x14ac:dyDescent="0.25">
      <c r="A12" s="21" t="s">
        <v>392</v>
      </c>
      <c r="B12" s="29">
        <f>B55</f>
        <v>463</v>
      </c>
      <c r="C12" s="29">
        <f t="shared" ref="C12:BN12" si="5">C55</f>
        <v>603</v>
      </c>
      <c r="D12" s="29">
        <f t="shared" si="5"/>
        <v>653</v>
      </c>
      <c r="E12" s="29">
        <f t="shared" si="5"/>
        <v>3026262.43</v>
      </c>
      <c r="F12" s="29">
        <f t="shared" si="5"/>
        <v>0</v>
      </c>
      <c r="G12" s="29">
        <f t="shared" si="5"/>
        <v>0</v>
      </c>
      <c r="H12" s="29">
        <f t="shared" si="5"/>
        <v>0</v>
      </c>
      <c r="I12" s="29">
        <f t="shared" si="5"/>
        <v>2421047.4300000002</v>
      </c>
      <c r="J12" s="29">
        <f t="shared" si="5"/>
        <v>0</v>
      </c>
      <c r="K12" s="29">
        <f t="shared" si="5"/>
        <v>0</v>
      </c>
      <c r="L12" s="29">
        <f t="shared" si="5"/>
        <v>0</v>
      </c>
      <c r="M12" s="29">
        <f t="shared" si="5"/>
        <v>270013.73</v>
      </c>
      <c r="N12" s="29">
        <f t="shared" si="5"/>
        <v>0</v>
      </c>
      <c r="O12" s="29">
        <f t="shared" si="5"/>
        <v>0</v>
      </c>
      <c r="P12" s="29">
        <f t="shared" si="5"/>
        <v>0</v>
      </c>
      <c r="Q12" s="29">
        <f t="shared" si="5"/>
        <v>283627.51</v>
      </c>
      <c r="R12" s="29">
        <f t="shared" si="5"/>
        <v>0</v>
      </c>
      <c r="S12" s="29">
        <f t="shared" si="5"/>
        <v>0</v>
      </c>
      <c r="T12" s="29">
        <f t="shared" si="5"/>
        <v>0</v>
      </c>
      <c r="U12" s="29">
        <f t="shared" si="5"/>
        <v>545832.66</v>
      </c>
      <c r="V12" s="29">
        <f t="shared" si="5"/>
        <v>0</v>
      </c>
      <c r="W12" s="29">
        <f t="shared" si="5"/>
        <v>0</v>
      </c>
      <c r="X12" s="29">
        <f t="shared" si="5"/>
        <v>0</v>
      </c>
      <c r="Y12" s="29">
        <f t="shared" si="5"/>
        <v>132352.54</v>
      </c>
      <c r="Z12" s="29">
        <f t="shared" si="5"/>
        <v>0</v>
      </c>
      <c r="AA12" s="29">
        <f t="shared" si="5"/>
        <v>0</v>
      </c>
      <c r="AB12" s="29">
        <f t="shared" si="5"/>
        <v>0</v>
      </c>
      <c r="AC12" s="29">
        <f t="shared" si="5"/>
        <v>660384.18000000005</v>
      </c>
      <c r="AD12" s="29">
        <f t="shared" si="5"/>
        <v>0</v>
      </c>
      <c r="AE12" s="29">
        <f t="shared" si="5"/>
        <v>0</v>
      </c>
      <c r="AF12" s="29">
        <f t="shared" si="5"/>
        <v>0</v>
      </c>
      <c r="AG12" s="29">
        <f t="shared" si="5"/>
        <v>2420249.7999999998</v>
      </c>
      <c r="AH12" s="29">
        <f t="shared" si="5"/>
        <v>0</v>
      </c>
      <c r="AI12" s="29">
        <f t="shared" si="5"/>
        <v>0</v>
      </c>
      <c r="AJ12" s="29">
        <f t="shared" si="5"/>
        <v>0</v>
      </c>
      <c r="AK12" s="29">
        <f t="shared" si="5"/>
        <v>10870060.949999999</v>
      </c>
      <c r="AL12" s="29">
        <f t="shared" si="5"/>
        <v>0</v>
      </c>
      <c r="AM12" s="29">
        <f t="shared" si="5"/>
        <v>0</v>
      </c>
      <c r="AN12" s="29">
        <f t="shared" si="5"/>
        <v>0</v>
      </c>
      <c r="AO12" s="29">
        <f t="shared" si="5"/>
        <v>12110695.470000001</v>
      </c>
      <c r="AP12" s="29">
        <f t="shared" si="5"/>
        <v>0</v>
      </c>
      <c r="AQ12" s="29">
        <f t="shared" si="5"/>
        <v>0</v>
      </c>
      <c r="AR12" s="29">
        <f t="shared" si="5"/>
        <v>0</v>
      </c>
      <c r="AS12" s="29">
        <f t="shared" si="5"/>
        <v>-475235.25</v>
      </c>
      <c r="AT12" s="29">
        <f t="shared" si="5"/>
        <v>0</v>
      </c>
      <c r="AU12" s="29">
        <f t="shared" si="5"/>
        <v>0</v>
      </c>
      <c r="AV12" s="29">
        <f t="shared" si="5"/>
        <v>0</v>
      </c>
      <c r="AW12" s="29">
        <f t="shared" si="5"/>
        <v>2970451.97</v>
      </c>
      <c r="AX12" s="29">
        <f t="shared" si="5"/>
        <v>0</v>
      </c>
      <c r="AY12" s="29">
        <f t="shared" si="5"/>
        <v>0</v>
      </c>
      <c r="AZ12" s="29">
        <f t="shared" si="5"/>
        <v>0</v>
      </c>
      <c r="BA12" s="29">
        <f t="shared" si="5"/>
        <v>1288210.29</v>
      </c>
      <c r="BB12" s="29">
        <f t="shared" si="5"/>
        <v>0</v>
      </c>
      <c r="BC12" s="29">
        <f t="shared" si="5"/>
        <v>0</v>
      </c>
      <c r="BD12" s="29">
        <f t="shared" si="5"/>
        <v>0</v>
      </c>
      <c r="BE12" s="29">
        <f t="shared" si="5"/>
        <v>1282524.67</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90">
        <v>2706759.17</v>
      </c>
      <c r="C13" s="190">
        <v>2392385.86</v>
      </c>
      <c r="D13" s="190">
        <v>819230.38</v>
      </c>
      <c r="E13" s="190">
        <v>4132920.46</v>
      </c>
      <c r="F13" s="190">
        <v>7197083.2400000002</v>
      </c>
      <c r="G13" s="190">
        <v>3270422.03</v>
      </c>
      <c r="H13" s="190">
        <v>907992.32</v>
      </c>
      <c r="I13" s="190">
        <v>10882263.08</v>
      </c>
      <c r="J13" s="190">
        <v>8499527.3699999992</v>
      </c>
      <c r="K13" s="190">
        <v>5445432.7999999998</v>
      </c>
      <c r="L13" s="190">
        <v>951099.03</v>
      </c>
      <c r="M13" s="190">
        <v>5967218.29</v>
      </c>
      <c r="N13" s="190">
        <v>3446853.7</v>
      </c>
      <c r="O13" s="190">
        <v>2166220.73</v>
      </c>
      <c r="P13" s="190">
        <v>1043398.09</v>
      </c>
      <c r="Q13" s="190">
        <v>14535979.99</v>
      </c>
      <c r="R13" s="190">
        <v>6270270.7699999996</v>
      </c>
      <c r="S13" s="190">
        <v>2107251.66</v>
      </c>
      <c r="T13" s="190">
        <v>1008542.13</v>
      </c>
      <c r="U13" s="190">
        <v>9922765.7899999991</v>
      </c>
      <c r="V13" s="190">
        <v>8009245.6500000004</v>
      </c>
      <c r="W13" s="190">
        <v>2068378.58</v>
      </c>
      <c r="X13" s="190">
        <v>780628.21</v>
      </c>
      <c r="Y13" s="190">
        <v>9537453.9399999995</v>
      </c>
      <c r="Z13" s="190">
        <v>6208491.6500000004</v>
      </c>
      <c r="AA13" s="190">
        <v>4951952.37</v>
      </c>
      <c r="AB13" s="190">
        <v>4191715.87</v>
      </c>
      <c r="AC13" s="190">
        <v>10576468.130000001</v>
      </c>
      <c r="AD13" s="190">
        <v>8574065.5999999996</v>
      </c>
      <c r="AE13" s="190">
        <v>5185333.8</v>
      </c>
      <c r="AF13" s="190">
        <v>319680.62</v>
      </c>
      <c r="AG13" s="190">
        <v>768060.65</v>
      </c>
      <c r="AH13" s="190">
        <v>474871.71</v>
      </c>
      <c r="AI13" s="190">
        <v>445565.69</v>
      </c>
      <c r="AJ13" s="190">
        <v>627227.28</v>
      </c>
      <c r="AK13" s="190">
        <v>0</v>
      </c>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40"/>
      <c r="CA13" s="40"/>
      <c r="CB13" s="40"/>
      <c r="CC13" s="40"/>
      <c r="CD13" s="40"/>
      <c r="CE13" s="40"/>
      <c r="CF13" s="40"/>
      <c r="CG13" s="40"/>
      <c r="CH13" s="40"/>
      <c r="CI13" s="40"/>
      <c r="CJ13" s="40"/>
      <c r="CK13" s="40"/>
    </row>
    <row r="14" spans="1:89" x14ac:dyDescent="0.25">
      <c r="A14" s="17" t="s">
        <v>394</v>
      </c>
      <c r="B14" s="190">
        <v>1053240.6399999999</v>
      </c>
      <c r="C14" s="190">
        <v>706097.36</v>
      </c>
      <c r="D14" s="190">
        <v>234495.82</v>
      </c>
      <c r="E14" s="190">
        <v>1488939.12</v>
      </c>
      <c r="F14" s="190">
        <v>1215204.83</v>
      </c>
      <c r="G14" s="190">
        <v>477646.97</v>
      </c>
      <c r="H14" s="190">
        <v>170917.41</v>
      </c>
      <c r="I14" s="190">
        <v>3371951.22</v>
      </c>
      <c r="J14" s="190">
        <v>1955593.33</v>
      </c>
      <c r="K14" s="190">
        <v>1072725.5900000001</v>
      </c>
      <c r="L14" s="190">
        <v>410638.17</v>
      </c>
      <c r="M14" s="190">
        <v>1775061.59</v>
      </c>
      <c r="N14" s="190">
        <v>777840.97</v>
      </c>
      <c r="O14" s="190">
        <v>411840.47</v>
      </c>
      <c r="P14" s="190">
        <v>277119.46999999997</v>
      </c>
      <c r="Q14" s="190">
        <v>2698975.3</v>
      </c>
      <c r="R14" s="190">
        <v>1162569.75</v>
      </c>
      <c r="S14" s="190">
        <v>524424.22</v>
      </c>
      <c r="T14" s="190">
        <v>372603.87</v>
      </c>
      <c r="U14" s="190">
        <v>923645.96</v>
      </c>
      <c r="V14" s="190">
        <v>328291.57</v>
      </c>
      <c r="W14" s="190">
        <v>267917.84000000003</v>
      </c>
      <c r="X14" s="190">
        <v>62001.53</v>
      </c>
      <c r="Y14" s="190">
        <v>319454.45</v>
      </c>
      <c r="Z14" s="190">
        <v>293894.90000000002</v>
      </c>
      <c r="AA14" s="190">
        <v>140250.95000000001</v>
      </c>
      <c r="AB14" s="190">
        <v>40974.43</v>
      </c>
      <c r="AC14" s="190">
        <v>592960.87</v>
      </c>
      <c r="AD14" s="190">
        <v>585080.53</v>
      </c>
      <c r="AE14" s="190">
        <v>486783.88</v>
      </c>
      <c r="AF14" s="190">
        <v>191011.66</v>
      </c>
      <c r="AG14" s="190">
        <v>483767.13</v>
      </c>
      <c r="AH14" s="190">
        <v>296715.90999999997</v>
      </c>
      <c r="AI14" s="190">
        <v>23732.639999999999</v>
      </c>
      <c r="AJ14" s="190">
        <v>351518.25</v>
      </c>
      <c r="AK14" s="190">
        <v>0</v>
      </c>
      <c r="AL14" s="190"/>
      <c r="AM14" s="190"/>
      <c r="AN14" s="190"/>
      <c r="AO14" s="190"/>
      <c r="AP14" s="190"/>
      <c r="AQ14" s="190"/>
      <c r="AR14" s="190"/>
      <c r="AS14" s="190"/>
      <c r="AT14" s="190"/>
      <c r="AU14" s="190"/>
      <c r="AV14" s="190"/>
      <c r="AW14" s="190"/>
      <c r="AX14" s="190"/>
      <c r="AY14" s="190"/>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40"/>
      <c r="CA14" s="40"/>
      <c r="CB14" s="40"/>
      <c r="CC14" s="40"/>
      <c r="CD14" s="40"/>
      <c r="CE14" s="40"/>
      <c r="CF14" s="40"/>
      <c r="CG14" s="40"/>
      <c r="CH14" s="40"/>
      <c r="CI14" s="40"/>
      <c r="CJ14" s="40"/>
      <c r="CK14" s="40"/>
    </row>
    <row r="15" spans="1:89" s="2" customFormat="1" x14ac:dyDescent="0.25">
      <c r="A15" s="20" t="s">
        <v>397</v>
      </c>
      <c r="B15" s="28">
        <f>B6-(B8+B9+B10+B11+B12)+B13-B14</f>
        <v>427866301.87000018</v>
      </c>
      <c r="C15" s="28">
        <f t="shared" ref="C15:BN15" si="7">C6-(C8+C9+C10+C11+C12)+C13-C14</f>
        <v>195995961.15999997</v>
      </c>
      <c r="D15" s="28">
        <f t="shared" si="7"/>
        <v>91051057.49999994</v>
      </c>
      <c r="E15" s="28">
        <f t="shared" si="7"/>
        <v>440501381.44999981</v>
      </c>
      <c r="F15" s="28">
        <f t="shared" si="7"/>
        <v>358987436.42000014</v>
      </c>
      <c r="G15" s="28">
        <f t="shared" si="7"/>
        <v>255752742.12</v>
      </c>
      <c r="H15" s="28">
        <f t="shared" si="7"/>
        <v>118300567.28000003</v>
      </c>
      <c r="I15" s="28">
        <f t="shared" si="7"/>
        <v>347457485.54999983</v>
      </c>
      <c r="J15" s="28">
        <f t="shared" si="7"/>
        <v>286414772.5999999</v>
      </c>
      <c r="K15" s="28">
        <f t="shared" si="7"/>
        <v>203356723.77000001</v>
      </c>
      <c r="L15" s="28">
        <f t="shared" si="7"/>
        <v>105630403.89999999</v>
      </c>
      <c r="M15" s="28">
        <f t="shared" si="7"/>
        <v>230119332.45999998</v>
      </c>
      <c r="N15" s="28">
        <f t="shared" si="7"/>
        <v>149499656.80999988</v>
      </c>
      <c r="O15" s="28">
        <f t="shared" si="7"/>
        <v>67733668.150000051</v>
      </c>
      <c r="P15" s="28">
        <f t="shared" si="7"/>
        <v>26398639.319999989</v>
      </c>
      <c r="Q15" s="28">
        <f t="shared" si="7"/>
        <v>103489813.14000008</v>
      </c>
      <c r="R15" s="28">
        <f t="shared" si="7"/>
        <v>68348034.949999973</v>
      </c>
      <c r="S15" s="28">
        <f t="shared" si="7"/>
        <v>37100491.060000017</v>
      </c>
      <c r="T15" s="28">
        <f t="shared" si="7"/>
        <v>19429075.500000007</v>
      </c>
      <c r="U15" s="28">
        <f t="shared" si="7"/>
        <v>151201613.37999991</v>
      </c>
      <c r="V15" s="28">
        <f t="shared" si="7"/>
        <v>111326030.67000009</v>
      </c>
      <c r="W15" s="28">
        <f t="shared" si="7"/>
        <v>77758265.220000014</v>
      </c>
      <c r="X15" s="28">
        <f t="shared" si="7"/>
        <v>36760970.260000013</v>
      </c>
      <c r="Y15" s="28">
        <f t="shared" si="7"/>
        <v>121806150.39999999</v>
      </c>
      <c r="Z15" s="28">
        <f t="shared" si="7"/>
        <v>93004767.850000009</v>
      </c>
      <c r="AA15" s="28">
        <f t="shared" si="7"/>
        <v>80112941.679999977</v>
      </c>
      <c r="AB15" s="28">
        <f t="shared" si="7"/>
        <v>33993335.580000006</v>
      </c>
      <c r="AC15" s="28">
        <f t="shared" si="7"/>
        <v>153586043.83999994</v>
      </c>
      <c r="AD15" s="28">
        <f t="shared" si="7"/>
        <v>130958412.03999993</v>
      </c>
      <c r="AE15" s="28">
        <f t="shared" si="7"/>
        <v>97352124.629999995</v>
      </c>
      <c r="AF15" s="28">
        <f t="shared" si="7"/>
        <v>39181662.529999994</v>
      </c>
      <c r="AG15" s="28">
        <f t="shared" si="7"/>
        <v>123050074.73000003</v>
      </c>
      <c r="AH15" s="28">
        <f t="shared" si="7"/>
        <v>93184227.620000005</v>
      </c>
      <c r="AI15" s="28">
        <f t="shared" si="7"/>
        <v>89053949.929999992</v>
      </c>
      <c r="AJ15" s="28">
        <f t="shared" si="7"/>
        <v>130224549.81000002</v>
      </c>
      <c r="AK15" s="28">
        <f t="shared" si="7"/>
        <v>-10870060.949999999</v>
      </c>
      <c r="AL15" s="28">
        <f t="shared" si="7"/>
        <v>0</v>
      </c>
      <c r="AM15" s="28">
        <f t="shared" si="7"/>
        <v>0</v>
      </c>
      <c r="AN15" s="28">
        <f t="shared" si="7"/>
        <v>0</v>
      </c>
      <c r="AO15" s="28">
        <f t="shared" si="7"/>
        <v>-12110695.470000001</v>
      </c>
      <c r="AP15" s="28">
        <f t="shared" si="7"/>
        <v>0</v>
      </c>
      <c r="AQ15" s="28">
        <f t="shared" si="7"/>
        <v>0</v>
      </c>
      <c r="AR15" s="28">
        <f t="shared" si="7"/>
        <v>0</v>
      </c>
      <c r="AS15" s="28">
        <f t="shared" si="7"/>
        <v>475235.25</v>
      </c>
      <c r="AT15" s="28">
        <f t="shared" si="7"/>
        <v>0</v>
      </c>
      <c r="AU15" s="28">
        <f t="shared" si="7"/>
        <v>0</v>
      </c>
      <c r="AV15" s="28">
        <f t="shared" si="7"/>
        <v>0</v>
      </c>
      <c r="AW15" s="28">
        <f t="shared" si="7"/>
        <v>-2970451.97</v>
      </c>
      <c r="AX15" s="28">
        <f t="shared" si="7"/>
        <v>0</v>
      </c>
      <c r="AY15" s="28">
        <f t="shared" si="7"/>
        <v>0</v>
      </c>
      <c r="AZ15" s="28">
        <f t="shared" si="7"/>
        <v>0</v>
      </c>
      <c r="BA15" s="28">
        <f t="shared" si="7"/>
        <v>-1288210.29</v>
      </c>
      <c r="BB15" s="28">
        <f t="shared" si="7"/>
        <v>0</v>
      </c>
      <c r="BC15" s="28">
        <f t="shared" si="7"/>
        <v>0</v>
      </c>
      <c r="BD15" s="28">
        <f t="shared" si="7"/>
        <v>0</v>
      </c>
      <c r="BE15" s="28">
        <f t="shared" si="7"/>
        <v>-1282524.67</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39424158.306402043</v>
      </c>
      <c r="C16" s="26">
        <f t="shared" ref="C16:BN16" si="9">C15*C41</f>
        <v>22784035.004384629</v>
      </c>
      <c r="D16" s="26">
        <f t="shared" si="9"/>
        <v>38121958.831668541</v>
      </c>
      <c r="E16" s="26">
        <f t="shared" si="9"/>
        <v>70988542.961881548</v>
      </c>
      <c r="F16" s="26">
        <f t="shared" si="9"/>
        <v>57381748.589336701</v>
      </c>
      <c r="G16" s="26">
        <f t="shared" si="9"/>
        <v>42404681.795299724</v>
      </c>
      <c r="H16" s="26">
        <f t="shared" si="9"/>
        <v>20406080.921626136</v>
      </c>
      <c r="I16" s="26">
        <f t="shared" si="9"/>
        <v>41033237.655707605</v>
      </c>
      <c r="J16" s="26">
        <f t="shared" si="9"/>
        <v>41430151.633836903</v>
      </c>
      <c r="K16" s="26">
        <f t="shared" si="9"/>
        <v>27662327.216539215</v>
      </c>
      <c r="L16" s="26">
        <f t="shared" si="9"/>
        <v>16773695.841900038</v>
      </c>
      <c r="M16" s="26">
        <f t="shared" si="9"/>
        <v>27180016.602512423</v>
      </c>
      <c r="N16" s="26">
        <f t="shared" si="9"/>
        <v>22275155.358529638</v>
      </c>
      <c r="O16" s="26">
        <f t="shared" si="9"/>
        <v>9264876.0556230806</v>
      </c>
      <c r="P16" s="26">
        <f t="shared" si="9"/>
        <v>4288629.9543011114</v>
      </c>
      <c r="Q16" s="26">
        <f t="shared" si="9"/>
        <v>13449568.963131983</v>
      </c>
      <c r="R16" s="26">
        <f t="shared" si="9"/>
        <v>10097960.05615855</v>
      </c>
      <c r="S16" s="26">
        <f t="shared" si="9"/>
        <v>5045960.9802356241</v>
      </c>
      <c r="T16" s="26">
        <f t="shared" si="9"/>
        <v>3326321.9042446003</v>
      </c>
      <c r="U16" s="26">
        <f t="shared" si="9"/>
        <v>24577907.479718961</v>
      </c>
      <c r="V16" s="26">
        <f t="shared" si="9"/>
        <v>16650483.291633764</v>
      </c>
      <c r="W16" s="26">
        <f t="shared" si="9"/>
        <v>11137033.992500041</v>
      </c>
      <c r="X16" s="26">
        <f t="shared" si="9"/>
        <v>5739593.3713044655</v>
      </c>
      <c r="Y16" s="26">
        <f t="shared" si="9"/>
        <v>17597057.220740817</v>
      </c>
      <c r="Z16" s="26">
        <f t="shared" si="9"/>
        <v>13436600.350397058</v>
      </c>
      <c r="AA16" s="26">
        <f t="shared" si="9"/>
        <v>11465632.582705634</v>
      </c>
      <c r="AB16" s="26">
        <f t="shared" si="9"/>
        <v>5116687.4131114818</v>
      </c>
      <c r="AC16" s="26">
        <f t="shared" si="9"/>
        <v>22882233.763522148</v>
      </c>
      <c r="AD16" s="26">
        <f t="shared" si="9"/>
        <v>18644175.376836583</v>
      </c>
      <c r="AE16" s="26">
        <f t="shared" si="9"/>
        <v>12963453.287132343</v>
      </c>
      <c r="AF16" s="26">
        <f t="shared" si="9"/>
        <v>6284247.1917228056</v>
      </c>
      <c r="AG16" s="26">
        <f t="shared" si="9"/>
        <v>16258195.061884606</v>
      </c>
      <c r="AH16" s="26">
        <f t="shared" si="9"/>
        <v>12708948.681125395</v>
      </c>
      <c r="AI16" s="26">
        <f t="shared" si="9"/>
        <v>13526499.623741519</v>
      </c>
      <c r="AJ16" s="26">
        <f t="shared" si="9"/>
        <v>15438177.769230671</v>
      </c>
      <c r="AK16" s="26">
        <f t="shared" si="9"/>
        <v>0</v>
      </c>
      <c r="AL16" s="26">
        <f t="shared" si="9"/>
        <v>0</v>
      </c>
      <c r="AM16" s="26">
        <f t="shared" si="9"/>
        <v>0</v>
      </c>
      <c r="AN16" s="26">
        <f t="shared" si="9"/>
        <v>0</v>
      </c>
      <c r="AO16" s="26">
        <f t="shared" si="9"/>
        <v>-147960433908.93033</v>
      </c>
      <c r="AP16" s="26">
        <f t="shared" si="9"/>
        <v>0</v>
      </c>
      <c r="AQ16" s="26">
        <f t="shared" si="9"/>
        <v>0</v>
      </c>
      <c r="AR16" s="26">
        <f t="shared" si="9"/>
        <v>0</v>
      </c>
      <c r="AS16" s="26">
        <f t="shared" si="9"/>
        <v>2237995.844570708</v>
      </c>
      <c r="AT16" s="26">
        <f t="shared" si="9"/>
        <v>0</v>
      </c>
      <c r="AU16" s="26">
        <f t="shared" si="9"/>
        <v>0</v>
      </c>
      <c r="AV16" s="26">
        <f t="shared" si="9"/>
        <v>0</v>
      </c>
      <c r="AW16" s="26">
        <f t="shared" si="9"/>
        <v>-38094661.72373005</v>
      </c>
      <c r="AX16" s="26">
        <f t="shared" si="9"/>
        <v>0</v>
      </c>
      <c r="AY16" s="26">
        <f t="shared" si="9"/>
        <v>0</v>
      </c>
      <c r="AZ16" s="26">
        <f t="shared" si="9"/>
        <v>0</v>
      </c>
      <c r="BA16" s="26">
        <f t="shared" si="9"/>
        <v>100103025.40955801</v>
      </c>
      <c r="BB16" s="26">
        <f t="shared" si="9"/>
        <v>0</v>
      </c>
      <c r="BC16" s="26">
        <f t="shared" si="9"/>
        <v>0</v>
      </c>
      <c r="BD16" s="26">
        <f t="shared" si="9"/>
        <v>0</v>
      </c>
      <c r="BE16" s="26">
        <f t="shared" si="9"/>
        <v>20858227.683821946</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t="e">
        <f t="shared" si="10"/>
        <v>#DIV/0!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388442143.56359816</v>
      </c>
      <c r="C17" s="27">
        <f t="shared" ref="C17:BN17" si="11">C15-C16</f>
        <v>173211926.15561533</v>
      </c>
      <c r="D17" s="27">
        <f t="shared" si="11"/>
        <v>52929098.6683314</v>
      </c>
      <c r="E17" s="27">
        <f t="shared" si="11"/>
        <v>369512838.48811829</v>
      </c>
      <c r="F17" s="27">
        <f t="shared" si="11"/>
        <v>301605687.83066344</v>
      </c>
      <c r="G17" s="27">
        <f t="shared" si="11"/>
        <v>213348060.3247003</v>
      </c>
      <c r="H17" s="27">
        <f t="shared" si="11"/>
        <v>97894486.358373895</v>
      </c>
      <c r="I17" s="27">
        <f t="shared" si="11"/>
        <v>306424247.89429224</v>
      </c>
      <c r="J17" s="27">
        <f t="shared" si="11"/>
        <v>244984620.96616301</v>
      </c>
      <c r="K17" s="27">
        <f t="shared" si="11"/>
        <v>175694396.55346081</v>
      </c>
      <c r="L17" s="27">
        <f t="shared" si="11"/>
        <v>88856708.058099955</v>
      </c>
      <c r="M17" s="27">
        <f t="shared" si="11"/>
        <v>202939315.85748756</v>
      </c>
      <c r="N17" s="27">
        <f t="shared" si="11"/>
        <v>127224501.45147024</v>
      </c>
      <c r="O17" s="27">
        <f t="shared" si="11"/>
        <v>58468792.094376966</v>
      </c>
      <c r="P17" s="27">
        <f t="shared" si="11"/>
        <v>22110009.365698878</v>
      </c>
      <c r="Q17" s="27">
        <f t="shared" si="11"/>
        <v>90040244.176868096</v>
      </c>
      <c r="R17" s="27">
        <f t="shared" si="11"/>
        <v>58250074.893841423</v>
      </c>
      <c r="S17" s="27">
        <f t="shared" si="11"/>
        <v>32054530.079764392</v>
      </c>
      <c r="T17" s="27">
        <f t="shared" si="11"/>
        <v>16102753.595755408</v>
      </c>
      <c r="U17" s="27">
        <f t="shared" si="11"/>
        <v>126623705.90028095</v>
      </c>
      <c r="V17" s="27">
        <f t="shared" si="11"/>
        <v>94675547.378366321</v>
      </c>
      <c r="W17" s="27">
        <f t="shared" si="11"/>
        <v>66621231.227499977</v>
      </c>
      <c r="X17" s="27">
        <f t="shared" si="11"/>
        <v>31021376.888695545</v>
      </c>
      <c r="Y17" s="27">
        <f t="shared" si="11"/>
        <v>104209093.17925918</v>
      </c>
      <c r="Z17" s="27">
        <f t="shared" si="11"/>
        <v>79568167.499602944</v>
      </c>
      <c r="AA17" s="27">
        <f t="shared" si="11"/>
        <v>68647309.097294345</v>
      </c>
      <c r="AB17" s="27">
        <f t="shared" si="11"/>
        <v>28876648.166888524</v>
      </c>
      <c r="AC17" s="27">
        <f t="shared" si="11"/>
        <v>130703810.0764778</v>
      </c>
      <c r="AD17" s="27">
        <f t="shared" si="11"/>
        <v>112314236.66316335</v>
      </c>
      <c r="AE17" s="27">
        <f t="shared" si="11"/>
        <v>84388671.342867658</v>
      </c>
      <c r="AF17" s="27">
        <f t="shared" si="11"/>
        <v>32897415.338277187</v>
      </c>
      <c r="AG17" s="27">
        <f t="shared" si="11"/>
        <v>106791879.66811542</v>
      </c>
      <c r="AH17" s="27">
        <f t="shared" si="11"/>
        <v>80475278.938874602</v>
      </c>
      <c r="AI17" s="27">
        <f t="shared" si="11"/>
        <v>75527450.30625847</v>
      </c>
      <c r="AJ17" s="27">
        <f t="shared" si="11"/>
        <v>114786372.04076934</v>
      </c>
      <c r="AK17" s="27">
        <f t="shared" si="11"/>
        <v>-10870060.949999999</v>
      </c>
      <c r="AL17" s="27">
        <f t="shared" si="11"/>
        <v>0</v>
      </c>
      <c r="AM17" s="27">
        <f t="shared" si="11"/>
        <v>0</v>
      </c>
      <c r="AN17" s="27">
        <f t="shared" si="11"/>
        <v>0</v>
      </c>
      <c r="AO17" s="27">
        <f t="shared" si="11"/>
        <v>147948323213.46033</v>
      </c>
      <c r="AP17" s="27">
        <f t="shared" si="11"/>
        <v>0</v>
      </c>
      <c r="AQ17" s="27">
        <f t="shared" si="11"/>
        <v>0</v>
      </c>
      <c r="AR17" s="27">
        <f t="shared" si="11"/>
        <v>0</v>
      </c>
      <c r="AS17" s="27">
        <f t="shared" si="11"/>
        <v>-1762760.594570708</v>
      </c>
      <c r="AT17" s="27">
        <f t="shared" si="11"/>
        <v>0</v>
      </c>
      <c r="AU17" s="27">
        <f t="shared" si="11"/>
        <v>0</v>
      </c>
      <c r="AV17" s="27">
        <f t="shared" si="11"/>
        <v>0</v>
      </c>
      <c r="AW17" s="27">
        <f t="shared" si="11"/>
        <v>35124209.753730051</v>
      </c>
      <c r="AX17" s="27">
        <f t="shared" si="11"/>
        <v>0</v>
      </c>
      <c r="AY17" s="27">
        <f t="shared" si="11"/>
        <v>0</v>
      </c>
      <c r="AZ17" s="27">
        <f t="shared" si="11"/>
        <v>0</v>
      </c>
      <c r="BA17" s="27">
        <f t="shared" si="11"/>
        <v>-101391235.69955802</v>
      </c>
      <c r="BB17" s="27">
        <f t="shared" si="11"/>
        <v>0</v>
      </c>
      <c r="BC17" s="27">
        <f t="shared" si="11"/>
        <v>0</v>
      </c>
      <c r="BD17" s="27">
        <f t="shared" si="11"/>
        <v>0</v>
      </c>
      <c r="BE17" s="27">
        <f t="shared" si="11"/>
        <v>-22140752.353821948</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t="e">
        <f t="shared" si="12"/>
        <v>#DIV/0!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20.997617694991593</v>
      </c>
      <c r="C18" s="57">
        <f t="shared" ref="C18:D18" si="13">C17/C4*100</f>
        <v>13.553394648229276</v>
      </c>
      <c r="D18" s="57">
        <f t="shared" si="13"/>
        <v>8.0483125795441453</v>
      </c>
      <c r="E18" s="57">
        <f>E17/E4</f>
        <v>0.15042914815698941</v>
      </c>
      <c r="F18" s="57">
        <f t="shared" ref="F18:BQ18" si="14">F17/F4</f>
        <v>0.1678100890353097</v>
      </c>
      <c r="G18" s="57">
        <f t="shared" si="14"/>
        <v>0.1690180024568452</v>
      </c>
      <c r="H18" s="57">
        <f t="shared" si="14"/>
        <v>0.15991739604405222</v>
      </c>
      <c r="I18" s="57">
        <f t="shared" si="14"/>
        <v>0.1658686408668239</v>
      </c>
      <c r="J18" s="57">
        <f t="shared" si="14"/>
        <v>0.18492540360156406</v>
      </c>
      <c r="K18" s="57">
        <f t="shared" si="14"/>
        <v>0.19777020685440405</v>
      </c>
      <c r="L18" s="57">
        <f t="shared" si="14"/>
        <v>0.21006244949506978</v>
      </c>
      <c r="M18" s="57">
        <f t="shared" si="14"/>
        <v>0.12442306585641</v>
      </c>
      <c r="N18" s="57">
        <f t="shared" si="14"/>
        <v>0.12439920127400914</v>
      </c>
      <c r="O18" s="57">
        <f t="shared" si="14"/>
        <v>9.5049797413961801E-2</v>
      </c>
      <c r="P18" s="57">
        <f t="shared" si="14"/>
        <v>8.3198830019439063E-2</v>
      </c>
      <c r="Q18" s="57">
        <f t="shared" si="14"/>
        <v>8.4244540621541852E-2</v>
      </c>
      <c r="R18" s="57">
        <f t="shared" si="14"/>
        <v>8.2612669988759505E-2</v>
      </c>
      <c r="S18" s="57">
        <f t="shared" si="14"/>
        <v>7.4027027221755942E-2</v>
      </c>
      <c r="T18" s="57">
        <f t="shared" si="14"/>
        <v>8.1747484813138052E-2</v>
      </c>
      <c r="U18" s="57">
        <f t="shared" si="14"/>
        <v>0.13116430723590852</v>
      </c>
      <c r="V18" s="57">
        <f t="shared" si="14"/>
        <v>0.13417008699566049</v>
      </c>
      <c r="W18" s="57">
        <f t="shared" si="14"/>
        <v>0.1378812748909525</v>
      </c>
      <c r="X18" s="57">
        <f t="shared" si="14"/>
        <v>0.1401683101085332</v>
      </c>
      <c r="Y18" s="57">
        <f t="shared" si="14"/>
        <v>0.13198077624870341</v>
      </c>
      <c r="Z18" s="57">
        <f t="shared" si="14"/>
        <v>0.14752311682694694</v>
      </c>
      <c r="AA18" s="57">
        <f t="shared" si="14"/>
        <v>0.17389124979414972</v>
      </c>
      <c r="AB18" s="57">
        <f t="shared" si="14"/>
        <v>0.16256422316885802</v>
      </c>
      <c r="AC18" s="57">
        <f t="shared" si="14"/>
        <v>0.15937728834792858</v>
      </c>
      <c r="AD18" s="57">
        <f t="shared" si="14"/>
        <v>0.17523045286166403</v>
      </c>
      <c r="AE18" s="57">
        <f t="shared" si="14"/>
        <v>0.17985549811378768</v>
      </c>
      <c r="AF18" s="57">
        <f t="shared" si="14"/>
        <v>0.15971912700130908</v>
      </c>
      <c r="AG18" s="57">
        <f t="shared" si="14"/>
        <v>0.145957792039518</v>
      </c>
      <c r="AH18" s="57">
        <f t="shared" si="14"/>
        <v>0.14952185038139659</v>
      </c>
      <c r="AI18" s="57">
        <f t="shared" si="14"/>
        <v>0.18654516068524593</v>
      </c>
      <c r="AJ18" s="57">
        <f t="shared" si="14"/>
        <v>0.17949994478409273</v>
      </c>
      <c r="AK18" s="57" t="e">
        <f t="shared" si="14"/>
        <v>#DIV/0!</v>
      </c>
      <c r="AL18" s="57" t="e">
        <f t="shared" si="14"/>
        <v>#DIV/0!</v>
      </c>
      <c r="AM18" s="57" t="e">
        <f t="shared" si="14"/>
        <v>#DIV/0!</v>
      </c>
      <c r="AN18" s="57" t="e">
        <f t="shared" si="14"/>
        <v>#DIV/0!</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90">
        <v>1208211.08</v>
      </c>
      <c r="C20" s="190">
        <v>1208211.08</v>
      </c>
      <c r="D20" s="190">
        <v>0</v>
      </c>
      <c r="E20" s="190">
        <v>-734614.85</v>
      </c>
      <c r="F20" s="190">
        <v>-2437995.12</v>
      </c>
      <c r="G20" s="190">
        <v>-2437995.12</v>
      </c>
      <c r="H20" s="190">
        <v>0</v>
      </c>
      <c r="I20" s="190">
        <v>-2525890.17</v>
      </c>
      <c r="J20" s="190">
        <v>3168252.93</v>
      </c>
      <c r="K20" s="190">
        <v>3168252.93</v>
      </c>
      <c r="L20" s="190">
        <v>0</v>
      </c>
      <c r="M20" s="190">
        <v>10697542</v>
      </c>
      <c r="N20" s="190">
        <v>921630.25</v>
      </c>
      <c r="O20" s="190">
        <v>963291.36</v>
      </c>
      <c r="P20" s="190">
        <v>0</v>
      </c>
      <c r="Q20" s="190">
        <v>2084177.5</v>
      </c>
      <c r="R20" s="190">
        <v>917949.38</v>
      </c>
      <c r="S20" s="190">
        <v>917949.38</v>
      </c>
      <c r="T20" s="190">
        <v>0</v>
      </c>
      <c r="U20" s="190">
        <v>1109427.94</v>
      </c>
      <c r="V20" s="190">
        <v>685467.8</v>
      </c>
      <c r="W20" s="190">
        <v>685467.8</v>
      </c>
      <c r="X20" s="190">
        <v>0</v>
      </c>
      <c r="Y20" s="190">
        <v>1641093.94</v>
      </c>
      <c r="Z20" s="190">
        <v>0</v>
      </c>
      <c r="AA20" s="190">
        <v>97671.69</v>
      </c>
      <c r="AB20" s="190">
        <v>0</v>
      </c>
      <c r="AC20" s="190">
        <v>1854065.85</v>
      </c>
      <c r="AD20" s="190">
        <v>0</v>
      </c>
      <c r="AE20" s="190">
        <v>960699.51</v>
      </c>
      <c r="AF20" s="190">
        <v>0</v>
      </c>
      <c r="AG20" s="190">
        <v>1618437.56</v>
      </c>
      <c r="AH20" s="190">
        <v>0</v>
      </c>
      <c r="AI20" s="190">
        <v>529831.25</v>
      </c>
      <c r="AJ20" s="190">
        <v>2975960.3</v>
      </c>
      <c r="AK20" s="190">
        <v>0</v>
      </c>
      <c r="AL20" s="190"/>
      <c r="AM20" s="190"/>
      <c r="AN20" s="190"/>
      <c r="AO20" s="190"/>
      <c r="AP20" s="190"/>
      <c r="AQ20" s="190"/>
      <c r="AR20" s="190"/>
      <c r="AS20" s="190"/>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40"/>
      <c r="CA20" s="40"/>
      <c r="CB20" s="40"/>
      <c r="CC20" s="40"/>
      <c r="CD20" s="40"/>
      <c r="CE20" s="40"/>
      <c r="CF20" s="40"/>
      <c r="CG20" s="40"/>
      <c r="CH20" s="40"/>
      <c r="CI20" s="40"/>
      <c r="CJ20" s="40"/>
      <c r="CK20" s="40"/>
    </row>
    <row r="21" spans="1:89" s="16" customFormat="1" x14ac:dyDescent="0.25">
      <c r="A21" s="18" t="s">
        <v>87</v>
      </c>
      <c r="B21" s="30"/>
      <c r="C21" s="30"/>
      <c r="D21" s="30"/>
      <c r="E21" s="30"/>
      <c r="F21" s="30"/>
      <c r="G21" s="30"/>
      <c r="H21" s="30"/>
      <c r="I21" s="30"/>
      <c r="J21" s="30"/>
      <c r="K21" s="30"/>
    </row>
    <row r="22" spans="1:89" x14ac:dyDescent="0.25">
      <c r="A22" s="17" t="s">
        <v>400</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c r="AM22" s="190"/>
      <c r="AN22" s="190"/>
      <c r="AO22" s="190"/>
      <c r="AP22" s="190"/>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40"/>
      <c r="CA22" s="40"/>
      <c r="CB22" s="40"/>
      <c r="CC22" s="40"/>
      <c r="CD22" s="40"/>
      <c r="CE22" s="40"/>
      <c r="CF22" s="40"/>
      <c r="CG22" s="40"/>
      <c r="CH22" s="40"/>
      <c r="CI22" s="40"/>
      <c r="CJ22" s="40"/>
      <c r="CK22" s="40"/>
    </row>
    <row r="23" spans="1:89" s="7" customFormat="1" x14ac:dyDescent="0.25">
      <c r="A23" s="21" t="s">
        <v>401</v>
      </c>
      <c r="B23" s="29">
        <f>-B52</f>
        <v>25636</v>
      </c>
      <c r="C23" s="29">
        <f t="shared" ref="C23:BN23" si="16">-C52</f>
        <v>27718</v>
      </c>
      <c r="D23" s="29">
        <f t="shared" si="16"/>
        <v>35317</v>
      </c>
      <c r="E23" s="29">
        <f t="shared" si="16"/>
        <v>7143798.8099999996</v>
      </c>
      <c r="F23" s="29">
        <f t="shared" si="16"/>
        <v>0</v>
      </c>
      <c r="G23" s="29">
        <f t="shared" si="16"/>
        <v>0</v>
      </c>
      <c r="H23" s="29">
        <f t="shared" si="16"/>
        <v>0</v>
      </c>
      <c r="I23" s="29">
        <f t="shared" si="16"/>
        <v>13342718.18</v>
      </c>
      <c r="J23" s="29">
        <f t="shared" si="16"/>
        <v>0</v>
      </c>
      <c r="K23" s="29">
        <f t="shared" si="16"/>
        <v>0</v>
      </c>
      <c r="L23" s="29">
        <f t="shared" si="16"/>
        <v>0</v>
      </c>
      <c r="M23" s="29">
        <f t="shared" si="16"/>
        <v>10515597.99</v>
      </c>
      <c r="N23" s="29">
        <f t="shared" si="16"/>
        <v>0</v>
      </c>
      <c r="O23" s="29">
        <f t="shared" si="16"/>
        <v>0</v>
      </c>
      <c r="P23" s="29">
        <f t="shared" si="16"/>
        <v>0</v>
      </c>
      <c r="Q23" s="29">
        <f t="shared" si="16"/>
        <v>4720354.28</v>
      </c>
      <c r="R23" s="29">
        <f t="shared" si="16"/>
        <v>0</v>
      </c>
      <c r="S23" s="29">
        <f t="shared" si="16"/>
        <v>0</v>
      </c>
      <c r="T23" s="29">
        <f t="shared" si="16"/>
        <v>0</v>
      </c>
      <c r="U23" s="29">
        <f t="shared" si="16"/>
        <v>6147516.3700000001</v>
      </c>
      <c r="V23" s="29">
        <f t="shared" si="16"/>
        <v>0</v>
      </c>
      <c r="W23" s="29">
        <f t="shared" si="16"/>
        <v>0</v>
      </c>
      <c r="X23" s="29">
        <f t="shared" si="16"/>
        <v>0</v>
      </c>
      <c r="Y23" s="29">
        <f t="shared" si="16"/>
        <v>10898165.76</v>
      </c>
      <c r="Z23" s="29">
        <f t="shared" si="16"/>
        <v>0</v>
      </c>
      <c r="AA23" s="29">
        <f t="shared" si="16"/>
        <v>0</v>
      </c>
      <c r="AB23" s="29">
        <f t="shared" si="16"/>
        <v>0</v>
      </c>
      <c r="AC23" s="29">
        <f t="shared" si="16"/>
        <v>5741933.6699999999</v>
      </c>
      <c r="AD23" s="29">
        <f t="shared" si="16"/>
        <v>0</v>
      </c>
      <c r="AE23" s="29">
        <f t="shared" si="16"/>
        <v>0</v>
      </c>
      <c r="AF23" s="29">
        <f t="shared" si="16"/>
        <v>0</v>
      </c>
      <c r="AG23" s="29">
        <f t="shared" si="16"/>
        <v>5541546.3799999999</v>
      </c>
      <c r="AH23" s="29">
        <f t="shared" si="16"/>
        <v>0</v>
      </c>
      <c r="AI23" s="29">
        <f t="shared" si="16"/>
        <v>0</v>
      </c>
      <c r="AJ23" s="29">
        <f t="shared" si="16"/>
        <v>0</v>
      </c>
      <c r="AK23" s="29">
        <f t="shared" si="16"/>
        <v>14885461.619999999</v>
      </c>
      <c r="AL23" s="29">
        <f t="shared" si="16"/>
        <v>0</v>
      </c>
      <c r="AM23" s="29">
        <f t="shared" si="16"/>
        <v>0</v>
      </c>
      <c r="AN23" s="29">
        <f t="shared" si="16"/>
        <v>0</v>
      </c>
      <c r="AO23" s="29">
        <f t="shared" si="16"/>
        <v>10819505.6</v>
      </c>
      <c r="AP23" s="29">
        <f t="shared" si="16"/>
        <v>0</v>
      </c>
      <c r="AQ23" s="29">
        <f t="shared" si="16"/>
        <v>0</v>
      </c>
      <c r="AR23" s="29">
        <f t="shared" si="16"/>
        <v>0</v>
      </c>
      <c r="AS23" s="29">
        <f t="shared" si="16"/>
        <v>6408564.4500000002</v>
      </c>
      <c r="AT23" s="29">
        <f t="shared" si="16"/>
        <v>0</v>
      </c>
      <c r="AU23" s="29">
        <f t="shared" si="16"/>
        <v>0</v>
      </c>
      <c r="AV23" s="29">
        <f t="shared" si="16"/>
        <v>0</v>
      </c>
      <c r="AW23" s="29">
        <f t="shared" si="16"/>
        <v>3425124.99</v>
      </c>
      <c r="AX23" s="29">
        <f t="shared" si="16"/>
        <v>0</v>
      </c>
      <c r="AY23" s="29">
        <f t="shared" si="16"/>
        <v>0</v>
      </c>
      <c r="AZ23" s="29">
        <f t="shared" si="16"/>
        <v>0</v>
      </c>
      <c r="BA23" s="29">
        <f t="shared" si="16"/>
        <v>3065367.56</v>
      </c>
      <c r="BB23" s="29">
        <f t="shared" si="16"/>
        <v>0</v>
      </c>
      <c r="BC23" s="29">
        <f t="shared" si="16"/>
        <v>0</v>
      </c>
      <c r="BD23" s="29">
        <f t="shared" si="16"/>
        <v>0</v>
      </c>
      <c r="BE23" s="29">
        <f t="shared" si="16"/>
        <v>2338056.19</v>
      </c>
      <c r="BF23" s="29">
        <f t="shared" si="16"/>
        <v>0</v>
      </c>
      <c r="BG23" s="29">
        <f t="shared" si="16"/>
        <v>0</v>
      </c>
      <c r="BH23" s="29">
        <f t="shared" si="16"/>
        <v>0</v>
      </c>
      <c r="BI23" s="29">
        <f t="shared" si="16"/>
        <v>2356330.52</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5422250</v>
      </c>
      <c r="C24" s="26">
        <f t="shared" ref="C24:BN24" si="18">C67</f>
        <v>2777250</v>
      </c>
      <c r="D24" s="26">
        <f t="shared" si="18"/>
        <v>2777250</v>
      </c>
      <c r="E24" s="26">
        <f>E67</f>
        <v>12159166.67</v>
      </c>
      <c r="F24" s="26">
        <f t="shared" si="18"/>
        <v>8396666.6699999999</v>
      </c>
      <c r="G24" s="26">
        <f t="shared" si="18"/>
        <v>5386666.6699999999</v>
      </c>
      <c r="H24" s="26">
        <f t="shared" si="18"/>
        <v>2796666.67</v>
      </c>
      <c r="I24" s="26">
        <f t="shared" si="18"/>
        <v>19162500</v>
      </c>
      <c r="J24" s="26">
        <f t="shared" si="18"/>
        <v>15867500</v>
      </c>
      <c r="K24" s="26">
        <f t="shared" si="18"/>
        <v>11992500</v>
      </c>
      <c r="L24" s="26">
        <f t="shared" si="18"/>
        <v>9125000</v>
      </c>
      <c r="M24" s="26">
        <f t="shared" si="18"/>
        <v>6349315.0700000003</v>
      </c>
      <c r="N24" s="26">
        <f t="shared" si="18"/>
        <v>0</v>
      </c>
      <c r="O24" s="26">
        <f t="shared" si="18"/>
        <v>0</v>
      </c>
      <c r="P24" s="26">
        <f t="shared" si="18"/>
        <v>0</v>
      </c>
      <c r="Q24" s="26">
        <f t="shared" si="18"/>
        <v>0</v>
      </c>
      <c r="R24" s="26">
        <f t="shared" si="18"/>
        <v>0</v>
      </c>
      <c r="S24" s="26">
        <f t="shared" si="18"/>
        <v>0</v>
      </c>
      <c r="T24" s="26">
        <f t="shared" si="18"/>
        <v>0</v>
      </c>
      <c r="U24" s="26">
        <f t="shared" si="18"/>
        <v>0</v>
      </c>
      <c r="V24" s="26">
        <f t="shared" si="18"/>
        <v>0</v>
      </c>
      <c r="W24" s="26">
        <f t="shared" si="18"/>
        <v>0</v>
      </c>
      <c r="X24" s="26">
        <f t="shared" si="18"/>
        <v>0</v>
      </c>
      <c r="Y24" s="26">
        <f t="shared" si="18"/>
        <v>0</v>
      </c>
      <c r="Z24" s="26">
        <f t="shared" si="18"/>
        <v>97671.69</v>
      </c>
      <c r="AA24" s="26">
        <f t="shared" si="18"/>
        <v>0</v>
      </c>
      <c r="AB24" s="26">
        <f t="shared" si="18"/>
        <v>0</v>
      </c>
      <c r="AC24" s="26">
        <f t="shared" si="18"/>
        <v>0</v>
      </c>
      <c r="AD24" s="26">
        <f t="shared" si="18"/>
        <v>960699.51</v>
      </c>
      <c r="AE24" s="26">
        <f t="shared" si="18"/>
        <v>0</v>
      </c>
      <c r="AF24" s="26">
        <f t="shared" si="18"/>
        <v>0</v>
      </c>
      <c r="AG24" s="26">
        <f t="shared" si="18"/>
        <v>0</v>
      </c>
      <c r="AH24" s="26">
        <f t="shared" si="18"/>
        <v>461717.08</v>
      </c>
      <c r="AI24" s="26">
        <f t="shared" si="18"/>
        <v>0</v>
      </c>
      <c r="AJ24" s="26">
        <f t="shared" si="18"/>
        <v>0</v>
      </c>
      <c r="AK24" s="26">
        <f t="shared" si="18"/>
        <v>0</v>
      </c>
      <c r="AL24" s="26">
        <f t="shared" si="18"/>
        <v>1717806.4499999993</v>
      </c>
      <c r="AM24" s="26">
        <f t="shared" si="18"/>
        <v>1000000</v>
      </c>
      <c r="AN24" s="26">
        <f t="shared" si="18"/>
        <v>0</v>
      </c>
      <c r="AO24" s="26">
        <f t="shared" si="18"/>
        <v>-6897008.4199999999</v>
      </c>
      <c r="AP24" s="26">
        <f t="shared" si="18"/>
        <v>-930380.59</v>
      </c>
      <c r="AQ24" s="26">
        <f t="shared" si="18"/>
        <v>-7876342.5499999998</v>
      </c>
      <c r="AR24" s="26">
        <f t="shared" si="18"/>
        <v>6521906.0300000003</v>
      </c>
      <c r="AS24" s="26">
        <f t="shared" si="18"/>
        <v>148255267.41999999</v>
      </c>
      <c r="AT24" s="26">
        <f t="shared" si="18"/>
        <v>60055871.75</v>
      </c>
      <c r="AU24" s="26">
        <f t="shared" si="18"/>
        <v>5904137.3200000003</v>
      </c>
      <c r="AV24" s="26">
        <f t="shared" si="18"/>
        <v>2766492.93</v>
      </c>
      <c r="AW24" s="26">
        <f t="shared" si="18"/>
        <v>14318717.74</v>
      </c>
      <c r="AX24" s="26">
        <f t="shared" si="18"/>
        <v>14019438.57</v>
      </c>
      <c r="AY24" s="26">
        <f t="shared" si="18"/>
        <v>14009438.57</v>
      </c>
      <c r="AZ24" s="26">
        <f t="shared" si="18"/>
        <v>6036022.2699999996</v>
      </c>
      <c r="BA24" s="26">
        <f t="shared" si="18"/>
        <v>3228353.47</v>
      </c>
      <c r="BB24" s="26">
        <f t="shared" si="18"/>
        <v>1968092.42</v>
      </c>
      <c r="BC24" s="26">
        <f t="shared" si="18"/>
        <v>-892725.16</v>
      </c>
      <c r="BD24" s="26">
        <f t="shared" si="18"/>
        <v>-162719.66</v>
      </c>
      <c r="BE24" s="26">
        <f t="shared" si="18"/>
        <v>2890900.94</v>
      </c>
      <c r="BF24" s="26">
        <f t="shared" si="18"/>
        <v>-255923.71</v>
      </c>
      <c r="BG24" s="26">
        <f t="shared" si="18"/>
        <v>-250667.51</v>
      </c>
      <c r="BH24" s="26">
        <f t="shared" si="18"/>
        <v>48919.87</v>
      </c>
      <c r="BI24" s="26">
        <f t="shared" si="18"/>
        <v>946914.2</v>
      </c>
      <c r="BJ24" s="26">
        <f t="shared" si="18"/>
        <v>98113.99</v>
      </c>
      <c r="BK24" s="26">
        <f t="shared" si="18"/>
        <v>604187.18999999994</v>
      </c>
      <c r="BL24" s="26">
        <f t="shared" si="18"/>
        <v>573275.71</v>
      </c>
      <c r="BM24" s="26">
        <f t="shared" si="18"/>
        <v>-296138.87</v>
      </c>
      <c r="BN24" s="26">
        <f t="shared" si="18"/>
        <v>225245.9</v>
      </c>
      <c r="BO24" s="26">
        <f t="shared" ref="BO24:CJ24" si="19">BO67</f>
        <v>327855.90000000002</v>
      </c>
      <c r="BP24" s="26">
        <f t="shared" si="19"/>
        <v>242481.5</v>
      </c>
      <c r="BQ24" s="26">
        <f t="shared" si="19"/>
        <v>323331.55</v>
      </c>
      <c r="BR24" s="26">
        <f t="shared" si="19"/>
        <v>1314800</v>
      </c>
      <c r="BS24" s="26">
        <f t="shared" si="19"/>
        <v>500000</v>
      </c>
      <c r="BT24" s="26">
        <f t="shared" si="19"/>
        <v>0</v>
      </c>
      <c r="BU24" s="26">
        <f t="shared" si="19"/>
        <v>0</v>
      </c>
      <c r="BV24" s="26">
        <f t="shared" si="19"/>
        <v>0</v>
      </c>
      <c r="BW24" s="26">
        <f t="shared" si="19"/>
        <v>0</v>
      </c>
      <c r="BX24" s="26">
        <f t="shared" si="19"/>
        <v>0</v>
      </c>
      <c r="BY24" s="26">
        <f t="shared" si="19"/>
        <v>0</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-22309510.109999999</v>
      </c>
      <c r="F25" s="29">
        <f t="shared" si="20"/>
        <v>0</v>
      </c>
      <c r="G25" s="29">
        <f t="shared" si="20"/>
        <v>0</v>
      </c>
      <c r="H25" s="29">
        <f t="shared" si="20"/>
        <v>0</v>
      </c>
      <c r="I25" s="29">
        <f t="shared" si="20"/>
        <v>19929134.059999999</v>
      </c>
      <c r="J25" s="29">
        <f t="shared" si="20"/>
        <v>0</v>
      </c>
      <c r="K25" s="29">
        <f t="shared" si="20"/>
        <v>0</v>
      </c>
      <c r="L25" s="29">
        <f t="shared" si="20"/>
        <v>0</v>
      </c>
      <c r="M25" s="29">
        <f t="shared" si="20"/>
        <v>40493506.859999999</v>
      </c>
      <c r="N25" s="29">
        <f t="shared" si="20"/>
        <v>0</v>
      </c>
      <c r="O25" s="29">
        <f t="shared" si="20"/>
        <v>0</v>
      </c>
      <c r="P25" s="29">
        <f t="shared" si="20"/>
        <v>0</v>
      </c>
      <c r="Q25" s="29">
        <f t="shared" si="20"/>
        <v>2700832.12</v>
      </c>
      <c r="R25" s="29">
        <f t="shared" si="20"/>
        <v>0</v>
      </c>
      <c r="S25" s="29">
        <f t="shared" si="20"/>
        <v>0</v>
      </c>
      <c r="T25" s="29">
        <f t="shared" si="20"/>
        <v>0</v>
      </c>
      <c r="U25" s="29">
        <f t="shared" si="20"/>
        <v>-11935263.91</v>
      </c>
      <c r="V25" s="29">
        <f t="shared" si="20"/>
        <v>0</v>
      </c>
      <c r="W25" s="29">
        <f t="shared" si="20"/>
        <v>0</v>
      </c>
      <c r="X25" s="29">
        <f t="shared" si="20"/>
        <v>0</v>
      </c>
      <c r="Y25" s="29">
        <f t="shared" si="20"/>
        <v>-5016753.3</v>
      </c>
      <c r="Z25" s="29">
        <f t="shared" si="20"/>
        <v>0</v>
      </c>
      <c r="AA25" s="29">
        <f t="shared" si="20"/>
        <v>0</v>
      </c>
      <c r="AB25" s="29">
        <f t="shared" si="20"/>
        <v>0</v>
      </c>
      <c r="AC25" s="29">
        <f t="shared" si="20"/>
        <v>-4454415.38</v>
      </c>
      <c r="AD25" s="29">
        <f t="shared" si="20"/>
        <v>0</v>
      </c>
      <c r="AE25" s="29">
        <f t="shared" si="20"/>
        <v>0</v>
      </c>
      <c r="AF25" s="29">
        <f t="shared" si="20"/>
        <v>0</v>
      </c>
      <c r="AG25" s="29">
        <f t="shared" si="20"/>
        <v>-4570314.7699999996</v>
      </c>
      <c r="AH25" s="29">
        <f t="shared" si="20"/>
        <v>0</v>
      </c>
      <c r="AI25" s="29">
        <f t="shared" si="20"/>
        <v>0</v>
      </c>
      <c r="AJ25" s="29">
        <f t="shared" si="20"/>
        <v>0</v>
      </c>
      <c r="AK25" s="29">
        <f t="shared" si="20"/>
        <v>1869510.08</v>
      </c>
      <c r="AL25" s="29">
        <f t="shared" si="20"/>
        <v>0</v>
      </c>
      <c r="AM25" s="29">
        <f t="shared" si="20"/>
        <v>0</v>
      </c>
      <c r="AN25" s="29">
        <f t="shared" si="20"/>
        <v>0</v>
      </c>
      <c r="AO25" s="29">
        <f t="shared" si="20"/>
        <v>69873099.480000004</v>
      </c>
      <c r="AP25" s="29">
        <f t="shared" si="20"/>
        <v>0</v>
      </c>
      <c r="AQ25" s="29">
        <f t="shared" si="20"/>
        <v>0</v>
      </c>
      <c r="AR25" s="29">
        <f t="shared" si="20"/>
        <v>0</v>
      </c>
      <c r="AS25" s="29">
        <f t="shared" si="20"/>
        <v>71751196.140000001</v>
      </c>
      <c r="AT25" s="29">
        <f t="shared" si="20"/>
        <v>0</v>
      </c>
      <c r="AU25" s="29">
        <f t="shared" si="20"/>
        <v>0</v>
      </c>
      <c r="AV25" s="29">
        <f t="shared" si="20"/>
        <v>0</v>
      </c>
      <c r="AW25" s="29">
        <f t="shared" si="20"/>
        <v>30260560.210000001</v>
      </c>
      <c r="AX25" s="29">
        <f t="shared" si="20"/>
        <v>0</v>
      </c>
      <c r="AY25" s="29">
        <f t="shared" si="20"/>
        <v>0</v>
      </c>
      <c r="AZ25" s="29">
        <f t="shared" si="20"/>
        <v>0</v>
      </c>
      <c r="BA25" s="29">
        <f t="shared" si="20"/>
        <v>571641.32999999996</v>
      </c>
      <c r="BB25" s="29">
        <f t="shared" si="20"/>
        <v>0</v>
      </c>
      <c r="BC25" s="29">
        <f t="shared" si="20"/>
        <v>0</v>
      </c>
      <c r="BD25" s="29">
        <f t="shared" si="20"/>
        <v>0</v>
      </c>
      <c r="BE25" s="29">
        <f t="shared" si="20"/>
        <v>-110123.08</v>
      </c>
      <c r="BF25" s="29">
        <f t="shared" si="20"/>
        <v>0</v>
      </c>
      <c r="BG25" s="29">
        <f t="shared" si="20"/>
        <v>0</v>
      </c>
      <c r="BH25" s="29">
        <f t="shared" si="20"/>
        <v>0</v>
      </c>
      <c r="BI25" s="29">
        <f t="shared" si="20"/>
        <v>-711095.56</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90">
        <v>43001089.899999999</v>
      </c>
      <c r="C26" s="190">
        <v>5861746.1399999997</v>
      </c>
      <c r="D26" s="190">
        <v>-43947423.009999998</v>
      </c>
      <c r="E26" s="190">
        <v>-48074334.600000001</v>
      </c>
      <c r="F26" s="190">
        <v>-39574514.890000001</v>
      </c>
      <c r="G26" s="190">
        <v>-19125239.600000001</v>
      </c>
      <c r="H26" s="190">
        <v>-6979242.8300000001</v>
      </c>
      <c r="I26" s="190">
        <v>33807458.079999998</v>
      </c>
      <c r="J26" s="190">
        <v>14133959.609999999</v>
      </c>
      <c r="K26" s="190">
        <v>13835549.17</v>
      </c>
      <c r="L26" s="190">
        <v>-2968605.04</v>
      </c>
      <c r="M26" s="190">
        <v>0</v>
      </c>
      <c r="N26" s="190">
        <v>0</v>
      </c>
      <c r="O26" s="190">
        <v>0</v>
      </c>
      <c r="P26" s="190">
        <v>0</v>
      </c>
      <c r="Q26" s="190">
        <v>0</v>
      </c>
      <c r="R26" s="190">
        <v>0</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45000</v>
      </c>
      <c r="AK26" s="190">
        <v>0</v>
      </c>
      <c r="AL26" s="190"/>
      <c r="AM26" s="190"/>
      <c r="AN26" s="190"/>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40"/>
      <c r="CA26" s="40"/>
      <c r="CB26" s="40"/>
      <c r="CC26" s="40"/>
      <c r="CD26" s="40"/>
      <c r="CE26" s="40"/>
      <c r="CF26" s="40"/>
      <c r="CG26" s="40"/>
      <c r="CH26" s="40"/>
      <c r="CI26" s="40"/>
      <c r="CJ26" s="40"/>
      <c r="CK26" s="40"/>
    </row>
    <row r="27" spans="1:89" x14ac:dyDescent="0.25">
      <c r="A27" s="17" t="s">
        <v>405</v>
      </c>
      <c r="B27" s="26">
        <f>SUM(B22:B26)</f>
        <v>48445871.899999999</v>
      </c>
      <c r="C27" s="26">
        <f t="shared" ref="C27:BN27" si="22">SUM(C22:C26)</f>
        <v>8668138.1400000006</v>
      </c>
      <c r="D27" s="26">
        <f t="shared" si="22"/>
        <v>-41134516.009999998</v>
      </c>
      <c r="E27" s="26">
        <f t="shared" si="22"/>
        <v>-51080879.230000004</v>
      </c>
      <c r="F27" s="26">
        <f t="shared" si="22"/>
        <v>-31177848.219999999</v>
      </c>
      <c r="G27" s="26">
        <f t="shared" si="22"/>
        <v>-13738572.930000002</v>
      </c>
      <c r="H27" s="26">
        <f t="shared" si="22"/>
        <v>-4182576.16</v>
      </c>
      <c r="I27" s="26">
        <f t="shared" si="22"/>
        <v>86241810.319999993</v>
      </c>
      <c r="J27" s="26">
        <f t="shared" si="22"/>
        <v>30001459.609999999</v>
      </c>
      <c r="K27" s="26">
        <f t="shared" si="22"/>
        <v>25828049.170000002</v>
      </c>
      <c r="L27" s="26">
        <f t="shared" si="22"/>
        <v>6156394.96</v>
      </c>
      <c r="M27" s="26">
        <f t="shared" si="22"/>
        <v>57358419.920000002</v>
      </c>
      <c r="N27" s="26">
        <f t="shared" si="22"/>
        <v>0</v>
      </c>
      <c r="O27" s="26">
        <f t="shared" si="22"/>
        <v>0</v>
      </c>
      <c r="P27" s="26">
        <f t="shared" si="22"/>
        <v>0</v>
      </c>
      <c r="Q27" s="26">
        <f t="shared" si="22"/>
        <v>7421186.4000000004</v>
      </c>
      <c r="R27" s="26">
        <f t="shared" si="22"/>
        <v>0</v>
      </c>
      <c r="S27" s="26">
        <f t="shared" si="22"/>
        <v>0</v>
      </c>
      <c r="T27" s="26">
        <f t="shared" si="22"/>
        <v>0</v>
      </c>
      <c r="U27" s="26">
        <f t="shared" si="22"/>
        <v>-5787747.54</v>
      </c>
      <c r="V27" s="26">
        <f t="shared" si="22"/>
        <v>0</v>
      </c>
      <c r="W27" s="26">
        <f t="shared" si="22"/>
        <v>0</v>
      </c>
      <c r="X27" s="26">
        <f t="shared" si="22"/>
        <v>0</v>
      </c>
      <c r="Y27" s="26">
        <f t="shared" si="22"/>
        <v>5881412.46</v>
      </c>
      <c r="Z27" s="26">
        <f t="shared" si="22"/>
        <v>97671.69</v>
      </c>
      <c r="AA27" s="26">
        <f t="shared" si="22"/>
        <v>0</v>
      </c>
      <c r="AB27" s="26">
        <f t="shared" si="22"/>
        <v>0</v>
      </c>
      <c r="AC27" s="26">
        <f t="shared" si="22"/>
        <v>1287518.29</v>
      </c>
      <c r="AD27" s="26">
        <f t="shared" si="22"/>
        <v>960699.51</v>
      </c>
      <c r="AE27" s="26">
        <f t="shared" si="22"/>
        <v>0</v>
      </c>
      <c r="AF27" s="26">
        <f t="shared" si="22"/>
        <v>0</v>
      </c>
      <c r="AG27" s="26">
        <f t="shared" si="22"/>
        <v>971231.61000000034</v>
      </c>
      <c r="AH27" s="26">
        <f t="shared" si="22"/>
        <v>461717.08</v>
      </c>
      <c r="AI27" s="26">
        <f t="shared" si="22"/>
        <v>0</v>
      </c>
      <c r="AJ27" s="26">
        <f t="shared" si="22"/>
        <v>45000</v>
      </c>
      <c r="AK27" s="26">
        <f t="shared" si="22"/>
        <v>16754971.699999999</v>
      </c>
      <c r="AL27" s="26">
        <f t="shared" si="22"/>
        <v>1717806.4499999993</v>
      </c>
      <c r="AM27" s="26">
        <f t="shared" si="22"/>
        <v>1000000</v>
      </c>
      <c r="AN27" s="26">
        <f t="shared" si="22"/>
        <v>0</v>
      </c>
      <c r="AO27" s="26">
        <f t="shared" si="22"/>
        <v>73795596.659999996</v>
      </c>
      <c r="AP27" s="26">
        <f t="shared" si="22"/>
        <v>-930380.59</v>
      </c>
      <c r="AQ27" s="26">
        <f t="shared" si="22"/>
        <v>-7876342.5499999998</v>
      </c>
      <c r="AR27" s="26">
        <f t="shared" si="22"/>
        <v>6521906.0300000003</v>
      </c>
      <c r="AS27" s="26">
        <f t="shared" si="22"/>
        <v>226415028.00999999</v>
      </c>
      <c r="AT27" s="26">
        <f t="shared" si="22"/>
        <v>60055871.75</v>
      </c>
      <c r="AU27" s="26">
        <f t="shared" si="22"/>
        <v>5904137.3200000003</v>
      </c>
      <c r="AV27" s="26">
        <f t="shared" si="22"/>
        <v>2766492.93</v>
      </c>
      <c r="AW27" s="26">
        <f t="shared" si="22"/>
        <v>48004402.939999998</v>
      </c>
      <c r="AX27" s="26">
        <f t="shared" si="22"/>
        <v>14019438.57</v>
      </c>
      <c r="AY27" s="26">
        <f t="shared" si="22"/>
        <v>14009438.57</v>
      </c>
      <c r="AZ27" s="26">
        <f t="shared" si="22"/>
        <v>6036022.2699999996</v>
      </c>
      <c r="BA27" s="26">
        <f t="shared" si="22"/>
        <v>6865362.3600000003</v>
      </c>
      <c r="BB27" s="26">
        <f t="shared" si="22"/>
        <v>1968092.42</v>
      </c>
      <c r="BC27" s="26">
        <f t="shared" si="22"/>
        <v>-892725.16</v>
      </c>
      <c r="BD27" s="26">
        <f t="shared" si="22"/>
        <v>-162719.66</v>
      </c>
      <c r="BE27" s="26">
        <f t="shared" si="22"/>
        <v>5118834.05</v>
      </c>
      <c r="BF27" s="26">
        <f t="shared" si="22"/>
        <v>-255923.71</v>
      </c>
      <c r="BG27" s="26">
        <f t="shared" si="22"/>
        <v>-250667.51</v>
      </c>
      <c r="BH27" s="26">
        <f t="shared" si="22"/>
        <v>48919.87</v>
      </c>
      <c r="BI27" s="26">
        <f t="shared" si="22"/>
        <v>2592149.1599999997</v>
      </c>
      <c r="BJ27" s="26">
        <f t="shared" si="22"/>
        <v>98113.99</v>
      </c>
      <c r="BK27" s="26">
        <f t="shared" si="22"/>
        <v>604187.18999999994</v>
      </c>
      <c r="BL27" s="26">
        <f t="shared" si="22"/>
        <v>573275.71</v>
      </c>
      <c r="BM27" s="26">
        <f t="shared" si="22"/>
        <v>-296138.87</v>
      </c>
      <c r="BN27" s="26">
        <f t="shared" si="22"/>
        <v>225245.9</v>
      </c>
      <c r="BO27" s="26">
        <f t="shared" ref="BO27:CJ27" si="23">SUM(BO22:BO26)</f>
        <v>327855.90000000002</v>
      </c>
      <c r="BP27" s="26">
        <f t="shared" si="23"/>
        <v>242481.5</v>
      </c>
      <c r="BQ27" s="26">
        <f t="shared" si="23"/>
        <v>323331.55</v>
      </c>
      <c r="BR27" s="26">
        <f t="shared" si="23"/>
        <v>1314800</v>
      </c>
      <c r="BS27" s="26">
        <f t="shared" si="23"/>
        <v>500000</v>
      </c>
      <c r="BT27" s="26">
        <f t="shared" si="23"/>
        <v>0</v>
      </c>
      <c r="BU27" s="26">
        <f t="shared" si="23"/>
        <v>0</v>
      </c>
      <c r="BV27" s="26">
        <f t="shared" si="23"/>
        <v>0</v>
      </c>
      <c r="BW27" s="26">
        <f t="shared" si="23"/>
        <v>0</v>
      </c>
      <c r="BX27" s="26">
        <f t="shared" si="23"/>
        <v>0</v>
      </c>
      <c r="BY27" s="26">
        <f t="shared" si="23"/>
        <v>0</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501689.3047517162</v>
      </c>
      <c r="C28" s="26">
        <f t="shared" ref="C28:BN28" si="24">SUM(C22:C25)*C41</f>
        <v>326235.97540271375</v>
      </c>
      <c r="D28" s="26">
        <f t="shared" si="24"/>
        <v>1177729.5925564878</v>
      </c>
      <c r="E28" s="26">
        <f t="shared" si="24"/>
        <v>-484516.57956445054</v>
      </c>
      <c r="F28" s="26">
        <f t="shared" si="24"/>
        <v>1342151.1923963246</v>
      </c>
      <c r="G28" s="26">
        <f t="shared" si="24"/>
        <v>893127.80846557429</v>
      </c>
      <c r="H28" s="26">
        <f t="shared" si="24"/>
        <v>482406.86998364725</v>
      </c>
      <c r="I28" s="26">
        <f t="shared" si="24"/>
        <v>6192271.9361802088</v>
      </c>
      <c r="J28" s="26">
        <f t="shared" si="24"/>
        <v>2295247.9897676455</v>
      </c>
      <c r="K28" s="26">
        <f t="shared" si="24"/>
        <v>1631322.7956974304</v>
      </c>
      <c r="L28" s="26">
        <f t="shared" si="24"/>
        <v>1449014.383228519</v>
      </c>
      <c r="M28" s="26">
        <f t="shared" si="24"/>
        <v>6774758.0746631529</v>
      </c>
      <c r="N28" s="26">
        <f t="shared" si="24"/>
        <v>0</v>
      </c>
      <c r="O28" s="26">
        <f t="shared" si="24"/>
        <v>0</v>
      </c>
      <c r="P28" s="26">
        <f t="shared" si="24"/>
        <v>0</v>
      </c>
      <c r="Q28" s="26">
        <f t="shared" si="24"/>
        <v>964459.74001356773</v>
      </c>
      <c r="R28" s="26">
        <f t="shared" si="24"/>
        <v>0</v>
      </c>
      <c r="S28" s="26">
        <f t="shared" si="24"/>
        <v>0</v>
      </c>
      <c r="T28" s="26">
        <f t="shared" si="24"/>
        <v>0</v>
      </c>
      <c r="U28" s="26">
        <f t="shared" si="24"/>
        <v>-940801.62489130639</v>
      </c>
      <c r="V28" s="26">
        <f t="shared" si="24"/>
        <v>0</v>
      </c>
      <c r="W28" s="26">
        <f t="shared" si="24"/>
        <v>0</v>
      </c>
      <c r="X28" s="26">
        <f t="shared" si="24"/>
        <v>0</v>
      </c>
      <c r="Y28" s="26">
        <f t="shared" si="24"/>
        <v>849674.26732991985</v>
      </c>
      <c r="Z28" s="26">
        <f t="shared" si="24"/>
        <v>14110.840706516239</v>
      </c>
      <c r="AA28" s="26">
        <f t="shared" si="24"/>
        <v>0</v>
      </c>
      <c r="AB28" s="26">
        <f t="shared" si="24"/>
        <v>0</v>
      </c>
      <c r="AC28" s="26">
        <f t="shared" si="24"/>
        <v>191822.73174040442</v>
      </c>
      <c r="AD28" s="26">
        <f t="shared" si="24"/>
        <v>136772.04747572917</v>
      </c>
      <c r="AE28" s="26">
        <f t="shared" si="24"/>
        <v>0</v>
      </c>
      <c r="AF28" s="26">
        <f t="shared" si="24"/>
        <v>0</v>
      </c>
      <c r="AG28" s="26">
        <f t="shared" si="24"/>
        <v>128325.58615097264</v>
      </c>
      <c r="AH28" s="26">
        <f t="shared" si="24"/>
        <v>62971.372138729203</v>
      </c>
      <c r="AI28" s="26">
        <f t="shared" si="24"/>
        <v>0</v>
      </c>
      <c r="AJ28" s="26">
        <f t="shared" si="24"/>
        <v>0</v>
      </c>
      <c r="AK28" s="26">
        <f t="shared" si="24"/>
        <v>0</v>
      </c>
      <c r="AL28" s="26">
        <f t="shared" si="24"/>
        <v>-6103278.4420422511</v>
      </c>
      <c r="AM28" s="26">
        <f t="shared" si="24"/>
        <v>-1973010.495257224</v>
      </c>
      <c r="AN28" s="26">
        <f t="shared" si="24"/>
        <v>0</v>
      </c>
      <c r="AO28" s="26">
        <f t="shared" si="24"/>
        <v>901585588493.21045</v>
      </c>
      <c r="AP28" s="26">
        <f t="shared" si="24"/>
        <v>13364002.731031526</v>
      </c>
      <c r="AQ28" s="26">
        <f t="shared" si="24"/>
        <v>-236877976.2684719</v>
      </c>
      <c r="AR28" s="26">
        <f t="shared" si="24"/>
        <v>37005438.669210412</v>
      </c>
      <c r="AS28" s="26">
        <f t="shared" si="24"/>
        <v>1066242228.1064808</v>
      </c>
      <c r="AT28" s="26">
        <f t="shared" si="24"/>
        <v>27238958517.177296</v>
      </c>
      <c r="AU28" s="26">
        <f t="shared" si="24"/>
        <v>-63130333.796591058</v>
      </c>
      <c r="AV28" s="26">
        <f t="shared" si="24"/>
        <v>-44327758.63631539</v>
      </c>
      <c r="AW28" s="26">
        <f t="shared" si="24"/>
        <v>615634088.58919609</v>
      </c>
      <c r="AX28" s="26">
        <f t="shared" si="24"/>
        <v>-3012270897.4733033</v>
      </c>
      <c r="AY28" s="26">
        <f t="shared" si="24"/>
        <v>1187335014.4322603</v>
      </c>
      <c r="AZ28" s="26">
        <f t="shared" si="24"/>
        <v>351396832.5426563</v>
      </c>
      <c r="BA28" s="26">
        <f t="shared" si="24"/>
        <v>-533487077.46225435</v>
      </c>
      <c r="BB28" s="26">
        <f t="shared" si="24"/>
        <v>-90468133.749474511</v>
      </c>
      <c r="BC28" s="26">
        <f t="shared" si="24"/>
        <v>33201720.610861026</v>
      </c>
      <c r="BD28" s="26">
        <f t="shared" si="24"/>
        <v>5119576.6823870009</v>
      </c>
      <c r="BE28" s="26">
        <f t="shared" si="24"/>
        <v>-83249709.411515981</v>
      </c>
      <c r="BF28" s="26">
        <f t="shared" si="24"/>
        <v>6260544.6768728504</v>
      </c>
      <c r="BG28" s="26">
        <f t="shared" si="24"/>
        <v>13001056.667898811</v>
      </c>
      <c r="BH28" s="26">
        <f t="shared" si="24"/>
        <v>-79269371.077160031</v>
      </c>
      <c r="BI28" s="26">
        <f t="shared" si="24"/>
        <v>207003539.83561933</v>
      </c>
      <c r="BJ28" s="26">
        <f t="shared" si="24"/>
        <v>13847090.372773519</v>
      </c>
      <c r="BK28" s="26">
        <f t="shared" si="24"/>
        <v>32219850.703695334</v>
      </c>
      <c r="BL28" s="26">
        <f t="shared" si="24"/>
        <v>20821778.299389172</v>
      </c>
      <c r="BM28" s="26">
        <f t="shared" si="24"/>
        <v>-3703800.5908166794</v>
      </c>
      <c r="BN28" s="26">
        <f t="shared" si="24"/>
        <v>2792337.9590265406</v>
      </c>
      <c r="BO28" s="26">
        <f t="shared" ref="BO28:CJ28" si="25">SUM(BO22:BO25)*BO41</f>
        <v>2245895.9505167194</v>
      </c>
      <c r="BP28" s="26">
        <f t="shared" si="25"/>
        <v>1809657.8196275609</v>
      </c>
      <c r="BQ28" s="26">
        <f t="shared" si="25"/>
        <v>2314653.5768247135</v>
      </c>
      <c r="BR28" s="26">
        <f t="shared" si="25"/>
        <v>24172100</v>
      </c>
      <c r="BS28" s="26">
        <f t="shared" si="25"/>
        <v>2214057.9871726404</v>
      </c>
      <c r="BT28" s="26">
        <f t="shared" si="25"/>
        <v>0</v>
      </c>
      <c r="BU28" s="26">
        <f t="shared" si="25"/>
        <v>0</v>
      </c>
      <c r="BV28" s="26">
        <f t="shared" si="25"/>
        <v>0</v>
      </c>
      <c r="BW28" s="26">
        <f t="shared" si="25"/>
        <v>0</v>
      </c>
      <c r="BX28" s="26">
        <f t="shared" si="25"/>
        <v>0</v>
      </c>
      <c r="BY28" s="26" t="e">
        <f t="shared" si="25"/>
        <v>#DIV/0!</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47944182.595248282</v>
      </c>
      <c r="C29" s="28">
        <f t="shared" ref="C29:BN29" si="26">C27-C28</f>
        <v>8341902.1645972868</v>
      </c>
      <c r="D29" s="28">
        <f t="shared" si="26"/>
        <v>-42312245.602556482</v>
      </c>
      <c r="E29" s="28">
        <f t="shared" si="26"/>
        <v>-50596362.650435552</v>
      </c>
      <c r="F29" s="28">
        <f t="shared" si="26"/>
        <v>-32519999.412396323</v>
      </c>
      <c r="G29" s="28">
        <f t="shared" si="26"/>
        <v>-14631700.738465576</v>
      </c>
      <c r="H29" s="28">
        <f t="shared" si="26"/>
        <v>-4664983.0299836472</v>
      </c>
      <c r="I29" s="28">
        <f t="shared" si="26"/>
        <v>80049538.383819789</v>
      </c>
      <c r="J29" s="28">
        <f t="shared" si="26"/>
        <v>27706211.620232355</v>
      </c>
      <c r="K29" s="28">
        <f t="shared" si="26"/>
        <v>24196726.37430257</v>
      </c>
      <c r="L29" s="28">
        <f t="shared" si="26"/>
        <v>4707380.576771481</v>
      </c>
      <c r="M29" s="28">
        <f t="shared" si="26"/>
        <v>50583661.845336847</v>
      </c>
      <c r="N29" s="28">
        <f t="shared" si="26"/>
        <v>0</v>
      </c>
      <c r="O29" s="28">
        <f t="shared" si="26"/>
        <v>0</v>
      </c>
      <c r="P29" s="28">
        <f t="shared" si="26"/>
        <v>0</v>
      </c>
      <c r="Q29" s="28">
        <f t="shared" si="26"/>
        <v>6456726.6599864326</v>
      </c>
      <c r="R29" s="28">
        <f t="shared" si="26"/>
        <v>0</v>
      </c>
      <c r="S29" s="28">
        <f t="shared" si="26"/>
        <v>0</v>
      </c>
      <c r="T29" s="28">
        <f t="shared" si="26"/>
        <v>0</v>
      </c>
      <c r="U29" s="28">
        <f t="shared" si="26"/>
        <v>-4846945.9151086938</v>
      </c>
      <c r="V29" s="28">
        <f t="shared" si="26"/>
        <v>0</v>
      </c>
      <c r="W29" s="28">
        <f t="shared" si="26"/>
        <v>0</v>
      </c>
      <c r="X29" s="28">
        <f t="shared" si="26"/>
        <v>0</v>
      </c>
      <c r="Y29" s="28">
        <f t="shared" si="26"/>
        <v>5031738.1926700799</v>
      </c>
      <c r="Z29" s="28">
        <f t="shared" si="26"/>
        <v>83560.84929348377</v>
      </c>
      <c r="AA29" s="28">
        <f t="shared" si="26"/>
        <v>0</v>
      </c>
      <c r="AB29" s="28">
        <f t="shared" si="26"/>
        <v>0</v>
      </c>
      <c r="AC29" s="28">
        <f t="shared" si="26"/>
        <v>1095695.5582595957</v>
      </c>
      <c r="AD29" s="28">
        <f t="shared" si="26"/>
        <v>823927.46252427087</v>
      </c>
      <c r="AE29" s="28">
        <f t="shared" si="26"/>
        <v>0</v>
      </c>
      <c r="AF29" s="28">
        <f t="shared" si="26"/>
        <v>0</v>
      </c>
      <c r="AG29" s="28">
        <f t="shared" si="26"/>
        <v>842906.0238490277</v>
      </c>
      <c r="AH29" s="28">
        <f t="shared" si="26"/>
        <v>398745.70786127081</v>
      </c>
      <c r="AI29" s="28">
        <f t="shared" si="26"/>
        <v>0</v>
      </c>
      <c r="AJ29" s="28">
        <f t="shared" si="26"/>
        <v>45000</v>
      </c>
      <c r="AK29" s="28">
        <f t="shared" si="26"/>
        <v>16754971.699999999</v>
      </c>
      <c r="AL29" s="28">
        <f t="shared" si="26"/>
        <v>7821084.8920422504</v>
      </c>
      <c r="AM29" s="28">
        <f t="shared" si="26"/>
        <v>2973010.495257224</v>
      </c>
      <c r="AN29" s="28">
        <f t="shared" si="26"/>
        <v>0</v>
      </c>
      <c r="AO29" s="28">
        <f t="shared" si="26"/>
        <v>-901511792896.55042</v>
      </c>
      <c r="AP29" s="28">
        <f t="shared" si="26"/>
        <v>-14294383.321031526</v>
      </c>
      <c r="AQ29" s="28">
        <f t="shared" si="26"/>
        <v>229001633.71847188</v>
      </c>
      <c r="AR29" s="28">
        <f t="shared" si="26"/>
        <v>-30483532.63921041</v>
      </c>
      <c r="AS29" s="28">
        <f t="shared" si="26"/>
        <v>-839827200.09648085</v>
      </c>
      <c r="AT29" s="28">
        <f t="shared" si="26"/>
        <v>-27178902645.427296</v>
      </c>
      <c r="AU29" s="28">
        <f t="shared" si="26"/>
        <v>69034471.116591066</v>
      </c>
      <c r="AV29" s="28">
        <f t="shared" si="26"/>
        <v>47094251.56631539</v>
      </c>
      <c r="AW29" s="28">
        <f t="shared" si="26"/>
        <v>-567629685.64919615</v>
      </c>
      <c r="AX29" s="28">
        <f t="shared" si="26"/>
        <v>3026290336.0433035</v>
      </c>
      <c r="AY29" s="28">
        <f t="shared" si="26"/>
        <v>-1173325575.8622603</v>
      </c>
      <c r="AZ29" s="28">
        <f t="shared" si="26"/>
        <v>-345360810.27265632</v>
      </c>
      <c r="BA29" s="28">
        <f t="shared" si="26"/>
        <v>540352439.8222543</v>
      </c>
      <c r="BB29" s="28">
        <f t="shared" si="26"/>
        <v>92436226.169474512</v>
      </c>
      <c r="BC29" s="28">
        <f t="shared" si="26"/>
        <v>-34094445.770861022</v>
      </c>
      <c r="BD29" s="28">
        <f t="shared" si="26"/>
        <v>-5282296.342387001</v>
      </c>
      <c r="BE29" s="28">
        <f t="shared" si="26"/>
        <v>88368543.461515978</v>
      </c>
      <c r="BF29" s="28">
        <f t="shared" si="26"/>
        <v>-6516468.3868728504</v>
      </c>
      <c r="BG29" s="28">
        <f t="shared" si="26"/>
        <v>-13251724.177898811</v>
      </c>
      <c r="BH29" s="28">
        <f t="shared" si="26"/>
        <v>79318290.947160035</v>
      </c>
      <c r="BI29" s="28">
        <f t="shared" si="26"/>
        <v>-204411390.67561933</v>
      </c>
      <c r="BJ29" s="28">
        <f t="shared" si="26"/>
        <v>-13748976.382773519</v>
      </c>
      <c r="BK29" s="28">
        <f t="shared" si="26"/>
        <v>-31615663.513695333</v>
      </c>
      <c r="BL29" s="28">
        <f t="shared" si="26"/>
        <v>-20248502.589389171</v>
      </c>
      <c r="BM29" s="28">
        <f t="shared" si="26"/>
        <v>3407661.7208166793</v>
      </c>
      <c r="BN29" s="28">
        <f t="shared" si="26"/>
        <v>-2567092.0590265407</v>
      </c>
      <c r="BO29" s="28">
        <f t="shared" ref="BO29:CK29" si="27">BO27-BO28</f>
        <v>-1918040.0505167195</v>
      </c>
      <c r="BP29" s="28">
        <f t="shared" si="27"/>
        <v>-1567176.3196275609</v>
      </c>
      <c r="BQ29" s="28">
        <f t="shared" si="27"/>
        <v>-1991322.0268247135</v>
      </c>
      <c r="BR29" s="28">
        <f t="shared" si="27"/>
        <v>-22857300</v>
      </c>
      <c r="BS29" s="28">
        <f t="shared" si="27"/>
        <v>-1714057.9871726404</v>
      </c>
      <c r="BT29" s="28">
        <f t="shared" si="27"/>
        <v>0</v>
      </c>
      <c r="BU29" s="28">
        <f t="shared" si="27"/>
        <v>0</v>
      </c>
      <c r="BV29" s="28">
        <f t="shared" si="27"/>
        <v>0</v>
      </c>
      <c r="BW29" s="28">
        <f t="shared" si="27"/>
        <v>0</v>
      </c>
      <c r="BX29" s="28">
        <f t="shared" si="27"/>
        <v>0</v>
      </c>
      <c r="BY29" s="28" t="e">
        <f t="shared" si="27"/>
        <v>#DIV/0!</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477520384.85000014</v>
      </c>
      <c r="C31" s="26">
        <f t="shared" ref="C31:BN31" si="28">C15+C20+C27</f>
        <v>205872310.38</v>
      </c>
      <c r="D31" s="26">
        <f t="shared" si="28"/>
        <v>49916541.489999942</v>
      </c>
      <c r="E31" s="26">
        <f t="shared" si="28"/>
        <v>388685887.36999977</v>
      </c>
      <c r="F31" s="26">
        <f t="shared" si="28"/>
        <v>325371593.08000016</v>
      </c>
      <c r="G31" s="26">
        <f t="shared" si="28"/>
        <v>239576174.06999999</v>
      </c>
      <c r="H31" s="26">
        <f t="shared" si="28"/>
        <v>114117991.12000003</v>
      </c>
      <c r="I31" s="26">
        <f t="shared" si="28"/>
        <v>431173405.69999981</v>
      </c>
      <c r="J31" s="26">
        <f t="shared" si="28"/>
        <v>319584485.13999993</v>
      </c>
      <c r="K31" s="26">
        <f t="shared" si="28"/>
        <v>232353025.87</v>
      </c>
      <c r="L31" s="26">
        <f t="shared" si="28"/>
        <v>111786798.85999998</v>
      </c>
      <c r="M31" s="26">
        <f t="shared" si="28"/>
        <v>298175294.38</v>
      </c>
      <c r="N31" s="26">
        <f t="shared" si="28"/>
        <v>150421287.05999988</v>
      </c>
      <c r="O31" s="26">
        <f t="shared" si="28"/>
        <v>68696959.51000005</v>
      </c>
      <c r="P31" s="26">
        <f t="shared" si="28"/>
        <v>26398639.319999989</v>
      </c>
      <c r="Q31" s="26">
        <f t="shared" si="28"/>
        <v>112995177.04000008</v>
      </c>
      <c r="R31" s="26">
        <f t="shared" si="28"/>
        <v>69265984.329999968</v>
      </c>
      <c r="S31" s="26">
        <f t="shared" si="28"/>
        <v>38018440.44000002</v>
      </c>
      <c r="T31" s="26">
        <f t="shared" si="28"/>
        <v>19429075.500000007</v>
      </c>
      <c r="U31" s="26">
        <f t="shared" si="28"/>
        <v>146523293.77999991</v>
      </c>
      <c r="V31" s="26">
        <f t="shared" si="28"/>
        <v>112011498.47000009</v>
      </c>
      <c r="W31" s="26">
        <f t="shared" si="28"/>
        <v>78443733.020000011</v>
      </c>
      <c r="X31" s="26">
        <f t="shared" si="28"/>
        <v>36760970.260000013</v>
      </c>
      <c r="Y31" s="26">
        <f t="shared" si="28"/>
        <v>129328656.79999998</v>
      </c>
      <c r="Z31" s="26">
        <f t="shared" si="28"/>
        <v>93102439.540000007</v>
      </c>
      <c r="AA31" s="26">
        <f t="shared" si="28"/>
        <v>80210613.369999975</v>
      </c>
      <c r="AB31" s="26">
        <f t="shared" si="28"/>
        <v>33993335.580000006</v>
      </c>
      <c r="AC31" s="26">
        <f t="shared" si="28"/>
        <v>156727627.97999993</v>
      </c>
      <c r="AD31" s="26">
        <f t="shared" si="28"/>
        <v>131919111.54999994</v>
      </c>
      <c r="AE31" s="26">
        <f t="shared" si="28"/>
        <v>98312824.140000001</v>
      </c>
      <c r="AF31" s="26">
        <f t="shared" si="28"/>
        <v>39181662.529999994</v>
      </c>
      <c r="AG31" s="26">
        <f t="shared" si="28"/>
        <v>125639743.90000004</v>
      </c>
      <c r="AH31" s="26">
        <f t="shared" si="28"/>
        <v>93645944.700000003</v>
      </c>
      <c r="AI31" s="26">
        <f t="shared" si="28"/>
        <v>89583781.179999992</v>
      </c>
      <c r="AJ31" s="26">
        <f t="shared" si="28"/>
        <v>133245510.11000001</v>
      </c>
      <c r="AK31" s="26">
        <f t="shared" si="28"/>
        <v>5884910.75</v>
      </c>
      <c r="AL31" s="26">
        <f t="shared" si="28"/>
        <v>1717806.4499999993</v>
      </c>
      <c r="AM31" s="26">
        <f t="shared" si="28"/>
        <v>1000000</v>
      </c>
      <c r="AN31" s="26">
        <f t="shared" si="28"/>
        <v>0</v>
      </c>
      <c r="AO31" s="26">
        <f t="shared" si="28"/>
        <v>61684901.189999998</v>
      </c>
      <c r="AP31" s="26">
        <f t="shared" si="28"/>
        <v>-930380.59</v>
      </c>
      <c r="AQ31" s="26">
        <f t="shared" si="28"/>
        <v>-7876342.5499999998</v>
      </c>
      <c r="AR31" s="26">
        <f t="shared" si="28"/>
        <v>6521906.0300000003</v>
      </c>
      <c r="AS31" s="26">
        <f t="shared" si="28"/>
        <v>226890263.25999999</v>
      </c>
      <c r="AT31" s="26">
        <f t="shared" si="28"/>
        <v>60055871.75</v>
      </c>
      <c r="AU31" s="26">
        <f t="shared" si="28"/>
        <v>5904137.3200000003</v>
      </c>
      <c r="AV31" s="26">
        <f t="shared" si="28"/>
        <v>2766492.93</v>
      </c>
      <c r="AW31" s="26">
        <f t="shared" si="28"/>
        <v>45033950.969999999</v>
      </c>
      <c r="AX31" s="26">
        <f t="shared" si="28"/>
        <v>14019438.57</v>
      </c>
      <c r="AY31" s="26">
        <f t="shared" si="28"/>
        <v>14009438.57</v>
      </c>
      <c r="AZ31" s="26">
        <f t="shared" si="28"/>
        <v>6036022.2699999996</v>
      </c>
      <c r="BA31" s="26">
        <f t="shared" si="28"/>
        <v>5577152.0700000003</v>
      </c>
      <c r="BB31" s="26">
        <f t="shared" si="28"/>
        <v>1968092.42</v>
      </c>
      <c r="BC31" s="26">
        <f t="shared" si="28"/>
        <v>-892725.16</v>
      </c>
      <c r="BD31" s="26">
        <f t="shared" si="28"/>
        <v>-162719.66</v>
      </c>
      <c r="BE31" s="26">
        <f t="shared" si="28"/>
        <v>3836309.38</v>
      </c>
      <c r="BF31" s="26">
        <f t="shared" si="28"/>
        <v>-255923.71</v>
      </c>
      <c r="BG31" s="26">
        <f t="shared" si="28"/>
        <v>-250667.51</v>
      </c>
      <c r="BH31" s="26">
        <f t="shared" si="28"/>
        <v>48919.87</v>
      </c>
      <c r="BI31" s="26">
        <f t="shared" si="28"/>
        <v>2592149.1599999997</v>
      </c>
      <c r="BJ31" s="26">
        <f t="shared" si="28"/>
        <v>98113.99</v>
      </c>
      <c r="BK31" s="26">
        <f t="shared" si="28"/>
        <v>604187.18999999994</v>
      </c>
      <c r="BL31" s="26">
        <f t="shared" si="28"/>
        <v>573275.71</v>
      </c>
      <c r="BM31" s="26">
        <f t="shared" si="28"/>
        <v>-296138.87</v>
      </c>
      <c r="BN31" s="26">
        <f t="shared" si="28"/>
        <v>225245.9</v>
      </c>
      <c r="BO31" s="26">
        <f t="shared" ref="BO31:CJ31" si="29">BO15+BO20+BO27</f>
        <v>327855.90000000002</v>
      </c>
      <c r="BP31" s="26">
        <f t="shared" si="29"/>
        <v>242481.5</v>
      </c>
      <c r="BQ31" s="26">
        <f t="shared" si="29"/>
        <v>323331.55</v>
      </c>
      <c r="BR31" s="26">
        <f t="shared" si="29"/>
        <v>1314800</v>
      </c>
      <c r="BS31" s="26">
        <f t="shared" si="29"/>
        <v>500000</v>
      </c>
      <c r="BT31" s="26">
        <f t="shared" si="29"/>
        <v>0</v>
      </c>
      <c r="BU31" s="26">
        <f t="shared" si="29"/>
        <v>0</v>
      </c>
      <c r="BV31" s="26">
        <f t="shared" si="29"/>
        <v>0</v>
      </c>
      <c r="BW31" s="26">
        <f t="shared" si="29"/>
        <v>0</v>
      </c>
      <c r="BX31" s="26">
        <f t="shared" si="29"/>
        <v>0</v>
      </c>
      <c r="BY31" s="26">
        <f t="shared" si="29"/>
        <v>0</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25.812828625285121</v>
      </c>
      <c r="C32" s="57">
        <f t="shared" ref="C32:D32" si="30">C31/C4*100</f>
        <v>16.108987017534133</v>
      </c>
      <c r="D32" s="57">
        <f t="shared" si="30"/>
        <v>7.5902280391877461</v>
      </c>
      <c r="E32" s="57">
        <f>E31/E4</f>
        <v>0.15823452082732622</v>
      </c>
      <c r="F32" s="57">
        <f t="shared" ref="F32:BQ32" si="31">F31/F4</f>
        <v>0.1810331774478037</v>
      </c>
      <c r="G32" s="57">
        <f t="shared" si="31"/>
        <v>0.1897963652256219</v>
      </c>
      <c r="H32" s="57">
        <f t="shared" si="31"/>
        <v>0.18641961013903027</v>
      </c>
      <c r="I32" s="57">
        <f t="shared" si="31"/>
        <v>0.23339584668263716</v>
      </c>
      <c r="J32" s="57">
        <f t="shared" si="31"/>
        <v>0.24123673423351447</v>
      </c>
      <c r="K32" s="57">
        <f t="shared" si="31"/>
        <v>0.26154793147073435</v>
      </c>
      <c r="L32" s="57">
        <f t="shared" si="31"/>
        <v>0.26427052389100625</v>
      </c>
      <c r="M32" s="57">
        <f t="shared" si="31"/>
        <v>0.18281270010514011</v>
      </c>
      <c r="N32" s="57">
        <f t="shared" si="31"/>
        <v>0.14708085118345093</v>
      </c>
      <c r="O32" s="57">
        <f t="shared" si="31"/>
        <v>0.11167721874330641</v>
      </c>
      <c r="P32" s="57">
        <f t="shared" si="31"/>
        <v>9.9336724340629207E-2</v>
      </c>
      <c r="Q32" s="57">
        <f t="shared" si="31"/>
        <v>0.10572191212060428</v>
      </c>
      <c r="R32" s="57">
        <f t="shared" si="31"/>
        <v>9.8235889229832854E-2</v>
      </c>
      <c r="S32" s="57">
        <f t="shared" si="31"/>
        <v>8.7800136778710028E-2</v>
      </c>
      <c r="T32" s="57">
        <f t="shared" si="31"/>
        <v>9.8633941389267982E-2</v>
      </c>
      <c r="U32" s="57">
        <f t="shared" si="31"/>
        <v>0.15177747473061876</v>
      </c>
      <c r="V32" s="57">
        <f t="shared" si="31"/>
        <v>0.15873784636462834</v>
      </c>
      <c r="W32" s="57">
        <f t="shared" si="31"/>
        <v>0.16234947503549743</v>
      </c>
      <c r="X32" s="57">
        <f t="shared" si="31"/>
        <v>0.16610233316793699</v>
      </c>
      <c r="Y32" s="57">
        <f t="shared" si="31"/>
        <v>0.16379469386903164</v>
      </c>
      <c r="Z32" s="57">
        <f t="shared" si="31"/>
        <v>0.17261629237850332</v>
      </c>
      <c r="AA32" s="57">
        <f t="shared" si="31"/>
        <v>0.20318238236980468</v>
      </c>
      <c r="AB32" s="57">
        <f t="shared" si="31"/>
        <v>0.19136916997927475</v>
      </c>
      <c r="AC32" s="57">
        <f t="shared" si="31"/>
        <v>0.19111014699601828</v>
      </c>
      <c r="AD32" s="57">
        <f t="shared" si="31"/>
        <v>0.20581759129380695</v>
      </c>
      <c r="AE32" s="57">
        <f t="shared" si="31"/>
        <v>0.20953170224509479</v>
      </c>
      <c r="AF32" s="57">
        <f t="shared" si="31"/>
        <v>0.19022956269971913</v>
      </c>
      <c r="AG32" s="57">
        <f t="shared" si="31"/>
        <v>0.17171810880232746</v>
      </c>
      <c r="AH32" s="57">
        <f t="shared" si="31"/>
        <v>0.1739927480449408</v>
      </c>
      <c r="AI32" s="57">
        <f t="shared" si="31"/>
        <v>0.22126287577895692</v>
      </c>
      <c r="AJ32" s="57">
        <f t="shared" si="31"/>
        <v>0.20836586506086571</v>
      </c>
      <c r="AK32" s="57" t="e">
        <f t="shared" si="31"/>
        <v>#DIV/0!</v>
      </c>
      <c r="AL32" s="57" t="e">
        <f t="shared" si="31"/>
        <v>#DIV/0!</v>
      </c>
      <c r="AM32" s="57" t="e">
        <f t="shared" si="31"/>
        <v>#DIV/0!</v>
      </c>
      <c r="AN32" s="57" t="e">
        <f t="shared" si="31"/>
        <v>#DIV/0!</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437594537.23884642</v>
      </c>
      <c r="C33" s="26">
        <f t="shared" ref="C33:BN33" si="33">C17+C20+C29</f>
        <v>182762039.40021262</v>
      </c>
      <c r="D33" s="26">
        <f t="shared" si="33"/>
        <v>10616853.065774918</v>
      </c>
      <c r="E33" s="26">
        <f t="shared" si="33"/>
        <v>318181860.9876827</v>
      </c>
      <c r="F33" s="26">
        <f t="shared" si="33"/>
        <v>266647693.29826713</v>
      </c>
      <c r="G33" s="26">
        <f t="shared" si="33"/>
        <v>196278364.46623471</v>
      </c>
      <c r="H33" s="26">
        <f t="shared" si="33"/>
        <v>93229503.328390241</v>
      </c>
      <c r="I33" s="26">
        <f t="shared" si="33"/>
        <v>383947896.10811198</v>
      </c>
      <c r="J33" s="26">
        <f t="shared" si="33"/>
        <v>275859085.51639539</v>
      </c>
      <c r="K33" s="26">
        <f t="shared" si="33"/>
        <v>203059375.85776338</v>
      </c>
      <c r="L33" s="26">
        <f t="shared" si="33"/>
        <v>93564088.634871438</v>
      </c>
      <c r="M33" s="26">
        <f t="shared" si="33"/>
        <v>264220519.70282441</v>
      </c>
      <c r="N33" s="26">
        <f t="shared" si="33"/>
        <v>128146131.70147024</v>
      </c>
      <c r="O33" s="26">
        <f t="shared" si="33"/>
        <v>59432083.454376966</v>
      </c>
      <c r="P33" s="26">
        <f t="shared" si="33"/>
        <v>22110009.365698878</v>
      </c>
      <c r="Q33" s="26">
        <f t="shared" si="33"/>
        <v>98581148.336854532</v>
      </c>
      <c r="R33" s="26">
        <f t="shared" si="33"/>
        <v>59168024.273841426</v>
      </c>
      <c r="S33" s="26">
        <f t="shared" si="33"/>
        <v>32972479.459764391</v>
      </c>
      <c r="T33" s="26">
        <f t="shared" si="33"/>
        <v>16102753.595755408</v>
      </c>
      <c r="U33" s="26">
        <f t="shared" si="33"/>
        <v>122886187.92517225</v>
      </c>
      <c r="V33" s="26">
        <f t="shared" si="33"/>
        <v>95361015.178366318</v>
      </c>
      <c r="W33" s="26">
        <f t="shared" si="33"/>
        <v>67306699.027499974</v>
      </c>
      <c r="X33" s="26">
        <f t="shared" si="33"/>
        <v>31021376.888695545</v>
      </c>
      <c r="Y33" s="26">
        <f t="shared" si="33"/>
        <v>110881925.31192926</v>
      </c>
      <c r="Z33" s="26">
        <f t="shared" si="33"/>
        <v>79651728.348896429</v>
      </c>
      <c r="AA33" s="26">
        <f t="shared" si="33"/>
        <v>68744980.787294343</v>
      </c>
      <c r="AB33" s="26">
        <f t="shared" si="33"/>
        <v>28876648.166888524</v>
      </c>
      <c r="AC33" s="26">
        <f t="shared" si="33"/>
        <v>133653571.48473738</v>
      </c>
      <c r="AD33" s="26">
        <f t="shared" si="33"/>
        <v>113138164.12568761</v>
      </c>
      <c r="AE33" s="26">
        <f t="shared" si="33"/>
        <v>85349370.852867663</v>
      </c>
      <c r="AF33" s="26">
        <f t="shared" si="33"/>
        <v>32897415.338277187</v>
      </c>
      <c r="AG33" s="26">
        <f t="shared" si="33"/>
        <v>109253223.25196445</v>
      </c>
      <c r="AH33" s="26">
        <f t="shared" si="33"/>
        <v>80874024.646735877</v>
      </c>
      <c r="AI33" s="26">
        <f t="shared" si="33"/>
        <v>76057281.55625847</v>
      </c>
      <c r="AJ33" s="26">
        <f t="shared" si="33"/>
        <v>117807332.34076934</v>
      </c>
      <c r="AK33" s="26">
        <f t="shared" si="33"/>
        <v>5884910.75</v>
      </c>
      <c r="AL33" s="26">
        <f t="shared" si="33"/>
        <v>7821084.8920422504</v>
      </c>
      <c r="AM33" s="26">
        <f t="shared" si="33"/>
        <v>2973010.495257224</v>
      </c>
      <c r="AN33" s="26">
        <f t="shared" si="33"/>
        <v>0</v>
      </c>
      <c r="AO33" s="26">
        <f t="shared" si="33"/>
        <v>-753563469683.09009</v>
      </c>
      <c r="AP33" s="26">
        <f t="shared" si="33"/>
        <v>-14294383.321031526</v>
      </c>
      <c r="AQ33" s="26">
        <f t="shared" si="33"/>
        <v>229001633.71847188</v>
      </c>
      <c r="AR33" s="26">
        <f t="shared" si="33"/>
        <v>-30483532.63921041</v>
      </c>
      <c r="AS33" s="26">
        <f t="shared" si="33"/>
        <v>-841589960.6910516</v>
      </c>
      <c r="AT33" s="26">
        <f t="shared" si="33"/>
        <v>-27178902645.427296</v>
      </c>
      <c r="AU33" s="26">
        <f t="shared" si="33"/>
        <v>69034471.116591066</v>
      </c>
      <c r="AV33" s="26">
        <f t="shared" si="33"/>
        <v>47094251.56631539</v>
      </c>
      <c r="AW33" s="26">
        <f t="shared" si="33"/>
        <v>-532505475.89546609</v>
      </c>
      <c r="AX33" s="26">
        <f t="shared" si="33"/>
        <v>3026290336.0433035</v>
      </c>
      <c r="AY33" s="26">
        <f t="shared" si="33"/>
        <v>-1173325575.8622603</v>
      </c>
      <c r="AZ33" s="26">
        <f t="shared" si="33"/>
        <v>-345360810.27265632</v>
      </c>
      <c r="BA33" s="26">
        <f t="shared" si="33"/>
        <v>438961204.12269628</v>
      </c>
      <c r="BB33" s="26">
        <f t="shared" si="33"/>
        <v>92436226.169474512</v>
      </c>
      <c r="BC33" s="26">
        <f t="shared" si="33"/>
        <v>-34094445.770861022</v>
      </c>
      <c r="BD33" s="26">
        <f t="shared" si="33"/>
        <v>-5282296.342387001</v>
      </c>
      <c r="BE33" s="26">
        <f t="shared" si="33"/>
        <v>66227791.10769403</v>
      </c>
      <c r="BF33" s="26">
        <f t="shared" si="33"/>
        <v>-6516468.3868728504</v>
      </c>
      <c r="BG33" s="26">
        <f t="shared" si="33"/>
        <v>-13251724.177898811</v>
      </c>
      <c r="BH33" s="26">
        <f t="shared" si="33"/>
        <v>79318290.947160035</v>
      </c>
      <c r="BI33" s="26">
        <f t="shared" si="33"/>
        <v>-204411390.67561933</v>
      </c>
      <c r="BJ33" s="26">
        <f t="shared" si="33"/>
        <v>-13748976.382773519</v>
      </c>
      <c r="BK33" s="26">
        <f t="shared" si="33"/>
        <v>-31615663.513695333</v>
      </c>
      <c r="BL33" s="26">
        <f t="shared" si="33"/>
        <v>-20248502.589389171</v>
      </c>
      <c r="BM33" s="26">
        <f t="shared" si="33"/>
        <v>3407661.7208166793</v>
      </c>
      <c r="BN33" s="26">
        <f t="shared" si="33"/>
        <v>-2567092.0590265407</v>
      </c>
      <c r="BO33" s="26">
        <f t="shared" ref="BO33:CJ33" si="34">BO17+BO20+BO29</f>
        <v>-1918040.0505167195</v>
      </c>
      <c r="BP33" s="26">
        <f t="shared" si="34"/>
        <v>-1567176.3196275609</v>
      </c>
      <c r="BQ33" s="26">
        <f t="shared" si="34"/>
        <v>-1991322.0268247135</v>
      </c>
      <c r="BR33" s="26">
        <f t="shared" si="34"/>
        <v>-22857300</v>
      </c>
      <c r="BS33" s="26">
        <f t="shared" si="34"/>
        <v>-1714057.9871726404</v>
      </c>
      <c r="BT33" s="26">
        <f t="shared" si="34"/>
        <v>0</v>
      </c>
      <c r="BU33" s="26">
        <f t="shared" si="34"/>
        <v>0</v>
      </c>
      <c r="BV33" s="26">
        <f t="shared" si="34"/>
        <v>0</v>
      </c>
      <c r="BW33" s="26">
        <f t="shared" si="34"/>
        <v>0</v>
      </c>
      <c r="BX33" s="26">
        <f t="shared" si="34"/>
        <v>0</v>
      </c>
      <c r="BY33" s="26" t="e">
        <f t="shared" si="34"/>
        <v>#DIV/0!</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23.65459811868655</v>
      </c>
      <c r="C34" s="57">
        <f t="shared" ref="C34:D34" si="35">C33/C4*100</f>
        <v>14.30066682868538</v>
      </c>
      <c r="D34" s="57">
        <f t="shared" si="35"/>
        <v>1.6143813938697067</v>
      </c>
      <c r="E34" s="57">
        <f>E33/E4</f>
        <v>0.12953224170294098</v>
      </c>
      <c r="F34" s="57">
        <f t="shared" ref="F34:BQ34" si="36">F33/F4</f>
        <v>0.14835984518489886</v>
      </c>
      <c r="G34" s="57">
        <f t="shared" si="36"/>
        <v>0.15549509584052609</v>
      </c>
      <c r="H34" s="57">
        <f t="shared" si="36"/>
        <v>0.15229682448281368</v>
      </c>
      <c r="I34" s="57">
        <f t="shared" si="36"/>
        <v>0.20783249409524063</v>
      </c>
      <c r="J34" s="57">
        <f t="shared" si="36"/>
        <v>0.2082308372055881</v>
      </c>
      <c r="K34" s="57">
        <f t="shared" si="36"/>
        <v>0.2285735661176668</v>
      </c>
      <c r="L34" s="57">
        <f t="shared" si="36"/>
        <v>0.2211909722174687</v>
      </c>
      <c r="M34" s="57">
        <f t="shared" si="36"/>
        <v>0.1619948652368853</v>
      </c>
      <c r="N34" s="57">
        <f t="shared" si="36"/>
        <v>0.12530036469506367</v>
      </c>
      <c r="O34" s="57">
        <f t="shared" si="36"/>
        <v>9.6615772104713532E-2</v>
      </c>
      <c r="P34" s="57">
        <f t="shared" si="36"/>
        <v>8.3198830019439063E-2</v>
      </c>
      <c r="Q34" s="57">
        <f t="shared" si="36"/>
        <v>9.2235684515346653E-2</v>
      </c>
      <c r="R34" s="57">
        <f t="shared" si="36"/>
        <v>8.3914543837583414E-2</v>
      </c>
      <c r="S34" s="57">
        <f t="shared" si="36"/>
        <v>7.6146947980923516E-2</v>
      </c>
      <c r="T34" s="57">
        <f t="shared" si="36"/>
        <v>8.1747484813138052E-2</v>
      </c>
      <c r="U34" s="57">
        <f t="shared" si="36"/>
        <v>0.12729276554865959</v>
      </c>
      <c r="V34" s="57">
        <f t="shared" si="36"/>
        <v>0.1351415022861491</v>
      </c>
      <c r="W34" s="57">
        <f t="shared" si="36"/>
        <v>0.13929993936801613</v>
      </c>
      <c r="X34" s="57">
        <f t="shared" si="36"/>
        <v>0.1401683101085332</v>
      </c>
      <c r="Y34" s="57">
        <f t="shared" si="36"/>
        <v>0.140431915566576</v>
      </c>
      <c r="Z34" s="57">
        <f t="shared" si="36"/>
        <v>0.14767804256320377</v>
      </c>
      <c r="AA34" s="57">
        <f t="shared" si="36"/>
        <v>0.17413866302078521</v>
      </c>
      <c r="AB34" s="57">
        <f t="shared" si="36"/>
        <v>0.16256422316885802</v>
      </c>
      <c r="AC34" s="57">
        <f t="shared" si="36"/>
        <v>0.16297416111121449</v>
      </c>
      <c r="AD34" s="57">
        <f t="shared" si="36"/>
        <v>0.1765159282089816</v>
      </c>
      <c r="AE34" s="57">
        <f t="shared" si="36"/>
        <v>0.18190301333306036</v>
      </c>
      <c r="AF34" s="57">
        <f t="shared" si="36"/>
        <v>0.15971912700130908</v>
      </c>
      <c r="AG34" s="57">
        <f t="shared" si="36"/>
        <v>0.14932183316385922</v>
      </c>
      <c r="AH34" s="57">
        <f t="shared" si="36"/>
        <v>0.15026271387211332</v>
      </c>
      <c r="AI34" s="57">
        <f t="shared" si="36"/>
        <v>0.18785379026649801</v>
      </c>
      <c r="AJ34" s="57">
        <f t="shared" si="36"/>
        <v>0.18422404397290879</v>
      </c>
      <c r="AK34" s="57" t="e">
        <f t="shared" si="36"/>
        <v>#DIV/0!</v>
      </c>
      <c r="AL34" s="57" t="e">
        <f t="shared" si="36"/>
        <v>#DIV/0!</v>
      </c>
      <c r="AM34" s="57" t="e">
        <f t="shared" si="36"/>
        <v>#DIV/0!</v>
      </c>
      <c r="AN34" s="57" t="e">
        <f t="shared" si="36"/>
        <v>#DIV/0!</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-41491624.700000003</v>
      </c>
      <c r="C35" s="26">
        <f t="shared" ref="C35:BN35" si="38">C23+C68</f>
        <v>-16520248.6</v>
      </c>
      <c r="D35" s="26">
        <f t="shared" si="38"/>
        <v>18054855.379999999</v>
      </c>
      <c r="E35" s="26">
        <f t="shared" si="38"/>
        <v>25918204.509999998</v>
      </c>
      <c r="F35" s="26">
        <f t="shared" si="38"/>
        <v>12811691.41</v>
      </c>
      <c r="G35" s="26">
        <f t="shared" si="38"/>
        <v>6341483.3700000001</v>
      </c>
      <c r="H35" s="26">
        <f t="shared" si="38"/>
        <v>2323167.48</v>
      </c>
      <c r="I35" s="26">
        <f t="shared" si="38"/>
        <v>11613601.959999999</v>
      </c>
      <c r="J35" s="26">
        <f t="shared" si="38"/>
        <v>10100781.220000001</v>
      </c>
      <c r="K35" s="26">
        <f t="shared" si="38"/>
        <v>1886322.93</v>
      </c>
      <c r="L35" s="26">
        <f t="shared" si="38"/>
        <v>8726252.4700000007</v>
      </c>
      <c r="M35" s="26">
        <f t="shared" si="38"/>
        <v>-39899779.369999997</v>
      </c>
      <c r="N35" s="26">
        <f t="shared" si="38"/>
        <v>-21080294.359999999</v>
      </c>
      <c r="O35" s="26">
        <f t="shared" si="38"/>
        <v>-12497298.609999999</v>
      </c>
      <c r="P35" s="26">
        <f t="shared" si="38"/>
        <v>-1876182.35</v>
      </c>
      <c r="Q35" s="26">
        <f t="shared" si="38"/>
        <v>-1110059.75</v>
      </c>
      <c r="R35" s="26">
        <f t="shared" si="38"/>
        <v>-4825255.8600000003</v>
      </c>
      <c r="S35" s="26">
        <f t="shared" si="38"/>
        <v>-4243138.8099999996</v>
      </c>
      <c r="T35" s="26">
        <f t="shared" si="38"/>
        <v>-571638.42000000004</v>
      </c>
      <c r="U35" s="26">
        <f t="shared" si="38"/>
        <v>13910831.75</v>
      </c>
      <c r="V35" s="26">
        <f t="shared" si="38"/>
        <v>6252847.4400000004</v>
      </c>
      <c r="W35" s="26">
        <f t="shared" si="38"/>
        <v>5397982.4500000002</v>
      </c>
      <c r="X35" s="26">
        <f t="shared" si="38"/>
        <v>447191.81</v>
      </c>
      <c r="Y35" s="26">
        <f t="shared" si="38"/>
        <v>7650041.1899999995</v>
      </c>
      <c r="Z35" s="26">
        <f t="shared" si="38"/>
        <v>-2438942.9900000002</v>
      </c>
      <c r="AA35" s="26">
        <f t="shared" si="38"/>
        <v>-826896.2</v>
      </c>
      <c r="AB35" s="26">
        <f t="shared" si="38"/>
        <v>1206963.1200000001</v>
      </c>
      <c r="AC35" s="26">
        <f t="shared" si="38"/>
        <v>21446232.449999999</v>
      </c>
      <c r="AD35" s="26">
        <f t="shared" si="38"/>
        <v>12927230.65</v>
      </c>
      <c r="AE35" s="26">
        <f t="shared" si="38"/>
        <v>9320590.8200000003</v>
      </c>
      <c r="AF35" s="26">
        <f t="shared" si="38"/>
        <v>3892186.12</v>
      </c>
      <c r="AG35" s="26">
        <f t="shared" si="38"/>
        <v>18698101.370000001</v>
      </c>
      <c r="AH35" s="26">
        <f t="shared" si="38"/>
        <v>7153456.8099999996</v>
      </c>
      <c r="AI35" s="26">
        <f t="shared" si="38"/>
        <v>14830022.32</v>
      </c>
      <c r="AJ35" s="26">
        <f t="shared" si="38"/>
        <v>26978204.850000001</v>
      </c>
      <c r="AK35" s="26">
        <f t="shared" si="38"/>
        <v>14885461.619999999</v>
      </c>
      <c r="AL35" s="26">
        <f t="shared" si="38"/>
        <v>41987440.939999998</v>
      </c>
      <c r="AM35" s="26">
        <f t="shared" si="38"/>
        <v>36926585.880000003</v>
      </c>
      <c r="AN35" s="26">
        <f t="shared" si="38"/>
        <v>28076939.34</v>
      </c>
      <c r="AO35" s="26">
        <f t="shared" si="38"/>
        <v>61663001.009999998</v>
      </c>
      <c r="AP35" s="26">
        <f t="shared" si="38"/>
        <v>26723228.359999999</v>
      </c>
      <c r="AQ35" s="26">
        <f t="shared" si="38"/>
        <v>-17964350.649999999</v>
      </c>
      <c r="AR35" s="26">
        <f t="shared" si="38"/>
        <v>-19204677.640000001</v>
      </c>
      <c r="AS35" s="26">
        <f t="shared" si="38"/>
        <v>60121878.510000005</v>
      </c>
      <c r="AT35" s="26">
        <f t="shared" si="38"/>
        <v>58875511.689999998</v>
      </c>
      <c r="AU35" s="26">
        <f t="shared" si="38"/>
        <v>36841179.420000002</v>
      </c>
      <c r="AV35" s="26">
        <f t="shared" si="38"/>
        <v>12703537.65</v>
      </c>
      <c r="AW35" s="26">
        <f t="shared" si="38"/>
        <v>14194253.27</v>
      </c>
      <c r="AX35" s="26">
        <f t="shared" si="38"/>
        <v>15476019.02</v>
      </c>
      <c r="AY35" s="26">
        <f t="shared" si="38"/>
        <v>11800596.199999999</v>
      </c>
      <c r="AZ35" s="26">
        <f t="shared" si="38"/>
        <v>4443015.26</v>
      </c>
      <c r="BA35" s="26">
        <f t="shared" si="38"/>
        <v>8758878.4900000002</v>
      </c>
      <c r="BB35" s="26">
        <f t="shared" si="38"/>
        <v>7182245.3200000003</v>
      </c>
      <c r="BC35" s="26">
        <f t="shared" si="38"/>
        <v>3515117.81</v>
      </c>
      <c r="BD35" s="26">
        <f t="shared" si="38"/>
        <v>2286626.94</v>
      </c>
      <c r="BE35" s="26">
        <f t="shared" si="38"/>
        <v>10608888.880000001</v>
      </c>
      <c r="BF35" s="26">
        <f t="shared" si="38"/>
        <v>6107520.0599999996</v>
      </c>
      <c r="BG35" s="26">
        <f t="shared" si="38"/>
        <v>1800646.68</v>
      </c>
      <c r="BH35" s="26">
        <f t="shared" si="38"/>
        <v>78491.08</v>
      </c>
      <c r="BI35" s="26">
        <f t="shared" si="38"/>
        <v>1717756.01</v>
      </c>
      <c r="BJ35" s="26">
        <f t="shared" si="38"/>
        <v>-492931.82</v>
      </c>
      <c r="BK35" s="26">
        <f t="shared" si="38"/>
        <v>-603004.89</v>
      </c>
      <c r="BL35" s="26">
        <f t="shared" si="38"/>
        <v>-213084.64</v>
      </c>
      <c r="BM35" s="26">
        <f t="shared" si="38"/>
        <v>-3144390.8</v>
      </c>
      <c r="BN35" s="26">
        <f t="shared" si="38"/>
        <v>-2556415.54</v>
      </c>
      <c r="BO35" s="26">
        <f t="shared" ref="BO35:CJ35" si="39">BO23+BO68</f>
        <v>-2453786.7799999998</v>
      </c>
      <c r="BP35" s="26">
        <f t="shared" si="39"/>
        <v>-2113164.36</v>
      </c>
      <c r="BQ35" s="26">
        <f t="shared" si="39"/>
        <v>-1585239.75</v>
      </c>
      <c r="BR35" s="26">
        <f t="shared" si="39"/>
        <v>0</v>
      </c>
      <c r="BS35" s="26">
        <f t="shared" si="39"/>
        <v>-2304346.42</v>
      </c>
      <c r="BT35" s="26">
        <f t="shared" si="39"/>
        <v>5950327.5999999996</v>
      </c>
      <c r="BU35" s="26">
        <f t="shared" si="39"/>
        <v>2430452.9300000002</v>
      </c>
      <c r="BV35" s="26">
        <f t="shared" si="39"/>
        <v>2589207.4500000002</v>
      </c>
      <c r="BW35" s="26">
        <f t="shared" si="39"/>
        <v>4043301.61</v>
      </c>
      <c r="BX35" s="26">
        <f t="shared" si="39"/>
        <v>3372272.53</v>
      </c>
      <c r="BY35" s="26">
        <f t="shared" si="39"/>
        <v>0</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-3823092.3384558163</v>
      </c>
      <c r="C36" s="26">
        <f t="shared" ref="C36:BN36" si="40">C35*C41</f>
        <v>-1920437.13633602</v>
      </c>
      <c r="D36" s="26">
        <f t="shared" si="40"/>
        <v>7559346.0680903103</v>
      </c>
      <c r="E36" s="26">
        <f t="shared" si="40"/>
        <v>4176821.3491103635</v>
      </c>
      <c r="F36" s="26">
        <f t="shared" si="40"/>
        <v>2047863.465151136</v>
      </c>
      <c r="G36" s="26">
        <f t="shared" si="40"/>
        <v>1051439.6920478067</v>
      </c>
      <c r="H36" s="26">
        <f t="shared" si="40"/>
        <v>400731.32937025971</v>
      </c>
      <c r="I36" s="26">
        <f t="shared" si="40"/>
        <v>1371516.5425466017</v>
      </c>
      <c r="J36" s="26">
        <f t="shared" si="40"/>
        <v>1461086.9885166402</v>
      </c>
      <c r="K36" s="26">
        <f t="shared" si="40"/>
        <v>256593.83746139405</v>
      </c>
      <c r="L36" s="26">
        <f t="shared" si="40"/>
        <v>1385694.8318590019</v>
      </c>
      <c r="M36" s="26">
        <f t="shared" si="40"/>
        <v>-4712670.8309119986</v>
      </c>
      <c r="N36" s="26">
        <f t="shared" si="40"/>
        <v>-3140922.4736168575</v>
      </c>
      <c r="O36" s="26">
        <f t="shared" si="40"/>
        <v>-1709429.3844435844</v>
      </c>
      <c r="P36" s="26">
        <f t="shared" si="40"/>
        <v>-304797.97569888749</v>
      </c>
      <c r="Q36" s="26">
        <f t="shared" si="40"/>
        <v>-144263.71744072158</v>
      </c>
      <c r="R36" s="26">
        <f t="shared" si="40"/>
        <v>-712898.92929138266</v>
      </c>
      <c r="S36" s="26">
        <f t="shared" si="40"/>
        <v>-577100.52501346613</v>
      </c>
      <c r="T36" s="26">
        <f t="shared" si="40"/>
        <v>-97866.385755399126</v>
      </c>
      <c r="U36" s="26">
        <f t="shared" si="40"/>
        <v>2261213.5418037907</v>
      </c>
      <c r="V36" s="26">
        <f t="shared" si="40"/>
        <v>935207.43709504325</v>
      </c>
      <c r="W36" s="26">
        <f t="shared" si="40"/>
        <v>773133.42660718167</v>
      </c>
      <c r="X36" s="26">
        <f t="shared" si="40"/>
        <v>69821.31130446514</v>
      </c>
      <c r="Y36" s="26">
        <f t="shared" si="40"/>
        <v>1105184.033149234</v>
      </c>
      <c r="Z36" s="26">
        <f t="shared" si="40"/>
        <v>-352359.37889642769</v>
      </c>
      <c r="AA36" s="26">
        <f t="shared" si="40"/>
        <v>-118344.02550221617</v>
      </c>
      <c r="AB36" s="26">
        <f t="shared" si="40"/>
        <v>181672.46311148151</v>
      </c>
      <c r="AC36" s="26">
        <f t="shared" si="40"/>
        <v>3195197.2457794799</v>
      </c>
      <c r="AD36" s="26">
        <f t="shared" si="40"/>
        <v>1840412.9343123129</v>
      </c>
      <c r="AE36" s="26">
        <f t="shared" si="40"/>
        <v>1241134.1217540365</v>
      </c>
      <c r="AF36" s="26">
        <f t="shared" si="40"/>
        <v>624257.83172280539</v>
      </c>
      <c r="AG36" s="26">
        <f t="shared" si="40"/>
        <v>2470517.632983088</v>
      </c>
      <c r="AH36" s="26">
        <f t="shared" si="40"/>
        <v>975625.57326412236</v>
      </c>
      <c r="AI36" s="26">
        <f t="shared" si="40"/>
        <v>2252547.9385163342</v>
      </c>
      <c r="AJ36" s="26">
        <f t="shared" si="40"/>
        <v>3198278.0741165462</v>
      </c>
      <c r="AK36" s="26">
        <f t="shared" si="40"/>
        <v>0</v>
      </c>
      <c r="AL36" s="26">
        <f t="shared" si="40"/>
        <v>-149179229.78204226</v>
      </c>
      <c r="AM36" s="26">
        <f t="shared" si="40"/>
        <v>-72856541.495257229</v>
      </c>
      <c r="AN36" s="26">
        <f t="shared" si="40"/>
        <v>-21707020.260000002</v>
      </c>
      <c r="AO36" s="26">
        <f t="shared" si="40"/>
        <v>753357592730.09021</v>
      </c>
      <c r="AP36" s="26">
        <f t="shared" si="40"/>
        <v>-383852909.89896852</v>
      </c>
      <c r="AQ36" s="26">
        <f t="shared" si="40"/>
        <v>-540270944.27847195</v>
      </c>
      <c r="AR36" s="26">
        <f t="shared" si="40"/>
        <v>-108967764.53078957</v>
      </c>
      <c r="AS36" s="26">
        <f t="shared" si="40"/>
        <v>283128228.12105155</v>
      </c>
      <c r="AT36" s="26">
        <f t="shared" si="40"/>
        <v>26703594067.827297</v>
      </c>
      <c r="AU36" s="26">
        <f t="shared" si="40"/>
        <v>-393926466.84659106</v>
      </c>
      <c r="AV36" s="26">
        <f t="shared" si="40"/>
        <v>-203549896.93631539</v>
      </c>
      <c r="AW36" s="26">
        <f t="shared" si="40"/>
        <v>182034680.985466</v>
      </c>
      <c r="AX36" s="26">
        <f t="shared" si="40"/>
        <v>-3325237417.3133035</v>
      </c>
      <c r="AY36" s="26">
        <f t="shared" si="40"/>
        <v>1000130090.1122602</v>
      </c>
      <c r="AZ36" s="26">
        <f t="shared" si="40"/>
        <v>258657344.10265628</v>
      </c>
      <c r="BA36" s="26">
        <f t="shared" si="40"/>
        <v>-680626635.92269635</v>
      </c>
      <c r="BB36" s="26">
        <f t="shared" si="40"/>
        <v>-330149297.67947453</v>
      </c>
      <c r="BC36" s="26">
        <f t="shared" si="40"/>
        <v>-130732239.51913899</v>
      </c>
      <c r="BD36" s="26">
        <f t="shared" si="40"/>
        <v>-71943131.907612994</v>
      </c>
      <c r="BE36" s="26">
        <f t="shared" si="40"/>
        <v>-172536735.47769403</v>
      </c>
      <c r="BF36" s="26">
        <f t="shared" si="40"/>
        <v>-149405470.09312716</v>
      </c>
      <c r="BG36" s="26">
        <f t="shared" si="40"/>
        <v>-93391878.05210118</v>
      </c>
      <c r="BH36" s="26">
        <f t="shared" si="40"/>
        <v>-127186326.26716003</v>
      </c>
      <c r="BI36" s="26">
        <f t="shared" si="40"/>
        <v>137176355.48561934</v>
      </c>
      <c r="BJ36" s="26">
        <f t="shared" si="40"/>
        <v>-69568788.907226473</v>
      </c>
      <c r="BK36" s="26">
        <f t="shared" si="40"/>
        <v>-32156801.486304652</v>
      </c>
      <c r="BL36" s="26">
        <f t="shared" si="40"/>
        <v>-7739384.4806108298</v>
      </c>
      <c r="BM36" s="26">
        <f t="shared" si="40"/>
        <v>-39326808.070816673</v>
      </c>
      <c r="BN36" s="26">
        <f t="shared" si="40"/>
        <v>-31691480.96097346</v>
      </c>
      <c r="BO36" s="26">
        <f t="shared" ref="BO36:CJ36" si="41">BO35*BO41</f>
        <v>-16809060.90948328</v>
      </c>
      <c r="BP36" s="26">
        <f t="shared" si="41"/>
        <v>-15770705.840372439</v>
      </c>
      <c r="BQ36" s="26">
        <f t="shared" si="41"/>
        <v>-11348353.903175285</v>
      </c>
      <c r="BR36" s="26">
        <f t="shared" si="41"/>
        <v>0</v>
      </c>
      <c r="BS36" s="26">
        <f t="shared" si="41"/>
        <v>-10203913.192827359</v>
      </c>
      <c r="BT36" s="26">
        <f t="shared" si="41"/>
        <v>-10452608.25</v>
      </c>
      <c r="BU36" s="26">
        <f t="shared" si="41"/>
        <v>-13247346.26</v>
      </c>
      <c r="BV36" s="26">
        <f t="shared" si="41"/>
        <v>-10452608.25</v>
      </c>
      <c r="BW36" s="26">
        <f t="shared" si="41"/>
        <v>-3721593.27</v>
      </c>
      <c r="BX36" s="26">
        <f t="shared" si="41"/>
        <v>-3801115.32</v>
      </c>
      <c r="BY36" s="26" t="e">
        <f t="shared" si="41"/>
        <v>#DIV/0!</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-37668532.361544184</v>
      </c>
      <c r="C37" s="26">
        <f t="shared" ref="C37:BN37" si="42">C35-C36</f>
        <v>-14599811.46366398</v>
      </c>
      <c r="D37" s="26">
        <f t="shared" si="42"/>
        <v>10495509.311909689</v>
      </c>
      <c r="E37" s="26">
        <f t="shared" si="42"/>
        <v>21741383.160889633</v>
      </c>
      <c r="F37" s="26">
        <f t="shared" si="42"/>
        <v>10763827.944848863</v>
      </c>
      <c r="G37" s="26">
        <f t="shared" si="42"/>
        <v>5290043.6779521937</v>
      </c>
      <c r="H37" s="26">
        <f t="shared" si="42"/>
        <v>1922436.1506297402</v>
      </c>
      <c r="I37" s="26">
        <f t="shared" si="42"/>
        <v>10242085.417453397</v>
      </c>
      <c r="J37" s="26">
        <f t="shared" si="42"/>
        <v>8639694.2314833608</v>
      </c>
      <c r="K37" s="26">
        <f t="shared" si="42"/>
        <v>1629729.0925386059</v>
      </c>
      <c r="L37" s="26">
        <f t="shared" si="42"/>
        <v>7340557.6381409988</v>
      </c>
      <c r="M37" s="26">
        <f t="shared" si="42"/>
        <v>-35187108.539087996</v>
      </c>
      <c r="N37" s="26">
        <f t="shared" si="42"/>
        <v>-17939371.886383142</v>
      </c>
      <c r="O37" s="26">
        <f t="shared" si="42"/>
        <v>-10787869.225556415</v>
      </c>
      <c r="P37" s="26">
        <f t="shared" si="42"/>
        <v>-1571384.3743011127</v>
      </c>
      <c r="Q37" s="26">
        <f t="shared" si="42"/>
        <v>-965796.03255927842</v>
      </c>
      <c r="R37" s="26">
        <f t="shared" si="42"/>
        <v>-4112356.9307086179</v>
      </c>
      <c r="S37" s="26">
        <f t="shared" si="42"/>
        <v>-3666038.2849865332</v>
      </c>
      <c r="T37" s="26">
        <f t="shared" si="42"/>
        <v>-473772.03424460092</v>
      </c>
      <c r="U37" s="26">
        <f t="shared" si="42"/>
        <v>11649618.20819621</v>
      </c>
      <c r="V37" s="26">
        <f t="shared" si="42"/>
        <v>5317640.0029049572</v>
      </c>
      <c r="W37" s="26">
        <f t="shared" si="42"/>
        <v>4624849.0233928189</v>
      </c>
      <c r="X37" s="26">
        <f t="shared" si="42"/>
        <v>377370.49869553489</v>
      </c>
      <c r="Y37" s="26">
        <f t="shared" si="42"/>
        <v>6544857.1568507655</v>
      </c>
      <c r="Z37" s="26">
        <f t="shared" si="42"/>
        <v>-2086583.6111035724</v>
      </c>
      <c r="AA37" s="26">
        <f t="shared" si="42"/>
        <v>-708552.17449778377</v>
      </c>
      <c r="AB37" s="26">
        <f t="shared" si="42"/>
        <v>1025290.6568885186</v>
      </c>
      <c r="AC37" s="26">
        <f t="shared" si="42"/>
        <v>18251035.204220518</v>
      </c>
      <c r="AD37" s="26">
        <f t="shared" si="42"/>
        <v>11086817.715687688</v>
      </c>
      <c r="AE37" s="26">
        <f t="shared" si="42"/>
        <v>8079456.698245964</v>
      </c>
      <c r="AF37" s="26">
        <f t="shared" si="42"/>
        <v>3267928.2882771948</v>
      </c>
      <c r="AG37" s="26">
        <f t="shared" si="42"/>
        <v>16227583.737016913</v>
      </c>
      <c r="AH37" s="26">
        <f t="shared" si="42"/>
        <v>6177831.2367358776</v>
      </c>
      <c r="AI37" s="26">
        <f t="shared" si="42"/>
        <v>12577474.381483667</v>
      </c>
      <c r="AJ37" s="26">
        <f t="shared" si="42"/>
        <v>23779926.775883455</v>
      </c>
      <c r="AK37" s="26">
        <f t="shared" si="42"/>
        <v>14885461.619999999</v>
      </c>
      <c r="AL37" s="26">
        <f t="shared" si="42"/>
        <v>191166670.72204226</v>
      </c>
      <c r="AM37" s="26">
        <f t="shared" si="42"/>
        <v>109783127.37525722</v>
      </c>
      <c r="AN37" s="26">
        <f t="shared" si="42"/>
        <v>49783959.600000001</v>
      </c>
      <c r="AO37" s="26">
        <f t="shared" si="42"/>
        <v>-753295929729.0802</v>
      </c>
      <c r="AP37" s="26">
        <f t="shared" si="42"/>
        <v>410576138.25896853</v>
      </c>
      <c r="AQ37" s="26">
        <f t="shared" si="42"/>
        <v>522306593.62847197</v>
      </c>
      <c r="AR37" s="26">
        <f t="shared" si="42"/>
        <v>89763086.890789568</v>
      </c>
      <c r="AS37" s="26">
        <f t="shared" si="42"/>
        <v>-223006349.61105156</v>
      </c>
      <c r="AT37" s="26">
        <f t="shared" si="42"/>
        <v>-26644718556.137299</v>
      </c>
      <c r="AU37" s="26">
        <f t="shared" si="42"/>
        <v>430767646.26659107</v>
      </c>
      <c r="AV37" s="26">
        <f t="shared" si="42"/>
        <v>216253434.58631539</v>
      </c>
      <c r="AW37" s="26">
        <f t="shared" si="42"/>
        <v>-167840427.71546599</v>
      </c>
      <c r="AX37" s="26">
        <f t="shared" si="42"/>
        <v>3340713436.3333035</v>
      </c>
      <c r="AY37" s="26">
        <f t="shared" si="42"/>
        <v>-988329493.91226017</v>
      </c>
      <c r="AZ37" s="26">
        <f t="shared" si="42"/>
        <v>-254214328.84265628</v>
      </c>
      <c r="BA37" s="26">
        <f t="shared" si="42"/>
        <v>689385514.41269636</v>
      </c>
      <c r="BB37" s="26">
        <f t="shared" si="42"/>
        <v>337331542.99947453</v>
      </c>
      <c r="BC37" s="26">
        <f t="shared" si="42"/>
        <v>134247357.32913899</v>
      </c>
      <c r="BD37" s="26">
        <f t="shared" si="42"/>
        <v>74229758.847612992</v>
      </c>
      <c r="BE37" s="26">
        <f t="shared" si="42"/>
        <v>183145624.35769403</v>
      </c>
      <c r="BF37" s="26">
        <f t="shared" si="42"/>
        <v>155512990.15312716</v>
      </c>
      <c r="BG37" s="26">
        <f t="shared" si="42"/>
        <v>95192524.732101187</v>
      </c>
      <c r="BH37" s="26">
        <f t="shared" si="42"/>
        <v>127264817.34716003</v>
      </c>
      <c r="BI37" s="26">
        <f t="shared" si="42"/>
        <v>-135458599.47561935</v>
      </c>
      <c r="BJ37" s="26">
        <f t="shared" si="42"/>
        <v>69075857.08722648</v>
      </c>
      <c r="BK37" s="26">
        <f t="shared" si="42"/>
        <v>31553796.596304651</v>
      </c>
      <c r="BL37" s="26">
        <f t="shared" si="42"/>
        <v>7526299.8406108301</v>
      </c>
      <c r="BM37" s="26">
        <f t="shared" si="42"/>
        <v>36182417.270816676</v>
      </c>
      <c r="BN37" s="26">
        <f t="shared" si="42"/>
        <v>29135065.420973461</v>
      </c>
      <c r="BO37" s="26">
        <f t="shared" ref="BO37:CJ37" si="43">BO35-BO36</f>
        <v>14355274.129483281</v>
      </c>
      <c r="BP37" s="26">
        <f t="shared" si="43"/>
        <v>13657541.48037244</v>
      </c>
      <c r="BQ37" s="26">
        <f t="shared" si="43"/>
        <v>9763114.1531752851</v>
      </c>
      <c r="BR37" s="26">
        <f t="shared" si="43"/>
        <v>0</v>
      </c>
      <c r="BS37" s="26">
        <f t="shared" si="43"/>
        <v>7899566.7728273589</v>
      </c>
      <c r="BT37" s="26">
        <f t="shared" si="43"/>
        <v>16402935.85</v>
      </c>
      <c r="BU37" s="26">
        <f t="shared" si="43"/>
        <v>15677799.189999999</v>
      </c>
      <c r="BV37" s="26">
        <f t="shared" si="43"/>
        <v>13041815.699999999</v>
      </c>
      <c r="BW37" s="26">
        <f t="shared" si="43"/>
        <v>7764894.8799999999</v>
      </c>
      <c r="BX37" s="26">
        <f t="shared" si="43"/>
        <v>7173387.8499999996</v>
      </c>
      <c r="BY37" s="26" t="e">
        <f t="shared" si="43"/>
        <v>#DIV/0!</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519012009.55000013</v>
      </c>
      <c r="C38" s="28">
        <f t="shared" ref="C38:BN38" si="44">C31-C35</f>
        <v>222392558.97999999</v>
      </c>
      <c r="D38" s="28">
        <f t="shared" si="44"/>
        <v>31861686.109999944</v>
      </c>
      <c r="E38" s="28">
        <f t="shared" si="44"/>
        <v>362767682.85999978</v>
      </c>
      <c r="F38" s="28">
        <f t="shared" si="44"/>
        <v>312559901.67000014</v>
      </c>
      <c r="G38" s="28">
        <f t="shared" si="44"/>
        <v>233234690.69999999</v>
      </c>
      <c r="H38" s="28">
        <f t="shared" si="44"/>
        <v>111794823.64000003</v>
      </c>
      <c r="I38" s="28">
        <f t="shared" si="44"/>
        <v>419559803.73999983</v>
      </c>
      <c r="J38" s="28">
        <f t="shared" si="44"/>
        <v>309483703.9199999</v>
      </c>
      <c r="K38" s="28">
        <f t="shared" si="44"/>
        <v>230466702.94</v>
      </c>
      <c r="L38" s="28">
        <f t="shared" si="44"/>
        <v>103060546.38999999</v>
      </c>
      <c r="M38" s="28">
        <f t="shared" si="44"/>
        <v>338075073.75</v>
      </c>
      <c r="N38" s="28">
        <f t="shared" si="44"/>
        <v>171501581.4199999</v>
      </c>
      <c r="O38" s="28">
        <f t="shared" si="44"/>
        <v>81194258.120000049</v>
      </c>
      <c r="P38" s="28">
        <f t="shared" si="44"/>
        <v>28274821.669999991</v>
      </c>
      <c r="Q38" s="28">
        <f t="shared" si="44"/>
        <v>114105236.79000008</v>
      </c>
      <c r="R38" s="28">
        <f t="shared" si="44"/>
        <v>74091240.189999968</v>
      </c>
      <c r="S38" s="28">
        <f t="shared" si="44"/>
        <v>42261579.250000022</v>
      </c>
      <c r="T38" s="28">
        <f t="shared" si="44"/>
        <v>20000713.920000009</v>
      </c>
      <c r="U38" s="28">
        <f t="shared" si="44"/>
        <v>132612462.02999991</v>
      </c>
      <c r="V38" s="28">
        <f t="shared" si="44"/>
        <v>105758651.03000009</v>
      </c>
      <c r="W38" s="28">
        <f t="shared" si="44"/>
        <v>73045750.570000008</v>
      </c>
      <c r="X38" s="28">
        <f t="shared" si="44"/>
        <v>36313778.45000001</v>
      </c>
      <c r="Y38" s="28">
        <f t="shared" si="44"/>
        <v>121678615.60999998</v>
      </c>
      <c r="Z38" s="28">
        <f t="shared" si="44"/>
        <v>95541382.530000001</v>
      </c>
      <c r="AA38" s="28">
        <f t="shared" si="44"/>
        <v>81037509.569999978</v>
      </c>
      <c r="AB38" s="28">
        <f t="shared" si="44"/>
        <v>32786372.460000005</v>
      </c>
      <c r="AC38" s="28">
        <f t="shared" si="44"/>
        <v>135281395.52999994</v>
      </c>
      <c r="AD38" s="28">
        <f t="shared" si="44"/>
        <v>118991880.89999993</v>
      </c>
      <c r="AE38" s="28">
        <f t="shared" si="44"/>
        <v>88992233.319999993</v>
      </c>
      <c r="AF38" s="28">
        <f t="shared" si="44"/>
        <v>35289476.409999996</v>
      </c>
      <c r="AG38" s="28">
        <f t="shared" si="44"/>
        <v>106941642.53000003</v>
      </c>
      <c r="AH38" s="28">
        <f t="shared" si="44"/>
        <v>86492487.890000001</v>
      </c>
      <c r="AI38" s="28">
        <f t="shared" si="44"/>
        <v>74753758.859999985</v>
      </c>
      <c r="AJ38" s="28">
        <f t="shared" si="44"/>
        <v>106267305.26000002</v>
      </c>
      <c r="AK38" s="28">
        <f t="shared" si="44"/>
        <v>-9000550.8699999992</v>
      </c>
      <c r="AL38" s="28">
        <f t="shared" si="44"/>
        <v>-40269634.489999995</v>
      </c>
      <c r="AM38" s="28">
        <f t="shared" si="44"/>
        <v>-35926585.880000003</v>
      </c>
      <c r="AN38" s="28">
        <f t="shared" si="44"/>
        <v>-28076939.34</v>
      </c>
      <c r="AO38" s="28">
        <f t="shared" si="44"/>
        <v>21900.179999999702</v>
      </c>
      <c r="AP38" s="28">
        <f t="shared" si="44"/>
        <v>-27653608.949999999</v>
      </c>
      <c r="AQ38" s="28">
        <f t="shared" si="44"/>
        <v>10088008.099999998</v>
      </c>
      <c r="AR38" s="28">
        <f t="shared" si="44"/>
        <v>25726583.670000002</v>
      </c>
      <c r="AS38" s="28">
        <f t="shared" si="44"/>
        <v>166768384.75</v>
      </c>
      <c r="AT38" s="28">
        <f t="shared" si="44"/>
        <v>1180360.0600000024</v>
      </c>
      <c r="AU38" s="28">
        <f t="shared" si="44"/>
        <v>-30937042.100000001</v>
      </c>
      <c r="AV38" s="28">
        <f t="shared" si="44"/>
        <v>-9937044.7200000007</v>
      </c>
      <c r="AW38" s="28">
        <f t="shared" si="44"/>
        <v>30839697.699999999</v>
      </c>
      <c r="AX38" s="28">
        <f t="shared" si="44"/>
        <v>-1456580.4499999993</v>
      </c>
      <c r="AY38" s="28">
        <f t="shared" si="44"/>
        <v>2208842.370000001</v>
      </c>
      <c r="AZ38" s="28">
        <f t="shared" si="44"/>
        <v>1593007.0099999998</v>
      </c>
      <c r="BA38" s="28">
        <f t="shared" si="44"/>
        <v>-3181726.42</v>
      </c>
      <c r="BB38" s="28">
        <f t="shared" si="44"/>
        <v>-5214152.9000000004</v>
      </c>
      <c r="BC38" s="28">
        <f t="shared" si="44"/>
        <v>-4407842.97</v>
      </c>
      <c r="BD38" s="28">
        <f t="shared" si="44"/>
        <v>-2449346.6</v>
      </c>
      <c r="BE38" s="28">
        <f t="shared" si="44"/>
        <v>-6772579.5000000009</v>
      </c>
      <c r="BF38" s="28">
        <f t="shared" si="44"/>
        <v>-6363443.7699999996</v>
      </c>
      <c r="BG38" s="28">
        <f t="shared" si="44"/>
        <v>-2051314.19</v>
      </c>
      <c r="BH38" s="28">
        <f t="shared" si="44"/>
        <v>-29571.21</v>
      </c>
      <c r="BI38" s="28">
        <f t="shared" si="44"/>
        <v>874393.14999999967</v>
      </c>
      <c r="BJ38" s="28">
        <f t="shared" si="44"/>
        <v>591045.81000000006</v>
      </c>
      <c r="BK38" s="28">
        <f t="shared" si="44"/>
        <v>1207192.08</v>
      </c>
      <c r="BL38" s="28">
        <f t="shared" si="44"/>
        <v>786360.35</v>
      </c>
      <c r="BM38" s="28">
        <f t="shared" si="44"/>
        <v>2848251.9299999997</v>
      </c>
      <c r="BN38" s="28">
        <f t="shared" si="44"/>
        <v>2781661.44</v>
      </c>
      <c r="BO38" s="28">
        <f t="shared" ref="BO38:CJ38" si="45">BO31-BO35</f>
        <v>2781642.6799999997</v>
      </c>
      <c r="BP38" s="28">
        <f t="shared" si="45"/>
        <v>2355645.86</v>
      </c>
      <c r="BQ38" s="28">
        <f t="shared" si="45"/>
        <v>1908571.3</v>
      </c>
      <c r="BR38" s="28">
        <f t="shared" si="45"/>
        <v>1314800</v>
      </c>
      <c r="BS38" s="28">
        <f t="shared" si="45"/>
        <v>2804346.42</v>
      </c>
      <c r="BT38" s="28">
        <f t="shared" si="45"/>
        <v>-5950327.5999999996</v>
      </c>
      <c r="BU38" s="28">
        <f t="shared" si="45"/>
        <v>-2430452.9300000002</v>
      </c>
      <c r="BV38" s="28">
        <f t="shared" si="45"/>
        <v>-2589207.4500000002</v>
      </c>
      <c r="BW38" s="28">
        <f t="shared" si="45"/>
        <v>-4043301.61</v>
      </c>
      <c r="BX38" s="28">
        <f t="shared" si="45"/>
        <v>-3372272.53</v>
      </c>
      <c r="BY38" s="28">
        <f t="shared" si="45"/>
        <v>0</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28.055698734594021</v>
      </c>
      <c r="C39" s="57">
        <f t="shared" ref="C39:D39" si="46">C38/C4*100</f>
        <v>17.40165464113355</v>
      </c>
      <c r="D39" s="57">
        <f t="shared" si="46"/>
        <v>4.8448361218368658</v>
      </c>
      <c r="E39" s="57">
        <f>E38/E4</f>
        <v>0.1476831866919541</v>
      </c>
      <c r="F39" s="57">
        <f t="shared" ref="F39:BQ39" si="47">F38/F4</f>
        <v>0.17390489319140037</v>
      </c>
      <c r="G39" s="57">
        <f t="shared" si="47"/>
        <v>0.18477253304182112</v>
      </c>
      <c r="H39" s="57">
        <f t="shared" si="47"/>
        <v>0.18262455581272458</v>
      </c>
      <c r="I39" s="57">
        <f t="shared" si="47"/>
        <v>0.22710935863245515</v>
      </c>
      <c r="J39" s="57">
        <f t="shared" si="47"/>
        <v>0.2336122105534848</v>
      </c>
      <c r="K39" s="57">
        <f t="shared" si="47"/>
        <v>0.25942459411121421</v>
      </c>
      <c r="L39" s="57">
        <f t="shared" si="47"/>
        <v>0.24364115320171581</v>
      </c>
      <c r="M39" s="57">
        <f t="shared" si="47"/>
        <v>0.20727544580443075</v>
      </c>
      <c r="N39" s="57">
        <f t="shared" si="47"/>
        <v>0.1676930111926242</v>
      </c>
      <c r="O39" s="57">
        <f t="shared" si="47"/>
        <v>0.13199345341401589</v>
      </c>
      <c r="P39" s="57">
        <f t="shared" si="47"/>
        <v>0.10639670219234768</v>
      </c>
      <c r="Q39" s="57">
        <f t="shared" si="47"/>
        <v>0.10676051962945907</v>
      </c>
      <c r="R39" s="57">
        <f t="shared" si="47"/>
        <v>0.10507926704007586</v>
      </c>
      <c r="S39" s="57">
        <f t="shared" si="47"/>
        <v>9.7599280656718426E-2</v>
      </c>
      <c r="T39" s="57">
        <f t="shared" si="47"/>
        <v>0.10153592972186436</v>
      </c>
      <c r="U39" s="57">
        <f t="shared" si="47"/>
        <v>0.137367814259925</v>
      </c>
      <c r="V39" s="57">
        <f t="shared" si="47"/>
        <v>0.14987658167457496</v>
      </c>
      <c r="W39" s="57">
        <f t="shared" si="47"/>
        <v>0.15117765055354818</v>
      </c>
      <c r="X39" s="57">
        <f t="shared" si="47"/>
        <v>0.1640817226538718</v>
      </c>
      <c r="Y39" s="57">
        <f t="shared" si="47"/>
        <v>0.15410591965761083</v>
      </c>
      <c r="Z39" s="57">
        <f t="shared" si="47"/>
        <v>0.1771382071461122</v>
      </c>
      <c r="AA39" s="57">
        <f t="shared" si="47"/>
        <v>0.20527700218169329</v>
      </c>
      <c r="AB39" s="57">
        <f t="shared" si="47"/>
        <v>0.18457444017329799</v>
      </c>
      <c r="AC39" s="57">
        <f t="shared" si="47"/>
        <v>0.16495909316552645</v>
      </c>
      <c r="AD39" s="57">
        <f t="shared" si="47"/>
        <v>0.18564878145859184</v>
      </c>
      <c r="AE39" s="57">
        <f t="shared" si="47"/>
        <v>0.18966695644485676</v>
      </c>
      <c r="AF39" s="57">
        <f t="shared" si="47"/>
        <v>0.17133274169355048</v>
      </c>
      <c r="AG39" s="57">
        <f t="shared" si="47"/>
        <v>0.14616248041768054</v>
      </c>
      <c r="AH39" s="57">
        <f t="shared" si="47"/>
        <v>0.16070173355007933</v>
      </c>
      <c r="AI39" s="57">
        <f t="shared" si="47"/>
        <v>0.18463422109205369</v>
      </c>
      <c r="AJ39" s="57">
        <f t="shared" si="47"/>
        <v>0.16617804960112653</v>
      </c>
      <c r="AK39" s="57" t="e">
        <f t="shared" si="47"/>
        <v>#DIV/0!</v>
      </c>
      <c r="AL39" s="57" t="e">
        <f t="shared" si="47"/>
        <v>#DIV/0!</v>
      </c>
      <c r="AM39" s="57" t="e">
        <f t="shared" si="47"/>
        <v>#DIV/0!</v>
      </c>
      <c r="AN39" s="57" t="e">
        <f t="shared" si="47"/>
        <v>#DIV/0!</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47822442.520000003</v>
      </c>
      <c r="C40" s="26">
        <f t="shared" ref="C40:BN40" si="49">C60</f>
        <v>25852572.77</v>
      </c>
      <c r="D40" s="26">
        <f t="shared" si="49"/>
        <v>13340096.42</v>
      </c>
      <c r="E40" s="26">
        <f t="shared" si="49"/>
        <v>58461449.439999998</v>
      </c>
      <c r="F40" s="26">
        <f t="shared" si="49"/>
        <v>49960616.659999996</v>
      </c>
      <c r="G40" s="26">
        <f t="shared" si="49"/>
        <v>38671111.640000001</v>
      </c>
      <c r="H40" s="26">
        <f t="shared" si="49"/>
        <v>19283882.32</v>
      </c>
      <c r="I40" s="26">
        <f t="shared" si="49"/>
        <v>49548211.950000003</v>
      </c>
      <c r="J40" s="26">
        <f t="shared" si="49"/>
        <v>44767093.07</v>
      </c>
      <c r="K40" s="26">
        <f t="shared" si="49"/>
        <v>31350059.300000001</v>
      </c>
      <c r="L40" s="26">
        <f t="shared" si="49"/>
        <v>16365612.5</v>
      </c>
      <c r="M40" s="26">
        <f t="shared" si="49"/>
        <v>39930961.119999997</v>
      </c>
      <c r="N40" s="26">
        <f t="shared" si="49"/>
        <v>25553398.93</v>
      </c>
      <c r="O40" s="26">
        <f t="shared" si="49"/>
        <v>11106068.199999999</v>
      </c>
      <c r="P40" s="26">
        <f t="shared" si="49"/>
        <v>4593427.93</v>
      </c>
      <c r="Q40" s="26">
        <f t="shared" si="49"/>
        <v>14829152.789999999</v>
      </c>
      <c r="R40" s="26">
        <f t="shared" si="49"/>
        <v>10946479.800000001</v>
      </c>
      <c r="S40" s="26">
        <f t="shared" si="49"/>
        <v>5747909.9000000004</v>
      </c>
      <c r="T40" s="26">
        <f t="shared" si="49"/>
        <v>3424188.29</v>
      </c>
      <c r="U40" s="26">
        <f t="shared" si="49"/>
        <v>21556230.449999999</v>
      </c>
      <c r="V40" s="26">
        <f t="shared" si="49"/>
        <v>15817797.880000001</v>
      </c>
      <c r="W40" s="26">
        <f t="shared" si="49"/>
        <v>10462077.630000001</v>
      </c>
      <c r="X40" s="26">
        <f t="shared" si="49"/>
        <v>5669772.0599999996</v>
      </c>
      <c r="Y40" s="26">
        <f t="shared" si="49"/>
        <v>17578632.559999999</v>
      </c>
      <c r="Z40" s="26">
        <f t="shared" si="49"/>
        <v>13803070.57</v>
      </c>
      <c r="AA40" s="26">
        <f t="shared" si="49"/>
        <v>11597955.220000001</v>
      </c>
      <c r="AB40" s="26">
        <f t="shared" si="49"/>
        <v>4935014.95</v>
      </c>
      <c r="AC40" s="26">
        <f t="shared" si="49"/>
        <v>20155089.870000001</v>
      </c>
      <c r="AD40" s="26">
        <f t="shared" si="49"/>
        <v>16940534.489999998</v>
      </c>
      <c r="AE40" s="26">
        <f t="shared" si="49"/>
        <v>11850246.35</v>
      </c>
      <c r="AF40" s="26">
        <f t="shared" si="49"/>
        <v>5659989.3600000003</v>
      </c>
      <c r="AG40" s="26">
        <f t="shared" si="49"/>
        <v>14129841.76</v>
      </c>
      <c r="AH40" s="26">
        <f t="shared" si="49"/>
        <v>11796294.48</v>
      </c>
      <c r="AI40" s="26">
        <f t="shared" si="49"/>
        <v>11354428.32</v>
      </c>
      <c r="AJ40" s="26">
        <f t="shared" si="49"/>
        <v>12598035.869999999</v>
      </c>
      <c r="AK40" s="26">
        <f t="shared" si="49"/>
        <v>0</v>
      </c>
      <c r="AL40" s="26">
        <f t="shared" si="49"/>
        <v>143075951.34</v>
      </c>
      <c r="AM40" s="26">
        <f t="shared" si="49"/>
        <v>70883531</v>
      </c>
      <c r="AN40" s="26">
        <f t="shared" si="49"/>
        <v>21707020.260000002</v>
      </c>
      <c r="AO40" s="26">
        <f t="shared" si="49"/>
        <v>267561854.19</v>
      </c>
      <c r="AP40" s="26">
        <f t="shared" si="49"/>
        <v>397216912.63</v>
      </c>
      <c r="AQ40" s="26">
        <f t="shared" si="49"/>
        <v>303392968.00999999</v>
      </c>
      <c r="AR40" s="26">
        <f t="shared" si="49"/>
        <v>145973203.19999999</v>
      </c>
      <c r="AS40" s="26">
        <f t="shared" si="49"/>
        <v>785351995.83000004</v>
      </c>
      <c r="AT40" s="26">
        <f t="shared" si="49"/>
        <v>535364449.35000002</v>
      </c>
      <c r="AU40" s="26">
        <f t="shared" si="49"/>
        <v>330796133.05000001</v>
      </c>
      <c r="AV40" s="26">
        <f t="shared" si="49"/>
        <v>159222138.30000001</v>
      </c>
      <c r="AW40" s="26">
        <f t="shared" si="49"/>
        <v>395504745.88</v>
      </c>
      <c r="AX40" s="26">
        <f t="shared" si="49"/>
        <v>312966519.83999997</v>
      </c>
      <c r="AY40" s="26">
        <f t="shared" si="49"/>
        <v>187204924.31999999</v>
      </c>
      <c r="AZ40" s="26">
        <f t="shared" si="49"/>
        <v>92739488.439999998</v>
      </c>
      <c r="BA40" s="26">
        <f t="shared" si="49"/>
        <v>247242583.87</v>
      </c>
      <c r="BB40" s="26">
        <f t="shared" si="49"/>
        <v>239681163.93000001</v>
      </c>
      <c r="BC40" s="26">
        <f t="shared" si="49"/>
        <v>163933960.13</v>
      </c>
      <c r="BD40" s="26">
        <f t="shared" si="49"/>
        <v>77062708.590000004</v>
      </c>
      <c r="BE40" s="26">
        <f t="shared" si="49"/>
        <v>110145253.75</v>
      </c>
      <c r="BF40" s="26">
        <f t="shared" si="49"/>
        <v>155666014.77000001</v>
      </c>
      <c r="BG40" s="26">
        <f t="shared" si="49"/>
        <v>106392934.72</v>
      </c>
      <c r="BH40" s="26">
        <f t="shared" si="49"/>
        <v>47916955.189999998</v>
      </c>
      <c r="BI40" s="26">
        <f t="shared" si="49"/>
        <v>69827184.349999994</v>
      </c>
      <c r="BJ40" s="26">
        <f t="shared" si="49"/>
        <v>83415879.280000001</v>
      </c>
      <c r="BK40" s="26">
        <f t="shared" si="49"/>
        <v>64376652.189999998</v>
      </c>
      <c r="BL40" s="26">
        <f t="shared" si="49"/>
        <v>28561162.780000001</v>
      </c>
      <c r="BM40" s="26">
        <f t="shared" si="49"/>
        <v>35623007.479999997</v>
      </c>
      <c r="BN40" s="26">
        <f t="shared" si="49"/>
        <v>34483818.920000002</v>
      </c>
      <c r="BO40" s="26">
        <f t="shared" ref="BO40:CJ40" si="50">BO60</f>
        <v>19054956.859999999</v>
      </c>
      <c r="BP40" s="26">
        <f t="shared" si="50"/>
        <v>17580363.66</v>
      </c>
      <c r="BQ40" s="26">
        <f t="shared" si="50"/>
        <v>13663007.48</v>
      </c>
      <c r="BR40" s="26">
        <f t="shared" si="50"/>
        <v>24172100</v>
      </c>
      <c r="BS40" s="26">
        <f t="shared" si="50"/>
        <v>12417971.18</v>
      </c>
      <c r="BT40" s="26">
        <f t="shared" si="50"/>
        <v>10452608.25</v>
      </c>
      <c r="BU40" s="26">
        <f t="shared" si="50"/>
        <v>13247346.26</v>
      </c>
      <c r="BV40" s="26">
        <f t="shared" si="50"/>
        <v>10452608.25</v>
      </c>
      <c r="BW40" s="26">
        <f t="shared" si="50"/>
        <v>3721593.27</v>
      </c>
      <c r="BX40" s="26">
        <f t="shared" si="50"/>
        <v>3801115.32</v>
      </c>
      <c r="BY40" s="26">
        <f t="shared" si="50"/>
        <v>0</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608</v>
      </c>
      <c r="B41" s="57">
        <f>B40/B38</f>
        <v>9.214130239772983E-2</v>
      </c>
      <c r="C41" s="57">
        <f t="shared" ref="C41:BN41" si="51">C40/C38</f>
        <v>0.11624747198634892</v>
      </c>
      <c r="D41" s="57">
        <f t="shared" si="51"/>
        <v>0.41868771081179995</v>
      </c>
      <c r="E41" s="57">
        <f t="shared" si="51"/>
        <v>0.16115396216967207</v>
      </c>
      <c r="F41" s="57">
        <f t="shared" si="51"/>
        <v>0.1598433336875959</v>
      </c>
      <c r="G41" s="57">
        <f t="shared" si="51"/>
        <v>0.16580342968680004</v>
      </c>
      <c r="H41" s="57">
        <f t="shared" si="51"/>
        <v>0.17249351707103774</v>
      </c>
      <c r="I41" s="57">
        <f t="shared" si="51"/>
        <v>0.11809570771156358</v>
      </c>
      <c r="J41" s="57">
        <f t="shared" si="51"/>
        <v>0.14465088953947663</v>
      </c>
      <c r="K41" s="57">
        <f t="shared" si="51"/>
        <v>0.13602858417322747</v>
      </c>
      <c r="L41" s="57">
        <f t="shared" si="51"/>
        <v>0.15879609679216647</v>
      </c>
      <c r="M41" s="57">
        <f t="shared" si="51"/>
        <v>0.11811270401297959</v>
      </c>
      <c r="N41" s="57">
        <f t="shared" si="51"/>
        <v>0.14899803674358453</v>
      </c>
      <c r="O41" s="57">
        <f t="shared" si="51"/>
        <v>0.13678391129069647</v>
      </c>
      <c r="P41" s="57">
        <f t="shared" si="51"/>
        <v>0.16245647748412487</v>
      </c>
      <c r="Q41" s="57">
        <f t="shared" si="51"/>
        <v>0.12996031739797934</v>
      </c>
      <c r="R41" s="57">
        <f t="shared" si="51"/>
        <v>0.14774323890285532</v>
      </c>
      <c r="S41" s="57">
        <f t="shared" si="51"/>
        <v>0.1360079297084005</v>
      </c>
      <c r="T41" s="57">
        <f t="shared" si="51"/>
        <v>0.17120330322688793</v>
      </c>
      <c r="U41" s="57">
        <f t="shared" si="51"/>
        <v>0.16255056365007006</v>
      </c>
      <c r="V41" s="57">
        <f t="shared" si="51"/>
        <v>0.14956504953446348</v>
      </c>
      <c r="W41" s="57">
        <f t="shared" si="51"/>
        <v>0.14322636906816577</v>
      </c>
      <c r="X41" s="57">
        <f t="shared" si="51"/>
        <v>0.1561328041863404</v>
      </c>
      <c r="Y41" s="57">
        <f t="shared" si="51"/>
        <v>0.14446772320571441</v>
      </c>
      <c r="Z41" s="57">
        <f t="shared" si="51"/>
        <v>0.14447216697608323</v>
      </c>
      <c r="AA41" s="57">
        <f t="shared" si="51"/>
        <v>0.14311835693792785</v>
      </c>
      <c r="AB41" s="57">
        <f t="shared" si="51"/>
        <v>0.15052031010813446</v>
      </c>
      <c r="AC41" s="57">
        <f t="shared" si="51"/>
        <v>0.14898641303216315</v>
      </c>
      <c r="AD41" s="57">
        <f t="shared" si="51"/>
        <v>0.14236714607643461</v>
      </c>
      <c r="AE41" s="57">
        <f t="shared" si="51"/>
        <v>0.13316045578256985</v>
      </c>
      <c r="AF41" s="57">
        <f t="shared" si="51"/>
        <v>0.16038745642585184</v>
      </c>
      <c r="AG41" s="57">
        <f t="shared" si="51"/>
        <v>0.13212665735928075</v>
      </c>
      <c r="AH41" s="57">
        <f t="shared" si="51"/>
        <v>0.13638519098909921</v>
      </c>
      <c r="AI41" s="57">
        <f t="shared" si="51"/>
        <v>0.15189106866538649</v>
      </c>
      <c r="AJ41" s="57">
        <f t="shared" si="51"/>
        <v>0.11855044069459447</v>
      </c>
      <c r="AK41" s="57">
        <f t="shared" si="51"/>
        <v>0</v>
      </c>
      <c r="AL41" s="57">
        <f t="shared" si="51"/>
        <v>-3.5529488447562025</v>
      </c>
      <c r="AM41" s="57">
        <f t="shared" si="51"/>
        <v>-1.9730104952572241</v>
      </c>
      <c r="AN41" s="57">
        <f t="shared" si="51"/>
        <v>-0.7731263011661299</v>
      </c>
      <c r="AO41" s="57">
        <f t="shared" si="51"/>
        <v>12217.335847924704</v>
      </c>
      <c r="AP41" s="57">
        <f t="shared" si="51"/>
        <v>-14.364017128766118</v>
      </c>
      <c r="AQ41" s="57">
        <f t="shared" si="51"/>
        <v>30.074615821333456</v>
      </c>
      <c r="AR41" s="57">
        <f t="shared" si="51"/>
        <v>5.6740220572007249</v>
      </c>
      <c r="AS41" s="57">
        <f t="shared" si="51"/>
        <v>4.7092378870690004</v>
      </c>
      <c r="AT41" s="57">
        <f t="shared" si="51"/>
        <v>453.5602885021363</v>
      </c>
      <c r="AU41" s="57">
        <f t="shared" si="51"/>
        <v>-10.692558518708548</v>
      </c>
      <c r="AV41" s="57">
        <f t="shared" si="51"/>
        <v>-16.023087626800979</v>
      </c>
      <c r="AW41" s="57">
        <f t="shared" si="51"/>
        <v>12.824533811172865</v>
      </c>
      <c r="AX41" s="57">
        <f t="shared" si="51"/>
        <v>-214.86387507123285</v>
      </c>
      <c r="AY41" s="57">
        <f t="shared" si="51"/>
        <v>84.752505141414829</v>
      </c>
      <c r="AZ41" s="57">
        <f t="shared" si="51"/>
        <v>58.21662293877791</v>
      </c>
      <c r="BA41" s="57">
        <f t="shared" si="51"/>
        <v>-77.707053100435957</v>
      </c>
      <c r="BB41" s="57">
        <f t="shared" si="51"/>
        <v>-45.96742146360917</v>
      </c>
      <c r="BC41" s="57">
        <f t="shared" si="51"/>
        <v>-37.191424750324082</v>
      </c>
      <c r="BD41" s="57">
        <f t="shared" si="51"/>
        <v>-31.462557642924036</v>
      </c>
      <c r="BE41" s="57">
        <f t="shared" si="51"/>
        <v>-16.263412448683695</v>
      </c>
      <c r="BF41" s="57">
        <f t="shared" si="51"/>
        <v>-24.4625426728647</v>
      </c>
      <c r="BG41" s="57">
        <f t="shared" si="51"/>
        <v>-51.865743062987342</v>
      </c>
      <c r="BH41" s="57">
        <f t="shared" si="51"/>
        <v>-1620.3921040092712</v>
      </c>
      <c r="BI41" s="57">
        <f t="shared" si="51"/>
        <v>79.857881263136633</v>
      </c>
      <c r="BJ41" s="57">
        <f t="shared" si="51"/>
        <v>141.13268018937481</v>
      </c>
      <c r="BK41" s="57">
        <f t="shared" si="51"/>
        <v>53.327596541223159</v>
      </c>
      <c r="BL41" s="57">
        <f t="shared" si="51"/>
        <v>36.320705615434456</v>
      </c>
      <c r="BM41" s="57">
        <f t="shared" si="51"/>
        <v>12.506972120264656</v>
      </c>
      <c r="BN41" s="57">
        <f t="shared" si="51"/>
        <v>12.396842557518431</v>
      </c>
      <c r="BO41" s="57">
        <f t="shared" ref="BO41:CJ41" si="52">BO40/BO38</f>
        <v>6.8502532683313593</v>
      </c>
      <c r="BP41" s="57">
        <f t="shared" si="52"/>
        <v>7.4630758207432768</v>
      </c>
      <c r="BQ41" s="57">
        <f t="shared" si="52"/>
        <v>7.1587618864435401</v>
      </c>
      <c r="BR41" s="57">
        <f t="shared" si="52"/>
        <v>18.384621235168847</v>
      </c>
      <c r="BS41" s="57">
        <f t="shared" si="52"/>
        <v>4.4281159743452809</v>
      </c>
      <c r="BT41" s="57">
        <f t="shared" si="52"/>
        <v>-1.7566441635919341</v>
      </c>
      <c r="BU41" s="57">
        <f t="shared" si="52"/>
        <v>-5.4505668867242774</v>
      </c>
      <c r="BV41" s="57">
        <f t="shared" si="52"/>
        <v>-4.0369914160412286</v>
      </c>
      <c r="BW41" s="57">
        <f t="shared" si="52"/>
        <v>-0.92043424630892179</v>
      </c>
      <c r="BX41" s="57">
        <f t="shared" si="52"/>
        <v>-1.1271672992573942</v>
      </c>
      <c r="BY41" s="57" t="e">
        <f t="shared" si="52"/>
        <v>#DIV/0!</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471189567.03000015</v>
      </c>
      <c r="C42" s="28">
        <f t="shared" ref="C42:BN42" si="53">C38-C40</f>
        <v>196539986.20999998</v>
      </c>
      <c r="D42" s="28">
        <f t="shared" si="53"/>
        <v>18521589.689999945</v>
      </c>
      <c r="E42" s="28">
        <f t="shared" si="53"/>
        <v>304306233.41999978</v>
      </c>
      <c r="F42" s="28">
        <f t="shared" si="53"/>
        <v>262599285.01000014</v>
      </c>
      <c r="G42" s="28">
        <f t="shared" si="53"/>
        <v>194563579.06</v>
      </c>
      <c r="H42" s="28">
        <f t="shared" si="53"/>
        <v>92510941.320000023</v>
      </c>
      <c r="I42" s="28">
        <f t="shared" si="53"/>
        <v>370011591.78999984</v>
      </c>
      <c r="J42" s="28">
        <f t="shared" si="53"/>
        <v>264716610.8499999</v>
      </c>
      <c r="K42" s="28">
        <f t="shared" si="53"/>
        <v>199116643.63999999</v>
      </c>
      <c r="L42" s="28">
        <f t="shared" si="53"/>
        <v>86694933.889999986</v>
      </c>
      <c r="M42" s="28">
        <f t="shared" si="53"/>
        <v>298144112.63</v>
      </c>
      <c r="N42" s="28">
        <f t="shared" si="53"/>
        <v>145948182.48999989</v>
      </c>
      <c r="O42" s="28">
        <f t="shared" si="53"/>
        <v>70088189.920000046</v>
      </c>
      <c r="P42" s="28">
        <f t="shared" si="53"/>
        <v>23681393.739999991</v>
      </c>
      <c r="Q42" s="28">
        <f t="shared" si="53"/>
        <v>99276084.000000089</v>
      </c>
      <c r="R42" s="28">
        <f t="shared" si="53"/>
        <v>63144760.389999971</v>
      </c>
      <c r="S42" s="28">
        <f t="shared" si="53"/>
        <v>36513669.350000024</v>
      </c>
      <c r="T42" s="28">
        <f t="shared" si="53"/>
        <v>16576525.63000001</v>
      </c>
      <c r="U42" s="28">
        <f t="shared" si="53"/>
        <v>111056231.57999991</v>
      </c>
      <c r="V42" s="28">
        <f t="shared" si="53"/>
        <v>89940853.150000095</v>
      </c>
      <c r="W42" s="28">
        <f t="shared" si="53"/>
        <v>62583672.940000005</v>
      </c>
      <c r="X42" s="28">
        <f t="shared" si="53"/>
        <v>30644006.390000012</v>
      </c>
      <c r="Y42" s="28">
        <f t="shared" si="53"/>
        <v>104099983.04999998</v>
      </c>
      <c r="Z42" s="28">
        <f t="shared" si="53"/>
        <v>81738311.960000008</v>
      </c>
      <c r="AA42" s="28">
        <f t="shared" si="53"/>
        <v>69439554.349999979</v>
      </c>
      <c r="AB42" s="28">
        <f t="shared" si="53"/>
        <v>27851357.510000005</v>
      </c>
      <c r="AC42" s="28">
        <f t="shared" si="53"/>
        <v>115126305.65999994</v>
      </c>
      <c r="AD42" s="28">
        <f t="shared" si="53"/>
        <v>102051346.40999994</v>
      </c>
      <c r="AE42" s="28">
        <f t="shared" si="53"/>
        <v>77141986.969999999</v>
      </c>
      <c r="AF42" s="28">
        <f t="shared" si="53"/>
        <v>29629487.049999997</v>
      </c>
      <c r="AG42" s="28">
        <f t="shared" si="53"/>
        <v>92811800.770000026</v>
      </c>
      <c r="AH42" s="28">
        <f t="shared" si="53"/>
        <v>74696193.409999996</v>
      </c>
      <c r="AI42" s="28">
        <f t="shared" si="53"/>
        <v>63399330.539999984</v>
      </c>
      <c r="AJ42" s="28">
        <f t="shared" si="53"/>
        <v>93669269.390000015</v>
      </c>
      <c r="AK42" s="28">
        <f t="shared" si="53"/>
        <v>-9000550.8699999992</v>
      </c>
      <c r="AL42" s="28">
        <f t="shared" si="53"/>
        <v>-183345585.82999998</v>
      </c>
      <c r="AM42" s="28">
        <f t="shared" si="53"/>
        <v>-106810116.88</v>
      </c>
      <c r="AN42" s="28">
        <f t="shared" si="53"/>
        <v>-49783959.600000001</v>
      </c>
      <c r="AO42" s="28">
        <f t="shared" si="53"/>
        <v>-267539954.00999999</v>
      </c>
      <c r="AP42" s="28">
        <f t="shared" si="53"/>
        <v>-424870521.57999998</v>
      </c>
      <c r="AQ42" s="28">
        <f t="shared" si="53"/>
        <v>-293304959.90999997</v>
      </c>
      <c r="AR42" s="28">
        <f t="shared" si="53"/>
        <v>-120246619.52999999</v>
      </c>
      <c r="AS42" s="28">
        <f t="shared" si="53"/>
        <v>-618583611.08000004</v>
      </c>
      <c r="AT42" s="28">
        <f t="shared" si="53"/>
        <v>-534184089.29000002</v>
      </c>
      <c r="AU42" s="28">
        <f t="shared" si="53"/>
        <v>-361733175.15000004</v>
      </c>
      <c r="AV42" s="28">
        <f t="shared" si="53"/>
        <v>-169159183.02000001</v>
      </c>
      <c r="AW42" s="28">
        <f t="shared" si="53"/>
        <v>-364665048.18000001</v>
      </c>
      <c r="AX42" s="28">
        <f t="shared" si="53"/>
        <v>-314423100.28999996</v>
      </c>
      <c r="AY42" s="28">
        <f t="shared" si="53"/>
        <v>-184996081.94999999</v>
      </c>
      <c r="AZ42" s="28">
        <f t="shared" si="53"/>
        <v>-91146481.429999992</v>
      </c>
      <c r="BA42" s="28">
        <f t="shared" si="53"/>
        <v>-250424310.28999999</v>
      </c>
      <c r="BB42" s="28">
        <f t="shared" si="53"/>
        <v>-244895316.83000001</v>
      </c>
      <c r="BC42" s="28">
        <f t="shared" si="53"/>
        <v>-168341803.09999999</v>
      </c>
      <c r="BD42" s="28">
        <f t="shared" si="53"/>
        <v>-79512055.189999998</v>
      </c>
      <c r="BE42" s="28">
        <f t="shared" si="53"/>
        <v>-116917833.25</v>
      </c>
      <c r="BF42" s="28">
        <f t="shared" si="53"/>
        <v>-162029458.54000002</v>
      </c>
      <c r="BG42" s="28">
        <f t="shared" si="53"/>
        <v>-108444248.91</v>
      </c>
      <c r="BH42" s="28">
        <f t="shared" si="53"/>
        <v>-47946526.399999999</v>
      </c>
      <c r="BI42" s="28">
        <f t="shared" si="53"/>
        <v>-68952791.199999988</v>
      </c>
      <c r="BJ42" s="28">
        <f t="shared" si="53"/>
        <v>-82824833.469999999</v>
      </c>
      <c r="BK42" s="28">
        <f t="shared" si="53"/>
        <v>-63169460.109999999</v>
      </c>
      <c r="BL42" s="28">
        <f t="shared" si="53"/>
        <v>-27774802.43</v>
      </c>
      <c r="BM42" s="28">
        <f t="shared" si="53"/>
        <v>-32774755.549999997</v>
      </c>
      <c r="BN42" s="28">
        <f t="shared" si="53"/>
        <v>-31702157.48</v>
      </c>
      <c r="BO42" s="28">
        <f t="shared" ref="BO42:CK42" si="54">BO38-BO40</f>
        <v>-16273314.18</v>
      </c>
      <c r="BP42" s="28">
        <f t="shared" si="54"/>
        <v>-15224717.800000001</v>
      </c>
      <c r="BQ42" s="28">
        <f t="shared" si="54"/>
        <v>-11754436.18</v>
      </c>
      <c r="BR42" s="28">
        <f t="shared" si="54"/>
        <v>-22857300</v>
      </c>
      <c r="BS42" s="28">
        <f t="shared" si="54"/>
        <v>-9613624.7599999998</v>
      </c>
      <c r="BT42" s="28">
        <f t="shared" si="54"/>
        <v>-16402935.85</v>
      </c>
      <c r="BU42" s="28">
        <f t="shared" si="54"/>
        <v>-15677799.189999999</v>
      </c>
      <c r="BV42" s="28">
        <f t="shared" si="54"/>
        <v>-13041815.699999999</v>
      </c>
      <c r="BW42" s="28">
        <f t="shared" si="54"/>
        <v>-7764894.8799999999</v>
      </c>
      <c r="BX42" s="28">
        <f t="shared" si="54"/>
        <v>-7173387.8499999996</v>
      </c>
      <c r="BY42" s="28">
        <f t="shared" si="54"/>
        <v>0</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25.47061011351019</v>
      </c>
      <c r="C43" s="57">
        <f t="shared" ref="C43:D43" si="55">C42/C4*100</f>
        <v>15.378756280722259</v>
      </c>
      <c r="D43" s="57">
        <f t="shared" si="55"/>
        <v>2.8163627767266699</v>
      </c>
      <c r="E43" s="57">
        <f>E42/E4</f>
        <v>0.1238834560107023</v>
      </c>
      <c r="F43" s="57">
        <f t="shared" ref="F43:BQ43" si="56">F42/F4</f>
        <v>0.14610735531910163</v>
      </c>
      <c r="G43" s="57">
        <f t="shared" si="56"/>
        <v>0.15413661335156961</v>
      </c>
      <c r="H43" s="57">
        <f t="shared" si="56"/>
        <v>0.15112300387705166</v>
      </c>
      <c r="I43" s="57">
        <f t="shared" si="56"/>
        <v>0.20028871819683605</v>
      </c>
      <c r="J43" s="57">
        <f t="shared" si="56"/>
        <v>0.19981999648963972</v>
      </c>
      <c r="K43" s="57">
        <f t="shared" si="56"/>
        <v>0.22413543387455154</v>
      </c>
      <c r="L43" s="57">
        <f t="shared" si="56"/>
        <v>0.20495188905534109</v>
      </c>
      <c r="M43" s="57">
        <f t="shared" si="56"/>
        <v>0.18279358242497362</v>
      </c>
      <c r="N43" s="57">
        <f t="shared" si="56"/>
        <v>0.14270708174930324</v>
      </c>
      <c r="O43" s="57">
        <f t="shared" si="56"/>
        <v>0.11393887259128047</v>
      </c>
      <c r="P43" s="57">
        <f t="shared" si="56"/>
        <v>8.9111868738251401E-2</v>
      </c>
      <c r="Q43" s="57">
        <f t="shared" si="56"/>
        <v>9.2885888612841375E-2</v>
      </c>
      <c r="R43" s="57">
        <f t="shared" si="56"/>
        <v>8.9554515786037014E-2</v>
      </c>
      <c r="S43" s="57">
        <f t="shared" si="56"/>
        <v>8.4325004553569019E-2</v>
      </c>
      <c r="T43" s="57">
        <f t="shared" si="56"/>
        <v>8.4152643157268031E-2</v>
      </c>
      <c r="U43" s="57">
        <f t="shared" si="56"/>
        <v>0.11503859862459605</v>
      </c>
      <c r="V43" s="57">
        <f t="shared" si="56"/>
        <v>0.12746028331236109</v>
      </c>
      <c r="W43" s="57">
        <f t="shared" si="56"/>
        <v>0.12952502458050749</v>
      </c>
      <c r="X43" s="57">
        <f t="shared" si="56"/>
        <v>0.13846318318019743</v>
      </c>
      <c r="Y43" s="57">
        <f t="shared" si="56"/>
        <v>0.13184258831215304</v>
      </c>
      <c r="Z43" s="57">
        <f t="shared" si="56"/>
        <v>0.15154666650545506</v>
      </c>
      <c r="AA43" s="57">
        <f t="shared" si="56"/>
        <v>0.1758980949123059</v>
      </c>
      <c r="AB43" s="57">
        <f t="shared" si="56"/>
        <v>0.15679223820037788</v>
      </c>
      <c r="AC43" s="57">
        <f t="shared" si="56"/>
        <v>0.14038242957775623</v>
      </c>
      <c r="AD43" s="57">
        <f t="shared" si="56"/>
        <v>0.15921849426976442</v>
      </c>
      <c r="AE43" s="57">
        <f t="shared" si="56"/>
        <v>0.16441081807776681</v>
      </c>
      <c r="AF43" s="57">
        <f t="shared" si="56"/>
        <v>0.14385311905085443</v>
      </c>
      <c r="AG43" s="57">
        <f t="shared" si="56"/>
        <v>0.12685052044875109</v>
      </c>
      <c r="AH43" s="57">
        <f t="shared" si="56"/>
        <v>0.13878439692757241</v>
      </c>
      <c r="AI43" s="57">
        <f t="shared" si="56"/>
        <v>0.15658993193818041</v>
      </c>
      <c r="AJ43" s="57">
        <f t="shared" si="56"/>
        <v>0.14647756858714478</v>
      </c>
      <c r="AK43" s="57" t="e">
        <f t="shared" si="56"/>
        <v>#DIV/0!</v>
      </c>
      <c r="AL43" s="57" t="e">
        <f t="shared" si="56"/>
        <v>#DIV/0!</v>
      </c>
      <c r="AM43" s="57" t="e">
        <f t="shared" si="56"/>
        <v>#DIV/0!</v>
      </c>
      <c r="AN43" s="57" t="e">
        <f t="shared" si="56"/>
        <v>#DIV/0!</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355663549.67040002</v>
      </c>
      <c r="C45" s="26">
        <f t="shared" ref="C45:BN45" si="58">C70*C69</f>
        <v>343404859.63840002</v>
      </c>
      <c r="D45" s="26">
        <f t="shared" si="58"/>
        <v>327235696.37360001</v>
      </c>
      <c r="E45" s="26">
        <f t="shared" si="58"/>
        <v>325628311.292</v>
      </c>
      <c r="F45" s="26">
        <f t="shared" si="58"/>
        <v>319624717.30400002</v>
      </c>
      <c r="G45" s="26">
        <f t="shared" si="58"/>
        <v>314128987.08400005</v>
      </c>
      <c r="H45" s="26">
        <f t="shared" si="58"/>
        <v>305897499.84320003</v>
      </c>
      <c r="I45" s="26">
        <f t="shared" si="58"/>
        <v>308613646.79040003</v>
      </c>
      <c r="J45" s="26">
        <f t="shared" si="58"/>
        <v>301532132.28799999</v>
      </c>
      <c r="K45" s="26">
        <f t="shared" si="58"/>
        <v>215825539.93040001</v>
      </c>
      <c r="L45" s="26">
        <f t="shared" si="58"/>
        <v>214935900.29279998</v>
      </c>
      <c r="M45" s="26">
        <f t="shared" si="58"/>
        <v>207944507.796</v>
      </c>
      <c r="N45" s="26">
        <f t="shared" si="58"/>
        <v>199005277.28479999</v>
      </c>
      <c r="O45" s="26">
        <f t="shared" si="58"/>
        <v>192895916.75119999</v>
      </c>
      <c r="P45" s="26">
        <f t="shared" si="58"/>
        <v>194039693.7696</v>
      </c>
      <c r="Q45" s="26">
        <f t="shared" si="58"/>
        <v>111347366.664</v>
      </c>
      <c r="R45" s="26">
        <f t="shared" si="58"/>
        <v>108682492.23040001</v>
      </c>
      <c r="S45" s="26">
        <f t="shared" si="58"/>
        <v>106534811.964</v>
      </c>
      <c r="T45" s="26">
        <f t="shared" si="58"/>
        <v>108892832.45200001</v>
      </c>
      <c r="U45" s="26">
        <f t="shared" si="58"/>
        <v>107543379.2288</v>
      </c>
      <c r="V45" s="26">
        <f t="shared" si="58"/>
        <v>104867744.2384</v>
      </c>
      <c r="W45" s="26">
        <f t="shared" si="58"/>
        <v>102679255.82160001</v>
      </c>
      <c r="X45" s="26">
        <f t="shared" si="58"/>
        <v>102124731.04719999</v>
      </c>
      <c r="Y45" s="26">
        <f t="shared" si="58"/>
        <v>99556638.840000004</v>
      </c>
      <c r="Z45" s="26">
        <f t="shared" si="58"/>
        <v>97350622.194400012</v>
      </c>
      <c r="AA45" s="26">
        <f t="shared" si="58"/>
        <v>96383952.956799999</v>
      </c>
      <c r="AB45" s="26">
        <f t="shared" si="58"/>
        <v>93060932.190400004</v>
      </c>
      <c r="AC45" s="26">
        <f t="shared" si="58"/>
        <v>96322006.156000003</v>
      </c>
      <c r="AD45" s="26">
        <f t="shared" si="58"/>
        <v>30584795.607199997</v>
      </c>
      <c r="AE45" s="26">
        <f t="shared" si="58"/>
        <v>28556712.0856</v>
      </c>
      <c r="AF45" s="26">
        <f t="shared" si="58"/>
        <v>25326959.732800003</v>
      </c>
      <c r="AG45" s="26">
        <f t="shared" si="58"/>
        <v>21722532.3792</v>
      </c>
      <c r="AH45" s="26">
        <f t="shared" si="58"/>
        <v>19534537.727200001</v>
      </c>
      <c r="AI45" s="26">
        <f t="shared" si="58"/>
        <v>0</v>
      </c>
      <c r="AJ45" s="26">
        <f t="shared" si="58"/>
        <v>0</v>
      </c>
      <c r="AK45" s="26">
        <f t="shared" si="58"/>
        <v>0</v>
      </c>
      <c r="AL45" s="26">
        <f t="shared" si="58"/>
        <v>446122643.84240001</v>
      </c>
      <c r="AM45" s="26">
        <f t="shared" si="58"/>
        <v>411003958.05120003</v>
      </c>
      <c r="AN45" s="26">
        <f t="shared" si="58"/>
        <v>377528757.31919998</v>
      </c>
      <c r="AO45" s="26">
        <f t="shared" si="58"/>
        <v>435953138.96239996</v>
      </c>
      <c r="AP45" s="26">
        <f t="shared" si="58"/>
        <v>403763114.22000003</v>
      </c>
      <c r="AQ45" s="26">
        <f t="shared" si="58"/>
        <v>373137125.93040001</v>
      </c>
      <c r="AR45" s="26">
        <f t="shared" si="58"/>
        <v>321756062.16799998</v>
      </c>
      <c r="AS45" s="26">
        <f t="shared" si="58"/>
        <v>355078147.91760004</v>
      </c>
      <c r="AT45" s="26">
        <f t="shared" si="58"/>
        <v>315462875.84240001</v>
      </c>
      <c r="AU45" s="26">
        <f t="shared" si="58"/>
        <v>272095610.35600001</v>
      </c>
      <c r="AV45" s="26">
        <f t="shared" si="58"/>
        <v>260492419.94479999</v>
      </c>
      <c r="AW45" s="26">
        <f t="shared" si="58"/>
        <v>225581140.2552</v>
      </c>
      <c r="AX45" s="26">
        <f t="shared" si="58"/>
        <v>203989941.4648</v>
      </c>
      <c r="AY45" s="26">
        <f t="shared" si="58"/>
        <v>179659231.148</v>
      </c>
      <c r="AZ45" s="26">
        <f t="shared" si="58"/>
        <v>177872815.08400002</v>
      </c>
      <c r="BA45" s="26">
        <f t="shared" si="58"/>
        <v>148432276.21760002</v>
      </c>
      <c r="BB45" s="26">
        <f t="shared" si="58"/>
        <v>137220309.73360002</v>
      </c>
      <c r="BC45" s="26">
        <f t="shared" si="58"/>
        <v>125055912.84959999</v>
      </c>
      <c r="BD45" s="26">
        <f t="shared" si="58"/>
        <v>121715854.9216</v>
      </c>
      <c r="BE45" s="26">
        <f t="shared" si="58"/>
        <v>109181546.24080001</v>
      </c>
      <c r="BF45" s="26">
        <f t="shared" si="58"/>
        <v>102079509.3448</v>
      </c>
      <c r="BG45" s="26">
        <f t="shared" si="58"/>
        <v>94110167.562399998</v>
      </c>
      <c r="BH45" s="26">
        <f t="shared" si="58"/>
        <v>90814141.623999998</v>
      </c>
      <c r="BI45" s="26">
        <f t="shared" si="58"/>
        <v>83031878.103200004</v>
      </c>
      <c r="BJ45" s="26">
        <f t="shared" si="58"/>
        <v>79384531.766400009</v>
      </c>
      <c r="BK45" s="26">
        <f t="shared" si="58"/>
        <v>69611361.144799992</v>
      </c>
      <c r="BL45" s="26">
        <f t="shared" si="58"/>
        <v>63187730.867200002</v>
      </c>
      <c r="BM45" s="26">
        <f t="shared" si="58"/>
        <v>64692705.640000001</v>
      </c>
      <c r="BN45" s="26">
        <f t="shared" si="58"/>
        <v>62253210.698400006</v>
      </c>
      <c r="BO45" s="26">
        <f t="shared" ref="BO45:CJ45" si="59">BO70*BO69</f>
        <v>59747189.467200004</v>
      </c>
      <c r="BP45" s="26">
        <f t="shared" si="59"/>
        <v>55159338.029600002</v>
      </c>
      <c r="BQ45" s="26">
        <f t="shared" si="59"/>
        <v>52303860.781599998</v>
      </c>
      <c r="BR45" s="26">
        <f t="shared" si="59"/>
        <v>0</v>
      </c>
      <c r="BS45" s="26">
        <f t="shared" si="59"/>
        <v>53107305.143199995</v>
      </c>
      <c r="BT45" s="26">
        <f t="shared" si="59"/>
        <v>48085589.327200003</v>
      </c>
      <c r="BU45" s="26">
        <f t="shared" si="59"/>
        <v>12416214.52</v>
      </c>
      <c r="BV45" s="26">
        <f t="shared" si="59"/>
        <v>10264524.338400001</v>
      </c>
      <c r="BW45" s="26">
        <f t="shared" si="59"/>
        <v>9791746.6975999996</v>
      </c>
      <c r="BX45" s="26">
        <f t="shared" si="59"/>
        <v>5600666.0416000001</v>
      </c>
      <c r="BY45" s="26">
        <f t="shared" si="59"/>
        <v>0</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115526017.35960013</v>
      </c>
      <c r="C47" s="28">
        <f t="shared" ref="C47:BN47" si="62">C42-C45</f>
        <v>-146864873.42840004</v>
      </c>
      <c r="D47" s="28">
        <f t="shared" si="62"/>
        <v>-308714106.68360007</v>
      </c>
      <c r="E47" s="28">
        <f t="shared" si="62"/>
        <v>-21322077.872000217</v>
      </c>
      <c r="F47" s="28">
        <f t="shared" si="62"/>
        <v>-57025432.293999881</v>
      </c>
      <c r="G47" s="28">
        <f t="shared" si="62"/>
        <v>-119565408.02400005</v>
      </c>
      <c r="H47" s="28">
        <f t="shared" si="62"/>
        <v>-213386558.52320001</v>
      </c>
      <c r="I47" s="28">
        <f t="shared" si="62"/>
        <v>61397944.999599814</v>
      </c>
      <c r="J47" s="28">
        <f t="shared" si="62"/>
        <v>-36815521.438000083</v>
      </c>
      <c r="K47" s="28">
        <f t="shared" si="62"/>
        <v>-16708896.290400028</v>
      </c>
      <c r="L47" s="28">
        <f t="shared" si="62"/>
        <v>-128240966.40279999</v>
      </c>
      <c r="M47" s="28">
        <f t="shared" si="62"/>
        <v>90199604.833999991</v>
      </c>
      <c r="N47" s="28">
        <f t="shared" si="62"/>
        <v>-53057094.794800103</v>
      </c>
      <c r="O47" s="28">
        <f t="shared" si="62"/>
        <v>-122807726.83119994</v>
      </c>
      <c r="P47" s="28">
        <f t="shared" si="62"/>
        <v>-170358300.02960002</v>
      </c>
      <c r="Q47" s="28">
        <f t="shared" si="62"/>
        <v>-12071282.663999915</v>
      </c>
      <c r="R47" s="28">
        <f t="shared" si="62"/>
        <v>-45537731.84040004</v>
      </c>
      <c r="S47" s="28">
        <f t="shared" si="62"/>
        <v>-70021142.613999978</v>
      </c>
      <c r="T47" s="28">
        <f t="shared" si="62"/>
        <v>-92316306.821999997</v>
      </c>
      <c r="U47" s="28">
        <f t="shared" si="62"/>
        <v>3512852.35119991</v>
      </c>
      <c r="V47" s="28">
        <f t="shared" si="62"/>
        <v>-14926891.088399902</v>
      </c>
      <c r="W47" s="28">
        <f t="shared" si="62"/>
        <v>-40095582.8816</v>
      </c>
      <c r="X47" s="28">
        <f t="shared" si="62"/>
        <v>-71480724.657199979</v>
      </c>
      <c r="Y47" s="28">
        <f t="shared" si="62"/>
        <v>4543344.2099999785</v>
      </c>
      <c r="Z47" s="28">
        <f t="shared" si="62"/>
        <v>-15612310.234400004</v>
      </c>
      <c r="AA47" s="28">
        <f t="shared" si="62"/>
        <v>-26944398.60680002</v>
      </c>
      <c r="AB47" s="28">
        <f t="shared" si="62"/>
        <v>-65209574.680399999</v>
      </c>
      <c r="AC47" s="28">
        <f t="shared" si="62"/>
        <v>18804299.503999934</v>
      </c>
      <c r="AD47" s="28">
        <f t="shared" si="62"/>
        <v>71466550.80279994</v>
      </c>
      <c r="AE47" s="28">
        <f t="shared" si="62"/>
        <v>48585274.884399995</v>
      </c>
      <c r="AF47" s="28">
        <f t="shared" si="62"/>
        <v>4302527.3171999939</v>
      </c>
      <c r="AG47" s="28">
        <f t="shared" si="62"/>
        <v>71089268.390800029</v>
      </c>
      <c r="AH47" s="28">
        <f t="shared" si="62"/>
        <v>55161655.682799995</v>
      </c>
      <c r="AI47" s="28">
        <f t="shared" si="62"/>
        <v>63399330.539999984</v>
      </c>
      <c r="AJ47" s="28">
        <f t="shared" si="62"/>
        <v>93669269.390000015</v>
      </c>
      <c r="AK47" s="28">
        <f t="shared" si="62"/>
        <v>-9000550.8699999992</v>
      </c>
      <c r="AL47" s="28">
        <f t="shared" si="62"/>
        <v>-629468229.6724</v>
      </c>
      <c r="AM47" s="28">
        <f t="shared" si="62"/>
        <v>-517814074.93120003</v>
      </c>
      <c r="AN47" s="28">
        <f t="shared" si="62"/>
        <v>-427312716.9192</v>
      </c>
      <c r="AO47" s="28">
        <f t="shared" si="62"/>
        <v>-703493092.97239995</v>
      </c>
      <c r="AP47" s="28">
        <f t="shared" si="62"/>
        <v>-828633635.79999995</v>
      </c>
      <c r="AQ47" s="28">
        <f t="shared" si="62"/>
        <v>-666442085.84039998</v>
      </c>
      <c r="AR47" s="28">
        <f t="shared" si="62"/>
        <v>-442002681.69799995</v>
      </c>
      <c r="AS47" s="28">
        <f t="shared" si="62"/>
        <v>-973661758.99760008</v>
      </c>
      <c r="AT47" s="28">
        <f t="shared" si="62"/>
        <v>-849646965.13240004</v>
      </c>
      <c r="AU47" s="28">
        <f t="shared" si="62"/>
        <v>-633828785.50600004</v>
      </c>
      <c r="AV47" s="28">
        <f t="shared" si="62"/>
        <v>-429651602.9648</v>
      </c>
      <c r="AW47" s="28">
        <f t="shared" si="62"/>
        <v>-590246188.43519998</v>
      </c>
      <c r="AX47" s="28">
        <f t="shared" si="62"/>
        <v>-518413041.75479996</v>
      </c>
      <c r="AY47" s="28">
        <f t="shared" si="62"/>
        <v>-364655313.09799999</v>
      </c>
      <c r="AZ47" s="28">
        <f t="shared" si="62"/>
        <v>-269019296.514</v>
      </c>
      <c r="BA47" s="28">
        <f t="shared" si="62"/>
        <v>-398856586.50760001</v>
      </c>
      <c r="BB47" s="28">
        <f t="shared" si="62"/>
        <v>-382115626.56360006</v>
      </c>
      <c r="BC47" s="28">
        <f t="shared" si="62"/>
        <v>-293397715.94959998</v>
      </c>
      <c r="BD47" s="28">
        <f t="shared" si="62"/>
        <v>-201227910.11159998</v>
      </c>
      <c r="BE47" s="28">
        <f t="shared" si="62"/>
        <v>-226099379.49080002</v>
      </c>
      <c r="BF47" s="28">
        <f t="shared" si="62"/>
        <v>-264108967.88480002</v>
      </c>
      <c r="BG47" s="28">
        <f t="shared" si="62"/>
        <v>-202554416.47240001</v>
      </c>
      <c r="BH47" s="28">
        <f t="shared" si="62"/>
        <v>-138760668.02399999</v>
      </c>
      <c r="BI47" s="28">
        <f t="shared" si="62"/>
        <v>-151984669.30320001</v>
      </c>
      <c r="BJ47" s="28">
        <f t="shared" si="62"/>
        <v>-162209365.23640001</v>
      </c>
      <c r="BK47" s="28">
        <f t="shared" si="62"/>
        <v>-132780821.25479999</v>
      </c>
      <c r="BL47" s="28">
        <f t="shared" si="62"/>
        <v>-90962533.297199994</v>
      </c>
      <c r="BM47" s="28">
        <f t="shared" si="62"/>
        <v>-97467461.189999998</v>
      </c>
      <c r="BN47" s="28">
        <f t="shared" si="62"/>
        <v>-93955368.17840001</v>
      </c>
      <c r="BO47" s="28">
        <f t="shared" ref="BO47:CJ47" si="63">BO42-BO45</f>
        <v>-76020503.647200003</v>
      </c>
      <c r="BP47" s="28">
        <f t="shared" si="63"/>
        <v>-70384055.829600006</v>
      </c>
      <c r="BQ47" s="28">
        <f t="shared" si="63"/>
        <v>-64058296.961599998</v>
      </c>
      <c r="BR47" s="28">
        <f t="shared" si="63"/>
        <v>-22857300</v>
      </c>
      <c r="BS47" s="28">
        <f t="shared" si="63"/>
        <v>-62720929.903199993</v>
      </c>
      <c r="BT47" s="28">
        <f t="shared" si="63"/>
        <v>-64488525.177200004</v>
      </c>
      <c r="BU47" s="28">
        <f t="shared" si="63"/>
        <v>-28094013.710000001</v>
      </c>
      <c r="BV47" s="28">
        <f t="shared" si="63"/>
        <v>-23306340.038400002</v>
      </c>
      <c r="BW47" s="28">
        <f t="shared" si="63"/>
        <v>-17556641.577599999</v>
      </c>
      <c r="BX47" s="28">
        <f t="shared" si="63"/>
        <v>-12774053.8916</v>
      </c>
      <c r="BY47" s="28">
        <f t="shared" si="63"/>
        <v>0</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20091231</v>
      </c>
      <c r="AJ51" s="190">
        <v>20081231</v>
      </c>
      <c r="AK51" s="190">
        <v>19700101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20001231</v>
      </c>
      <c r="BU51" s="190">
        <v>20000630</v>
      </c>
      <c r="BV51" s="190">
        <v>19991231</v>
      </c>
      <c r="BW51" s="190">
        <v>19981231</v>
      </c>
      <c r="BX51" s="190">
        <v>19971231</v>
      </c>
      <c r="BY51" s="190">
        <v>19700101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x14ac:dyDescent="0.25">
      <c r="A52" s="132" t="s">
        <v>570</v>
      </c>
      <c r="B52" s="42">
        <v>-25636</v>
      </c>
      <c r="C52" s="42">
        <v>-27718</v>
      </c>
      <c r="D52" s="42">
        <v>-35317</v>
      </c>
      <c r="E52" s="42">
        <v>-7143798.8099999996</v>
      </c>
      <c r="F52" s="42"/>
      <c r="G52" s="42"/>
      <c r="H52" s="42"/>
      <c r="I52" s="42">
        <v>-13342718.18</v>
      </c>
      <c r="J52" s="42"/>
      <c r="K52" s="42"/>
      <c r="M52" s="43">
        <f>-10436264.66-79333.33</f>
        <v>-10515597.99</v>
      </c>
      <c r="Q52" s="43">
        <f>-4246754.29-473599.99</f>
        <v>-4720354.28</v>
      </c>
      <c r="U52" s="43">
        <v>-6147516.3700000001</v>
      </c>
      <c r="Y52" s="43">
        <f>-10505651.91-392513.85</f>
        <v>-10898165.76</v>
      </c>
      <c r="AC52" s="43">
        <f>-408129.97-5333803.7</f>
        <v>-5741933.6699999999</v>
      </c>
      <c r="AG52" s="43">
        <f>-1191652.68-4349893.7</f>
        <v>-5541546.3799999999</v>
      </c>
      <c r="AK52" s="43">
        <v>-14885461.619999999</v>
      </c>
      <c r="AO52" s="43">
        <v>-10819505.6</v>
      </c>
      <c r="AS52" s="43">
        <v>-6408564.4500000002</v>
      </c>
      <c r="AW52" s="43">
        <v>-3425124.99</v>
      </c>
      <c r="BA52" s="43">
        <v>-3065367.56</v>
      </c>
      <c r="BE52" s="43">
        <v>-2338056.19</v>
      </c>
      <c r="BI52" s="43">
        <v>-2356330.52</v>
      </c>
    </row>
    <row r="53" spans="1:89" s="43" customFormat="1" x14ac:dyDescent="0.25">
      <c r="A53" s="133" t="s">
        <v>90</v>
      </c>
      <c r="B53" s="42">
        <v>217</v>
      </c>
      <c r="C53" s="42">
        <v>189</v>
      </c>
      <c r="D53" s="42"/>
      <c r="E53" s="42">
        <v>582431.97</v>
      </c>
      <c r="F53" s="42"/>
      <c r="G53" s="42"/>
      <c r="H53" s="42"/>
      <c r="I53" s="42">
        <v>29121688.59</v>
      </c>
      <c r="J53" s="42"/>
      <c r="K53" s="42"/>
      <c r="L53" s="42"/>
      <c r="M53" s="42">
        <f>323713.76</f>
        <v>323713.76</v>
      </c>
      <c r="N53" s="42"/>
      <c r="O53" s="42"/>
      <c r="P53" s="42"/>
      <c r="Q53" s="42">
        <v>1307144.8</v>
      </c>
      <c r="R53" s="42"/>
      <c r="S53" s="42"/>
      <c r="T53" s="42"/>
      <c r="U53" s="42">
        <v>1429735.18</v>
      </c>
      <c r="V53" s="42"/>
      <c r="W53" s="42"/>
      <c r="X53" s="42"/>
      <c r="Y53" s="42">
        <v>2500935.35</v>
      </c>
      <c r="Z53" s="42"/>
      <c r="AA53" s="42"/>
      <c r="AB53" s="42"/>
      <c r="AC53" s="43">
        <v>16331432.890000001</v>
      </c>
      <c r="AD53" s="42"/>
      <c r="AE53" s="42"/>
      <c r="AF53" s="42"/>
      <c r="AG53" s="42">
        <v>11707536.800000001</v>
      </c>
      <c r="AH53" s="42"/>
      <c r="AI53" s="42"/>
      <c r="AJ53" s="42"/>
      <c r="AK53" s="42">
        <f>67247664.37</f>
        <v>67247664.370000005</v>
      </c>
      <c r="AL53" s="42"/>
      <c r="AM53" s="42"/>
      <c r="AN53" s="42"/>
      <c r="AO53" s="42">
        <f>126324983.14</f>
        <v>126324983.14</v>
      </c>
      <c r="AP53" s="42">
        <v>0</v>
      </c>
      <c r="AQ53" s="42">
        <v>0</v>
      </c>
      <c r="AR53" s="42">
        <v>0</v>
      </c>
      <c r="AS53" s="42">
        <v>132348309.90000001</v>
      </c>
      <c r="AT53" s="42">
        <v>0</v>
      </c>
      <c r="AU53" s="42">
        <v>0</v>
      </c>
      <c r="AV53" s="42">
        <v>0</v>
      </c>
      <c r="AW53" s="42">
        <f>42820768.53-1336407.02</f>
        <v>41484361.509999998</v>
      </c>
      <c r="AX53" s="42">
        <v>0</v>
      </c>
      <c r="AY53" s="42">
        <v>0</v>
      </c>
      <c r="AZ53" s="42">
        <v>0</v>
      </c>
      <c r="BA53" s="42">
        <v>8042309.5300000003</v>
      </c>
      <c r="BB53" s="42">
        <v>0</v>
      </c>
      <c r="BC53" s="42">
        <v>0</v>
      </c>
      <c r="BD53" s="42">
        <v>0</v>
      </c>
      <c r="BE53" s="42">
        <v>9216241.1300000008</v>
      </c>
      <c r="BF53" s="42">
        <v>0</v>
      </c>
      <c r="BG53" s="42">
        <v>0</v>
      </c>
      <c r="BH53" s="42">
        <v>0</v>
      </c>
      <c r="BI53" s="42">
        <v>1006660.45</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3" t="s">
        <v>91</v>
      </c>
      <c r="B54" s="42">
        <v>3104</v>
      </c>
      <c r="C54" s="42">
        <v>-1424</v>
      </c>
      <c r="D54" s="42">
        <v>-340</v>
      </c>
      <c r="E54" s="42">
        <v>22309510.109999999</v>
      </c>
      <c r="F54" s="42"/>
      <c r="G54" s="42"/>
      <c r="H54" s="42"/>
      <c r="I54" s="42">
        <v>-19929134.059999999</v>
      </c>
      <c r="J54" s="42"/>
      <c r="K54" s="42"/>
      <c r="M54" s="43">
        <v>-40493506.859999999</v>
      </c>
      <c r="Q54" s="43">
        <v>-2700832.12</v>
      </c>
      <c r="U54" s="43">
        <v>11935263.91</v>
      </c>
      <c r="Y54" s="43">
        <v>5016753.3</v>
      </c>
      <c r="AC54" s="43">
        <v>4454415.38</v>
      </c>
      <c r="AG54" s="43">
        <v>4570314.7699999996</v>
      </c>
      <c r="AK54" s="43">
        <v>-1869510.08</v>
      </c>
      <c r="AO54" s="43">
        <v>-69873099.480000004</v>
      </c>
      <c r="AS54" s="43">
        <v>-71751196.140000001</v>
      </c>
      <c r="AW54" s="43">
        <v>-30260560.210000001</v>
      </c>
      <c r="BA54" s="43">
        <v>-571641.32999999996</v>
      </c>
      <c r="BE54" s="43">
        <v>110123.08</v>
      </c>
      <c r="BI54" s="43">
        <v>711095.56</v>
      </c>
    </row>
    <row r="55" spans="1:89" s="43" customFormat="1" x14ac:dyDescent="0.25">
      <c r="A55" s="133" t="s">
        <v>92</v>
      </c>
      <c r="B55" s="42">
        <v>463</v>
      </c>
      <c r="C55" s="42">
        <v>603</v>
      </c>
      <c r="D55" s="42">
        <v>653</v>
      </c>
      <c r="E55" s="42">
        <v>3026262.43</v>
      </c>
      <c r="F55" s="42"/>
      <c r="G55" s="42"/>
      <c r="H55" s="42"/>
      <c r="I55" s="42">
        <v>2421047.4300000002</v>
      </c>
      <c r="J55" s="42"/>
      <c r="K55" s="42"/>
      <c r="M55" s="263">
        <v>270013.73</v>
      </c>
      <c r="Q55" s="43">
        <v>283627.51</v>
      </c>
      <c r="U55" s="43">
        <v>545832.66</v>
      </c>
      <c r="Y55" s="43">
        <v>132352.54</v>
      </c>
      <c r="AC55" s="43">
        <v>660384.18000000005</v>
      </c>
      <c r="AG55" s="43">
        <v>2420249.7999999998</v>
      </c>
      <c r="AK55" s="43">
        <v>10870060.949999999</v>
      </c>
      <c r="AO55" s="43">
        <v>12110695.470000001</v>
      </c>
      <c r="AS55" s="43">
        <v>-475235.25</v>
      </c>
      <c r="AW55" s="43">
        <v>2970451.97</v>
      </c>
      <c r="BA55" s="43">
        <v>1288210.29</v>
      </c>
      <c r="BE55" s="43">
        <v>1282524.67</v>
      </c>
    </row>
    <row r="56" spans="1:89" s="26" customFormat="1" x14ac:dyDescent="0.25">
      <c r="A56" s="134" t="s">
        <v>93</v>
      </c>
      <c r="B56" s="44">
        <f>SUM(B52:B55)</f>
        <v>-21852</v>
      </c>
      <c r="C56" s="44">
        <f t="shared" ref="C56:D56" si="64">SUM(C52:C55)</f>
        <v>-28350</v>
      </c>
      <c r="D56" s="44">
        <f t="shared" si="64"/>
        <v>-35004</v>
      </c>
      <c r="E56" s="44">
        <f>SUM(E52:E55)</f>
        <v>18774405.699999999</v>
      </c>
      <c r="F56" s="44">
        <f t="shared" ref="F56:BQ56" si="65">SUM(F52:F55)</f>
        <v>0</v>
      </c>
      <c r="G56" s="44">
        <f t="shared" si="65"/>
        <v>0</v>
      </c>
      <c r="H56" s="44">
        <f t="shared" si="65"/>
        <v>0</v>
      </c>
      <c r="I56" s="44">
        <f t="shared" si="65"/>
        <v>-1729116.2199999983</v>
      </c>
      <c r="J56" s="44">
        <f t="shared" si="65"/>
        <v>0</v>
      </c>
      <c r="K56" s="44">
        <f t="shared" si="65"/>
        <v>0</v>
      </c>
      <c r="L56" s="44">
        <f t="shared" si="65"/>
        <v>0</v>
      </c>
      <c r="M56" s="44">
        <f t="shared" si="65"/>
        <v>-50415377.360000007</v>
      </c>
      <c r="N56" s="44">
        <f t="shared" si="65"/>
        <v>0</v>
      </c>
      <c r="O56" s="44">
        <f t="shared" si="65"/>
        <v>0</v>
      </c>
      <c r="P56" s="44">
        <f t="shared" si="65"/>
        <v>0</v>
      </c>
      <c r="Q56" s="44">
        <f t="shared" si="65"/>
        <v>-5830414.0900000008</v>
      </c>
      <c r="R56" s="44">
        <f t="shared" si="65"/>
        <v>0</v>
      </c>
      <c r="S56" s="44">
        <f t="shared" si="65"/>
        <v>0</v>
      </c>
      <c r="T56" s="44">
        <f t="shared" si="65"/>
        <v>0</v>
      </c>
      <c r="U56" s="44">
        <f t="shared" si="65"/>
        <v>7763315.3799999999</v>
      </c>
      <c r="V56" s="44">
        <f t="shared" si="65"/>
        <v>0</v>
      </c>
      <c r="W56" s="44">
        <f t="shared" si="65"/>
        <v>0</v>
      </c>
      <c r="X56" s="44">
        <f t="shared" si="65"/>
        <v>0</v>
      </c>
      <c r="Y56" s="44">
        <f t="shared" si="65"/>
        <v>-3248124.5700000003</v>
      </c>
      <c r="Z56" s="44">
        <f t="shared" si="65"/>
        <v>0</v>
      </c>
      <c r="AA56" s="44">
        <f t="shared" si="65"/>
        <v>0</v>
      </c>
      <c r="AB56" s="44">
        <f t="shared" si="65"/>
        <v>0</v>
      </c>
      <c r="AC56" s="44">
        <f t="shared" si="65"/>
        <v>15704298.780000001</v>
      </c>
      <c r="AD56" s="44">
        <f t="shared" si="65"/>
        <v>0</v>
      </c>
      <c r="AE56" s="44">
        <f t="shared" si="65"/>
        <v>0</v>
      </c>
      <c r="AF56" s="44">
        <f t="shared" si="65"/>
        <v>0</v>
      </c>
      <c r="AG56" s="44">
        <f t="shared" si="65"/>
        <v>13156554.990000002</v>
      </c>
      <c r="AH56" s="44">
        <f t="shared" si="65"/>
        <v>0</v>
      </c>
      <c r="AI56" s="44">
        <f t="shared" si="65"/>
        <v>0</v>
      </c>
      <c r="AJ56" s="44">
        <f t="shared" si="65"/>
        <v>0</v>
      </c>
      <c r="AK56" s="44">
        <f t="shared" si="65"/>
        <v>61362753.620000005</v>
      </c>
      <c r="AL56" s="44">
        <f t="shared" si="65"/>
        <v>0</v>
      </c>
      <c r="AM56" s="44">
        <f t="shared" si="65"/>
        <v>0</v>
      </c>
      <c r="AN56" s="44">
        <f t="shared" si="65"/>
        <v>0</v>
      </c>
      <c r="AO56" s="44">
        <f t="shared" si="65"/>
        <v>57743073.530000001</v>
      </c>
      <c r="AP56" s="44">
        <f t="shared" si="65"/>
        <v>0</v>
      </c>
      <c r="AQ56" s="44">
        <f t="shared" si="65"/>
        <v>0</v>
      </c>
      <c r="AR56" s="44">
        <f t="shared" si="65"/>
        <v>0</v>
      </c>
      <c r="AS56" s="44">
        <f t="shared" si="65"/>
        <v>53713314.060000002</v>
      </c>
      <c r="AT56" s="44">
        <f t="shared" si="65"/>
        <v>0</v>
      </c>
      <c r="AU56" s="44">
        <f t="shared" si="65"/>
        <v>0</v>
      </c>
      <c r="AV56" s="44">
        <f t="shared" si="65"/>
        <v>0</v>
      </c>
      <c r="AW56" s="44">
        <f t="shared" si="65"/>
        <v>10769128.279999996</v>
      </c>
      <c r="AX56" s="44">
        <f t="shared" si="65"/>
        <v>0</v>
      </c>
      <c r="AY56" s="44">
        <f t="shared" si="65"/>
        <v>0</v>
      </c>
      <c r="AZ56" s="44">
        <f t="shared" si="65"/>
        <v>0</v>
      </c>
      <c r="BA56" s="44">
        <f t="shared" si="65"/>
        <v>5693510.9300000006</v>
      </c>
      <c r="BB56" s="44">
        <f t="shared" si="65"/>
        <v>0</v>
      </c>
      <c r="BC56" s="44">
        <f t="shared" si="65"/>
        <v>0</v>
      </c>
      <c r="BD56" s="44">
        <f t="shared" si="65"/>
        <v>0</v>
      </c>
      <c r="BE56" s="44">
        <f t="shared" si="65"/>
        <v>8270832.6900000013</v>
      </c>
      <c r="BF56" s="44">
        <f t="shared" si="65"/>
        <v>0</v>
      </c>
      <c r="BG56" s="44">
        <f t="shared" si="65"/>
        <v>0</v>
      </c>
      <c r="BH56" s="44">
        <f t="shared" si="65"/>
        <v>0</v>
      </c>
      <c r="BI56" s="44">
        <f t="shared" si="65"/>
        <v>-638574.51</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5" t="s">
        <v>97</v>
      </c>
    </row>
    <row r="59" spans="1:89" x14ac:dyDescent="0.25">
      <c r="A59" s="22" t="s">
        <v>96</v>
      </c>
      <c r="B59" s="190">
        <v>308789388.57999998</v>
      </c>
      <c r="C59" s="190">
        <v>192757971.22999999</v>
      </c>
      <c r="D59" s="190">
        <v>63331484.460000001</v>
      </c>
      <c r="E59" s="190">
        <v>385321174.64999998</v>
      </c>
      <c r="F59" s="190">
        <v>302173799.89999998</v>
      </c>
      <c r="G59" s="190">
        <v>213688818.66</v>
      </c>
      <c r="H59" s="190">
        <v>99490184.150000006</v>
      </c>
      <c r="I59" s="190">
        <v>318696047.07999998</v>
      </c>
      <c r="J59" s="190">
        <v>250582651.24000001</v>
      </c>
      <c r="K59" s="190">
        <v>185281094.47</v>
      </c>
      <c r="L59" s="190">
        <v>89663538.930000007</v>
      </c>
      <c r="M59" s="190">
        <v>257920619.5</v>
      </c>
      <c r="N59" s="190">
        <v>145948182.49000001</v>
      </c>
      <c r="O59" s="190">
        <v>70088189.920000002</v>
      </c>
      <c r="P59" s="190">
        <v>23681393.739999998</v>
      </c>
      <c r="Q59" s="190">
        <v>96858879.390000001</v>
      </c>
      <c r="R59" s="190">
        <v>63144760.390000001</v>
      </c>
      <c r="S59" s="190">
        <v>36513669.350000001</v>
      </c>
      <c r="T59" s="190">
        <v>16576525.630000001</v>
      </c>
      <c r="U59" s="190">
        <v>123537328.15000001</v>
      </c>
      <c r="V59" s="190">
        <v>89940853.150000006</v>
      </c>
      <c r="W59" s="190">
        <v>62583672.939999998</v>
      </c>
      <c r="X59" s="190">
        <v>30644006.390000001</v>
      </c>
      <c r="Y59" s="190">
        <v>109249088.89</v>
      </c>
      <c r="Z59" s="190">
        <v>81738311.959999993</v>
      </c>
      <c r="AA59" s="190">
        <v>69439554.349999994</v>
      </c>
      <c r="AB59" s="190">
        <v>27851357.510000002</v>
      </c>
      <c r="AC59" s="190">
        <v>120241105.22</v>
      </c>
      <c r="AD59" s="190">
        <v>102051346.41</v>
      </c>
      <c r="AE59" s="190">
        <v>77141986.969999999</v>
      </c>
      <c r="AF59" s="190">
        <v>29629487.050000001</v>
      </c>
      <c r="AG59" s="190">
        <v>99802365.340000004</v>
      </c>
      <c r="AH59" s="190">
        <v>74696193.409999996</v>
      </c>
      <c r="AI59" s="190">
        <v>63399330.539999999</v>
      </c>
      <c r="AJ59" s="190">
        <v>93624269.390000001</v>
      </c>
      <c r="AK59" s="190">
        <v>0</v>
      </c>
      <c r="AL59" s="190">
        <v>1031806446.51</v>
      </c>
      <c r="AM59" s="190">
        <v>590092429.62</v>
      </c>
      <c r="AN59" s="190">
        <v>219925513.31</v>
      </c>
      <c r="AO59" s="190">
        <v>1758096018.1600001</v>
      </c>
      <c r="AP59" s="190">
        <v>1396884229.3</v>
      </c>
      <c r="AQ59" s="190">
        <v>1010477055.51</v>
      </c>
      <c r="AR59" s="190">
        <v>431409122.93000001</v>
      </c>
      <c r="AS59" s="190">
        <v>1696860443.71</v>
      </c>
      <c r="AT59" s="190">
        <v>1244026736.04</v>
      </c>
      <c r="AU59" s="190">
        <v>702166245.65999997</v>
      </c>
      <c r="AV59" s="190">
        <v>366875592.93000001</v>
      </c>
      <c r="AW59" s="190">
        <v>913756821.69000006</v>
      </c>
      <c r="AX59" s="190">
        <v>637425641</v>
      </c>
      <c r="AY59" s="190">
        <v>333291762.04000002</v>
      </c>
      <c r="AZ59" s="190">
        <v>184970015.83000001</v>
      </c>
      <c r="BA59" s="190">
        <v>617997087.88999999</v>
      </c>
      <c r="BB59" s="190">
        <v>480597506.83999997</v>
      </c>
      <c r="BC59" s="190">
        <v>328542545.79000002</v>
      </c>
      <c r="BD59" s="190">
        <v>156678858.50999999</v>
      </c>
      <c r="BE59" s="190">
        <v>403590992.27999997</v>
      </c>
      <c r="BF59" s="190">
        <v>314895840.51999998</v>
      </c>
      <c r="BG59" s="190">
        <v>215278618.24000001</v>
      </c>
      <c r="BH59" s="190">
        <v>97278294.010000005</v>
      </c>
      <c r="BI59" s="190">
        <v>232270313.91999999</v>
      </c>
      <c r="BJ59" s="190">
        <v>186639359.16999999</v>
      </c>
      <c r="BK59" s="190">
        <v>138283193.81</v>
      </c>
      <c r="BL59" s="190">
        <v>57987815.340000004</v>
      </c>
      <c r="BM59" s="190">
        <v>154326437.19</v>
      </c>
      <c r="BN59" s="190">
        <v>124365125.93000001</v>
      </c>
      <c r="BO59" s="190">
        <v>93039860.540000007</v>
      </c>
      <c r="BP59" s="190">
        <v>35693465.600000001</v>
      </c>
      <c r="BQ59" s="190">
        <v>100728393.18000001</v>
      </c>
      <c r="BR59" s="190">
        <v>86635900</v>
      </c>
      <c r="BS59" s="190">
        <v>62771447.700000003</v>
      </c>
      <c r="BT59" s="190">
        <v>49803512.359999999</v>
      </c>
      <c r="BU59" s="190">
        <v>26896127.27</v>
      </c>
      <c r="BV59" s="190">
        <v>26280076.579999998</v>
      </c>
      <c r="BW59" s="190">
        <v>20703040.579999998</v>
      </c>
      <c r="BX59" s="190">
        <v>13752984.77</v>
      </c>
      <c r="BY59" s="190">
        <v>0</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x14ac:dyDescent="0.25">
      <c r="A60" s="22" t="s">
        <v>95</v>
      </c>
      <c r="B60" s="190">
        <v>47822442.520000003</v>
      </c>
      <c r="C60" s="190">
        <v>25852572.77</v>
      </c>
      <c r="D60" s="190">
        <v>13340096.42</v>
      </c>
      <c r="E60" s="190">
        <v>58461449.439999998</v>
      </c>
      <c r="F60" s="190">
        <v>49960616.659999996</v>
      </c>
      <c r="G60" s="190">
        <v>38671111.640000001</v>
      </c>
      <c r="H60" s="190">
        <v>19283882.32</v>
      </c>
      <c r="I60" s="190">
        <v>49548211.950000003</v>
      </c>
      <c r="J60" s="190">
        <v>44767093.07</v>
      </c>
      <c r="K60" s="190">
        <v>31350059.300000001</v>
      </c>
      <c r="L60" s="190">
        <v>16365612.5</v>
      </c>
      <c r="M60" s="190">
        <v>39930961.119999997</v>
      </c>
      <c r="N60" s="190">
        <v>25553398.93</v>
      </c>
      <c r="O60" s="190">
        <v>11106068.199999999</v>
      </c>
      <c r="P60" s="190">
        <v>4593427.93</v>
      </c>
      <c r="Q60" s="190">
        <v>14829152.789999999</v>
      </c>
      <c r="R60" s="190">
        <v>10946479.800000001</v>
      </c>
      <c r="S60" s="190">
        <v>5747909.9000000004</v>
      </c>
      <c r="T60" s="190">
        <v>3424188.29</v>
      </c>
      <c r="U60" s="190">
        <v>21556230.449999999</v>
      </c>
      <c r="V60" s="190">
        <v>15817797.880000001</v>
      </c>
      <c r="W60" s="190">
        <v>10462077.630000001</v>
      </c>
      <c r="X60" s="190">
        <v>5669772.0599999996</v>
      </c>
      <c r="Y60" s="190">
        <v>17578632.559999999</v>
      </c>
      <c r="Z60" s="190">
        <v>13803070.57</v>
      </c>
      <c r="AA60" s="190">
        <v>11597955.220000001</v>
      </c>
      <c r="AB60" s="190">
        <v>4935014.95</v>
      </c>
      <c r="AC60" s="190">
        <v>20155089.870000001</v>
      </c>
      <c r="AD60" s="190">
        <v>16940534.489999998</v>
      </c>
      <c r="AE60" s="190">
        <v>11850246.35</v>
      </c>
      <c r="AF60" s="190">
        <v>5659989.3600000003</v>
      </c>
      <c r="AG60" s="190">
        <v>14129841.76</v>
      </c>
      <c r="AH60" s="190">
        <v>11796294.48</v>
      </c>
      <c r="AI60" s="190">
        <v>11354428.32</v>
      </c>
      <c r="AJ60" s="190">
        <v>12598035.869999999</v>
      </c>
      <c r="AK60" s="190">
        <v>0</v>
      </c>
      <c r="AL60" s="190">
        <v>143075951.34</v>
      </c>
      <c r="AM60" s="190">
        <v>70883531</v>
      </c>
      <c r="AN60" s="190">
        <v>21707020.260000002</v>
      </c>
      <c r="AO60" s="190">
        <v>267561854.19</v>
      </c>
      <c r="AP60" s="190">
        <v>397216912.63</v>
      </c>
      <c r="AQ60" s="190">
        <v>303392968.00999999</v>
      </c>
      <c r="AR60" s="190">
        <v>145973203.19999999</v>
      </c>
      <c r="AS60" s="190">
        <v>785351995.83000004</v>
      </c>
      <c r="AT60" s="190">
        <v>535364449.35000002</v>
      </c>
      <c r="AU60" s="190">
        <v>330796133.05000001</v>
      </c>
      <c r="AV60" s="190">
        <v>159222138.30000001</v>
      </c>
      <c r="AW60" s="190">
        <v>395504745.88</v>
      </c>
      <c r="AX60" s="190">
        <v>312966519.83999997</v>
      </c>
      <c r="AY60" s="190">
        <v>187204924.31999999</v>
      </c>
      <c r="AZ60" s="190">
        <v>92739488.439999998</v>
      </c>
      <c r="BA60" s="190">
        <v>247242583.87</v>
      </c>
      <c r="BB60" s="190">
        <v>239681163.93000001</v>
      </c>
      <c r="BC60" s="190">
        <v>163933960.13</v>
      </c>
      <c r="BD60" s="190">
        <v>77062708.590000004</v>
      </c>
      <c r="BE60" s="190">
        <v>110145253.75</v>
      </c>
      <c r="BF60" s="190">
        <v>155666014.77000001</v>
      </c>
      <c r="BG60" s="190">
        <v>106392934.72</v>
      </c>
      <c r="BH60" s="190">
        <v>47916955.189999998</v>
      </c>
      <c r="BI60" s="190">
        <v>69827184.349999994</v>
      </c>
      <c r="BJ60" s="190">
        <v>83415879.280000001</v>
      </c>
      <c r="BK60" s="190">
        <v>64376652.189999998</v>
      </c>
      <c r="BL60" s="190">
        <v>28561162.780000001</v>
      </c>
      <c r="BM60" s="190">
        <v>35623007.479999997</v>
      </c>
      <c r="BN60" s="190">
        <v>34483818.920000002</v>
      </c>
      <c r="BO60" s="190">
        <v>19054956.859999999</v>
      </c>
      <c r="BP60" s="190">
        <v>17580363.66</v>
      </c>
      <c r="BQ60" s="190">
        <v>13663007.48</v>
      </c>
      <c r="BR60" s="190">
        <v>24172100</v>
      </c>
      <c r="BS60" s="190">
        <v>12417971.18</v>
      </c>
      <c r="BT60" s="190">
        <v>10452608.25</v>
      </c>
      <c r="BU60" s="190">
        <v>13247346.26</v>
      </c>
      <c r="BV60" s="190">
        <v>10452608.25</v>
      </c>
      <c r="BW60" s="190">
        <v>3721593.27</v>
      </c>
      <c r="BX60" s="190">
        <v>3801115.32</v>
      </c>
      <c r="BY60" s="190">
        <v>0</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x14ac:dyDescent="0.25">
      <c r="A61" s="22" t="s">
        <v>94</v>
      </c>
      <c r="B61" s="190">
        <v>356611831.10000002</v>
      </c>
      <c r="C61" s="190">
        <v>218610544</v>
      </c>
      <c r="D61" s="190">
        <v>76671580.879999995</v>
      </c>
      <c r="E61" s="190">
        <v>443782624.08999997</v>
      </c>
      <c r="F61" s="190">
        <v>352134416.56</v>
      </c>
      <c r="G61" s="190">
        <v>252359930.30000001</v>
      </c>
      <c r="H61" s="190">
        <v>118774066.47</v>
      </c>
      <c r="I61" s="190">
        <v>368244259.02999997</v>
      </c>
      <c r="J61" s="190">
        <v>295349744.31</v>
      </c>
      <c r="K61" s="190">
        <v>216631153.77000001</v>
      </c>
      <c r="L61" s="190">
        <v>106029151.43000001</v>
      </c>
      <c r="M61" s="190">
        <v>297851580.62</v>
      </c>
      <c r="N61" s="190">
        <v>171501581.41999999</v>
      </c>
      <c r="O61" s="190">
        <v>81194258.120000005</v>
      </c>
      <c r="P61" s="190">
        <v>28274821.670000002</v>
      </c>
      <c r="Q61" s="190">
        <v>111688032.18000001</v>
      </c>
      <c r="R61" s="190">
        <v>74091240.189999998</v>
      </c>
      <c r="S61" s="190">
        <v>42261579.25</v>
      </c>
      <c r="T61" s="190">
        <v>20000713.920000002</v>
      </c>
      <c r="U61" s="190">
        <v>145093558.59999999</v>
      </c>
      <c r="V61" s="190">
        <v>105758651.03</v>
      </c>
      <c r="W61" s="190">
        <v>73045750.569999993</v>
      </c>
      <c r="X61" s="190">
        <v>36313778.450000003</v>
      </c>
      <c r="Y61" s="190">
        <v>126827721.45</v>
      </c>
      <c r="Z61" s="190">
        <v>95541382.530000001</v>
      </c>
      <c r="AA61" s="190">
        <v>81037509.569999993</v>
      </c>
      <c r="AB61" s="190">
        <v>32786372.460000001</v>
      </c>
      <c r="AC61" s="190">
        <v>140396195.09</v>
      </c>
      <c r="AD61" s="190">
        <v>118991880.90000001</v>
      </c>
      <c r="AE61" s="190">
        <v>88992233.319999993</v>
      </c>
      <c r="AF61" s="190">
        <v>35289476.409999996</v>
      </c>
      <c r="AG61" s="190">
        <v>113932207.09999999</v>
      </c>
      <c r="AH61" s="190">
        <v>86492487.890000001</v>
      </c>
      <c r="AI61" s="190">
        <v>74753758.859999999</v>
      </c>
      <c r="AJ61" s="190">
        <v>106222305.26000001</v>
      </c>
      <c r="AK61" s="190">
        <v>0</v>
      </c>
      <c r="AL61" s="190">
        <v>1174882397.8499999</v>
      </c>
      <c r="AM61" s="190">
        <v>660975960.62</v>
      </c>
      <c r="AN61" s="190">
        <v>241632533.56999999</v>
      </c>
      <c r="AO61" s="190">
        <v>2025657872.3499999</v>
      </c>
      <c r="AP61" s="190">
        <v>1794101141.9300001</v>
      </c>
      <c r="AQ61" s="190">
        <v>1313870023.52</v>
      </c>
      <c r="AR61" s="190">
        <v>577382326.13</v>
      </c>
      <c r="AS61" s="190">
        <v>2482212439.54</v>
      </c>
      <c r="AT61" s="190">
        <v>1779391185.3900001</v>
      </c>
      <c r="AU61" s="190">
        <v>1032962378.71</v>
      </c>
      <c r="AV61" s="190">
        <v>526097731.23000002</v>
      </c>
      <c r="AW61" s="190">
        <v>1309261567.5699999</v>
      </c>
      <c r="AX61" s="190">
        <v>950392160.84000003</v>
      </c>
      <c r="AY61" s="190">
        <v>520496686.36000001</v>
      </c>
      <c r="AZ61" s="190">
        <v>277709504.26999998</v>
      </c>
      <c r="BA61" s="190">
        <v>865239671.75999999</v>
      </c>
      <c r="BB61" s="190">
        <v>720278670.76999998</v>
      </c>
      <c r="BC61" s="190">
        <v>492476505.92000002</v>
      </c>
      <c r="BD61" s="190">
        <v>233741567.09999999</v>
      </c>
      <c r="BE61" s="190">
        <v>513736246.02999997</v>
      </c>
      <c r="BF61" s="190">
        <v>470561855.29000002</v>
      </c>
      <c r="BG61" s="190">
        <v>321671552.95999998</v>
      </c>
      <c r="BH61" s="190">
        <v>145195249.19999999</v>
      </c>
      <c r="BI61" s="190">
        <v>302097498.26999998</v>
      </c>
      <c r="BJ61" s="190">
        <v>270055238.44999999</v>
      </c>
      <c r="BK61" s="190">
        <v>202659846</v>
      </c>
      <c r="BL61" s="190">
        <v>86548978.120000005</v>
      </c>
      <c r="BM61" s="190">
        <v>189949444.66999999</v>
      </c>
      <c r="BN61" s="190">
        <v>158848944.84999999</v>
      </c>
      <c r="BO61" s="190">
        <v>112094817.40000001</v>
      </c>
      <c r="BP61" s="190">
        <v>53273829.259999998</v>
      </c>
      <c r="BQ61" s="190">
        <v>114391400.66</v>
      </c>
      <c r="BR61" s="190">
        <v>110808000</v>
      </c>
      <c r="BS61" s="190">
        <v>75189418.879999995</v>
      </c>
      <c r="BT61" s="190">
        <v>60256120.609999999</v>
      </c>
      <c r="BU61" s="190">
        <v>40143473.530000001</v>
      </c>
      <c r="BV61" s="190">
        <v>36732684.829999998</v>
      </c>
      <c r="BW61" s="190">
        <v>24424633.850000001</v>
      </c>
      <c r="BX61" s="190">
        <v>17554100.09</v>
      </c>
      <c r="BY61" s="190">
        <v>0</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6630461.0800000001</v>
      </c>
      <c r="C65" s="190">
        <v>3985461.08</v>
      </c>
      <c r="D65" s="190">
        <v>2777250</v>
      </c>
      <c r="E65" s="190">
        <v>11424551.82</v>
      </c>
      <c r="F65" s="190">
        <v>5958671.5499999998</v>
      </c>
      <c r="G65" s="190">
        <v>2948671.55</v>
      </c>
      <c r="H65" s="190">
        <v>2796666.67</v>
      </c>
      <c r="I65" s="190">
        <v>16636609.83</v>
      </c>
      <c r="J65" s="190">
        <v>19035752.93</v>
      </c>
      <c r="K65" s="190">
        <v>15160752.93</v>
      </c>
      <c r="L65" s="190">
        <v>9125000</v>
      </c>
      <c r="M65" s="190">
        <v>17046857.07</v>
      </c>
      <c r="N65" s="190">
        <v>921630.25</v>
      </c>
      <c r="O65" s="190">
        <v>963291.36</v>
      </c>
      <c r="P65" s="190">
        <v>0</v>
      </c>
      <c r="Q65" s="190">
        <v>2084177.5</v>
      </c>
      <c r="R65" s="190">
        <v>917949.38</v>
      </c>
      <c r="S65" s="190">
        <v>917949.38</v>
      </c>
      <c r="T65" s="190">
        <v>0</v>
      </c>
      <c r="U65" s="190">
        <v>1109427.94</v>
      </c>
      <c r="V65" s="190">
        <v>685467.8</v>
      </c>
      <c r="W65" s="190">
        <v>685467.8</v>
      </c>
      <c r="X65" s="190">
        <v>0</v>
      </c>
      <c r="Y65" s="190">
        <v>1641093.94</v>
      </c>
      <c r="Z65" s="190">
        <v>97671.69</v>
      </c>
      <c r="AA65" s="190">
        <v>97671.69</v>
      </c>
      <c r="AB65" s="190">
        <v>0</v>
      </c>
      <c r="AC65" s="190">
        <v>1854065.85</v>
      </c>
      <c r="AD65" s="190">
        <v>960699.51</v>
      </c>
      <c r="AE65" s="190">
        <v>960699.51</v>
      </c>
      <c r="AF65" s="190">
        <v>0</v>
      </c>
      <c r="AG65" s="190">
        <v>1618437.56</v>
      </c>
      <c r="AH65" s="190">
        <v>461717.08</v>
      </c>
      <c r="AI65" s="190">
        <v>529831.25</v>
      </c>
      <c r="AJ65" s="190">
        <v>2975960.3</v>
      </c>
      <c r="AK65" s="190">
        <v>0</v>
      </c>
      <c r="AL65" s="190">
        <v>12675249.279999999</v>
      </c>
      <c r="AM65" s="190">
        <v>9560969.9100000001</v>
      </c>
      <c r="AN65" s="190">
        <v>3441883.41</v>
      </c>
      <c r="AO65" s="190">
        <v>4914187.7699999996</v>
      </c>
      <c r="AP65" s="190">
        <v>-930380.59</v>
      </c>
      <c r="AQ65" s="190">
        <v>-7876342.5499999998</v>
      </c>
      <c r="AR65" s="190">
        <v>6521906.0300000003</v>
      </c>
      <c r="AS65" s="190">
        <v>148255267.41999999</v>
      </c>
      <c r="AT65" s="190">
        <v>62055871.75</v>
      </c>
      <c r="AU65" s="190">
        <v>7904137.3200000003</v>
      </c>
      <c r="AV65" s="190">
        <v>2766492.93</v>
      </c>
      <c r="AW65" s="190">
        <v>14318717.74</v>
      </c>
      <c r="AX65" s="190">
        <v>14019438.57</v>
      </c>
      <c r="AY65" s="190">
        <v>14009438.57</v>
      </c>
      <c r="AZ65" s="190">
        <v>6036022.2699999996</v>
      </c>
      <c r="BA65" s="190">
        <v>3228353.47</v>
      </c>
      <c r="BB65" s="190">
        <v>1968092.42</v>
      </c>
      <c r="BC65" s="190">
        <v>-892725.16</v>
      </c>
      <c r="BD65" s="190">
        <v>-162719.66</v>
      </c>
      <c r="BE65" s="190">
        <v>2890900.94</v>
      </c>
      <c r="BF65" s="190">
        <v>-255923.71</v>
      </c>
      <c r="BG65" s="190">
        <v>-250667.51</v>
      </c>
      <c r="BH65" s="190">
        <v>48919.87</v>
      </c>
      <c r="BI65" s="190">
        <v>946914.2</v>
      </c>
      <c r="BJ65" s="190">
        <v>98113.99</v>
      </c>
      <c r="BK65" s="190">
        <v>604187.18999999994</v>
      </c>
      <c r="BL65" s="190">
        <v>573275.71</v>
      </c>
      <c r="BM65" s="190">
        <v>-296138.87</v>
      </c>
      <c r="BN65" s="190">
        <v>225245.9</v>
      </c>
      <c r="BO65" s="190">
        <v>327855.90000000002</v>
      </c>
      <c r="BP65" s="190">
        <v>242481.5</v>
      </c>
      <c r="BQ65" s="190">
        <v>323331.55</v>
      </c>
      <c r="BR65" s="190">
        <v>1314800</v>
      </c>
      <c r="BS65" s="190">
        <v>500000</v>
      </c>
      <c r="BT65" s="190">
        <v>0</v>
      </c>
      <c r="BU65" s="190">
        <v>0</v>
      </c>
      <c r="BV65" s="190">
        <v>0</v>
      </c>
      <c r="BW65" s="190">
        <v>0</v>
      </c>
      <c r="BX65" s="190">
        <v>0</v>
      </c>
      <c r="BY65" s="190">
        <v>0</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x14ac:dyDescent="0.25">
      <c r="A66" s="22" t="s">
        <v>99</v>
      </c>
      <c r="B66" s="190">
        <v>1208211.08</v>
      </c>
      <c r="C66" s="190">
        <v>1208211.08</v>
      </c>
      <c r="D66" s="190">
        <v>0</v>
      </c>
      <c r="E66" s="190">
        <v>-734614.85</v>
      </c>
      <c r="F66" s="190">
        <v>-2437995.12</v>
      </c>
      <c r="G66" s="190">
        <v>-2437995.12</v>
      </c>
      <c r="H66" s="190">
        <v>0</v>
      </c>
      <c r="I66" s="190">
        <v>-2525890.17</v>
      </c>
      <c r="J66" s="190">
        <v>3168252.93</v>
      </c>
      <c r="K66" s="190">
        <v>3168252.93</v>
      </c>
      <c r="L66" s="190">
        <v>0</v>
      </c>
      <c r="M66" s="190">
        <v>10697542</v>
      </c>
      <c r="N66" s="190">
        <v>921630.25</v>
      </c>
      <c r="O66" s="190">
        <v>963291.36</v>
      </c>
      <c r="P66" s="190">
        <v>0</v>
      </c>
      <c r="Q66" s="190">
        <v>2084177.5</v>
      </c>
      <c r="R66" s="190">
        <v>917949.38</v>
      </c>
      <c r="S66" s="190">
        <v>917949.38</v>
      </c>
      <c r="T66" s="190">
        <v>0</v>
      </c>
      <c r="U66" s="190">
        <v>1109427.94</v>
      </c>
      <c r="V66" s="190">
        <v>685467.8</v>
      </c>
      <c r="W66" s="190">
        <v>685467.8</v>
      </c>
      <c r="X66" s="190">
        <v>0</v>
      </c>
      <c r="Y66" s="190">
        <v>1641093.94</v>
      </c>
      <c r="Z66" s="190">
        <v>0</v>
      </c>
      <c r="AA66" s="190">
        <v>97671.69</v>
      </c>
      <c r="AB66" s="190">
        <v>0</v>
      </c>
      <c r="AC66" s="190">
        <v>1854065.85</v>
      </c>
      <c r="AD66" s="190">
        <v>0</v>
      </c>
      <c r="AE66" s="190">
        <v>960699.51</v>
      </c>
      <c r="AF66" s="190">
        <v>0</v>
      </c>
      <c r="AG66" s="190">
        <v>1618437.56</v>
      </c>
      <c r="AH66" s="190">
        <v>0</v>
      </c>
      <c r="AI66" s="190">
        <v>529831.25</v>
      </c>
      <c r="AJ66" s="190">
        <v>2975960.3</v>
      </c>
      <c r="AK66" s="190">
        <v>0</v>
      </c>
      <c r="AL66" s="190">
        <v>10957442.83</v>
      </c>
      <c r="AM66" s="190">
        <v>8560969.9100000001</v>
      </c>
      <c r="AN66" s="190">
        <v>3441883.41</v>
      </c>
      <c r="AO66" s="190">
        <v>11811196.189999999</v>
      </c>
      <c r="AP66" s="190">
        <v>0</v>
      </c>
      <c r="AQ66" s="190">
        <v>0</v>
      </c>
      <c r="AR66" s="190">
        <v>0</v>
      </c>
      <c r="AS66" s="190">
        <v>0</v>
      </c>
      <c r="AT66" s="190">
        <v>2000000</v>
      </c>
      <c r="AU66" s="190">
        <v>2000000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40">
        <v>0</v>
      </c>
      <c r="CA66" s="40">
        <v>0</v>
      </c>
      <c r="CB66" s="40">
        <v>0</v>
      </c>
      <c r="CC66" s="40">
        <v>0</v>
      </c>
      <c r="CD66" s="40">
        <v>0</v>
      </c>
      <c r="CE66" s="40">
        <v>0</v>
      </c>
      <c r="CF66" s="40">
        <v>0</v>
      </c>
      <c r="CG66" s="40">
        <v>0</v>
      </c>
      <c r="CH66" s="40">
        <v>0</v>
      </c>
      <c r="CI66" s="40">
        <v>0</v>
      </c>
      <c r="CJ66" s="40">
        <v>0</v>
      </c>
      <c r="CK66" s="40">
        <v>0</v>
      </c>
    </row>
    <row r="67" spans="1:89" x14ac:dyDescent="0.25">
      <c r="A67" s="22" t="s">
        <v>100</v>
      </c>
      <c r="B67" s="4">
        <f>B65-B66</f>
        <v>5422250</v>
      </c>
      <c r="C67" s="4">
        <f t="shared" ref="C67:BN67" si="67">C65-C66</f>
        <v>2777250</v>
      </c>
      <c r="D67" s="4">
        <f t="shared" si="67"/>
        <v>2777250</v>
      </c>
      <c r="E67" s="4">
        <f t="shared" si="67"/>
        <v>12159166.67</v>
      </c>
      <c r="F67" s="4">
        <f t="shared" si="67"/>
        <v>8396666.6699999999</v>
      </c>
      <c r="G67" s="4">
        <f t="shared" si="67"/>
        <v>5386666.6699999999</v>
      </c>
      <c r="H67" s="4">
        <f t="shared" si="67"/>
        <v>2796666.67</v>
      </c>
      <c r="I67" s="4">
        <f t="shared" si="67"/>
        <v>19162500</v>
      </c>
      <c r="J67" s="4">
        <f t="shared" si="67"/>
        <v>15867500</v>
      </c>
      <c r="K67" s="4">
        <f t="shared" si="67"/>
        <v>11992500</v>
      </c>
      <c r="L67" s="4">
        <f t="shared" si="67"/>
        <v>9125000</v>
      </c>
      <c r="M67" s="4">
        <f t="shared" si="67"/>
        <v>6349315.0700000003</v>
      </c>
      <c r="N67" s="4">
        <f t="shared" si="67"/>
        <v>0</v>
      </c>
      <c r="O67" s="4">
        <f t="shared" si="67"/>
        <v>0</v>
      </c>
      <c r="P67" s="4">
        <f t="shared" si="67"/>
        <v>0</v>
      </c>
      <c r="Q67" s="4">
        <f t="shared" si="67"/>
        <v>0</v>
      </c>
      <c r="R67" s="4">
        <f t="shared" si="67"/>
        <v>0</v>
      </c>
      <c r="S67" s="4">
        <f t="shared" si="67"/>
        <v>0</v>
      </c>
      <c r="T67" s="4">
        <f t="shared" si="67"/>
        <v>0</v>
      </c>
      <c r="U67" s="4">
        <f t="shared" si="67"/>
        <v>0</v>
      </c>
      <c r="V67" s="4">
        <f t="shared" si="67"/>
        <v>0</v>
      </c>
      <c r="W67" s="4">
        <f t="shared" si="67"/>
        <v>0</v>
      </c>
      <c r="X67" s="4">
        <f t="shared" si="67"/>
        <v>0</v>
      </c>
      <c r="Y67" s="4">
        <f t="shared" si="67"/>
        <v>0</v>
      </c>
      <c r="Z67" s="4">
        <f t="shared" si="67"/>
        <v>97671.69</v>
      </c>
      <c r="AA67" s="4">
        <f t="shared" si="67"/>
        <v>0</v>
      </c>
      <c r="AB67" s="4">
        <f t="shared" si="67"/>
        <v>0</v>
      </c>
      <c r="AC67" s="4">
        <f t="shared" si="67"/>
        <v>0</v>
      </c>
      <c r="AD67" s="4">
        <f t="shared" si="67"/>
        <v>960699.51</v>
      </c>
      <c r="AE67" s="4">
        <f t="shared" si="67"/>
        <v>0</v>
      </c>
      <c r="AF67" s="4">
        <f t="shared" si="67"/>
        <v>0</v>
      </c>
      <c r="AG67" s="4">
        <f t="shared" si="67"/>
        <v>0</v>
      </c>
      <c r="AH67" s="4">
        <f t="shared" si="67"/>
        <v>461717.08</v>
      </c>
      <c r="AI67" s="4">
        <f t="shared" si="67"/>
        <v>0</v>
      </c>
      <c r="AJ67" s="4">
        <f t="shared" si="67"/>
        <v>0</v>
      </c>
      <c r="AK67" s="4">
        <f t="shared" si="67"/>
        <v>0</v>
      </c>
      <c r="AL67" s="4">
        <f t="shared" si="67"/>
        <v>1717806.4499999993</v>
      </c>
      <c r="AM67" s="4">
        <f t="shared" si="67"/>
        <v>1000000</v>
      </c>
      <c r="AN67" s="4">
        <f t="shared" si="67"/>
        <v>0</v>
      </c>
      <c r="AO67" s="4">
        <f t="shared" si="67"/>
        <v>-6897008.4199999999</v>
      </c>
      <c r="AP67" s="4">
        <f t="shared" si="67"/>
        <v>-930380.59</v>
      </c>
      <c r="AQ67" s="4">
        <f t="shared" si="67"/>
        <v>-7876342.5499999998</v>
      </c>
      <c r="AR67" s="4">
        <f t="shared" si="67"/>
        <v>6521906.0300000003</v>
      </c>
      <c r="AS67" s="4">
        <f t="shared" si="67"/>
        <v>148255267.41999999</v>
      </c>
      <c r="AT67" s="4">
        <f t="shared" si="67"/>
        <v>60055871.75</v>
      </c>
      <c r="AU67" s="4">
        <f t="shared" si="67"/>
        <v>5904137.3200000003</v>
      </c>
      <c r="AV67" s="4">
        <f t="shared" si="67"/>
        <v>2766492.93</v>
      </c>
      <c r="AW67" s="4">
        <f t="shared" si="67"/>
        <v>14318717.74</v>
      </c>
      <c r="AX67" s="4">
        <f t="shared" si="67"/>
        <v>14019438.57</v>
      </c>
      <c r="AY67" s="4">
        <f t="shared" si="67"/>
        <v>14009438.57</v>
      </c>
      <c r="AZ67" s="4">
        <f t="shared" si="67"/>
        <v>6036022.2699999996</v>
      </c>
      <c r="BA67" s="4">
        <f t="shared" si="67"/>
        <v>3228353.47</v>
      </c>
      <c r="BB67" s="4">
        <f t="shared" si="67"/>
        <v>1968092.42</v>
      </c>
      <c r="BC67" s="4">
        <f t="shared" si="67"/>
        <v>-892725.16</v>
      </c>
      <c r="BD67" s="4">
        <f t="shared" si="67"/>
        <v>-162719.66</v>
      </c>
      <c r="BE67" s="4">
        <f t="shared" si="67"/>
        <v>2890900.94</v>
      </c>
      <c r="BF67" s="4">
        <f t="shared" si="67"/>
        <v>-255923.71</v>
      </c>
      <c r="BG67" s="4">
        <f t="shared" si="67"/>
        <v>-250667.51</v>
      </c>
      <c r="BH67" s="4">
        <f t="shared" si="67"/>
        <v>48919.87</v>
      </c>
      <c r="BI67" s="4">
        <f t="shared" si="67"/>
        <v>946914.2</v>
      </c>
      <c r="BJ67" s="4">
        <f t="shared" si="67"/>
        <v>98113.99</v>
      </c>
      <c r="BK67" s="4">
        <f t="shared" si="67"/>
        <v>604187.18999999994</v>
      </c>
      <c r="BL67" s="4">
        <f t="shared" si="67"/>
        <v>573275.71</v>
      </c>
      <c r="BM67" s="4">
        <f t="shared" si="67"/>
        <v>-296138.87</v>
      </c>
      <c r="BN67" s="4">
        <f t="shared" si="67"/>
        <v>225245.9</v>
      </c>
      <c r="BO67" s="4">
        <f t="shared" ref="BO67:CJ67" si="68">BO65-BO66</f>
        <v>327855.90000000002</v>
      </c>
      <c r="BP67" s="4">
        <f t="shared" si="68"/>
        <v>242481.5</v>
      </c>
      <c r="BQ67" s="4">
        <f t="shared" si="68"/>
        <v>323331.55</v>
      </c>
      <c r="BR67" s="4">
        <f t="shared" si="68"/>
        <v>1314800</v>
      </c>
      <c r="BS67" s="4">
        <f t="shared" si="68"/>
        <v>500000</v>
      </c>
      <c r="BT67" s="4">
        <f t="shared" si="68"/>
        <v>0</v>
      </c>
      <c r="BU67" s="4">
        <f t="shared" si="68"/>
        <v>0</v>
      </c>
      <c r="BV67" s="4">
        <f t="shared" si="68"/>
        <v>0</v>
      </c>
      <c r="BW67" s="4">
        <f t="shared" si="68"/>
        <v>0</v>
      </c>
      <c r="BX67" s="4">
        <f t="shared" si="68"/>
        <v>0</v>
      </c>
      <c r="BY67" s="4">
        <f t="shared" si="68"/>
        <v>0</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-41517260.700000003</v>
      </c>
      <c r="C68" s="190">
        <v>-16547966.6</v>
      </c>
      <c r="D68" s="190">
        <v>18019538.379999999</v>
      </c>
      <c r="E68" s="190">
        <v>18774405.699999999</v>
      </c>
      <c r="F68" s="190">
        <v>12811691.41</v>
      </c>
      <c r="G68" s="190">
        <v>6341483.3700000001</v>
      </c>
      <c r="H68" s="190">
        <v>2323167.48</v>
      </c>
      <c r="I68" s="190">
        <v>-1729116.22</v>
      </c>
      <c r="J68" s="190">
        <v>10100781.220000001</v>
      </c>
      <c r="K68" s="190">
        <v>1886322.93</v>
      </c>
      <c r="L68" s="190">
        <v>8726252.4700000007</v>
      </c>
      <c r="M68" s="190">
        <v>-50415377.359999999</v>
      </c>
      <c r="N68" s="190">
        <v>-21080294.359999999</v>
      </c>
      <c r="O68" s="190">
        <v>-12497298.609999999</v>
      </c>
      <c r="P68" s="190">
        <v>-1876182.35</v>
      </c>
      <c r="Q68" s="190">
        <v>-5830414.0300000003</v>
      </c>
      <c r="R68" s="190">
        <v>-4825255.8600000003</v>
      </c>
      <c r="S68" s="190">
        <v>-4243138.8099999996</v>
      </c>
      <c r="T68" s="190">
        <v>-571638.42000000004</v>
      </c>
      <c r="U68" s="190">
        <v>7763315.3799999999</v>
      </c>
      <c r="V68" s="190">
        <v>6252847.4400000004</v>
      </c>
      <c r="W68" s="190">
        <v>5397982.4500000002</v>
      </c>
      <c r="X68" s="190">
        <v>447191.81</v>
      </c>
      <c r="Y68" s="190">
        <v>-3248124.57</v>
      </c>
      <c r="Z68" s="190">
        <v>-2438942.9900000002</v>
      </c>
      <c r="AA68" s="190">
        <v>-826896.2</v>
      </c>
      <c r="AB68" s="190">
        <v>1206963.1200000001</v>
      </c>
      <c r="AC68" s="190">
        <v>15704298.779999999</v>
      </c>
      <c r="AD68" s="190">
        <v>12927230.65</v>
      </c>
      <c r="AE68" s="190">
        <v>9320590.8200000003</v>
      </c>
      <c r="AF68" s="190">
        <v>3892186.12</v>
      </c>
      <c r="AG68" s="190">
        <v>13156554.99</v>
      </c>
      <c r="AH68" s="190">
        <v>7153456.8099999996</v>
      </c>
      <c r="AI68" s="190">
        <v>14830022.32</v>
      </c>
      <c r="AJ68" s="190">
        <v>26978204.850000001</v>
      </c>
      <c r="AK68" s="190">
        <v>0</v>
      </c>
      <c r="AL68" s="190">
        <v>41987440.939999998</v>
      </c>
      <c r="AM68" s="190">
        <v>36926585.880000003</v>
      </c>
      <c r="AN68" s="190">
        <v>28076939.34</v>
      </c>
      <c r="AO68" s="190">
        <v>50843495.409999996</v>
      </c>
      <c r="AP68" s="190">
        <v>26723228.359999999</v>
      </c>
      <c r="AQ68" s="190">
        <v>-17964350.649999999</v>
      </c>
      <c r="AR68" s="190">
        <v>-19204677.640000001</v>
      </c>
      <c r="AS68" s="190">
        <v>53713314.060000002</v>
      </c>
      <c r="AT68" s="190">
        <v>58875511.689999998</v>
      </c>
      <c r="AU68" s="190">
        <v>36841179.420000002</v>
      </c>
      <c r="AV68" s="190">
        <v>12703537.65</v>
      </c>
      <c r="AW68" s="190">
        <v>10769128.279999999</v>
      </c>
      <c r="AX68" s="190">
        <v>15476019.02</v>
      </c>
      <c r="AY68" s="190">
        <v>11800596.199999999</v>
      </c>
      <c r="AZ68" s="190">
        <v>4443015.26</v>
      </c>
      <c r="BA68" s="190">
        <v>5693510.9299999997</v>
      </c>
      <c r="BB68" s="190">
        <v>7182245.3200000003</v>
      </c>
      <c r="BC68" s="190">
        <v>3515117.81</v>
      </c>
      <c r="BD68" s="190">
        <v>2286626.94</v>
      </c>
      <c r="BE68" s="190">
        <v>8270832.6900000004</v>
      </c>
      <c r="BF68" s="190">
        <v>6107520.0599999996</v>
      </c>
      <c r="BG68" s="190">
        <v>1800646.68</v>
      </c>
      <c r="BH68" s="190">
        <v>78491.08</v>
      </c>
      <c r="BI68" s="190">
        <v>-638574.51</v>
      </c>
      <c r="BJ68" s="190">
        <v>-492931.82</v>
      </c>
      <c r="BK68" s="190">
        <v>-603004.89</v>
      </c>
      <c r="BL68" s="190">
        <v>-213084.64</v>
      </c>
      <c r="BM68" s="190">
        <v>-3144390.8</v>
      </c>
      <c r="BN68" s="190">
        <v>-2556415.54</v>
      </c>
      <c r="BO68" s="190">
        <v>-2453786.7799999998</v>
      </c>
      <c r="BP68" s="190">
        <v>-2113164.36</v>
      </c>
      <c r="BQ68" s="190">
        <v>-1585239.75</v>
      </c>
      <c r="BR68" s="190">
        <v>0</v>
      </c>
      <c r="BS68" s="190">
        <v>-2304346.42</v>
      </c>
      <c r="BT68" s="190">
        <v>5950327.5999999996</v>
      </c>
      <c r="BU68" s="190">
        <v>2430452.9300000002</v>
      </c>
      <c r="BV68" s="190">
        <v>2589207.4500000002</v>
      </c>
      <c r="BW68" s="190">
        <v>4043301.61</v>
      </c>
      <c r="BX68" s="190">
        <v>3372272.53</v>
      </c>
      <c r="BY68" s="190">
        <v>0</v>
      </c>
      <c r="BZ68" s="40">
        <v>0</v>
      </c>
      <c r="CA68" s="40">
        <v>49930619.770000003</v>
      </c>
      <c r="CB68" s="40">
        <v>0</v>
      </c>
      <c r="CC68" s="40">
        <v>24077630.73</v>
      </c>
      <c r="CD68" s="40">
        <v>0</v>
      </c>
      <c r="CE68" s="40">
        <v>0</v>
      </c>
      <c r="CF68" s="40">
        <v>0</v>
      </c>
      <c r="CG68" s="40">
        <v>0</v>
      </c>
      <c r="CH68" s="40">
        <v>0</v>
      </c>
      <c r="CI68" s="40">
        <v>0</v>
      </c>
      <c r="CJ68" s="40">
        <v>0</v>
      </c>
      <c r="CK68" s="4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4445794370.8800001</v>
      </c>
      <c r="C70" s="190">
        <v>4292560745.48</v>
      </c>
      <c r="D70" s="190">
        <v>4090446204.6700001</v>
      </c>
      <c r="E70" s="190">
        <v>4070353891.1500001</v>
      </c>
      <c r="F70" s="190">
        <v>3995308966.3000002</v>
      </c>
      <c r="G70" s="190">
        <v>3926612338.5500002</v>
      </c>
      <c r="H70" s="190">
        <v>3823718748.04</v>
      </c>
      <c r="I70" s="190">
        <v>3857670584.8800001</v>
      </c>
      <c r="J70" s="190">
        <v>3769151653.5999999</v>
      </c>
      <c r="K70" s="190">
        <v>2697819249.1300001</v>
      </c>
      <c r="L70" s="190">
        <v>2686698753.6599998</v>
      </c>
      <c r="M70" s="190">
        <v>2599306347.4499998</v>
      </c>
      <c r="N70" s="190">
        <v>2487565966.0599999</v>
      </c>
      <c r="O70" s="190">
        <v>2411198959.3899999</v>
      </c>
      <c r="P70" s="190">
        <v>2425496172.1199999</v>
      </c>
      <c r="Q70" s="190">
        <v>1391842083.3</v>
      </c>
      <c r="R70" s="190">
        <v>1358531152.8800001</v>
      </c>
      <c r="S70" s="190">
        <v>1331685149.55</v>
      </c>
      <c r="T70" s="190">
        <v>1361160405.6500001</v>
      </c>
      <c r="U70" s="190">
        <v>1344292240.3599999</v>
      </c>
      <c r="V70" s="190">
        <v>1310846802.98</v>
      </c>
      <c r="W70" s="190">
        <v>1283490697.77</v>
      </c>
      <c r="X70" s="190">
        <v>1276559138.0899999</v>
      </c>
      <c r="Y70" s="190">
        <v>1244457985.5</v>
      </c>
      <c r="Z70" s="190">
        <v>1216882777.4300001</v>
      </c>
      <c r="AA70" s="190">
        <v>1204799411.96</v>
      </c>
      <c r="AB70" s="190">
        <v>1163261652.3800001</v>
      </c>
      <c r="AC70" s="190">
        <v>1204025076.95</v>
      </c>
      <c r="AD70" s="190">
        <v>382309945.08999997</v>
      </c>
      <c r="AE70" s="190">
        <v>356958901.06999999</v>
      </c>
      <c r="AF70" s="190">
        <v>316586996.66000003</v>
      </c>
      <c r="AG70" s="190">
        <v>271531654.74000001</v>
      </c>
      <c r="AH70" s="190">
        <v>244181721.59</v>
      </c>
      <c r="AI70" s="190">
        <v>0</v>
      </c>
      <c r="AJ70" s="190"/>
      <c r="AK70" s="190"/>
      <c r="AL70" s="190">
        <v>5576533048.0299997</v>
      </c>
      <c r="AM70" s="190">
        <v>5137549475.6400003</v>
      </c>
      <c r="AN70" s="190">
        <v>4719109466.4899998</v>
      </c>
      <c r="AO70" s="190">
        <v>5449414237.0299997</v>
      </c>
      <c r="AP70" s="190">
        <v>5047038927.75</v>
      </c>
      <c r="AQ70" s="190">
        <v>4664214074.1300001</v>
      </c>
      <c r="AR70" s="190">
        <v>4021950777.0999999</v>
      </c>
      <c r="AS70" s="190">
        <v>4438476848.9700003</v>
      </c>
      <c r="AT70" s="190">
        <v>3943285948.0300002</v>
      </c>
      <c r="AU70" s="190">
        <v>3401195129.4499998</v>
      </c>
      <c r="AV70" s="190">
        <v>3256155249.3099999</v>
      </c>
      <c r="AW70" s="190">
        <v>2819764253.1900001</v>
      </c>
      <c r="AX70" s="190">
        <v>2549874268.3099999</v>
      </c>
      <c r="AY70" s="190">
        <v>2245740389.3499999</v>
      </c>
      <c r="AZ70" s="190">
        <v>2223410188.5500002</v>
      </c>
      <c r="BA70" s="190">
        <v>1855403452.72</v>
      </c>
      <c r="BB70" s="190">
        <v>1715253871.6700001</v>
      </c>
      <c r="BC70" s="190">
        <v>1563198910.6199999</v>
      </c>
      <c r="BD70" s="190">
        <v>1521448186.52</v>
      </c>
      <c r="BE70" s="190">
        <v>1364769328.01</v>
      </c>
      <c r="BF70" s="190">
        <v>1275993866.8099999</v>
      </c>
      <c r="BG70" s="190">
        <v>1176377094.53</v>
      </c>
      <c r="BH70" s="190">
        <v>1135176770.3</v>
      </c>
      <c r="BI70" s="190">
        <v>1037898476.29</v>
      </c>
      <c r="BJ70" s="190">
        <v>992306647.08000004</v>
      </c>
      <c r="BK70" s="190">
        <v>870142014.30999994</v>
      </c>
      <c r="BL70" s="190">
        <v>789846635.84000003</v>
      </c>
      <c r="BM70" s="190">
        <v>808658820.5</v>
      </c>
      <c r="BN70" s="190">
        <v>778165133.73000002</v>
      </c>
      <c r="BO70" s="190">
        <v>746839868.34000003</v>
      </c>
      <c r="BP70" s="190">
        <v>689491725.37</v>
      </c>
      <c r="BQ70" s="190">
        <v>653798259.76999998</v>
      </c>
      <c r="BR70" s="190">
        <v>0</v>
      </c>
      <c r="BS70" s="190">
        <v>663841314.28999996</v>
      </c>
      <c r="BT70" s="190">
        <v>601069866.59000003</v>
      </c>
      <c r="BU70" s="190">
        <v>155202681.5</v>
      </c>
      <c r="BV70" s="190">
        <v>128306554.23</v>
      </c>
      <c r="BW70" s="190">
        <v>122396833.72</v>
      </c>
      <c r="BX70" s="190">
        <v>70008325.519999996</v>
      </c>
      <c r="BY70" s="190">
        <v>0</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31" zoomScale="95" zoomScaleNormal="95" workbookViewId="0">
      <selection activeCell="A25" sqref="A25:AK25"/>
    </sheetView>
  </sheetViews>
  <sheetFormatPr defaultRowHeight="14.4" x14ac:dyDescent="0.25"/>
  <cols>
    <col min="1" max="1" width="77.5546875" style="17" bestFit="1" customWidth="1"/>
    <col min="2" max="2" width="22.5546875" hidden="1" customWidth="1"/>
    <col min="3" max="4" width="20.33203125" hidden="1" customWidth="1"/>
    <col min="5" max="5" width="22.6640625" bestFit="1" customWidth="1"/>
    <col min="6" max="8" width="20.33203125" hidden="1" customWidth="1"/>
    <col min="9" max="9" width="21.6640625" bestFit="1" customWidth="1"/>
    <col min="10" max="12" width="20.33203125" hidden="1" customWidth="1"/>
    <col min="13" max="13" width="21.6640625" bestFit="1" customWidth="1"/>
    <col min="14" max="16" width="20.33203125" hidden="1" customWidth="1"/>
    <col min="17" max="17" width="22.6640625" bestFit="1" customWidth="1"/>
    <col min="18" max="20" width="18.109375" hidden="1" customWidth="1"/>
    <col min="21" max="21" width="22.6640625" bestFit="1" customWidth="1"/>
    <col min="22" max="24" width="18.109375" hidden="1" customWidth="1"/>
    <col min="25" max="25" width="22.6640625" bestFit="1" customWidth="1"/>
    <col min="26" max="28" width="19.33203125" hidden="1" customWidth="1"/>
    <col min="29" max="29" width="20.109375" bestFit="1" customWidth="1"/>
    <col min="30" max="32" width="18.109375" hidden="1" customWidth="1"/>
    <col min="33" max="33" width="20.109375" bestFit="1" customWidth="1"/>
    <col min="34" max="34" width="20.33203125" hidden="1" customWidth="1"/>
    <col min="35" max="35" width="20.44140625" bestFit="1" customWidth="1"/>
    <col min="36" max="36" width="20.33203125" bestFit="1" customWidth="1"/>
    <col min="37" max="40" width="20.33203125" hidden="1" customWidth="1"/>
    <col min="41" max="41" width="21.6640625" bestFit="1" customWidth="1"/>
    <col min="42" max="44" width="20.33203125" hidden="1" customWidth="1"/>
    <col min="45" max="45" width="20.44140625" bestFit="1" customWidth="1"/>
    <col min="46" max="48" width="20.33203125" hidden="1" customWidth="1"/>
    <col min="49" max="49" width="20.44140625" bestFit="1" customWidth="1"/>
    <col min="50" max="52" width="20.33203125" hidden="1" customWidth="1"/>
    <col min="53" max="53" width="20.44140625" bestFit="1" customWidth="1"/>
    <col min="54" max="56" width="20.33203125" hidden="1" customWidth="1"/>
    <col min="57" max="57" width="20.44140625" bestFit="1" customWidth="1"/>
    <col min="58" max="59" width="20.33203125" hidden="1" customWidth="1"/>
    <col min="60" max="60" width="18.109375" hidden="1" customWidth="1"/>
    <col min="61" max="61" width="18.21875" bestFit="1" customWidth="1"/>
    <col min="62" max="64" width="18.109375" hidden="1" customWidth="1"/>
    <col min="65" max="65" width="20.44140625" bestFit="1" customWidth="1"/>
    <col min="66" max="66" width="20.33203125" hidden="1" customWidth="1"/>
    <col min="67" max="67" width="19.44140625" bestFit="1" customWidth="1"/>
    <col min="68" max="68" width="18.109375" hidden="1" customWidth="1"/>
    <col min="69" max="69" width="20.44140625" bestFit="1" customWidth="1"/>
    <col min="70" max="70" width="20.33203125" hidden="1" customWidth="1"/>
    <col min="71" max="71" width="20.44140625" bestFit="1" customWidth="1"/>
    <col min="72" max="72" width="11.109375" hidden="1" customWidth="1"/>
    <col min="73" max="73" width="11.109375" bestFit="1" customWidth="1"/>
    <col min="74" max="74" width="20.33203125" bestFit="1" customWidth="1"/>
  </cols>
  <sheetData>
    <row r="1" spans="1:74" s="6" customFormat="1" x14ac:dyDescent="0.25">
      <c r="A1" s="105">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5" customFormat="1" x14ac:dyDescent="0.25">
      <c r="A2" s="46" t="s">
        <v>292</v>
      </c>
    </row>
    <row r="3" spans="1:74" s="193" customFormat="1" x14ac:dyDescent="0.25">
      <c r="A3" s="193" t="s">
        <v>320</v>
      </c>
      <c r="B3" s="193">
        <v>129388.2</v>
      </c>
      <c r="C3" s="193">
        <v>71940.2</v>
      </c>
      <c r="D3" s="193">
        <v>25253</v>
      </c>
      <c r="E3" s="193">
        <v>500821.88</v>
      </c>
      <c r="F3" s="193">
        <v>256335.39</v>
      </c>
      <c r="G3" s="193">
        <v>186055.39</v>
      </c>
      <c r="H3" s="193">
        <v>14831.3</v>
      </c>
      <c r="I3" s="193">
        <v>509414.36</v>
      </c>
      <c r="J3" s="193">
        <v>336576.14</v>
      </c>
      <c r="K3" s="193">
        <v>275103.32</v>
      </c>
      <c r="L3" s="193">
        <v>39875.42</v>
      </c>
      <c r="M3" s="193">
        <v>1327190.75</v>
      </c>
      <c r="N3" s="193">
        <v>232587.08</v>
      </c>
      <c r="O3" s="193">
        <v>118967.9</v>
      </c>
      <c r="P3" s="193">
        <v>55815.9</v>
      </c>
      <c r="Q3" s="193">
        <v>673654.08</v>
      </c>
      <c r="R3" s="193">
        <v>267127.71999999997</v>
      </c>
      <c r="S3" s="193">
        <v>130191.1</v>
      </c>
      <c r="T3" s="193">
        <v>35145.730000000003</v>
      </c>
      <c r="U3" s="193">
        <v>294821.3</v>
      </c>
      <c r="V3" s="193">
        <v>187875.19</v>
      </c>
      <c r="W3" s="193">
        <v>146367.4</v>
      </c>
      <c r="X3" s="193">
        <v>26896</v>
      </c>
      <c r="Y3" s="193">
        <v>240565.67</v>
      </c>
      <c r="Z3" s="193">
        <v>188909.4</v>
      </c>
      <c r="AA3" s="193">
        <v>161853.79999999999</v>
      </c>
      <c r="AB3" s="193">
        <v>40311</v>
      </c>
      <c r="AC3" s="193">
        <v>948399.81</v>
      </c>
      <c r="AD3" s="193">
        <v>409720.02</v>
      </c>
      <c r="AE3" s="193">
        <v>208457.01</v>
      </c>
      <c r="AF3" s="193">
        <v>40738.6</v>
      </c>
      <c r="AG3" s="193">
        <v>204761.65</v>
      </c>
      <c r="AH3" s="193">
        <v>117257.1</v>
      </c>
      <c r="AI3" s="193">
        <v>0</v>
      </c>
      <c r="AJ3" s="193">
        <v>1452357</v>
      </c>
      <c r="AK3" s="193">
        <v>0</v>
      </c>
      <c r="AL3" s="193">
        <v>17966861.809999999</v>
      </c>
      <c r="AM3" s="193">
        <v>16672791.619999999</v>
      </c>
      <c r="AN3" s="193">
        <v>18000</v>
      </c>
      <c r="AO3" s="193">
        <v>5296292.9400000004</v>
      </c>
      <c r="AP3" s="193">
        <v>186245928.28999999</v>
      </c>
      <c r="AQ3" s="193">
        <v>100218481.88</v>
      </c>
      <c r="AR3" s="193">
        <v>0</v>
      </c>
      <c r="AS3" s="193">
        <v>6800</v>
      </c>
      <c r="AT3" s="193">
        <v>6800</v>
      </c>
      <c r="AU3" s="193">
        <v>6800</v>
      </c>
      <c r="AV3" s="193">
        <v>0</v>
      </c>
      <c r="AW3" s="193">
        <v>2089109.98</v>
      </c>
      <c r="AX3" s="193">
        <v>1041309.16</v>
      </c>
      <c r="AY3" s="193">
        <v>190000</v>
      </c>
      <c r="AZ3" s="193">
        <v>0</v>
      </c>
      <c r="BA3" s="193">
        <v>1426732</v>
      </c>
      <c r="BB3" s="193">
        <v>1106732</v>
      </c>
      <c r="BC3" s="193">
        <v>1006732</v>
      </c>
      <c r="BD3" s="193">
        <v>130397.69</v>
      </c>
      <c r="BE3" s="193">
        <v>1580553.31</v>
      </c>
      <c r="BF3" s="193">
        <v>887841.4</v>
      </c>
      <c r="BG3" s="193">
        <v>521396</v>
      </c>
      <c r="BH3" s="193">
        <v>521396</v>
      </c>
      <c r="BI3" s="193">
        <v>2690057.72</v>
      </c>
      <c r="BJ3" s="193">
        <v>1577725.6</v>
      </c>
      <c r="BK3" s="193">
        <v>1571909.6</v>
      </c>
      <c r="BL3" s="193">
        <v>186713.60000000001</v>
      </c>
      <c r="BM3" s="193">
        <v>102110.7</v>
      </c>
      <c r="BN3" s="193">
        <v>373734.6</v>
      </c>
      <c r="BO3" s="193">
        <v>45792</v>
      </c>
      <c r="BP3" s="193">
        <v>70720</v>
      </c>
      <c r="BQ3" s="193">
        <v>0</v>
      </c>
      <c r="BR3" s="193">
        <v>0</v>
      </c>
      <c r="BS3" s="193">
        <v>6094878</v>
      </c>
      <c r="BT3" s="193">
        <v>0</v>
      </c>
    </row>
    <row r="4" spans="1:74" s="193" customFormat="1" x14ac:dyDescent="0.25">
      <c r="A4" s="193" t="s">
        <v>304</v>
      </c>
      <c r="B4" s="193">
        <v>285538820.86000001</v>
      </c>
      <c r="C4" s="193">
        <v>209989508.33000001</v>
      </c>
      <c r="D4" s="193">
        <v>103997142.14</v>
      </c>
      <c r="E4" s="193">
        <v>383482606.77999997</v>
      </c>
      <c r="F4" s="193">
        <v>275734020.55000001</v>
      </c>
      <c r="G4" s="193">
        <v>216983104.25999999</v>
      </c>
      <c r="H4" s="193">
        <v>103896644.69</v>
      </c>
      <c r="I4" s="193">
        <v>444285488.91000003</v>
      </c>
      <c r="J4" s="193">
        <v>322844853.11000001</v>
      </c>
      <c r="K4" s="193">
        <v>164773450.24000001</v>
      </c>
      <c r="L4" s="193">
        <v>59555754.280000001</v>
      </c>
      <c r="M4" s="193">
        <v>356578634</v>
      </c>
      <c r="N4" s="193">
        <v>277935839.25</v>
      </c>
      <c r="O4" s="193">
        <v>202616698.78</v>
      </c>
      <c r="P4" s="193">
        <v>106473734.16</v>
      </c>
      <c r="Q4" s="193">
        <v>189462606.18000001</v>
      </c>
      <c r="R4" s="193">
        <v>130049784.45999999</v>
      </c>
      <c r="S4" s="193">
        <v>84986028.730000004</v>
      </c>
      <c r="T4" s="193">
        <v>42901551.719999999</v>
      </c>
      <c r="U4" s="193">
        <v>190463988.16999999</v>
      </c>
      <c r="V4" s="193">
        <v>129631786.98999999</v>
      </c>
      <c r="W4" s="193">
        <v>80028428.140000001</v>
      </c>
      <c r="X4" s="193">
        <v>50144035.409999996</v>
      </c>
      <c r="Y4" s="193">
        <v>244190255.53</v>
      </c>
      <c r="Z4" s="193">
        <v>172122744.43000001</v>
      </c>
      <c r="AA4" s="193">
        <v>90616778.060000002</v>
      </c>
      <c r="AB4" s="193">
        <v>26177655.390000001</v>
      </c>
      <c r="AC4" s="193">
        <v>127262489.27</v>
      </c>
      <c r="AD4" s="193">
        <v>101090715.77</v>
      </c>
      <c r="AE4" s="193">
        <v>75148807.060000002</v>
      </c>
      <c r="AF4" s="193">
        <v>37253138.159999996</v>
      </c>
      <c r="AG4" s="193">
        <v>82339064.920000002</v>
      </c>
      <c r="AH4" s="193">
        <v>57371568.490000002</v>
      </c>
      <c r="AI4" s="193">
        <v>39015549.149999999</v>
      </c>
      <c r="AJ4" s="193">
        <v>37084603.770000003</v>
      </c>
      <c r="AK4" s="193">
        <v>0</v>
      </c>
      <c r="AL4" s="193">
        <v>1096741062.48</v>
      </c>
      <c r="AM4" s="193">
        <v>625148971.26999998</v>
      </c>
      <c r="AN4" s="193">
        <v>211593013.12</v>
      </c>
      <c r="AO4" s="193">
        <v>1013862444.04</v>
      </c>
      <c r="AP4" s="193">
        <v>805744641.79999995</v>
      </c>
      <c r="AQ4" s="193">
        <v>507726700.16000003</v>
      </c>
      <c r="AR4" s="193">
        <v>334280981.61000001</v>
      </c>
      <c r="AS4" s="193">
        <v>529938267.81999999</v>
      </c>
      <c r="AT4" s="193">
        <v>216766865.31999999</v>
      </c>
      <c r="AU4" s="193">
        <v>133822674.01000001</v>
      </c>
      <c r="AV4" s="193">
        <v>68071768.430000007</v>
      </c>
      <c r="AW4" s="193">
        <v>466733584.23000002</v>
      </c>
      <c r="AX4" s="193">
        <v>380718661.67000002</v>
      </c>
      <c r="AY4" s="193">
        <v>224314021.36000001</v>
      </c>
      <c r="AZ4" s="193">
        <v>220729587.88</v>
      </c>
      <c r="BA4" s="193">
        <v>1387198959.8099999</v>
      </c>
      <c r="BB4" s="193">
        <v>1033991553.46</v>
      </c>
      <c r="BC4" s="193">
        <v>769955220.71000004</v>
      </c>
      <c r="BD4" s="193">
        <v>348386218.50999999</v>
      </c>
      <c r="BE4" s="193">
        <v>1245602177.03</v>
      </c>
      <c r="BF4" s="193">
        <v>745040798.48000002</v>
      </c>
      <c r="BG4" s="193">
        <v>383826231.44</v>
      </c>
      <c r="BH4" s="193">
        <v>121970849.94</v>
      </c>
      <c r="BI4" s="193">
        <v>286377097.55000001</v>
      </c>
      <c r="BJ4" s="193">
        <v>192981786.56</v>
      </c>
      <c r="BK4" s="193">
        <v>89980888.409999996</v>
      </c>
      <c r="BL4" s="193">
        <v>39655574.289999999</v>
      </c>
      <c r="BM4" s="193">
        <v>186024499.33000001</v>
      </c>
      <c r="BN4" s="193">
        <v>49917300.07</v>
      </c>
      <c r="BO4" s="193">
        <v>224926994.28</v>
      </c>
      <c r="BP4" s="193">
        <v>103510411.12</v>
      </c>
      <c r="BQ4" s="193">
        <v>97333763.25</v>
      </c>
      <c r="BR4" s="193">
        <v>6897098.4100000001</v>
      </c>
      <c r="BS4" s="193">
        <v>41978974.149999999</v>
      </c>
      <c r="BT4" s="193">
        <v>0</v>
      </c>
    </row>
    <row r="5" spans="1:74" s="47" customFormat="1" x14ac:dyDescent="0.25">
      <c r="A5" s="47" t="s">
        <v>295</v>
      </c>
      <c r="E5" s="47">
        <f>E4-E3</f>
        <v>382981784.89999998</v>
      </c>
      <c r="F5" s="47">
        <f t="shared" ref="F5:AR5" si="0">F4-F3</f>
        <v>275477685.16000003</v>
      </c>
      <c r="G5" s="47">
        <f t="shared" si="0"/>
        <v>216797048.87</v>
      </c>
      <c r="H5" s="47">
        <f t="shared" si="0"/>
        <v>103881813.39</v>
      </c>
      <c r="I5" s="47">
        <f t="shared" si="0"/>
        <v>443776074.55000001</v>
      </c>
      <c r="J5" s="47">
        <f t="shared" si="0"/>
        <v>322508276.97000003</v>
      </c>
      <c r="K5" s="47">
        <f t="shared" si="0"/>
        <v>164498346.92000002</v>
      </c>
      <c r="L5" s="47">
        <f t="shared" si="0"/>
        <v>59515878.859999999</v>
      </c>
      <c r="M5" s="47">
        <f t="shared" si="0"/>
        <v>355251443.25</v>
      </c>
      <c r="N5" s="47">
        <f t="shared" si="0"/>
        <v>277703252.17000002</v>
      </c>
      <c r="O5" s="47">
        <f t="shared" si="0"/>
        <v>202497730.88</v>
      </c>
      <c r="P5" s="47">
        <f t="shared" si="0"/>
        <v>106417918.25999999</v>
      </c>
      <c r="Q5" s="47">
        <f t="shared" si="0"/>
        <v>188788952.09999999</v>
      </c>
      <c r="R5" s="47">
        <f t="shared" si="0"/>
        <v>129782656.73999999</v>
      </c>
      <c r="S5" s="47">
        <f t="shared" si="0"/>
        <v>84855837.63000001</v>
      </c>
      <c r="T5" s="47">
        <f t="shared" si="0"/>
        <v>42866405.990000002</v>
      </c>
      <c r="U5" s="47">
        <f t="shared" si="0"/>
        <v>190169166.86999997</v>
      </c>
      <c r="V5" s="47">
        <f t="shared" si="0"/>
        <v>129443911.8</v>
      </c>
      <c r="W5" s="47">
        <f t="shared" si="0"/>
        <v>79882060.739999995</v>
      </c>
      <c r="X5" s="47">
        <f t="shared" si="0"/>
        <v>50117139.409999996</v>
      </c>
      <c r="Y5" s="47">
        <f t="shared" si="0"/>
        <v>243949689.86000001</v>
      </c>
      <c r="Z5" s="47">
        <f t="shared" si="0"/>
        <v>171933835.03</v>
      </c>
      <c r="AA5" s="47">
        <f t="shared" si="0"/>
        <v>90454924.260000005</v>
      </c>
      <c r="AB5" s="47">
        <f t="shared" si="0"/>
        <v>26137344.390000001</v>
      </c>
      <c r="AC5" s="47">
        <f t="shared" si="0"/>
        <v>126314089.45999999</v>
      </c>
      <c r="AD5" s="47">
        <f t="shared" si="0"/>
        <v>100680995.75</v>
      </c>
      <c r="AE5" s="47">
        <f t="shared" si="0"/>
        <v>74940350.049999997</v>
      </c>
      <c r="AF5" s="47">
        <f t="shared" si="0"/>
        <v>37212399.559999995</v>
      </c>
      <c r="AG5" s="47">
        <f t="shared" si="0"/>
        <v>82134303.269999996</v>
      </c>
      <c r="AH5" s="47">
        <f t="shared" si="0"/>
        <v>57254311.390000001</v>
      </c>
      <c r="AI5" s="47">
        <f t="shared" si="0"/>
        <v>39015549.149999999</v>
      </c>
      <c r="AJ5" s="47">
        <f t="shared" si="0"/>
        <v>35632246.770000003</v>
      </c>
      <c r="AK5" s="47">
        <f t="shared" si="0"/>
        <v>0</v>
      </c>
      <c r="AL5" s="47">
        <f t="shared" si="0"/>
        <v>1078774200.6700001</v>
      </c>
      <c r="AM5" s="47">
        <f t="shared" si="0"/>
        <v>608476179.64999998</v>
      </c>
      <c r="AN5" s="47">
        <f t="shared" si="0"/>
        <v>211575013.12</v>
      </c>
      <c r="AO5" s="47">
        <f t="shared" si="0"/>
        <v>1008566151.0999999</v>
      </c>
      <c r="AP5" s="47">
        <f t="shared" si="0"/>
        <v>619498713.50999999</v>
      </c>
      <c r="AQ5" s="47">
        <f t="shared" si="0"/>
        <v>407508218.28000003</v>
      </c>
      <c r="AR5" s="47">
        <f t="shared" si="0"/>
        <v>334280981.61000001</v>
      </c>
    </row>
    <row r="6" spans="1:74" s="106" customFormat="1" x14ac:dyDescent="0.25">
      <c r="A6" s="106" t="s">
        <v>305</v>
      </c>
      <c r="B6" s="193">
        <v>0</v>
      </c>
      <c r="C6" s="193">
        <v>102766484.88</v>
      </c>
      <c r="D6" s="193">
        <v>0</v>
      </c>
      <c r="E6" s="193">
        <v>173230418.30000001</v>
      </c>
      <c r="F6" s="193">
        <v>0</v>
      </c>
      <c r="G6" s="193">
        <v>79854733.640000001</v>
      </c>
      <c r="H6" s="193">
        <v>0</v>
      </c>
      <c r="I6" s="193">
        <v>150031056.47999999</v>
      </c>
      <c r="J6" s="193">
        <v>0</v>
      </c>
      <c r="K6" s="193">
        <v>67914415.5</v>
      </c>
      <c r="L6" s="193">
        <v>0</v>
      </c>
      <c r="M6" s="193">
        <v>96675925.170000002</v>
      </c>
      <c r="N6" s="193">
        <v>0</v>
      </c>
      <c r="O6" s="193">
        <v>44409696.719999999</v>
      </c>
      <c r="P6" s="193">
        <v>0</v>
      </c>
      <c r="Q6" s="193">
        <v>76072722.219999999</v>
      </c>
      <c r="R6" s="193">
        <v>0</v>
      </c>
      <c r="S6" s="193">
        <v>36401626.950000003</v>
      </c>
      <c r="T6" s="193">
        <v>0</v>
      </c>
      <c r="U6" s="193">
        <v>62226272.899999999</v>
      </c>
      <c r="V6" s="193">
        <v>0</v>
      </c>
      <c r="W6" s="193">
        <v>27338084.989999998</v>
      </c>
      <c r="X6" s="193">
        <v>0</v>
      </c>
      <c r="Y6" s="193">
        <v>45232711.859999999</v>
      </c>
      <c r="Z6" s="193">
        <v>0</v>
      </c>
      <c r="AA6" s="193">
        <v>20451241.800000001</v>
      </c>
      <c r="AB6" s="193">
        <v>0</v>
      </c>
      <c r="AC6" s="193">
        <v>35284248.549999997</v>
      </c>
      <c r="AD6" s="193">
        <v>0</v>
      </c>
      <c r="AE6" s="193">
        <v>16920517.710000001</v>
      </c>
      <c r="AF6" s="193">
        <v>0</v>
      </c>
      <c r="AG6" s="193">
        <v>22557386.629999999</v>
      </c>
      <c r="AH6" s="193">
        <v>0</v>
      </c>
      <c r="AI6" s="193">
        <v>18490294.390000001</v>
      </c>
      <c r="AJ6" s="193">
        <v>16791841.57</v>
      </c>
      <c r="AK6" s="193">
        <v>0</v>
      </c>
      <c r="AL6" s="193">
        <v>0</v>
      </c>
      <c r="AM6" s="193">
        <v>137627549.5</v>
      </c>
      <c r="AN6" s="193">
        <v>0</v>
      </c>
      <c r="AO6" s="193">
        <v>253356206.83000001</v>
      </c>
      <c r="AP6" s="193">
        <v>0</v>
      </c>
      <c r="AQ6" s="193">
        <v>126646106.28</v>
      </c>
      <c r="AR6" s="193">
        <v>0</v>
      </c>
      <c r="AS6" s="193">
        <v>231322064.62</v>
      </c>
      <c r="AT6" s="193">
        <v>0</v>
      </c>
      <c r="AU6" s="193">
        <v>112562604.33</v>
      </c>
      <c r="AV6" s="193">
        <v>0</v>
      </c>
      <c r="AW6" s="193">
        <v>204380088.05000001</v>
      </c>
      <c r="AX6" s="193">
        <v>144359983.11000001</v>
      </c>
      <c r="AY6" s="193">
        <v>92374534.040000007</v>
      </c>
      <c r="AZ6" s="193">
        <v>40259859.740000002</v>
      </c>
      <c r="BA6" s="193">
        <v>56981907.670000002</v>
      </c>
      <c r="BB6" s="193">
        <v>40670080.810000002</v>
      </c>
      <c r="BC6" s="193">
        <v>26784355.449999999</v>
      </c>
      <c r="BD6" s="193">
        <v>13375256.880000001</v>
      </c>
      <c r="BE6" s="193">
        <v>53332726.270000003</v>
      </c>
      <c r="BF6" s="193">
        <v>40436268.380000003</v>
      </c>
      <c r="BG6" s="193">
        <v>27749680.379999999</v>
      </c>
      <c r="BH6" s="193">
        <v>14268373.33</v>
      </c>
      <c r="BI6" s="193">
        <v>52795125.68</v>
      </c>
      <c r="BJ6" s="193">
        <v>38902998.649999999</v>
      </c>
      <c r="BK6" s="193">
        <v>25629020.780000001</v>
      </c>
      <c r="BL6" s="193">
        <v>12750860.359999999</v>
      </c>
      <c r="BM6" s="193">
        <v>40033982.590000004</v>
      </c>
      <c r="BN6" s="193">
        <v>15010963.4</v>
      </c>
      <c r="BO6" s="193">
        <v>29063705.300000001</v>
      </c>
      <c r="BP6" s="193">
        <v>15081839.289999999</v>
      </c>
      <c r="BQ6" s="193">
        <v>26279195.079999998</v>
      </c>
      <c r="BR6" s="193">
        <v>11651699.949999999</v>
      </c>
      <c r="BS6" s="193">
        <v>25058312.66</v>
      </c>
      <c r="BT6" s="193">
        <v>0</v>
      </c>
      <c r="BU6" s="193"/>
      <c r="BV6" s="193"/>
    </row>
    <row r="7" spans="1:74" s="193" customFormat="1" x14ac:dyDescent="0.25">
      <c r="A7" s="193" t="s">
        <v>306</v>
      </c>
      <c r="B7" s="193">
        <v>0</v>
      </c>
      <c r="C7" s="193">
        <v>6571291.8600000003</v>
      </c>
      <c r="D7" s="193">
        <v>0</v>
      </c>
      <c r="E7" s="193">
        <v>11700805.390000001</v>
      </c>
      <c r="F7" s="193">
        <v>0</v>
      </c>
      <c r="G7" s="193">
        <v>5321577.1900000004</v>
      </c>
      <c r="H7" s="193">
        <v>0</v>
      </c>
      <c r="I7" s="193">
        <v>8666877.9299999997</v>
      </c>
      <c r="J7" s="193">
        <v>0</v>
      </c>
      <c r="K7" s="193">
        <v>3284233.46</v>
      </c>
      <c r="L7" s="193">
        <v>0</v>
      </c>
      <c r="M7" s="193">
        <v>3584346.75</v>
      </c>
      <c r="N7" s="193">
        <v>0</v>
      </c>
      <c r="O7" s="193">
        <v>1593132.18</v>
      </c>
      <c r="P7" s="193">
        <v>0</v>
      </c>
      <c r="Q7" s="193">
        <v>3129421</v>
      </c>
      <c r="R7" s="193">
        <v>0</v>
      </c>
      <c r="S7" s="193">
        <v>1598201.93</v>
      </c>
      <c r="T7" s="193">
        <v>0</v>
      </c>
      <c r="U7" s="193">
        <v>2483597.77</v>
      </c>
      <c r="V7" s="193">
        <v>0</v>
      </c>
      <c r="W7" s="193">
        <v>914265.14</v>
      </c>
      <c r="X7" s="193">
        <v>0</v>
      </c>
      <c r="Y7" s="193">
        <v>1348313.89</v>
      </c>
      <c r="Z7" s="193">
        <v>0</v>
      </c>
      <c r="AA7" s="193">
        <v>535823.12</v>
      </c>
      <c r="AB7" s="193">
        <v>0</v>
      </c>
      <c r="AC7" s="193">
        <v>970913.64</v>
      </c>
      <c r="AD7" s="193">
        <v>0</v>
      </c>
      <c r="AE7" s="193">
        <v>466446.08000000002</v>
      </c>
      <c r="AF7" s="193">
        <v>0</v>
      </c>
      <c r="AG7" s="193">
        <v>570064.04</v>
      </c>
      <c r="AH7" s="193">
        <v>0</v>
      </c>
      <c r="AI7" s="193">
        <v>535006.5</v>
      </c>
      <c r="AJ7" s="193">
        <v>548148.18999999994</v>
      </c>
      <c r="AK7" s="193">
        <v>0</v>
      </c>
      <c r="AL7" s="193">
        <v>0</v>
      </c>
      <c r="AM7" s="193">
        <v>2973593.93</v>
      </c>
      <c r="AN7" s="193">
        <v>0</v>
      </c>
      <c r="AO7" s="193">
        <v>4231832.26</v>
      </c>
      <c r="AP7" s="193">
        <v>0</v>
      </c>
      <c r="AQ7" s="193">
        <v>2044918.31</v>
      </c>
      <c r="AR7" s="193">
        <v>0</v>
      </c>
      <c r="AS7" s="193">
        <v>3246986.34</v>
      </c>
      <c r="AT7" s="193">
        <v>0</v>
      </c>
      <c r="AU7" s="193">
        <v>1534655.5</v>
      </c>
      <c r="AV7" s="193">
        <v>0</v>
      </c>
      <c r="AW7" s="193">
        <v>83416.679999999993</v>
      </c>
      <c r="AX7" s="193">
        <v>55917.67</v>
      </c>
      <c r="AY7" s="193">
        <v>8550</v>
      </c>
      <c r="AZ7" s="193">
        <v>3975</v>
      </c>
      <c r="BA7" s="193">
        <v>0</v>
      </c>
      <c r="BB7" s="193">
        <v>0</v>
      </c>
      <c r="BC7" s="193">
        <v>0</v>
      </c>
      <c r="BD7" s="193">
        <v>0</v>
      </c>
      <c r="BE7" s="193">
        <v>0</v>
      </c>
      <c r="BF7" s="193">
        <v>0</v>
      </c>
      <c r="BG7" s="193">
        <v>0</v>
      </c>
      <c r="BH7" s="193">
        <v>0</v>
      </c>
      <c r="BI7" s="193">
        <v>0</v>
      </c>
      <c r="BJ7" s="193">
        <v>0</v>
      </c>
      <c r="BK7" s="193">
        <v>0</v>
      </c>
      <c r="BL7" s="193">
        <v>0</v>
      </c>
      <c r="BM7" s="193">
        <v>0</v>
      </c>
      <c r="BN7" s="193">
        <v>0</v>
      </c>
      <c r="BO7" s="193">
        <v>0</v>
      </c>
      <c r="BP7" s="193">
        <v>0</v>
      </c>
      <c r="BQ7" s="193">
        <v>0</v>
      </c>
      <c r="BR7" s="193">
        <v>0</v>
      </c>
      <c r="BS7" s="193">
        <v>0</v>
      </c>
      <c r="BT7" s="193">
        <v>0</v>
      </c>
    </row>
    <row r="8" spans="1:74" s="193" customFormat="1" x14ac:dyDescent="0.25">
      <c r="A8" s="193" t="s">
        <v>307</v>
      </c>
      <c r="B8" s="193">
        <v>0</v>
      </c>
      <c r="C8" s="193">
        <v>842831.44</v>
      </c>
      <c r="D8" s="193">
        <v>0</v>
      </c>
      <c r="E8" s="193">
        <v>1626430.09</v>
      </c>
      <c r="F8" s="193">
        <v>0</v>
      </c>
      <c r="G8" s="193">
        <v>813215.04</v>
      </c>
      <c r="H8" s="193">
        <v>0</v>
      </c>
      <c r="I8" s="193">
        <v>1549161.68</v>
      </c>
      <c r="J8" s="193">
        <v>0</v>
      </c>
      <c r="K8" s="193">
        <v>937228.59</v>
      </c>
      <c r="L8" s="193">
        <v>0</v>
      </c>
      <c r="M8" s="193">
        <v>2792414.15</v>
      </c>
      <c r="N8" s="193">
        <v>0</v>
      </c>
      <c r="O8" s="193">
        <v>1379958.7</v>
      </c>
      <c r="P8" s="193">
        <v>0</v>
      </c>
      <c r="Q8" s="193">
        <v>762424.54</v>
      </c>
      <c r="R8" s="193">
        <v>0</v>
      </c>
      <c r="S8" s="193">
        <v>111778.8</v>
      </c>
      <c r="T8" s="193">
        <v>0</v>
      </c>
      <c r="U8" s="193">
        <v>195388.91</v>
      </c>
      <c r="V8" s="193">
        <v>0</v>
      </c>
      <c r="W8" s="193">
        <v>60000</v>
      </c>
      <c r="X8" s="193">
        <v>0</v>
      </c>
      <c r="Y8" s="193">
        <v>120000</v>
      </c>
      <c r="Z8" s="193">
        <v>0</v>
      </c>
      <c r="AA8" s="193">
        <v>60000</v>
      </c>
      <c r="AB8" s="193">
        <v>0</v>
      </c>
      <c r="AC8" s="193">
        <v>5168.66</v>
      </c>
      <c r="AD8" s="193">
        <v>0</v>
      </c>
      <c r="AE8" s="193">
        <v>5168.66</v>
      </c>
      <c r="AF8" s="193">
        <v>0</v>
      </c>
      <c r="AG8" s="193">
        <v>15506.76</v>
      </c>
      <c r="AH8" s="193">
        <v>0</v>
      </c>
      <c r="AI8" s="193">
        <v>15506.76</v>
      </c>
      <c r="AJ8" s="193">
        <v>15506.76</v>
      </c>
      <c r="AK8" s="193">
        <v>0</v>
      </c>
      <c r="AL8" s="193">
        <v>4722874.75</v>
      </c>
      <c r="AM8" s="193">
        <v>4722874.75</v>
      </c>
      <c r="AN8" s="193">
        <v>4722874.75</v>
      </c>
      <c r="AO8" s="193">
        <v>4722874.75</v>
      </c>
      <c r="AP8" s="193">
        <v>0</v>
      </c>
      <c r="AQ8" s="193">
        <v>0</v>
      </c>
      <c r="AR8" s="193">
        <v>0</v>
      </c>
      <c r="AS8" s="193">
        <v>0</v>
      </c>
      <c r="AT8" s="193">
        <v>0</v>
      </c>
      <c r="AU8" s="193">
        <v>0</v>
      </c>
      <c r="AV8" s="193">
        <v>0</v>
      </c>
      <c r="AW8" s="193">
        <v>1292188.47</v>
      </c>
      <c r="AX8" s="193">
        <v>1292188.47</v>
      </c>
      <c r="AY8" s="193">
        <v>1292188.47</v>
      </c>
      <c r="AZ8" s="193">
        <v>1292188.47</v>
      </c>
      <c r="BA8" s="193">
        <v>0</v>
      </c>
      <c r="BB8" s="193">
        <v>0</v>
      </c>
      <c r="BC8" s="193">
        <v>0</v>
      </c>
      <c r="BD8" s="193">
        <v>0</v>
      </c>
      <c r="BE8" s="193">
        <v>0</v>
      </c>
      <c r="BF8" s="193">
        <v>0</v>
      </c>
      <c r="BG8" s="193">
        <v>0</v>
      </c>
      <c r="BH8" s="193">
        <v>0</v>
      </c>
      <c r="BI8" s="193">
        <v>0</v>
      </c>
      <c r="BJ8" s="193">
        <v>0</v>
      </c>
      <c r="BK8" s="193">
        <v>0</v>
      </c>
      <c r="BL8" s="193">
        <v>0</v>
      </c>
      <c r="BM8" s="193">
        <v>0</v>
      </c>
      <c r="BN8" s="193">
        <v>0</v>
      </c>
      <c r="BO8" s="193">
        <v>0</v>
      </c>
      <c r="BP8" s="193">
        <v>0</v>
      </c>
      <c r="BQ8" s="193">
        <v>0</v>
      </c>
      <c r="BR8" s="193">
        <v>0</v>
      </c>
      <c r="BS8" s="193">
        <v>0</v>
      </c>
      <c r="BT8" s="193">
        <v>0</v>
      </c>
    </row>
    <row r="9" spans="1:74" s="193" customFormat="1" x14ac:dyDescent="0.25">
      <c r="A9" s="193" t="s">
        <v>308</v>
      </c>
      <c r="B9" s="193">
        <v>0</v>
      </c>
      <c r="C9" s="193">
        <v>-5047.3999999999996</v>
      </c>
      <c r="D9" s="193">
        <v>0</v>
      </c>
      <c r="E9" s="193">
        <v>-327151.37</v>
      </c>
      <c r="F9" s="193">
        <v>0</v>
      </c>
      <c r="G9" s="193">
        <v>388967.5</v>
      </c>
      <c r="H9" s="193">
        <v>0</v>
      </c>
      <c r="I9" s="193">
        <v>2556655.06</v>
      </c>
      <c r="J9" s="193">
        <v>0</v>
      </c>
      <c r="K9" s="193">
        <v>583822.57999999996</v>
      </c>
      <c r="L9" s="193">
        <v>0</v>
      </c>
      <c r="M9" s="193">
        <v>1641970.2</v>
      </c>
      <c r="N9" s="193">
        <v>0</v>
      </c>
      <c r="O9" s="193">
        <v>362534.43</v>
      </c>
      <c r="P9" s="193">
        <v>0</v>
      </c>
      <c r="Q9" s="193">
        <v>2632793.41</v>
      </c>
      <c r="R9" s="193">
        <v>0</v>
      </c>
      <c r="S9" s="193">
        <v>521158.62</v>
      </c>
      <c r="T9" s="193">
        <v>0</v>
      </c>
      <c r="U9" s="193">
        <v>738515.9</v>
      </c>
      <c r="V9" s="193">
        <v>0</v>
      </c>
      <c r="W9" s="193">
        <v>47657.3</v>
      </c>
      <c r="X9" s="193">
        <v>0</v>
      </c>
      <c r="Y9" s="193">
        <v>231372.54</v>
      </c>
      <c r="Z9" s="193">
        <v>0</v>
      </c>
      <c r="AA9" s="193">
        <v>148114.17000000001</v>
      </c>
      <c r="AB9" s="193">
        <v>0</v>
      </c>
      <c r="AC9" s="193">
        <v>458098.69</v>
      </c>
      <c r="AD9" s="193">
        <v>0</v>
      </c>
      <c r="AE9" s="193">
        <v>465390.72</v>
      </c>
      <c r="AF9" s="193">
        <v>0</v>
      </c>
      <c r="AG9" s="193">
        <v>319153.53000000003</v>
      </c>
      <c r="AH9" s="193">
        <v>0</v>
      </c>
      <c r="AI9" s="193">
        <v>3732.64</v>
      </c>
      <c r="AJ9" s="193">
        <v>144334.32999999999</v>
      </c>
      <c r="AK9" s="193">
        <v>0</v>
      </c>
      <c r="AL9" s="193">
        <v>0</v>
      </c>
      <c r="AM9" s="193">
        <v>-532937.68999999994</v>
      </c>
      <c r="AN9" s="193">
        <v>0</v>
      </c>
      <c r="AO9" s="193">
        <v>10026659.689999999</v>
      </c>
      <c r="AP9" s="193">
        <v>0</v>
      </c>
      <c r="AQ9" s="193">
        <v>347872.53</v>
      </c>
      <c r="AR9" s="193">
        <v>0</v>
      </c>
      <c r="AS9" s="193">
        <v>5731565.3700000001</v>
      </c>
      <c r="AT9" s="193">
        <v>0</v>
      </c>
      <c r="AU9" s="193">
        <v>879570.05</v>
      </c>
      <c r="AV9" s="193">
        <v>0</v>
      </c>
      <c r="AW9" s="193">
        <v>105935.61</v>
      </c>
      <c r="AX9" s="193">
        <v>31527.4</v>
      </c>
      <c r="AY9" s="193">
        <v>93261</v>
      </c>
      <c r="AZ9" s="193">
        <v>0</v>
      </c>
      <c r="BA9" s="193">
        <v>-89497.4</v>
      </c>
      <c r="BB9" s="193">
        <v>130232.2</v>
      </c>
      <c r="BC9" s="193">
        <v>-3657.4</v>
      </c>
      <c r="BD9" s="193">
        <v>0</v>
      </c>
      <c r="BE9" s="193">
        <v>-690882.01</v>
      </c>
      <c r="BF9" s="193">
        <v>-887841.4</v>
      </c>
      <c r="BG9" s="193">
        <v>-521396</v>
      </c>
      <c r="BH9" s="193">
        <v>-521396</v>
      </c>
      <c r="BI9" s="193">
        <v>580461.34</v>
      </c>
      <c r="BJ9" s="193">
        <v>623606.48</v>
      </c>
      <c r="BK9" s="193">
        <v>622822.48</v>
      </c>
      <c r="BL9" s="193">
        <v>-186713.60000000001</v>
      </c>
      <c r="BM9" s="193">
        <v>-493302.9</v>
      </c>
      <c r="BN9" s="193">
        <v>-376234.6</v>
      </c>
      <c r="BO9" s="193">
        <v>-71720</v>
      </c>
      <c r="BP9" s="193">
        <v>2641.32</v>
      </c>
      <c r="BQ9" s="193">
        <v>0</v>
      </c>
      <c r="BR9" s="193">
        <v>0</v>
      </c>
      <c r="BS9" s="193">
        <v>2632395.2000000002</v>
      </c>
      <c r="BT9" s="193">
        <v>0</v>
      </c>
    </row>
    <row r="10" spans="1:74" s="193" customFormat="1" x14ac:dyDescent="0.25">
      <c r="A10" s="193" t="s">
        <v>309</v>
      </c>
      <c r="B10" s="193">
        <v>0</v>
      </c>
      <c r="C10" s="193">
        <v>604355.14</v>
      </c>
      <c r="D10" s="193">
        <v>0</v>
      </c>
      <c r="E10" s="193">
        <v>1421535.04</v>
      </c>
      <c r="F10" s="193">
        <v>0</v>
      </c>
      <c r="G10" s="193">
        <v>0</v>
      </c>
      <c r="H10" s="193">
        <v>0</v>
      </c>
      <c r="I10" s="193">
        <v>0</v>
      </c>
      <c r="J10" s="193">
        <v>0</v>
      </c>
      <c r="K10" s="193">
        <v>0</v>
      </c>
      <c r="L10" s="193">
        <v>0</v>
      </c>
      <c r="M10" s="193">
        <v>0</v>
      </c>
      <c r="N10" s="193">
        <v>0</v>
      </c>
      <c r="O10" s="193">
        <v>0</v>
      </c>
      <c r="P10" s="193">
        <v>0</v>
      </c>
      <c r="Q10" s="193">
        <v>0</v>
      </c>
      <c r="R10" s="193">
        <v>0</v>
      </c>
      <c r="S10" s="193">
        <v>0</v>
      </c>
      <c r="T10" s="193">
        <v>0</v>
      </c>
      <c r="U10" s="193">
        <v>0</v>
      </c>
      <c r="V10" s="193">
        <v>0</v>
      </c>
      <c r="W10" s="193">
        <v>0</v>
      </c>
      <c r="X10" s="193">
        <v>0</v>
      </c>
      <c r="Y10" s="193">
        <v>0</v>
      </c>
      <c r="Z10" s="193">
        <v>0</v>
      </c>
      <c r="AA10" s="193">
        <v>0</v>
      </c>
      <c r="AB10" s="193">
        <v>0</v>
      </c>
      <c r="AC10" s="193">
        <v>0</v>
      </c>
      <c r="AD10" s="193">
        <v>0</v>
      </c>
      <c r="AE10" s="193">
        <v>0</v>
      </c>
      <c r="AF10" s="193">
        <v>0</v>
      </c>
      <c r="AG10" s="193">
        <v>0</v>
      </c>
      <c r="AH10" s="193">
        <v>0</v>
      </c>
      <c r="AI10" s="193">
        <v>0</v>
      </c>
      <c r="AJ10" s="193">
        <v>0</v>
      </c>
      <c r="AK10" s="193">
        <v>0</v>
      </c>
      <c r="AL10" s="193">
        <v>0</v>
      </c>
      <c r="AM10" s="193">
        <v>123405.18</v>
      </c>
      <c r="AN10" s="193">
        <v>0</v>
      </c>
      <c r="AO10" s="193">
        <v>0</v>
      </c>
      <c r="AP10" s="193">
        <v>0</v>
      </c>
      <c r="AQ10" s="193">
        <v>107395.47</v>
      </c>
      <c r="AR10" s="193">
        <v>0</v>
      </c>
      <c r="AS10" s="193">
        <v>0</v>
      </c>
      <c r="AT10" s="193">
        <v>0</v>
      </c>
      <c r="AU10" s="193">
        <v>0</v>
      </c>
      <c r="AV10" s="193">
        <v>0</v>
      </c>
      <c r="AW10" s="193">
        <v>0</v>
      </c>
      <c r="AX10" s="193">
        <v>1028</v>
      </c>
      <c r="AY10" s="193">
        <v>18303.43</v>
      </c>
      <c r="AZ10" s="193">
        <v>93289.43</v>
      </c>
      <c r="BA10" s="193">
        <v>42947069.979999997</v>
      </c>
      <c r="BB10" s="193">
        <v>5243.43</v>
      </c>
      <c r="BC10" s="193">
        <v>5243.43</v>
      </c>
      <c r="BD10" s="193">
        <v>0</v>
      </c>
      <c r="BE10" s="193">
        <v>44229863.509999998</v>
      </c>
      <c r="BF10" s="193">
        <v>23687135.710000001</v>
      </c>
      <c r="BG10" s="193">
        <v>23687135.710000001</v>
      </c>
      <c r="BH10" s="193">
        <v>0</v>
      </c>
      <c r="BI10" s="193">
        <v>0</v>
      </c>
      <c r="BJ10" s="193">
        <v>0</v>
      </c>
      <c r="BK10" s="193">
        <v>0</v>
      </c>
      <c r="BL10" s="193">
        <v>0</v>
      </c>
      <c r="BM10" s="193">
        <v>1148086.6100000001</v>
      </c>
      <c r="BN10" s="193">
        <v>0</v>
      </c>
      <c r="BO10" s="193">
        <v>6562457.6100000003</v>
      </c>
      <c r="BP10" s="193">
        <v>0</v>
      </c>
      <c r="BQ10" s="193">
        <v>9345588.9199999999</v>
      </c>
      <c r="BR10" s="193">
        <v>0</v>
      </c>
      <c r="BS10" s="193">
        <v>0</v>
      </c>
      <c r="BT10" s="193">
        <v>0</v>
      </c>
    </row>
    <row r="11" spans="1:74" s="47" customFormat="1" x14ac:dyDescent="0.25">
      <c r="A11" s="136" t="s">
        <v>296</v>
      </c>
      <c r="E11" s="47">
        <f>E5-E6-E7-E8-E9-E10</f>
        <v>195329747.44999999</v>
      </c>
      <c r="F11" s="47">
        <f t="shared" ref="F11:BQ11" si="1">F5-F6-F7-F8-F9-F10</f>
        <v>275477685.16000003</v>
      </c>
      <c r="G11" s="47">
        <f t="shared" si="1"/>
        <v>130418555.50000001</v>
      </c>
      <c r="H11" s="47">
        <f t="shared" si="1"/>
        <v>103881813.39</v>
      </c>
      <c r="I11" s="47">
        <f t="shared" si="1"/>
        <v>280972323.40000004</v>
      </c>
      <c r="J11" s="47">
        <f t="shared" si="1"/>
        <v>322508276.97000003</v>
      </c>
      <c r="K11" s="47">
        <f t="shared" si="1"/>
        <v>91778646.790000021</v>
      </c>
      <c r="L11" s="47">
        <f t="shared" si="1"/>
        <v>59515878.859999999</v>
      </c>
      <c r="M11" s="47">
        <f t="shared" si="1"/>
        <v>250556786.97999999</v>
      </c>
      <c r="N11" s="47">
        <f t="shared" si="1"/>
        <v>277703252.17000002</v>
      </c>
      <c r="O11" s="47">
        <f t="shared" si="1"/>
        <v>154752408.84999999</v>
      </c>
      <c r="P11" s="47">
        <f t="shared" si="1"/>
        <v>106417918.25999999</v>
      </c>
      <c r="Q11" s="47">
        <f t="shared" si="1"/>
        <v>106191590.92999999</v>
      </c>
      <c r="R11" s="47">
        <f t="shared" si="1"/>
        <v>129782656.73999999</v>
      </c>
      <c r="S11" s="47">
        <f t="shared" si="1"/>
        <v>46223071.330000013</v>
      </c>
      <c r="T11" s="47">
        <f t="shared" si="1"/>
        <v>42866405.990000002</v>
      </c>
      <c r="U11" s="47">
        <f t="shared" si="1"/>
        <v>124525391.38999997</v>
      </c>
      <c r="V11" s="47">
        <f t="shared" si="1"/>
        <v>129443911.8</v>
      </c>
      <c r="W11" s="47">
        <f t="shared" si="1"/>
        <v>51522053.310000002</v>
      </c>
      <c r="X11" s="47">
        <f t="shared" si="1"/>
        <v>50117139.409999996</v>
      </c>
      <c r="Y11" s="47">
        <f t="shared" si="1"/>
        <v>197017291.57000002</v>
      </c>
      <c r="Z11" s="47">
        <f t="shared" si="1"/>
        <v>171933835.03</v>
      </c>
      <c r="AA11" s="47">
        <f t="shared" si="1"/>
        <v>69259745.170000002</v>
      </c>
      <c r="AB11" s="47">
        <f t="shared" si="1"/>
        <v>26137344.390000001</v>
      </c>
      <c r="AC11" s="47">
        <f t="shared" si="1"/>
        <v>89595659.920000002</v>
      </c>
      <c r="AD11" s="47">
        <f t="shared" si="1"/>
        <v>100680995.75</v>
      </c>
      <c r="AE11" s="47">
        <f t="shared" si="1"/>
        <v>57082826.880000003</v>
      </c>
      <c r="AF11" s="47">
        <f t="shared" si="1"/>
        <v>37212399.559999995</v>
      </c>
      <c r="AG11" s="47">
        <f t="shared" si="1"/>
        <v>58672192.310000002</v>
      </c>
      <c r="AH11" s="47">
        <f t="shared" si="1"/>
        <v>57254311.390000001</v>
      </c>
      <c r="AI11" s="47">
        <f t="shared" si="1"/>
        <v>19971008.859999996</v>
      </c>
      <c r="AJ11" s="47">
        <f t="shared" si="1"/>
        <v>18132415.920000002</v>
      </c>
      <c r="AK11" s="47">
        <f t="shared" si="1"/>
        <v>0</v>
      </c>
      <c r="AL11" s="47">
        <f t="shared" si="1"/>
        <v>1074051325.9200001</v>
      </c>
      <c r="AM11" s="47">
        <f t="shared" si="1"/>
        <v>463561693.97999996</v>
      </c>
      <c r="AN11" s="47">
        <f t="shared" si="1"/>
        <v>206852138.37</v>
      </c>
      <c r="AO11" s="47">
        <f t="shared" si="1"/>
        <v>736228577.56999981</v>
      </c>
      <c r="AP11" s="47">
        <f t="shared" si="1"/>
        <v>619498713.50999999</v>
      </c>
      <c r="AQ11" s="47">
        <f t="shared" si="1"/>
        <v>278361925.69</v>
      </c>
      <c r="AR11" s="47">
        <f t="shared" si="1"/>
        <v>334280981.61000001</v>
      </c>
      <c r="AS11" s="47">
        <f t="shared" si="1"/>
        <v>-240300616.33000001</v>
      </c>
      <c r="AT11" s="47">
        <f t="shared" si="1"/>
        <v>0</v>
      </c>
      <c r="AU11" s="47">
        <f t="shared" si="1"/>
        <v>-114976829.88</v>
      </c>
      <c r="AV11" s="47">
        <f t="shared" si="1"/>
        <v>0</v>
      </c>
      <c r="AW11" s="47">
        <f t="shared" si="1"/>
        <v>-205861628.81000003</v>
      </c>
      <c r="AX11" s="47">
        <f t="shared" si="1"/>
        <v>-145740644.65000001</v>
      </c>
      <c r="AY11" s="47">
        <f t="shared" si="1"/>
        <v>-93786836.940000013</v>
      </c>
      <c r="AZ11" s="47">
        <f t="shared" si="1"/>
        <v>-41649312.640000001</v>
      </c>
      <c r="BA11" s="47">
        <f t="shared" si="1"/>
        <v>-99839480.25</v>
      </c>
      <c r="BB11" s="47">
        <f t="shared" si="1"/>
        <v>-40805556.440000005</v>
      </c>
      <c r="BC11" s="47">
        <f t="shared" si="1"/>
        <v>-26785941.48</v>
      </c>
      <c r="BD11" s="47">
        <f t="shared" si="1"/>
        <v>-13375256.880000001</v>
      </c>
      <c r="BE11" s="47">
        <f t="shared" si="1"/>
        <v>-96871707.770000011</v>
      </c>
      <c r="BF11" s="47">
        <f t="shared" si="1"/>
        <v>-63235562.690000005</v>
      </c>
      <c r="BG11" s="47">
        <f t="shared" si="1"/>
        <v>-50915420.090000004</v>
      </c>
      <c r="BH11" s="47">
        <f t="shared" si="1"/>
        <v>-13746977.33</v>
      </c>
      <c r="BI11" s="47">
        <f t="shared" si="1"/>
        <v>-53375587.020000003</v>
      </c>
      <c r="BJ11" s="47">
        <f t="shared" si="1"/>
        <v>-39526605.129999995</v>
      </c>
      <c r="BK11" s="47">
        <f t="shared" si="1"/>
        <v>-26251843.260000002</v>
      </c>
      <c r="BL11" s="47">
        <f t="shared" si="1"/>
        <v>-12564146.76</v>
      </c>
      <c r="BM11" s="47">
        <f t="shared" si="1"/>
        <v>-40688766.300000004</v>
      </c>
      <c r="BN11" s="47">
        <f t="shared" si="1"/>
        <v>-14634728.800000001</v>
      </c>
      <c r="BO11" s="47">
        <f t="shared" si="1"/>
        <v>-35554442.910000004</v>
      </c>
      <c r="BP11" s="47">
        <f t="shared" si="1"/>
        <v>-15084480.609999999</v>
      </c>
      <c r="BQ11" s="47">
        <f t="shared" si="1"/>
        <v>-35624784</v>
      </c>
      <c r="BR11" s="47">
        <f t="shared" ref="BR11:BS11" si="2">BR5-BR6-BR7-BR8-BR9-BR10</f>
        <v>-11651699.949999999</v>
      </c>
      <c r="BS11" s="47">
        <f t="shared" si="2"/>
        <v>-27690707.859999999</v>
      </c>
    </row>
    <row r="12" spans="1:74" s="26" customFormat="1" x14ac:dyDescent="0.25">
      <c r="A12" s="17" t="s">
        <v>297</v>
      </c>
      <c r="E12" s="26">
        <f t="shared" ref="E12:Q12" si="3">I34</f>
        <v>1625401353.2800002</v>
      </c>
      <c r="F12" s="26">
        <f t="shared" si="3"/>
        <v>1428558424.5599999</v>
      </c>
      <c r="G12" s="26">
        <f t="shared" si="3"/>
        <v>1313326374.5100002</v>
      </c>
      <c r="H12" s="26">
        <f t="shared" si="3"/>
        <v>1243536858.22</v>
      </c>
      <c r="I12" s="26">
        <f t="shared" si="3"/>
        <v>1182271222.8300002</v>
      </c>
      <c r="J12" s="26">
        <f t="shared" si="3"/>
        <v>1104031410.0500002</v>
      </c>
      <c r="K12" s="26">
        <f t="shared" si="3"/>
        <v>1038385980.17</v>
      </c>
      <c r="L12" s="26">
        <f t="shared" si="3"/>
        <v>942542143.56999993</v>
      </c>
      <c r="M12" s="26">
        <f t="shared" si="3"/>
        <v>868526402.4799999</v>
      </c>
      <c r="N12" s="26">
        <f t="shared" si="3"/>
        <v>815761221.2299999</v>
      </c>
      <c r="O12" s="26">
        <f t="shared" si="3"/>
        <v>805101670.86000001</v>
      </c>
      <c r="P12" s="26">
        <f t="shared" si="3"/>
        <v>787817201.11000001</v>
      </c>
      <c r="Q12" s="26">
        <f t="shared" si="3"/>
        <v>777212412.93999994</v>
      </c>
      <c r="R12" s="193">
        <f t="shared" ref="R12" si="4">V34</f>
        <v>741506549.51999998</v>
      </c>
      <c r="S12" s="193">
        <f t="shared" ref="S12" si="5">W34</f>
        <v>710048074.86000001</v>
      </c>
      <c r="T12" s="193">
        <f t="shared" ref="T12" si="6">X34</f>
        <v>687250589.18999994</v>
      </c>
      <c r="U12" s="193">
        <f t="shared" ref="U12" si="7">Y34</f>
        <v>652357645.91999996</v>
      </c>
      <c r="V12" s="193">
        <f t="shared" ref="V12" si="8">Z34</f>
        <v>555743063.5999999</v>
      </c>
      <c r="W12" s="193">
        <f t="shared" ref="W12" si="9">AA34</f>
        <v>463120396.69</v>
      </c>
      <c r="X12" s="193">
        <f t="shared" ref="X12" si="10">AB34</f>
        <v>427815367.21000004</v>
      </c>
      <c r="Y12" s="193">
        <f t="shared" ref="Y12" si="11">AC34</f>
        <v>416097796.96000004</v>
      </c>
      <c r="Z12" s="193">
        <f t="shared" ref="Z12" si="12">AD34</f>
        <v>396553530.69</v>
      </c>
      <c r="AA12" s="193">
        <f t="shared" ref="AA12" si="13">AE34</f>
        <v>384945992.11000001</v>
      </c>
      <c r="AB12" s="193">
        <f t="shared" ref="AB12" si="14">AF34</f>
        <v>341524284.44999999</v>
      </c>
      <c r="AC12" s="193">
        <f t="shared" ref="AC12" si="15">AG34</f>
        <v>202718327.53</v>
      </c>
      <c r="AD12" s="193">
        <f t="shared" ref="AD12" si="16">AH34</f>
        <v>181601567.34999999</v>
      </c>
      <c r="AE12" s="193">
        <f t="shared" ref="AE12" si="17">AI34</f>
        <v>0</v>
      </c>
      <c r="AF12" s="193">
        <f t="shared" ref="AF12" si="18">AJ34</f>
        <v>0</v>
      </c>
      <c r="AG12" s="193">
        <f t="shared" ref="AG12" si="19">AK34</f>
        <v>0</v>
      </c>
      <c r="AH12" s="193">
        <f t="shared" ref="AH12" si="20">AL34</f>
        <v>4763362487.9099998</v>
      </c>
      <c r="AI12" s="193">
        <f t="shared" ref="AI12" si="21">AM34</f>
        <v>4083294770.3899999</v>
      </c>
      <c r="AJ12" s="193">
        <f t="shared" ref="AJ12" si="22">AN34</f>
        <v>3906127048.1799998</v>
      </c>
      <c r="AK12" s="193">
        <f t="shared" ref="AK12" si="23">AO34</f>
        <v>3854504724.2399998</v>
      </c>
      <c r="AL12" s="193">
        <f t="shared" ref="AL12" si="24">AP34</f>
        <v>3677296943.1199999</v>
      </c>
      <c r="AM12" s="193">
        <f t="shared" ref="AM12" si="25">AQ34</f>
        <v>3375696340.1199999</v>
      </c>
      <c r="AN12" s="193">
        <f t="shared" ref="AN12" si="26">AR34</f>
        <v>3400082080.6599998</v>
      </c>
      <c r="AO12" s="193">
        <f t="shared" ref="AO12" si="27">AS34</f>
        <v>3358536216.3299999</v>
      </c>
      <c r="AP12" s="193">
        <f t="shared" ref="AP12" si="28">AT34</f>
        <v>3307763208.5799999</v>
      </c>
      <c r="AQ12" s="193">
        <f t="shared" ref="AQ12" si="29">AU34</f>
        <v>3300541529.6399999</v>
      </c>
      <c r="AR12" s="193">
        <f t="shared" ref="AR12" si="30">AV34</f>
        <v>3282300476.4299998</v>
      </c>
      <c r="AS12" s="193">
        <f t="shared" ref="AS12" si="31">AW34</f>
        <v>3561990867.2600002</v>
      </c>
      <c r="AT12" s="193">
        <f t="shared" ref="AT12" si="32">AX34</f>
        <v>3393306519.4499998</v>
      </c>
      <c r="AU12" s="193">
        <f t="shared" ref="AU12" si="33">AY34</f>
        <v>3380614536.4499998</v>
      </c>
      <c r="AV12" s="193">
        <f t="shared" ref="AV12" si="34">AZ34</f>
        <v>3387405050.9299998</v>
      </c>
      <c r="AW12" s="193">
        <f t="shared" ref="AW12" si="35">BA34</f>
        <v>3315377610.9499998</v>
      </c>
      <c r="AX12" s="193">
        <f t="shared" ref="AX12" si="36">BB34</f>
        <v>2977168063.4000001</v>
      </c>
      <c r="AY12" s="193">
        <f t="shared" ref="AY12" si="37">BC34</f>
        <v>2730481853.6799998</v>
      </c>
      <c r="AZ12" s="193">
        <f t="shared" ref="AZ12" si="38">BD34</f>
        <v>2255325807.1500001</v>
      </c>
      <c r="BA12" s="193">
        <f t="shared" ref="BA12" si="39">BE34</f>
        <v>1916581818.3599999</v>
      </c>
      <c r="BB12" s="193">
        <f t="shared" ref="BB12" si="40">BF34</f>
        <v>1419531129.03</v>
      </c>
      <c r="BC12" s="193">
        <f t="shared" ref="BC12" si="41">BG34</f>
        <v>1069835224.3900001</v>
      </c>
      <c r="BD12" s="193">
        <f t="shared" ref="BD12" si="42">BH34</f>
        <v>843918677.71000004</v>
      </c>
      <c r="BE12" s="193">
        <f t="shared" ref="BE12" si="43">BI34</f>
        <v>736163016.33000004</v>
      </c>
      <c r="BF12" s="193">
        <f t="shared" ref="BF12" si="44">BJ34</f>
        <v>557671110.63999999</v>
      </c>
      <c r="BG12" s="193">
        <f t="shared" ref="BG12" si="45">BK34</f>
        <v>467974029.53999996</v>
      </c>
      <c r="BH12" s="193">
        <f t="shared" ref="BH12" si="46">BL34</f>
        <v>432786363.17999995</v>
      </c>
      <c r="BI12" s="193">
        <f t="shared" ref="BI12" si="47">BM34</f>
        <v>405881649.25</v>
      </c>
      <c r="BJ12" s="193">
        <f t="shared" ref="BJ12" si="48">BN34</f>
        <v>341778130.64999998</v>
      </c>
      <c r="BK12" s="193">
        <f t="shared" ref="BK12" si="49">BO34</f>
        <v>298253766.31999999</v>
      </c>
      <c r="BL12" s="193">
        <f t="shared" ref="BL12" si="50">BP34</f>
        <v>279440792.93000001</v>
      </c>
      <c r="BM12" s="193">
        <f t="shared" ref="BM12" si="51">BQ34</f>
        <v>3677296943.1199999</v>
      </c>
      <c r="BN12" s="193">
        <f t="shared" ref="BN12" si="52">BR34</f>
        <v>3375696340.1199999</v>
      </c>
    </row>
    <row r="13" spans="1:74" s="220" customFormat="1" x14ac:dyDescent="0.25">
      <c r="A13" s="220" t="s">
        <v>350</v>
      </c>
      <c r="E13" s="220">
        <f>E11/E12</f>
        <v>0.12017324032358638</v>
      </c>
      <c r="F13" s="220">
        <f t="shared" ref="F13:AR13" si="53">F11/F12</f>
        <v>0.19283613496231206</v>
      </c>
      <c r="G13" s="220">
        <f t="shared" si="53"/>
        <v>9.9303994826616462E-2</v>
      </c>
      <c r="H13" s="220">
        <f t="shared" si="53"/>
        <v>8.3537381866345753E-2</v>
      </c>
      <c r="I13" s="220">
        <f t="shared" si="53"/>
        <v>0.23765470898245936</v>
      </c>
      <c r="J13" s="220">
        <f t="shared" si="53"/>
        <v>0.29211875136359938</v>
      </c>
      <c r="K13" s="220">
        <f t="shared" si="53"/>
        <v>8.8385868590959232E-2</v>
      </c>
      <c r="L13" s="220">
        <f t="shared" si="53"/>
        <v>6.3143997609036273E-2</v>
      </c>
      <c r="M13" s="220">
        <f t="shared" si="53"/>
        <v>0.28848493985278673</v>
      </c>
      <c r="N13" s="220">
        <f t="shared" si="53"/>
        <v>0.3404222276602959</v>
      </c>
      <c r="O13" s="220">
        <f t="shared" si="53"/>
        <v>0.1922147406360433</v>
      </c>
      <c r="P13" s="220">
        <f t="shared" si="53"/>
        <v>0.13507945511987018</v>
      </c>
      <c r="Q13" s="220">
        <f t="shared" si="53"/>
        <v>0.13663136249754915</v>
      </c>
      <c r="R13" s="220">
        <f t="shared" si="53"/>
        <v>0.17502563776950089</v>
      </c>
      <c r="S13" s="220">
        <f t="shared" si="53"/>
        <v>6.5098509476437638E-2</v>
      </c>
      <c r="T13" s="220">
        <f t="shared" si="53"/>
        <v>6.2373763899602842E-2</v>
      </c>
      <c r="U13" s="220">
        <f t="shared" si="53"/>
        <v>0.19088515658367985</v>
      </c>
      <c r="V13" s="220">
        <f t="shared" si="53"/>
        <v>0.23292042722312445</v>
      </c>
      <c r="W13" s="220">
        <f t="shared" si="53"/>
        <v>0.11124980389168099</v>
      </c>
      <c r="X13" s="220">
        <f t="shared" si="53"/>
        <v>0.11714665542951194</v>
      </c>
      <c r="Y13" s="220">
        <f t="shared" si="53"/>
        <v>0.47348794684663886</v>
      </c>
      <c r="Z13" s="220">
        <f t="shared" si="53"/>
        <v>0.43357030444499256</v>
      </c>
      <c r="AA13" s="220">
        <f t="shared" si="53"/>
        <v>0.17992068131523428</v>
      </c>
      <c r="AB13" s="220">
        <f t="shared" si="53"/>
        <v>7.6531437382534276E-2</v>
      </c>
      <c r="AC13" s="220">
        <f t="shared" si="53"/>
        <v>0.44197118736953306</v>
      </c>
      <c r="AD13" s="220">
        <f t="shared" si="53"/>
        <v>0.55440598459129986</v>
      </c>
      <c r="AE13" s="220" t="e">
        <f t="shared" si="53"/>
        <v>#DIV/0!</v>
      </c>
      <c r="AF13" s="220" t="e">
        <f t="shared" si="53"/>
        <v>#DIV/0!</v>
      </c>
      <c r="AG13" s="220" t="e">
        <f t="shared" si="53"/>
        <v>#DIV/0!</v>
      </c>
      <c r="AH13" s="220">
        <f t="shared" si="53"/>
        <v>1.2019725883830695E-2</v>
      </c>
      <c r="AI13" s="220">
        <f t="shared" si="53"/>
        <v>4.8909055022967503E-3</v>
      </c>
      <c r="AJ13" s="220">
        <f t="shared" si="53"/>
        <v>4.6420445869646059E-3</v>
      </c>
      <c r="AK13" s="220">
        <f t="shared" si="53"/>
        <v>0</v>
      </c>
      <c r="AL13" s="220">
        <f t="shared" si="53"/>
        <v>0.29207631108754628</v>
      </c>
      <c r="AM13" s="220">
        <f t="shared" si="53"/>
        <v>0.13732328008019856</v>
      </c>
      <c r="AN13" s="220">
        <f t="shared" si="53"/>
        <v>6.0837395528359518E-2</v>
      </c>
      <c r="AO13" s="220">
        <f t="shared" si="53"/>
        <v>0.21921114740114511</v>
      </c>
      <c r="AP13" s="220">
        <f t="shared" si="53"/>
        <v>0.18728629422537973</v>
      </c>
      <c r="AQ13" s="220">
        <f t="shared" si="53"/>
        <v>8.4338258794871696E-2</v>
      </c>
      <c r="AR13" s="220">
        <f t="shared" si="53"/>
        <v>0.1018435039724277</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20585000</v>
      </c>
      <c r="AT15" s="190">
        <v>20585000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row>
    <row r="16" spans="1:74" s="26" customFormat="1" x14ac:dyDescent="0.25">
      <c r="A16" s="17" t="s">
        <v>314</v>
      </c>
      <c r="B16" s="190">
        <v>0</v>
      </c>
      <c r="C16" s="190">
        <v>0</v>
      </c>
      <c r="D16" s="190">
        <v>0</v>
      </c>
      <c r="E16" s="190">
        <v>0</v>
      </c>
      <c r="F16" s="190">
        <v>0</v>
      </c>
      <c r="G16" s="190">
        <v>0</v>
      </c>
      <c r="H16" s="190">
        <v>0</v>
      </c>
      <c r="I16" s="190">
        <v>891869702.13</v>
      </c>
      <c r="J16" s="190">
        <v>891869702.51999998</v>
      </c>
      <c r="K16" s="190">
        <v>896988543.84000003</v>
      </c>
      <c r="L16" s="190">
        <v>906764353.39999998</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35607731.289999999</v>
      </c>
      <c r="AD16" s="190">
        <v>35607731.289999999</v>
      </c>
      <c r="AE16" s="190">
        <v>35607731.289999999</v>
      </c>
      <c r="AF16" s="190">
        <v>29547519.329999998</v>
      </c>
      <c r="AG16" s="190">
        <v>13414505.08</v>
      </c>
      <c r="AH16" s="190">
        <v>0</v>
      </c>
      <c r="AI16" s="190">
        <v>0</v>
      </c>
      <c r="AJ16" s="190">
        <v>0</v>
      </c>
      <c r="AK16" s="190">
        <v>0</v>
      </c>
      <c r="AL16" s="190">
        <v>72979056.739999995</v>
      </c>
      <c r="AM16" s="190">
        <v>72979056.739999995</v>
      </c>
      <c r="AN16" s="190">
        <v>72979056.739999995</v>
      </c>
      <c r="AO16" s="190">
        <v>72979056.739999995</v>
      </c>
      <c r="AP16" s="190">
        <v>72979056.739999995</v>
      </c>
      <c r="AQ16" s="190">
        <v>72979056.739999995</v>
      </c>
      <c r="AR16" s="190">
        <v>72979056.739999995</v>
      </c>
      <c r="AS16" s="190">
        <v>72979056.739999995</v>
      </c>
      <c r="AT16" s="190">
        <v>72979056.739999995</v>
      </c>
      <c r="AU16" s="190">
        <v>72979056.739999995</v>
      </c>
      <c r="AV16" s="190">
        <v>72979056.739999995</v>
      </c>
      <c r="AW16" s="190">
        <v>72979056.739999995</v>
      </c>
      <c r="AX16" s="190">
        <v>72979056.739999995</v>
      </c>
      <c r="AY16" s="190">
        <v>72979056.739999995</v>
      </c>
      <c r="AZ16" s="190">
        <v>72979056.739999995</v>
      </c>
      <c r="BA16" s="190">
        <v>72979056.739999995</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row>
    <row r="17" spans="1:74" s="47" customFormat="1" x14ac:dyDescent="0.25">
      <c r="A17" s="136" t="s">
        <v>298</v>
      </c>
      <c r="E17" s="47">
        <f>E16-E15</f>
        <v>0</v>
      </c>
      <c r="F17" s="47">
        <f t="shared" ref="F17:AV17" si="54">F16-F15</f>
        <v>0</v>
      </c>
      <c r="G17" s="47">
        <f t="shared" si="54"/>
        <v>0</v>
      </c>
      <c r="H17" s="47">
        <f t="shared" si="54"/>
        <v>0</v>
      </c>
      <c r="I17" s="47">
        <f t="shared" si="54"/>
        <v>891869702.13</v>
      </c>
      <c r="J17" s="47">
        <f t="shared" si="54"/>
        <v>891869702.51999998</v>
      </c>
      <c r="K17" s="47">
        <f t="shared" si="54"/>
        <v>896988543.84000003</v>
      </c>
      <c r="L17" s="47">
        <f t="shared" si="54"/>
        <v>906764353.39999998</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35607731.289999999</v>
      </c>
      <c r="AD17" s="47">
        <f t="shared" si="54"/>
        <v>35607731.289999999</v>
      </c>
      <c r="AE17" s="47">
        <f t="shared" si="54"/>
        <v>35607731.289999999</v>
      </c>
      <c r="AF17" s="47">
        <f t="shared" si="54"/>
        <v>29547519.329999998</v>
      </c>
      <c r="AG17" s="47">
        <f t="shared" si="54"/>
        <v>13414505.08</v>
      </c>
      <c r="AH17" s="47">
        <f t="shared" si="54"/>
        <v>0</v>
      </c>
      <c r="AI17" s="47">
        <f t="shared" si="54"/>
        <v>0</v>
      </c>
      <c r="AJ17" s="47">
        <f t="shared" si="54"/>
        <v>0</v>
      </c>
      <c r="AK17" s="47">
        <f t="shared" si="54"/>
        <v>0</v>
      </c>
      <c r="AL17" s="47">
        <f t="shared" si="54"/>
        <v>72979056.739999995</v>
      </c>
      <c r="AM17" s="47">
        <f t="shared" si="54"/>
        <v>72979056.739999995</v>
      </c>
      <c r="AN17" s="47">
        <f t="shared" si="54"/>
        <v>72979056.739999995</v>
      </c>
      <c r="AO17" s="47">
        <f t="shared" si="54"/>
        <v>72979056.739999995</v>
      </c>
      <c r="AP17" s="47">
        <f t="shared" si="54"/>
        <v>72979056.739999995</v>
      </c>
      <c r="AQ17" s="47">
        <f t="shared" si="54"/>
        <v>72979056.739999995</v>
      </c>
      <c r="AR17" s="47">
        <f t="shared" si="54"/>
        <v>72979056.739999995</v>
      </c>
      <c r="AS17" s="47">
        <f t="shared" si="54"/>
        <v>52394056.739999995</v>
      </c>
      <c r="AT17" s="47">
        <f t="shared" si="54"/>
        <v>52394056.739999995</v>
      </c>
      <c r="AU17" s="47">
        <f t="shared" si="54"/>
        <v>72979056.739999995</v>
      </c>
      <c r="AV17" s="47">
        <f t="shared" si="54"/>
        <v>72979056.739999995</v>
      </c>
    </row>
    <row r="18" spans="1:74" s="48" customFormat="1" x14ac:dyDescent="0.25">
      <c r="A18" s="46" t="s">
        <v>294</v>
      </c>
    </row>
    <row r="19" spans="1:74" s="193" customFormat="1" x14ac:dyDescent="0.25">
      <c r="A19" s="193" t="s">
        <v>299</v>
      </c>
      <c r="E19" s="193">
        <f>E5+E17</f>
        <v>382981784.89999998</v>
      </c>
      <c r="F19" s="193">
        <f t="shared" ref="F19:AS19" si="55">F5+F17</f>
        <v>275477685.16000003</v>
      </c>
      <c r="G19" s="193">
        <f t="shared" si="55"/>
        <v>216797048.87</v>
      </c>
      <c r="H19" s="193">
        <f t="shared" si="55"/>
        <v>103881813.39</v>
      </c>
      <c r="I19" s="193">
        <f t="shared" si="55"/>
        <v>1335645776.6800001</v>
      </c>
      <c r="J19" s="193">
        <f t="shared" si="55"/>
        <v>1214377979.49</v>
      </c>
      <c r="K19" s="193">
        <f t="shared" si="55"/>
        <v>1061486890.76</v>
      </c>
      <c r="L19" s="193">
        <f t="shared" si="55"/>
        <v>966280232.25999999</v>
      </c>
      <c r="M19" s="193">
        <f t="shared" si="55"/>
        <v>355251443.25</v>
      </c>
      <c r="N19" s="193">
        <f t="shared" si="55"/>
        <v>277703252.17000002</v>
      </c>
      <c r="O19" s="193">
        <f t="shared" si="55"/>
        <v>202497730.88</v>
      </c>
      <c r="P19" s="193">
        <f t="shared" si="55"/>
        <v>106417918.25999999</v>
      </c>
      <c r="Q19" s="193">
        <f t="shared" si="55"/>
        <v>188788952.09999999</v>
      </c>
      <c r="R19" s="193">
        <f t="shared" si="55"/>
        <v>129782656.73999999</v>
      </c>
      <c r="S19" s="193">
        <f t="shared" si="55"/>
        <v>84855837.63000001</v>
      </c>
      <c r="T19" s="193">
        <f t="shared" si="55"/>
        <v>42866405.990000002</v>
      </c>
      <c r="U19" s="193">
        <f t="shared" si="55"/>
        <v>190169166.86999997</v>
      </c>
      <c r="V19" s="193">
        <f t="shared" si="55"/>
        <v>129443911.8</v>
      </c>
      <c r="W19" s="193">
        <f t="shared" si="55"/>
        <v>79882060.739999995</v>
      </c>
      <c r="X19" s="193">
        <f t="shared" si="55"/>
        <v>50117139.409999996</v>
      </c>
      <c r="Y19" s="193">
        <f t="shared" si="55"/>
        <v>243949689.86000001</v>
      </c>
      <c r="Z19" s="193">
        <f t="shared" si="55"/>
        <v>171933835.03</v>
      </c>
      <c r="AA19" s="193">
        <f t="shared" si="55"/>
        <v>90454924.260000005</v>
      </c>
      <c r="AB19" s="193">
        <f t="shared" si="55"/>
        <v>26137344.390000001</v>
      </c>
      <c r="AC19" s="193">
        <f t="shared" si="55"/>
        <v>161921820.75</v>
      </c>
      <c r="AD19" s="193">
        <f t="shared" si="55"/>
        <v>136288727.03999999</v>
      </c>
      <c r="AE19" s="193">
        <f t="shared" si="55"/>
        <v>110548081.34</v>
      </c>
      <c r="AF19" s="193">
        <f t="shared" si="55"/>
        <v>66759918.889999993</v>
      </c>
      <c r="AG19" s="193">
        <f t="shared" si="55"/>
        <v>95548808.349999994</v>
      </c>
      <c r="AH19" s="193">
        <f t="shared" si="55"/>
        <v>57254311.390000001</v>
      </c>
      <c r="AI19" s="193">
        <f t="shared" si="55"/>
        <v>39015549.149999999</v>
      </c>
      <c r="AJ19" s="193">
        <f t="shared" si="55"/>
        <v>35632246.770000003</v>
      </c>
      <c r="AK19" s="193">
        <f t="shared" si="55"/>
        <v>0</v>
      </c>
      <c r="AL19" s="193">
        <f t="shared" si="55"/>
        <v>1151753257.4100001</v>
      </c>
      <c r="AM19" s="193">
        <f t="shared" si="55"/>
        <v>681455236.38999999</v>
      </c>
      <c r="AN19" s="193">
        <f t="shared" si="55"/>
        <v>284554069.86000001</v>
      </c>
      <c r="AO19" s="193">
        <f t="shared" si="55"/>
        <v>1081545207.8399999</v>
      </c>
      <c r="AP19" s="193">
        <f t="shared" si="55"/>
        <v>692477770.25</v>
      </c>
      <c r="AQ19" s="193">
        <f t="shared" si="55"/>
        <v>480487275.02000004</v>
      </c>
      <c r="AR19" s="193">
        <f t="shared" si="55"/>
        <v>407260038.35000002</v>
      </c>
      <c r="AS19" s="193">
        <f t="shared" si="55"/>
        <v>52394056.739999995</v>
      </c>
    </row>
    <row r="20" spans="1:74" s="193" customFormat="1" x14ac:dyDescent="0.25">
      <c r="A20" s="193" t="s">
        <v>300</v>
      </c>
      <c r="B20" s="193">
        <v>336245150.81</v>
      </c>
      <c r="C20" s="193">
        <v>222163951.55000001</v>
      </c>
      <c r="D20" s="193">
        <v>95638135.140000001</v>
      </c>
      <c r="E20" s="193">
        <v>612280415.13</v>
      </c>
      <c r="F20" s="193">
        <v>524013685.56</v>
      </c>
      <c r="G20" s="193">
        <v>388747462.31999999</v>
      </c>
      <c r="H20" s="193">
        <v>257293820.97999999</v>
      </c>
      <c r="I20" s="193">
        <v>152654463.16999999</v>
      </c>
      <c r="J20" s="193">
        <v>145353901.49000001</v>
      </c>
      <c r="K20" s="193">
        <v>86112662.510000005</v>
      </c>
      <c r="L20" s="193">
        <v>102339094.16</v>
      </c>
      <c r="M20" s="193">
        <v>366599551.26999998</v>
      </c>
      <c r="N20" s="193">
        <v>301398516.12</v>
      </c>
      <c r="O20" s="193">
        <v>176387130.99000001</v>
      </c>
      <c r="P20" s="193">
        <v>133686240.64</v>
      </c>
      <c r="Q20" s="193">
        <v>143375664.33000001</v>
      </c>
      <c r="R20" s="193">
        <v>129319731.53</v>
      </c>
      <c r="S20" s="193">
        <v>56104951.130000003</v>
      </c>
      <c r="T20" s="193">
        <v>25001014.359999999</v>
      </c>
      <c r="U20" s="193">
        <v>198143305.22999999</v>
      </c>
      <c r="V20" s="193">
        <v>128871538</v>
      </c>
      <c r="W20" s="193">
        <v>65391736.07</v>
      </c>
      <c r="X20" s="193">
        <v>28403041.719999999</v>
      </c>
      <c r="Y20" s="193">
        <v>66414783.799999997</v>
      </c>
      <c r="Z20" s="193">
        <v>63801535.789999999</v>
      </c>
      <c r="AA20" s="193">
        <v>31337114.91</v>
      </c>
      <c r="AB20" s="193">
        <v>59383.69</v>
      </c>
      <c r="AC20" s="193">
        <v>189079188.53</v>
      </c>
      <c r="AD20" s="193">
        <v>216560178.52000001</v>
      </c>
      <c r="AE20" s="193">
        <v>144211016.88</v>
      </c>
      <c r="AF20" s="193">
        <v>52098792.939999998</v>
      </c>
      <c r="AG20" s="193">
        <v>156068852.72</v>
      </c>
      <c r="AH20" s="193">
        <v>117420567.38</v>
      </c>
      <c r="AI20" s="193">
        <v>94704915.730000004</v>
      </c>
      <c r="AJ20" s="193">
        <v>64957959.640000001</v>
      </c>
      <c r="AK20" s="193">
        <v>0</v>
      </c>
      <c r="AL20" s="193">
        <v>971572847.78999996</v>
      </c>
      <c r="AM20" s="193">
        <v>1037731137.3200001</v>
      </c>
      <c r="AN20" s="193">
        <v>500247022.56</v>
      </c>
      <c r="AO20" s="193">
        <v>2000204491.3900001</v>
      </c>
      <c r="AP20" s="193">
        <v>892259381.87</v>
      </c>
      <c r="AQ20" s="193">
        <v>477364493.25</v>
      </c>
      <c r="AR20" s="193">
        <v>25279397.539999999</v>
      </c>
      <c r="AS20" s="193">
        <v>1282377054.47</v>
      </c>
      <c r="AT20" s="193">
        <v>1160994477.8499999</v>
      </c>
      <c r="AU20" s="193">
        <v>569187150.11000001</v>
      </c>
      <c r="AV20" s="193">
        <v>96061223.269999996</v>
      </c>
      <c r="AW20" s="193">
        <v>932348065.53999996</v>
      </c>
      <c r="AX20" s="193">
        <v>688901516.20000005</v>
      </c>
      <c r="AY20" s="193">
        <v>374889372.88</v>
      </c>
      <c r="AZ20" s="193">
        <v>96915024.75</v>
      </c>
      <c r="BA20" s="193">
        <v>827396286.11000001</v>
      </c>
      <c r="BB20" s="193">
        <v>563138867.80999994</v>
      </c>
      <c r="BC20" s="193">
        <v>307046407.83999997</v>
      </c>
      <c r="BD20" s="193">
        <v>279545545.48000002</v>
      </c>
      <c r="BE20" s="193">
        <v>203227700.44999999</v>
      </c>
      <c r="BF20" s="193">
        <v>284809595.38999999</v>
      </c>
      <c r="BG20" s="193">
        <v>289387069.45999998</v>
      </c>
      <c r="BH20" s="193">
        <v>80152588.599999994</v>
      </c>
      <c r="BI20" s="193">
        <v>374222722.25</v>
      </c>
      <c r="BJ20" s="193">
        <v>316474185.83999997</v>
      </c>
      <c r="BK20" s="193">
        <v>126099964.81999999</v>
      </c>
      <c r="BL20" s="193">
        <v>34925382.18</v>
      </c>
      <c r="BM20" s="193">
        <v>123979697.90000001</v>
      </c>
      <c r="BN20" s="193">
        <v>727757.03</v>
      </c>
      <c r="BO20" s="193">
        <v>84766521.489999995</v>
      </c>
      <c r="BP20" s="193">
        <v>32597122.539999999</v>
      </c>
      <c r="BQ20" s="193">
        <v>84086054.370000005</v>
      </c>
      <c r="BR20" s="193">
        <v>-11879172.720000001</v>
      </c>
      <c r="BS20" s="193">
        <v>54437569.759999998</v>
      </c>
      <c r="BT20" s="193">
        <v>0</v>
      </c>
    </row>
    <row r="21" spans="1:74" s="221" customFormat="1" x14ac:dyDescent="0.25">
      <c r="A21" s="221" t="s">
        <v>668</v>
      </c>
      <c r="E21" s="221">
        <f>E20/E19</f>
        <v>1.5987194150496531</v>
      </c>
      <c r="F21" s="221">
        <f t="shared" ref="F21:AS21" si="56">F20/F19</f>
        <v>1.9022001192425002</v>
      </c>
      <c r="G21" s="221">
        <f t="shared" si="56"/>
        <v>1.793140009729137</v>
      </c>
      <c r="H21" s="221">
        <f t="shared" si="56"/>
        <v>2.4767937002991123</v>
      </c>
      <c r="I21" s="221">
        <f t="shared" si="56"/>
        <v>0.11429262596064317</v>
      </c>
      <c r="J21" s="221">
        <f t="shared" si="56"/>
        <v>0.11969411826048099</v>
      </c>
      <c r="K21" s="221">
        <f t="shared" si="56"/>
        <v>8.1124565229764953E-2</v>
      </c>
      <c r="L21" s="221">
        <f t="shared" si="56"/>
        <v>0.10591036714126147</v>
      </c>
      <c r="M21" s="221">
        <f t="shared" si="56"/>
        <v>1.0319438759099255</v>
      </c>
      <c r="N21" s="221">
        <f t="shared" si="56"/>
        <v>1.0853258424769709</v>
      </c>
      <c r="O21" s="221">
        <f t="shared" si="56"/>
        <v>0.87105732110414058</v>
      </c>
      <c r="P21" s="221">
        <f t="shared" si="56"/>
        <v>1.2562380736802059</v>
      </c>
      <c r="Q21" s="221">
        <f t="shared" si="56"/>
        <v>0.75944944201001274</v>
      </c>
      <c r="R21" s="221">
        <f t="shared" si="56"/>
        <v>0.99643307340419607</v>
      </c>
      <c r="S21" s="221">
        <f t="shared" si="56"/>
        <v>0.66117962767201066</v>
      </c>
      <c r="T21" s="221">
        <f t="shared" si="56"/>
        <v>0.58323094233354456</v>
      </c>
      <c r="U21" s="221">
        <f t="shared" si="56"/>
        <v>1.0419318151898469</v>
      </c>
      <c r="V21" s="221">
        <f t="shared" si="56"/>
        <v>0.99557820995950463</v>
      </c>
      <c r="W21" s="221">
        <f t="shared" si="56"/>
        <v>0.81860351954160171</v>
      </c>
      <c r="X21" s="221">
        <f t="shared" si="56"/>
        <v>0.56673309878362033</v>
      </c>
      <c r="Y21" s="221">
        <f t="shared" si="56"/>
        <v>0.2722478714283863</v>
      </c>
      <c r="Z21" s="221">
        <f t="shared" si="56"/>
        <v>0.37108190938024238</v>
      </c>
      <c r="AA21" s="221">
        <f t="shared" si="56"/>
        <v>0.34643901552474748</v>
      </c>
      <c r="AB21" s="221">
        <f t="shared" si="56"/>
        <v>2.2719863622686878E-3</v>
      </c>
      <c r="AC21" s="221">
        <f t="shared" si="56"/>
        <v>1.1677190118923486</v>
      </c>
      <c r="AD21" s="221">
        <f t="shared" si="56"/>
        <v>1.5889808586768941</v>
      </c>
      <c r="AE21" s="221">
        <f t="shared" si="56"/>
        <v>1.3045094508376567</v>
      </c>
      <c r="AF21" s="221">
        <f t="shared" si="56"/>
        <v>0.78039029714585084</v>
      </c>
      <c r="AG21" s="221">
        <f t="shared" si="56"/>
        <v>1.6333940256827912</v>
      </c>
      <c r="AH21" s="221">
        <f t="shared" si="56"/>
        <v>2.050859830977001</v>
      </c>
      <c r="AI21" s="221">
        <f t="shared" si="56"/>
        <v>2.4273633921156792</v>
      </c>
      <c r="AJ21" s="221">
        <f t="shared" si="56"/>
        <v>1.8230104898883421</v>
      </c>
      <c r="AK21" s="221" t="e">
        <f t="shared" si="56"/>
        <v>#DIV/0!</v>
      </c>
      <c r="AL21" s="221">
        <f t="shared" si="56"/>
        <v>0.84355988710187801</v>
      </c>
      <c r="AM21" s="221">
        <f t="shared" si="56"/>
        <v>1.5228162935798497</v>
      </c>
      <c r="AN21" s="221">
        <f t="shared" si="56"/>
        <v>1.7580034009217316</v>
      </c>
      <c r="AO21" s="221">
        <f t="shared" si="56"/>
        <v>1.8493951772803783</v>
      </c>
      <c r="AP21" s="221">
        <f t="shared" si="56"/>
        <v>1.2885025631189206</v>
      </c>
      <c r="AQ21" s="221">
        <f t="shared" si="56"/>
        <v>0.99350080234722127</v>
      </c>
      <c r="AR21" s="221">
        <f t="shared" si="56"/>
        <v>6.2071883218443445E-2</v>
      </c>
      <c r="AS21" s="221">
        <f t="shared" si="56"/>
        <v>24.475620600131453</v>
      </c>
    </row>
    <row r="22" spans="1:74" s="193" customFormat="1" x14ac:dyDescent="0.25">
      <c r="A22" s="193" t="s">
        <v>301</v>
      </c>
      <c r="E22" s="193">
        <f>I35</f>
        <v>497394672.38</v>
      </c>
      <c r="F22" s="193">
        <f t="shared" ref="F22:Y22" si="57">J35</f>
        <v>1041896896.37</v>
      </c>
      <c r="G22" s="193">
        <f t="shared" si="57"/>
        <v>388776166.88</v>
      </c>
      <c r="H22" s="193">
        <f t="shared" si="57"/>
        <v>680598376.45000005</v>
      </c>
      <c r="I22" s="193">
        <f t="shared" si="57"/>
        <v>696197785.22000003</v>
      </c>
      <c r="J22" s="193">
        <f t="shared" si="57"/>
        <v>690790735.84000003</v>
      </c>
      <c r="K22" s="193">
        <f t="shared" si="57"/>
        <v>641525323.09000003</v>
      </c>
      <c r="L22" s="193">
        <f t="shared" si="57"/>
        <v>1255365928.1900001</v>
      </c>
      <c r="M22" s="193">
        <f t="shared" si="57"/>
        <v>234632252.44</v>
      </c>
      <c r="N22" s="193">
        <f t="shared" si="57"/>
        <v>276684977.61000001</v>
      </c>
      <c r="O22" s="193">
        <f t="shared" si="57"/>
        <v>249178979.92000002</v>
      </c>
      <c r="P22" s="193">
        <f t="shared" si="57"/>
        <v>310229232.98000002</v>
      </c>
      <c r="Q22" s="193">
        <f t="shared" si="57"/>
        <v>322460861.60000002</v>
      </c>
      <c r="R22" s="193">
        <f t="shared" si="57"/>
        <v>306954505.58999997</v>
      </c>
      <c r="S22" s="193">
        <f t="shared" si="57"/>
        <v>296309711.63999999</v>
      </c>
      <c r="T22" s="193">
        <f t="shared" si="57"/>
        <v>419339678.55000001</v>
      </c>
      <c r="U22" s="193">
        <f t="shared" si="57"/>
        <v>433419520.76999998</v>
      </c>
      <c r="V22" s="193">
        <f t="shared" si="57"/>
        <v>413831417.81</v>
      </c>
      <c r="W22" s="193">
        <f t="shared" si="57"/>
        <v>460824111.80000001</v>
      </c>
      <c r="X22" s="193">
        <f t="shared" si="57"/>
        <v>596710534.11000001</v>
      </c>
      <c r="Y22" s="193">
        <f t="shared" si="57"/>
        <v>847566521.58000004</v>
      </c>
      <c r="Z22" s="193">
        <f t="shared" ref="Z22" si="58">AD35</f>
        <v>29624772.98</v>
      </c>
      <c r="AA22" s="193">
        <f t="shared" ref="AA22" si="59">AE35</f>
        <v>44141747.770000003</v>
      </c>
      <c r="AB22" s="193">
        <f t="shared" ref="AB22" si="60">AF35</f>
        <v>49695104.770000003</v>
      </c>
      <c r="AC22" s="193">
        <f t="shared" ref="AC22" si="61">AG35</f>
        <v>99638795.879999995</v>
      </c>
      <c r="AD22" s="193">
        <f t="shared" ref="AD22" si="62">AH35</f>
        <v>47811682.519999996</v>
      </c>
      <c r="AE22" s="193">
        <f t="shared" ref="AE22" si="63">AI35</f>
        <v>0</v>
      </c>
      <c r="AF22" s="193">
        <f t="shared" ref="AF22" si="64">AJ35</f>
        <v>0</v>
      </c>
      <c r="AG22" s="193">
        <f t="shared" ref="AG22" si="65">AK35</f>
        <v>0</v>
      </c>
      <c r="AH22" s="193">
        <f t="shared" ref="AH22" si="66">AL35</f>
        <v>0</v>
      </c>
      <c r="AI22" s="193">
        <f t="shared" ref="AI22" si="67">AM35</f>
        <v>0</v>
      </c>
      <c r="AJ22" s="193">
        <f t="shared" ref="AJ22" si="68">AN35</f>
        <v>0</v>
      </c>
      <c r="AK22" s="193">
        <f t="shared" ref="AK22" si="69">AO35</f>
        <v>0</v>
      </c>
      <c r="AL22" s="193">
        <f t="shared" ref="AL22" si="70">AP35</f>
        <v>0</v>
      </c>
      <c r="AM22" s="193">
        <f t="shared" ref="AM22" si="71">AQ35</f>
        <v>0</v>
      </c>
      <c r="AN22" s="193">
        <f t="shared" ref="AN22" si="72">AR35</f>
        <v>0</v>
      </c>
      <c r="AO22" s="193">
        <f t="shared" ref="AO22" si="73">AS35</f>
        <v>0</v>
      </c>
      <c r="AP22" s="193">
        <f t="shared" ref="AP22" si="74">AT35</f>
        <v>0</v>
      </c>
      <c r="AQ22" s="193">
        <f t="shared" ref="AQ22" si="75">AU35</f>
        <v>0</v>
      </c>
      <c r="AR22" s="193">
        <f t="shared" ref="AR22" si="76">AV35</f>
        <v>0</v>
      </c>
      <c r="AS22" s="193">
        <f t="shared" ref="AS22" si="77">AW35</f>
        <v>0</v>
      </c>
    </row>
    <row r="23" spans="1:74" s="193" customFormat="1" x14ac:dyDescent="0.25">
      <c r="A23" s="193" t="s">
        <v>302</v>
      </c>
      <c r="E23" s="193">
        <f>E20+E22-E19</f>
        <v>726693302.61000001</v>
      </c>
      <c r="F23" s="193">
        <f t="shared" ref="F23:AS23" si="78">F20+F22-F19</f>
        <v>1290432896.77</v>
      </c>
      <c r="G23" s="193">
        <f t="shared" si="78"/>
        <v>560726580.33000004</v>
      </c>
      <c r="H23" s="193">
        <f t="shared" si="78"/>
        <v>834010384.04000008</v>
      </c>
      <c r="I23" s="193">
        <f t="shared" si="78"/>
        <v>-486793528.29000008</v>
      </c>
      <c r="J23" s="193">
        <f t="shared" si="78"/>
        <v>-378233342.15999997</v>
      </c>
      <c r="K23" s="193">
        <f t="shared" si="78"/>
        <v>-333848905.15999997</v>
      </c>
      <c r="L23" s="193">
        <f t="shared" si="78"/>
        <v>391424790.09000015</v>
      </c>
      <c r="M23" s="193">
        <f t="shared" si="78"/>
        <v>245980360.46000004</v>
      </c>
      <c r="N23" s="193">
        <f t="shared" si="78"/>
        <v>300380241.56</v>
      </c>
      <c r="O23" s="193">
        <f t="shared" si="78"/>
        <v>223068380.03000003</v>
      </c>
      <c r="P23" s="193">
        <f t="shared" si="78"/>
        <v>337497555.36000001</v>
      </c>
      <c r="Q23" s="193">
        <f t="shared" si="78"/>
        <v>277047573.83000004</v>
      </c>
      <c r="R23" s="193">
        <f t="shared" si="78"/>
        <v>306491580.38</v>
      </c>
      <c r="S23" s="193">
        <f t="shared" si="78"/>
        <v>267558825.13999999</v>
      </c>
      <c r="T23" s="193">
        <f t="shared" si="78"/>
        <v>401474286.92000002</v>
      </c>
      <c r="U23" s="193">
        <f t="shared" si="78"/>
        <v>441393659.13</v>
      </c>
      <c r="V23" s="193">
        <f t="shared" si="78"/>
        <v>413259044.00999993</v>
      </c>
      <c r="W23" s="193">
        <f t="shared" si="78"/>
        <v>446333787.13</v>
      </c>
      <c r="X23" s="193">
        <f t="shared" si="78"/>
        <v>574996436.42000008</v>
      </c>
      <c r="Y23" s="193">
        <f t="shared" si="78"/>
        <v>670031615.51999998</v>
      </c>
      <c r="Z23" s="193">
        <f t="shared" si="78"/>
        <v>-78507526.260000005</v>
      </c>
      <c r="AA23" s="193">
        <f t="shared" si="78"/>
        <v>-14976061.579999998</v>
      </c>
      <c r="AB23" s="193">
        <f t="shared" si="78"/>
        <v>23617144.07</v>
      </c>
      <c r="AC23" s="193">
        <f t="shared" si="78"/>
        <v>126796163.65999997</v>
      </c>
      <c r="AD23" s="193">
        <f t="shared" si="78"/>
        <v>128083134.00000003</v>
      </c>
      <c r="AE23" s="193">
        <f t="shared" si="78"/>
        <v>33662935.539999992</v>
      </c>
      <c r="AF23" s="193">
        <f t="shared" si="78"/>
        <v>-14661125.949999996</v>
      </c>
      <c r="AG23" s="193">
        <f t="shared" si="78"/>
        <v>60520044.370000005</v>
      </c>
      <c r="AH23" s="193">
        <f t="shared" si="78"/>
        <v>60166255.989999995</v>
      </c>
      <c r="AI23" s="193">
        <f t="shared" si="78"/>
        <v>55689366.580000006</v>
      </c>
      <c r="AJ23" s="193">
        <f t="shared" si="78"/>
        <v>29325712.869999997</v>
      </c>
      <c r="AK23" s="193">
        <f t="shared" si="78"/>
        <v>0</v>
      </c>
      <c r="AL23" s="193">
        <f t="shared" si="78"/>
        <v>-180180409.62000012</v>
      </c>
      <c r="AM23" s="193">
        <f t="shared" si="78"/>
        <v>356275900.93000007</v>
      </c>
      <c r="AN23" s="193">
        <f t="shared" si="78"/>
        <v>215692952.69999999</v>
      </c>
      <c r="AO23" s="193">
        <f t="shared" si="78"/>
        <v>918659283.55000019</v>
      </c>
      <c r="AP23" s="193">
        <f t="shared" si="78"/>
        <v>199781611.62</v>
      </c>
      <c r="AQ23" s="193">
        <f t="shared" si="78"/>
        <v>-3122781.7700000405</v>
      </c>
      <c r="AR23" s="193">
        <f t="shared" si="78"/>
        <v>-381980640.81</v>
      </c>
      <c r="AS23" s="193">
        <f t="shared" si="78"/>
        <v>1229982997.73</v>
      </c>
    </row>
    <row r="24" spans="1:74" s="221" customFormat="1" x14ac:dyDescent="0.25">
      <c r="A24" s="221" t="s">
        <v>303</v>
      </c>
      <c r="B24" s="193">
        <v>20756423.41</v>
      </c>
      <c r="C24" s="193">
        <v>21351976.27</v>
      </c>
      <c r="D24" s="193">
        <v>-544245.64</v>
      </c>
      <c r="E24" s="193">
        <v>-130014013.08</v>
      </c>
      <c r="F24" s="193">
        <v>-129067452.18000001</v>
      </c>
      <c r="G24" s="193">
        <v>-129366766.76000001</v>
      </c>
      <c r="H24" s="193">
        <v>-782552.05</v>
      </c>
      <c r="I24" s="193">
        <v>870107918.21000004</v>
      </c>
      <c r="J24" s="193">
        <v>1336609335.0799999</v>
      </c>
      <c r="K24" s="193">
        <v>656765165.41999996</v>
      </c>
      <c r="L24" s="193">
        <v>704005371.42999995</v>
      </c>
      <c r="M24" s="193">
        <v>925528561.24000001</v>
      </c>
      <c r="N24" s="193">
        <v>925528561.24000001</v>
      </c>
      <c r="O24" s="193">
        <v>925528561.24000001</v>
      </c>
      <c r="P24" s="193">
        <v>993394766.67999995</v>
      </c>
      <c r="Q24" s="193">
        <v>-46164658.409999996</v>
      </c>
      <c r="R24" s="193">
        <v>-47183673.039999999</v>
      </c>
      <c r="S24" s="193">
        <v>-46825469.310000002</v>
      </c>
      <c r="T24" s="193">
        <v>6243174.4100000001</v>
      </c>
      <c r="U24" s="193">
        <v>-109764360.47</v>
      </c>
      <c r="V24" s="193">
        <v>-118131806.03</v>
      </c>
      <c r="W24" s="193">
        <v>-116775599.72</v>
      </c>
      <c r="X24" s="193">
        <v>11806305.689999999</v>
      </c>
      <c r="Y24" s="193">
        <v>-239090110.02000001</v>
      </c>
      <c r="Z24" s="193">
        <v>-327527946.01999998</v>
      </c>
      <c r="AA24" s="193">
        <v>-327527946.01999998</v>
      </c>
      <c r="AB24" s="193">
        <v>-221887682.27000001</v>
      </c>
      <c r="AC24" s="193">
        <v>771860040.41999996</v>
      </c>
      <c r="AD24" s="193">
        <v>-98546115.840000004</v>
      </c>
      <c r="AE24" s="193">
        <v>-38231033.710000001</v>
      </c>
      <c r="AF24" s="193">
        <v>11148962.82</v>
      </c>
      <c r="AG24" s="193">
        <v>-88499921.239999995</v>
      </c>
      <c r="AH24" s="193">
        <v>-126969776.14</v>
      </c>
      <c r="AI24" s="193">
        <v>-2556205.9500000002</v>
      </c>
      <c r="AJ24" s="193">
        <v>10972894.08</v>
      </c>
      <c r="AK24" s="193">
        <v>0</v>
      </c>
      <c r="AL24" s="221">
        <v>878115980.08000004</v>
      </c>
      <c r="AM24" s="221">
        <v>848464475.28999996</v>
      </c>
      <c r="AN24" s="221">
        <v>1005339550.22</v>
      </c>
      <c r="AO24" s="221">
        <v>-1164027199.5899999</v>
      </c>
      <c r="AP24" s="221">
        <v>-910105478.90999997</v>
      </c>
      <c r="AQ24" s="221">
        <v>-824271871.38999999</v>
      </c>
      <c r="AR24" s="221">
        <v>13317634.869999999</v>
      </c>
      <c r="AS24" s="221">
        <v>232303057.16999999</v>
      </c>
      <c r="AT24" s="221">
        <v>102340429.64</v>
      </c>
      <c r="AU24" s="221">
        <v>114682289.03</v>
      </c>
      <c r="AV24" s="221">
        <v>67733183.680000007</v>
      </c>
      <c r="AW24" s="221">
        <v>-377094583.62</v>
      </c>
      <c r="AX24" s="221">
        <v>-162665891.11000001</v>
      </c>
      <c r="AY24" s="221">
        <v>-96314213.319999993</v>
      </c>
      <c r="AZ24" s="221">
        <v>159510136.62</v>
      </c>
      <c r="BA24" s="221">
        <v>387539526.37</v>
      </c>
      <c r="BB24" s="221">
        <v>481367622.10000002</v>
      </c>
      <c r="BC24" s="221">
        <v>542189012.48000002</v>
      </c>
      <c r="BD24" s="221">
        <v>300535070.19999999</v>
      </c>
      <c r="BE24" s="221">
        <v>1164549226.24</v>
      </c>
      <c r="BF24" s="221">
        <v>641801556.5</v>
      </c>
      <c r="BG24" s="221">
        <v>423316961.5</v>
      </c>
      <c r="BH24" s="221">
        <v>46918681.5</v>
      </c>
      <c r="BI24" s="221">
        <v>60358944.159999996</v>
      </c>
      <c r="BJ24" s="221">
        <v>73839976.620000005</v>
      </c>
      <c r="BK24" s="221">
        <v>-63206828.630000003</v>
      </c>
      <c r="BL24" s="221">
        <v>14520783.07</v>
      </c>
      <c r="BM24" s="221">
        <v>30398650</v>
      </c>
      <c r="BN24" s="221">
        <v>-48000000</v>
      </c>
      <c r="BO24" s="221">
        <v>-102155502.83</v>
      </c>
      <c r="BP24" s="221">
        <v>-96355930.5</v>
      </c>
      <c r="BQ24" s="221">
        <v>432373011.86000001</v>
      </c>
      <c r="BR24" s="221">
        <v>15390719.83</v>
      </c>
      <c r="BS24" s="221">
        <v>2453913.44</v>
      </c>
      <c r="BT24" s="221">
        <v>0</v>
      </c>
    </row>
    <row r="25" spans="1:74" s="242" customFormat="1" ht="138.6" customHeight="1" x14ac:dyDescent="0.25">
      <c r="A25" s="272" t="s">
        <v>744</v>
      </c>
      <c r="B25" s="273"/>
      <c r="C25" s="273"/>
      <c r="D25" s="273"/>
      <c r="E25" s="273"/>
      <c r="F25" s="273"/>
      <c r="G25" s="273"/>
      <c r="H25" s="273"/>
      <c r="I25" s="273"/>
      <c r="J25" s="273"/>
      <c r="K25" s="273"/>
      <c r="L25" s="273"/>
      <c r="M25" s="273"/>
      <c r="N25" s="273"/>
      <c r="O25" s="273"/>
      <c r="P25" s="273"/>
      <c r="Q25" s="273"/>
      <c r="R25" s="273"/>
      <c r="S25" s="273"/>
      <c r="T25" s="273"/>
      <c r="U25" s="273"/>
      <c r="V25" s="273"/>
      <c r="W25" s="273"/>
      <c r="X25" s="273"/>
      <c r="Y25" s="273"/>
      <c r="Z25" s="273"/>
      <c r="AA25" s="273"/>
      <c r="AB25" s="273"/>
      <c r="AC25" s="273"/>
      <c r="AD25" s="273"/>
      <c r="AE25" s="273"/>
      <c r="AF25" s="273"/>
      <c r="AG25" s="273"/>
      <c r="AH25" s="273"/>
      <c r="AI25" s="273"/>
      <c r="AJ25" s="273"/>
      <c r="AK25" s="273"/>
    </row>
    <row r="26" spans="1:74" s="26" customFormat="1" x14ac:dyDescent="0.25">
      <c r="A26" s="17" t="s">
        <v>629</v>
      </c>
      <c r="E26" s="26">
        <f>现金流量表!E15</f>
        <v>0</v>
      </c>
      <c r="F26" s="26">
        <f>现金流量表!F15</f>
        <v>0</v>
      </c>
      <c r="G26" s="26">
        <f>现金流量表!G15</f>
        <v>0</v>
      </c>
      <c r="H26" s="26">
        <f>现金流量表!H15</f>
        <v>0</v>
      </c>
      <c r="I26" s="26">
        <f>现金流量表!I15</f>
        <v>0</v>
      </c>
      <c r="J26" s="26">
        <f>现金流量表!J15</f>
        <v>3238347.51</v>
      </c>
      <c r="K26" s="26">
        <f>现金流量表!K15</f>
        <v>3211382.4</v>
      </c>
      <c r="L26" s="26">
        <f>现金流量表!L15</f>
        <v>0</v>
      </c>
      <c r="M26" s="26">
        <f>现金流量表!M15</f>
        <v>113300</v>
      </c>
      <c r="N26" s="26">
        <f>现金流量表!N15</f>
        <v>500113300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630</v>
      </c>
      <c r="E27" s="26">
        <f>现金流量表!E22</f>
        <v>0</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7000000</v>
      </c>
      <c r="N27" s="26">
        <f>现金流量表!N22</f>
        <v>1007000000</v>
      </c>
      <c r="O27" s="26">
        <f>现金流量表!O22</f>
        <v>500000000</v>
      </c>
      <c r="P27" s="26">
        <f>现金流量表!P22</f>
        <v>0</v>
      </c>
      <c r="Q27" s="26">
        <f>现金流量表!Q22</f>
        <v>0</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631</v>
      </c>
      <c r="E28" s="26">
        <f>E27-E26</f>
        <v>0</v>
      </c>
      <c r="F28" s="26">
        <f t="shared" ref="F28:BQ28" si="79">F27-F26</f>
        <v>0</v>
      </c>
      <c r="G28" s="26">
        <f t="shared" si="79"/>
        <v>0</v>
      </c>
      <c r="H28" s="26">
        <f t="shared" si="79"/>
        <v>0</v>
      </c>
      <c r="I28" s="26">
        <f t="shared" si="79"/>
        <v>0</v>
      </c>
      <c r="J28" s="26">
        <f t="shared" si="79"/>
        <v>-3238347.51</v>
      </c>
      <c r="K28" s="26">
        <f t="shared" si="79"/>
        <v>-3211382.4</v>
      </c>
      <c r="L28" s="26">
        <f t="shared" si="79"/>
        <v>0</v>
      </c>
      <c r="M28" s="26">
        <f t="shared" si="79"/>
        <v>6886700</v>
      </c>
      <c r="N28" s="26">
        <f t="shared" si="79"/>
        <v>506886700</v>
      </c>
      <c r="O28" s="26">
        <f t="shared" si="79"/>
        <v>500000000</v>
      </c>
      <c r="P28" s="26">
        <f t="shared" si="79"/>
        <v>0</v>
      </c>
      <c r="Q28" s="26">
        <f t="shared" si="79"/>
        <v>0</v>
      </c>
      <c r="R28" s="26">
        <f t="shared" si="79"/>
        <v>0</v>
      </c>
      <c r="S28" s="26">
        <f t="shared" si="79"/>
        <v>0</v>
      </c>
      <c r="T28" s="26">
        <f t="shared" si="79"/>
        <v>0</v>
      </c>
      <c r="U28" s="26">
        <f t="shared" si="79"/>
        <v>0</v>
      </c>
      <c r="V28" s="26">
        <f t="shared" si="79"/>
        <v>0</v>
      </c>
      <c r="W28" s="26">
        <f t="shared" si="79"/>
        <v>0</v>
      </c>
      <c r="X28" s="26">
        <f t="shared" si="79"/>
        <v>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0</v>
      </c>
      <c r="AH28" s="26">
        <f t="shared" si="79"/>
        <v>0</v>
      </c>
      <c r="AI28" s="26">
        <f t="shared" si="79"/>
        <v>0</v>
      </c>
      <c r="AJ28" s="26">
        <f t="shared" si="79"/>
        <v>0</v>
      </c>
      <c r="AK28" s="26">
        <f t="shared" si="79"/>
        <v>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632</v>
      </c>
      <c r="E29" s="182" t="e">
        <f>POWER(E28/U28,1/5)-1</f>
        <v>#DIV/0!</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40178</v>
      </c>
      <c r="AJ30" s="1">
        <v>39813</v>
      </c>
      <c r="AK30" s="1">
        <v>25569</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25569</v>
      </c>
      <c r="BU30" s="1"/>
      <c r="BV30" s="1">
        <v>25569</v>
      </c>
    </row>
    <row r="31" spans="1:74" s="51" customFormat="1" ht="17.399999999999999" customHeight="1" x14ac:dyDescent="0.25">
      <c r="A31" s="177" t="s">
        <v>310</v>
      </c>
      <c r="B31" s="193">
        <v>2546051932.0799999</v>
      </c>
      <c r="C31" s="193">
        <v>2489555199.4299998</v>
      </c>
      <c r="D31" s="193">
        <v>2414293201.4000001</v>
      </c>
      <c r="E31" s="193">
        <v>2459035247.5300002</v>
      </c>
      <c r="F31" s="193">
        <v>2451881292.02</v>
      </c>
      <c r="G31" s="193">
        <v>2454592778.6199999</v>
      </c>
      <c r="H31" s="193">
        <v>2392691239.1700001</v>
      </c>
      <c r="I31" s="193">
        <v>2363377266.8600001</v>
      </c>
      <c r="J31" s="193">
        <v>2231490165.54</v>
      </c>
      <c r="K31" s="193">
        <v>2116992240.9200001</v>
      </c>
      <c r="L31" s="193">
        <v>1970117326.46</v>
      </c>
      <c r="M31" s="193">
        <v>1185196133.1600001</v>
      </c>
      <c r="N31" s="193">
        <v>1106956320.3800001</v>
      </c>
      <c r="O31" s="193">
        <v>1041310890.5</v>
      </c>
      <c r="P31" s="193">
        <v>945467053.89999998</v>
      </c>
      <c r="Q31" s="193">
        <v>871451312.80999994</v>
      </c>
      <c r="R31" s="193">
        <v>818686131.55999994</v>
      </c>
      <c r="S31" s="193">
        <v>808026581.19000006</v>
      </c>
      <c r="T31" s="193">
        <v>790742111.44000006</v>
      </c>
      <c r="U31" s="193">
        <v>780137323.26999998</v>
      </c>
      <c r="V31" s="193">
        <v>744431459.85000002</v>
      </c>
      <c r="W31" s="193">
        <v>712972985.19000006</v>
      </c>
      <c r="X31" s="193">
        <v>690175499.51999998</v>
      </c>
      <c r="Y31" s="193">
        <v>655282556.25</v>
      </c>
      <c r="Z31" s="193">
        <v>558667973.92999995</v>
      </c>
      <c r="AA31" s="193">
        <v>466045307.01999998</v>
      </c>
      <c r="AB31" s="193">
        <v>430740277.54000002</v>
      </c>
      <c r="AC31" s="193">
        <v>419022707.29000002</v>
      </c>
      <c r="AD31" s="193">
        <v>399478441.01999998</v>
      </c>
      <c r="AE31" s="193">
        <v>387870902.44</v>
      </c>
      <c r="AF31" s="193">
        <v>344449194.77999997</v>
      </c>
      <c r="AG31" s="193">
        <v>202718327.53</v>
      </c>
      <c r="AH31" s="193">
        <v>181601567.34999999</v>
      </c>
      <c r="AI31" s="193">
        <v>0</v>
      </c>
      <c r="AJ31" s="193"/>
      <c r="AK31" s="193"/>
      <c r="AL31" s="193">
        <v>4936912487.9099998</v>
      </c>
      <c r="AM31" s="193">
        <v>4256844770.3899999</v>
      </c>
      <c r="AN31" s="193">
        <v>4079677048.1799998</v>
      </c>
      <c r="AO31" s="193">
        <v>4028054724.2399998</v>
      </c>
      <c r="AP31" s="193">
        <v>3850846943.1199999</v>
      </c>
      <c r="AQ31" s="193">
        <v>3549246340.1199999</v>
      </c>
      <c r="AR31" s="193">
        <v>3573632080.6599998</v>
      </c>
      <c r="AS31" s="193">
        <v>3532086216.3299999</v>
      </c>
      <c r="AT31" s="193">
        <v>3481313208.5799999</v>
      </c>
      <c r="AU31" s="193">
        <v>3474091529.6399999</v>
      </c>
      <c r="AV31" s="193">
        <v>3455850476.4299998</v>
      </c>
      <c r="AW31" s="193">
        <v>3735540867.2600002</v>
      </c>
      <c r="AX31" s="193">
        <v>3566856519.4499998</v>
      </c>
      <c r="AY31" s="193">
        <v>3554164536.4499998</v>
      </c>
      <c r="AZ31" s="193">
        <v>3560955050.9299998</v>
      </c>
      <c r="BA31" s="193">
        <v>3488927610.9499998</v>
      </c>
      <c r="BB31" s="193">
        <v>3150718063.4000001</v>
      </c>
      <c r="BC31" s="193">
        <v>2904031853.6799998</v>
      </c>
      <c r="BD31" s="193">
        <v>2428875807.1500001</v>
      </c>
      <c r="BE31" s="193">
        <v>2090131818.3599999</v>
      </c>
      <c r="BF31" s="193">
        <v>1593081129.03</v>
      </c>
      <c r="BG31" s="193">
        <v>1243385224.3900001</v>
      </c>
      <c r="BH31" s="193">
        <v>1017468677.71</v>
      </c>
      <c r="BI31" s="193">
        <v>909713016.33000004</v>
      </c>
      <c r="BJ31" s="193">
        <v>731221110.63999999</v>
      </c>
      <c r="BK31" s="193">
        <v>641524029.53999996</v>
      </c>
      <c r="BL31" s="193">
        <v>606336363.17999995</v>
      </c>
      <c r="BM31" s="193">
        <v>579431649.25</v>
      </c>
      <c r="BN31" s="193">
        <v>515328130.64999998</v>
      </c>
      <c r="BO31" s="193">
        <v>471803766.31999999</v>
      </c>
      <c r="BP31" s="193">
        <v>452990792.93000001</v>
      </c>
      <c r="BQ31" s="193">
        <v>434138790.76999998</v>
      </c>
      <c r="BR31" s="193">
        <v>0</v>
      </c>
      <c r="BS31" s="193">
        <v>331335659.87</v>
      </c>
      <c r="BT31" s="193">
        <v>234672437.96000001</v>
      </c>
      <c r="BU31" s="193"/>
      <c r="BV31" s="193">
        <v>1207621496.74</v>
      </c>
    </row>
    <row r="32" spans="1:74" s="54" customFormat="1" ht="15" customHeight="1" x14ac:dyDescent="0.25">
      <c r="A32" s="269" t="s">
        <v>311</v>
      </c>
      <c r="B32" s="193">
        <v>730261957.53999996</v>
      </c>
      <c r="C32" s="193">
        <v>704026030.13999999</v>
      </c>
      <c r="D32" s="193">
        <v>669217863.13</v>
      </c>
      <c r="E32" s="193">
        <v>695294849.13</v>
      </c>
      <c r="F32" s="193">
        <v>705286965.25999999</v>
      </c>
      <c r="G32" s="193">
        <v>720746665.62</v>
      </c>
      <c r="H32" s="193">
        <v>732879192.63</v>
      </c>
      <c r="I32" s="193">
        <v>737975913.58000004</v>
      </c>
      <c r="J32" s="193">
        <v>802931740.98000002</v>
      </c>
      <c r="K32" s="193">
        <v>803665866.40999997</v>
      </c>
      <c r="L32" s="193">
        <v>726580468.24000001</v>
      </c>
      <c r="M32" s="193">
        <v>2924910.33</v>
      </c>
      <c r="N32" s="193">
        <v>2924910.33</v>
      </c>
      <c r="O32" s="193">
        <v>2924910.33</v>
      </c>
      <c r="P32" s="193">
        <v>2924910.33</v>
      </c>
      <c r="Q32" s="193">
        <v>2924910.33</v>
      </c>
      <c r="R32" s="193">
        <v>2924910.33</v>
      </c>
      <c r="S32" s="193">
        <v>2924910.33</v>
      </c>
      <c r="T32" s="193">
        <v>2924910.33</v>
      </c>
      <c r="U32" s="193">
        <v>2924910.33</v>
      </c>
      <c r="V32" s="193">
        <v>2924910.33</v>
      </c>
      <c r="W32" s="193">
        <v>2924910.33</v>
      </c>
      <c r="X32" s="193">
        <v>2924910.33</v>
      </c>
      <c r="Y32" s="193">
        <v>2924910.33</v>
      </c>
      <c r="Z32" s="193">
        <v>2924910.33</v>
      </c>
      <c r="AA32" s="193">
        <v>2924910.33</v>
      </c>
      <c r="AB32" s="193">
        <v>2924910.33</v>
      </c>
      <c r="AC32" s="193">
        <v>2924910.33</v>
      </c>
      <c r="AD32" s="193">
        <v>2924910.33</v>
      </c>
      <c r="AE32" s="193">
        <v>2924910.33</v>
      </c>
      <c r="AF32" s="193">
        <v>2924910.33</v>
      </c>
      <c r="AG32" s="193">
        <v>0</v>
      </c>
      <c r="AH32" s="193">
        <v>0</v>
      </c>
      <c r="AI32" s="193">
        <v>0</v>
      </c>
      <c r="AJ32" s="193"/>
      <c r="AK32" s="193"/>
      <c r="AL32" s="193">
        <v>0</v>
      </c>
      <c r="AM32" s="193">
        <v>0</v>
      </c>
      <c r="AN32" s="193">
        <v>0</v>
      </c>
      <c r="AO32" s="193">
        <v>0</v>
      </c>
      <c r="AP32" s="193">
        <v>0</v>
      </c>
      <c r="AQ32" s="193">
        <v>0</v>
      </c>
      <c r="AR32" s="193">
        <v>0</v>
      </c>
      <c r="AS32" s="193">
        <v>0</v>
      </c>
      <c r="AT32" s="193">
        <v>0</v>
      </c>
      <c r="AU32" s="193">
        <v>0</v>
      </c>
      <c r="AV32" s="193">
        <v>0</v>
      </c>
      <c r="AW32" s="193">
        <v>0</v>
      </c>
      <c r="AX32" s="193">
        <v>0</v>
      </c>
      <c r="AY32" s="193">
        <v>0</v>
      </c>
      <c r="AZ32" s="193">
        <v>0</v>
      </c>
      <c r="BA32" s="193">
        <v>0</v>
      </c>
      <c r="BB32" s="193">
        <v>0</v>
      </c>
      <c r="BC32" s="193">
        <v>0</v>
      </c>
      <c r="BD32" s="193">
        <v>0</v>
      </c>
      <c r="BE32" s="193">
        <v>0</v>
      </c>
      <c r="BF32" s="193">
        <v>0</v>
      </c>
      <c r="BG32" s="193">
        <v>0</v>
      </c>
      <c r="BH32" s="193">
        <v>0</v>
      </c>
      <c r="BI32" s="193">
        <v>0</v>
      </c>
      <c r="BJ32" s="193">
        <v>0</v>
      </c>
      <c r="BK32" s="193">
        <v>0</v>
      </c>
      <c r="BL32" s="193">
        <v>0</v>
      </c>
      <c r="BM32" s="193">
        <v>0</v>
      </c>
      <c r="BN32" s="193">
        <v>0</v>
      </c>
      <c r="BO32" s="193">
        <v>0</v>
      </c>
      <c r="BP32" s="193">
        <v>0</v>
      </c>
      <c r="BQ32" s="193">
        <v>0</v>
      </c>
      <c r="BR32" s="193">
        <v>0</v>
      </c>
      <c r="BS32" s="193">
        <v>0</v>
      </c>
      <c r="BT32" s="193">
        <v>0</v>
      </c>
      <c r="BU32" s="193"/>
      <c r="BV32" s="193">
        <v>0</v>
      </c>
    </row>
    <row r="33" spans="1:74" s="54" customFormat="1" ht="19.2" customHeight="1" x14ac:dyDescent="0.25">
      <c r="A33" s="138" t="s">
        <v>312</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c r="AK33" s="190"/>
      <c r="AL33" s="190">
        <v>173550000</v>
      </c>
      <c r="AM33" s="190">
        <v>173550000</v>
      </c>
      <c r="AN33" s="190">
        <v>173550000</v>
      </c>
      <c r="AO33" s="190">
        <v>173550000</v>
      </c>
      <c r="AP33" s="190">
        <v>173550000</v>
      </c>
      <c r="AQ33" s="190">
        <v>173550000</v>
      </c>
      <c r="AR33" s="190">
        <v>173550000</v>
      </c>
      <c r="AS33" s="190">
        <v>173550000</v>
      </c>
      <c r="AT33" s="190">
        <v>173550000</v>
      </c>
      <c r="AU33" s="190">
        <v>173550000</v>
      </c>
      <c r="AV33" s="190">
        <v>173550000</v>
      </c>
      <c r="AW33" s="190">
        <v>173550000</v>
      </c>
      <c r="AX33" s="190">
        <v>173550000</v>
      </c>
      <c r="AY33" s="190">
        <v>173550000</v>
      </c>
      <c r="AZ33" s="190">
        <v>173550000</v>
      </c>
      <c r="BA33" s="190">
        <v>173550000</v>
      </c>
      <c r="BB33" s="190">
        <v>173550000</v>
      </c>
      <c r="BC33" s="190">
        <v>173550000</v>
      </c>
      <c r="BD33" s="190">
        <v>173550000</v>
      </c>
      <c r="BE33" s="190">
        <v>173550000</v>
      </c>
      <c r="BF33" s="190">
        <v>173550000</v>
      </c>
      <c r="BG33" s="190">
        <v>173550000</v>
      </c>
      <c r="BH33" s="190">
        <v>173550000</v>
      </c>
      <c r="BI33" s="190">
        <v>173550000</v>
      </c>
      <c r="BJ33" s="190">
        <v>173550000</v>
      </c>
      <c r="BK33" s="190">
        <v>173550000</v>
      </c>
      <c r="BL33" s="190">
        <v>173550000</v>
      </c>
      <c r="BM33" s="190">
        <v>173550000</v>
      </c>
      <c r="BN33" s="190">
        <v>173550000</v>
      </c>
      <c r="BO33" s="190">
        <v>173550000</v>
      </c>
      <c r="BP33" s="190">
        <v>173550000</v>
      </c>
      <c r="BQ33" s="190">
        <v>173550000</v>
      </c>
      <c r="BR33" s="190">
        <v>173550000</v>
      </c>
      <c r="BS33" s="190">
        <v>173550000</v>
      </c>
      <c r="BT33" s="190">
        <v>173550000</v>
      </c>
      <c r="BU33" s="190">
        <v>173550000</v>
      </c>
      <c r="BV33" s="40">
        <v>0</v>
      </c>
    </row>
    <row r="34" spans="1:74" s="44" customFormat="1" ht="15" thickBot="1" x14ac:dyDescent="0.3">
      <c r="A34" s="139" t="s">
        <v>315</v>
      </c>
      <c r="B34" s="49"/>
      <c r="C34" s="49"/>
      <c r="D34" s="49"/>
      <c r="E34" s="49">
        <f>E31-E32-E33</f>
        <v>1763740398.4000001</v>
      </c>
      <c r="F34" s="49">
        <f t="shared" ref="F34:BP34" si="81">F31-F32-F33</f>
        <v>1746594326.76</v>
      </c>
      <c r="G34" s="49">
        <f t="shared" si="81"/>
        <v>1733846113</v>
      </c>
      <c r="H34" s="49">
        <f t="shared" si="81"/>
        <v>1659812046.54</v>
      </c>
      <c r="I34" s="49">
        <f t="shared" si="81"/>
        <v>1625401353.2800002</v>
      </c>
      <c r="J34" s="49">
        <f t="shared" si="81"/>
        <v>1428558424.5599999</v>
      </c>
      <c r="K34" s="49">
        <f t="shared" si="81"/>
        <v>1313326374.5100002</v>
      </c>
      <c r="L34" s="49">
        <f t="shared" si="81"/>
        <v>1243536858.22</v>
      </c>
      <c r="M34" s="49">
        <f t="shared" si="81"/>
        <v>1182271222.8300002</v>
      </c>
      <c r="N34" s="49">
        <f t="shared" si="81"/>
        <v>1104031410.0500002</v>
      </c>
      <c r="O34" s="49">
        <f t="shared" si="81"/>
        <v>1038385980.17</v>
      </c>
      <c r="P34" s="49">
        <f t="shared" si="81"/>
        <v>942542143.56999993</v>
      </c>
      <c r="Q34" s="49">
        <f t="shared" si="81"/>
        <v>868526402.4799999</v>
      </c>
      <c r="R34" s="49">
        <f t="shared" si="81"/>
        <v>815761221.2299999</v>
      </c>
      <c r="S34" s="49">
        <f t="shared" si="81"/>
        <v>805101670.86000001</v>
      </c>
      <c r="T34" s="49">
        <f t="shared" si="81"/>
        <v>787817201.11000001</v>
      </c>
      <c r="U34" s="49">
        <f t="shared" si="81"/>
        <v>777212412.93999994</v>
      </c>
      <c r="V34" s="49">
        <f t="shared" si="81"/>
        <v>741506549.51999998</v>
      </c>
      <c r="W34" s="49">
        <f t="shared" si="81"/>
        <v>710048074.86000001</v>
      </c>
      <c r="X34" s="49">
        <f t="shared" si="81"/>
        <v>687250589.18999994</v>
      </c>
      <c r="Y34" s="49">
        <f t="shared" si="81"/>
        <v>652357645.91999996</v>
      </c>
      <c r="Z34" s="49">
        <f t="shared" si="81"/>
        <v>555743063.5999999</v>
      </c>
      <c r="AA34" s="49">
        <f t="shared" si="81"/>
        <v>463120396.69</v>
      </c>
      <c r="AB34" s="49">
        <f t="shared" si="81"/>
        <v>427815367.21000004</v>
      </c>
      <c r="AC34" s="49">
        <f t="shared" si="81"/>
        <v>416097796.96000004</v>
      </c>
      <c r="AD34" s="49">
        <f t="shared" si="81"/>
        <v>396553530.69</v>
      </c>
      <c r="AE34" s="49">
        <f t="shared" si="81"/>
        <v>384945992.11000001</v>
      </c>
      <c r="AF34" s="49">
        <f t="shared" si="81"/>
        <v>341524284.44999999</v>
      </c>
      <c r="AG34" s="49">
        <f t="shared" si="81"/>
        <v>202718327.53</v>
      </c>
      <c r="AH34" s="49">
        <f t="shared" si="81"/>
        <v>181601567.34999999</v>
      </c>
      <c r="AI34" s="49">
        <f t="shared" si="81"/>
        <v>0</v>
      </c>
      <c r="AJ34" s="49">
        <f t="shared" si="81"/>
        <v>0</v>
      </c>
      <c r="AK34" s="49">
        <f t="shared" si="81"/>
        <v>0</v>
      </c>
      <c r="AL34" s="49">
        <f t="shared" si="81"/>
        <v>4763362487.9099998</v>
      </c>
      <c r="AM34" s="49">
        <f t="shared" si="81"/>
        <v>4083294770.3899999</v>
      </c>
      <c r="AN34" s="49">
        <f t="shared" si="81"/>
        <v>3906127048.1799998</v>
      </c>
      <c r="AO34" s="49">
        <f t="shared" si="81"/>
        <v>3854504724.2399998</v>
      </c>
      <c r="AP34" s="49">
        <f t="shared" si="81"/>
        <v>3677296943.1199999</v>
      </c>
      <c r="AQ34" s="49">
        <f t="shared" si="81"/>
        <v>3375696340.1199999</v>
      </c>
      <c r="AR34" s="49">
        <f t="shared" si="81"/>
        <v>3400082080.6599998</v>
      </c>
      <c r="AS34" s="49">
        <f t="shared" si="81"/>
        <v>3358536216.3299999</v>
      </c>
      <c r="AT34" s="49">
        <f t="shared" si="81"/>
        <v>3307763208.5799999</v>
      </c>
      <c r="AU34" s="49">
        <f t="shared" si="81"/>
        <v>3300541529.6399999</v>
      </c>
      <c r="AV34" s="49">
        <f t="shared" si="81"/>
        <v>3282300476.4299998</v>
      </c>
      <c r="AW34" s="49">
        <f t="shared" si="81"/>
        <v>3561990867.2600002</v>
      </c>
      <c r="AX34" s="49">
        <f t="shared" si="81"/>
        <v>3393306519.4499998</v>
      </c>
      <c r="AY34" s="49">
        <f t="shared" si="81"/>
        <v>3380614536.4499998</v>
      </c>
      <c r="AZ34" s="49">
        <f t="shared" si="81"/>
        <v>3387405050.9299998</v>
      </c>
      <c r="BA34" s="49">
        <f t="shared" si="81"/>
        <v>3315377610.9499998</v>
      </c>
      <c r="BB34" s="49">
        <f t="shared" si="81"/>
        <v>2977168063.4000001</v>
      </c>
      <c r="BC34" s="49">
        <f t="shared" si="81"/>
        <v>2730481853.6799998</v>
      </c>
      <c r="BD34" s="49">
        <f t="shared" si="81"/>
        <v>2255325807.1500001</v>
      </c>
      <c r="BE34" s="49">
        <f t="shared" si="81"/>
        <v>1916581818.3599999</v>
      </c>
      <c r="BF34" s="49">
        <f t="shared" si="81"/>
        <v>1419531129.03</v>
      </c>
      <c r="BG34" s="49">
        <f t="shared" si="81"/>
        <v>1069835224.3900001</v>
      </c>
      <c r="BH34" s="49">
        <f t="shared" si="81"/>
        <v>843918677.71000004</v>
      </c>
      <c r="BI34" s="49">
        <f t="shared" si="81"/>
        <v>736163016.33000004</v>
      </c>
      <c r="BJ34" s="49">
        <f t="shared" si="81"/>
        <v>557671110.63999999</v>
      </c>
      <c r="BK34" s="49">
        <f t="shared" si="81"/>
        <v>467974029.53999996</v>
      </c>
      <c r="BL34" s="49">
        <f t="shared" si="81"/>
        <v>432786363.17999995</v>
      </c>
      <c r="BM34" s="49">
        <f t="shared" si="81"/>
        <v>405881649.25</v>
      </c>
      <c r="BN34" s="49">
        <f t="shared" si="81"/>
        <v>341778130.64999998</v>
      </c>
      <c r="BO34" s="49">
        <f t="shared" si="81"/>
        <v>298253766.31999999</v>
      </c>
      <c r="BP34" s="49">
        <f t="shared" si="81"/>
        <v>279440792.93000001</v>
      </c>
      <c r="BQ34" s="49">
        <f>AP31-AP32-AP33</f>
        <v>3677296943.1199999</v>
      </c>
      <c r="BR34" s="49">
        <f>AQ31-AQ32-AQ33</f>
        <v>3375696340.1199999</v>
      </c>
      <c r="BS34" s="49">
        <f>AR31-AR32-AR33</f>
        <v>3400082080.6599998</v>
      </c>
      <c r="BT34" s="49"/>
      <c r="BU34" s="50"/>
    </row>
    <row r="35" spans="1:74" s="107" customFormat="1" ht="15" thickBot="1" x14ac:dyDescent="0.3">
      <c r="A35" s="140" t="s">
        <v>317</v>
      </c>
      <c r="B35" s="33">
        <f>SUM(B22:B31)</f>
        <v>2566851728.4899998</v>
      </c>
      <c r="C35" s="33">
        <f>SUM(C22:C31)</f>
        <v>2510950456.6999998</v>
      </c>
      <c r="D35" s="33">
        <f>SUM(D22:D31)</f>
        <v>2413792145.7600002</v>
      </c>
      <c r="E35" s="33">
        <f>资产资本表!E17</f>
        <v>627279567.75999999</v>
      </c>
      <c r="F35" s="33">
        <f>资产资本表!F17</f>
        <v>646909229.57000005</v>
      </c>
      <c r="G35" s="33">
        <f>资产资本表!G17</f>
        <v>640706738.29999995</v>
      </c>
      <c r="H35" s="33">
        <f>资产资本表!H17</f>
        <v>748407749.91999996</v>
      </c>
      <c r="I35" s="33">
        <f>资产资本表!I17</f>
        <v>497394672.38</v>
      </c>
      <c r="J35" s="33">
        <f>资产资本表!J17</f>
        <v>1041896896.37</v>
      </c>
      <c r="K35" s="33">
        <f>资产资本表!K17</f>
        <v>388776166.88</v>
      </c>
      <c r="L35" s="33">
        <f>资产资本表!L17</f>
        <v>680598376.45000005</v>
      </c>
      <c r="M35" s="33">
        <f>资产资本表!M17</f>
        <v>696197785.22000003</v>
      </c>
      <c r="N35" s="33">
        <f>资产资本表!N17</f>
        <v>690790735.84000003</v>
      </c>
      <c r="O35" s="33">
        <f>资产资本表!O17</f>
        <v>641525323.09000003</v>
      </c>
      <c r="P35" s="33">
        <f>资产资本表!P17</f>
        <v>1255365928.1900001</v>
      </c>
      <c r="Q35" s="33">
        <f>资产资本表!Q17</f>
        <v>234632252.44</v>
      </c>
      <c r="R35" s="33">
        <f>资产资本表!R17</f>
        <v>276684977.61000001</v>
      </c>
      <c r="S35" s="33">
        <f>资产资本表!S17</f>
        <v>249178979.92000002</v>
      </c>
      <c r="T35" s="33">
        <f>资产资本表!T17</f>
        <v>310229232.98000002</v>
      </c>
      <c r="U35" s="33">
        <f>资产资本表!U17</f>
        <v>322460861.60000002</v>
      </c>
      <c r="V35" s="33">
        <f>资产资本表!V17</f>
        <v>306954505.58999997</v>
      </c>
      <c r="W35" s="33">
        <f>资产资本表!W17</f>
        <v>296309711.63999999</v>
      </c>
      <c r="X35" s="33">
        <f>资产资本表!X17</f>
        <v>419339678.55000001</v>
      </c>
      <c r="Y35" s="33">
        <f>资产资本表!Y17</f>
        <v>433419520.76999998</v>
      </c>
      <c r="Z35" s="33">
        <f>资产资本表!Z17</f>
        <v>413831417.81</v>
      </c>
      <c r="AA35" s="33">
        <f>资产资本表!AA17</f>
        <v>460824111.80000001</v>
      </c>
      <c r="AB35" s="33">
        <f>资产资本表!AB17</f>
        <v>596710534.11000001</v>
      </c>
      <c r="AC35" s="33">
        <f>资产资本表!AC17</f>
        <v>847566521.58000004</v>
      </c>
      <c r="AD35" s="33">
        <f>资产资本表!AD17</f>
        <v>29624772.98</v>
      </c>
      <c r="AE35" s="33">
        <f>资产资本表!AE17</f>
        <v>44141747.770000003</v>
      </c>
      <c r="AF35" s="33">
        <f>资产资本表!AF17</f>
        <v>49695104.770000003</v>
      </c>
      <c r="AG35" s="33">
        <f>资产资本表!AG17</f>
        <v>99638795.879999995</v>
      </c>
      <c r="AH35" s="33">
        <f>资产资本表!AH17</f>
        <v>47811682.519999996</v>
      </c>
      <c r="AI35" s="33">
        <f>资产资本表!AI17</f>
        <v>0</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40178</v>
      </c>
      <c r="AJ38" s="1">
        <v>39813</v>
      </c>
      <c r="AK38" s="1">
        <v>25569</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25569</v>
      </c>
      <c r="BU38" s="1"/>
      <c r="BV38" s="1"/>
    </row>
    <row r="39" spans="1:74" s="48" customFormat="1" x14ac:dyDescent="0.25">
      <c r="A39" s="46" t="s">
        <v>319</v>
      </c>
    </row>
    <row r="40" spans="1:74" s="193" customFormat="1" x14ac:dyDescent="0.25">
      <c r="A40" s="193" t="s">
        <v>745</v>
      </c>
      <c r="B40" s="193">
        <v>161600004</v>
      </c>
      <c r="C40" s="193">
        <v>161600004</v>
      </c>
      <c r="D40" s="193">
        <v>0</v>
      </c>
      <c r="E40" s="193">
        <v>0</v>
      </c>
      <c r="F40" s="193">
        <v>0</v>
      </c>
      <c r="G40" s="193">
        <v>0</v>
      </c>
      <c r="H40" s="193">
        <v>0</v>
      </c>
      <c r="I40" s="193">
        <v>1004999979.16</v>
      </c>
      <c r="J40" s="193">
        <v>1004999979.16</v>
      </c>
      <c r="K40" s="193">
        <v>0</v>
      </c>
      <c r="L40" s="193">
        <v>0</v>
      </c>
      <c r="M40" s="193">
        <v>1010229100</v>
      </c>
      <c r="N40" s="193">
        <v>1010229100</v>
      </c>
      <c r="O40" s="193">
        <v>1010229100</v>
      </c>
      <c r="P40" s="193">
        <v>1010229100</v>
      </c>
      <c r="Q40" s="193">
        <v>0</v>
      </c>
      <c r="R40" s="193">
        <v>0</v>
      </c>
      <c r="S40" s="193">
        <v>0</v>
      </c>
      <c r="T40" s="193">
        <v>0</v>
      </c>
      <c r="U40" s="193">
        <v>2367600</v>
      </c>
      <c r="V40" s="193">
        <v>2367600</v>
      </c>
      <c r="W40" s="193">
        <v>2367600</v>
      </c>
      <c r="X40" s="193">
        <v>0</v>
      </c>
      <c r="Y40" s="193">
        <v>0</v>
      </c>
      <c r="Z40" s="193">
        <v>0</v>
      </c>
      <c r="AA40" s="193">
        <v>0</v>
      </c>
      <c r="AB40" s="193">
        <v>0</v>
      </c>
      <c r="AC40" s="193">
        <v>815170000</v>
      </c>
      <c r="AD40" s="193">
        <v>0</v>
      </c>
      <c r="AE40" s="193">
        <v>0</v>
      </c>
      <c r="AF40" s="193">
        <v>0</v>
      </c>
      <c r="AG40" s="193">
        <v>0</v>
      </c>
      <c r="AH40" s="193">
        <v>0</v>
      </c>
      <c r="AI40" s="193">
        <v>0</v>
      </c>
      <c r="AJ40" s="193">
        <v>0</v>
      </c>
      <c r="AK40" s="193">
        <v>0</v>
      </c>
      <c r="AL40" s="193">
        <v>49000000</v>
      </c>
      <c r="AM40" s="193">
        <v>49000000</v>
      </c>
      <c r="AN40" s="193">
        <v>0</v>
      </c>
      <c r="AO40" s="193">
        <v>55080000</v>
      </c>
      <c r="AP40" s="193">
        <v>55080000</v>
      </c>
      <c r="AQ40" s="193">
        <v>55080000</v>
      </c>
      <c r="AR40" s="193">
        <v>0</v>
      </c>
      <c r="AS40" s="193">
        <v>0</v>
      </c>
      <c r="AT40" s="193">
        <v>0</v>
      </c>
      <c r="AU40" s="193">
        <v>0</v>
      </c>
      <c r="AV40" s="193">
        <v>0</v>
      </c>
      <c r="AW40" s="193">
        <v>165316562.55000001</v>
      </c>
      <c r="AX40" s="193">
        <v>165316562.55000001</v>
      </c>
      <c r="AY40" s="193">
        <v>165316562.55000001</v>
      </c>
      <c r="AZ40" s="193">
        <v>165316562.55000001</v>
      </c>
      <c r="BA40" s="193">
        <v>2750000</v>
      </c>
      <c r="BB40" s="193">
        <v>0</v>
      </c>
      <c r="BC40" s="193">
        <v>0</v>
      </c>
      <c r="BD40" s="193">
        <v>0</v>
      </c>
      <c r="BE40" s="193">
        <v>0</v>
      </c>
      <c r="BF40" s="193">
        <v>0</v>
      </c>
      <c r="BG40" s="193">
        <v>0</v>
      </c>
      <c r="BH40" s="193">
        <v>0</v>
      </c>
      <c r="BI40" s="193">
        <v>73750000</v>
      </c>
      <c r="BJ40" s="193">
        <v>73750000</v>
      </c>
      <c r="BK40" s="193">
        <v>0</v>
      </c>
      <c r="BL40" s="193">
        <v>0</v>
      </c>
      <c r="BM40" s="193">
        <v>0</v>
      </c>
      <c r="BN40" s="193">
        <v>0</v>
      </c>
      <c r="BO40" s="193">
        <v>0</v>
      </c>
      <c r="BP40" s="193">
        <v>0</v>
      </c>
      <c r="BQ40" s="193">
        <v>440120800</v>
      </c>
      <c r="BR40" s="193">
        <v>0</v>
      </c>
      <c r="BS40" s="193">
        <v>0</v>
      </c>
      <c r="BT40" s="193">
        <v>0</v>
      </c>
    </row>
    <row r="41" spans="1:74" s="53" customFormat="1" ht="21.75" customHeight="1" x14ac:dyDescent="0.25">
      <c r="A41" s="141" t="s">
        <v>633</v>
      </c>
      <c r="B41" s="53">
        <v>1419647033.29</v>
      </c>
      <c r="C41" s="53">
        <v>682396282.87</v>
      </c>
      <c r="D41" s="53">
        <v>73246783.790000007</v>
      </c>
      <c r="E41" s="53">
        <v>127278650.09999999</v>
      </c>
      <c r="I41" s="53">
        <v>101961375</v>
      </c>
      <c r="M41" s="53">
        <v>61176825</v>
      </c>
      <c r="Q41" s="53">
        <v>49615200</v>
      </c>
      <c r="U41" s="53">
        <v>41346000</v>
      </c>
      <c r="Y41" s="53">
        <v>68910000</v>
      </c>
      <c r="AC41" s="53">
        <v>36176000</v>
      </c>
      <c r="AK41" s="53">
        <v>831667200</v>
      </c>
      <c r="AO41" s="53" t="s">
        <v>636</v>
      </c>
      <c r="AS41" s="53" t="s">
        <v>637</v>
      </c>
      <c r="AW41" s="53" t="s">
        <v>638</v>
      </c>
    </row>
    <row r="42" spans="1:74" s="26" customFormat="1" x14ac:dyDescent="0.25">
      <c r="A42" s="17" t="s">
        <v>322</v>
      </c>
      <c r="E42" s="26">
        <f>E40-E41</f>
        <v>-127278650.09999999</v>
      </c>
      <c r="F42" s="26">
        <f t="shared" ref="F42:Y42" si="82">F40-F41</f>
        <v>0</v>
      </c>
      <c r="G42" s="26">
        <f t="shared" si="82"/>
        <v>0</v>
      </c>
      <c r="H42" s="26">
        <f t="shared" si="82"/>
        <v>0</v>
      </c>
      <c r="I42" s="26">
        <f>I40-I41</f>
        <v>903038604.15999997</v>
      </c>
      <c r="J42" s="26">
        <f t="shared" si="82"/>
        <v>1004999979.16</v>
      </c>
      <c r="K42" s="26">
        <f t="shared" si="82"/>
        <v>0</v>
      </c>
      <c r="L42" s="26">
        <f t="shared" si="82"/>
        <v>0</v>
      </c>
      <c r="M42" s="26">
        <f t="shared" si="82"/>
        <v>949052275</v>
      </c>
      <c r="N42" s="26">
        <f t="shared" si="82"/>
        <v>1010229100</v>
      </c>
      <c r="O42" s="26">
        <f t="shared" si="82"/>
        <v>1010229100</v>
      </c>
      <c r="P42" s="26">
        <f t="shared" si="82"/>
        <v>1010229100</v>
      </c>
      <c r="Q42" s="26">
        <f t="shared" si="82"/>
        <v>-49615200</v>
      </c>
      <c r="R42" s="26">
        <f t="shared" si="82"/>
        <v>0</v>
      </c>
      <c r="S42" s="26">
        <f t="shared" si="82"/>
        <v>0</v>
      </c>
      <c r="T42" s="26">
        <f t="shared" si="82"/>
        <v>0</v>
      </c>
      <c r="U42" s="26">
        <f t="shared" si="82"/>
        <v>-38978400</v>
      </c>
      <c r="V42" s="26">
        <f t="shared" si="82"/>
        <v>2367600</v>
      </c>
      <c r="W42" s="26">
        <f t="shared" si="82"/>
        <v>2367600</v>
      </c>
      <c r="X42" s="26">
        <f t="shared" si="82"/>
        <v>0</v>
      </c>
      <c r="Y42" s="26">
        <f t="shared" si="82"/>
        <v>-68910000</v>
      </c>
      <c r="Z42" s="26">
        <f t="shared" ref="Z42:BQ42" si="83">Z40-Z41</f>
        <v>0</v>
      </c>
      <c r="AA42" s="26">
        <f t="shared" si="83"/>
        <v>0</v>
      </c>
      <c r="AB42" s="26">
        <f t="shared" si="83"/>
        <v>0</v>
      </c>
      <c r="AC42" s="26">
        <f t="shared" si="83"/>
        <v>778994000</v>
      </c>
      <c r="AD42" s="26">
        <f t="shared" si="83"/>
        <v>0</v>
      </c>
      <c r="AE42" s="26">
        <f t="shared" si="83"/>
        <v>0</v>
      </c>
      <c r="AF42" s="26">
        <f t="shared" si="83"/>
        <v>0</v>
      </c>
      <c r="AG42" s="26">
        <f t="shared" si="83"/>
        <v>0</v>
      </c>
      <c r="AH42" s="26">
        <f t="shared" si="83"/>
        <v>0</v>
      </c>
      <c r="AI42" s="26">
        <f t="shared" si="83"/>
        <v>0</v>
      </c>
      <c r="AJ42" s="26">
        <f t="shared" si="83"/>
        <v>0</v>
      </c>
      <c r="AK42" s="26">
        <f t="shared" si="83"/>
        <v>-831667200</v>
      </c>
      <c r="AL42" s="193">
        <f t="shared" si="83"/>
        <v>49000000</v>
      </c>
      <c r="AM42" s="193">
        <f t="shared" si="83"/>
        <v>49000000</v>
      </c>
      <c r="AN42" s="193">
        <f t="shared" si="83"/>
        <v>0</v>
      </c>
      <c r="AO42" s="193" t="e">
        <f t="shared" si="83"/>
        <v>#VALUE!</v>
      </c>
      <c r="AP42" s="193">
        <f t="shared" si="83"/>
        <v>55080000</v>
      </c>
      <c r="AQ42" s="193">
        <f t="shared" si="83"/>
        <v>55080000</v>
      </c>
      <c r="AR42" s="193">
        <f t="shared" si="83"/>
        <v>0</v>
      </c>
      <c r="AS42" s="193" t="e">
        <f t="shared" si="83"/>
        <v>#VALUE!</v>
      </c>
      <c r="AT42" s="193">
        <f t="shared" si="83"/>
        <v>0</v>
      </c>
      <c r="AU42" s="193">
        <f t="shared" si="83"/>
        <v>0</v>
      </c>
      <c r="AV42" s="193">
        <f t="shared" si="83"/>
        <v>0</v>
      </c>
      <c r="AW42" s="193" t="e">
        <f t="shared" si="83"/>
        <v>#VALUE!</v>
      </c>
      <c r="AX42" s="193">
        <f t="shared" si="83"/>
        <v>165316562.55000001</v>
      </c>
      <c r="AY42" s="193">
        <f t="shared" si="83"/>
        <v>165316562.55000001</v>
      </c>
      <c r="AZ42" s="193">
        <f t="shared" si="83"/>
        <v>165316562.55000001</v>
      </c>
      <c r="BA42" s="26">
        <f t="shared" si="83"/>
        <v>2750000</v>
      </c>
      <c r="BB42" s="26">
        <f t="shared" si="83"/>
        <v>0</v>
      </c>
      <c r="BC42" s="26">
        <f t="shared" si="83"/>
        <v>0</v>
      </c>
      <c r="BD42" s="26">
        <f t="shared" si="83"/>
        <v>0</v>
      </c>
      <c r="BE42" s="26">
        <f t="shared" si="83"/>
        <v>0</v>
      </c>
      <c r="BF42" s="26">
        <f t="shared" si="83"/>
        <v>0</v>
      </c>
      <c r="BG42" s="26">
        <f t="shared" si="83"/>
        <v>0</v>
      </c>
      <c r="BH42" s="26">
        <f t="shared" si="83"/>
        <v>0</v>
      </c>
      <c r="BI42" s="26">
        <f t="shared" si="83"/>
        <v>73750000</v>
      </c>
      <c r="BJ42" s="26">
        <f t="shared" si="83"/>
        <v>73750000</v>
      </c>
      <c r="BK42" s="26">
        <f t="shared" si="83"/>
        <v>0</v>
      </c>
      <c r="BL42" s="26">
        <f t="shared" si="83"/>
        <v>0</v>
      </c>
      <c r="BM42" s="26">
        <f t="shared" si="83"/>
        <v>0</v>
      </c>
      <c r="BN42" s="26">
        <f t="shared" si="83"/>
        <v>0</v>
      </c>
      <c r="BO42" s="26">
        <f t="shared" si="83"/>
        <v>0</v>
      </c>
      <c r="BP42" s="26">
        <f t="shared" si="83"/>
        <v>0</v>
      </c>
      <c r="BQ42" s="26">
        <f t="shared" si="83"/>
        <v>440120800</v>
      </c>
      <c r="BR42" s="26">
        <f t="shared" ref="BR42:BV42" si="84">BR40-BR41</f>
        <v>0</v>
      </c>
      <c r="BS42" s="26">
        <f t="shared" si="84"/>
        <v>0</v>
      </c>
      <c r="BT42" s="26">
        <f t="shared" si="84"/>
        <v>0</v>
      </c>
      <c r="BU42" s="26">
        <f t="shared" si="84"/>
        <v>0</v>
      </c>
      <c r="BV42" s="26">
        <f t="shared" si="84"/>
        <v>0</v>
      </c>
    </row>
    <row r="43" spans="1:74" s="52" customFormat="1" ht="15" customHeight="1" x14ac:dyDescent="0.25">
      <c r="A43" s="142" t="s">
        <v>321</v>
      </c>
    </row>
    <row r="44" spans="1:74" s="193" customFormat="1" x14ac:dyDescent="0.25">
      <c r="A44" s="193" t="s">
        <v>324</v>
      </c>
      <c r="B44" s="193">
        <v>0</v>
      </c>
      <c r="C44" s="193">
        <v>0</v>
      </c>
      <c r="D44" s="193">
        <v>0</v>
      </c>
      <c r="E44" s="193">
        <v>0</v>
      </c>
      <c r="F44" s="193">
        <v>0</v>
      </c>
      <c r="G44" s="193">
        <v>0</v>
      </c>
      <c r="H44" s="193">
        <v>0</v>
      </c>
      <c r="I44" s="193">
        <v>888968300</v>
      </c>
      <c r="J44" s="193">
        <v>886671322.96000004</v>
      </c>
      <c r="K44" s="193">
        <v>778075600</v>
      </c>
      <c r="L44" s="193">
        <v>714938800</v>
      </c>
      <c r="M44" s="193">
        <v>0</v>
      </c>
      <c r="N44" s="193">
        <v>0</v>
      </c>
      <c r="O44" s="193">
        <v>0</v>
      </c>
      <c r="P44" s="193">
        <v>0</v>
      </c>
      <c r="Q44" s="193">
        <v>41820000</v>
      </c>
      <c r="R44" s="193">
        <v>34420000</v>
      </c>
      <c r="S44" s="193">
        <v>28420000</v>
      </c>
      <c r="T44" s="193">
        <v>12420000</v>
      </c>
      <c r="U44" s="193">
        <v>84989480</v>
      </c>
      <c r="V44" s="193">
        <v>66464900</v>
      </c>
      <c r="W44" s="193">
        <v>61464900</v>
      </c>
      <c r="X44" s="193">
        <v>50196000</v>
      </c>
      <c r="Y44" s="193">
        <v>88437836</v>
      </c>
      <c r="Z44" s="193">
        <v>0</v>
      </c>
      <c r="AA44" s="193">
        <v>0</v>
      </c>
      <c r="AB44" s="193">
        <v>0</v>
      </c>
      <c r="AC44" s="193">
        <v>333935853.41000003</v>
      </c>
      <c r="AD44" s="193">
        <v>199930237.41</v>
      </c>
      <c r="AE44" s="193">
        <v>138755646.87</v>
      </c>
      <c r="AF44" s="193">
        <v>81719313.329999998</v>
      </c>
      <c r="AG44" s="193">
        <v>220530859</v>
      </c>
      <c r="AH44" s="193">
        <v>104141968</v>
      </c>
      <c r="AI44" s="193">
        <v>256870000</v>
      </c>
      <c r="AJ44" s="193">
        <v>256770517.59999999</v>
      </c>
      <c r="AK44" s="193">
        <v>0</v>
      </c>
      <c r="AL44" s="193">
        <v>4039471635.3099999</v>
      </c>
      <c r="AM44" s="193">
        <v>2880204431.4299998</v>
      </c>
      <c r="AN44" s="193">
        <v>1455466460</v>
      </c>
      <c r="AO44" s="193">
        <v>1513007159.27</v>
      </c>
      <c r="AP44" s="193">
        <v>962505346.42999995</v>
      </c>
      <c r="AQ44" s="193">
        <v>720013546.32000005</v>
      </c>
      <c r="AR44" s="193">
        <v>483607594.76999998</v>
      </c>
      <c r="AS44" s="193">
        <v>1835706455.27</v>
      </c>
      <c r="AT44" s="193">
        <v>1740044722.22</v>
      </c>
      <c r="AU44" s="193">
        <v>972823165.26999998</v>
      </c>
      <c r="AV44" s="193">
        <v>252585665.27000001</v>
      </c>
      <c r="AW44" s="193">
        <v>1105703483</v>
      </c>
      <c r="AX44" s="193">
        <v>827509197.57000005</v>
      </c>
      <c r="AY44" s="193">
        <v>655818000</v>
      </c>
      <c r="AZ44" s="193">
        <v>322466500</v>
      </c>
      <c r="BA44" s="193">
        <v>1896061750</v>
      </c>
      <c r="BB44" s="193">
        <v>1531721000</v>
      </c>
      <c r="BC44" s="193">
        <v>1190580750</v>
      </c>
      <c r="BD44" s="193">
        <v>672285750</v>
      </c>
      <c r="BE44" s="193">
        <v>1427765000</v>
      </c>
      <c r="BF44" s="193">
        <v>630000000</v>
      </c>
      <c r="BG44" s="193">
        <v>400000000</v>
      </c>
      <c r="BH44" s="193">
        <v>50000000</v>
      </c>
      <c r="BI44" s="193">
        <v>66191558.5</v>
      </c>
      <c r="BJ44" s="193">
        <v>65681558.5</v>
      </c>
      <c r="BK44" s="193">
        <v>480000</v>
      </c>
      <c r="BL44" s="193">
        <v>690000</v>
      </c>
      <c r="BM44" s="193">
        <v>72000000</v>
      </c>
      <c r="BN44" s="193">
        <v>0</v>
      </c>
      <c r="BO44" s="193">
        <v>30000000</v>
      </c>
      <c r="BP44" s="193">
        <v>30000000</v>
      </c>
      <c r="BQ44" s="193">
        <v>184100000</v>
      </c>
      <c r="BR44" s="193">
        <v>40000000</v>
      </c>
      <c r="BS44" s="193">
        <v>64600000</v>
      </c>
      <c r="BT44" s="193">
        <v>0</v>
      </c>
    </row>
    <row r="45" spans="1:74" s="193" customFormat="1" x14ac:dyDescent="0.25">
      <c r="A45" s="193" t="s">
        <v>323</v>
      </c>
      <c r="E45" s="193">
        <f>股权价值增加表!E53</f>
        <v>582431.97</v>
      </c>
      <c r="F45" s="193">
        <f>股权价值增加表!F53</f>
        <v>0</v>
      </c>
      <c r="G45" s="193">
        <f>股权价值增加表!G53</f>
        <v>0</v>
      </c>
      <c r="H45" s="193">
        <f>股权价值增加表!H53</f>
        <v>0</v>
      </c>
      <c r="I45" s="193">
        <f>股权价值增加表!I53</f>
        <v>29121688.59</v>
      </c>
      <c r="J45" s="193">
        <f>股权价值增加表!J53</f>
        <v>0</v>
      </c>
      <c r="K45" s="193">
        <f>股权价值增加表!K53</f>
        <v>0</v>
      </c>
      <c r="L45" s="193">
        <f>股权价值增加表!L53</f>
        <v>0</v>
      </c>
      <c r="M45" s="193">
        <f>股权价值增加表!M53</f>
        <v>323713.76</v>
      </c>
      <c r="N45" s="193">
        <f>股权价值增加表!N53</f>
        <v>0</v>
      </c>
      <c r="O45" s="193">
        <f>股权价值增加表!O53</f>
        <v>0</v>
      </c>
      <c r="P45" s="193">
        <f>股权价值增加表!P53</f>
        <v>0</v>
      </c>
      <c r="Q45" s="193">
        <f>股权价值增加表!Q53</f>
        <v>1307144.8</v>
      </c>
      <c r="R45" s="193">
        <f>股权价值增加表!R53</f>
        <v>0</v>
      </c>
      <c r="S45" s="193">
        <f>股权价值增加表!S53</f>
        <v>0</v>
      </c>
      <c r="T45" s="193">
        <f>股权价值增加表!T53</f>
        <v>0</v>
      </c>
      <c r="U45" s="193">
        <f>股权价值增加表!U53</f>
        <v>1429735.18</v>
      </c>
      <c r="V45" s="193">
        <f>股权价值增加表!V53</f>
        <v>0</v>
      </c>
      <c r="W45" s="193">
        <f>股权价值增加表!W53</f>
        <v>0</v>
      </c>
      <c r="X45" s="193">
        <f>股权价值增加表!X53</f>
        <v>0</v>
      </c>
      <c r="Y45" s="193">
        <f>股权价值增加表!Y53</f>
        <v>2500935.35</v>
      </c>
      <c r="Z45" s="193">
        <f>股权价值增加表!Z53</f>
        <v>0</v>
      </c>
      <c r="AA45" s="193">
        <f>股权价值增加表!AA53</f>
        <v>0</v>
      </c>
      <c r="AB45" s="193">
        <f>股权价值增加表!AB53</f>
        <v>0</v>
      </c>
      <c r="AC45" s="193">
        <f>股权价值增加表!AC53</f>
        <v>16331432.890000001</v>
      </c>
      <c r="AD45" s="193">
        <f>股权价值增加表!AD53</f>
        <v>0</v>
      </c>
      <c r="AE45" s="193">
        <f>股权价值增加表!AE53</f>
        <v>0</v>
      </c>
      <c r="AF45" s="193">
        <f>股权价值增加表!AF53</f>
        <v>0</v>
      </c>
      <c r="AG45" s="193">
        <f>股权价值增加表!AG53</f>
        <v>11707536.800000001</v>
      </c>
      <c r="AH45" s="193">
        <f>股权价值增加表!AH53</f>
        <v>0</v>
      </c>
      <c r="AI45" s="193">
        <f>股权价值增加表!AI53</f>
        <v>0</v>
      </c>
      <c r="AJ45" s="193">
        <f>股权价值增加表!AJ53</f>
        <v>0</v>
      </c>
      <c r="AK45" s="193">
        <f>股权价值增加表!AK53</f>
        <v>67247664.370000005</v>
      </c>
      <c r="AL45" s="193">
        <f>股权价值增加表!AL53</f>
        <v>0</v>
      </c>
      <c r="AM45" s="193">
        <f>股权价值增加表!AM53</f>
        <v>0</v>
      </c>
      <c r="AN45" s="193">
        <f>股权价值增加表!AN53</f>
        <v>0</v>
      </c>
      <c r="AO45" s="193">
        <f>股权价值增加表!AO53</f>
        <v>126324983.14</v>
      </c>
      <c r="AP45" s="193">
        <f>股权价值增加表!AP53</f>
        <v>0</v>
      </c>
      <c r="AQ45" s="193">
        <f>股权价值增加表!AQ53</f>
        <v>0</v>
      </c>
      <c r="AR45" s="193">
        <f>股权价值增加表!AR53</f>
        <v>0</v>
      </c>
      <c r="AS45" s="193">
        <f>股权价值增加表!AS53</f>
        <v>132348309.90000001</v>
      </c>
      <c r="AT45" s="193">
        <f>股权价值增加表!AT53</f>
        <v>0</v>
      </c>
      <c r="AU45" s="193">
        <f>股权价值增加表!AU53</f>
        <v>0</v>
      </c>
      <c r="AV45" s="193">
        <f>股权价值增加表!AV53</f>
        <v>0</v>
      </c>
      <c r="AW45" s="193">
        <f>股权价值增加表!AW53</f>
        <v>41484361.509999998</v>
      </c>
      <c r="AX45" s="193">
        <f>股权价值增加表!AX53</f>
        <v>0</v>
      </c>
      <c r="AY45" s="193">
        <f>股权价值增加表!AY53</f>
        <v>0</v>
      </c>
      <c r="AZ45" s="193">
        <f>股权价值增加表!AZ53</f>
        <v>0</v>
      </c>
      <c r="BA45" s="193">
        <f>股权价值增加表!BA53</f>
        <v>8042309.5300000003</v>
      </c>
      <c r="BB45" s="193">
        <f>股权价值增加表!BB53</f>
        <v>0</v>
      </c>
      <c r="BC45" s="193">
        <f>股权价值增加表!BC53</f>
        <v>0</v>
      </c>
      <c r="BD45" s="193">
        <f>股权价值增加表!BD53</f>
        <v>0</v>
      </c>
      <c r="BE45" s="193">
        <f>股权价值增加表!BE53</f>
        <v>9216241.1300000008</v>
      </c>
      <c r="BF45" s="193">
        <f>股权价值增加表!BF53</f>
        <v>0</v>
      </c>
      <c r="BG45" s="193">
        <f>股权价值增加表!BG53</f>
        <v>0</v>
      </c>
      <c r="BH45" s="193">
        <f>股权价值增加表!BH53</f>
        <v>0</v>
      </c>
      <c r="BI45" s="193">
        <f>股权价值增加表!BI53</f>
        <v>1006660.45</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c r="AK46" s="190"/>
      <c r="AL46" s="193">
        <v>4585184.8499999996</v>
      </c>
      <c r="AM46" s="193">
        <v>3549973.37</v>
      </c>
      <c r="AN46" s="193">
        <v>1556874.75</v>
      </c>
      <c r="AO46" s="193">
        <v>4088339.29</v>
      </c>
      <c r="AP46" s="193">
        <v>9174270.6699999999</v>
      </c>
      <c r="AQ46" s="193">
        <v>7040917.1100000003</v>
      </c>
      <c r="AR46" s="193">
        <v>14796015.619999999</v>
      </c>
      <c r="AS46" s="193">
        <v>9277615.1899999995</v>
      </c>
      <c r="AT46" s="193">
        <v>8963666.4499999993</v>
      </c>
      <c r="AU46" s="193">
        <v>4200325.4800000004</v>
      </c>
      <c r="AV46" s="193">
        <v>2900835.97</v>
      </c>
      <c r="AW46" s="193">
        <v>0</v>
      </c>
      <c r="AX46" s="193">
        <v>0</v>
      </c>
      <c r="AY46" s="193">
        <v>0</v>
      </c>
      <c r="AZ46" s="193">
        <v>0</v>
      </c>
      <c r="BA46" s="193">
        <v>0</v>
      </c>
      <c r="BB46" s="193">
        <v>0</v>
      </c>
      <c r="BC46" s="193">
        <v>0</v>
      </c>
      <c r="BD46" s="193">
        <v>0</v>
      </c>
      <c r="BE46" s="193">
        <v>0</v>
      </c>
      <c r="BF46" s="193">
        <v>0</v>
      </c>
      <c r="BG46" s="193">
        <v>0</v>
      </c>
      <c r="BH46" s="193">
        <v>0</v>
      </c>
      <c r="BI46" s="193">
        <v>0</v>
      </c>
      <c r="BJ46" s="193">
        <v>0</v>
      </c>
      <c r="BK46" s="193">
        <v>0</v>
      </c>
      <c r="BL46" s="193">
        <v>0</v>
      </c>
      <c r="BM46" s="193">
        <v>0</v>
      </c>
      <c r="BN46" s="193">
        <v>0</v>
      </c>
      <c r="BO46" s="193">
        <v>0</v>
      </c>
      <c r="BP46" s="193">
        <v>0</v>
      </c>
      <c r="BQ46" s="193">
        <v>0</v>
      </c>
      <c r="BR46" s="193">
        <v>0</v>
      </c>
      <c r="BS46" s="193">
        <v>0</v>
      </c>
      <c r="BT46" s="193">
        <v>0</v>
      </c>
    </row>
    <row r="47" spans="1:74" s="193" customFormat="1" x14ac:dyDescent="0.25">
      <c r="A47" s="193" t="s">
        <v>326</v>
      </c>
      <c r="B47" s="193">
        <v>1587899.24</v>
      </c>
      <c r="C47" s="193">
        <v>995962.21</v>
      </c>
      <c r="D47" s="193">
        <v>391254.89</v>
      </c>
      <c r="E47" s="193">
        <v>1153135.1000000001</v>
      </c>
      <c r="F47" s="193">
        <v>1788802.08</v>
      </c>
      <c r="G47" s="193">
        <v>1184532.03</v>
      </c>
      <c r="H47" s="193">
        <v>570558.6</v>
      </c>
      <c r="I47" s="193">
        <v>891343215.74000001</v>
      </c>
      <c r="J47" s="193">
        <v>423927036.30000001</v>
      </c>
      <c r="K47" s="193">
        <v>701674</v>
      </c>
      <c r="L47" s="193">
        <v>0</v>
      </c>
      <c r="M47" s="193">
        <v>22400000</v>
      </c>
      <c r="N47" s="193">
        <v>22400000</v>
      </c>
      <c r="O47" s="193">
        <v>22400000</v>
      </c>
      <c r="P47" s="193">
        <v>16000000</v>
      </c>
      <c r="Q47" s="193">
        <v>36983544</v>
      </c>
      <c r="R47" s="193">
        <v>31076160</v>
      </c>
      <c r="S47" s="193">
        <v>25076160</v>
      </c>
      <c r="T47" s="193">
        <v>6000000</v>
      </c>
      <c r="U47" s="193">
        <v>154078426.22999999</v>
      </c>
      <c r="V47" s="193">
        <v>144078426.22999999</v>
      </c>
      <c r="W47" s="193">
        <v>137928726.22999999</v>
      </c>
      <c r="X47" s="193">
        <v>38018328</v>
      </c>
      <c r="Y47" s="193">
        <v>253388464</v>
      </c>
      <c r="Z47" s="193">
        <v>253388464</v>
      </c>
      <c r="AA47" s="193">
        <v>253388464</v>
      </c>
      <c r="AB47" s="193">
        <v>217038464</v>
      </c>
      <c r="AC47" s="193">
        <v>316354604.79000002</v>
      </c>
      <c r="AD47" s="193">
        <v>249964604.78999999</v>
      </c>
      <c r="AE47" s="193">
        <v>132196434.7</v>
      </c>
      <c r="AF47" s="193">
        <v>68706483.799999997</v>
      </c>
      <c r="AG47" s="193">
        <v>227411447.61000001</v>
      </c>
      <c r="AH47" s="193">
        <v>154010250.13</v>
      </c>
      <c r="AI47" s="193">
        <v>210000000</v>
      </c>
      <c r="AJ47" s="193">
        <v>186700517.59999999</v>
      </c>
      <c r="AK47" s="193">
        <v>0</v>
      </c>
      <c r="AL47" s="193">
        <v>2211120903.2600002</v>
      </c>
      <c r="AM47" s="193">
        <v>1091336676.54</v>
      </c>
      <c r="AN47" s="193">
        <v>436458198.22000003</v>
      </c>
      <c r="AO47" s="193">
        <v>1752908591.3499999</v>
      </c>
      <c r="AP47" s="193">
        <v>999092227.25999999</v>
      </c>
      <c r="AQ47" s="193">
        <v>701479089.67999995</v>
      </c>
      <c r="AR47" s="193">
        <v>263140098.50999999</v>
      </c>
      <c r="AS47" s="193">
        <v>1284887013.27</v>
      </c>
      <c r="AT47" s="193">
        <v>1352181454.5999999</v>
      </c>
      <c r="AU47" s="193">
        <v>765615695.08000004</v>
      </c>
      <c r="AV47" s="193">
        <v>161528725</v>
      </c>
      <c r="AW47" s="193">
        <v>1392915700</v>
      </c>
      <c r="AX47" s="193">
        <v>937457664.57000005</v>
      </c>
      <c r="AY47" s="193">
        <v>740273150</v>
      </c>
      <c r="AZ47" s="193">
        <v>298349350</v>
      </c>
      <c r="BA47" s="193">
        <v>1283963400</v>
      </c>
      <c r="BB47" s="193">
        <v>849000000</v>
      </c>
      <c r="BC47" s="193">
        <v>474000000</v>
      </c>
      <c r="BD47" s="193">
        <v>354000000</v>
      </c>
      <c r="BE47" s="193">
        <v>321501558.5</v>
      </c>
      <c r="BF47" s="193">
        <v>51501558.5</v>
      </c>
      <c r="BG47" s="193">
        <v>51501558.5</v>
      </c>
      <c r="BH47" s="193">
        <v>1501558.5</v>
      </c>
      <c r="BI47" s="193">
        <v>12690000</v>
      </c>
      <c r="BJ47" s="193">
        <v>0</v>
      </c>
      <c r="BK47" s="193">
        <v>0</v>
      </c>
      <c r="BL47" s="193">
        <v>210000</v>
      </c>
      <c r="BM47" s="193">
        <v>0</v>
      </c>
      <c r="BN47" s="193">
        <v>0</v>
      </c>
      <c r="BO47" s="193">
        <v>114100000</v>
      </c>
      <c r="BP47" s="193">
        <v>114100000</v>
      </c>
      <c r="BQ47" s="193">
        <v>176730000</v>
      </c>
      <c r="BR47" s="193">
        <v>22130000</v>
      </c>
      <c r="BS47" s="193">
        <v>59600000</v>
      </c>
      <c r="BT47" s="193">
        <v>0</v>
      </c>
    </row>
    <row r="48" spans="1:74" s="193" customFormat="1" x14ac:dyDescent="0.25">
      <c r="A48" s="193" t="s">
        <v>597</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3">
        <v>0</v>
      </c>
      <c r="AM48" s="193">
        <v>0</v>
      </c>
      <c r="AN48" s="193">
        <v>0</v>
      </c>
      <c r="AO48" s="193">
        <v>0</v>
      </c>
      <c r="AP48" s="193">
        <v>0</v>
      </c>
      <c r="AQ48" s="193">
        <v>0</v>
      </c>
      <c r="AR48" s="193">
        <v>0</v>
      </c>
      <c r="AS48" s="193">
        <v>0</v>
      </c>
      <c r="AT48" s="193">
        <v>0</v>
      </c>
      <c r="AU48" s="193">
        <v>0</v>
      </c>
      <c r="AV48" s="193">
        <v>0</v>
      </c>
      <c r="AW48" s="193">
        <v>0</v>
      </c>
      <c r="AX48" s="193">
        <v>0</v>
      </c>
      <c r="AY48" s="193">
        <v>0</v>
      </c>
      <c r="AZ48" s="193">
        <v>0</v>
      </c>
      <c r="BA48" s="193">
        <v>0</v>
      </c>
      <c r="BB48" s="193">
        <v>0</v>
      </c>
      <c r="BC48" s="193">
        <v>0</v>
      </c>
      <c r="BD48" s="193">
        <v>0</v>
      </c>
      <c r="BE48" s="193">
        <v>0</v>
      </c>
      <c r="BF48" s="193">
        <v>0</v>
      </c>
      <c r="BG48" s="193">
        <v>0</v>
      </c>
      <c r="BH48" s="193">
        <v>0</v>
      </c>
      <c r="BI48" s="193">
        <v>0</v>
      </c>
      <c r="BJ48" s="193">
        <v>0</v>
      </c>
      <c r="BK48" s="193">
        <v>0</v>
      </c>
      <c r="BL48" s="193">
        <v>0</v>
      </c>
      <c r="BM48" s="193">
        <v>0</v>
      </c>
      <c r="BN48" s="193">
        <v>0</v>
      </c>
      <c r="BO48" s="193">
        <v>0</v>
      </c>
      <c r="BP48" s="193">
        <v>0</v>
      </c>
      <c r="BQ48" s="193">
        <v>0</v>
      </c>
      <c r="BR48" s="193">
        <v>0</v>
      </c>
      <c r="BS48" s="193">
        <v>0</v>
      </c>
      <c r="BT48" s="193">
        <v>0</v>
      </c>
    </row>
    <row r="49" spans="1:74" s="193" customFormat="1" x14ac:dyDescent="0.25">
      <c r="A49" s="193" t="s">
        <v>598</v>
      </c>
      <c r="E49" s="193">
        <f>E44+E48-E45-E46-E47</f>
        <v>-1735567.07</v>
      </c>
      <c r="F49" s="193">
        <f t="shared" ref="F49:BQ49" si="85">F44+F48-F45-F46-F47</f>
        <v>-1788802.08</v>
      </c>
      <c r="G49" s="193">
        <f t="shared" si="85"/>
        <v>-1184532.03</v>
      </c>
      <c r="H49" s="193">
        <f t="shared" si="85"/>
        <v>-570558.6</v>
      </c>
      <c r="I49" s="193">
        <f t="shared" si="85"/>
        <v>-31496604.330000043</v>
      </c>
      <c r="J49" s="193">
        <f t="shared" si="85"/>
        <v>462744286.66000003</v>
      </c>
      <c r="K49" s="193">
        <f t="shared" si="85"/>
        <v>777373926</v>
      </c>
      <c r="L49" s="193">
        <f t="shared" si="85"/>
        <v>714938800</v>
      </c>
      <c r="M49" s="193">
        <f t="shared" si="85"/>
        <v>-22723713.760000002</v>
      </c>
      <c r="N49" s="193">
        <f t="shared" si="85"/>
        <v>-22400000</v>
      </c>
      <c r="O49" s="193">
        <f t="shared" si="85"/>
        <v>-22400000</v>
      </c>
      <c r="P49" s="193">
        <f t="shared" si="85"/>
        <v>-16000000</v>
      </c>
      <c r="Q49" s="193">
        <f t="shared" si="85"/>
        <v>3529311.200000003</v>
      </c>
      <c r="R49" s="193">
        <f t="shared" si="85"/>
        <v>3343840</v>
      </c>
      <c r="S49" s="193">
        <f t="shared" si="85"/>
        <v>3343840</v>
      </c>
      <c r="T49" s="193">
        <f t="shared" si="85"/>
        <v>6420000</v>
      </c>
      <c r="U49" s="193">
        <f t="shared" si="85"/>
        <v>-70518681.409999996</v>
      </c>
      <c r="V49" s="193">
        <f t="shared" si="85"/>
        <v>-77613526.229999989</v>
      </c>
      <c r="W49" s="193">
        <f t="shared" si="85"/>
        <v>-76463826.229999989</v>
      </c>
      <c r="X49" s="193">
        <f t="shared" si="85"/>
        <v>12177672</v>
      </c>
      <c r="Y49" s="193">
        <f t="shared" si="85"/>
        <v>-167451563.34999999</v>
      </c>
      <c r="Z49" s="193">
        <f t="shared" si="85"/>
        <v>-253388464</v>
      </c>
      <c r="AA49" s="193">
        <f t="shared" si="85"/>
        <v>-253388464</v>
      </c>
      <c r="AB49" s="193">
        <f t="shared" si="85"/>
        <v>-217038464</v>
      </c>
      <c r="AC49" s="193">
        <f t="shared" si="85"/>
        <v>1249815.7300000191</v>
      </c>
      <c r="AD49" s="193">
        <f t="shared" si="85"/>
        <v>-50034367.379999995</v>
      </c>
      <c r="AE49" s="193">
        <f t="shared" si="85"/>
        <v>6559212.1700000018</v>
      </c>
      <c r="AF49" s="193">
        <f t="shared" si="85"/>
        <v>13012829.530000001</v>
      </c>
      <c r="AG49" s="193">
        <f t="shared" si="85"/>
        <v>-18588125.410000026</v>
      </c>
      <c r="AH49" s="193">
        <f t="shared" si="85"/>
        <v>-49868282.129999995</v>
      </c>
      <c r="AI49" s="193">
        <f t="shared" si="85"/>
        <v>46870000</v>
      </c>
      <c r="AJ49" s="193">
        <f t="shared" si="85"/>
        <v>70070000</v>
      </c>
      <c r="AK49" s="193">
        <f t="shared" si="85"/>
        <v>-67247664.370000005</v>
      </c>
      <c r="AL49" s="193">
        <f t="shared" si="85"/>
        <v>1823765547.1999998</v>
      </c>
      <c r="AM49" s="193">
        <f t="shared" si="85"/>
        <v>1785317781.52</v>
      </c>
      <c r="AN49" s="193">
        <f t="shared" si="85"/>
        <v>1017451387.03</v>
      </c>
      <c r="AO49" s="193">
        <f t="shared" si="85"/>
        <v>-370314754.50999999</v>
      </c>
      <c r="AP49" s="193">
        <f t="shared" si="85"/>
        <v>-45761151.5</v>
      </c>
      <c r="AQ49" s="193">
        <f t="shared" si="85"/>
        <v>11493539.530000091</v>
      </c>
      <c r="AR49" s="193">
        <f t="shared" si="85"/>
        <v>205671480.63999999</v>
      </c>
      <c r="AS49" s="193">
        <f t="shared" si="85"/>
        <v>409193516.90999985</v>
      </c>
      <c r="AT49" s="193">
        <f t="shared" si="85"/>
        <v>378899601.17000008</v>
      </c>
      <c r="AU49" s="193">
        <f t="shared" si="85"/>
        <v>203007144.70999992</v>
      </c>
      <c r="AV49" s="193">
        <f t="shared" si="85"/>
        <v>88156104.300000012</v>
      </c>
      <c r="AW49" s="193">
        <f t="shared" si="85"/>
        <v>-328696578.50999999</v>
      </c>
      <c r="AX49" s="193">
        <f t="shared" si="85"/>
        <v>-109948467</v>
      </c>
      <c r="AY49" s="193">
        <f t="shared" si="85"/>
        <v>-84455150</v>
      </c>
      <c r="AZ49" s="193">
        <f t="shared" si="85"/>
        <v>24117150</v>
      </c>
      <c r="BA49" s="193">
        <f t="shared" si="85"/>
        <v>604056040.47000003</v>
      </c>
      <c r="BB49" s="193">
        <f t="shared" si="85"/>
        <v>682721000</v>
      </c>
      <c r="BC49" s="193">
        <f t="shared" si="85"/>
        <v>716580750</v>
      </c>
      <c r="BD49" s="193">
        <f t="shared" si="85"/>
        <v>318285750</v>
      </c>
      <c r="BE49" s="193">
        <f t="shared" si="85"/>
        <v>1097047200.3699999</v>
      </c>
      <c r="BF49" s="193">
        <f t="shared" si="85"/>
        <v>578498441.5</v>
      </c>
      <c r="BG49" s="193">
        <f t="shared" si="85"/>
        <v>348498441.5</v>
      </c>
      <c r="BH49" s="193">
        <f t="shared" si="85"/>
        <v>48498441.5</v>
      </c>
      <c r="BI49" s="193">
        <f t="shared" si="85"/>
        <v>52494898.049999997</v>
      </c>
      <c r="BJ49" s="193">
        <f t="shared" si="85"/>
        <v>65681558.5</v>
      </c>
      <c r="BK49" s="193">
        <f t="shared" si="85"/>
        <v>480000</v>
      </c>
      <c r="BL49" s="193">
        <f t="shared" si="85"/>
        <v>480000</v>
      </c>
      <c r="BM49" s="193">
        <f t="shared" si="85"/>
        <v>72000000</v>
      </c>
      <c r="BN49" s="193">
        <f t="shared" si="85"/>
        <v>0</v>
      </c>
      <c r="BO49" s="193">
        <f t="shared" si="85"/>
        <v>-84100000</v>
      </c>
      <c r="BP49" s="193">
        <f t="shared" si="85"/>
        <v>-84100000</v>
      </c>
      <c r="BQ49" s="193">
        <f t="shared" si="85"/>
        <v>7370000</v>
      </c>
      <c r="BR49" s="193">
        <f t="shared" ref="BR49:BV49" si="86">BR44+BR48-BR45-BR46-BR47</f>
        <v>17870000</v>
      </c>
      <c r="BS49" s="193">
        <f t="shared" si="86"/>
        <v>5000000</v>
      </c>
      <c r="BT49" s="193">
        <f t="shared" si="86"/>
        <v>0</v>
      </c>
      <c r="BU49" s="193">
        <f t="shared" si="86"/>
        <v>0</v>
      </c>
      <c r="BV49" s="193">
        <f t="shared" si="86"/>
        <v>0</v>
      </c>
    </row>
    <row r="50" spans="1:74" s="26" customFormat="1" x14ac:dyDescent="0.25"/>
    <row r="51" spans="1:74" s="16" customFormat="1" ht="120" customHeight="1" x14ac:dyDescent="0.25">
      <c r="A51" s="274" t="s">
        <v>669</v>
      </c>
      <c r="B51" s="275"/>
      <c r="C51" s="275"/>
      <c r="D51" s="275"/>
      <c r="E51" s="275"/>
      <c r="F51" s="275"/>
      <c r="G51" s="275"/>
      <c r="H51" s="275"/>
      <c r="I51" s="275"/>
      <c r="J51" s="275"/>
      <c r="K51" s="275"/>
      <c r="L51" s="275"/>
      <c r="M51" s="275"/>
      <c r="N51" s="275"/>
      <c r="O51" s="275"/>
      <c r="P51" s="275"/>
      <c r="Q51" s="275"/>
      <c r="R51" s="275"/>
      <c r="S51" s="275"/>
      <c r="T51" s="275"/>
      <c r="U51" s="275"/>
      <c r="V51" s="275"/>
      <c r="W51" s="275"/>
      <c r="X51" s="275"/>
      <c r="Y51" s="275"/>
      <c r="Z51" s="275"/>
      <c r="AA51" s="275"/>
      <c r="AB51" s="275"/>
      <c r="AC51" s="275"/>
      <c r="AD51" s="275"/>
      <c r="AE51" s="275"/>
      <c r="AF51" s="275"/>
      <c r="AG51" s="275"/>
      <c r="AH51" s="275"/>
      <c r="AI51" s="275"/>
      <c r="AJ51" s="275"/>
      <c r="AK51" s="275"/>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7.21875" hidden="1" customWidth="1"/>
    <col min="33" max="33" width="17.21875" bestFit="1" customWidth="1"/>
    <col min="34" max="34" width="17.21875" hidden="1" customWidth="1"/>
    <col min="35" max="35" width="9.5546875" bestFit="1" customWidth="1"/>
    <col min="36" max="36" width="19.33203125" bestFit="1" customWidth="1"/>
    <col min="37" max="40" width="19.33203125" hidden="1" customWidth="1"/>
    <col min="41" max="41" width="19.33203125" bestFit="1" customWidth="1"/>
    <col min="42" max="44" width="19.332031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7.21875" bestFit="1" customWidth="1"/>
    <col min="72" max="72" width="17.21875" hidden="1" customWidth="1"/>
    <col min="73" max="73" width="17.21875" bestFit="1" customWidth="1"/>
    <col min="74" max="74" width="8.5546875" bestFit="1" customWidth="1"/>
  </cols>
  <sheetData>
    <row r="1" spans="1:74"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row>
    <row r="2" spans="1:74" s="48" customFormat="1" x14ac:dyDescent="0.25">
      <c r="A2" s="46" t="s">
        <v>327</v>
      </c>
    </row>
    <row r="3" spans="1:74" s="26" customFormat="1" x14ac:dyDescent="0.25">
      <c r="A3" s="17" t="s">
        <v>328</v>
      </c>
      <c r="B3" s="26">
        <f>平均资本成本表!E53</f>
        <v>0</v>
      </c>
      <c r="E3" s="26">
        <f>股权价值增加表!E53</f>
        <v>582431.97</v>
      </c>
      <c r="F3" s="26">
        <f>股权价值增加表!F53</f>
        <v>0</v>
      </c>
      <c r="G3" s="26">
        <f>股权价值增加表!G53</f>
        <v>0</v>
      </c>
      <c r="H3" s="26">
        <f>股权价值增加表!H53</f>
        <v>0</v>
      </c>
      <c r="I3" s="26">
        <f>股权价值增加表!I53</f>
        <v>29121688.59</v>
      </c>
      <c r="J3" s="26">
        <f>股权价值增加表!J53</f>
        <v>0</v>
      </c>
      <c r="K3" s="26">
        <f>股权价值增加表!K53</f>
        <v>0</v>
      </c>
      <c r="L3" s="26">
        <f>股权价值增加表!L53</f>
        <v>0</v>
      </c>
      <c r="M3" s="26">
        <f>股权价值增加表!M53</f>
        <v>323713.76</v>
      </c>
      <c r="N3" s="26">
        <f>股权价值增加表!N53</f>
        <v>0</v>
      </c>
      <c r="O3" s="26">
        <f>股权价值增加表!O53</f>
        <v>0</v>
      </c>
      <c r="P3" s="26">
        <f>股权价值增加表!P53</f>
        <v>0</v>
      </c>
      <c r="Q3" s="26">
        <f>股权价值增加表!Q53</f>
        <v>1307144.8</v>
      </c>
      <c r="R3" s="26">
        <f>股权价值增加表!R53</f>
        <v>0</v>
      </c>
      <c r="S3" s="26">
        <f>股权价值增加表!S53</f>
        <v>0</v>
      </c>
      <c r="T3" s="26">
        <f>股权价值增加表!T53</f>
        <v>0</v>
      </c>
      <c r="U3" s="26">
        <f>股权价值增加表!U53</f>
        <v>1429735.18</v>
      </c>
      <c r="V3" s="26">
        <f>股权价值增加表!V53</f>
        <v>0</v>
      </c>
      <c r="W3" s="26">
        <f>股权价值增加表!W53</f>
        <v>0</v>
      </c>
      <c r="X3" s="26">
        <f>股权价值增加表!X53</f>
        <v>0</v>
      </c>
      <c r="Y3" s="26">
        <f>股权价值增加表!Y53</f>
        <v>2500935.35</v>
      </c>
      <c r="Z3" s="26">
        <f>股权价值增加表!Z53</f>
        <v>0</v>
      </c>
      <c r="AA3" s="26">
        <f>股权价值增加表!AA53</f>
        <v>0</v>
      </c>
      <c r="AB3" s="26">
        <f>股权价值增加表!AB53</f>
        <v>0</v>
      </c>
      <c r="AC3" s="26">
        <f>股权价值增加表!AC53</f>
        <v>16331432.890000001</v>
      </c>
      <c r="AD3" s="26">
        <f>股权价值增加表!AD53</f>
        <v>0</v>
      </c>
      <c r="AE3" s="26">
        <f>股权价值增加表!AE53</f>
        <v>0</v>
      </c>
      <c r="AF3" s="26">
        <f>股权价值增加表!AF53</f>
        <v>0</v>
      </c>
      <c r="AG3" s="26">
        <f>股权价值增加表!AG53</f>
        <v>11707536.800000001</v>
      </c>
      <c r="AH3" s="26">
        <f>股权价值增加表!AH53</f>
        <v>0</v>
      </c>
      <c r="AI3" s="26">
        <f>股权价值增加表!AI53</f>
        <v>0</v>
      </c>
      <c r="AJ3" s="26">
        <f>股权价值增加表!AJ53</f>
        <v>0</v>
      </c>
      <c r="AK3" s="26">
        <f>股权价值增加表!AK53</f>
        <v>67247664.370000005</v>
      </c>
      <c r="AL3" s="26">
        <f>股权价值增加表!AL53</f>
        <v>0</v>
      </c>
      <c r="AM3" s="26">
        <f>股权价值增加表!AM53</f>
        <v>0</v>
      </c>
      <c r="AN3" s="26">
        <f>股权价值增加表!AN53</f>
        <v>0</v>
      </c>
      <c r="AO3" s="26">
        <f>股权价值增加表!AO53</f>
        <v>126324983.14</v>
      </c>
      <c r="AP3" s="26">
        <f>股权价值增加表!AP53</f>
        <v>0</v>
      </c>
      <c r="AQ3" s="26">
        <f>股权价值增加表!AQ53</f>
        <v>0</v>
      </c>
      <c r="AR3" s="26">
        <f>股权价值增加表!AR53</f>
        <v>0</v>
      </c>
      <c r="AS3" s="26">
        <f>股权价值增加表!AS53</f>
        <v>132348309.90000001</v>
      </c>
      <c r="AT3" s="26">
        <f>股权价值增加表!AT53</f>
        <v>0</v>
      </c>
      <c r="AU3" s="26">
        <f>股权价值增加表!AU53</f>
        <v>0</v>
      </c>
      <c r="AV3" s="26">
        <f>股权价值增加表!AV53</f>
        <v>0</v>
      </c>
      <c r="AW3" s="26">
        <f>股权价值增加表!AW53</f>
        <v>41484361.509999998</v>
      </c>
      <c r="AX3" s="26">
        <f>股权价值增加表!AX53</f>
        <v>0</v>
      </c>
      <c r="AY3" s="26">
        <f>股权价值增加表!AY53</f>
        <v>0</v>
      </c>
      <c r="AZ3" s="26">
        <f>股权价值增加表!AZ53</f>
        <v>0</v>
      </c>
      <c r="BA3" s="26">
        <f>股权价值增加表!BA53</f>
        <v>8042309.5300000003</v>
      </c>
      <c r="BB3" s="26">
        <f>股权价值增加表!BB53</f>
        <v>0</v>
      </c>
      <c r="BC3" s="26">
        <f>股权价值增加表!BC53</f>
        <v>0</v>
      </c>
      <c r="BD3" s="26">
        <f>股权价值增加表!BD53</f>
        <v>0</v>
      </c>
      <c r="BE3" s="26">
        <f>股权价值增加表!BE53</f>
        <v>9216241.1300000008</v>
      </c>
      <c r="BF3" s="26">
        <f>股权价值增加表!BF53</f>
        <v>0</v>
      </c>
      <c r="BG3" s="26">
        <f>股权价值增加表!BG53</f>
        <v>0</v>
      </c>
      <c r="BH3" s="26">
        <f>股权价值增加表!BH53</f>
        <v>0</v>
      </c>
      <c r="BI3" s="26">
        <f>股权价值增加表!BI53</f>
        <v>1006660.45</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9814499.0099999998</v>
      </c>
      <c r="F4" s="26">
        <f>资产资本表!F89</f>
        <v>10403094.75</v>
      </c>
      <c r="G4" s="26">
        <f>资产资本表!G89</f>
        <v>10948057.85</v>
      </c>
      <c r="H4" s="26">
        <f>资产资本表!H89</f>
        <v>11479707.73</v>
      </c>
      <c r="I4" s="26">
        <f>资产资本表!I89</f>
        <v>12146828.039999999</v>
      </c>
      <c r="J4" s="26">
        <f>资产资本表!J89</f>
        <v>481754640.68000001</v>
      </c>
      <c r="K4" s="26">
        <f>资产资本表!K89</f>
        <v>800403293.14999998</v>
      </c>
      <c r="L4" s="26">
        <f>资产资本表!L89</f>
        <v>727566881.36000001</v>
      </c>
      <c r="M4" s="26">
        <f>资产资本表!M89</f>
        <v>0</v>
      </c>
      <c r="N4" s="26">
        <f>资产资本表!N89</f>
        <v>0</v>
      </c>
      <c r="O4" s="26">
        <f>资产资本表!O89</f>
        <v>0</v>
      </c>
      <c r="P4" s="26">
        <f>资产资本表!P89</f>
        <v>6400000</v>
      </c>
      <c r="Q4" s="26">
        <f>资产资本表!Q89</f>
        <v>22400000</v>
      </c>
      <c r="R4" s="26">
        <f>资产资本表!R89</f>
        <v>30139770.52</v>
      </c>
      <c r="S4" s="26">
        <f>资产资本表!S89</f>
        <v>30922039.960000001</v>
      </c>
      <c r="T4" s="26">
        <f>资产资本表!T89</f>
        <v>34561985.399999999</v>
      </c>
      <c r="U4" s="26">
        <f>资产资本表!U89</f>
        <v>28841744.43</v>
      </c>
      <c r="V4" s="26">
        <f>资产资本表!V89</f>
        <v>20343556.579999998</v>
      </c>
      <c r="W4" s="26">
        <f>资产资本表!W89</f>
        <v>20058378.119999997</v>
      </c>
      <c r="X4" s="26">
        <f>资产资本表!X89</f>
        <v>110077068.27</v>
      </c>
      <c r="Y4" s="26">
        <f>资产资本表!Y89</f>
        <v>98207484.480000004</v>
      </c>
      <c r="Z4" s="26">
        <f>资产资本表!Z89</f>
        <v>10294880.039999999</v>
      </c>
      <c r="AA4" s="26">
        <f>资产资本表!AA89</f>
        <v>10646405.76</v>
      </c>
      <c r="AB4" s="26">
        <f>资产资本表!AB89</f>
        <v>47602931.480000004</v>
      </c>
      <c r="AC4" s="26">
        <f>资产资本表!AC89</f>
        <v>264954419.19999999</v>
      </c>
      <c r="AD4" s="26">
        <f>资产资本表!AD89</f>
        <v>186939796.61000001</v>
      </c>
      <c r="AE4" s="26">
        <f>资产资本表!AE89</f>
        <v>244017139.53999999</v>
      </c>
      <c r="AF4" s="26">
        <f>资产资本表!AF89</f>
        <v>238432714.67000002</v>
      </c>
      <c r="AG4" s="26">
        <f>资产资本表!AG89</f>
        <v>226970000</v>
      </c>
      <c r="AH4" s="26">
        <f>资产资本表!AH89</f>
        <v>180000000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5.3041600689608608E-2</v>
      </c>
      <c r="F5" s="63">
        <f t="shared" ref="F5:BQ5" si="0">IF(F4+J4=0,0,F3/((F4+J4)/2))</f>
        <v>0</v>
      </c>
      <c r="G5" s="63">
        <f t="shared" si="0"/>
        <v>0</v>
      </c>
      <c r="H5" s="63">
        <f t="shared" si="0"/>
        <v>0</v>
      </c>
      <c r="I5" s="63">
        <f t="shared" si="0"/>
        <v>4.7949453954729737</v>
      </c>
      <c r="J5" s="63">
        <f t="shared" si="0"/>
        <v>0</v>
      </c>
      <c r="K5" s="63">
        <f t="shared" si="0"/>
        <v>0</v>
      </c>
      <c r="L5" s="63">
        <f t="shared" si="0"/>
        <v>0</v>
      </c>
      <c r="M5" s="63">
        <f t="shared" si="0"/>
        <v>2.8903014285714287E-2</v>
      </c>
      <c r="N5" s="63">
        <f t="shared" si="0"/>
        <v>0</v>
      </c>
      <c r="O5" s="63">
        <f t="shared" si="0"/>
        <v>0</v>
      </c>
      <c r="P5" s="63">
        <f t="shared" si="0"/>
        <v>0</v>
      </c>
      <c r="Q5" s="63">
        <f t="shared" si="0"/>
        <v>5.101874709927786E-2</v>
      </c>
      <c r="R5" s="63">
        <f t="shared" si="0"/>
        <v>0</v>
      </c>
      <c r="S5" s="63">
        <f t="shared" si="0"/>
        <v>0</v>
      </c>
      <c r="T5" s="63">
        <f t="shared" si="0"/>
        <v>0</v>
      </c>
      <c r="U5" s="63">
        <f t="shared" si="0"/>
        <v>2.2506790356245383E-2</v>
      </c>
      <c r="V5" s="63">
        <f t="shared" si="0"/>
        <v>0</v>
      </c>
      <c r="W5" s="63">
        <f t="shared" si="0"/>
        <v>0</v>
      </c>
      <c r="X5" s="63">
        <f t="shared" si="0"/>
        <v>0</v>
      </c>
      <c r="Y5" s="63">
        <f t="shared" si="0"/>
        <v>1.3773115101873122E-2</v>
      </c>
      <c r="Z5" s="63">
        <f t="shared" si="0"/>
        <v>0</v>
      </c>
      <c r="AA5" s="63">
        <f t="shared" si="0"/>
        <v>0</v>
      </c>
      <c r="AB5" s="63">
        <f t="shared" si="0"/>
        <v>0</v>
      </c>
      <c r="AC5" s="63">
        <f t="shared" si="0"/>
        <v>6.6398138626902303E-2</v>
      </c>
      <c r="AD5" s="63">
        <f t="shared" si="0"/>
        <v>0</v>
      </c>
      <c r="AE5" s="63">
        <f t="shared" si="0"/>
        <v>0</v>
      </c>
      <c r="AF5" s="63">
        <f t="shared" si="0"/>
        <v>0</v>
      </c>
      <c r="AG5" s="63">
        <f t="shared" si="0"/>
        <v>0.10316373793893467</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0.16115396216967207</v>
      </c>
      <c r="F6" s="63">
        <f>股权价值增加表!F41</f>
        <v>0.1598433336875959</v>
      </c>
      <c r="G6" s="63">
        <f>股权价值增加表!G41</f>
        <v>0.16580342968680004</v>
      </c>
      <c r="H6" s="63">
        <f>股权价值增加表!H41</f>
        <v>0.17249351707103774</v>
      </c>
      <c r="I6" s="63">
        <f>股权价值增加表!I41</f>
        <v>0.11809570771156358</v>
      </c>
      <c r="J6" s="63">
        <f>股权价值增加表!J41</f>
        <v>0.14465088953947663</v>
      </c>
      <c r="K6" s="63">
        <f>股权价值增加表!K41</f>
        <v>0.13602858417322747</v>
      </c>
      <c r="L6" s="63">
        <f>股权价值增加表!L41</f>
        <v>0.15879609679216647</v>
      </c>
      <c r="M6" s="63">
        <f>股权价值增加表!M41</f>
        <v>0.11811270401297959</v>
      </c>
      <c r="N6" s="63">
        <f>股权价值增加表!N41</f>
        <v>0.14899803674358453</v>
      </c>
      <c r="O6" s="63">
        <f>股权价值增加表!O41</f>
        <v>0.13678391129069647</v>
      </c>
      <c r="P6" s="63">
        <f>股权价值增加表!P41</f>
        <v>0.16245647748412487</v>
      </c>
      <c r="Q6" s="63">
        <f>股权价值增加表!Q41</f>
        <v>0.12996031739797934</v>
      </c>
      <c r="R6" s="63">
        <f>股权价值增加表!R41</f>
        <v>0.14774323890285532</v>
      </c>
      <c r="S6" s="63">
        <f>股权价值增加表!S41</f>
        <v>0.1360079297084005</v>
      </c>
      <c r="T6" s="63">
        <f>股权价值增加表!T41</f>
        <v>0.17120330322688793</v>
      </c>
      <c r="U6" s="63">
        <f>股权价值增加表!U41</f>
        <v>0.16255056365007006</v>
      </c>
      <c r="V6" s="63">
        <f>股权价值增加表!V41</f>
        <v>0.14956504953446348</v>
      </c>
      <c r="W6" s="63">
        <f>股权价值增加表!W41</f>
        <v>0.14322636906816577</v>
      </c>
      <c r="X6" s="63">
        <f>股权价值增加表!X41</f>
        <v>0.1561328041863404</v>
      </c>
      <c r="Y6" s="63">
        <f>股权价值增加表!Y41</f>
        <v>0.14446772320571441</v>
      </c>
      <c r="Z6" s="63">
        <f>股权价值增加表!Z41</f>
        <v>0.14447216697608323</v>
      </c>
      <c r="AA6" s="63">
        <f>股权价值增加表!AA41</f>
        <v>0.14311835693792785</v>
      </c>
      <c r="AB6" s="63">
        <f>股权价值增加表!AB41</f>
        <v>0.15052031010813446</v>
      </c>
      <c r="AC6" s="63">
        <f>股权价值增加表!AC41</f>
        <v>0.14898641303216315</v>
      </c>
      <c r="AD6" s="63">
        <f>股权价值增加表!AD41</f>
        <v>0.14236714607643461</v>
      </c>
      <c r="AE6" s="63">
        <f>股权价值增加表!AE41</f>
        <v>0.13316045578256985</v>
      </c>
      <c r="AF6" s="63">
        <f>股权价值增加表!AF41</f>
        <v>0.16038745642585184</v>
      </c>
      <c r="AG6" s="63">
        <f>股权价值增加表!AG41</f>
        <v>0.13212665735928075</v>
      </c>
      <c r="AH6" s="63">
        <f>股权价值增加表!AH41</f>
        <v>0.13638519098909921</v>
      </c>
      <c r="AI6" s="63">
        <f>股权价值增加表!AI41</f>
        <v>0.15189106866538649</v>
      </c>
      <c r="AJ6" s="63">
        <f>股权价值增加表!AJ41</f>
        <v>0.11855044069459447</v>
      </c>
      <c r="AK6" s="63">
        <f>股权价值增加表!AK41</f>
        <v>0</v>
      </c>
      <c r="AL6" s="63">
        <f>股权价值增加表!AL41</f>
        <v>-3.5529488447562025</v>
      </c>
      <c r="AM6" s="63">
        <f>股权价值增加表!AM41</f>
        <v>-1.9730104952572241</v>
      </c>
      <c r="AN6" s="63">
        <f>股权价值增加表!AN41</f>
        <v>-0.7731263011661299</v>
      </c>
      <c r="AO6" s="63">
        <f>股权价值增加表!AO41</f>
        <v>12217.335847924704</v>
      </c>
      <c r="AP6" s="63">
        <f>股权价值增加表!AP41</f>
        <v>-14.364017128766118</v>
      </c>
      <c r="AQ6" s="63">
        <f>股权价值增加表!AQ41</f>
        <v>30.074615821333456</v>
      </c>
      <c r="AR6" s="63">
        <f>股权价值增加表!AR41</f>
        <v>5.6740220572007249</v>
      </c>
      <c r="AS6" s="63">
        <f>股权价值增加表!AS41</f>
        <v>4.7092378870690004</v>
      </c>
      <c r="AT6" s="63">
        <f>股权价值增加表!AT41</f>
        <v>453.5602885021363</v>
      </c>
      <c r="AU6" s="63">
        <f>股权价值增加表!AU41</f>
        <v>-10.692558518708548</v>
      </c>
      <c r="AV6" s="63">
        <f>股权价值增加表!AV41</f>
        <v>-16.023087626800979</v>
      </c>
      <c r="AW6" s="63">
        <f>股权价值增加表!AW41</f>
        <v>12.824533811172865</v>
      </c>
      <c r="AX6" s="63">
        <f>股权价值增加表!AX41</f>
        <v>-214.86387507123285</v>
      </c>
      <c r="AY6" s="63">
        <f>股权价值增加表!AY41</f>
        <v>84.752505141414829</v>
      </c>
      <c r="AZ6" s="63">
        <f>股权价值增加表!AZ41</f>
        <v>58.21662293877791</v>
      </c>
      <c r="BA6" s="63">
        <f>股权价值增加表!BA41</f>
        <v>-77.707053100435957</v>
      </c>
      <c r="BB6" s="63">
        <f>股权价值增加表!BB41</f>
        <v>-45.96742146360917</v>
      </c>
      <c r="BC6" s="63">
        <f>股权价值增加表!BC41</f>
        <v>-37.191424750324082</v>
      </c>
      <c r="BD6" s="63">
        <f>股权价值增加表!BD41</f>
        <v>-31.462557642924036</v>
      </c>
      <c r="BE6" s="63">
        <f>股权价值增加表!BE41</f>
        <v>-16.263412448683695</v>
      </c>
      <c r="BF6" s="63">
        <f>股权价值增加表!BF41</f>
        <v>-24.4625426728647</v>
      </c>
      <c r="BG6" s="63">
        <f>股权价值增加表!BG41</f>
        <v>-51.865743062987342</v>
      </c>
      <c r="BH6" s="63">
        <f>股权价值增加表!BH41</f>
        <v>-1620.3921040092712</v>
      </c>
      <c r="BI6" s="63">
        <f>股权价值增加表!BI41</f>
        <v>79.857881263136633</v>
      </c>
      <c r="BJ6" s="63">
        <f>股权价值增加表!BJ41</f>
        <v>141.13268018937481</v>
      </c>
      <c r="BK6" s="63">
        <f>股权价值增加表!BK41</f>
        <v>53.327596541223159</v>
      </c>
      <c r="BL6" s="63">
        <f>股权价值增加表!BL41</f>
        <v>36.320705615434456</v>
      </c>
      <c r="BM6" s="63">
        <f>股权价值增加表!BM41</f>
        <v>12.506972120264656</v>
      </c>
      <c r="BN6" s="63">
        <f>股权价值增加表!BN41</f>
        <v>12.396842557518431</v>
      </c>
      <c r="BO6" s="63">
        <f>股权价值增加表!BO41</f>
        <v>6.8502532683313593</v>
      </c>
      <c r="BP6" s="63">
        <f>股权价值增加表!BP41</f>
        <v>7.4630758207432768</v>
      </c>
      <c r="BQ6" s="63">
        <f>股权价值增加表!BQ41</f>
        <v>7.1587618864435401</v>
      </c>
      <c r="BR6" s="63">
        <f>股权价值增加表!BR41</f>
        <v>18.384621235168847</v>
      </c>
      <c r="BS6" s="63">
        <f>股权价值增加表!BS41</f>
        <v>4.4281159743452809</v>
      </c>
      <c r="BT6" s="63">
        <f>股权价值增加表!BT41</f>
        <v>-1.7566441635919341</v>
      </c>
      <c r="BU6" s="63">
        <f>股权价值增加表!BU41</f>
        <v>-5.4505668867242774</v>
      </c>
    </row>
    <row r="7" spans="1:74" s="63" customFormat="1" x14ac:dyDescent="0.25">
      <c r="A7" s="63" t="s">
        <v>330</v>
      </c>
      <c r="E7" s="63">
        <f>E5*(1-E6)</f>
        <v>4.4493736578656573E-2</v>
      </c>
      <c r="F7" s="63">
        <f t="shared" ref="F7:BQ7" si="2">F5*(1-F6)</f>
        <v>0</v>
      </c>
      <c r="G7" s="63">
        <f t="shared" si="2"/>
        <v>0</v>
      </c>
      <c r="H7" s="63">
        <f t="shared" si="2"/>
        <v>0</v>
      </c>
      <c r="I7" s="63">
        <f t="shared" si="2"/>
        <v>4.2286829255562894</v>
      </c>
      <c r="J7" s="63">
        <f t="shared" si="2"/>
        <v>0</v>
      </c>
      <c r="K7" s="63">
        <f t="shared" si="2"/>
        <v>0</v>
      </c>
      <c r="L7" s="63">
        <f t="shared" si="2"/>
        <v>0</v>
      </c>
      <c r="M7" s="63">
        <f t="shared" si="2"/>
        <v>2.5489201114302796E-2</v>
      </c>
      <c r="N7" s="63">
        <f t="shared" si="2"/>
        <v>0</v>
      </c>
      <c r="O7" s="63">
        <f t="shared" si="2"/>
        <v>0</v>
      </c>
      <c r="P7" s="63">
        <f t="shared" si="2"/>
        <v>0</v>
      </c>
      <c r="Q7" s="63">
        <f t="shared" si="2"/>
        <v>4.4388334533008472E-2</v>
      </c>
      <c r="R7" s="63">
        <f t="shared" si="2"/>
        <v>0</v>
      </c>
      <c r="S7" s="63">
        <f t="shared" si="2"/>
        <v>0</v>
      </c>
      <c r="T7" s="63">
        <f t="shared" si="2"/>
        <v>0</v>
      </c>
      <c r="U7" s="63">
        <f t="shared" si="2"/>
        <v>1.8848298897883736E-2</v>
      </c>
      <c r="V7" s="63">
        <f t="shared" si="2"/>
        <v>0</v>
      </c>
      <c r="W7" s="63">
        <f t="shared" si="2"/>
        <v>0</v>
      </c>
      <c r="X7" s="63">
        <f t="shared" si="2"/>
        <v>0</v>
      </c>
      <c r="Y7" s="63">
        <f t="shared" si="2"/>
        <v>1.178334452165527E-2</v>
      </c>
      <c r="Z7" s="63">
        <f t="shared" si="2"/>
        <v>0</v>
      </c>
      <c r="AA7" s="63">
        <f t="shared" si="2"/>
        <v>0</v>
      </c>
      <c r="AB7" s="63">
        <f t="shared" si="2"/>
        <v>0</v>
      </c>
      <c r="AC7" s="63">
        <f t="shared" si="2"/>
        <v>5.6505718120867805E-2</v>
      </c>
      <c r="AD7" s="63">
        <f t="shared" si="2"/>
        <v>0</v>
      </c>
      <c r="AE7" s="63">
        <f t="shared" si="2"/>
        <v>0</v>
      </c>
      <c r="AF7" s="63">
        <f t="shared" si="2"/>
        <v>0</v>
      </c>
      <c r="AG7" s="63">
        <f t="shared" si="2"/>
        <v>8.9533058084374423E-2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4070353891.1500001</v>
      </c>
      <c r="F8" s="26">
        <f>资产资本表!F107</f>
        <v>3995308966.3000002</v>
      </c>
      <c r="G8" s="26">
        <f>资产资本表!G107</f>
        <v>3926612338.5500002</v>
      </c>
      <c r="H8" s="26">
        <f>资产资本表!H107</f>
        <v>3823718748.04</v>
      </c>
      <c r="I8" s="26">
        <f>资产资本表!I107</f>
        <v>3857670584.8800001</v>
      </c>
      <c r="J8" s="26">
        <f>资产资本表!J107</f>
        <v>3769151653.5999999</v>
      </c>
      <c r="K8" s="26">
        <f>资产资本表!K107</f>
        <v>2697819249.1299996</v>
      </c>
      <c r="L8" s="26">
        <f>资产资本表!L107</f>
        <v>2686698753.6600003</v>
      </c>
      <c r="M8" s="26">
        <f>资产资本表!M107</f>
        <v>2599306347.4500003</v>
      </c>
      <c r="N8" s="26">
        <f>资产资本表!N107</f>
        <v>2487565966.0600004</v>
      </c>
      <c r="O8" s="26">
        <f>资产资本表!O107</f>
        <v>2411198959.3899999</v>
      </c>
      <c r="P8" s="26">
        <f>资产资本表!P107</f>
        <v>2425496172.1200004</v>
      </c>
      <c r="Q8" s="26">
        <f>资产资本表!Q107</f>
        <v>1391842083.3</v>
      </c>
      <c r="R8" s="26">
        <f>资产资本表!R107</f>
        <v>1358531152.8800001</v>
      </c>
      <c r="S8" s="26">
        <f>资产资本表!S107</f>
        <v>1331685149.5500002</v>
      </c>
      <c r="T8" s="26">
        <f>资产资本表!T107</f>
        <v>1361160405.6499999</v>
      </c>
      <c r="U8" s="26">
        <f>资产资本表!U107</f>
        <v>1344292240.3600001</v>
      </c>
      <c r="V8" s="26">
        <f>资产资本表!V107</f>
        <v>1310846802.98</v>
      </c>
      <c r="W8" s="26">
        <f>资产资本表!W107</f>
        <v>1283490697.77</v>
      </c>
      <c r="X8" s="26">
        <f>资产资本表!X107</f>
        <v>1276559138.0899999</v>
      </c>
      <c r="Y8" s="26">
        <f>资产资本表!Y107</f>
        <v>1244457985.5</v>
      </c>
      <c r="Z8" s="26">
        <f>资产资本表!Z107</f>
        <v>1216882777.4300001</v>
      </c>
      <c r="AA8" s="26">
        <f>资产资本表!AA107</f>
        <v>1204799411.96</v>
      </c>
      <c r="AB8" s="26">
        <f>资产资本表!AB107</f>
        <v>1163261652.3800001</v>
      </c>
      <c r="AC8" s="26">
        <f>资产资本表!AC107</f>
        <v>1204025076.95</v>
      </c>
      <c r="AD8" s="26">
        <f>资产资本表!AD107</f>
        <v>382309945.08999997</v>
      </c>
      <c r="AE8" s="26">
        <f>资产资本表!AE107</f>
        <v>356958901.06999999</v>
      </c>
      <c r="AF8" s="26">
        <f>资产资本表!AF107</f>
        <v>316586996.66000003</v>
      </c>
      <c r="AG8" s="26">
        <f>资产资本表!AG107</f>
        <v>271531654.74000001</v>
      </c>
      <c r="AH8" s="26">
        <f>资产资本表!AH107</f>
        <v>244181721.59</v>
      </c>
      <c r="AI8" s="26">
        <f>资产资本表!AI107</f>
        <v>0</v>
      </c>
      <c r="AJ8" s="26">
        <f>资产资本表!AJ107</f>
        <v>6146162889.0900002</v>
      </c>
      <c r="AK8" s="26">
        <f>资产资本表!AK107</f>
        <v>5825118338.7300005</v>
      </c>
      <c r="AL8" s="26">
        <f>资产资本表!AL107</f>
        <v>5576533048.0300007</v>
      </c>
      <c r="AM8" s="26">
        <f>资产资本表!AM107</f>
        <v>5137549475.6399994</v>
      </c>
      <c r="AN8" s="26">
        <f>资产资本表!AN107</f>
        <v>4719109466.4899998</v>
      </c>
      <c r="AO8" s="26">
        <f>资产资本表!AO107</f>
        <v>5449414237.0300007</v>
      </c>
      <c r="AP8" s="26">
        <f>资产资本表!AP107</f>
        <v>5047038927.75</v>
      </c>
      <c r="AQ8" s="26">
        <f>资产资本表!AQ107</f>
        <v>4664214074.1300001</v>
      </c>
      <c r="AR8" s="26">
        <f>资产资本表!AR107</f>
        <v>4021950777.0999999</v>
      </c>
      <c r="AS8" s="26">
        <f>资产资本表!AS107</f>
        <v>4438476848.9699993</v>
      </c>
      <c r="AT8" s="26">
        <f>资产资本表!AT107</f>
        <v>3943285948.0300002</v>
      </c>
      <c r="AU8" s="26">
        <f>资产资本表!AU107</f>
        <v>3401195129.4499998</v>
      </c>
      <c r="AV8" s="26">
        <f>资产资本表!AV107</f>
        <v>3256155249.3099999</v>
      </c>
      <c r="AW8" s="26">
        <f>资产资本表!AW107</f>
        <v>2819764253.1900001</v>
      </c>
      <c r="AX8" s="26">
        <f>资产资本表!AX107</f>
        <v>2549874268.3099999</v>
      </c>
      <c r="AY8" s="26">
        <f>资产资本表!AY107</f>
        <v>2245740389.3499999</v>
      </c>
      <c r="AZ8" s="26">
        <f>资产资本表!AZ107</f>
        <v>2223410188.5499997</v>
      </c>
      <c r="BA8" s="26">
        <f>资产资本表!BA107</f>
        <v>1855403452.7199998</v>
      </c>
      <c r="BB8" s="26">
        <f>资产资本表!BB107</f>
        <v>1715253871.6700001</v>
      </c>
      <c r="BC8" s="26">
        <f>资产资本表!BC107</f>
        <v>1563198910.6199999</v>
      </c>
      <c r="BD8" s="26">
        <f>资产资本表!BD107</f>
        <v>1521448186.52</v>
      </c>
      <c r="BE8" s="26">
        <f>资产资本表!BE107</f>
        <v>1364769328.01</v>
      </c>
      <c r="BF8" s="26">
        <f>资产资本表!BF107</f>
        <v>1275993866.8100002</v>
      </c>
      <c r="BG8" s="26">
        <f>资产资本表!BG107</f>
        <v>1176377094.53</v>
      </c>
      <c r="BH8" s="26">
        <f>资产资本表!BH107</f>
        <v>1135176770.3</v>
      </c>
      <c r="BI8" s="26">
        <f>资产资本表!BI107</f>
        <v>1037898476.29</v>
      </c>
      <c r="BJ8" s="26">
        <f>资产资本表!BJ107</f>
        <v>992306647.08000004</v>
      </c>
      <c r="BK8" s="26">
        <f>资产资本表!BK107</f>
        <v>870142014.30999994</v>
      </c>
      <c r="BL8" s="26">
        <f>资产资本表!BL107</f>
        <v>789846635.84000003</v>
      </c>
      <c r="BM8" s="26">
        <f>资产资本表!BM107</f>
        <v>808658820.5</v>
      </c>
      <c r="BN8" s="26">
        <f>资产资本表!BN107</f>
        <v>778165133.73000002</v>
      </c>
      <c r="BO8" s="26">
        <f>资产资本表!BO107</f>
        <v>746839868.34000003</v>
      </c>
      <c r="BP8" s="26">
        <f>资产资本表!BP107</f>
        <v>689491725.37</v>
      </c>
      <c r="BQ8" s="26">
        <f>资产资本表!BQ107</f>
        <v>653798259.76999998</v>
      </c>
      <c r="BR8" s="26">
        <f>资产资本表!BR107</f>
        <v>687705800</v>
      </c>
      <c r="BS8" s="26">
        <f>资产资本表!BS107</f>
        <v>663841314.28999996</v>
      </c>
      <c r="BT8" s="26">
        <f>资产资本表!BT107</f>
        <v>601069866.59000003</v>
      </c>
      <c r="BU8" s="26">
        <f>资产资本表!BU107</f>
        <v>155202681.5</v>
      </c>
    </row>
    <row r="9" spans="1:74" s="63" customFormat="1" x14ac:dyDescent="0.25">
      <c r="A9" s="63" t="s">
        <v>743</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4084413679.5</v>
      </c>
      <c r="F10" s="26">
        <f>资产资本表!F70</f>
        <v>4009896652.9899998</v>
      </c>
      <c r="G10" s="26">
        <f>资产资本表!G70</f>
        <v>3941876569.8699999</v>
      </c>
      <c r="H10" s="26">
        <f>资产资本表!H70</f>
        <v>3967170044.9899998</v>
      </c>
      <c r="I10" s="26">
        <f>资产资本表!I70</f>
        <v>3873415740.6099997</v>
      </c>
      <c r="J10" s="26">
        <f>资产资本表!J70</f>
        <v>4251413666.8499994</v>
      </c>
      <c r="K10" s="26">
        <f>资产资本表!K70</f>
        <v>3499556182.6999993</v>
      </c>
      <c r="L10" s="26">
        <f>资产资本表!L70</f>
        <v>3414265635.0200005</v>
      </c>
      <c r="M10" s="26">
        <f>资产资本表!M70</f>
        <v>2599306347.4499998</v>
      </c>
      <c r="N10" s="26">
        <f>资产资本表!N70</f>
        <v>2487565966.0600004</v>
      </c>
      <c r="O10" s="26">
        <f>资产资本表!O70</f>
        <v>2411198959.3899999</v>
      </c>
      <c r="P10" s="26">
        <f>资产资本表!P70</f>
        <v>2431896172.1200004</v>
      </c>
      <c r="Q10" s="26">
        <f>资产资本表!Q70</f>
        <v>1414242083.3</v>
      </c>
      <c r="R10" s="26">
        <f>资产资本表!R70</f>
        <v>1388670923.4000001</v>
      </c>
      <c r="S10" s="26">
        <f>资产资本表!S70</f>
        <v>1362607189.51</v>
      </c>
      <c r="T10" s="26">
        <f>资产资本表!T70</f>
        <v>1395722391.0499997</v>
      </c>
      <c r="U10" s="26">
        <f>资产资本表!U70</f>
        <v>1373133984.79</v>
      </c>
      <c r="V10" s="26">
        <f>资产资本表!V70</f>
        <v>1331190359.5599999</v>
      </c>
      <c r="W10" s="26">
        <f>资产资本表!W70</f>
        <v>1303549075.8900001</v>
      </c>
      <c r="X10" s="26">
        <f>资产资本表!X70</f>
        <v>1386636206.3600001</v>
      </c>
      <c r="Y10" s="26">
        <f>资产资本表!Y70</f>
        <v>1342665469.98</v>
      </c>
      <c r="Z10" s="26">
        <f>资产资本表!Z70</f>
        <v>1227177657.47</v>
      </c>
      <c r="AA10" s="26">
        <f>资产资本表!AA70</f>
        <v>1215445817.72</v>
      </c>
      <c r="AB10" s="26">
        <f>资产资本表!AB70</f>
        <v>1279774583.8600001</v>
      </c>
      <c r="AC10" s="26">
        <f>资产资本表!AC70</f>
        <v>1468979496.1500001</v>
      </c>
      <c r="AD10" s="26">
        <f>资产资本表!AD70</f>
        <v>569249741.70000005</v>
      </c>
      <c r="AE10" s="26">
        <f>资产资本表!AE70</f>
        <v>600976040.61000001</v>
      </c>
      <c r="AF10" s="26">
        <f>资产资本表!AF70</f>
        <v>555019711.32999992</v>
      </c>
      <c r="AG10" s="26">
        <f>资产资本表!AG70</f>
        <v>498501654.74000001</v>
      </c>
      <c r="AH10" s="26">
        <f>资产资本表!AH70</f>
        <v>424181721.58999997</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2.4029150277455388E-3</v>
      </c>
      <c r="F11" s="63">
        <f t="shared" ref="F11:BQ11" si="3">F4/F10</f>
        <v>2.5943548301283225E-3</v>
      </c>
      <c r="G11" s="63">
        <f t="shared" si="3"/>
        <v>2.7773720602218294E-3</v>
      </c>
      <c r="H11" s="63">
        <f t="shared" si="3"/>
        <v>2.8936767518945453E-3</v>
      </c>
      <c r="I11" s="63">
        <f t="shared" si="3"/>
        <v>3.1359474049349198E-3</v>
      </c>
      <c r="J11" s="63">
        <f t="shared" si="3"/>
        <v>0.11331634097063685</v>
      </c>
      <c r="K11" s="63">
        <f t="shared" si="3"/>
        <v>0.22871565746158928</v>
      </c>
      <c r="L11" s="63">
        <f t="shared" si="3"/>
        <v>0.21309615569959542</v>
      </c>
      <c r="M11" s="63">
        <f t="shared" si="3"/>
        <v>0</v>
      </c>
      <c r="N11" s="63">
        <f t="shared" si="3"/>
        <v>0</v>
      </c>
      <c r="O11" s="63">
        <f t="shared" si="3"/>
        <v>0</v>
      </c>
      <c r="P11" s="63">
        <f t="shared" si="3"/>
        <v>2.6316913005462786E-3</v>
      </c>
      <c r="Q11" s="63">
        <f t="shared" si="3"/>
        <v>1.583887247063934E-2</v>
      </c>
      <c r="R11" s="63">
        <f t="shared" si="3"/>
        <v>2.1704040901357868E-2</v>
      </c>
      <c r="S11" s="63">
        <f t="shared" si="3"/>
        <v>2.2693289891652278E-2</v>
      </c>
      <c r="T11" s="63">
        <f t="shared" si="3"/>
        <v>2.4762793533747832E-2</v>
      </c>
      <c r="U11" s="63">
        <f t="shared" si="3"/>
        <v>2.1004319133803181E-2</v>
      </c>
      <c r="V11" s="63">
        <f t="shared" si="3"/>
        <v>1.5282229497758818E-2</v>
      </c>
      <c r="W11" s="63">
        <f t="shared" si="3"/>
        <v>1.5387512822488182E-2</v>
      </c>
      <c r="X11" s="63">
        <f t="shared" si="3"/>
        <v>7.9384244955609973E-2</v>
      </c>
      <c r="Y11" s="63">
        <f t="shared" si="3"/>
        <v>7.3143673294482556E-2</v>
      </c>
      <c r="Z11" s="63">
        <f t="shared" si="3"/>
        <v>8.3890706266803675E-3</v>
      </c>
      <c r="AA11" s="63">
        <f t="shared" si="3"/>
        <v>8.7592598574003991E-3</v>
      </c>
      <c r="AB11" s="63">
        <f t="shared" si="3"/>
        <v>3.7196340730898191E-2</v>
      </c>
      <c r="AC11" s="63">
        <f t="shared" si="3"/>
        <v>0.18036631545532819</v>
      </c>
      <c r="AD11" s="63">
        <f t="shared" si="3"/>
        <v>0.32839680533139187</v>
      </c>
      <c r="AE11" s="63">
        <f t="shared" si="3"/>
        <v>0.40603472193719869</v>
      </c>
      <c r="AF11" s="63">
        <f t="shared" si="3"/>
        <v>0.42959323750617984</v>
      </c>
      <c r="AG11" s="63">
        <f t="shared" si="3"/>
        <v>0.45530440639836822</v>
      </c>
      <c r="AH11" s="63">
        <f t="shared" si="3"/>
        <v>0.42434643182004445</v>
      </c>
      <c r="AI11" s="63" t="e">
        <f t="shared" si="3"/>
        <v>#DIV/0!</v>
      </c>
      <c r="AJ11" s="63" t="e">
        <f t="shared" si="3"/>
        <v>#DIV/0!</v>
      </c>
      <c r="AK11" s="63" t="e">
        <f t="shared" si="3"/>
        <v>#DIV/0!</v>
      </c>
      <c r="AL11" s="63" t="e">
        <f t="shared" si="3"/>
        <v>#DIV/0!</v>
      </c>
      <c r="AM11" s="63" t="e">
        <f t="shared" si="3"/>
        <v>#DIV/0!</v>
      </c>
      <c r="AN11" s="63" t="e">
        <f t="shared" si="3"/>
        <v>#DIV/0!</v>
      </c>
      <c r="AO11" s="63" t="e">
        <f t="shared" si="3"/>
        <v>#DIV/0!</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0.99655769727229959</v>
      </c>
      <c r="F12" s="63">
        <f t="shared" ref="F12:BQ12" si="4">F8/F10</f>
        <v>0.99636207913759522</v>
      </c>
      <c r="G12" s="63">
        <f t="shared" si="4"/>
        <v>0.9961276739518754</v>
      </c>
      <c r="H12" s="63">
        <f t="shared" si="4"/>
        <v>0.96384039622119067</v>
      </c>
      <c r="I12" s="63">
        <f t="shared" si="4"/>
        <v>0.99593507209543175</v>
      </c>
      <c r="J12" s="63">
        <f t="shared" si="4"/>
        <v>0.88656431694464544</v>
      </c>
      <c r="K12" s="63">
        <f t="shared" si="4"/>
        <v>0.77090325409451244</v>
      </c>
      <c r="L12" s="63">
        <f t="shared" si="4"/>
        <v>0.78690384430040461</v>
      </c>
      <c r="M12" s="63">
        <f t="shared" si="4"/>
        <v>1.0000000000000002</v>
      </c>
      <c r="N12" s="63">
        <f t="shared" si="4"/>
        <v>1</v>
      </c>
      <c r="O12" s="63">
        <f t="shared" si="4"/>
        <v>1</v>
      </c>
      <c r="P12" s="63">
        <f t="shared" si="4"/>
        <v>0.9973683086994537</v>
      </c>
      <c r="Q12" s="63">
        <f t="shared" si="4"/>
        <v>0.98416112752936069</v>
      </c>
      <c r="R12" s="63">
        <f t="shared" si="4"/>
        <v>0.9782959590986422</v>
      </c>
      <c r="S12" s="63">
        <f t="shared" si="4"/>
        <v>0.97730671010834791</v>
      </c>
      <c r="T12" s="63">
        <f t="shared" si="4"/>
        <v>0.97523720646625223</v>
      </c>
      <c r="U12" s="63">
        <f t="shared" si="4"/>
        <v>0.97899568086619693</v>
      </c>
      <c r="V12" s="63">
        <f t="shared" si="4"/>
        <v>0.98471777050224119</v>
      </c>
      <c r="W12" s="63">
        <f t="shared" si="4"/>
        <v>0.98461248717751171</v>
      </c>
      <c r="X12" s="63">
        <f t="shared" si="4"/>
        <v>0.92061575504438986</v>
      </c>
      <c r="Y12" s="63">
        <f t="shared" si="4"/>
        <v>0.92685632670551743</v>
      </c>
      <c r="Z12" s="63">
        <f t="shared" si="4"/>
        <v>0.99161092937331963</v>
      </c>
      <c r="AA12" s="63">
        <f t="shared" si="4"/>
        <v>0.99124074014259966</v>
      </c>
      <c r="AB12" s="63">
        <f t="shared" si="4"/>
        <v>0.90895823924821295</v>
      </c>
      <c r="AC12" s="63">
        <f t="shared" si="4"/>
        <v>0.81963368454467178</v>
      </c>
      <c r="AD12" s="63">
        <f t="shared" si="4"/>
        <v>0.67160319466860807</v>
      </c>
      <c r="AE12" s="63">
        <f t="shared" si="4"/>
        <v>0.59396527806280119</v>
      </c>
      <c r="AF12" s="63">
        <f t="shared" si="4"/>
        <v>0.57040676249382039</v>
      </c>
      <c r="AG12" s="63">
        <f t="shared" si="4"/>
        <v>0.54469559360163178</v>
      </c>
      <c r="AH12" s="63">
        <f t="shared" si="4"/>
        <v>0.57565356817995561</v>
      </c>
      <c r="AI12" s="63" t="e">
        <f t="shared" si="4"/>
        <v>#DIV/0!</v>
      </c>
      <c r="AJ12" s="63" t="e">
        <f t="shared" si="4"/>
        <v>#DIV/0!</v>
      </c>
      <c r="AK12" s="63" t="e">
        <f t="shared" si="4"/>
        <v>#DIV/0!</v>
      </c>
      <c r="AL12" s="63" t="e">
        <f t="shared" si="4"/>
        <v>#DIV/0!</v>
      </c>
      <c r="AM12" s="63" t="e">
        <f t="shared" si="4"/>
        <v>#DIV/0!</v>
      </c>
      <c r="AN12" s="63" t="e">
        <f t="shared" si="4"/>
        <v>#DIV/0!</v>
      </c>
      <c r="AO12" s="63" t="e">
        <f t="shared" si="4"/>
        <v>#DIV/0!</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7.9831530450049371E-2</v>
      </c>
      <c r="F13" s="63">
        <f t="shared" ref="F13:J13" si="5">F5*F11*(1-F6)+F9*F12</f>
        <v>7.9708966331007616E-2</v>
      </c>
      <c r="G13" s="63">
        <f t="shared" si="5"/>
        <v>7.9690213916150041E-2</v>
      </c>
      <c r="H13" s="63">
        <f t="shared" si="5"/>
        <v>7.7107231697695261E-2</v>
      </c>
      <c r="I13" s="63">
        <f t="shared" si="5"/>
        <v>9.2935733014325395E-2</v>
      </c>
      <c r="J13" s="63">
        <f t="shared" si="5"/>
        <v>7.0925145355571637E-2</v>
      </c>
      <c r="K13" s="63">
        <f t="shared" ref="K13" si="6">K5*K11*(1-K6)+K9*K12</f>
        <v>6.1672260327560999E-2</v>
      </c>
      <c r="L13" s="63">
        <f t="shared" ref="L13" si="7">L5*L11*(1-L6)+L9*L12</f>
        <v>6.2952307544032374E-2</v>
      </c>
      <c r="M13" s="63">
        <f t="shared" ref="M13" si="8">M5*M11*(1-M6)+M9*M12</f>
        <v>8.0000000000000016E-2</v>
      </c>
      <c r="N13" s="63">
        <f t="shared" ref="N13:O13" si="9">N5*N11*(1-N6)+N9*N12</f>
        <v>0.08</v>
      </c>
      <c r="O13" s="63">
        <f t="shared" si="9"/>
        <v>0.08</v>
      </c>
      <c r="P13" s="63">
        <f t="shared" ref="P13" si="10">P5*P11*(1-P6)+P9*P12</f>
        <v>7.9789464695956297E-2</v>
      </c>
      <c r="Q13" s="63">
        <f t="shared" ref="Q13" si="11">Q5*Q11*(1-Q6)+Q9*Q12</f>
        <v>7.9435951372201261E-2</v>
      </c>
      <c r="R13" s="63">
        <f t="shared" ref="R13" si="12">R5*R11*(1-R6)+R9*R12</f>
        <v>7.8263676727891376E-2</v>
      </c>
      <c r="S13" s="63">
        <f t="shared" ref="S13:T13" si="13">S5*S11*(1-S6)+S9*S12</f>
        <v>7.818453680866784E-2</v>
      </c>
      <c r="T13" s="63">
        <f t="shared" si="13"/>
        <v>7.8018976517300179E-2</v>
      </c>
      <c r="U13" s="63">
        <f t="shared" ref="U13" si="14">U5*U11*(1-U6)+U9*U12</f>
        <v>7.8715550154476219E-2</v>
      </c>
      <c r="V13" s="63">
        <f t="shared" ref="V13" si="15">V5*V11*(1-V6)+V9*V12</f>
        <v>7.8777421640179299E-2</v>
      </c>
      <c r="W13" s="63">
        <f t="shared" ref="W13" si="16">W5*W11*(1-W6)+W9*W12</f>
        <v>7.8768998974200935E-2</v>
      </c>
      <c r="X13" s="63">
        <f t="shared" ref="X13:Y13" si="17">X5*X11*(1-X6)+X9*X12</f>
        <v>7.3649260403551187E-2</v>
      </c>
      <c r="Y13" s="63">
        <f t="shared" si="17"/>
        <v>7.501038323844969E-2</v>
      </c>
      <c r="Z13" s="63">
        <f t="shared" ref="Z13" si="18">Z5*Z11*(1-Z6)+Z9*Z12</f>
        <v>7.9328874349865575E-2</v>
      </c>
      <c r="AA13" s="63">
        <f t="shared" ref="AA13" si="19">AA5*AA11*(1-AA6)+AA9*AA12</f>
        <v>7.9299259211407971E-2</v>
      </c>
      <c r="AB13" s="63">
        <f t="shared" ref="AB13" si="20">AB5*AB11*(1-AB6)+AB9*AB12</f>
        <v>7.2716659139857032E-2</v>
      </c>
      <c r="AC13" s="63">
        <f t="shared" ref="AC13:AD13" si="21">AC5*AC11*(1-AC6)+AC9*AC12</f>
        <v>7.5762422943192048E-2</v>
      </c>
      <c r="AD13" s="63">
        <f t="shared" si="21"/>
        <v>5.3728255573488648E-2</v>
      </c>
      <c r="AE13" s="63">
        <f t="shared" ref="AE13" si="22">AE5*AE11*(1-AE6)+AE9*AE12</f>
        <v>4.7517222245024096E-2</v>
      </c>
      <c r="AF13" s="63">
        <f t="shared" ref="AF13" si="23">AF5*AF11*(1-AF6)+AF9*AF12</f>
        <v>4.563254099950563E-2</v>
      </c>
      <c r="AG13" s="63">
        <f t="shared" ref="AG13" si="24">AG5*AG11*(1-AG6)+AG9*AG12</f>
        <v>8.4340443352267258E-2</v>
      </c>
      <c r="AH13" s="63">
        <f t="shared" ref="AH13:AI13" si="25">AH5*AH11*(1-AH6)+AH9*AH12</f>
        <v>4.6052285454396449E-2</v>
      </c>
      <c r="AI13" s="63" t="e">
        <f t="shared" si="25"/>
        <v>#DIV/0!</v>
      </c>
      <c r="AJ13" s="63" t="e">
        <f t="shared" ref="AJ13" si="26">AJ5*AJ11*(1-AJ6)+AJ9*AJ12</f>
        <v>#DIV/0!</v>
      </c>
      <c r="AK13" s="63" t="e">
        <f t="shared" ref="AK13" si="27">AK5*AK11*(1-AK6)+AK9*AK12</f>
        <v>#DIV/0!</v>
      </c>
      <c r="AL13" s="63" t="e">
        <f t="shared" ref="AL13" si="28">AL5*AL11*(1-AL6)+AL9*AL12</f>
        <v>#DIV/0!</v>
      </c>
      <c r="AM13" s="63" t="e">
        <f t="shared" ref="AM13:AN13" si="29">AM5*AM11*(1-AM6)+AM9*AM12</f>
        <v>#DIV/0!</v>
      </c>
      <c r="AN13" s="63" t="e">
        <f t="shared" si="29"/>
        <v>#DIV/0!</v>
      </c>
      <c r="AO13" s="63" t="e">
        <f t="shared" ref="AO13" si="30">AO5*AO11*(1-AO6)+AO9*AO12</f>
        <v>#DIV/0!</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6" t="s">
        <v>670</v>
      </c>
      <c r="B14" s="27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row>
    <row r="16" spans="1:74" s="45" customFormat="1" x14ac:dyDescent="0.25">
      <c r="A16" s="46"/>
    </row>
  </sheetData>
  <mergeCells count="1">
    <mergeCell ref="A14:AG14"/>
  </mergeCells>
  <phoneticPr fontId="1"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1" width="19" hidden="1" customWidth="1"/>
    <col min="32" max="34" width="19" bestFit="1" customWidth="1"/>
    <col min="35" max="35" width="9.5546875" hidden="1" customWidth="1"/>
    <col min="36" max="90" width="8.5546875" bestFit="1" customWidth="1"/>
  </cols>
  <sheetData>
    <row r="1" spans="1:90" s="26" customFormat="1"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40543</v>
      </c>
      <c r="AG1" s="1">
        <v>40178</v>
      </c>
      <c r="AH1" s="1">
        <v>39813</v>
      </c>
      <c r="AI1" s="1">
        <v>25569</v>
      </c>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551</v>
      </c>
      <c r="E2" s="26">
        <f>资产资本表!E17</f>
        <v>627279567.75999999</v>
      </c>
      <c r="F2" s="26">
        <f>资产资本表!F17</f>
        <v>646909229.57000005</v>
      </c>
      <c r="G2" s="26">
        <f>资产资本表!G17</f>
        <v>640706738.29999995</v>
      </c>
      <c r="H2" s="26">
        <f>资产资本表!H17</f>
        <v>748407749.91999996</v>
      </c>
      <c r="I2" s="26">
        <f>资产资本表!I17</f>
        <v>497394672.38</v>
      </c>
      <c r="J2" s="26">
        <f>资产资本表!J17</f>
        <v>1041896896.37</v>
      </c>
      <c r="K2" s="26">
        <f>资产资本表!K17</f>
        <v>388776166.88</v>
      </c>
      <c r="L2" s="26">
        <f>资产资本表!L17</f>
        <v>680598376.45000005</v>
      </c>
      <c r="M2" s="26">
        <f>资产资本表!M17</f>
        <v>696197785.22000003</v>
      </c>
      <c r="N2" s="26">
        <f>资产资本表!N17</f>
        <v>690790735.84000003</v>
      </c>
      <c r="O2" s="26">
        <f>资产资本表!O17</f>
        <v>641525323.09000003</v>
      </c>
      <c r="P2" s="26">
        <f>资产资本表!P17</f>
        <v>1255365928.1900001</v>
      </c>
      <c r="Q2" s="26">
        <f>资产资本表!Q17</f>
        <v>234632252.44</v>
      </c>
      <c r="R2" s="26">
        <f>资产资本表!R17</f>
        <v>276684977.61000001</v>
      </c>
      <c r="S2" s="26">
        <f>资产资本表!S17</f>
        <v>249178979.92000002</v>
      </c>
      <c r="T2" s="26">
        <f>资产资本表!T17</f>
        <v>310229232.98000002</v>
      </c>
      <c r="U2" s="26">
        <f>资产资本表!U17</f>
        <v>322460861.60000002</v>
      </c>
      <c r="V2" s="26">
        <f>资产资本表!V17</f>
        <v>306954505.58999997</v>
      </c>
      <c r="W2" s="26">
        <f>资产资本表!W17</f>
        <v>296309711.63999999</v>
      </c>
      <c r="X2" s="26">
        <f>资产资本表!X17</f>
        <v>419339678.55000001</v>
      </c>
      <c r="Y2" s="26">
        <f>资产资本表!Y17</f>
        <v>433419520.76999998</v>
      </c>
      <c r="Z2" s="26">
        <f>资产资本表!Z17</f>
        <v>413831417.81</v>
      </c>
      <c r="AA2" s="26">
        <f>资产资本表!AA17</f>
        <v>460824111.80000001</v>
      </c>
      <c r="AB2" s="26">
        <f>资产资本表!AB17</f>
        <v>596710534.11000001</v>
      </c>
      <c r="AC2" s="26">
        <f>资产资本表!AC17</f>
        <v>847566521.58000004</v>
      </c>
      <c r="AD2" s="26">
        <f>资产资本表!AD17</f>
        <v>29624772.98</v>
      </c>
      <c r="AE2" s="26">
        <f>资产资本表!AE17</f>
        <v>44141747.770000003</v>
      </c>
      <c r="AF2" s="26">
        <f>资产资本表!AF17</f>
        <v>49695104.770000003</v>
      </c>
      <c r="AG2" s="26">
        <f>资产资本表!AG17</f>
        <v>99638795.879999995</v>
      </c>
      <c r="AH2" s="26">
        <f>资产资本表!AH17</f>
        <v>47811682.519999996</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552</v>
      </c>
      <c r="E3" s="26">
        <f>资产资本表!E19</f>
        <v>19416080.27</v>
      </c>
      <c r="F3" s="26">
        <f>资产资本表!F19</f>
        <v>17743024.609999999</v>
      </c>
      <c r="G3" s="26">
        <f>资产资本表!G19</f>
        <v>17743024.609999999</v>
      </c>
      <c r="H3" s="26">
        <f>资产资本表!H19</f>
        <v>22731749.920000002</v>
      </c>
      <c r="I3" s="26">
        <f>资产资本表!I19</f>
        <v>22731749.920000002</v>
      </c>
      <c r="J3" s="26">
        <f>资产资本表!J19</f>
        <v>28084982.890000001</v>
      </c>
      <c r="K3" s="26">
        <f>资产资本表!K19</f>
        <v>28084982.890000001</v>
      </c>
      <c r="L3" s="26">
        <f>资产资本表!L19</f>
        <v>27152779.940000001</v>
      </c>
      <c r="M3" s="26">
        <f>资产资本表!M19</f>
        <v>27152779.940000001</v>
      </c>
      <c r="N3" s="26">
        <f>资产资本表!N19</f>
        <v>17383078.079999998</v>
      </c>
      <c r="O3" s="26">
        <f>资产资本表!O19</f>
        <v>10543582.140000001</v>
      </c>
      <c r="P3" s="26">
        <f>资产资本表!P19</f>
        <v>10874322.380000001</v>
      </c>
      <c r="Q3" s="26">
        <f>资产资本表!Q19</f>
        <v>10874322.380000001</v>
      </c>
      <c r="R3" s="26">
        <f>资产资本表!R19</f>
        <v>9729124.8499999996</v>
      </c>
      <c r="S3" s="26">
        <f>资产资本表!S19</f>
        <v>9729124.8499999996</v>
      </c>
      <c r="T3" s="26">
        <f>资产资本表!T19</f>
        <v>9757413.4000000004</v>
      </c>
      <c r="U3" s="26">
        <f>资产资本表!U19</f>
        <v>9757413.4000000004</v>
      </c>
      <c r="V3" s="26">
        <f>资产资本表!V19</f>
        <v>9452578.0399999991</v>
      </c>
      <c r="W3" s="26">
        <f>资产资本表!W19</f>
        <v>9452578.0399999991</v>
      </c>
      <c r="X3" s="26">
        <f>资产资本表!X19</f>
        <v>9569252.8100000005</v>
      </c>
      <c r="Y3" s="26">
        <f>资产资本表!Y19</f>
        <v>9569252.8100000005</v>
      </c>
      <c r="Z3" s="26">
        <f>资产资本表!Z19</f>
        <v>7757046</v>
      </c>
      <c r="AA3" s="26">
        <f>资产资本表!AA19</f>
        <v>7757046</v>
      </c>
      <c r="AB3" s="26">
        <f>资产资本表!AB19</f>
        <v>8770793.0600000005</v>
      </c>
      <c r="AC3" s="26">
        <f>资产资本表!AC19</f>
        <v>8770793.0600000005</v>
      </c>
      <c r="AD3" s="26">
        <f>资产资本表!AD19</f>
        <v>8652923.2200000007</v>
      </c>
      <c r="AE3" s="26">
        <f>资产资本表!AE19</f>
        <v>8652923.2200000007</v>
      </c>
      <c r="AF3" s="26">
        <f>资产资本表!AF19</f>
        <v>8086976.54</v>
      </c>
      <c r="AG3" s="26">
        <f>资产资本表!AG19</f>
        <v>7235745.2300000004</v>
      </c>
      <c r="AH3" s="26">
        <f>资产资本表!AH19</f>
        <v>8140066.6500000004</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557</v>
      </c>
      <c r="E4" s="26">
        <f>资产资本表!E50</f>
        <v>1016237237.1300002</v>
      </c>
      <c r="F4" s="26">
        <f>资产资本表!F50</f>
        <v>930917699.83999991</v>
      </c>
      <c r="G4" s="26">
        <f>资产资本表!G50</f>
        <v>867283047.8599999</v>
      </c>
      <c r="H4" s="26">
        <f>资产资本表!H50</f>
        <v>847732425.17000008</v>
      </c>
      <c r="I4" s="26">
        <f>资产资本表!I50</f>
        <v>1035090214.8399999</v>
      </c>
      <c r="J4" s="26">
        <f>资产资本表!J50</f>
        <v>980009357.85000002</v>
      </c>
      <c r="K4" s="26">
        <f>资产资本表!K50</f>
        <v>996294863.14999986</v>
      </c>
      <c r="L4" s="26">
        <f>资产资本表!L50</f>
        <v>770992443.69000006</v>
      </c>
      <c r="M4" s="26">
        <f>资产资本表!M50</f>
        <v>718900126.37999988</v>
      </c>
      <c r="N4" s="26">
        <f>资产资本表!N50</f>
        <v>690374205.51999998</v>
      </c>
      <c r="O4" s="26">
        <f>资产资本表!O50</f>
        <v>728918041.4799999</v>
      </c>
      <c r="P4" s="26">
        <f>资产资本表!P50</f>
        <v>232125661.74000001</v>
      </c>
      <c r="Q4" s="26">
        <f>资产资本表!Q50</f>
        <v>309220989.75999999</v>
      </c>
      <c r="R4" s="26">
        <f>资产资本表!R50</f>
        <v>294581644.54000008</v>
      </c>
      <c r="S4" s="26">
        <f>资产资本表!S50</f>
        <v>306683458.70999998</v>
      </c>
      <c r="T4" s="26">
        <f>资产资本表!T50</f>
        <v>296243310.56</v>
      </c>
      <c r="U4" s="26">
        <f>资产资本表!U50</f>
        <v>272028063.8499999</v>
      </c>
      <c r="V4" s="26">
        <f>资产资本表!V50</f>
        <v>281445759.76999998</v>
      </c>
      <c r="W4" s="26">
        <f>资产资本表!W50</f>
        <v>295907744.71000004</v>
      </c>
      <c r="X4" s="26">
        <f>资产资本表!X50</f>
        <v>278806645.78999996</v>
      </c>
      <c r="Y4" s="26">
        <f>资产资本表!Y50</f>
        <v>255649010.45999998</v>
      </c>
      <c r="Z4" s="26">
        <f>资产资本表!Z50</f>
        <v>256356149.47000003</v>
      </c>
      <c r="AA4" s="26">
        <f>资产资本表!AA50</f>
        <v>290254282.63999999</v>
      </c>
      <c r="AB4" s="26">
        <f>资产资本表!AB50</f>
        <v>253985209.07999998</v>
      </c>
      <c r="AC4" s="26">
        <f>资产资本表!AC50</f>
        <v>204051704.15000004</v>
      </c>
      <c r="AD4" s="26">
        <f>资产资本表!AD50</f>
        <v>141930807.67999998</v>
      </c>
      <c r="AE4" s="26">
        <f>资产资本表!AE50</f>
        <v>170747670.38000003</v>
      </c>
      <c r="AF4" s="26">
        <f>资产资本表!AF50</f>
        <v>162702244.26000002</v>
      </c>
      <c r="AG4" s="26">
        <f>资产资本表!AG50</f>
        <v>196144531.33000001</v>
      </c>
      <c r="AH4" s="26">
        <f>资产资本表!AH50</f>
        <v>197195328.69</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1465721276.0500002</v>
      </c>
      <c r="F5" s="26">
        <f>资产资本表!F33</f>
        <v>1416659351.47</v>
      </c>
      <c r="G5" s="26">
        <f>资产资本表!G33</f>
        <v>1368804483.02</v>
      </c>
      <c r="H5" s="26">
        <f>资产资本表!H33</f>
        <v>1286261372.6500001</v>
      </c>
      <c r="I5" s="26">
        <f>资产资本表!I33</f>
        <v>1439125257.6299999</v>
      </c>
      <c r="J5" s="26">
        <f>资产资本表!J33</f>
        <v>1402432421.72</v>
      </c>
      <c r="K5" s="26">
        <f>资产资本表!K33</f>
        <v>1421283189.8699999</v>
      </c>
      <c r="L5" s="26">
        <f>资产资本表!L33</f>
        <v>1215100835.3400002</v>
      </c>
      <c r="M5" s="26">
        <f>资产资本表!M33</f>
        <v>1137414437.8499999</v>
      </c>
      <c r="N5" s="26">
        <f>资产资本表!N33</f>
        <v>1068374217.88</v>
      </c>
      <c r="O5" s="26">
        <f>资产资本表!O33</f>
        <v>1023507649.0899999</v>
      </c>
      <c r="P5" s="26">
        <f>资产资本表!P33</f>
        <v>426440937.68000001</v>
      </c>
      <c r="Q5" s="26">
        <f>资产资本表!Q33</f>
        <v>493635367.44000006</v>
      </c>
      <c r="R5" s="26">
        <f>资产资本表!R33</f>
        <v>490685692.98000002</v>
      </c>
      <c r="S5" s="26">
        <f>资产资本表!S33</f>
        <v>463008058.29999995</v>
      </c>
      <c r="T5" s="26">
        <f>资产资本表!T33</f>
        <v>462582396.72000003</v>
      </c>
      <c r="U5" s="26">
        <f>资产资本表!U33</f>
        <v>443202459.65999997</v>
      </c>
      <c r="V5" s="26">
        <f>资产资本表!V33</f>
        <v>434325442.75</v>
      </c>
      <c r="W5" s="26">
        <f>资产资本表!W33</f>
        <v>440476314.92000002</v>
      </c>
      <c r="X5" s="26">
        <f>资产资本表!X33</f>
        <v>438898807.76999998</v>
      </c>
      <c r="Y5" s="26">
        <f>资产资本表!Y33</f>
        <v>409308183.28999996</v>
      </c>
      <c r="Z5" s="26">
        <f>资产资本表!Z33</f>
        <v>358465463.93000001</v>
      </c>
      <c r="AA5" s="26">
        <f>资产资本表!AA33</f>
        <v>392990225.06999999</v>
      </c>
      <c r="AB5" s="26">
        <f>资产资本表!AB33</f>
        <v>364049268.50999999</v>
      </c>
      <c r="AC5" s="26">
        <f>资产资本表!AC33</f>
        <v>314141474.90000004</v>
      </c>
      <c r="AD5" s="26">
        <f>资产资本表!AD33</f>
        <v>278238460.82999998</v>
      </c>
      <c r="AE5" s="26">
        <f>资产资本表!AE33</f>
        <v>311806073.17000002</v>
      </c>
      <c r="AF5" s="26">
        <f>资产资本表!AF33</f>
        <v>297303316.97000003</v>
      </c>
      <c r="AG5" s="26">
        <f>资产资本表!AG33</f>
        <v>268667593.61000001</v>
      </c>
      <c r="AH5" s="26">
        <f>资产资本表!AH33</f>
        <v>257162539.37</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449484038.91999996</v>
      </c>
      <c r="F6" s="26">
        <f>资产资本表!F49</f>
        <v>485741651.63000005</v>
      </c>
      <c r="G6" s="26">
        <f>资产资本表!G49</f>
        <v>501521435.16000003</v>
      </c>
      <c r="H6" s="26">
        <f>资产资本表!H49</f>
        <v>438528947.48000008</v>
      </c>
      <c r="I6" s="26">
        <f>资产资本表!I49</f>
        <v>404035042.78999996</v>
      </c>
      <c r="J6" s="26">
        <f>资产资本表!J49</f>
        <v>422423063.87</v>
      </c>
      <c r="K6" s="26">
        <f>资产资本表!K49</f>
        <v>424988326.72000003</v>
      </c>
      <c r="L6" s="26">
        <f>资产资本表!L49</f>
        <v>444108391.65000004</v>
      </c>
      <c r="M6" s="26">
        <f>资产资本表!M49</f>
        <v>418514311.46999997</v>
      </c>
      <c r="N6" s="26">
        <f>资产资本表!N49</f>
        <v>378000012.36000007</v>
      </c>
      <c r="O6" s="26">
        <f>资产资本表!O49</f>
        <v>294589607.61000001</v>
      </c>
      <c r="P6" s="26">
        <f>资产资本表!P49</f>
        <v>194315275.94</v>
      </c>
      <c r="Q6" s="26">
        <f>资产资本表!Q49</f>
        <v>184414377.68000004</v>
      </c>
      <c r="R6" s="26">
        <f>资产资本表!R49</f>
        <v>196104048.43999997</v>
      </c>
      <c r="S6" s="26">
        <f>资产资本表!S49</f>
        <v>156324599.58999997</v>
      </c>
      <c r="T6" s="26">
        <f>资产资本表!T49</f>
        <v>166339086.16000003</v>
      </c>
      <c r="U6" s="26">
        <f>资产资本表!U49</f>
        <v>171174395.81000003</v>
      </c>
      <c r="V6" s="26">
        <f>资产资本表!V49</f>
        <v>152879682.98000002</v>
      </c>
      <c r="W6" s="26">
        <f>资产资本表!W49</f>
        <v>144568570.21000001</v>
      </c>
      <c r="X6" s="26">
        <f>资产资本表!X49</f>
        <v>160092161.97999999</v>
      </c>
      <c r="Y6" s="26">
        <f>资产资本表!Y49</f>
        <v>153659172.82999998</v>
      </c>
      <c r="Z6" s="26">
        <f>资产资本表!Z49</f>
        <v>102109314.45999999</v>
      </c>
      <c r="AA6" s="26">
        <f>资产资本表!AA49</f>
        <v>102735942.43000001</v>
      </c>
      <c r="AB6" s="26">
        <f>资产资本表!AB49</f>
        <v>110064059.42999999</v>
      </c>
      <c r="AC6" s="26">
        <f>资产资本表!AC49</f>
        <v>110089770.75</v>
      </c>
      <c r="AD6" s="26">
        <f>资产资本表!AD49</f>
        <v>136307653.15000001</v>
      </c>
      <c r="AE6" s="26">
        <f>资产资本表!AE49</f>
        <v>141058402.78999999</v>
      </c>
      <c r="AF6" s="26">
        <f>资产资本表!AF49</f>
        <v>134601072.71000001</v>
      </c>
      <c r="AG6" s="26">
        <f>资产资本表!AG49</f>
        <v>72523062.280000001</v>
      </c>
      <c r="AH6" s="26">
        <f>资产资本表!AH49</f>
        <v>59967210.679999992</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2421480794.3399997</v>
      </c>
      <c r="F7" s="26">
        <f>资产资本表!F68</f>
        <v>2414326698.9699998</v>
      </c>
      <c r="G7" s="26">
        <f>资产资本表!G68</f>
        <v>2416143759.0999999</v>
      </c>
      <c r="H7" s="26">
        <f>资产资本表!H68</f>
        <v>2348298119.98</v>
      </c>
      <c r="I7" s="26">
        <f>资产资本表!I68</f>
        <v>2318199103.4699993</v>
      </c>
      <c r="J7" s="26">
        <f>资产资本表!J68</f>
        <v>2201422429.7399998</v>
      </c>
      <c r="K7" s="26">
        <f>资产资本表!K68</f>
        <v>2086400169.7799997</v>
      </c>
      <c r="L7" s="26">
        <f>资产资本表!L68</f>
        <v>1935522034.9400001</v>
      </c>
      <c r="M7" s="26">
        <f>资产资本表!M68</f>
        <v>1157055655.9099998</v>
      </c>
      <c r="N7" s="26">
        <f>资产资本表!N68</f>
        <v>1089017946.6200001</v>
      </c>
      <c r="O7" s="26">
        <f>资产资本表!O68</f>
        <v>1030212012.6799998</v>
      </c>
      <c r="P7" s="26">
        <f>资产资本表!P68</f>
        <v>933530259.81000006</v>
      </c>
      <c r="Q7" s="26">
        <f>资产资本表!Q68</f>
        <v>859514518.72000015</v>
      </c>
      <c r="R7" s="26">
        <f>资产资本表!R68</f>
        <v>807675176.39999998</v>
      </c>
      <c r="S7" s="26">
        <f>资产资本表!S68</f>
        <v>797015626.02999997</v>
      </c>
      <c r="T7" s="26">
        <f>资产资本表!T68</f>
        <v>779492434.1099999</v>
      </c>
      <c r="U7" s="26">
        <f>资产资本表!U68</f>
        <v>768887645.94000006</v>
      </c>
      <c r="V7" s="26">
        <f>资产资本表!V68</f>
        <v>733337516.16000009</v>
      </c>
      <c r="W7" s="26">
        <f>资产资本表!W68</f>
        <v>701879041.50000012</v>
      </c>
      <c r="X7" s="26">
        <f>资产资本表!X68</f>
        <v>678920629.21000004</v>
      </c>
      <c r="Y7" s="26">
        <f>资产资本表!Y68</f>
        <v>644027685.94000018</v>
      </c>
      <c r="Z7" s="26">
        <f>资产资本表!Z68</f>
        <v>549233044.19000006</v>
      </c>
      <c r="AA7" s="26">
        <f>资产资本表!AA68</f>
        <v>456610377.27999997</v>
      </c>
      <c r="AB7" s="26">
        <f>资产资本表!AB68</f>
        <v>420308047.61000001</v>
      </c>
      <c r="AC7" s="26">
        <f>资产资本表!AC68</f>
        <v>408590477.35999995</v>
      </c>
      <c r="AD7" s="26">
        <f>资产资本表!AD68</f>
        <v>389041237.82000005</v>
      </c>
      <c r="AE7" s="26">
        <f>资产资本表!AE68</f>
        <v>377433699.24000001</v>
      </c>
      <c r="AF7" s="26">
        <f>资产资本表!AF68</f>
        <v>334535385.75999999</v>
      </c>
      <c r="AG7" s="26">
        <f>资产资本表!AG68</f>
        <v>195482582.29999998</v>
      </c>
      <c r="AH7" s="26">
        <f>资产资本表!AH68</f>
        <v>171034643.72999999</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639</v>
      </c>
      <c r="E8" s="26">
        <f>资产资本表!E69</f>
        <v>3437718031.4699998</v>
      </c>
      <c r="F8" s="26">
        <f>资产资本表!F69</f>
        <v>3345244398.8099995</v>
      </c>
      <c r="G8" s="26">
        <f>资产资本表!G69</f>
        <v>3283426806.96</v>
      </c>
      <c r="H8" s="26">
        <f>资产资本表!H69</f>
        <v>3196030545.1500001</v>
      </c>
      <c r="I8" s="26">
        <f>资产资本表!I69</f>
        <v>3353289318.3099995</v>
      </c>
      <c r="J8" s="26">
        <f>资产资本表!J69</f>
        <v>3181431787.5899997</v>
      </c>
      <c r="K8" s="26">
        <f>资产资本表!K69</f>
        <v>3082695032.9299994</v>
      </c>
      <c r="L8" s="26">
        <f>资产资本表!L69</f>
        <v>2706514478.6300001</v>
      </c>
      <c r="M8" s="26">
        <f>资产资本表!M69</f>
        <v>1875955782.2899997</v>
      </c>
      <c r="N8" s="26">
        <f>资产资本表!N69</f>
        <v>1779392152.1400001</v>
      </c>
      <c r="O8" s="26">
        <f>资产资本表!O69</f>
        <v>1759130054.1599998</v>
      </c>
      <c r="P8" s="26">
        <f>资产资本表!P69</f>
        <v>1165655921.5500002</v>
      </c>
      <c r="Q8" s="26">
        <f>资产资本表!Q69</f>
        <v>1168735508.48</v>
      </c>
      <c r="R8" s="26">
        <f>资产资本表!R69</f>
        <v>1102256820.9400001</v>
      </c>
      <c r="S8" s="26">
        <f>资产资本表!S69</f>
        <v>1103699084.74</v>
      </c>
      <c r="T8" s="26">
        <f>资产资本表!T69</f>
        <v>1075735744.6699998</v>
      </c>
      <c r="U8" s="26">
        <f>资产资本表!U69</f>
        <v>1040915709.79</v>
      </c>
      <c r="V8" s="26">
        <f>资产资本表!V69</f>
        <v>1014783275.9300001</v>
      </c>
      <c r="W8" s="26">
        <f>资产资本表!W69</f>
        <v>997786786.21000016</v>
      </c>
      <c r="X8" s="26">
        <f>资产资本表!X69</f>
        <v>957727275</v>
      </c>
      <c r="Y8" s="26">
        <f>资产资本表!Y69</f>
        <v>899676696.4000001</v>
      </c>
      <c r="Z8" s="26">
        <f>资产资本表!Z69</f>
        <v>805589193.66000009</v>
      </c>
      <c r="AA8" s="26">
        <f>资产资本表!AA69</f>
        <v>746864659.91999996</v>
      </c>
      <c r="AB8" s="26">
        <f>资产资本表!AB69</f>
        <v>674293256.69000006</v>
      </c>
      <c r="AC8" s="26">
        <f>资产资本表!AC69</f>
        <v>612642181.50999999</v>
      </c>
      <c r="AD8" s="26">
        <f>资产资本表!AD69</f>
        <v>530972045.5</v>
      </c>
      <c r="AE8" s="26">
        <f>资产资本表!AE69</f>
        <v>548181369.62</v>
      </c>
      <c r="AF8" s="26">
        <f>资产资本表!AF69</f>
        <v>497237630.01999998</v>
      </c>
      <c r="AG8" s="26">
        <f>资产资本表!AG69</f>
        <v>391627113.63</v>
      </c>
      <c r="AH8" s="26">
        <f>资产资本表!AH69</f>
        <v>368229972.41999996</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641</v>
      </c>
      <c r="E9" s="48">
        <f>资产资本表!E70</f>
        <v>4084413679.5</v>
      </c>
      <c r="F9" s="48">
        <f>资产资本表!F70</f>
        <v>4009896652.9899998</v>
      </c>
      <c r="G9" s="48">
        <f>资产资本表!G70</f>
        <v>3941876569.8699999</v>
      </c>
      <c r="H9" s="48">
        <f>资产资本表!H70</f>
        <v>3967170044.9899998</v>
      </c>
      <c r="I9" s="48">
        <f>资产资本表!I70</f>
        <v>3873415740.6099997</v>
      </c>
      <c r="J9" s="48">
        <f>资产资本表!J70</f>
        <v>4251413666.8499994</v>
      </c>
      <c r="K9" s="48">
        <f>资产资本表!K70</f>
        <v>3499556182.6999993</v>
      </c>
      <c r="L9" s="48">
        <f>资产资本表!L70</f>
        <v>3414265635.0200005</v>
      </c>
      <c r="M9" s="48">
        <f>资产资本表!M70</f>
        <v>2599306347.4499998</v>
      </c>
      <c r="N9" s="48">
        <f>资产资本表!N70</f>
        <v>2487565966.0600004</v>
      </c>
      <c r="O9" s="48">
        <f>资产资本表!O70</f>
        <v>2411198959.3899999</v>
      </c>
      <c r="P9" s="48">
        <f>资产资本表!P70</f>
        <v>2431896172.1200004</v>
      </c>
      <c r="Q9" s="48">
        <f>资产资本表!Q70</f>
        <v>1414242083.3</v>
      </c>
      <c r="R9" s="48">
        <f>资产资本表!R70</f>
        <v>1388670923.4000001</v>
      </c>
      <c r="S9" s="48">
        <f>资产资本表!S70</f>
        <v>1362607189.51</v>
      </c>
      <c r="T9" s="48">
        <f>资产资本表!T70</f>
        <v>1395722391.0499997</v>
      </c>
      <c r="U9" s="48">
        <f>资产资本表!U70</f>
        <v>1373133984.79</v>
      </c>
      <c r="V9" s="48">
        <f>资产资本表!V70</f>
        <v>1331190359.5599999</v>
      </c>
      <c r="W9" s="48">
        <f>资产资本表!W70</f>
        <v>1303549075.8900001</v>
      </c>
      <c r="X9" s="48">
        <f>资产资本表!X70</f>
        <v>1386636206.3600001</v>
      </c>
      <c r="Y9" s="48">
        <f>资产资本表!Y70</f>
        <v>1342665469.98</v>
      </c>
      <c r="Z9" s="48">
        <f>资产资本表!Z70</f>
        <v>1227177657.47</v>
      </c>
      <c r="AA9" s="48">
        <f>资产资本表!AA70</f>
        <v>1215445817.72</v>
      </c>
      <c r="AB9" s="48">
        <f>资产资本表!AB70</f>
        <v>1279774583.8600001</v>
      </c>
      <c r="AC9" s="48">
        <f>资产资本表!AC70</f>
        <v>1468979496.1500001</v>
      </c>
      <c r="AD9" s="48">
        <f>资产资本表!AD70</f>
        <v>569249741.70000005</v>
      </c>
      <c r="AE9" s="48">
        <f>资产资本表!AE70</f>
        <v>600976040.61000001</v>
      </c>
      <c r="AF9" s="48">
        <f>资产资本表!AF70</f>
        <v>555019711.32999992</v>
      </c>
      <c r="AG9" s="48">
        <f>资产资本表!AG70</f>
        <v>498501654.74000001</v>
      </c>
      <c r="AH9" s="48">
        <f>资产资本表!AH70</f>
        <v>424181721.58999997</v>
      </c>
      <c r="AI9" s="48">
        <f>资产资本表!AI70</f>
        <v>0</v>
      </c>
      <c r="AJ9" s="48">
        <f>资产资本表!AJ70</f>
        <v>0</v>
      </c>
      <c r="AK9" s="48">
        <f>资产资本表!AK70</f>
        <v>0</v>
      </c>
      <c r="AL9" s="48">
        <f>资产资本表!AL70</f>
        <v>0</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1931470.31</v>
      </c>
      <c r="F10" s="26">
        <f>资产资本表!F72</f>
        <v>1948951.34</v>
      </c>
      <c r="G10" s="26">
        <f>资产资本表!G72</f>
        <v>1603764.68</v>
      </c>
      <c r="H10" s="26">
        <f>资产资本表!H72</f>
        <v>1610046.15</v>
      </c>
      <c r="I10" s="26">
        <f>资产资本表!I72</f>
        <v>1785316.59</v>
      </c>
      <c r="J10" s="26">
        <f>资产资本表!J72</f>
        <v>101604314.73999999</v>
      </c>
      <c r="K10" s="26">
        <f>资产资本表!K72</f>
        <v>222038338.03999999</v>
      </c>
      <c r="L10" s="26">
        <f>资产资本表!L72</f>
        <v>158562478.13999999</v>
      </c>
      <c r="M10" s="26">
        <f>资产资本表!M72</f>
        <v>0</v>
      </c>
      <c r="N10" s="26">
        <f>资产资本表!N72</f>
        <v>0</v>
      </c>
      <c r="O10" s="26">
        <f>资产资本表!O72</f>
        <v>0</v>
      </c>
      <c r="P10" s="26">
        <f>资产资本表!P72</f>
        <v>6400000</v>
      </c>
      <c r="Q10" s="26">
        <f>资产资本表!Q72</f>
        <v>12400000</v>
      </c>
      <c r="R10" s="26">
        <f>资产资本表!R72</f>
        <v>12000000</v>
      </c>
      <c r="S10" s="26">
        <f>资产资本表!S72</f>
        <v>12000000</v>
      </c>
      <c r="T10" s="26">
        <f>资产资本表!T72</f>
        <v>24857676</v>
      </c>
      <c r="U10" s="26">
        <f>资产资本表!U72</f>
        <v>18437676</v>
      </c>
      <c r="V10" s="26">
        <f>资产资本表!V72</f>
        <v>10000000</v>
      </c>
      <c r="W10" s="26">
        <f>资产资本表!W72</f>
        <v>11178700</v>
      </c>
      <c r="X10" s="26">
        <f>资产资本表!X72</f>
        <v>100551802</v>
      </c>
      <c r="Y10" s="26">
        <f>资产资本表!Y72</f>
        <v>88374130</v>
      </c>
      <c r="Z10" s="26">
        <f>资产资本表!Z72</f>
        <v>0</v>
      </c>
      <c r="AA10" s="26">
        <f>资产资本表!AA72</f>
        <v>0</v>
      </c>
      <c r="AB10" s="26">
        <f>资产资本表!AB72</f>
        <v>36350000</v>
      </c>
      <c r="AC10" s="26">
        <f>资产资本表!AC72</f>
        <v>153094962</v>
      </c>
      <c r="AD10" s="26">
        <f>资产资本表!AD72</f>
        <v>73613130</v>
      </c>
      <c r="AE10" s="26">
        <f>资产资本表!AE72</f>
        <v>118135472.91</v>
      </c>
      <c r="AF10" s="26">
        <f>资产资本表!AF72</f>
        <v>137571048</v>
      </c>
      <c r="AG10" s="26">
        <f>资产资本表!AG72</f>
        <v>70000000</v>
      </c>
      <c r="AH10" s="26">
        <f>资产资本表!AH72</f>
        <v>180000000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7883028.7000000002</v>
      </c>
      <c r="F11" s="26">
        <f>资产资本表!F81</f>
        <v>8454143.4100000001</v>
      </c>
      <c r="G11" s="26">
        <f>资产资本表!G81</f>
        <v>9344293.1699999999</v>
      </c>
      <c r="H11" s="26">
        <f>资产资本表!H81</f>
        <v>9869661.5800000001</v>
      </c>
      <c r="I11" s="26">
        <f>资产资本表!I81</f>
        <v>10361511.449999999</v>
      </c>
      <c r="J11" s="26">
        <f>资产资本表!J81</f>
        <v>380150325.94</v>
      </c>
      <c r="K11" s="26">
        <f>资产资本表!K81</f>
        <v>578364955.11000001</v>
      </c>
      <c r="L11" s="26">
        <f>资产资本表!L81</f>
        <v>569004403.22000003</v>
      </c>
      <c r="M11" s="26">
        <f>资产资本表!M81</f>
        <v>0</v>
      </c>
      <c r="N11" s="26">
        <f>资产资本表!N81</f>
        <v>0</v>
      </c>
      <c r="O11" s="26">
        <f>资产资本表!O81</f>
        <v>0</v>
      </c>
      <c r="P11" s="26">
        <f>资产资本表!P81</f>
        <v>0</v>
      </c>
      <c r="Q11" s="26">
        <f>资产资本表!Q81</f>
        <v>10000000</v>
      </c>
      <c r="R11" s="26">
        <f>资产资本表!R81</f>
        <v>18139770.52</v>
      </c>
      <c r="S11" s="26">
        <f>资产资本表!S81</f>
        <v>18922039.960000001</v>
      </c>
      <c r="T11" s="26">
        <f>资产资本表!T81</f>
        <v>9704309.4000000004</v>
      </c>
      <c r="U11" s="26">
        <f>资产资本表!U81</f>
        <v>10404068.43</v>
      </c>
      <c r="V11" s="26">
        <f>资产资本表!V81</f>
        <v>10343556.58</v>
      </c>
      <c r="W11" s="26">
        <f>资产资本表!W81</f>
        <v>8879678.1199999992</v>
      </c>
      <c r="X11" s="26">
        <f>资产资本表!X81</f>
        <v>9525266.2699999996</v>
      </c>
      <c r="Y11" s="26">
        <f>资产资本表!Y81</f>
        <v>9833354.4800000004</v>
      </c>
      <c r="Z11" s="26">
        <f>资产资本表!Z81</f>
        <v>10294880.039999999</v>
      </c>
      <c r="AA11" s="26">
        <f>资产资本表!AA81</f>
        <v>10646405.76</v>
      </c>
      <c r="AB11" s="26">
        <f>资产资本表!AB81</f>
        <v>11252931.48</v>
      </c>
      <c r="AC11" s="26">
        <f>资产资本表!AC81</f>
        <v>111859457.2</v>
      </c>
      <c r="AD11" s="26">
        <f>资产资本表!AD81</f>
        <v>113326666.61</v>
      </c>
      <c r="AE11" s="26">
        <f>资产资本表!AE81</f>
        <v>125881666.63</v>
      </c>
      <c r="AF11" s="26">
        <f>资产资本表!AF81</f>
        <v>100861666.67</v>
      </c>
      <c r="AG11" s="26">
        <f>资产资本表!AG81</f>
        <v>156970000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640</v>
      </c>
      <c r="E12" s="26">
        <f>资产资本表!E89</f>
        <v>9814499.0099999998</v>
      </c>
      <c r="F12" s="26">
        <f>资产资本表!F89</f>
        <v>10403094.75</v>
      </c>
      <c r="G12" s="26">
        <f>资产资本表!G89</f>
        <v>10948057.85</v>
      </c>
      <c r="H12" s="26">
        <f>资产资本表!H89</f>
        <v>11479707.73</v>
      </c>
      <c r="I12" s="26">
        <f>资产资本表!I89</f>
        <v>12146828.039999999</v>
      </c>
      <c r="J12" s="26">
        <f>资产资本表!J89</f>
        <v>481754640.68000001</v>
      </c>
      <c r="K12" s="26">
        <f>资产资本表!K89</f>
        <v>800403293.14999998</v>
      </c>
      <c r="L12" s="26">
        <f>资产资本表!L89</f>
        <v>727566881.36000001</v>
      </c>
      <c r="M12" s="26">
        <f>资产资本表!M89</f>
        <v>0</v>
      </c>
      <c r="N12" s="26">
        <f>资产资本表!N89</f>
        <v>0</v>
      </c>
      <c r="O12" s="26">
        <f>资产资本表!O89</f>
        <v>0</v>
      </c>
      <c r="P12" s="26">
        <f>资产资本表!P89</f>
        <v>6400000</v>
      </c>
      <c r="Q12" s="26">
        <f>资产资本表!Q89</f>
        <v>22400000</v>
      </c>
      <c r="R12" s="26">
        <f>资产资本表!R89</f>
        <v>30139770.52</v>
      </c>
      <c r="S12" s="26">
        <f>资产资本表!S89</f>
        <v>30922039.960000001</v>
      </c>
      <c r="T12" s="26">
        <f>资产资本表!T89</f>
        <v>34561985.399999999</v>
      </c>
      <c r="U12" s="26">
        <f>资产资本表!U89</f>
        <v>28841744.43</v>
      </c>
      <c r="V12" s="26">
        <f>资产资本表!V89</f>
        <v>20343556.579999998</v>
      </c>
      <c r="W12" s="26">
        <f>资产资本表!W89</f>
        <v>20058378.119999997</v>
      </c>
      <c r="X12" s="26">
        <f>资产资本表!X89</f>
        <v>110077068.27</v>
      </c>
      <c r="Y12" s="26">
        <f>资产资本表!Y89</f>
        <v>98207484.480000004</v>
      </c>
      <c r="Z12" s="26">
        <f>资产资本表!Z89</f>
        <v>10294880.039999999</v>
      </c>
      <c r="AA12" s="26">
        <f>资产资本表!AA89</f>
        <v>10646405.76</v>
      </c>
      <c r="AB12" s="26">
        <f>资产资本表!AB89</f>
        <v>47602931.480000004</v>
      </c>
      <c r="AC12" s="26">
        <f>资产资本表!AC89</f>
        <v>264954419.19999999</v>
      </c>
      <c r="AD12" s="26">
        <f>资产资本表!AD89</f>
        <v>186939796.61000001</v>
      </c>
      <c r="AE12" s="26">
        <f>资产资本表!AE89</f>
        <v>244017139.53999999</v>
      </c>
      <c r="AF12" s="26">
        <f>资产资本表!AF89</f>
        <v>238432714.67000002</v>
      </c>
      <c r="AG12" s="26">
        <f>资产资本表!AG89</f>
        <v>226970000</v>
      </c>
      <c r="AH12" s="26">
        <f>资产资本表!AH89</f>
        <v>180000000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4074599180.4899998</v>
      </c>
      <c r="F13" s="26">
        <f t="shared" ref="F13:BQ13" si="0">F9-F12</f>
        <v>3999493558.2399998</v>
      </c>
      <c r="G13" s="26">
        <f t="shared" si="0"/>
        <v>3930928512.02</v>
      </c>
      <c r="H13" s="26">
        <f t="shared" si="0"/>
        <v>3955690337.2599998</v>
      </c>
      <c r="I13" s="26">
        <f t="shared" si="0"/>
        <v>3861268912.5699997</v>
      </c>
      <c r="J13" s="26">
        <f t="shared" si="0"/>
        <v>3769659026.1699996</v>
      </c>
      <c r="K13" s="26">
        <f t="shared" si="0"/>
        <v>2699152889.5499992</v>
      </c>
      <c r="L13" s="26">
        <f t="shared" si="0"/>
        <v>2686698753.6600003</v>
      </c>
      <c r="M13" s="26">
        <f t="shared" si="0"/>
        <v>2599306347.4499998</v>
      </c>
      <c r="N13" s="26">
        <f t="shared" si="0"/>
        <v>2487565966.0600004</v>
      </c>
      <c r="O13" s="26">
        <f t="shared" si="0"/>
        <v>2411198959.3899999</v>
      </c>
      <c r="P13" s="26">
        <f t="shared" si="0"/>
        <v>2425496172.1200004</v>
      </c>
      <c r="Q13" s="26">
        <f t="shared" si="0"/>
        <v>1391842083.3</v>
      </c>
      <c r="R13" s="26">
        <f t="shared" si="0"/>
        <v>1358531152.8800001</v>
      </c>
      <c r="S13" s="26">
        <f t="shared" si="0"/>
        <v>1331685149.55</v>
      </c>
      <c r="T13" s="26">
        <f t="shared" si="0"/>
        <v>1361160405.6499996</v>
      </c>
      <c r="U13" s="26">
        <f t="shared" si="0"/>
        <v>1344292240.3599999</v>
      </c>
      <c r="V13" s="26">
        <f t="shared" si="0"/>
        <v>1310846802.98</v>
      </c>
      <c r="W13" s="26">
        <f t="shared" si="0"/>
        <v>1283490697.7700002</v>
      </c>
      <c r="X13" s="26">
        <f t="shared" si="0"/>
        <v>1276559138.0900002</v>
      </c>
      <c r="Y13" s="26">
        <f t="shared" si="0"/>
        <v>1244457985.5</v>
      </c>
      <c r="Z13" s="26">
        <f t="shared" si="0"/>
        <v>1216882777.4300001</v>
      </c>
      <c r="AA13" s="26">
        <f t="shared" si="0"/>
        <v>1204799411.96</v>
      </c>
      <c r="AB13" s="26">
        <f t="shared" si="0"/>
        <v>1232171652.3800001</v>
      </c>
      <c r="AC13" s="26">
        <f t="shared" si="0"/>
        <v>1204025076.95</v>
      </c>
      <c r="AD13" s="26">
        <f t="shared" si="0"/>
        <v>382309945.09000003</v>
      </c>
      <c r="AE13" s="26">
        <f t="shared" si="0"/>
        <v>356958901.07000005</v>
      </c>
      <c r="AF13" s="26">
        <f t="shared" si="0"/>
        <v>316586996.65999991</v>
      </c>
      <c r="AG13" s="26">
        <f t="shared" si="0"/>
        <v>271531654.74000001</v>
      </c>
      <c r="AH13" s="26">
        <f t="shared" si="0"/>
        <v>244181721.58999997</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642</v>
      </c>
      <c r="E14" s="48">
        <f>E9</f>
        <v>4084413679.5</v>
      </c>
      <c r="F14" s="48">
        <f t="shared" ref="F14:BQ14" si="2">F9</f>
        <v>4009896652.9899998</v>
      </c>
      <c r="G14" s="48">
        <f t="shared" si="2"/>
        <v>3941876569.8699999</v>
      </c>
      <c r="H14" s="48">
        <f t="shared" si="2"/>
        <v>3967170044.9899998</v>
      </c>
      <c r="I14" s="48">
        <f t="shared" si="2"/>
        <v>3873415740.6099997</v>
      </c>
      <c r="J14" s="48">
        <f t="shared" si="2"/>
        <v>4251413666.8499994</v>
      </c>
      <c r="K14" s="48">
        <f t="shared" si="2"/>
        <v>3499556182.6999993</v>
      </c>
      <c r="L14" s="48">
        <f t="shared" si="2"/>
        <v>3414265635.0200005</v>
      </c>
      <c r="M14" s="48">
        <f t="shared" si="2"/>
        <v>2599306347.4499998</v>
      </c>
      <c r="N14" s="48">
        <f t="shared" si="2"/>
        <v>2487565966.0600004</v>
      </c>
      <c r="O14" s="48">
        <f t="shared" si="2"/>
        <v>2411198959.3899999</v>
      </c>
      <c r="P14" s="48">
        <f t="shared" si="2"/>
        <v>2431896172.1200004</v>
      </c>
      <c r="Q14" s="48">
        <f t="shared" si="2"/>
        <v>1414242083.3</v>
      </c>
      <c r="R14" s="48">
        <f t="shared" si="2"/>
        <v>1388670923.4000001</v>
      </c>
      <c r="S14" s="48">
        <f t="shared" si="2"/>
        <v>1362607189.51</v>
      </c>
      <c r="T14" s="48">
        <f t="shared" si="2"/>
        <v>1395722391.0499997</v>
      </c>
      <c r="U14" s="48">
        <f t="shared" si="2"/>
        <v>1373133984.79</v>
      </c>
      <c r="V14" s="48">
        <f t="shared" si="2"/>
        <v>1331190359.5599999</v>
      </c>
      <c r="W14" s="48">
        <f t="shared" si="2"/>
        <v>1303549075.8900001</v>
      </c>
      <c r="X14" s="48">
        <f t="shared" si="2"/>
        <v>1386636206.3600001</v>
      </c>
      <c r="Y14" s="48">
        <f t="shared" si="2"/>
        <v>1342665469.98</v>
      </c>
      <c r="Z14" s="48">
        <f t="shared" si="2"/>
        <v>1227177657.47</v>
      </c>
      <c r="AA14" s="48">
        <f t="shared" si="2"/>
        <v>1215445817.72</v>
      </c>
      <c r="AB14" s="48">
        <f t="shared" si="2"/>
        <v>1279774583.8600001</v>
      </c>
      <c r="AC14" s="48">
        <f t="shared" si="2"/>
        <v>1468979496.1500001</v>
      </c>
      <c r="AD14" s="48">
        <f t="shared" si="2"/>
        <v>569249741.70000005</v>
      </c>
      <c r="AE14" s="48">
        <f t="shared" si="2"/>
        <v>600976040.61000001</v>
      </c>
      <c r="AF14" s="48">
        <f t="shared" si="2"/>
        <v>555019711.32999992</v>
      </c>
      <c r="AG14" s="48">
        <f t="shared" si="2"/>
        <v>498501654.74000001</v>
      </c>
      <c r="AH14" s="48">
        <f t="shared" si="2"/>
        <v>424181721.58999997</v>
      </c>
      <c r="AI14" s="48">
        <f t="shared" si="2"/>
        <v>0</v>
      </c>
      <c r="AJ14" s="48">
        <f t="shared" si="2"/>
        <v>0</v>
      </c>
      <c r="AK14" s="48">
        <f t="shared" si="2"/>
        <v>0</v>
      </c>
      <c r="AL14" s="48">
        <f t="shared" si="2"/>
        <v>0</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625348097.44999981</v>
      </c>
      <c r="F15" s="58">
        <f t="shared" ref="F15:BQ15" si="4">F11+F13-F3-F4-F7</f>
        <v>644960278.23000002</v>
      </c>
      <c r="G15" s="58">
        <f t="shared" si="4"/>
        <v>639102973.62000036</v>
      </c>
      <c r="H15" s="58">
        <f t="shared" si="4"/>
        <v>746797703.7699995</v>
      </c>
      <c r="I15" s="58">
        <f t="shared" si="4"/>
        <v>495609355.78999996</v>
      </c>
      <c r="J15" s="58">
        <f t="shared" si="4"/>
        <v>940292581.63000011</v>
      </c>
      <c r="K15" s="58">
        <f t="shared" si="4"/>
        <v>166737828.84000015</v>
      </c>
      <c r="L15" s="58">
        <f t="shared" si="4"/>
        <v>522035898.30999994</v>
      </c>
      <c r="M15" s="58">
        <f t="shared" si="4"/>
        <v>696197785.22000003</v>
      </c>
      <c r="N15" s="58">
        <f t="shared" si="4"/>
        <v>690790735.84000039</v>
      </c>
      <c r="O15" s="58">
        <f t="shared" si="4"/>
        <v>641525323.09000015</v>
      </c>
      <c r="P15" s="58">
        <f t="shared" si="4"/>
        <v>1248965928.1900001</v>
      </c>
      <c r="Q15" s="58">
        <f t="shared" si="4"/>
        <v>222232252.4399997</v>
      </c>
      <c r="R15" s="58">
        <f t="shared" si="4"/>
        <v>264684977.61000013</v>
      </c>
      <c r="S15" s="58">
        <f t="shared" si="4"/>
        <v>237178979.92000008</v>
      </c>
      <c r="T15" s="58">
        <f t="shared" si="4"/>
        <v>285371556.97999978</v>
      </c>
      <c r="U15" s="58">
        <f t="shared" si="4"/>
        <v>304023185.5999999</v>
      </c>
      <c r="V15" s="58">
        <f t="shared" si="4"/>
        <v>296954505.58999991</v>
      </c>
      <c r="W15" s="58">
        <f t="shared" si="4"/>
        <v>285131011.63999999</v>
      </c>
      <c r="X15" s="58">
        <f t="shared" si="4"/>
        <v>318787876.55000019</v>
      </c>
      <c r="Y15" s="58">
        <f t="shared" si="4"/>
        <v>345045390.76999986</v>
      </c>
      <c r="Z15" s="58">
        <f t="shared" si="4"/>
        <v>413831417.80999994</v>
      </c>
      <c r="AA15" s="58">
        <f t="shared" si="4"/>
        <v>460824111.80000007</v>
      </c>
      <c r="AB15" s="58">
        <f t="shared" si="4"/>
        <v>560360534.11000025</v>
      </c>
      <c r="AC15" s="58">
        <f t="shared" si="4"/>
        <v>694471559.58000016</v>
      </c>
      <c r="AD15" s="58">
        <f t="shared" si="4"/>
        <v>-43988357.019999981</v>
      </c>
      <c r="AE15" s="58">
        <f t="shared" si="4"/>
        <v>-73993725.139999986</v>
      </c>
      <c r="AF15" s="58">
        <f t="shared" si="4"/>
        <v>-87875943.230000108</v>
      </c>
      <c r="AG15" s="58">
        <f t="shared" si="4"/>
        <v>29638795.879999995</v>
      </c>
      <c r="AH15" s="58">
        <f t="shared" si="4"/>
        <v>-132188317.48000002</v>
      </c>
      <c r="AI15" s="58">
        <f t="shared" si="4"/>
        <v>0</v>
      </c>
      <c r="AJ15" s="58">
        <f t="shared" si="4"/>
        <v>0</v>
      </c>
      <c r="AK15" s="58">
        <f t="shared" si="4"/>
        <v>0</v>
      </c>
      <c r="AL15" s="58">
        <f t="shared" si="4"/>
        <v>0</v>
      </c>
      <c r="AM15" s="58">
        <f t="shared" si="4"/>
        <v>0</v>
      </c>
      <c r="AN15" s="58">
        <f t="shared" si="4"/>
        <v>0</v>
      </c>
      <c r="AO15" s="58">
        <f t="shared" si="4"/>
        <v>0</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-625348097.45000005</v>
      </c>
      <c r="F16" s="58">
        <f t="shared" ref="F16:BQ16" si="6">F10-F2</f>
        <v>-644960278.23000002</v>
      </c>
      <c r="G16" s="58">
        <f t="shared" si="6"/>
        <v>-639102973.62</v>
      </c>
      <c r="H16" s="58">
        <f t="shared" si="6"/>
        <v>-746797703.76999998</v>
      </c>
      <c r="I16" s="58">
        <f t="shared" si="6"/>
        <v>-495609355.79000002</v>
      </c>
      <c r="J16" s="58">
        <f t="shared" si="6"/>
        <v>-940292581.63</v>
      </c>
      <c r="K16" s="58">
        <f t="shared" si="6"/>
        <v>-166737828.84</v>
      </c>
      <c r="L16" s="58">
        <f t="shared" si="6"/>
        <v>-522035898.31000006</v>
      </c>
      <c r="M16" s="58">
        <f t="shared" si="6"/>
        <v>-696197785.22000003</v>
      </c>
      <c r="N16" s="58">
        <f t="shared" si="6"/>
        <v>-690790735.84000003</v>
      </c>
      <c r="O16" s="58">
        <f t="shared" si="6"/>
        <v>-641525323.09000003</v>
      </c>
      <c r="P16" s="58">
        <f t="shared" si="6"/>
        <v>-1248965928.1900001</v>
      </c>
      <c r="Q16" s="58">
        <f t="shared" si="6"/>
        <v>-222232252.44</v>
      </c>
      <c r="R16" s="58">
        <f t="shared" si="6"/>
        <v>-264684977.61000001</v>
      </c>
      <c r="S16" s="58">
        <f t="shared" si="6"/>
        <v>-237178979.92000002</v>
      </c>
      <c r="T16" s="58">
        <f t="shared" si="6"/>
        <v>-285371556.98000002</v>
      </c>
      <c r="U16" s="58">
        <f t="shared" si="6"/>
        <v>-304023185.60000002</v>
      </c>
      <c r="V16" s="58">
        <f t="shared" si="6"/>
        <v>-296954505.58999997</v>
      </c>
      <c r="W16" s="58">
        <f t="shared" si="6"/>
        <v>-285131011.63999999</v>
      </c>
      <c r="X16" s="58">
        <f t="shared" si="6"/>
        <v>-318787876.55000001</v>
      </c>
      <c r="Y16" s="58">
        <f t="shared" si="6"/>
        <v>-345045390.76999998</v>
      </c>
      <c r="Z16" s="58">
        <f t="shared" si="6"/>
        <v>-413831417.81</v>
      </c>
      <c r="AA16" s="58">
        <f t="shared" si="6"/>
        <v>-460824111.80000001</v>
      </c>
      <c r="AB16" s="58">
        <f t="shared" si="6"/>
        <v>-560360534.11000001</v>
      </c>
      <c r="AC16" s="58">
        <f t="shared" si="6"/>
        <v>-694471559.58000004</v>
      </c>
      <c r="AD16" s="58">
        <f t="shared" si="6"/>
        <v>43988357.019999996</v>
      </c>
      <c r="AE16" s="58">
        <f t="shared" si="6"/>
        <v>73993725.139999986</v>
      </c>
      <c r="AF16" s="58">
        <f t="shared" si="6"/>
        <v>87875943.229999989</v>
      </c>
      <c r="AG16" s="58">
        <f t="shared" si="6"/>
        <v>-29638795.879999995</v>
      </c>
      <c r="AH16" s="58">
        <f t="shared" si="6"/>
        <v>132188317.48</v>
      </c>
      <c r="AI16" s="58">
        <f t="shared" si="6"/>
        <v>0</v>
      </c>
      <c r="AJ16" s="58">
        <f t="shared" si="6"/>
        <v>0</v>
      </c>
      <c r="AK16" s="58">
        <f t="shared" si="6"/>
        <v>0</v>
      </c>
      <c r="AL16" s="58">
        <f t="shared" si="6"/>
        <v>0</v>
      </c>
      <c r="AM16" s="58">
        <f t="shared" si="6"/>
        <v>0</v>
      </c>
      <c r="AN16" s="58">
        <f t="shared" si="6"/>
        <v>0</v>
      </c>
      <c r="AO16" s="58">
        <f t="shared" si="6"/>
        <v>0</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667</v>
      </c>
      <c r="E17" s="59">
        <f>(E11+E13-E7-E3)/E4</f>
        <v>1.6153564095093311</v>
      </c>
      <c r="F17" s="59">
        <f t="shared" ref="F17:BQ17" si="8">(F11+F13-F7-F3)/F4</f>
        <v>1.6928220167484747</v>
      </c>
      <c r="G17" s="59">
        <f t="shared" si="8"/>
        <v>1.7369024163414373</v>
      </c>
      <c r="H17" s="59">
        <f t="shared" si="8"/>
        <v>1.880935636760904</v>
      </c>
      <c r="I17" s="59">
        <f t="shared" si="8"/>
        <v>1.4788078842640875</v>
      </c>
      <c r="J17" s="59">
        <f t="shared" si="8"/>
        <v>1.959473064311209</v>
      </c>
      <c r="K17" s="59">
        <f t="shared" si="8"/>
        <v>1.1673579128098908</v>
      </c>
      <c r="L17" s="59">
        <f t="shared" si="8"/>
        <v>1.6770959982584468</v>
      </c>
      <c r="M17" s="59">
        <f t="shared" si="8"/>
        <v>1.9684207300472782</v>
      </c>
      <c r="N17" s="59">
        <f t="shared" si="8"/>
        <v>2.0006033399230012</v>
      </c>
      <c r="O17" s="59">
        <f t="shared" si="8"/>
        <v>1.8801062486907896</v>
      </c>
      <c r="P17" s="59">
        <f t="shared" si="8"/>
        <v>6.3805594729502406</v>
      </c>
      <c r="Q17" s="59">
        <f t="shared" si="8"/>
        <v>1.718684241365646</v>
      </c>
      <c r="R17" s="59">
        <f t="shared" si="8"/>
        <v>1.8985114399212319</v>
      </c>
      <c r="S17" s="59">
        <f t="shared" si="8"/>
        <v>1.7733673701139407</v>
      </c>
      <c r="T17" s="59">
        <f t="shared" si="8"/>
        <v>1.9633012689486595</v>
      </c>
      <c r="U17" s="59">
        <f t="shared" si="8"/>
        <v>2.1176169888399556</v>
      </c>
      <c r="V17" s="59">
        <f t="shared" si="8"/>
        <v>2.0551038531640122</v>
      </c>
      <c r="W17" s="59">
        <f t="shared" si="8"/>
        <v>1.9635807671050933</v>
      </c>
      <c r="X17" s="59">
        <f t="shared" si="8"/>
        <v>2.1434012831606406</v>
      </c>
      <c r="Y17" s="59">
        <f t="shared" si="8"/>
        <v>2.3496840459078849</v>
      </c>
      <c r="Z17" s="59">
        <f t="shared" si="8"/>
        <v>2.6142831707590006</v>
      </c>
      <c r="AA17" s="59">
        <f t="shared" si="8"/>
        <v>2.5876565458693213</v>
      </c>
      <c r="AB17" s="59">
        <f t="shared" si="8"/>
        <v>3.2062723106584463</v>
      </c>
      <c r="AC17" s="59">
        <f t="shared" si="8"/>
        <v>4.4034097508418188</v>
      </c>
      <c r="AD17" s="59">
        <f t="shared" si="8"/>
        <v>0.69007181922633032</v>
      </c>
      <c r="AE17" s="59">
        <f t="shared" si="8"/>
        <v>0.56664869877681801</v>
      </c>
      <c r="AF17" s="59">
        <f t="shared" si="8"/>
        <v>0.45989716595689151</v>
      </c>
      <c r="AG17" s="59">
        <f t="shared" si="8"/>
        <v>1.1511069193672026</v>
      </c>
      <c r="AH17" s="59">
        <f t="shared" si="8"/>
        <v>0.3296579672644982</v>
      </c>
      <c r="AI17" s="59" t="e">
        <f t="shared" si="8"/>
        <v>#DIV/0!</v>
      </c>
      <c r="AJ17" s="59" t="e">
        <f t="shared" si="8"/>
        <v>#DIV/0!</v>
      </c>
      <c r="AK17" s="59" t="e">
        <f t="shared" si="8"/>
        <v>#DIV/0!</v>
      </c>
      <c r="AL17" s="59" t="e">
        <f t="shared" si="8"/>
        <v>#DIV/0!</v>
      </c>
      <c r="AM17" s="59" t="e">
        <f t="shared" si="8"/>
        <v>#DIV/0!</v>
      </c>
      <c r="AN17" s="59" t="e">
        <f t="shared" si="8"/>
        <v>#DIV/0!</v>
      </c>
      <c r="AO17" s="59" t="e">
        <f t="shared" si="8"/>
        <v>#DIV/0!</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4" t="s">
        <v>746</v>
      </c>
      <c r="B18" s="276"/>
      <c r="C18" s="276"/>
      <c r="D18" s="276"/>
      <c r="E18" s="276"/>
      <c r="F18" s="276"/>
      <c r="G18" s="276"/>
      <c r="H18" s="276"/>
      <c r="I18" s="276"/>
      <c r="J18" s="276"/>
      <c r="K18" s="276"/>
      <c r="L18" s="276"/>
      <c r="M18" s="276"/>
      <c r="N18" s="276"/>
      <c r="O18" s="276"/>
      <c r="P18" s="276"/>
      <c r="Q18" s="276"/>
      <c r="R18" s="276"/>
      <c r="S18" s="276"/>
      <c r="T18" s="276"/>
      <c r="U18" s="276"/>
      <c r="V18" s="276"/>
      <c r="W18" s="276"/>
      <c r="X18" s="276"/>
      <c r="Y18" s="276"/>
      <c r="Z18" s="276"/>
      <c r="AA18" s="276"/>
      <c r="AB18" s="276"/>
      <c r="AC18" s="276"/>
      <c r="AD18" s="276"/>
      <c r="AE18" s="276"/>
      <c r="AF18" s="276"/>
      <c r="AG18" s="276"/>
    </row>
    <row r="19" spans="1:90" x14ac:dyDescent="0.25">
      <c r="A19" s="114" t="s">
        <v>573</v>
      </c>
      <c r="B19" s="115"/>
      <c r="C19" s="115"/>
      <c r="D19" s="115"/>
      <c r="E19" s="115" t="s">
        <v>566</v>
      </c>
      <c r="F19" s="115"/>
      <c r="G19" s="115"/>
      <c r="H19" s="115"/>
      <c r="I19" s="115" t="s">
        <v>601</v>
      </c>
      <c r="M19" s="115" t="s">
        <v>568</v>
      </c>
      <c r="N19" s="63"/>
      <c r="O19" s="63"/>
      <c r="P19" s="63"/>
      <c r="Q19" s="63"/>
      <c r="R19" s="63"/>
      <c r="S19" s="63"/>
      <c r="T19" s="63"/>
      <c r="U19" s="63"/>
    </row>
    <row r="20" spans="1:90" s="63" customFormat="1" ht="14.25" customHeight="1" x14ac:dyDescent="0.25">
      <c r="A20" s="114" t="s">
        <v>574</v>
      </c>
      <c r="B20" s="116"/>
      <c r="C20" s="116"/>
      <c r="D20" s="116"/>
      <c r="E20" s="116">
        <f>POWER(E9/U9,1/5)-1</f>
        <v>0.24360758211236044</v>
      </c>
      <c r="F20" s="116"/>
      <c r="G20" s="116"/>
      <c r="H20" s="116"/>
      <c r="I20" s="116">
        <f>POWER(E9/Y9,1/6)-1</f>
        <v>0.20372417747359139</v>
      </c>
      <c r="M20" s="116">
        <f>POWER(E9/AC9,1/7)-1</f>
        <v>0.15729707491060152</v>
      </c>
    </row>
    <row r="21" spans="1:90" s="63" customFormat="1" ht="14.25" customHeight="1" x14ac:dyDescent="0.25">
      <c r="A21" s="114" t="s">
        <v>572</v>
      </c>
      <c r="B21" s="116"/>
      <c r="C21" s="116"/>
      <c r="D21" s="116"/>
      <c r="E21" s="116">
        <f>POWER(E4/U4,1/5)-1</f>
        <v>0.30159622028591326</v>
      </c>
      <c r="F21" s="116"/>
      <c r="G21" s="116"/>
      <c r="H21" s="116"/>
      <c r="I21" s="116">
        <f>POWER(E4/Y4,1/6)-1</f>
        <v>0.25861189351015446</v>
      </c>
      <c r="M21" s="116">
        <f>POWER(E4/AC4,1/7)-1</f>
        <v>0.25778913744464149</v>
      </c>
    </row>
    <row r="22" spans="1:90" s="63" customFormat="1" ht="14.25" customHeight="1" x14ac:dyDescent="0.25">
      <c r="A22" s="114" t="s">
        <v>575</v>
      </c>
      <c r="B22" s="116"/>
      <c r="C22" s="116"/>
      <c r="D22" s="116"/>
      <c r="E22" s="116">
        <f>POWER(E5/U5,1/5)-1</f>
        <v>0.2702518790167725</v>
      </c>
      <c r="F22" s="116"/>
      <c r="G22" s="116"/>
      <c r="H22" s="116"/>
      <c r="I22" s="116">
        <f>POWER(E5/Y5,1/6)-1</f>
        <v>0.23689688009325827</v>
      </c>
      <c r="M22" s="116">
        <f>POWER(E5/AC5,1/7)-1</f>
        <v>0.24612288923044745</v>
      </c>
    </row>
    <row r="23" spans="1:90" s="63" customFormat="1" ht="14.25" customHeight="1" x14ac:dyDescent="0.25">
      <c r="A23" s="114" t="s">
        <v>576</v>
      </c>
      <c r="B23" s="116"/>
      <c r="C23" s="116"/>
      <c r="D23" s="116"/>
      <c r="E23" s="116">
        <f>POWER(E6/U6,1/5)-1</f>
        <v>0.21298406119078828</v>
      </c>
      <c r="F23" s="116"/>
      <c r="G23" s="116"/>
      <c r="H23" s="116"/>
      <c r="I23" s="116">
        <f>POWER(E6/Y6,1/6)-1</f>
        <v>0.19589384481789529</v>
      </c>
      <c r="M23" s="116">
        <f>POWER(E6/AC6,1/7)-1</f>
        <v>0.22259057619713563</v>
      </c>
    </row>
    <row r="24" spans="1:90" s="63" customFormat="1" ht="14.25" customHeight="1" x14ac:dyDescent="0.25">
      <c r="A24" s="114" t="s">
        <v>577</v>
      </c>
      <c r="B24" s="116"/>
      <c r="C24" s="116"/>
      <c r="D24" s="116"/>
      <c r="E24" s="116">
        <f>POWER(E7/U7,1/5)-1</f>
        <v>0.25789279388115594</v>
      </c>
      <c r="F24" s="116"/>
      <c r="G24" s="116"/>
      <c r="H24" s="116"/>
      <c r="I24" s="116">
        <f>POWER(E7/Y7,1/6)-1</f>
        <v>0.24698936200207045</v>
      </c>
      <c r="M24" s="116">
        <f>POWER(E7/AC7,1/7)-1</f>
        <v>0.28943356106213369</v>
      </c>
    </row>
    <row r="25" spans="1:90" s="108" customFormat="1" x14ac:dyDescent="0.25">
      <c r="A25" s="143" t="s">
        <v>553</v>
      </c>
      <c r="B25" s="109"/>
      <c r="C25" s="109"/>
      <c r="D25" s="109"/>
      <c r="E25" s="109">
        <f>(E2-I2)/I2</f>
        <v>0.26113045151551284</v>
      </c>
      <c r="F25" s="109">
        <f t="shared" ref="F25:BQ25" si="10">(F2-J2)/J2</f>
        <v>-0.37910437028476507</v>
      </c>
      <c r="G25" s="109">
        <f t="shared" si="10"/>
        <v>0.64800929913422667</v>
      </c>
      <c r="H25" s="109">
        <f t="shared" si="10"/>
        <v>9.9631994163273618E-2</v>
      </c>
      <c r="I25" s="109">
        <f t="shared" si="10"/>
        <v>-0.28555550888053716</v>
      </c>
      <c r="J25" s="108">
        <f t="shared" si="10"/>
        <v>0.50826703705436294</v>
      </c>
      <c r="K25" s="108">
        <f t="shared" si="10"/>
        <v>-0.39398157346711893</v>
      </c>
      <c r="L25" s="108">
        <f t="shared" si="10"/>
        <v>-0.45784861515933123</v>
      </c>
      <c r="M25" s="109">
        <f t="shared" si="10"/>
        <v>1.9671870681888939</v>
      </c>
      <c r="N25" s="109">
        <f t="shared" si="10"/>
        <v>1.4966687451087453</v>
      </c>
      <c r="O25" s="109">
        <f t="shared" si="10"/>
        <v>1.5745563421760715</v>
      </c>
      <c r="P25" s="109">
        <f t="shared" si="10"/>
        <v>3.0465752248142635</v>
      </c>
      <c r="Q25" s="109">
        <f t="shared" si="10"/>
        <v>-0.27236982722246755</v>
      </c>
      <c r="R25" s="109">
        <f t="shared" si="10"/>
        <v>-9.861242441064233E-2</v>
      </c>
      <c r="S25" s="109">
        <f t="shared" si="10"/>
        <v>-0.15905901787404531</v>
      </c>
      <c r="T25" s="109">
        <f t="shared" si="10"/>
        <v>-0.26019585350779106</v>
      </c>
      <c r="U25" s="109">
        <f t="shared" si="10"/>
        <v>-0.25600752585595166</v>
      </c>
      <c r="V25" s="108">
        <f t="shared" si="10"/>
        <v>-0.2582619579383163</v>
      </c>
      <c r="W25" s="108">
        <f t="shared" si="10"/>
        <v>-0.35700041718172965</v>
      </c>
      <c r="X25" s="108">
        <f t="shared" si="10"/>
        <v>-0.29724773641636892</v>
      </c>
      <c r="Y25" s="108">
        <f t="shared" si="10"/>
        <v>-0.48863067413040756</v>
      </c>
      <c r="Z25" s="108">
        <f t="shared" si="10"/>
        <v>12.969100053167731</v>
      </c>
      <c r="AA25" s="108">
        <f t="shared" si="10"/>
        <v>9.4396435365703688</v>
      </c>
      <c r="AB25" s="108">
        <f t="shared" si="10"/>
        <v>11.007430850014485</v>
      </c>
      <c r="AC25" s="108">
        <f t="shared" si="10"/>
        <v>7.5063906492885257</v>
      </c>
      <c r="AD25" s="108">
        <f t="shared" si="10"/>
        <v>-0.38038631107349696</v>
      </c>
      <c r="AE25" s="108" t="e">
        <f t="shared" si="10"/>
        <v>#DIV/0!</v>
      </c>
      <c r="AF25" s="108" t="e">
        <f t="shared" si="10"/>
        <v>#DIV/0!</v>
      </c>
      <c r="AG25" s="108" t="e">
        <f t="shared" si="10"/>
        <v>#DIV/0!</v>
      </c>
      <c r="AH25" s="108" t="e">
        <f t="shared" si="10"/>
        <v>#DIV/0!</v>
      </c>
      <c r="AI25" s="108" t="e">
        <f t="shared" si="10"/>
        <v>#DIV/0!</v>
      </c>
      <c r="AJ25" s="108" t="e">
        <f t="shared" si="10"/>
        <v>#DIV/0!</v>
      </c>
      <c r="AK25" s="108" t="e">
        <f t="shared" si="10"/>
        <v>#DIV/0!</v>
      </c>
      <c r="AL25" s="108" t="e">
        <f t="shared" si="10"/>
        <v>#DIV/0!</v>
      </c>
      <c r="AM25" s="108" t="e">
        <f t="shared" si="10"/>
        <v>#DIV/0!</v>
      </c>
      <c r="AN25" s="108" t="e">
        <f t="shared" si="10"/>
        <v>#DIV/0!</v>
      </c>
      <c r="AO25" s="108" t="e">
        <f t="shared" si="10"/>
        <v>#DIV/0!</v>
      </c>
      <c r="AP25" s="108" t="e">
        <f t="shared" si="10"/>
        <v>#DIV/0!</v>
      </c>
      <c r="AQ25" s="108" t="e">
        <f t="shared" si="10"/>
        <v>#DIV/0!</v>
      </c>
      <c r="AR25" s="108" t="e">
        <f t="shared" si="10"/>
        <v>#DIV/0!</v>
      </c>
      <c r="AS25" s="108" t="e">
        <f t="shared" si="10"/>
        <v>#DIV/0!</v>
      </c>
      <c r="AT25" s="108" t="e">
        <f t="shared" si="10"/>
        <v>#DIV/0!</v>
      </c>
      <c r="AU25" s="108" t="e">
        <f t="shared" si="10"/>
        <v>#DIV/0!</v>
      </c>
      <c r="AV25" s="108" t="e">
        <f t="shared" si="10"/>
        <v>#DIV/0!</v>
      </c>
      <c r="AW25" s="108" t="e">
        <f t="shared" si="10"/>
        <v>#DIV/0!</v>
      </c>
      <c r="AX25" s="108" t="e">
        <f t="shared" si="10"/>
        <v>#DIV/0!</v>
      </c>
      <c r="AY25" s="108" t="e">
        <f t="shared" si="10"/>
        <v>#DIV/0!</v>
      </c>
      <c r="AZ25" s="108" t="e">
        <f t="shared" si="10"/>
        <v>#DIV/0!</v>
      </c>
      <c r="BA25" s="108" t="e">
        <f t="shared" si="10"/>
        <v>#DIV/0!</v>
      </c>
      <c r="BB25" s="108" t="e">
        <f t="shared" si="10"/>
        <v>#DIV/0!</v>
      </c>
      <c r="BC25" s="108" t="e">
        <f t="shared" si="10"/>
        <v>#DIV/0!</v>
      </c>
      <c r="BD25" s="108" t="e">
        <f t="shared" si="10"/>
        <v>#DIV/0!</v>
      </c>
      <c r="BE25" s="108" t="e">
        <f t="shared" si="10"/>
        <v>#DIV/0!</v>
      </c>
      <c r="BF25" s="108" t="e">
        <f t="shared" si="10"/>
        <v>#DIV/0!</v>
      </c>
      <c r="BG25" s="108" t="e">
        <f t="shared" si="10"/>
        <v>#DIV/0!</v>
      </c>
      <c r="BH25" s="108" t="e">
        <f t="shared" si="10"/>
        <v>#DIV/0!</v>
      </c>
      <c r="BI25" s="108" t="e">
        <f t="shared" si="10"/>
        <v>#DIV/0!</v>
      </c>
      <c r="BJ25" s="108" t="e">
        <f t="shared" si="10"/>
        <v>#DIV/0!</v>
      </c>
      <c r="BK25" s="108" t="e">
        <f t="shared" si="10"/>
        <v>#DIV/0!</v>
      </c>
      <c r="BL25" s="108" t="e">
        <f t="shared" si="10"/>
        <v>#DIV/0!</v>
      </c>
      <c r="BM25" s="108" t="e">
        <f t="shared" si="10"/>
        <v>#DIV/0!</v>
      </c>
      <c r="BN25" s="108" t="e">
        <f t="shared" si="10"/>
        <v>#DIV/0!</v>
      </c>
      <c r="BO25" s="108" t="e">
        <f t="shared" si="10"/>
        <v>#DIV/0!</v>
      </c>
      <c r="BP25" s="108" t="e">
        <f t="shared" si="10"/>
        <v>#DIV/0!</v>
      </c>
      <c r="BQ25" s="108" t="e">
        <f t="shared" si="10"/>
        <v>#DIV/0!</v>
      </c>
      <c r="BR25" s="108" t="e">
        <f t="shared" ref="BR25:CK25" si="11">(BR2-BV2)/BV2</f>
        <v>#DIV/0!</v>
      </c>
      <c r="BS25" s="108" t="e">
        <f t="shared" si="11"/>
        <v>#DIV/0!</v>
      </c>
      <c r="BT25" s="108" t="e">
        <f t="shared" si="11"/>
        <v>#DIV/0!</v>
      </c>
      <c r="BU25" s="108" t="e">
        <f t="shared" si="11"/>
        <v>#DIV/0!</v>
      </c>
      <c r="BV25" s="108" t="e">
        <f t="shared" si="11"/>
        <v>#DIV/0!</v>
      </c>
      <c r="BW25" s="108" t="e">
        <f t="shared" si="11"/>
        <v>#DIV/0!</v>
      </c>
      <c r="BX25" s="108" t="e">
        <f t="shared" si="11"/>
        <v>#DIV/0!</v>
      </c>
      <c r="BY25" s="108" t="e">
        <f t="shared" si="11"/>
        <v>#DIV/0!</v>
      </c>
      <c r="BZ25" s="108" t="e">
        <f t="shared" si="11"/>
        <v>#DIV/0!</v>
      </c>
      <c r="CA25" s="108" t="e">
        <f t="shared" si="11"/>
        <v>#DIV/0!</v>
      </c>
      <c r="CB25" s="108" t="e">
        <f t="shared" si="11"/>
        <v>#DIV/0!</v>
      </c>
      <c r="CC25" s="108" t="e">
        <f t="shared" si="11"/>
        <v>#DIV/0!</v>
      </c>
      <c r="CD25" s="108" t="e">
        <f t="shared" si="11"/>
        <v>#DIV/0!</v>
      </c>
      <c r="CE25" s="108" t="e">
        <f t="shared" si="11"/>
        <v>#DIV/0!</v>
      </c>
      <c r="CF25" s="108" t="e">
        <f t="shared" si="11"/>
        <v>#DIV/0!</v>
      </c>
      <c r="CG25" s="108" t="e">
        <f t="shared" si="11"/>
        <v>#DIV/0!</v>
      </c>
      <c r="CH25" s="108" t="e">
        <f t="shared" si="11"/>
        <v>#DIV/0!</v>
      </c>
      <c r="CI25" s="108" t="e">
        <f t="shared" si="11"/>
        <v>#DIV/0!</v>
      </c>
      <c r="CJ25" s="108" t="e">
        <f t="shared" si="11"/>
        <v>#DIV/0!</v>
      </c>
      <c r="CK25" s="108" t="e">
        <f t="shared" si="11"/>
        <v>#DIV/0!</v>
      </c>
    </row>
    <row r="26" spans="1:90" s="109" customFormat="1" x14ac:dyDescent="0.25">
      <c r="A26" s="143" t="s">
        <v>561</v>
      </c>
      <c r="E26" s="109">
        <f>E2/E9</f>
        <v>0.15357885292284826</v>
      </c>
      <c r="F26" s="109">
        <f t="shared" ref="F26:BQ26" si="12">F2/F9</f>
        <v>0.16132815520011692</v>
      </c>
      <c r="G26" s="109">
        <f t="shared" si="12"/>
        <v>0.1625385084853456</v>
      </c>
      <c r="H26" s="109">
        <f t="shared" si="12"/>
        <v>0.18865028255220315</v>
      </c>
      <c r="I26" s="109">
        <f t="shared" si="12"/>
        <v>0.1284124157304293</v>
      </c>
      <c r="J26" s="109">
        <f t="shared" si="12"/>
        <v>0.24507069365987452</v>
      </c>
      <c r="K26" s="109">
        <f t="shared" si="12"/>
        <v>0.11109299196335491</v>
      </c>
      <c r="L26" s="109">
        <f t="shared" si="12"/>
        <v>0.19933960892472069</v>
      </c>
      <c r="M26" s="109">
        <f t="shared" si="12"/>
        <v>0.26783983577118242</v>
      </c>
      <c r="N26" s="109">
        <f t="shared" si="12"/>
        <v>0.27769745416405095</v>
      </c>
      <c r="O26" s="109">
        <f t="shared" si="12"/>
        <v>0.26606071663712771</v>
      </c>
      <c r="P26" s="109">
        <f t="shared" si="12"/>
        <v>0.51620868628434802</v>
      </c>
      <c r="Q26" s="109">
        <f t="shared" si="12"/>
        <v>0.16590671088821501</v>
      </c>
      <c r="R26" s="109">
        <f t="shared" si="12"/>
        <v>0.19924445233761276</v>
      </c>
      <c r="S26" s="109">
        <f t="shared" si="12"/>
        <v>0.18286926844236451</v>
      </c>
      <c r="T26" s="109">
        <f t="shared" si="12"/>
        <v>0.22227144521670608</v>
      </c>
      <c r="U26" s="109">
        <f t="shared" si="12"/>
        <v>0.23483568622716416</v>
      </c>
      <c r="V26" s="109">
        <f t="shared" si="12"/>
        <v>0.23058648478453378</v>
      </c>
      <c r="W26" s="109">
        <f t="shared" si="12"/>
        <v>0.22730997790604399</v>
      </c>
      <c r="X26" s="109">
        <f t="shared" si="12"/>
        <v>0.30241506505213128</v>
      </c>
      <c r="Y26" s="109">
        <f t="shared" si="12"/>
        <v>0.32280529324736124</v>
      </c>
      <c r="Z26" s="109">
        <f t="shared" si="12"/>
        <v>0.33722209273527021</v>
      </c>
      <c r="AA26" s="109">
        <f t="shared" si="12"/>
        <v>0.37913998722249848</v>
      </c>
      <c r="AB26" s="109">
        <f t="shared" si="12"/>
        <v>0.46626221651490202</v>
      </c>
      <c r="AC26" s="109">
        <f t="shared" si="12"/>
        <v>0.57697641376299613</v>
      </c>
      <c r="AD26" s="109">
        <f t="shared" si="12"/>
        <v>5.2041785546584458E-2</v>
      </c>
      <c r="AE26" s="109">
        <f t="shared" si="12"/>
        <v>7.3450095822780961E-2</v>
      </c>
      <c r="AF26" s="109">
        <f t="shared" si="12"/>
        <v>8.9537549307780559E-2</v>
      </c>
      <c r="AG26" s="109">
        <f t="shared" si="12"/>
        <v>0.19987655995237949</v>
      </c>
      <c r="AH26" s="109">
        <f t="shared" si="12"/>
        <v>0.11271509375930439</v>
      </c>
      <c r="AI26" s="109" t="e">
        <f t="shared" si="12"/>
        <v>#DIV/0!</v>
      </c>
      <c r="AJ26" s="109" t="e">
        <f t="shared" si="12"/>
        <v>#DIV/0!</v>
      </c>
      <c r="AK26" s="109" t="e">
        <f t="shared" si="12"/>
        <v>#DIV/0!</v>
      </c>
      <c r="AL26" s="109" t="e">
        <f t="shared" si="12"/>
        <v>#DIV/0!</v>
      </c>
      <c r="AM26" s="109" t="e">
        <f t="shared" si="12"/>
        <v>#DIV/0!</v>
      </c>
      <c r="AN26" s="109" t="e">
        <f t="shared" si="12"/>
        <v>#DIV/0!</v>
      </c>
      <c r="AO26" s="109" t="e">
        <f t="shared" si="12"/>
        <v>#DIV/0!</v>
      </c>
      <c r="AP26" s="109" t="e">
        <f t="shared" si="12"/>
        <v>#DIV/0!</v>
      </c>
      <c r="AQ26" s="109" t="e">
        <f t="shared" si="12"/>
        <v>#DIV/0!</v>
      </c>
      <c r="AR26" s="109" t="e">
        <f t="shared" si="12"/>
        <v>#DIV/0!</v>
      </c>
      <c r="AS26" s="109" t="e">
        <f t="shared" si="12"/>
        <v>#DIV/0!</v>
      </c>
      <c r="AT26" s="109" t="e">
        <f t="shared" si="12"/>
        <v>#DIV/0!</v>
      </c>
      <c r="AU26" s="109" t="e">
        <f t="shared" si="12"/>
        <v>#DIV/0!</v>
      </c>
      <c r="AV26" s="109" t="e">
        <f t="shared" si="12"/>
        <v>#DIV/0!</v>
      </c>
      <c r="AW26" s="109" t="e">
        <f t="shared" si="12"/>
        <v>#DIV/0!</v>
      </c>
      <c r="AX26" s="109" t="e">
        <f t="shared" si="12"/>
        <v>#DIV/0!</v>
      </c>
      <c r="AY26" s="109" t="e">
        <f t="shared" si="12"/>
        <v>#DIV/0!</v>
      </c>
      <c r="AZ26" s="109" t="e">
        <f t="shared" si="12"/>
        <v>#DIV/0!</v>
      </c>
      <c r="BA26" s="109" t="e">
        <f t="shared" si="12"/>
        <v>#DIV/0!</v>
      </c>
      <c r="BB26" s="109" t="e">
        <f t="shared" si="12"/>
        <v>#DIV/0!</v>
      </c>
      <c r="BC26" s="109" t="e">
        <f t="shared" si="12"/>
        <v>#DIV/0!</v>
      </c>
      <c r="BD26" s="109" t="e">
        <f t="shared" si="12"/>
        <v>#DIV/0!</v>
      </c>
      <c r="BE26" s="109" t="e">
        <f t="shared" si="12"/>
        <v>#DIV/0!</v>
      </c>
      <c r="BF26" s="109" t="e">
        <f t="shared" si="12"/>
        <v>#DIV/0!</v>
      </c>
      <c r="BG26" s="109" t="e">
        <f t="shared" si="12"/>
        <v>#DIV/0!</v>
      </c>
      <c r="BH26" s="109" t="e">
        <f t="shared" si="12"/>
        <v>#DIV/0!</v>
      </c>
      <c r="BI26" s="109" t="e">
        <f t="shared" si="12"/>
        <v>#DIV/0!</v>
      </c>
      <c r="BJ26" s="109" t="e">
        <f t="shared" si="12"/>
        <v>#DIV/0!</v>
      </c>
      <c r="BK26" s="109" t="e">
        <f t="shared" si="12"/>
        <v>#DIV/0!</v>
      </c>
      <c r="BL26" s="109" t="e">
        <f t="shared" si="12"/>
        <v>#DIV/0!</v>
      </c>
      <c r="BM26" s="109" t="e">
        <f t="shared" si="12"/>
        <v>#DIV/0!</v>
      </c>
      <c r="BN26" s="109" t="e">
        <f t="shared" si="12"/>
        <v>#DIV/0!</v>
      </c>
      <c r="BO26" s="109" t="e">
        <f t="shared" si="12"/>
        <v>#DIV/0!</v>
      </c>
      <c r="BP26" s="109" t="e">
        <f t="shared" si="12"/>
        <v>#DIV/0!</v>
      </c>
      <c r="BQ26" s="109" t="e">
        <f t="shared" si="12"/>
        <v>#DIV/0!</v>
      </c>
      <c r="BR26" s="109" t="e">
        <f t="shared" ref="BR26:CK26" si="13">BR2/BR9</f>
        <v>#DIV/0!</v>
      </c>
      <c r="BS26" s="109" t="e">
        <f t="shared" si="13"/>
        <v>#DIV/0!</v>
      </c>
      <c r="BT26" s="109" t="e">
        <f t="shared" si="13"/>
        <v>#DIV/0!</v>
      </c>
      <c r="BU26" s="109" t="e">
        <f t="shared" si="13"/>
        <v>#DIV/0!</v>
      </c>
      <c r="BV26" s="109" t="e">
        <f t="shared" si="13"/>
        <v>#DIV/0!</v>
      </c>
      <c r="BW26" s="109" t="e">
        <f t="shared" si="13"/>
        <v>#DIV/0!</v>
      </c>
      <c r="BX26" s="109" t="e">
        <f t="shared" si="13"/>
        <v>#DIV/0!</v>
      </c>
      <c r="BY26" s="109" t="e">
        <f t="shared" si="13"/>
        <v>#DIV/0!</v>
      </c>
      <c r="BZ26" s="109" t="e">
        <f t="shared" si="13"/>
        <v>#DIV/0!</v>
      </c>
      <c r="CA26" s="109" t="e">
        <f t="shared" si="13"/>
        <v>#DIV/0!</v>
      </c>
      <c r="CB26" s="109" t="e">
        <f t="shared" si="13"/>
        <v>#DIV/0!</v>
      </c>
      <c r="CC26" s="109" t="e">
        <f t="shared" si="13"/>
        <v>#DIV/0!</v>
      </c>
      <c r="CD26" s="109" t="e">
        <f t="shared" si="13"/>
        <v>#DIV/0!</v>
      </c>
      <c r="CE26" s="109" t="e">
        <f t="shared" si="13"/>
        <v>#DIV/0!</v>
      </c>
      <c r="CF26" s="109" t="e">
        <f t="shared" si="13"/>
        <v>#DIV/0!</v>
      </c>
      <c r="CG26" s="109" t="e">
        <f t="shared" si="13"/>
        <v>#DIV/0!</v>
      </c>
      <c r="CH26" s="109" t="e">
        <f t="shared" si="13"/>
        <v>#DIV/0!</v>
      </c>
      <c r="CI26" s="109" t="e">
        <f t="shared" si="13"/>
        <v>#DIV/0!</v>
      </c>
      <c r="CJ26" s="109" t="e">
        <f t="shared" si="13"/>
        <v>#DIV/0!</v>
      </c>
      <c r="CK26" s="109" t="e">
        <f t="shared" si="13"/>
        <v>#DIV/0!</v>
      </c>
    </row>
    <row r="27" spans="1:90" s="110" customFormat="1" x14ac:dyDescent="0.25">
      <c r="A27" s="144" t="s">
        <v>554</v>
      </c>
      <c r="E27" s="110">
        <f>(E3-I3)/I3</f>
        <v>-0.1458607305495116</v>
      </c>
      <c r="F27" s="110">
        <f t="shared" ref="F27:BQ27" si="14">(F3-J3)/J3</f>
        <v>-0.36823801248183707</v>
      </c>
      <c r="G27" s="110">
        <f t="shared" si="14"/>
        <v>-0.36823801248183707</v>
      </c>
      <c r="H27" s="110">
        <f t="shared" si="14"/>
        <v>-0.16282052997038354</v>
      </c>
      <c r="I27" s="110">
        <f t="shared" si="14"/>
        <v>-0.16282052997038354</v>
      </c>
      <c r="J27" s="110">
        <f t="shared" si="14"/>
        <v>0.61565073577578977</v>
      </c>
      <c r="K27" s="110">
        <f t="shared" si="14"/>
        <v>1.6637040919377708</v>
      </c>
      <c r="L27" s="110">
        <f t="shared" si="14"/>
        <v>1.4969629362781498</v>
      </c>
      <c r="M27" s="110">
        <f t="shared" si="14"/>
        <v>1.4969629362781498</v>
      </c>
      <c r="N27" s="110">
        <f t="shared" si="14"/>
        <v>0.78670521223704915</v>
      </c>
      <c r="O27" s="110">
        <f t="shared" si="14"/>
        <v>8.3713314666734998E-2</v>
      </c>
      <c r="P27" s="110">
        <f t="shared" si="14"/>
        <v>0.11446773178637695</v>
      </c>
      <c r="Q27" s="110">
        <f t="shared" si="14"/>
        <v>0.11446773178637695</v>
      </c>
      <c r="R27" s="110">
        <f t="shared" si="14"/>
        <v>2.925623135082845E-2</v>
      </c>
      <c r="S27" s="110">
        <f t="shared" si="14"/>
        <v>2.925623135082845E-2</v>
      </c>
      <c r="T27" s="110">
        <f t="shared" si="14"/>
        <v>1.9663038874191876E-2</v>
      </c>
      <c r="U27" s="110">
        <f t="shared" si="14"/>
        <v>1.9663038874191876E-2</v>
      </c>
      <c r="V27" s="110">
        <f t="shared" si="14"/>
        <v>0.21857960362746323</v>
      </c>
      <c r="W27" s="110">
        <f t="shared" si="14"/>
        <v>0.21857960362746323</v>
      </c>
      <c r="X27" s="110">
        <f t="shared" si="14"/>
        <v>9.1036208987924735E-2</v>
      </c>
      <c r="Y27" s="110">
        <f t="shared" si="14"/>
        <v>9.1036208987924735E-2</v>
      </c>
      <c r="Z27" s="110">
        <f t="shared" si="14"/>
        <v>-0.10353463184895804</v>
      </c>
      <c r="AA27" s="110">
        <f t="shared" si="14"/>
        <v>-0.10353463184895804</v>
      </c>
      <c r="AB27" s="110">
        <f t="shared" si="14"/>
        <v>8.4557747461945831E-2</v>
      </c>
      <c r="AC27" s="110">
        <f t="shared" si="14"/>
        <v>0.21214785501783068</v>
      </c>
      <c r="AD27" s="110">
        <f t="shared" si="14"/>
        <v>6.3003976754907806E-2</v>
      </c>
      <c r="AE27" s="110" t="e">
        <f t="shared" si="14"/>
        <v>#DIV/0!</v>
      </c>
      <c r="AF27" s="110" t="e">
        <f t="shared" si="14"/>
        <v>#DIV/0!</v>
      </c>
      <c r="AG27" s="110" t="e">
        <f t="shared" si="14"/>
        <v>#DIV/0!</v>
      </c>
      <c r="AH27" s="110" t="e">
        <f t="shared" si="14"/>
        <v>#DIV/0!</v>
      </c>
      <c r="AI27" s="110" t="e">
        <f t="shared" si="14"/>
        <v>#DIV/0!</v>
      </c>
      <c r="AJ27" s="110" t="e">
        <f t="shared" si="14"/>
        <v>#DIV/0!</v>
      </c>
      <c r="AK27" s="110" t="e">
        <f t="shared" si="14"/>
        <v>#DIV/0!</v>
      </c>
      <c r="AL27" s="110" t="e">
        <f t="shared" si="14"/>
        <v>#DIV/0!</v>
      </c>
      <c r="AM27" s="110" t="e">
        <f t="shared" si="14"/>
        <v>#DIV/0!</v>
      </c>
      <c r="AN27" s="110" t="e">
        <f t="shared" si="14"/>
        <v>#DIV/0!</v>
      </c>
      <c r="AO27" s="110" t="e">
        <f t="shared" si="14"/>
        <v>#DIV/0!</v>
      </c>
      <c r="AP27" s="110" t="e">
        <f t="shared" si="14"/>
        <v>#DIV/0!</v>
      </c>
      <c r="AQ27" s="110" t="e">
        <f t="shared" si="14"/>
        <v>#DIV/0!</v>
      </c>
      <c r="AR27" s="110" t="e">
        <f t="shared" si="14"/>
        <v>#DIV/0!</v>
      </c>
      <c r="AS27" s="110" t="e">
        <f t="shared" si="14"/>
        <v>#DIV/0!</v>
      </c>
      <c r="AT27" s="110" t="e">
        <f t="shared" si="14"/>
        <v>#DIV/0!</v>
      </c>
      <c r="AU27" s="110" t="e">
        <f t="shared" si="14"/>
        <v>#DIV/0!</v>
      </c>
      <c r="AV27" s="110" t="e">
        <f t="shared" si="14"/>
        <v>#DIV/0!</v>
      </c>
      <c r="AW27" s="110" t="e">
        <f t="shared" si="14"/>
        <v>#DIV/0!</v>
      </c>
      <c r="AX27" s="110" t="e">
        <f t="shared" si="14"/>
        <v>#DIV/0!</v>
      </c>
      <c r="AY27" s="110" t="e">
        <f t="shared" si="14"/>
        <v>#DIV/0!</v>
      </c>
      <c r="AZ27" s="110" t="e">
        <f t="shared" si="14"/>
        <v>#DIV/0!</v>
      </c>
      <c r="BA27" s="110" t="e">
        <f t="shared" si="14"/>
        <v>#DIV/0!</v>
      </c>
      <c r="BB27" s="110" t="e">
        <f t="shared" si="14"/>
        <v>#DIV/0!</v>
      </c>
      <c r="BC27" s="110" t="e">
        <f t="shared" si="14"/>
        <v>#DIV/0!</v>
      </c>
      <c r="BD27" s="110" t="e">
        <f t="shared" si="14"/>
        <v>#DIV/0!</v>
      </c>
      <c r="BE27" s="110" t="e">
        <f t="shared" si="14"/>
        <v>#DIV/0!</v>
      </c>
      <c r="BF27" s="110" t="e">
        <f t="shared" si="14"/>
        <v>#DIV/0!</v>
      </c>
      <c r="BG27" s="110" t="e">
        <f t="shared" si="14"/>
        <v>#DIV/0!</v>
      </c>
      <c r="BH27" s="110" t="e">
        <f t="shared" si="14"/>
        <v>#DIV/0!</v>
      </c>
      <c r="BI27" s="110" t="e">
        <f t="shared" si="14"/>
        <v>#DIV/0!</v>
      </c>
      <c r="BJ27" s="110" t="e">
        <f t="shared" si="14"/>
        <v>#DIV/0!</v>
      </c>
      <c r="BK27" s="110" t="e">
        <f t="shared" si="14"/>
        <v>#DIV/0!</v>
      </c>
      <c r="BL27" s="110" t="e">
        <f t="shared" si="14"/>
        <v>#DIV/0!</v>
      </c>
      <c r="BM27" s="110" t="e">
        <f t="shared" si="14"/>
        <v>#DIV/0!</v>
      </c>
      <c r="BN27" s="110" t="e">
        <f t="shared" si="14"/>
        <v>#DIV/0!</v>
      </c>
      <c r="BO27" s="110" t="e">
        <f t="shared" si="14"/>
        <v>#DIV/0!</v>
      </c>
      <c r="BP27" s="110" t="e">
        <f t="shared" si="14"/>
        <v>#DIV/0!</v>
      </c>
      <c r="BQ27" s="110" t="e">
        <f t="shared" si="14"/>
        <v>#DIV/0!</v>
      </c>
      <c r="BR27" s="110" t="e">
        <f t="shared" ref="BR27:CL27" si="15">(BR3-BV3)/BV3</f>
        <v>#DIV/0!</v>
      </c>
      <c r="BS27" s="110" t="e">
        <f t="shared" si="15"/>
        <v>#DIV/0!</v>
      </c>
      <c r="BT27" s="110" t="e">
        <f t="shared" si="15"/>
        <v>#DIV/0!</v>
      </c>
      <c r="BU27" s="110" t="e">
        <f t="shared" si="15"/>
        <v>#DIV/0!</v>
      </c>
      <c r="BV27" s="110" t="e">
        <f t="shared" si="15"/>
        <v>#DIV/0!</v>
      </c>
      <c r="BW27" s="110" t="e">
        <f t="shared" si="15"/>
        <v>#DIV/0!</v>
      </c>
      <c r="BX27" s="110" t="e">
        <f t="shared" si="15"/>
        <v>#DIV/0!</v>
      </c>
      <c r="BY27" s="110" t="e">
        <f t="shared" si="15"/>
        <v>#DIV/0!</v>
      </c>
      <c r="BZ27" s="110" t="e">
        <f t="shared" si="15"/>
        <v>#DIV/0!</v>
      </c>
      <c r="CA27" s="110" t="e">
        <f t="shared" si="15"/>
        <v>#DIV/0!</v>
      </c>
      <c r="CB27" s="110" t="e">
        <f t="shared" si="15"/>
        <v>#DIV/0!</v>
      </c>
      <c r="CC27" s="110" t="e">
        <f t="shared" si="15"/>
        <v>#DIV/0!</v>
      </c>
      <c r="CD27" s="110" t="e">
        <f t="shared" si="15"/>
        <v>#DIV/0!</v>
      </c>
      <c r="CE27" s="110" t="e">
        <f t="shared" si="15"/>
        <v>#DIV/0!</v>
      </c>
      <c r="CF27" s="110" t="e">
        <f t="shared" si="15"/>
        <v>#DIV/0!</v>
      </c>
      <c r="CG27" s="110" t="e">
        <f t="shared" si="15"/>
        <v>#DIV/0!</v>
      </c>
      <c r="CH27" s="110" t="e">
        <f t="shared" si="15"/>
        <v>#DIV/0!</v>
      </c>
      <c r="CI27" s="110" t="e">
        <f t="shared" si="15"/>
        <v>#DIV/0!</v>
      </c>
      <c r="CJ27" s="110" t="e">
        <f t="shared" si="15"/>
        <v>#DIV/0!</v>
      </c>
      <c r="CK27" s="110" t="e">
        <f t="shared" si="15"/>
        <v>#DIV/0!</v>
      </c>
      <c r="CL27" s="110" t="e">
        <f t="shared" si="15"/>
        <v>#DIV/0!</v>
      </c>
    </row>
    <row r="28" spans="1:90" s="110" customFormat="1" x14ac:dyDescent="0.25">
      <c r="A28" s="144" t="s">
        <v>562</v>
      </c>
      <c r="E28" s="110">
        <f>E3/E9</f>
        <v>4.7537007251373343E-3</v>
      </c>
      <c r="F28" s="110">
        <f t="shared" ref="F28:BQ28" si="16">F3/F9</f>
        <v>4.4248084540457729E-3</v>
      </c>
      <c r="G28" s="110">
        <f t="shared" si="16"/>
        <v>4.5011618947229364E-3</v>
      </c>
      <c r="H28" s="110">
        <f t="shared" si="16"/>
        <v>5.7299661124198932E-3</v>
      </c>
      <c r="I28" s="110">
        <f t="shared" si="16"/>
        <v>5.8686573924079015E-3</v>
      </c>
      <c r="J28" s="110">
        <f t="shared" si="16"/>
        <v>6.6060339197265205E-3</v>
      </c>
      <c r="K28" s="110">
        <f t="shared" si="16"/>
        <v>8.0252984732285971E-3</v>
      </c>
      <c r="L28" s="110">
        <f t="shared" si="16"/>
        <v>7.9527438232968491E-3</v>
      </c>
      <c r="M28" s="110">
        <f t="shared" si="16"/>
        <v>1.0446163826221454E-2</v>
      </c>
      <c r="N28" s="110">
        <f t="shared" si="16"/>
        <v>6.9879867779075074E-3</v>
      </c>
      <c r="O28" s="110">
        <f t="shared" si="16"/>
        <v>4.372754931292514E-3</v>
      </c>
      <c r="P28" s="110">
        <f t="shared" si="16"/>
        <v>4.4715405635596412E-3</v>
      </c>
      <c r="Q28" s="110">
        <f t="shared" si="16"/>
        <v>7.6891520259571118E-3</v>
      </c>
      <c r="R28" s="110">
        <f t="shared" si="16"/>
        <v>7.00606939056473E-3</v>
      </c>
      <c r="S28" s="110">
        <f t="shared" si="16"/>
        <v>7.1400803730520745E-3</v>
      </c>
      <c r="T28" s="110">
        <f t="shared" si="16"/>
        <v>6.9909413666850422E-3</v>
      </c>
      <c r="U28" s="110">
        <f t="shared" si="16"/>
        <v>7.1059441453502799E-3</v>
      </c>
      <c r="V28" s="110">
        <f t="shared" si="16"/>
        <v>7.1008462254221645E-3</v>
      </c>
      <c r="W28" s="110">
        <f t="shared" si="16"/>
        <v>7.2514170849657016E-3</v>
      </c>
      <c r="X28" s="110">
        <f t="shared" si="16"/>
        <v>6.9010550612404967E-3</v>
      </c>
      <c r="Y28" s="110">
        <f t="shared" si="16"/>
        <v>7.1270566078850163E-3</v>
      </c>
      <c r="Z28" s="110">
        <f t="shared" si="16"/>
        <v>6.3210456552739444E-3</v>
      </c>
      <c r="AA28" s="110">
        <f t="shared" si="16"/>
        <v>6.3820582430824373E-3</v>
      </c>
      <c r="AB28" s="110">
        <f t="shared" si="16"/>
        <v>6.8533890035117886E-3</v>
      </c>
      <c r="AC28" s="110">
        <f t="shared" si="16"/>
        <v>5.9706708521031658E-3</v>
      </c>
      <c r="AD28" s="110">
        <f t="shared" si="16"/>
        <v>1.5200574697072367E-2</v>
      </c>
      <c r="AE28" s="110">
        <f t="shared" si="16"/>
        <v>1.4398116788844275E-2</v>
      </c>
      <c r="AF28" s="110">
        <f t="shared" si="16"/>
        <v>1.4570611412378649E-2</v>
      </c>
      <c r="AG28" s="110">
        <f t="shared" si="16"/>
        <v>1.4514987385094835E-2</v>
      </c>
      <c r="AH28" s="110">
        <f t="shared" si="16"/>
        <v>1.9190045765026906E-2</v>
      </c>
      <c r="AI28" s="110" t="e">
        <f t="shared" si="16"/>
        <v>#DIV/0!</v>
      </c>
      <c r="AJ28" s="110" t="e">
        <f t="shared" si="16"/>
        <v>#DIV/0!</v>
      </c>
      <c r="AK28" s="110" t="e">
        <f t="shared" si="16"/>
        <v>#DIV/0!</v>
      </c>
      <c r="AL28" s="110" t="e">
        <f t="shared" si="16"/>
        <v>#DIV/0!</v>
      </c>
      <c r="AM28" s="110" t="e">
        <f t="shared" si="16"/>
        <v>#DIV/0!</v>
      </c>
      <c r="AN28" s="110" t="e">
        <f t="shared" si="16"/>
        <v>#DIV/0!</v>
      </c>
      <c r="AO28" s="110" t="e">
        <f t="shared" si="16"/>
        <v>#DIV/0!</v>
      </c>
      <c r="AP28" s="110" t="e">
        <f t="shared" si="16"/>
        <v>#DIV/0!</v>
      </c>
      <c r="AQ28" s="110" t="e">
        <f t="shared" si="16"/>
        <v>#DIV/0!</v>
      </c>
      <c r="AR28" s="110" t="e">
        <f t="shared" si="16"/>
        <v>#DIV/0!</v>
      </c>
      <c r="AS28" s="110" t="e">
        <f t="shared" si="16"/>
        <v>#DIV/0!</v>
      </c>
      <c r="AT28" s="110" t="e">
        <f t="shared" si="16"/>
        <v>#DIV/0!</v>
      </c>
      <c r="AU28" s="110" t="e">
        <f t="shared" si="16"/>
        <v>#DIV/0!</v>
      </c>
      <c r="AV28" s="110" t="e">
        <f t="shared" si="16"/>
        <v>#DIV/0!</v>
      </c>
      <c r="AW28" s="110" t="e">
        <f t="shared" si="16"/>
        <v>#DIV/0!</v>
      </c>
      <c r="AX28" s="110" t="e">
        <f t="shared" si="16"/>
        <v>#DIV/0!</v>
      </c>
      <c r="AY28" s="110" t="e">
        <f t="shared" si="16"/>
        <v>#DIV/0!</v>
      </c>
      <c r="AZ28" s="110" t="e">
        <f t="shared" si="16"/>
        <v>#DIV/0!</v>
      </c>
      <c r="BA28" s="110" t="e">
        <f t="shared" si="16"/>
        <v>#DIV/0!</v>
      </c>
      <c r="BB28" s="110" t="e">
        <f t="shared" si="16"/>
        <v>#DIV/0!</v>
      </c>
      <c r="BC28" s="110" t="e">
        <f t="shared" si="16"/>
        <v>#DIV/0!</v>
      </c>
      <c r="BD28" s="110" t="e">
        <f t="shared" si="16"/>
        <v>#DIV/0!</v>
      </c>
      <c r="BE28" s="110" t="e">
        <f t="shared" si="16"/>
        <v>#DIV/0!</v>
      </c>
      <c r="BF28" s="110" t="e">
        <f t="shared" si="16"/>
        <v>#DIV/0!</v>
      </c>
      <c r="BG28" s="110" t="e">
        <f t="shared" si="16"/>
        <v>#DIV/0!</v>
      </c>
      <c r="BH28" s="110" t="e">
        <f t="shared" si="16"/>
        <v>#DIV/0!</v>
      </c>
      <c r="BI28" s="110" t="e">
        <f t="shared" si="16"/>
        <v>#DIV/0!</v>
      </c>
      <c r="BJ28" s="110" t="e">
        <f t="shared" si="16"/>
        <v>#DIV/0!</v>
      </c>
      <c r="BK28" s="110" t="e">
        <f t="shared" si="16"/>
        <v>#DIV/0!</v>
      </c>
      <c r="BL28" s="110" t="e">
        <f t="shared" si="16"/>
        <v>#DIV/0!</v>
      </c>
      <c r="BM28" s="110" t="e">
        <f t="shared" si="16"/>
        <v>#DIV/0!</v>
      </c>
      <c r="BN28" s="110" t="e">
        <f t="shared" si="16"/>
        <v>#DIV/0!</v>
      </c>
      <c r="BO28" s="110" t="e">
        <f t="shared" si="16"/>
        <v>#DIV/0!</v>
      </c>
      <c r="BP28" s="110" t="e">
        <f t="shared" si="16"/>
        <v>#DIV/0!</v>
      </c>
      <c r="BQ28" s="110" t="e">
        <f t="shared" si="16"/>
        <v>#DIV/0!</v>
      </c>
      <c r="BR28" s="110" t="e">
        <f t="shared" ref="BR28:CK28" si="17">BR3/BR9</f>
        <v>#DIV/0!</v>
      </c>
      <c r="BS28" s="110" t="e">
        <f t="shared" si="17"/>
        <v>#DIV/0!</v>
      </c>
      <c r="BT28" s="110" t="e">
        <f t="shared" si="17"/>
        <v>#DIV/0!</v>
      </c>
      <c r="BU28" s="110" t="e">
        <f t="shared" si="17"/>
        <v>#DIV/0!</v>
      </c>
      <c r="BV28" s="110" t="e">
        <f t="shared" si="17"/>
        <v>#DIV/0!</v>
      </c>
      <c r="BW28" s="110" t="e">
        <f t="shared" si="17"/>
        <v>#DIV/0!</v>
      </c>
      <c r="BX28" s="110" t="e">
        <f t="shared" si="17"/>
        <v>#DIV/0!</v>
      </c>
      <c r="BY28" s="110" t="e">
        <f t="shared" si="17"/>
        <v>#DIV/0!</v>
      </c>
      <c r="BZ28" s="110" t="e">
        <f t="shared" si="17"/>
        <v>#DIV/0!</v>
      </c>
      <c r="CA28" s="110" t="e">
        <f t="shared" si="17"/>
        <v>#DIV/0!</v>
      </c>
      <c r="CB28" s="110" t="e">
        <f t="shared" si="17"/>
        <v>#DIV/0!</v>
      </c>
      <c r="CC28" s="110" t="e">
        <f t="shared" si="17"/>
        <v>#DIV/0!</v>
      </c>
      <c r="CD28" s="110" t="e">
        <f t="shared" si="17"/>
        <v>#DIV/0!</v>
      </c>
      <c r="CE28" s="110" t="e">
        <f t="shared" si="17"/>
        <v>#DIV/0!</v>
      </c>
      <c r="CF28" s="110" t="e">
        <f t="shared" si="17"/>
        <v>#DIV/0!</v>
      </c>
      <c r="CG28" s="110" t="e">
        <f t="shared" si="17"/>
        <v>#DIV/0!</v>
      </c>
      <c r="CH28" s="110" t="e">
        <f t="shared" si="17"/>
        <v>#DIV/0!</v>
      </c>
      <c r="CI28" s="110" t="e">
        <f t="shared" si="17"/>
        <v>#DIV/0!</v>
      </c>
      <c r="CJ28" s="110" t="e">
        <f t="shared" si="17"/>
        <v>#DIV/0!</v>
      </c>
      <c r="CK28" s="110" t="e">
        <f t="shared" si="17"/>
        <v>#DIV/0!</v>
      </c>
    </row>
    <row r="29" spans="1:90" s="109" customFormat="1" x14ac:dyDescent="0.25">
      <c r="A29" s="143" t="s">
        <v>571</v>
      </c>
      <c r="E29" s="109">
        <f>(E4-I4)/I4</f>
        <v>-1.821384980720149E-2</v>
      </c>
      <c r="F29" s="109">
        <f t="shared" ref="F29:BQ29" si="18">(F4-J4)/J4</f>
        <v>-5.0093050251785523E-2</v>
      </c>
      <c r="G29" s="109">
        <f t="shared" si="18"/>
        <v>-0.12949159938665292</v>
      </c>
      <c r="H29" s="109">
        <f t="shared" si="18"/>
        <v>9.953402540849747E-2</v>
      </c>
      <c r="I29" s="109">
        <f t="shared" si="18"/>
        <v>0.43982477795930541</v>
      </c>
      <c r="J29" s="109">
        <f t="shared" si="18"/>
        <v>0.41953356601995667</v>
      </c>
      <c r="K29" s="109">
        <f t="shared" si="18"/>
        <v>0.3668132855198869</v>
      </c>
      <c r="L29" s="109">
        <f t="shared" si="18"/>
        <v>2.3214442466665988</v>
      </c>
      <c r="M29" s="109">
        <f t="shared" si="18"/>
        <v>1.3248749282445862</v>
      </c>
      <c r="N29" s="109">
        <f t="shared" si="18"/>
        <v>1.3435750947688689</v>
      </c>
      <c r="O29" s="109">
        <f t="shared" si="18"/>
        <v>1.376776512649367</v>
      </c>
      <c r="P29" s="109">
        <f t="shared" si="18"/>
        <v>-0.21643576929651495</v>
      </c>
      <c r="Q29" s="109">
        <f t="shared" si="18"/>
        <v>0.13672459151313443</v>
      </c>
      <c r="R29" s="109">
        <f t="shared" si="18"/>
        <v>4.6672882123841068E-2</v>
      </c>
      <c r="S29" s="109">
        <f t="shared" si="18"/>
        <v>3.6415789017487592E-2</v>
      </c>
      <c r="T29" s="109">
        <f t="shared" si="18"/>
        <v>6.2540348421728495E-2</v>
      </c>
      <c r="U29" s="109">
        <f t="shared" si="18"/>
        <v>6.4068518632356172E-2</v>
      </c>
      <c r="V29" s="109">
        <f t="shared" si="18"/>
        <v>9.787013243829383E-2</v>
      </c>
      <c r="W29" s="109">
        <f t="shared" si="18"/>
        <v>1.9477618102923894E-2</v>
      </c>
      <c r="X29" s="109">
        <f t="shared" si="18"/>
        <v>9.7727882658638396E-2</v>
      </c>
      <c r="Y29" s="109">
        <f t="shared" si="18"/>
        <v>0.25286388332277954</v>
      </c>
      <c r="Z29" s="109">
        <f t="shared" si="18"/>
        <v>0.80620510557500458</v>
      </c>
      <c r="AA29" s="109">
        <f t="shared" si="18"/>
        <v>0.69990186099779417</v>
      </c>
      <c r="AB29" s="109">
        <f t="shared" si="18"/>
        <v>0.56104305896437889</v>
      </c>
      <c r="AC29" s="109">
        <f t="shared" si="18"/>
        <v>4.031299147819082E-2</v>
      </c>
      <c r="AD29" s="109">
        <f t="shared" si="18"/>
        <v>-0.28025268842386403</v>
      </c>
      <c r="AE29" s="109" t="e">
        <f t="shared" si="18"/>
        <v>#DIV/0!</v>
      </c>
      <c r="AF29" s="109" t="e">
        <f t="shared" si="18"/>
        <v>#DIV/0!</v>
      </c>
      <c r="AG29" s="109" t="e">
        <f t="shared" si="18"/>
        <v>#DIV/0!</v>
      </c>
      <c r="AH29" s="109" t="e">
        <f t="shared" si="18"/>
        <v>#DIV/0!</v>
      </c>
      <c r="AI29" s="109" t="e">
        <f t="shared" si="18"/>
        <v>#DIV/0!</v>
      </c>
      <c r="AJ29" s="109" t="e">
        <f t="shared" si="18"/>
        <v>#DIV/0!</v>
      </c>
      <c r="AK29" s="109" t="e">
        <f t="shared" si="18"/>
        <v>#DIV/0!</v>
      </c>
      <c r="AL29" s="109" t="e">
        <f t="shared" si="18"/>
        <v>#DIV/0!</v>
      </c>
      <c r="AM29" s="109" t="e">
        <f t="shared" si="18"/>
        <v>#DIV/0!</v>
      </c>
      <c r="AN29" s="109" t="e">
        <f t="shared" si="18"/>
        <v>#DIV/0!</v>
      </c>
      <c r="AO29" s="109" t="e">
        <f t="shared" si="18"/>
        <v>#DIV/0!</v>
      </c>
      <c r="AP29" s="109" t="e">
        <f t="shared" si="18"/>
        <v>#DIV/0!</v>
      </c>
      <c r="AQ29" s="109" t="e">
        <f t="shared" si="18"/>
        <v>#DIV/0!</v>
      </c>
      <c r="AR29" s="109" t="e">
        <f t="shared" si="18"/>
        <v>#DIV/0!</v>
      </c>
      <c r="AS29" s="109" t="e">
        <f t="shared" si="18"/>
        <v>#DIV/0!</v>
      </c>
      <c r="AT29" s="109" t="e">
        <f t="shared" si="18"/>
        <v>#DIV/0!</v>
      </c>
      <c r="AU29" s="109" t="e">
        <f t="shared" si="18"/>
        <v>#DIV/0!</v>
      </c>
      <c r="AV29" s="109" t="e">
        <f t="shared" si="18"/>
        <v>#DIV/0!</v>
      </c>
      <c r="AW29" s="109" t="e">
        <f t="shared" si="18"/>
        <v>#DIV/0!</v>
      </c>
      <c r="AX29" s="109" t="e">
        <f t="shared" si="18"/>
        <v>#DIV/0!</v>
      </c>
      <c r="AY29" s="109" t="e">
        <f t="shared" si="18"/>
        <v>#DIV/0!</v>
      </c>
      <c r="AZ29" s="109" t="e">
        <f t="shared" si="18"/>
        <v>#DIV/0!</v>
      </c>
      <c r="BA29" s="109" t="e">
        <f t="shared" si="18"/>
        <v>#DIV/0!</v>
      </c>
      <c r="BB29" s="109" t="e">
        <f t="shared" si="18"/>
        <v>#DIV/0!</v>
      </c>
      <c r="BC29" s="109" t="e">
        <f t="shared" si="18"/>
        <v>#DIV/0!</v>
      </c>
      <c r="BD29" s="109" t="e">
        <f t="shared" si="18"/>
        <v>#DIV/0!</v>
      </c>
      <c r="BE29" s="109" t="e">
        <f t="shared" si="18"/>
        <v>#DIV/0!</v>
      </c>
      <c r="BF29" s="109" t="e">
        <f t="shared" si="18"/>
        <v>#DIV/0!</v>
      </c>
      <c r="BG29" s="109" t="e">
        <f t="shared" si="18"/>
        <v>#DIV/0!</v>
      </c>
      <c r="BH29" s="109" t="e">
        <f t="shared" si="18"/>
        <v>#DIV/0!</v>
      </c>
      <c r="BI29" s="109" t="e">
        <f t="shared" si="18"/>
        <v>#DIV/0!</v>
      </c>
      <c r="BJ29" s="109" t="e">
        <f t="shared" si="18"/>
        <v>#DIV/0!</v>
      </c>
      <c r="BK29" s="109" t="e">
        <f t="shared" si="18"/>
        <v>#DIV/0!</v>
      </c>
      <c r="BL29" s="109" t="e">
        <f t="shared" si="18"/>
        <v>#DIV/0!</v>
      </c>
      <c r="BM29" s="109" t="e">
        <f t="shared" si="18"/>
        <v>#DIV/0!</v>
      </c>
      <c r="BN29" s="109" t="e">
        <f t="shared" si="18"/>
        <v>#DIV/0!</v>
      </c>
      <c r="BO29" s="109" t="e">
        <f t="shared" si="18"/>
        <v>#DIV/0!</v>
      </c>
      <c r="BP29" s="109" t="e">
        <f t="shared" si="18"/>
        <v>#DIV/0!</v>
      </c>
      <c r="BQ29" s="109" t="e">
        <f t="shared" si="18"/>
        <v>#DIV/0!</v>
      </c>
      <c r="BR29" s="109" t="e">
        <f t="shared" ref="BR29:CK29" si="19">(BR4-BV4)/BV4</f>
        <v>#DIV/0!</v>
      </c>
      <c r="BS29" s="109" t="e">
        <f t="shared" si="19"/>
        <v>#DIV/0!</v>
      </c>
      <c r="BT29" s="109" t="e">
        <f t="shared" si="19"/>
        <v>#DIV/0!</v>
      </c>
      <c r="BU29" s="109" t="e">
        <f t="shared" si="19"/>
        <v>#DIV/0!</v>
      </c>
      <c r="BV29" s="109" t="e">
        <f t="shared" si="19"/>
        <v>#DIV/0!</v>
      </c>
      <c r="BW29" s="109" t="e">
        <f t="shared" si="19"/>
        <v>#DIV/0!</v>
      </c>
      <c r="BX29" s="109" t="e">
        <f t="shared" si="19"/>
        <v>#DIV/0!</v>
      </c>
      <c r="BY29" s="109" t="e">
        <f t="shared" si="19"/>
        <v>#DIV/0!</v>
      </c>
      <c r="BZ29" s="109" t="e">
        <f t="shared" si="19"/>
        <v>#DIV/0!</v>
      </c>
      <c r="CA29" s="109" t="e">
        <f t="shared" si="19"/>
        <v>#DIV/0!</v>
      </c>
      <c r="CB29" s="109" t="e">
        <f t="shared" si="19"/>
        <v>#DIV/0!</v>
      </c>
      <c r="CC29" s="109" t="e">
        <f t="shared" si="19"/>
        <v>#DIV/0!</v>
      </c>
      <c r="CD29" s="109" t="e">
        <f t="shared" si="19"/>
        <v>#DIV/0!</v>
      </c>
      <c r="CE29" s="109" t="e">
        <f t="shared" si="19"/>
        <v>#DIV/0!</v>
      </c>
      <c r="CF29" s="109" t="e">
        <f t="shared" si="19"/>
        <v>#DIV/0!</v>
      </c>
      <c r="CG29" s="109" t="e">
        <f t="shared" si="19"/>
        <v>#DIV/0!</v>
      </c>
      <c r="CH29" s="109" t="e">
        <f t="shared" si="19"/>
        <v>#DIV/0!</v>
      </c>
      <c r="CI29" s="109" t="e">
        <f t="shared" si="19"/>
        <v>#DIV/0!</v>
      </c>
      <c r="CJ29" s="109" t="e">
        <f t="shared" si="19"/>
        <v>#DIV/0!</v>
      </c>
      <c r="CK29" s="109" t="e">
        <f t="shared" si="19"/>
        <v>#DIV/0!</v>
      </c>
    </row>
    <row r="30" spans="1:90" s="109" customFormat="1" x14ac:dyDescent="0.25">
      <c r="A30" s="143" t="s">
        <v>555</v>
      </c>
      <c r="E30" s="109">
        <f>(E5-I5)/I5</f>
        <v>1.8480683511732356E-2</v>
      </c>
      <c r="F30" s="109">
        <f t="shared" ref="F30:BQ30" si="20">(F5-J5)/J5</f>
        <v>1.014446723397304E-2</v>
      </c>
      <c r="G30" s="109">
        <f t="shared" si="20"/>
        <v>-3.692346973779375E-2</v>
      </c>
      <c r="H30" s="109">
        <f t="shared" si="20"/>
        <v>5.8563483161533952E-2</v>
      </c>
      <c r="I30" s="109">
        <f t="shared" si="20"/>
        <v>0.26526023386014819</v>
      </c>
      <c r="J30" s="109">
        <f t="shared" si="20"/>
        <v>0.31267902037441486</v>
      </c>
      <c r="K30" s="109">
        <f t="shared" si="20"/>
        <v>0.38863953887756675</v>
      </c>
      <c r="L30" s="109">
        <f t="shared" si="20"/>
        <v>1.8494000645214979</v>
      </c>
      <c r="M30" s="109">
        <f t="shared" si="20"/>
        <v>1.3041591281205136</v>
      </c>
      <c r="N30" s="109">
        <f t="shared" si="20"/>
        <v>1.1773086787829905</v>
      </c>
      <c r="O30" s="109">
        <f t="shared" si="20"/>
        <v>1.2105612002692869</v>
      </c>
      <c r="P30" s="109">
        <f t="shared" si="20"/>
        <v>-7.8129776005887136E-2</v>
      </c>
      <c r="Q30" s="109">
        <f t="shared" si="20"/>
        <v>0.11379203043839013</v>
      </c>
      <c r="R30" s="109">
        <f t="shared" si="20"/>
        <v>0.12976502107071189</v>
      </c>
      <c r="S30" s="109">
        <f t="shared" si="20"/>
        <v>5.1153132681134479E-2</v>
      </c>
      <c r="T30" s="109">
        <f t="shared" si="20"/>
        <v>5.3961388207760107E-2</v>
      </c>
      <c r="U30" s="109">
        <f t="shared" si="20"/>
        <v>8.2808694655355786E-2</v>
      </c>
      <c r="V30" s="109">
        <f t="shared" si="20"/>
        <v>0.21162423288513418</v>
      </c>
      <c r="W30" s="109">
        <f t="shared" si="20"/>
        <v>0.12083275058951334</v>
      </c>
      <c r="X30" s="109">
        <f t="shared" si="20"/>
        <v>0.20560277340028213</v>
      </c>
      <c r="Y30" s="109">
        <f t="shared" si="20"/>
        <v>0.30294219641100917</v>
      </c>
      <c r="Z30" s="109">
        <f t="shared" si="20"/>
        <v>0.28833901273274243</v>
      </c>
      <c r="AA30" s="109">
        <f t="shared" si="20"/>
        <v>0.26036744914759086</v>
      </c>
      <c r="AB30" s="109">
        <f t="shared" si="20"/>
        <v>0.22450456395928839</v>
      </c>
      <c r="AC30" s="109">
        <f t="shared" si="20"/>
        <v>0.16925703870341083</v>
      </c>
      <c r="AD30" s="109">
        <f t="shared" si="20"/>
        <v>8.1955643740460937E-2</v>
      </c>
      <c r="AE30" s="109" t="e">
        <f t="shared" si="20"/>
        <v>#DIV/0!</v>
      </c>
      <c r="AF30" s="109" t="e">
        <f t="shared" si="20"/>
        <v>#DIV/0!</v>
      </c>
      <c r="AG30" s="109" t="e">
        <f t="shared" si="20"/>
        <v>#DIV/0!</v>
      </c>
      <c r="AH30" s="109" t="e">
        <f t="shared" si="20"/>
        <v>#DIV/0!</v>
      </c>
      <c r="AI30" s="109" t="e">
        <f t="shared" si="20"/>
        <v>#DIV/0!</v>
      </c>
      <c r="AJ30" s="109" t="e">
        <f t="shared" si="20"/>
        <v>#DIV/0!</v>
      </c>
      <c r="AK30" s="109" t="e">
        <f t="shared" si="20"/>
        <v>#DIV/0!</v>
      </c>
      <c r="AL30" s="109" t="e">
        <f t="shared" si="20"/>
        <v>#DIV/0!</v>
      </c>
      <c r="AM30" s="109" t="e">
        <f t="shared" si="20"/>
        <v>#DIV/0!</v>
      </c>
      <c r="AN30" s="109" t="e">
        <f t="shared" si="20"/>
        <v>#DIV/0!</v>
      </c>
      <c r="AO30" s="109" t="e">
        <f t="shared" si="20"/>
        <v>#DIV/0!</v>
      </c>
      <c r="AP30" s="109" t="e">
        <f t="shared" si="20"/>
        <v>#DIV/0!</v>
      </c>
      <c r="AQ30" s="109" t="e">
        <f t="shared" si="20"/>
        <v>#DIV/0!</v>
      </c>
      <c r="AR30" s="109" t="e">
        <f t="shared" si="20"/>
        <v>#DIV/0!</v>
      </c>
      <c r="AS30" s="109" t="e">
        <f t="shared" si="20"/>
        <v>#DIV/0!</v>
      </c>
      <c r="AT30" s="109" t="e">
        <f t="shared" si="20"/>
        <v>#DIV/0!</v>
      </c>
      <c r="AU30" s="109" t="e">
        <f t="shared" si="20"/>
        <v>#DIV/0!</v>
      </c>
      <c r="AV30" s="109" t="e">
        <f t="shared" si="20"/>
        <v>#DIV/0!</v>
      </c>
      <c r="AW30" s="109" t="e">
        <f t="shared" si="20"/>
        <v>#DIV/0!</v>
      </c>
      <c r="AX30" s="109" t="e">
        <f t="shared" si="20"/>
        <v>#DIV/0!</v>
      </c>
      <c r="AY30" s="109" t="e">
        <f t="shared" si="20"/>
        <v>#DIV/0!</v>
      </c>
      <c r="AZ30" s="109" t="e">
        <f t="shared" si="20"/>
        <v>#DIV/0!</v>
      </c>
      <c r="BA30" s="109" t="e">
        <f t="shared" si="20"/>
        <v>#DIV/0!</v>
      </c>
      <c r="BB30" s="109" t="e">
        <f t="shared" si="20"/>
        <v>#DIV/0!</v>
      </c>
      <c r="BC30" s="109" t="e">
        <f t="shared" si="20"/>
        <v>#DIV/0!</v>
      </c>
      <c r="BD30" s="109" t="e">
        <f t="shared" si="20"/>
        <v>#DIV/0!</v>
      </c>
      <c r="BE30" s="109" t="e">
        <f t="shared" si="20"/>
        <v>#DIV/0!</v>
      </c>
      <c r="BF30" s="109" t="e">
        <f t="shared" si="20"/>
        <v>#DIV/0!</v>
      </c>
      <c r="BG30" s="109" t="e">
        <f t="shared" si="20"/>
        <v>#DIV/0!</v>
      </c>
      <c r="BH30" s="109" t="e">
        <f t="shared" si="20"/>
        <v>#DIV/0!</v>
      </c>
      <c r="BI30" s="109" t="e">
        <f t="shared" si="20"/>
        <v>#DIV/0!</v>
      </c>
      <c r="BJ30" s="109" t="e">
        <f t="shared" si="20"/>
        <v>#DIV/0!</v>
      </c>
      <c r="BK30" s="109" t="e">
        <f t="shared" si="20"/>
        <v>#DIV/0!</v>
      </c>
      <c r="BL30" s="109" t="e">
        <f t="shared" si="20"/>
        <v>#DIV/0!</v>
      </c>
      <c r="BM30" s="109" t="e">
        <f t="shared" si="20"/>
        <v>#DIV/0!</v>
      </c>
      <c r="BN30" s="109" t="e">
        <f t="shared" si="20"/>
        <v>#DIV/0!</v>
      </c>
      <c r="BO30" s="109" t="e">
        <f t="shared" si="20"/>
        <v>#DIV/0!</v>
      </c>
      <c r="BP30" s="109" t="e">
        <f t="shared" si="20"/>
        <v>#DIV/0!</v>
      </c>
      <c r="BQ30" s="109" t="e">
        <f t="shared" si="20"/>
        <v>#DIV/0!</v>
      </c>
      <c r="BR30" s="109" t="e">
        <f t="shared" ref="BR30:CK30" si="21">(BR5-BV5)/BV5</f>
        <v>#DIV/0!</v>
      </c>
      <c r="BS30" s="109" t="e">
        <f t="shared" si="21"/>
        <v>#DIV/0!</v>
      </c>
      <c r="BT30" s="109" t="e">
        <f t="shared" si="21"/>
        <v>#DIV/0!</v>
      </c>
      <c r="BU30" s="109" t="e">
        <f t="shared" si="21"/>
        <v>#DIV/0!</v>
      </c>
      <c r="BV30" s="109" t="e">
        <f t="shared" si="21"/>
        <v>#DIV/0!</v>
      </c>
      <c r="BW30" s="109" t="e">
        <f t="shared" si="21"/>
        <v>#DIV/0!</v>
      </c>
      <c r="BX30" s="109" t="e">
        <f t="shared" si="21"/>
        <v>#DIV/0!</v>
      </c>
      <c r="BY30" s="109" t="e">
        <f t="shared" si="21"/>
        <v>#DIV/0!</v>
      </c>
      <c r="BZ30" s="109" t="e">
        <f t="shared" si="21"/>
        <v>#DIV/0!</v>
      </c>
      <c r="CA30" s="109" t="e">
        <f t="shared" si="21"/>
        <v>#DIV/0!</v>
      </c>
      <c r="CB30" s="109" t="e">
        <f t="shared" si="21"/>
        <v>#DIV/0!</v>
      </c>
      <c r="CC30" s="109" t="e">
        <f t="shared" si="21"/>
        <v>#DIV/0!</v>
      </c>
      <c r="CD30" s="109" t="e">
        <f t="shared" si="21"/>
        <v>#DIV/0!</v>
      </c>
      <c r="CE30" s="109" t="e">
        <f t="shared" si="21"/>
        <v>#DIV/0!</v>
      </c>
      <c r="CF30" s="109" t="e">
        <f t="shared" si="21"/>
        <v>#DIV/0!</v>
      </c>
      <c r="CG30" s="109" t="e">
        <f t="shared" si="21"/>
        <v>#DIV/0!</v>
      </c>
      <c r="CH30" s="109" t="e">
        <f t="shared" si="21"/>
        <v>#DIV/0!</v>
      </c>
      <c r="CI30" s="109" t="e">
        <f t="shared" si="21"/>
        <v>#DIV/0!</v>
      </c>
      <c r="CJ30" s="109" t="e">
        <f t="shared" si="21"/>
        <v>#DIV/0!</v>
      </c>
      <c r="CK30" s="109" t="e">
        <f t="shared" si="21"/>
        <v>#DIV/0!</v>
      </c>
    </row>
    <row r="31" spans="1:90" s="109" customFormat="1" x14ac:dyDescent="0.25">
      <c r="A31" s="143" t="s">
        <v>556</v>
      </c>
      <c r="E31" s="109">
        <f>(E6-I6)/I6</f>
        <v>0.11248775803246955</v>
      </c>
      <c r="F31" s="109">
        <f t="shared" ref="F31:BQ31" si="22">(F6-J6)/J6</f>
        <v>0.14989377516443145</v>
      </c>
      <c r="G31" s="109">
        <f t="shared" si="22"/>
        <v>0.18008284846473721</v>
      </c>
      <c r="H31" s="109">
        <f t="shared" si="22"/>
        <v>-1.2563248690867102E-2</v>
      </c>
      <c r="I31" s="109">
        <f t="shared" si="22"/>
        <v>-3.4596830462362609E-2</v>
      </c>
      <c r="J31" s="109">
        <f t="shared" si="22"/>
        <v>0.11752129644824523</v>
      </c>
      <c r="K31" s="109">
        <f t="shared" si="22"/>
        <v>0.44264534709123782</v>
      </c>
      <c r="L31" s="109">
        <f t="shared" si="22"/>
        <v>1.2855042636335514</v>
      </c>
      <c r="M31" s="109">
        <f t="shared" si="22"/>
        <v>1.2694234404880047</v>
      </c>
      <c r="N31" s="109">
        <f t="shared" si="22"/>
        <v>0.92754823455698843</v>
      </c>
      <c r="O31" s="109">
        <f t="shared" si="22"/>
        <v>0.88447377049187592</v>
      </c>
      <c r="P31" s="109">
        <f t="shared" si="22"/>
        <v>0.16818770876912198</v>
      </c>
      <c r="Q31" s="109">
        <f t="shared" si="22"/>
        <v>7.7347910634345721E-2</v>
      </c>
      <c r="R31" s="109">
        <f t="shared" si="22"/>
        <v>0.2827345309556577</v>
      </c>
      <c r="S31" s="109">
        <f t="shared" si="22"/>
        <v>8.1318016515783353E-2</v>
      </c>
      <c r="T31" s="109">
        <f t="shared" si="22"/>
        <v>3.9020799661512805E-2</v>
      </c>
      <c r="U31" s="109">
        <f t="shared" si="22"/>
        <v>0.11398748709507843</v>
      </c>
      <c r="V31" s="109">
        <f t="shared" si="22"/>
        <v>0.49721583959795029</v>
      </c>
      <c r="W31" s="109">
        <f t="shared" si="22"/>
        <v>0.40718590583332614</v>
      </c>
      <c r="X31" s="109">
        <f t="shared" si="22"/>
        <v>0.45453622925672243</v>
      </c>
      <c r="Y31" s="109">
        <f t="shared" si="22"/>
        <v>0.39576249258380786</v>
      </c>
      <c r="Z31" s="109">
        <f t="shared" si="22"/>
        <v>-0.25089081867154139</v>
      </c>
      <c r="AA31" s="109">
        <f t="shared" si="22"/>
        <v>-0.2716779688555836</v>
      </c>
      <c r="AB31" s="109">
        <f t="shared" si="22"/>
        <v>-0.18229433678337298</v>
      </c>
      <c r="AC31" s="109">
        <f t="shared" si="22"/>
        <v>0.51799672116658446</v>
      </c>
      <c r="AD31" s="109">
        <f t="shared" si="22"/>
        <v>1.2730364078024519</v>
      </c>
      <c r="AE31" s="109" t="e">
        <f t="shared" si="22"/>
        <v>#DIV/0!</v>
      </c>
      <c r="AF31" s="109" t="e">
        <f t="shared" si="22"/>
        <v>#DIV/0!</v>
      </c>
      <c r="AG31" s="109" t="e">
        <f t="shared" si="22"/>
        <v>#DIV/0!</v>
      </c>
      <c r="AH31" s="109" t="e">
        <f t="shared" si="22"/>
        <v>#DIV/0!</v>
      </c>
      <c r="AI31" s="109" t="e">
        <f t="shared" si="22"/>
        <v>#DIV/0!</v>
      </c>
      <c r="AJ31" s="109" t="e">
        <f t="shared" si="22"/>
        <v>#DIV/0!</v>
      </c>
      <c r="AK31" s="109" t="e">
        <f t="shared" si="22"/>
        <v>#DIV/0!</v>
      </c>
      <c r="AL31" s="109" t="e">
        <f t="shared" si="22"/>
        <v>#DIV/0!</v>
      </c>
      <c r="AM31" s="109" t="e">
        <f t="shared" si="22"/>
        <v>#DIV/0!</v>
      </c>
      <c r="AN31" s="109" t="e">
        <f t="shared" si="22"/>
        <v>#DIV/0!</v>
      </c>
      <c r="AO31" s="109" t="e">
        <f t="shared" si="22"/>
        <v>#DIV/0!</v>
      </c>
      <c r="AP31" s="109" t="e">
        <f t="shared" si="22"/>
        <v>#DIV/0!</v>
      </c>
      <c r="AQ31" s="109" t="e">
        <f t="shared" si="22"/>
        <v>#DIV/0!</v>
      </c>
      <c r="AR31" s="109" t="e">
        <f t="shared" si="22"/>
        <v>#DIV/0!</v>
      </c>
      <c r="AS31" s="109" t="e">
        <f t="shared" si="22"/>
        <v>#DIV/0!</v>
      </c>
      <c r="AT31" s="109" t="e">
        <f t="shared" si="22"/>
        <v>#DIV/0!</v>
      </c>
      <c r="AU31" s="109" t="e">
        <f t="shared" si="22"/>
        <v>#DIV/0!</v>
      </c>
      <c r="AV31" s="109" t="e">
        <f t="shared" si="22"/>
        <v>#DIV/0!</v>
      </c>
      <c r="AW31" s="109" t="e">
        <f t="shared" si="22"/>
        <v>#DIV/0!</v>
      </c>
      <c r="AX31" s="109" t="e">
        <f t="shared" si="22"/>
        <v>#DIV/0!</v>
      </c>
      <c r="AY31" s="109" t="e">
        <f t="shared" si="22"/>
        <v>#DIV/0!</v>
      </c>
      <c r="AZ31" s="109" t="e">
        <f t="shared" si="22"/>
        <v>#DIV/0!</v>
      </c>
      <c r="BA31" s="109" t="e">
        <f t="shared" si="22"/>
        <v>#DIV/0!</v>
      </c>
      <c r="BB31" s="109" t="e">
        <f t="shared" si="22"/>
        <v>#DIV/0!</v>
      </c>
      <c r="BC31" s="109" t="e">
        <f t="shared" si="22"/>
        <v>#DIV/0!</v>
      </c>
      <c r="BD31" s="109" t="e">
        <f t="shared" si="22"/>
        <v>#DIV/0!</v>
      </c>
      <c r="BE31" s="109" t="e">
        <f t="shared" si="22"/>
        <v>#DIV/0!</v>
      </c>
      <c r="BF31" s="109" t="e">
        <f t="shared" si="22"/>
        <v>#DIV/0!</v>
      </c>
      <c r="BG31" s="109" t="e">
        <f t="shared" si="22"/>
        <v>#DIV/0!</v>
      </c>
      <c r="BH31" s="109" t="e">
        <f t="shared" si="22"/>
        <v>#DIV/0!</v>
      </c>
      <c r="BI31" s="109" t="e">
        <f t="shared" si="22"/>
        <v>#DIV/0!</v>
      </c>
      <c r="BJ31" s="109" t="e">
        <f t="shared" si="22"/>
        <v>#DIV/0!</v>
      </c>
      <c r="BK31" s="109" t="e">
        <f t="shared" si="22"/>
        <v>#DIV/0!</v>
      </c>
      <c r="BL31" s="109" t="e">
        <f t="shared" si="22"/>
        <v>#DIV/0!</v>
      </c>
      <c r="BM31" s="109" t="e">
        <f t="shared" si="22"/>
        <v>#DIV/0!</v>
      </c>
      <c r="BN31" s="109" t="e">
        <f t="shared" si="22"/>
        <v>#DIV/0!</v>
      </c>
      <c r="BO31" s="109" t="e">
        <f t="shared" si="22"/>
        <v>#DIV/0!</v>
      </c>
      <c r="BP31" s="109" t="e">
        <f t="shared" si="22"/>
        <v>#DIV/0!</v>
      </c>
      <c r="BQ31" s="109" t="e">
        <f t="shared" si="22"/>
        <v>#DIV/0!</v>
      </c>
      <c r="BR31" s="109" t="e">
        <f t="shared" ref="BR31:CK31" si="23">(BR6-BV6)/BV6</f>
        <v>#DIV/0!</v>
      </c>
      <c r="BS31" s="109" t="e">
        <f t="shared" si="23"/>
        <v>#DIV/0!</v>
      </c>
      <c r="BT31" s="109" t="e">
        <f t="shared" si="23"/>
        <v>#DIV/0!</v>
      </c>
      <c r="BU31" s="109" t="e">
        <f t="shared" si="23"/>
        <v>#DIV/0!</v>
      </c>
      <c r="BV31" s="109" t="e">
        <f t="shared" si="23"/>
        <v>#DIV/0!</v>
      </c>
      <c r="BW31" s="109" t="e">
        <f t="shared" si="23"/>
        <v>#DIV/0!</v>
      </c>
      <c r="BX31" s="109" t="e">
        <f t="shared" si="23"/>
        <v>#DIV/0!</v>
      </c>
      <c r="BY31" s="109" t="e">
        <f t="shared" si="23"/>
        <v>#DIV/0!</v>
      </c>
      <c r="BZ31" s="109" t="e">
        <f t="shared" si="23"/>
        <v>#DIV/0!</v>
      </c>
      <c r="CA31" s="109" t="e">
        <f t="shared" si="23"/>
        <v>#DIV/0!</v>
      </c>
      <c r="CB31" s="109" t="e">
        <f t="shared" si="23"/>
        <v>#DIV/0!</v>
      </c>
      <c r="CC31" s="109" t="e">
        <f t="shared" si="23"/>
        <v>#DIV/0!</v>
      </c>
      <c r="CD31" s="109" t="e">
        <f t="shared" si="23"/>
        <v>#DIV/0!</v>
      </c>
      <c r="CE31" s="109" t="e">
        <f t="shared" si="23"/>
        <v>#DIV/0!</v>
      </c>
      <c r="CF31" s="109" t="e">
        <f t="shared" si="23"/>
        <v>#DIV/0!</v>
      </c>
      <c r="CG31" s="109" t="e">
        <f t="shared" si="23"/>
        <v>#DIV/0!</v>
      </c>
      <c r="CH31" s="109" t="e">
        <f t="shared" si="23"/>
        <v>#DIV/0!</v>
      </c>
      <c r="CI31" s="109" t="e">
        <f t="shared" si="23"/>
        <v>#DIV/0!</v>
      </c>
      <c r="CJ31" s="109" t="e">
        <f t="shared" si="23"/>
        <v>#DIV/0!</v>
      </c>
      <c r="CK31" s="109" t="e">
        <f t="shared" si="23"/>
        <v>#DIV/0!</v>
      </c>
    </row>
    <row r="32" spans="1:90" s="110" customFormat="1" x14ac:dyDescent="0.25">
      <c r="A32" s="144" t="s">
        <v>558</v>
      </c>
      <c r="E32" s="110">
        <f>(E7-I7)/I7</f>
        <v>4.455255405603558E-2</v>
      </c>
      <c r="F32" s="110">
        <f t="shared" ref="F32:BQ32" si="24">(F7-J7)/J7</f>
        <v>9.6712137731396336E-2</v>
      </c>
      <c r="G32" s="110">
        <f t="shared" si="24"/>
        <v>0.15804426883015923</v>
      </c>
      <c r="H32" s="110">
        <f t="shared" si="24"/>
        <v>0.21326343879768631</v>
      </c>
      <c r="I32" s="110">
        <f t="shared" si="24"/>
        <v>1.0035329256886822</v>
      </c>
      <c r="J32" s="110">
        <f t="shared" si="24"/>
        <v>1.021474886224405</v>
      </c>
      <c r="K32" s="110">
        <f t="shared" si="24"/>
        <v>1.025214367625578</v>
      </c>
      <c r="L32" s="110">
        <f t="shared" si="24"/>
        <v>1.0733361501682162</v>
      </c>
      <c r="M32" s="110">
        <f t="shared" si="24"/>
        <v>0.34617348597333958</v>
      </c>
      <c r="N32" s="110">
        <f t="shared" si="24"/>
        <v>0.34833653235947115</v>
      </c>
      <c r="O32" s="110">
        <f t="shared" si="24"/>
        <v>0.29258696948210428</v>
      </c>
      <c r="P32" s="110">
        <f t="shared" si="24"/>
        <v>0.19761298373072184</v>
      </c>
      <c r="Q32" s="110">
        <f t="shared" si="24"/>
        <v>0.11786751062855826</v>
      </c>
      <c r="R32" s="110">
        <f t="shared" si="24"/>
        <v>0.10136895849711423</v>
      </c>
      <c r="S32" s="110">
        <f t="shared" si="24"/>
        <v>0.13554555543741767</v>
      </c>
      <c r="T32" s="110">
        <f t="shared" si="24"/>
        <v>0.14813484901324384</v>
      </c>
      <c r="U32" s="110">
        <f t="shared" si="24"/>
        <v>0.19387359072577551</v>
      </c>
      <c r="V32" s="110">
        <f t="shared" si="24"/>
        <v>0.33520283223583952</v>
      </c>
      <c r="W32" s="110">
        <f t="shared" si="24"/>
        <v>0.53715087616065704</v>
      </c>
      <c r="X32" s="110">
        <f t="shared" si="24"/>
        <v>0.6152929573215411</v>
      </c>
      <c r="Y32" s="110">
        <f t="shared" si="24"/>
        <v>0.57621805114308078</v>
      </c>
      <c r="Z32" s="110">
        <f t="shared" si="24"/>
        <v>0.41176047883159594</v>
      </c>
      <c r="AA32" s="110">
        <f t="shared" si="24"/>
        <v>0.20977638774552992</v>
      </c>
      <c r="AB32" s="110">
        <f t="shared" si="24"/>
        <v>0.25639339065773581</v>
      </c>
      <c r="AC32" s="110">
        <f t="shared" si="24"/>
        <v>1.0901630853891171</v>
      </c>
      <c r="AD32" s="110">
        <f t="shared" si="24"/>
        <v>1.2746341287099197</v>
      </c>
      <c r="AE32" s="110" t="e">
        <f t="shared" si="24"/>
        <v>#DIV/0!</v>
      </c>
      <c r="AF32" s="110" t="e">
        <f t="shared" si="24"/>
        <v>#DIV/0!</v>
      </c>
      <c r="AG32" s="110" t="e">
        <f t="shared" si="24"/>
        <v>#DIV/0!</v>
      </c>
      <c r="AH32" s="110" t="e">
        <f t="shared" si="24"/>
        <v>#DIV/0!</v>
      </c>
      <c r="AI32" s="110" t="e">
        <f t="shared" si="24"/>
        <v>#DIV/0!</v>
      </c>
      <c r="AJ32" s="110" t="e">
        <f t="shared" si="24"/>
        <v>#DIV/0!</v>
      </c>
      <c r="AK32" s="110" t="e">
        <f t="shared" si="24"/>
        <v>#DIV/0!</v>
      </c>
      <c r="AL32" s="110" t="e">
        <f t="shared" si="24"/>
        <v>#DIV/0!</v>
      </c>
      <c r="AM32" s="110" t="e">
        <f t="shared" si="24"/>
        <v>#DIV/0!</v>
      </c>
      <c r="AN32" s="110" t="e">
        <f t="shared" si="24"/>
        <v>#DIV/0!</v>
      </c>
      <c r="AO32" s="110" t="e">
        <f t="shared" si="24"/>
        <v>#DIV/0!</v>
      </c>
      <c r="AP32" s="110" t="e">
        <f t="shared" si="24"/>
        <v>#DIV/0!</v>
      </c>
      <c r="AQ32" s="110" t="e">
        <f t="shared" si="24"/>
        <v>#DIV/0!</v>
      </c>
      <c r="AR32" s="110" t="e">
        <f t="shared" si="24"/>
        <v>#DIV/0!</v>
      </c>
      <c r="AS32" s="110" t="e">
        <f t="shared" si="24"/>
        <v>#DIV/0!</v>
      </c>
      <c r="AT32" s="110" t="e">
        <f t="shared" si="24"/>
        <v>#DIV/0!</v>
      </c>
      <c r="AU32" s="110" t="e">
        <f t="shared" si="24"/>
        <v>#DIV/0!</v>
      </c>
      <c r="AV32" s="110" t="e">
        <f t="shared" si="24"/>
        <v>#DIV/0!</v>
      </c>
      <c r="AW32" s="110" t="e">
        <f t="shared" si="24"/>
        <v>#DIV/0!</v>
      </c>
      <c r="AX32" s="110" t="e">
        <f t="shared" si="24"/>
        <v>#DIV/0!</v>
      </c>
      <c r="AY32" s="110" t="e">
        <f t="shared" si="24"/>
        <v>#DIV/0!</v>
      </c>
      <c r="AZ32" s="110" t="e">
        <f t="shared" si="24"/>
        <v>#DIV/0!</v>
      </c>
      <c r="BA32" s="110" t="e">
        <f t="shared" si="24"/>
        <v>#DIV/0!</v>
      </c>
      <c r="BB32" s="110" t="e">
        <f t="shared" si="24"/>
        <v>#DIV/0!</v>
      </c>
      <c r="BC32" s="110" t="e">
        <f t="shared" si="24"/>
        <v>#DIV/0!</v>
      </c>
      <c r="BD32" s="110" t="e">
        <f t="shared" si="24"/>
        <v>#DIV/0!</v>
      </c>
      <c r="BE32" s="110" t="e">
        <f t="shared" si="24"/>
        <v>#DIV/0!</v>
      </c>
      <c r="BF32" s="110" t="e">
        <f t="shared" si="24"/>
        <v>#DIV/0!</v>
      </c>
      <c r="BG32" s="110" t="e">
        <f t="shared" si="24"/>
        <v>#DIV/0!</v>
      </c>
      <c r="BH32" s="110" t="e">
        <f t="shared" si="24"/>
        <v>#DIV/0!</v>
      </c>
      <c r="BI32" s="110" t="e">
        <f t="shared" si="24"/>
        <v>#DIV/0!</v>
      </c>
      <c r="BJ32" s="110" t="e">
        <f t="shared" si="24"/>
        <v>#DIV/0!</v>
      </c>
      <c r="BK32" s="110" t="e">
        <f t="shared" si="24"/>
        <v>#DIV/0!</v>
      </c>
      <c r="BL32" s="110" t="e">
        <f t="shared" si="24"/>
        <v>#DIV/0!</v>
      </c>
      <c r="BM32" s="110" t="e">
        <f t="shared" si="24"/>
        <v>#DIV/0!</v>
      </c>
      <c r="BN32" s="110" t="e">
        <f t="shared" si="24"/>
        <v>#DIV/0!</v>
      </c>
      <c r="BO32" s="110" t="e">
        <f t="shared" si="24"/>
        <v>#DIV/0!</v>
      </c>
      <c r="BP32" s="110" t="e">
        <f t="shared" si="24"/>
        <v>#DIV/0!</v>
      </c>
      <c r="BQ32" s="110" t="e">
        <f t="shared" si="24"/>
        <v>#DIV/0!</v>
      </c>
      <c r="BR32" s="110" t="e">
        <f t="shared" ref="BR32:CK32" si="25">(BR7-BV7)/BV7</f>
        <v>#DIV/0!</v>
      </c>
      <c r="BS32" s="110" t="e">
        <f t="shared" si="25"/>
        <v>#DIV/0!</v>
      </c>
      <c r="BT32" s="110" t="e">
        <f t="shared" si="25"/>
        <v>#DIV/0!</v>
      </c>
      <c r="BU32" s="110" t="e">
        <f t="shared" si="25"/>
        <v>#DIV/0!</v>
      </c>
      <c r="BV32" s="110" t="e">
        <f t="shared" si="25"/>
        <v>#DIV/0!</v>
      </c>
      <c r="BW32" s="110" t="e">
        <f t="shared" si="25"/>
        <v>#DIV/0!</v>
      </c>
      <c r="BX32" s="110" t="e">
        <f t="shared" si="25"/>
        <v>#DIV/0!</v>
      </c>
      <c r="BY32" s="110" t="e">
        <f t="shared" si="25"/>
        <v>#DIV/0!</v>
      </c>
      <c r="BZ32" s="110" t="e">
        <f t="shared" si="25"/>
        <v>#DIV/0!</v>
      </c>
      <c r="CA32" s="110" t="e">
        <f t="shared" si="25"/>
        <v>#DIV/0!</v>
      </c>
      <c r="CB32" s="110" t="e">
        <f t="shared" si="25"/>
        <v>#DIV/0!</v>
      </c>
      <c r="CC32" s="110" t="e">
        <f t="shared" si="25"/>
        <v>#DIV/0!</v>
      </c>
      <c r="CD32" s="110" t="e">
        <f t="shared" si="25"/>
        <v>#DIV/0!</v>
      </c>
      <c r="CE32" s="110" t="e">
        <f t="shared" si="25"/>
        <v>#DIV/0!</v>
      </c>
      <c r="CF32" s="110" t="e">
        <f t="shared" si="25"/>
        <v>#DIV/0!</v>
      </c>
      <c r="CG32" s="110" t="e">
        <f t="shared" si="25"/>
        <v>#DIV/0!</v>
      </c>
      <c r="CH32" s="110" t="e">
        <f t="shared" si="25"/>
        <v>#DIV/0!</v>
      </c>
      <c r="CI32" s="110" t="e">
        <f t="shared" si="25"/>
        <v>#DIV/0!</v>
      </c>
      <c r="CJ32" s="110" t="e">
        <f t="shared" si="25"/>
        <v>#DIV/0!</v>
      </c>
      <c r="CK32" s="110" t="e">
        <f t="shared" si="25"/>
        <v>#DIV/0!</v>
      </c>
    </row>
    <row r="33" spans="1:89" s="110" customFormat="1" x14ac:dyDescent="0.25">
      <c r="A33" s="144" t="s">
        <v>565</v>
      </c>
      <c r="E33" s="110">
        <f>E7/E9</f>
        <v>0.59285884936033928</v>
      </c>
      <c r="F33" s="110">
        <f t="shared" ref="F33:BQ33" si="26">F7/F9</f>
        <v>0.602092000842402</v>
      </c>
      <c r="G33" s="110">
        <f t="shared" si="26"/>
        <v>0.61294252021180928</v>
      </c>
      <c r="H33" s="110">
        <f t="shared" si="26"/>
        <v>0.59193281189082969</v>
      </c>
      <c r="I33" s="110">
        <f t="shared" si="26"/>
        <v>0.59848961710082815</v>
      </c>
      <c r="J33" s="110">
        <f t="shared" si="26"/>
        <v>0.51780951049421164</v>
      </c>
      <c r="K33" s="110">
        <f t="shared" si="26"/>
        <v>0.59618993405337684</v>
      </c>
      <c r="L33" s="110">
        <f t="shared" si="26"/>
        <v>0.56689263280730706</v>
      </c>
      <c r="M33" s="110">
        <f t="shared" si="26"/>
        <v>0.44514016481555063</v>
      </c>
      <c r="N33" s="110">
        <f t="shared" si="26"/>
        <v>0.43778454982838949</v>
      </c>
      <c r="O33" s="110">
        <f t="shared" si="26"/>
        <v>0.42726130445105587</v>
      </c>
      <c r="P33" s="110">
        <f t="shared" si="26"/>
        <v>0.3838692911779194</v>
      </c>
      <c r="Q33" s="110">
        <f t="shared" si="26"/>
        <v>0.60775628788701042</v>
      </c>
      <c r="R33" s="110">
        <f t="shared" si="26"/>
        <v>0.58161740322358069</v>
      </c>
      <c r="S33" s="110">
        <f t="shared" si="26"/>
        <v>0.58491958076091655</v>
      </c>
      <c r="T33" s="110">
        <f t="shared" si="26"/>
        <v>0.55848672996038207</v>
      </c>
      <c r="U33" s="110">
        <f t="shared" si="26"/>
        <v>0.55995092573401695</v>
      </c>
      <c r="V33" s="110">
        <f t="shared" si="26"/>
        <v>0.55088854189297998</v>
      </c>
      <c r="W33" s="110">
        <f t="shared" si="26"/>
        <v>0.53843699058341254</v>
      </c>
      <c r="X33" s="110">
        <f t="shared" si="26"/>
        <v>0.48961697819228722</v>
      </c>
      <c r="Y33" s="110">
        <f t="shared" si="26"/>
        <v>0.47966355010946504</v>
      </c>
      <c r="Z33" s="110">
        <f t="shared" si="26"/>
        <v>0.44755789094328974</v>
      </c>
      <c r="AA33" s="110">
        <f t="shared" si="26"/>
        <v>0.37567316504205411</v>
      </c>
      <c r="AB33" s="110">
        <f t="shared" si="26"/>
        <v>0.32842349966217116</v>
      </c>
      <c r="AC33" s="110">
        <f t="shared" si="26"/>
        <v>0.27814580014960133</v>
      </c>
      <c r="AD33" s="110">
        <f t="shared" si="26"/>
        <v>0.68342804453133754</v>
      </c>
      <c r="AE33" s="110">
        <f t="shared" si="26"/>
        <v>0.62803452007321114</v>
      </c>
      <c r="AF33" s="110">
        <f t="shared" si="26"/>
        <v>0.60274505378979981</v>
      </c>
      <c r="AG33" s="110">
        <f t="shared" si="26"/>
        <v>0.3921402876826085</v>
      </c>
      <c r="AH33" s="110">
        <f t="shared" si="26"/>
        <v>0.40321078213576683</v>
      </c>
      <c r="AI33" s="110" t="e">
        <f t="shared" si="26"/>
        <v>#DIV/0!</v>
      </c>
      <c r="AJ33" s="110" t="e">
        <f t="shared" si="26"/>
        <v>#DIV/0!</v>
      </c>
      <c r="AK33" s="110" t="e">
        <f t="shared" si="26"/>
        <v>#DIV/0!</v>
      </c>
      <c r="AL33" s="110" t="e">
        <f t="shared" si="26"/>
        <v>#DIV/0!</v>
      </c>
      <c r="AM33" s="110" t="e">
        <f t="shared" si="26"/>
        <v>#DIV/0!</v>
      </c>
      <c r="AN33" s="110" t="e">
        <f t="shared" si="26"/>
        <v>#DIV/0!</v>
      </c>
      <c r="AO33" s="110" t="e">
        <f t="shared" si="26"/>
        <v>#DIV/0!</v>
      </c>
      <c r="AP33" s="110" t="e">
        <f t="shared" si="26"/>
        <v>#DIV/0!</v>
      </c>
      <c r="AQ33" s="110" t="e">
        <f t="shared" si="26"/>
        <v>#DIV/0!</v>
      </c>
      <c r="AR33" s="110" t="e">
        <f t="shared" si="26"/>
        <v>#DIV/0!</v>
      </c>
      <c r="AS33" s="110" t="e">
        <f t="shared" si="26"/>
        <v>#DIV/0!</v>
      </c>
      <c r="AT33" s="110" t="e">
        <f t="shared" si="26"/>
        <v>#DIV/0!</v>
      </c>
      <c r="AU33" s="110" t="e">
        <f t="shared" si="26"/>
        <v>#DIV/0!</v>
      </c>
      <c r="AV33" s="110" t="e">
        <f t="shared" si="26"/>
        <v>#DIV/0!</v>
      </c>
      <c r="AW33" s="110" t="e">
        <f t="shared" si="26"/>
        <v>#DIV/0!</v>
      </c>
      <c r="AX33" s="110" t="e">
        <f t="shared" si="26"/>
        <v>#DIV/0!</v>
      </c>
      <c r="AY33" s="110" t="e">
        <f t="shared" si="26"/>
        <v>#DIV/0!</v>
      </c>
      <c r="AZ33" s="110" t="e">
        <f t="shared" si="26"/>
        <v>#DIV/0!</v>
      </c>
      <c r="BA33" s="110" t="e">
        <f t="shared" si="26"/>
        <v>#DIV/0!</v>
      </c>
      <c r="BB33" s="110" t="e">
        <f t="shared" si="26"/>
        <v>#DIV/0!</v>
      </c>
      <c r="BC33" s="110" t="e">
        <f t="shared" si="26"/>
        <v>#DIV/0!</v>
      </c>
      <c r="BD33" s="110" t="e">
        <f t="shared" si="26"/>
        <v>#DIV/0!</v>
      </c>
      <c r="BE33" s="110" t="e">
        <f t="shared" si="26"/>
        <v>#DIV/0!</v>
      </c>
      <c r="BF33" s="110" t="e">
        <f t="shared" si="26"/>
        <v>#DIV/0!</v>
      </c>
      <c r="BG33" s="110" t="e">
        <f t="shared" si="26"/>
        <v>#DIV/0!</v>
      </c>
      <c r="BH33" s="110" t="e">
        <f t="shared" si="26"/>
        <v>#DIV/0!</v>
      </c>
      <c r="BI33" s="110" t="e">
        <f t="shared" si="26"/>
        <v>#DIV/0!</v>
      </c>
      <c r="BJ33" s="110" t="e">
        <f t="shared" si="26"/>
        <v>#DIV/0!</v>
      </c>
      <c r="BK33" s="110" t="e">
        <f t="shared" si="26"/>
        <v>#DIV/0!</v>
      </c>
      <c r="BL33" s="110" t="e">
        <f t="shared" si="26"/>
        <v>#DIV/0!</v>
      </c>
      <c r="BM33" s="110" t="e">
        <f t="shared" si="26"/>
        <v>#DIV/0!</v>
      </c>
      <c r="BN33" s="110" t="e">
        <f t="shared" si="26"/>
        <v>#DIV/0!</v>
      </c>
      <c r="BO33" s="110" t="e">
        <f t="shared" si="26"/>
        <v>#DIV/0!</v>
      </c>
      <c r="BP33" s="110" t="e">
        <f t="shared" si="26"/>
        <v>#DIV/0!</v>
      </c>
      <c r="BQ33" s="110" t="e">
        <f t="shared" si="26"/>
        <v>#DIV/0!</v>
      </c>
      <c r="BR33" s="110" t="e">
        <f t="shared" ref="BR33:CK33" si="27">BR7/BR9</f>
        <v>#DIV/0!</v>
      </c>
      <c r="BS33" s="110" t="e">
        <f t="shared" si="27"/>
        <v>#DIV/0!</v>
      </c>
      <c r="BT33" s="110" t="e">
        <f t="shared" si="27"/>
        <v>#DIV/0!</v>
      </c>
      <c r="BU33" s="110" t="e">
        <f t="shared" si="27"/>
        <v>#DIV/0!</v>
      </c>
      <c r="BV33" s="110" t="e">
        <f t="shared" si="27"/>
        <v>#DIV/0!</v>
      </c>
      <c r="BW33" s="110" t="e">
        <f t="shared" si="27"/>
        <v>#DIV/0!</v>
      </c>
      <c r="BX33" s="110" t="e">
        <f t="shared" si="27"/>
        <v>#DIV/0!</v>
      </c>
      <c r="BY33" s="110" t="e">
        <f t="shared" si="27"/>
        <v>#DIV/0!</v>
      </c>
      <c r="BZ33" s="110" t="e">
        <f t="shared" si="27"/>
        <v>#DIV/0!</v>
      </c>
      <c r="CA33" s="110" t="e">
        <f t="shared" si="27"/>
        <v>#DIV/0!</v>
      </c>
      <c r="CB33" s="110" t="e">
        <f t="shared" si="27"/>
        <v>#DIV/0!</v>
      </c>
      <c r="CC33" s="110" t="e">
        <f t="shared" si="27"/>
        <v>#DIV/0!</v>
      </c>
      <c r="CD33" s="110" t="e">
        <f t="shared" si="27"/>
        <v>#DIV/0!</v>
      </c>
      <c r="CE33" s="110" t="e">
        <f t="shared" si="27"/>
        <v>#DIV/0!</v>
      </c>
      <c r="CF33" s="110" t="e">
        <f t="shared" si="27"/>
        <v>#DIV/0!</v>
      </c>
      <c r="CG33" s="110" t="e">
        <f t="shared" si="27"/>
        <v>#DIV/0!</v>
      </c>
      <c r="CH33" s="110" t="e">
        <f t="shared" si="27"/>
        <v>#DIV/0!</v>
      </c>
      <c r="CI33" s="110" t="e">
        <f t="shared" si="27"/>
        <v>#DIV/0!</v>
      </c>
      <c r="CJ33" s="110" t="e">
        <f t="shared" si="27"/>
        <v>#DIV/0!</v>
      </c>
      <c r="CK33" s="110" t="e">
        <f t="shared" si="27"/>
        <v>#DIV/0!</v>
      </c>
    </row>
    <row r="34" spans="1:89" s="109" customFormat="1" x14ac:dyDescent="0.25">
      <c r="A34" s="143" t="s">
        <v>559</v>
      </c>
      <c r="E34" s="109">
        <f>(E10-I10)/I10</f>
        <v>8.1864315168885524E-2</v>
      </c>
      <c r="F34" s="109">
        <f t="shared" ref="F34:BQ34" si="28">(F10-J10)/J10</f>
        <v>-0.98081822268092389</v>
      </c>
      <c r="G34" s="109">
        <f t="shared" si="28"/>
        <v>-0.99277708212844262</v>
      </c>
      <c r="H34" s="109">
        <f t="shared" si="28"/>
        <v>-0.98984598267581037</v>
      </c>
      <c r="I34" s="109" t="e">
        <f t="shared" si="28"/>
        <v>#DIV/0!</v>
      </c>
      <c r="J34" s="109" t="e">
        <f t="shared" si="28"/>
        <v>#DIV/0!</v>
      </c>
      <c r="K34" s="109" t="e">
        <f t="shared" si="28"/>
        <v>#DIV/0!</v>
      </c>
      <c r="L34" s="109">
        <f t="shared" si="28"/>
        <v>23.775387209374998</v>
      </c>
      <c r="M34" s="109">
        <f t="shared" si="28"/>
        <v>-1</v>
      </c>
      <c r="N34" s="109">
        <f t="shared" si="28"/>
        <v>-1</v>
      </c>
      <c r="O34" s="109">
        <f t="shared" si="28"/>
        <v>-1</v>
      </c>
      <c r="P34" s="109">
        <f t="shared" si="28"/>
        <v>-0.74253425782844706</v>
      </c>
      <c r="Q34" s="109">
        <f t="shared" si="28"/>
        <v>-0.32746404698726672</v>
      </c>
      <c r="R34" s="109">
        <f t="shared" si="28"/>
        <v>0.2</v>
      </c>
      <c r="S34" s="109">
        <f t="shared" si="28"/>
        <v>7.3470081494270353E-2</v>
      </c>
      <c r="T34" s="109">
        <f t="shared" si="28"/>
        <v>-0.75278736426822068</v>
      </c>
      <c r="U34" s="109">
        <f t="shared" si="28"/>
        <v>-0.79136794896877627</v>
      </c>
      <c r="V34" s="109" t="e">
        <f t="shared" si="28"/>
        <v>#DIV/0!</v>
      </c>
      <c r="W34" s="109" t="e">
        <f t="shared" si="28"/>
        <v>#DIV/0!</v>
      </c>
      <c r="X34" s="109">
        <f t="shared" si="28"/>
        <v>1.7662118844566712</v>
      </c>
      <c r="Y34" s="109">
        <f t="shared" si="28"/>
        <v>-0.42274958727903794</v>
      </c>
      <c r="Z34" s="109">
        <f t="shared" si="28"/>
        <v>-1</v>
      </c>
      <c r="AA34" s="109">
        <f t="shared" si="28"/>
        <v>-1</v>
      </c>
      <c r="AB34" s="109">
        <f t="shared" si="28"/>
        <v>-0.73577289314536587</v>
      </c>
      <c r="AC34" s="109">
        <f t="shared" si="28"/>
        <v>1.1870708857142858</v>
      </c>
      <c r="AD34" s="109">
        <f t="shared" si="28"/>
        <v>-0.59103816666666664</v>
      </c>
      <c r="AE34" s="109" t="e">
        <f t="shared" si="28"/>
        <v>#DIV/0!</v>
      </c>
      <c r="AF34" s="109" t="e">
        <f t="shared" si="28"/>
        <v>#DIV/0!</v>
      </c>
      <c r="AG34" s="109" t="e">
        <f t="shared" si="28"/>
        <v>#DIV/0!</v>
      </c>
      <c r="AH34" s="109" t="e">
        <f t="shared" si="28"/>
        <v>#DIV/0!</v>
      </c>
      <c r="AI34" s="109" t="e">
        <f t="shared" si="28"/>
        <v>#DIV/0!</v>
      </c>
      <c r="AJ34" s="109" t="e">
        <f t="shared" si="28"/>
        <v>#DIV/0!</v>
      </c>
      <c r="AK34" s="109" t="e">
        <f t="shared" si="28"/>
        <v>#DIV/0!</v>
      </c>
      <c r="AL34" s="109" t="e">
        <f t="shared" si="28"/>
        <v>#DIV/0!</v>
      </c>
      <c r="AM34" s="109" t="e">
        <f t="shared" si="28"/>
        <v>#DIV/0!</v>
      </c>
      <c r="AN34" s="109" t="e">
        <f t="shared" si="28"/>
        <v>#DIV/0!</v>
      </c>
      <c r="AO34" s="109" t="e">
        <f t="shared" si="28"/>
        <v>#DIV/0!</v>
      </c>
      <c r="AP34" s="109" t="e">
        <f t="shared" si="28"/>
        <v>#DIV/0!</v>
      </c>
      <c r="AQ34" s="109" t="e">
        <f t="shared" si="28"/>
        <v>#DIV/0!</v>
      </c>
      <c r="AR34" s="109" t="e">
        <f t="shared" si="28"/>
        <v>#DIV/0!</v>
      </c>
      <c r="AS34" s="109" t="e">
        <f t="shared" si="28"/>
        <v>#DIV/0!</v>
      </c>
      <c r="AT34" s="109" t="e">
        <f t="shared" si="28"/>
        <v>#DIV/0!</v>
      </c>
      <c r="AU34" s="109" t="e">
        <f t="shared" si="28"/>
        <v>#DIV/0!</v>
      </c>
      <c r="AV34" s="109" t="e">
        <f t="shared" si="28"/>
        <v>#DIV/0!</v>
      </c>
      <c r="AW34" s="109" t="e">
        <f t="shared" si="28"/>
        <v>#DIV/0!</v>
      </c>
      <c r="AX34" s="109" t="e">
        <f t="shared" si="28"/>
        <v>#DIV/0!</v>
      </c>
      <c r="AY34" s="109" t="e">
        <f t="shared" si="28"/>
        <v>#DIV/0!</v>
      </c>
      <c r="AZ34" s="109" t="e">
        <f t="shared" si="28"/>
        <v>#DIV/0!</v>
      </c>
      <c r="BA34" s="109" t="e">
        <f t="shared" si="28"/>
        <v>#DIV/0!</v>
      </c>
      <c r="BB34" s="109" t="e">
        <f t="shared" si="28"/>
        <v>#DIV/0!</v>
      </c>
      <c r="BC34" s="109" t="e">
        <f t="shared" si="28"/>
        <v>#DIV/0!</v>
      </c>
      <c r="BD34" s="109" t="e">
        <f t="shared" si="28"/>
        <v>#DIV/0!</v>
      </c>
      <c r="BE34" s="109" t="e">
        <f t="shared" si="28"/>
        <v>#DIV/0!</v>
      </c>
      <c r="BF34" s="109" t="e">
        <f t="shared" si="28"/>
        <v>#DIV/0!</v>
      </c>
      <c r="BG34" s="109" t="e">
        <f t="shared" si="28"/>
        <v>#DIV/0!</v>
      </c>
      <c r="BH34" s="109" t="e">
        <f t="shared" si="28"/>
        <v>#DIV/0!</v>
      </c>
      <c r="BI34" s="109" t="e">
        <f t="shared" si="28"/>
        <v>#DIV/0!</v>
      </c>
      <c r="BJ34" s="109" t="e">
        <f t="shared" si="28"/>
        <v>#DIV/0!</v>
      </c>
      <c r="BK34" s="109" t="e">
        <f t="shared" si="28"/>
        <v>#DIV/0!</v>
      </c>
      <c r="BL34" s="109" t="e">
        <f t="shared" si="28"/>
        <v>#DIV/0!</v>
      </c>
      <c r="BM34" s="109" t="e">
        <f t="shared" si="28"/>
        <v>#DIV/0!</v>
      </c>
      <c r="BN34" s="109" t="e">
        <f t="shared" si="28"/>
        <v>#DIV/0!</v>
      </c>
      <c r="BO34" s="109" t="e">
        <f t="shared" si="28"/>
        <v>#DIV/0!</v>
      </c>
      <c r="BP34" s="109" t="e">
        <f t="shared" si="28"/>
        <v>#DIV/0!</v>
      </c>
      <c r="BQ34" s="109" t="e">
        <f t="shared" si="28"/>
        <v>#DIV/0!</v>
      </c>
      <c r="BR34" s="109" t="e">
        <f t="shared" ref="BR34:CK34" si="29">(BR10-BV10)/BV10</f>
        <v>#DIV/0!</v>
      </c>
      <c r="BS34" s="109" t="e">
        <f t="shared" si="29"/>
        <v>#DIV/0!</v>
      </c>
      <c r="BT34" s="109" t="e">
        <f t="shared" si="29"/>
        <v>#DIV/0!</v>
      </c>
      <c r="BU34" s="109" t="e">
        <f t="shared" si="29"/>
        <v>#DIV/0!</v>
      </c>
      <c r="BV34" s="109" t="e">
        <f t="shared" si="29"/>
        <v>#DIV/0!</v>
      </c>
      <c r="BW34" s="109" t="e">
        <f t="shared" si="29"/>
        <v>#DIV/0!</v>
      </c>
      <c r="BX34" s="109" t="e">
        <f t="shared" si="29"/>
        <v>#DIV/0!</v>
      </c>
      <c r="BY34" s="109" t="e">
        <f t="shared" si="29"/>
        <v>#DIV/0!</v>
      </c>
      <c r="BZ34" s="109" t="e">
        <f t="shared" si="29"/>
        <v>#DIV/0!</v>
      </c>
      <c r="CA34" s="109" t="e">
        <f t="shared" si="29"/>
        <v>#DIV/0!</v>
      </c>
      <c r="CB34" s="109" t="e">
        <f t="shared" si="29"/>
        <v>#DIV/0!</v>
      </c>
      <c r="CC34" s="109" t="e">
        <f t="shared" si="29"/>
        <v>#DIV/0!</v>
      </c>
      <c r="CD34" s="109" t="e">
        <f t="shared" si="29"/>
        <v>#DIV/0!</v>
      </c>
      <c r="CE34" s="109" t="e">
        <f t="shared" si="29"/>
        <v>#DIV/0!</v>
      </c>
      <c r="CF34" s="109" t="e">
        <f t="shared" si="29"/>
        <v>#DIV/0!</v>
      </c>
      <c r="CG34" s="109" t="e">
        <f t="shared" si="29"/>
        <v>#DIV/0!</v>
      </c>
      <c r="CH34" s="109" t="e">
        <f t="shared" si="29"/>
        <v>#DIV/0!</v>
      </c>
      <c r="CI34" s="109" t="e">
        <f t="shared" si="29"/>
        <v>#DIV/0!</v>
      </c>
      <c r="CJ34" s="109" t="e">
        <f t="shared" si="29"/>
        <v>#DIV/0!</v>
      </c>
      <c r="CK34" s="109" t="e">
        <f t="shared" si="29"/>
        <v>#DIV/0!</v>
      </c>
    </row>
    <row r="35" spans="1:89" s="109" customFormat="1" x14ac:dyDescent="0.25">
      <c r="A35" s="143" t="s">
        <v>563</v>
      </c>
      <c r="E35" s="109">
        <f>E10/E12</f>
        <v>0.19679764683169498</v>
      </c>
      <c r="F35" s="109">
        <f t="shared" ref="F35:BQ35" si="30">F10/F12</f>
        <v>0.18734341913015837</v>
      </c>
      <c r="G35" s="109">
        <f t="shared" si="30"/>
        <v>0.14648850983190595</v>
      </c>
      <c r="H35" s="109">
        <f t="shared" si="30"/>
        <v>0.14025149314493915</v>
      </c>
      <c r="I35" s="109">
        <f t="shared" si="30"/>
        <v>0.1469780080956839</v>
      </c>
      <c r="J35" s="109">
        <f t="shared" si="30"/>
        <v>0.2109046933031819</v>
      </c>
      <c r="K35" s="109">
        <f t="shared" si="30"/>
        <v>0.27740807657870142</v>
      </c>
      <c r="L35" s="109">
        <f t="shared" si="30"/>
        <v>0.21793526093932153</v>
      </c>
      <c r="M35" s="109" t="e">
        <f t="shared" si="30"/>
        <v>#DIV/0!</v>
      </c>
      <c r="N35" s="109" t="e">
        <f t="shared" si="30"/>
        <v>#DIV/0!</v>
      </c>
      <c r="O35" s="109" t="e">
        <f t="shared" si="30"/>
        <v>#DIV/0!</v>
      </c>
      <c r="P35" s="109">
        <f t="shared" si="30"/>
        <v>1</v>
      </c>
      <c r="Q35" s="109">
        <f t="shared" si="30"/>
        <v>0.5535714285714286</v>
      </c>
      <c r="R35" s="109">
        <f t="shared" si="30"/>
        <v>0.39814503537898871</v>
      </c>
      <c r="S35" s="109">
        <f t="shared" si="30"/>
        <v>0.38807271498008888</v>
      </c>
      <c r="T35" s="109">
        <f t="shared" si="30"/>
        <v>0.71922014063462925</v>
      </c>
      <c r="U35" s="109">
        <f t="shared" si="30"/>
        <v>0.6392704867331771</v>
      </c>
      <c r="V35" s="109">
        <f t="shared" si="30"/>
        <v>0.49155613280674448</v>
      </c>
      <c r="W35" s="109">
        <f t="shared" si="30"/>
        <v>0.55730826954816637</v>
      </c>
      <c r="X35" s="109">
        <f t="shared" si="30"/>
        <v>0.91346729687026029</v>
      </c>
      <c r="Y35" s="109">
        <f t="shared" si="30"/>
        <v>0.89987163878530485</v>
      </c>
      <c r="Z35" s="109">
        <f t="shared" si="30"/>
        <v>0</v>
      </c>
      <c r="AA35" s="109">
        <f t="shared" si="30"/>
        <v>0</v>
      </c>
      <c r="AB35" s="109">
        <f t="shared" si="30"/>
        <v>0.76360843481398122</v>
      </c>
      <c r="AC35" s="109">
        <f t="shared" si="30"/>
        <v>0.57781622387070575</v>
      </c>
      <c r="AD35" s="109">
        <f t="shared" si="30"/>
        <v>0.39377987638220313</v>
      </c>
      <c r="AE35" s="109">
        <f t="shared" si="30"/>
        <v>0.48412776714249978</v>
      </c>
      <c r="AF35" s="109">
        <f t="shared" si="30"/>
        <v>0.57698058838277955</v>
      </c>
      <c r="AG35" s="109">
        <f t="shared" si="30"/>
        <v>0.30841080318984887</v>
      </c>
      <c r="AH35" s="109">
        <f t="shared" si="30"/>
        <v>1</v>
      </c>
      <c r="AI35" s="109" t="e">
        <f t="shared" si="30"/>
        <v>#DIV/0!</v>
      </c>
      <c r="AJ35" s="109" t="e">
        <f t="shared" si="30"/>
        <v>#DIV/0!</v>
      </c>
      <c r="AK35" s="109" t="e">
        <f t="shared" si="30"/>
        <v>#DIV/0!</v>
      </c>
      <c r="AL35" s="109" t="e">
        <f t="shared" si="30"/>
        <v>#DIV/0!</v>
      </c>
      <c r="AM35" s="109" t="e">
        <f t="shared" si="30"/>
        <v>#DIV/0!</v>
      </c>
      <c r="AN35" s="109" t="e">
        <f t="shared" si="30"/>
        <v>#DIV/0!</v>
      </c>
      <c r="AO35" s="109" t="e">
        <f t="shared" si="30"/>
        <v>#DIV/0!</v>
      </c>
      <c r="AP35" s="109" t="e">
        <f t="shared" si="30"/>
        <v>#DIV/0!</v>
      </c>
      <c r="AQ35" s="109" t="e">
        <f t="shared" si="30"/>
        <v>#DIV/0!</v>
      </c>
      <c r="AR35" s="109" t="e">
        <f t="shared" si="30"/>
        <v>#DIV/0!</v>
      </c>
      <c r="AS35" s="109" t="e">
        <f t="shared" si="30"/>
        <v>#DIV/0!</v>
      </c>
      <c r="AT35" s="109" t="e">
        <f t="shared" si="30"/>
        <v>#DIV/0!</v>
      </c>
      <c r="AU35" s="109" t="e">
        <f t="shared" si="30"/>
        <v>#DIV/0!</v>
      </c>
      <c r="AV35" s="109" t="e">
        <f t="shared" si="30"/>
        <v>#DIV/0!</v>
      </c>
      <c r="AW35" s="109" t="e">
        <f t="shared" si="30"/>
        <v>#DIV/0!</v>
      </c>
      <c r="AX35" s="109" t="e">
        <f t="shared" si="30"/>
        <v>#DIV/0!</v>
      </c>
      <c r="AY35" s="109" t="e">
        <f t="shared" si="30"/>
        <v>#DIV/0!</v>
      </c>
      <c r="AZ35" s="109" t="e">
        <f t="shared" si="30"/>
        <v>#DIV/0!</v>
      </c>
      <c r="BA35" s="109" t="e">
        <f t="shared" si="30"/>
        <v>#DIV/0!</v>
      </c>
      <c r="BB35" s="109" t="e">
        <f t="shared" si="30"/>
        <v>#DIV/0!</v>
      </c>
      <c r="BC35" s="109" t="e">
        <f t="shared" si="30"/>
        <v>#DIV/0!</v>
      </c>
      <c r="BD35" s="109" t="e">
        <f t="shared" si="30"/>
        <v>#DIV/0!</v>
      </c>
      <c r="BE35" s="109" t="e">
        <f t="shared" si="30"/>
        <v>#DIV/0!</v>
      </c>
      <c r="BF35" s="109" t="e">
        <f t="shared" si="30"/>
        <v>#DIV/0!</v>
      </c>
      <c r="BG35" s="109" t="e">
        <f t="shared" si="30"/>
        <v>#DIV/0!</v>
      </c>
      <c r="BH35" s="109" t="e">
        <f t="shared" si="30"/>
        <v>#DIV/0!</v>
      </c>
      <c r="BI35" s="109" t="e">
        <f t="shared" si="30"/>
        <v>#DIV/0!</v>
      </c>
      <c r="BJ35" s="109" t="e">
        <f t="shared" si="30"/>
        <v>#DIV/0!</v>
      </c>
      <c r="BK35" s="109" t="e">
        <f t="shared" si="30"/>
        <v>#DIV/0!</v>
      </c>
      <c r="BL35" s="109" t="e">
        <f t="shared" si="30"/>
        <v>#DIV/0!</v>
      </c>
      <c r="BM35" s="109" t="e">
        <f t="shared" si="30"/>
        <v>#DIV/0!</v>
      </c>
      <c r="BN35" s="109" t="e">
        <f t="shared" si="30"/>
        <v>#DIV/0!</v>
      </c>
      <c r="BO35" s="109" t="e">
        <f t="shared" si="30"/>
        <v>#DIV/0!</v>
      </c>
      <c r="BP35" s="109" t="e">
        <f t="shared" si="30"/>
        <v>#DIV/0!</v>
      </c>
      <c r="BQ35" s="109" t="e">
        <f t="shared" si="30"/>
        <v>#DIV/0!</v>
      </c>
      <c r="BR35" s="109" t="e">
        <f t="shared" ref="BR35:CK35" si="31">BR10/BR12</f>
        <v>#DIV/0!</v>
      </c>
      <c r="BS35" s="109" t="e">
        <f t="shared" si="31"/>
        <v>#DIV/0!</v>
      </c>
      <c r="BT35" s="109" t="e">
        <f t="shared" si="31"/>
        <v>#DIV/0!</v>
      </c>
      <c r="BU35" s="109" t="e">
        <f t="shared" si="31"/>
        <v>#DIV/0!</v>
      </c>
      <c r="BV35" s="109" t="e">
        <f t="shared" si="31"/>
        <v>#DIV/0!</v>
      </c>
      <c r="BW35" s="109" t="e">
        <f t="shared" si="31"/>
        <v>#DIV/0!</v>
      </c>
      <c r="BX35" s="109" t="e">
        <f t="shared" si="31"/>
        <v>#DIV/0!</v>
      </c>
      <c r="BY35" s="109" t="e">
        <f t="shared" si="31"/>
        <v>#DIV/0!</v>
      </c>
      <c r="BZ35" s="109" t="e">
        <f t="shared" si="31"/>
        <v>#DIV/0!</v>
      </c>
      <c r="CA35" s="109" t="e">
        <f t="shared" si="31"/>
        <v>#DIV/0!</v>
      </c>
      <c r="CB35" s="109" t="e">
        <f t="shared" si="31"/>
        <v>#DIV/0!</v>
      </c>
      <c r="CC35" s="109" t="e">
        <f t="shared" si="31"/>
        <v>#DIV/0!</v>
      </c>
      <c r="CD35" s="109" t="e">
        <f t="shared" si="31"/>
        <v>#DIV/0!</v>
      </c>
      <c r="CE35" s="109" t="e">
        <f t="shared" si="31"/>
        <v>#DIV/0!</v>
      </c>
      <c r="CF35" s="109" t="e">
        <f t="shared" si="31"/>
        <v>#DIV/0!</v>
      </c>
      <c r="CG35" s="109" t="e">
        <f t="shared" si="31"/>
        <v>#DIV/0!</v>
      </c>
      <c r="CH35" s="109" t="e">
        <f t="shared" si="31"/>
        <v>#DIV/0!</v>
      </c>
      <c r="CI35" s="109" t="e">
        <f t="shared" si="31"/>
        <v>#DIV/0!</v>
      </c>
      <c r="CJ35" s="109" t="e">
        <f t="shared" si="31"/>
        <v>#DIV/0!</v>
      </c>
      <c r="CK35" s="109" t="e">
        <f t="shared" si="31"/>
        <v>#DIV/0!</v>
      </c>
    </row>
    <row r="36" spans="1:89" s="109" customFormat="1" x14ac:dyDescent="0.25">
      <c r="A36" s="143" t="s">
        <v>560</v>
      </c>
      <c r="E36" s="109">
        <f>(E11-I11)/I11</f>
        <v>-0.23920088897841243</v>
      </c>
      <c r="F36" s="109">
        <f t="shared" ref="F36:BQ36" si="32">(F11-J11)/J11</f>
        <v>-0.97776105179156325</v>
      </c>
      <c r="G36" s="109">
        <f t="shared" si="32"/>
        <v>-0.98384360413361704</v>
      </c>
      <c r="H36" s="109">
        <f t="shared" si="32"/>
        <v>-0.98265450755012163</v>
      </c>
      <c r="I36" s="109" t="e">
        <f t="shared" si="32"/>
        <v>#DIV/0!</v>
      </c>
      <c r="J36" s="109" t="e">
        <f t="shared" si="32"/>
        <v>#DIV/0!</v>
      </c>
      <c r="K36" s="109" t="e">
        <f t="shared" si="32"/>
        <v>#DIV/0!</v>
      </c>
      <c r="L36" s="109" t="e">
        <f t="shared" si="32"/>
        <v>#DIV/0!</v>
      </c>
      <c r="M36" s="109">
        <f t="shared" si="32"/>
        <v>-1</v>
      </c>
      <c r="N36" s="109">
        <f t="shared" si="32"/>
        <v>-1</v>
      </c>
      <c r="O36" s="109">
        <f t="shared" si="32"/>
        <v>-1</v>
      </c>
      <c r="P36" s="109">
        <f t="shared" si="32"/>
        <v>-1</v>
      </c>
      <c r="Q36" s="109">
        <f t="shared" si="32"/>
        <v>-3.883754059468443E-2</v>
      </c>
      <c r="R36" s="109">
        <f t="shared" si="32"/>
        <v>0.75372662001719326</v>
      </c>
      <c r="S36" s="109">
        <f t="shared" si="32"/>
        <v>1.1309375975443581</v>
      </c>
      <c r="T36" s="109">
        <f t="shared" si="32"/>
        <v>1.8796653544888339E-2</v>
      </c>
      <c r="U36" s="109">
        <f t="shared" si="32"/>
        <v>5.8038581967198563E-2</v>
      </c>
      <c r="V36" s="109">
        <f t="shared" si="32"/>
        <v>4.7282279940001103E-3</v>
      </c>
      <c r="W36" s="109">
        <f t="shared" si="32"/>
        <v>-0.16594592389460089</v>
      </c>
      <c r="X36" s="109">
        <f t="shared" si="32"/>
        <v>-0.15353023459447926</v>
      </c>
      <c r="Y36" s="109">
        <f t="shared" si="32"/>
        <v>-0.91209188095362936</v>
      </c>
      <c r="Z36" s="109">
        <f t="shared" si="32"/>
        <v>-0.90915747945337011</v>
      </c>
      <c r="AA36" s="109">
        <f t="shared" si="32"/>
        <v>-0.91542528753378638</v>
      </c>
      <c r="AB36" s="109">
        <f t="shared" si="32"/>
        <v>-0.88843202921861841</v>
      </c>
      <c r="AC36" s="109">
        <f t="shared" si="32"/>
        <v>-0.28738321207874112</v>
      </c>
      <c r="AD36" s="109" t="e">
        <f t="shared" si="32"/>
        <v>#DIV/0!</v>
      </c>
      <c r="AE36" s="109" t="e">
        <f t="shared" si="32"/>
        <v>#DIV/0!</v>
      </c>
      <c r="AF36" s="109" t="e">
        <f t="shared" si="32"/>
        <v>#DIV/0!</v>
      </c>
      <c r="AG36" s="109" t="e">
        <f t="shared" si="32"/>
        <v>#DIV/0!</v>
      </c>
      <c r="AH36" s="109" t="e">
        <f t="shared" si="32"/>
        <v>#DIV/0!</v>
      </c>
      <c r="AI36" s="109" t="e">
        <f t="shared" si="32"/>
        <v>#DIV/0!</v>
      </c>
      <c r="AJ36" s="109" t="e">
        <f t="shared" si="32"/>
        <v>#DIV/0!</v>
      </c>
      <c r="AK36" s="109" t="e">
        <f t="shared" si="32"/>
        <v>#DIV/0!</v>
      </c>
      <c r="AL36" s="109" t="e">
        <f t="shared" si="32"/>
        <v>#DIV/0!</v>
      </c>
      <c r="AM36" s="109" t="e">
        <f t="shared" si="32"/>
        <v>#DIV/0!</v>
      </c>
      <c r="AN36" s="109" t="e">
        <f t="shared" si="32"/>
        <v>#DIV/0!</v>
      </c>
      <c r="AO36" s="109" t="e">
        <f t="shared" si="32"/>
        <v>#DIV/0!</v>
      </c>
      <c r="AP36" s="109" t="e">
        <f t="shared" si="32"/>
        <v>#DIV/0!</v>
      </c>
      <c r="AQ36" s="109" t="e">
        <f t="shared" si="32"/>
        <v>#DIV/0!</v>
      </c>
      <c r="AR36" s="109" t="e">
        <f t="shared" si="32"/>
        <v>#DIV/0!</v>
      </c>
      <c r="AS36" s="109" t="e">
        <f t="shared" si="32"/>
        <v>#DIV/0!</v>
      </c>
      <c r="AT36" s="109" t="e">
        <f t="shared" si="32"/>
        <v>#DIV/0!</v>
      </c>
      <c r="AU36" s="109" t="e">
        <f t="shared" si="32"/>
        <v>#DIV/0!</v>
      </c>
      <c r="AV36" s="109" t="e">
        <f t="shared" si="32"/>
        <v>#DIV/0!</v>
      </c>
      <c r="AW36" s="109" t="e">
        <f t="shared" si="32"/>
        <v>#DIV/0!</v>
      </c>
      <c r="AX36" s="109" t="e">
        <f t="shared" si="32"/>
        <v>#DIV/0!</v>
      </c>
      <c r="AY36" s="109" t="e">
        <f t="shared" si="32"/>
        <v>#DIV/0!</v>
      </c>
      <c r="AZ36" s="109" t="e">
        <f t="shared" si="32"/>
        <v>#DIV/0!</v>
      </c>
      <c r="BA36" s="109" t="e">
        <f t="shared" si="32"/>
        <v>#DIV/0!</v>
      </c>
      <c r="BB36" s="109" t="e">
        <f t="shared" si="32"/>
        <v>#DIV/0!</v>
      </c>
      <c r="BC36" s="109" t="e">
        <f t="shared" si="32"/>
        <v>#DIV/0!</v>
      </c>
      <c r="BD36" s="109" t="e">
        <f t="shared" si="32"/>
        <v>#DIV/0!</v>
      </c>
      <c r="BE36" s="109" t="e">
        <f t="shared" si="32"/>
        <v>#DIV/0!</v>
      </c>
      <c r="BF36" s="109" t="e">
        <f t="shared" si="32"/>
        <v>#DIV/0!</v>
      </c>
      <c r="BG36" s="109" t="e">
        <f t="shared" si="32"/>
        <v>#DIV/0!</v>
      </c>
      <c r="BH36" s="109" t="e">
        <f t="shared" si="32"/>
        <v>#DIV/0!</v>
      </c>
      <c r="BI36" s="109" t="e">
        <f t="shared" si="32"/>
        <v>#DIV/0!</v>
      </c>
      <c r="BJ36" s="109" t="e">
        <f t="shared" si="32"/>
        <v>#DIV/0!</v>
      </c>
      <c r="BK36" s="109" t="e">
        <f t="shared" si="32"/>
        <v>#DIV/0!</v>
      </c>
      <c r="BL36" s="109" t="e">
        <f t="shared" si="32"/>
        <v>#DIV/0!</v>
      </c>
      <c r="BM36" s="109" t="e">
        <f t="shared" si="32"/>
        <v>#DIV/0!</v>
      </c>
      <c r="BN36" s="109" t="e">
        <f t="shared" si="32"/>
        <v>#DIV/0!</v>
      </c>
      <c r="BO36" s="109" t="e">
        <f t="shared" si="32"/>
        <v>#DIV/0!</v>
      </c>
      <c r="BP36" s="109" t="e">
        <f t="shared" si="32"/>
        <v>#DIV/0!</v>
      </c>
      <c r="BQ36" s="109" t="e">
        <f t="shared" si="32"/>
        <v>#DIV/0!</v>
      </c>
      <c r="BR36" s="109" t="e">
        <f t="shared" ref="BR36:CK36" si="33">(BR11-BV11)/BV11</f>
        <v>#DIV/0!</v>
      </c>
      <c r="BS36" s="109" t="e">
        <f t="shared" si="33"/>
        <v>#DIV/0!</v>
      </c>
      <c r="BT36" s="109" t="e">
        <f t="shared" si="33"/>
        <v>#DIV/0!</v>
      </c>
      <c r="BU36" s="109" t="e">
        <f t="shared" si="33"/>
        <v>#DIV/0!</v>
      </c>
      <c r="BV36" s="109" t="e">
        <f t="shared" si="33"/>
        <v>#DIV/0!</v>
      </c>
      <c r="BW36" s="109" t="e">
        <f t="shared" si="33"/>
        <v>#DIV/0!</v>
      </c>
      <c r="BX36" s="109" t="e">
        <f t="shared" si="33"/>
        <v>#DIV/0!</v>
      </c>
      <c r="BY36" s="109" t="e">
        <f t="shared" si="33"/>
        <v>#DIV/0!</v>
      </c>
      <c r="BZ36" s="109" t="e">
        <f t="shared" si="33"/>
        <v>#DIV/0!</v>
      </c>
      <c r="CA36" s="109" t="e">
        <f t="shared" si="33"/>
        <v>#DIV/0!</v>
      </c>
      <c r="CB36" s="109" t="e">
        <f t="shared" si="33"/>
        <v>#DIV/0!</v>
      </c>
      <c r="CC36" s="109" t="e">
        <f t="shared" si="33"/>
        <v>#DIV/0!</v>
      </c>
      <c r="CD36" s="109" t="e">
        <f t="shared" si="33"/>
        <v>#DIV/0!</v>
      </c>
      <c r="CE36" s="109" t="e">
        <f t="shared" si="33"/>
        <v>#DIV/0!</v>
      </c>
      <c r="CF36" s="109" t="e">
        <f t="shared" si="33"/>
        <v>#DIV/0!</v>
      </c>
      <c r="CG36" s="109" t="e">
        <f t="shared" si="33"/>
        <v>#DIV/0!</v>
      </c>
      <c r="CH36" s="109" t="e">
        <f t="shared" si="33"/>
        <v>#DIV/0!</v>
      </c>
      <c r="CI36" s="109" t="e">
        <f t="shared" si="33"/>
        <v>#DIV/0!</v>
      </c>
      <c r="CJ36" s="109" t="e">
        <f t="shared" si="33"/>
        <v>#DIV/0!</v>
      </c>
      <c r="CK36" s="109" t="e">
        <f t="shared" si="33"/>
        <v>#DIV/0!</v>
      </c>
    </row>
    <row r="37" spans="1:89" s="111" customFormat="1" x14ac:dyDescent="0.25">
      <c r="A37" s="143" t="s">
        <v>564</v>
      </c>
      <c r="B37" s="109"/>
      <c r="C37" s="109"/>
      <c r="D37" s="109"/>
      <c r="E37" s="109">
        <f>E11/E12</f>
        <v>0.80320235316830502</v>
      </c>
      <c r="F37" s="109">
        <f t="shared" ref="F37:BQ37" si="34">F11/F12</f>
        <v>0.8126565808698416</v>
      </c>
      <c r="G37" s="109">
        <f t="shared" si="34"/>
        <v>0.85351149016809413</v>
      </c>
      <c r="H37" s="109">
        <f t="shared" si="34"/>
        <v>0.85974850685506077</v>
      </c>
      <c r="I37" s="109">
        <f t="shared" si="34"/>
        <v>0.85302199190431616</v>
      </c>
      <c r="J37" s="109">
        <f t="shared" si="34"/>
        <v>0.78909530669681804</v>
      </c>
      <c r="K37" s="109">
        <f t="shared" si="34"/>
        <v>0.72259192342129863</v>
      </c>
      <c r="L37" s="109">
        <f t="shared" si="34"/>
        <v>0.78206473906067853</v>
      </c>
      <c r="M37" s="109" t="e">
        <f t="shared" si="34"/>
        <v>#DIV/0!</v>
      </c>
      <c r="N37" s="109" t="e">
        <f t="shared" si="34"/>
        <v>#DIV/0!</v>
      </c>
      <c r="O37" s="111" t="e">
        <f t="shared" si="34"/>
        <v>#DIV/0!</v>
      </c>
      <c r="P37" s="111">
        <f t="shared" si="34"/>
        <v>0</v>
      </c>
      <c r="Q37" s="111">
        <f t="shared" si="34"/>
        <v>0.44642857142857145</v>
      </c>
      <c r="R37" s="111">
        <f t="shared" si="34"/>
        <v>0.60185496462101129</v>
      </c>
      <c r="S37" s="111">
        <f t="shared" si="34"/>
        <v>0.61192728501991112</v>
      </c>
      <c r="T37" s="111">
        <f t="shared" si="34"/>
        <v>0.28077985936537087</v>
      </c>
      <c r="U37" s="111">
        <f t="shared" si="34"/>
        <v>0.3607295132668229</v>
      </c>
      <c r="V37" s="111">
        <f t="shared" si="34"/>
        <v>0.50844386719325563</v>
      </c>
      <c r="W37" s="111">
        <f t="shared" si="34"/>
        <v>0.4426917304518338</v>
      </c>
      <c r="X37" s="111">
        <f t="shared" si="34"/>
        <v>8.6532703129739708E-2</v>
      </c>
      <c r="Y37" s="111">
        <f t="shared" si="34"/>
        <v>0.10012836121469507</v>
      </c>
      <c r="Z37" s="111">
        <f t="shared" si="34"/>
        <v>1</v>
      </c>
      <c r="AA37" s="111">
        <f t="shared" si="34"/>
        <v>1</v>
      </c>
      <c r="AB37" s="111">
        <f t="shared" si="34"/>
        <v>0.23639156518601864</v>
      </c>
      <c r="AC37" s="111">
        <f t="shared" si="34"/>
        <v>0.42218377612929436</v>
      </c>
      <c r="AD37" s="111">
        <f t="shared" si="34"/>
        <v>0.60622012361779676</v>
      </c>
      <c r="AE37" s="111">
        <f t="shared" si="34"/>
        <v>0.51587223285750017</v>
      </c>
      <c r="AF37" s="111">
        <f t="shared" si="34"/>
        <v>0.4230194116172204</v>
      </c>
      <c r="AG37" s="111">
        <f t="shared" si="34"/>
        <v>0.69158919681015107</v>
      </c>
      <c r="AH37" s="111">
        <f t="shared" si="34"/>
        <v>0</v>
      </c>
      <c r="AI37" s="111" t="e">
        <f t="shared" si="34"/>
        <v>#DIV/0!</v>
      </c>
      <c r="AJ37" s="111" t="e">
        <f t="shared" si="34"/>
        <v>#DIV/0!</v>
      </c>
      <c r="AK37" s="111" t="e">
        <f t="shared" si="34"/>
        <v>#DIV/0!</v>
      </c>
      <c r="AL37" s="111" t="e">
        <f t="shared" si="34"/>
        <v>#DIV/0!</v>
      </c>
      <c r="AM37" s="111" t="e">
        <f t="shared" si="34"/>
        <v>#DIV/0!</v>
      </c>
      <c r="AN37" s="111" t="e">
        <f t="shared" si="34"/>
        <v>#DIV/0!</v>
      </c>
      <c r="AO37" s="111" t="e">
        <f t="shared" si="34"/>
        <v>#DIV/0!</v>
      </c>
      <c r="AP37" s="111" t="e">
        <f t="shared" si="34"/>
        <v>#DIV/0!</v>
      </c>
      <c r="AQ37" s="111" t="e">
        <f t="shared" si="34"/>
        <v>#DIV/0!</v>
      </c>
      <c r="AR37" s="111" t="e">
        <f t="shared" si="34"/>
        <v>#DIV/0!</v>
      </c>
      <c r="AS37" s="111" t="e">
        <f t="shared" si="34"/>
        <v>#DIV/0!</v>
      </c>
      <c r="AT37" s="111" t="e">
        <f t="shared" si="34"/>
        <v>#DIV/0!</v>
      </c>
      <c r="AU37" s="111" t="e">
        <f t="shared" si="34"/>
        <v>#DIV/0!</v>
      </c>
      <c r="AV37" s="111" t="e">
        <f t="shared" si="34"/>
        <v>#DIV/0!</v>
      </c>
      <c r="AW37" s="111" t="e">
        <f t="shared" si="34"/>
        <v>#DIV/0!</v>
      </c>
      <c r="AX37" s="111" t="e">
        <f t="shared" si="34"/>
        <v>#DIV/0!</v>
      </c>
      <c r="AY37" s="111" t="e">
        <f t="shared" si="34"/>
        <v>#DIV/0!</v>
      </c>
      <c r="AZ37" s="111" t="e">
        <f t="shared" si="34"/>
        <v>#DIV/0!</v>
      </c>
      <c r="BA37" s="111" t="e">
        <f t="shared" si="34"/>
        <v>#DIV/0!</v>
      </c>
      <c r="BB37" s="111" t="e">
        <f t="shared" si="34"/>
        <v>#DIV/0!</v>
      </c>
      <c r="BC37" s="111" t="e">
        <f t="shared" si="34"/>
        <v>#DIV/0!</v>
      </c>
      <c r="BD37" s="111" t="e">
        <f t="shared" si="34"/>
        <v>#DIV/0!</v>
      </c>
      <c r="BE37" s="111" t="e">
        <f t="shared" si="34"/>
        <v>#DIV/0!</v>
      </c>
      <c r="BF37" s="111" t="e">
        <f t="shared" si="34"/>
        <v>#DIV/0!</v>
      </c>
      <c r="BG37" s="111" t="e">
        <f t="shared" si="34"/>
        <v>#DIV/0!</v>
      </c>
      <c r="BH37" s="111" t="e">
        <f t="shared" si="34"/>
        <v>#DIV/0!</v>
      </c>
      <c r="BI37" s="111" t="e">
        <f t="shared" si="34"/>
        <v>#DIV/0!</v>
      </c>
      <c r="BJ37" s="111" t="e">
        <f t="shared" si="34"/>
        <v>#DIV/0!</v>
      </c>
      <c r="BK37" s="111" t="e">
        <f t="shared" si="34"/>
        <v>#DIV/0!</v>
      </c>
      <c r="BL37" s="111" t="e">
        <f t="shared" si="34"/>
        <v>#DIV/0!</v>
      </c>
      <c r="BM37" s="111" t="e">
        <f t="shared" si="34"/>
        <v>#DIV/0!</v>
      </c>
      <c r="BN37" s="111" t="e">
        <f t="shared" si="34"/>
        <v>#DIV/0!</v>
      </c>
      <c r="BO37" s="111" t="e">
        <f t="shared" si="34"/>
        <v>#DIV/0!</v>
      </c>
      <c r="BP37" s="111" t="e">
        <f t="shared" si="34"/>
        <v>#DIV/0!</v>
      </c>
      <c r="BQ37" s="111" t="e">
        <f t="shared" si="34"/>
        <v>#DIV/0!</v>
      </c>
      <c r="BR37" s="111" t="e">
        <f t="shared" ref="BR37:CK37" si="35">BR11/BR12</f>
        <v>#DIV/0!</v>
      </c>
      <c r="BS37" s="111" t="e">
        <f t="shared" si="35"/>
        <v>#DIV/0!</v>
      </c>
      <c r="BT37" s="111" t="e">
        <f t="shared" si="35"/>
        <v>#DIV/0!</v>
      </c>
      <c r="BU37" s="111" t="e">
        <f t="shared" si="35"/>
        <v>#DIV/0!</v>
      </c>
      <c r="BV37" s="111" t="e">
        <f t="shared" si="35"/>
        <v>#DIV/0!</v>
      </c>
      <c r="BW37" s="111" t="e">
        <f t="shared" si="35"/>
        <v>#DIV/0!</v>
      </c>
      <c r="BX37" s="111" t="e">
        <f t="shared" si="35"/>
        <v>#DIV/0!</v>
      </c>
      <c r="BY37" s="111" t="e">
        <f t="shared" si="35"/>
        <v>#DIV/0!</v>
      </c>
      <c r="BZ37" s="111" t="e">
        <f t="shared" si="35"/>
        <v>#DIV/0!</v>
      </c>
      <c r="CA37" s="111" t="e">
        <f t="shared" si="35"/>
        <v>#DIV/0!</v>
      </c>
      <c r="CB37" s="111" t="e">
        <f t="shared" si="35"/>
        <v>#DIV/0!</v>
      </c>
      <c r="CC37" s="111" t="e">
        <f t="shared" si="35"/>
        <v>#DIV/0!</v>
      </c>
      <c r="CD37" s="111" t="e">
        <f t="shared" si="35"/>
        <v>#DIV/0!</v>
      </c>
      <c r="CE37" s="111" t="e">
        <f t="shared" si="35"/>
        <v>#DIV/0!</v>
      </c>
      <c r="CF37" s="111" t="e">
        <f t="shared" si="35"/>
        <v>#DIV/0!</v>
      </c>
      <c r="CG37" s="111" t="e">
        <f t="shared" si="35"/>
        <v>#DIV/0!</v>
      </c>
      <c r="CH37" s="111" t="e">
        <f t="shared" si="35"/>
        <v>#DIV/0!</v>
      </c>
      <c r="CI37" s="111" t="e">
        <f t="shared" si="35"/>
        <v>#DIV/0!</v>
      </c>
      <c r="CJ37" s="111" t="e">
        <f t="shared" si="35"/>
        <v>#DIV/0!</v>
      </c>
      <c r="CK37" s="111" t="e">
        <f t="shared" si="35"/>
        <v>#DIV/0!</v>
      </c>
    </row>
    <row r="38" spans="1:89" s="189" customFormat="1" x14ac:dyDescent="0.25">
      <c r="A38" s="186" t="s">
        <v>634</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551</v>
      </c>
      <c r="B39" s="223"/>
      <c r="C39" s="223"/>
      <c r="D39" s="223"/>
      <c r="E39" s="224">
        <f>E2/E9</f>
        <v>0.15357885292284826</v>
      </c>
      <c r="F39" s="224">
        <f t="shared" ref="F39:U39" si="37">F2/F9</f>
        <v>0.16132815520011692</v>
      </c>
      <c r="G39" s="224">
        <f t="shared" si="37"/>
        <v>0.1625385084853456</v>
      </c>
      <c r="H39" s="224">
        <f t="shared" si="37"/>
        <v>0.18865028255220315</v>
      </c>
      <c r="I39" s="224">
        <f t="shared" si="37"/>
        <v>0.1284124157304293</v>
      </c>
      <c r="J39" s="224">
        <f t="shared" si="37"/>
        <v>0.24507069365987452</v>
      </c>
      <c r="K39" s="224">
        <f t="shared" si="37"/>
        <v>0.11109299196335491</v>
      </c>
      <c r="L39" s="224">
        <f t="shared" si="37"/>
        <v>0.19933960892472069</v>
      </c>
      <c r="M39" s="224">
        <f t="shared" si="37"/>
        <v>0.26783983577118242</v>
      </c>
      <c r="N39" s="224">
        <f t="shared" si="37"/>
        <v>0.27769745416405095</v>
      </c>
      <c r="O39" s="224">
        <f t="shared" si="37"/>
        <v>0.26606071663712771</v>
      </c>
      <c r="P39" s="224">
        <f t="shared" si="37"/>
        <v>0.51620868628434802</v>
      </c>
      <c r="Q39" s="224">
        <f t="shared" si="37"/>
        <v>0.16590671088821501</v>
      </c>
      <c r="R39" s="224">
        <f t="shared" si="37"/>
        <v>0.19924445233761276</v>
      </c>
      <c r="S39" s="224">
        <f t="shared" si="37"/>
        <v>0.18286926844236451</v>
      </c>
      <c r="T39" s="224">
        <f t="shared" si="37"/>
        <v>0.22227144521670608</v>
      </c>
      <c r="U39" s="224">
        <f t="shared" si="37"/>
        <v>0.23483568622716416</v>
      </c>
    </row>
    <row r="40" spans="1:89" s="225" customFormat="1" x14ac:dyDescent="0.25">
      <c r="A40" s="222" t="s">
        <v>552</v>
      </c>
      <c r="B40" s="223"/>
      <c r="C40" s="223"/>
      <c r="D40" s="223"/>
      <c r="E40" s="224">
        <f>E3/E9</f>
        <v>4.7537007251373343E-3</v>
      </c>
      <c r="F40" s="224">
        <f t="shared" ref="F40:U40" si="38">F3/F9</f>
        <v>4.4248084540457729E-3</v>
      </c>
      <c r="G40" s="224">
        <f t="shared" si="38"/>
        <v>4.5011618947229364E-3</v>
      </c>
      <c r="H40" s="224">
        <f t="shared" si="38"/>
        <v>5.7299661124198932E-3</v>
      </c>
      <c r="I40" s="224">
        <f t="shared" si="38"/>
        <v>5.8686573924079015E-3</v>
      </c>
      <c r="J40" s="224">
        <f t="shared" si="38"/>
        <v>6.6060339197265205E-3</v>
      </c>
      <c r="K40" s="224">
        <f t="shared" si="38"/>
        <v>8.0252984732285971E-3</v>
      </c>
      <c r="L40" s="224">
        <f t="shared" si="38"/>
        <v>7.9527438232968491E-3</v>
      </c>
      <c r="M40" s="224">
        <f t="shared" si="38"/>
        <v>1.0446163826221454E-2</v>
      </c>
      <c r="N40" s="224">
        <f t="shared" si="38"/>
        <v>6.9879867779075074E-3</v>
      </c>
      <c r="O40" s="224">
        <f t="shared" si="38"/>
        <v>4.372754931292514E-3</v>
      </c>
      <c r="P40" s="224">
        <f t="shared" si="38"/>
        <v>4.4715405635596412E-3</v>
      </c>
      <c r="Q40" s="224">
        <f t="shared" si="38"/>
        <v>7.6891520259571118E-3</v>
      </c>
      <c r="R40" s="224">
        <f t="shared" si="38"/>
        <v>7.00606939056473E-3</v>
      </c>
      <c r="S40" s="224">
        <f t="shared" si="38"/>
        <v>7.1400803730520745E-3</v>
      </c>
      <c r="T40" s="224">
        <f t="shared" si="38"/>
        <v>6.9909413666850422E-3</v>
      </c>
      <c r="U40" s="224">
        <f t="shared" si="38"/>
        <v>7.1059441453502799E-3</v>
      </c>
    </row>
    <row r="41" spans="1:89" x14ac:dyDescent="0.25">
      <c r="A41" s="184" t="s">
        <v>557</v>
      </c>
      <c r="B41" s="64"/>
      <c r="C41" s="64"/>
      <c r="D41" s="64"/>
      <c r="E41" s="90">
        <f>E4/E9</f>
        <v>0.24880859699167507</v>
      </c>
      <c r="F41" s="90">
        <f t="shared" ref="F41:U41" si="39">F4/F9</f>
        <v>0.23215503550343533</v>
      </c>
      <c r="G41" s="90">
        <f t="shared" si="39"/>
        <v>0.22001780940812213</v>
      </c>
      <c r="H41" s="90">
        <f t="shared" si="39"/>
        <v>0.21368693944454731</v>
      </c>
      <c r="I41" s="90">
        <f t="shared" si="39"/>
        <v>0.26722930977633452</v>
      </c>
      <c r="J41" s="90">
        <f t="shared" si="39"/>
        <v>0.23051376192618736</v>
      </c>
      <c r="K41" s="90">
        <f t="shared" si="39"/>
        <v>0.28469177551003977</v>
      </c>
      <c r="L41" s="90">
        <f t="shared" si="39"/>
        <v>0.22581501444467536</v>
      </c>
      <c r="M41" s="90">
        <f t="shared" si="39"/>
        <v>0.27657383558704546</v>
      </c>
      <c r="N41" s="214">
        <f t="shared" si="39"/>
        <v>0.27753000922965193</v>
      </c>
      <c r="O41" s="214">
        <f t="shared" si="39"/>
        <v>0.30230522398052384</v>
      </c>
      <c r="P41" s="214">
        <f t="shared" si="39"/>
        <v>9.5450481974172829E-2</v>
      </c>
      <c r="Q41" s="214">
        <f t="shared" si="39"/>
        <v>0.21864784919881758</v>
      </c>
      <c r="R41" s="214">
        <f t="shared" si="39"/>
        <v>0.2121320750482418</v>
      </c>
      <c r="S41" s="214">
        <f t="shared" si="39"/>
        <v>0.22507107042366686</v>
      </c>
      <c r="T41" s="214">
        <f t="shared" si="39"/>
        <v>0.21225088345622703</v>
      </c>
      <c r="U41" s="214">
        <f t="shared" si="39"/>
        <v>0.19810744389346863</v>
      </c>
    </row>
    <row r="42" spans="1:89" x14ac:dyDescent="0.25">
      <c r="A42" s="184" t="s">
        <v>334</v>
      </c>
      <c r="B42" s="64"/>
      <c r="C42" s="64"/>
      <c r="D42" s="64"/>
      <c r="E42" s="90">
        <f>E5/E9</f>
        <v>0.35885720474558513</v>
      </c>
      <c r="F42" s="90">
        <f t="shared" ref="F42:U42" si="40">F5/F9</f>
        <v>0.35329073890561763</v>
      </c>
      <c r="G42" s="90">
        <f t="shared" si="40"/>
        <v>0.34724691622323989</v>
      </c>
      <c r="H42" s="90">
        <f t="shared" si="40"/>
        <v>0.32422642792294082</v>
      </c>
      <c r="I42" s="90">
        <f t="shared" si="40"/>
        <v>0.37153906371108031</v>
      </c>
      <c r="J42" s="90">
        <f t="shared" si="40"/>
        <v>0.32987437394185742</v>
      </c>
      <c r="K42" s="90">
        <f t="shared" si="40"/>
        <v>0.40613241098859648</v>
      </c>
      <c r="L42" s="90">
        <f t="shared" si="40"/>
        <v>0.35588936691883444</v>
      </c>
      <c r="M42" s="90">
        <f t="shared" si="40"/>
        <v>0.43758383422786573</v>
      </c>
      <c r="N42" s="214">
        <f t="shared" si="40"/>
        <v>0.42948578347539212</v>
      </c>
      <c r="O42" s="214">
        <f t="shared" si="40"/>
        <v>0.42448079413112111</v>
      </c>
      <c r="P42" s="214">
        <f t="shared" si="40"/>
        <v>0.1753532665451959</v>
      </c>
      <c r="Q42" s="214">
        <f t="shared" si="40"/>
        <v>0.34904587642318541</v>
      </c>
      <c r="R42" s="214">
        <f t="shared" si="40"/>
        <v>0.35334915184845439</v>
      </c>
      <c r="S42" s="214">
        <f t="shared" si="40"/>
        <v>0.33979569597493453</v>
      </c>
      <c r="T42" s="214">
        <f t="shared" si="40"/>
        <v>0.33142865636195751</v>
      </c>
      <c r="U42" s="214">
        <f t="shared" si="40"/>
        <v>0.32276708942411114</v>
      </c>
    </row>
    <row r="43" spans="1:89" x14ac:dyDescent="0.25">
      <c r="A43" s="184" t="s">
        <v>335</v>
      </c>
      <c r="B43" s="64"/>
      <c r="C43" s="64"/>
      <c r="D43" s="64"/>
      <c r="E43" s="90">
        <f>E6/E9</f>
        <v>0.11004860775391004</v>
      </c>
      <c r="F43" s="90">
        <f t="shared" ref="F43:U43" si="41">F6/F9</f>
        <v>0.12113570340218228</v>
      </c>
      <c r="G43" s="90">
        <f t="shared" si="41"/>
        <v>0.1272291068151177</v>
      </c>
      <c r="H43" s="90">
        <f t="shared" si="41"/>
        <v>0.11053948847839354</v>
      </c>
      <c r="I43" s="90">
        <f t="shared" si="41"/>
        <v>0.10430975393474573</v>
      </c>
      <c r="J43" s="90">
        <f t="shared" si="41"/>
        <v>9.9360612015670063E-2</v>
      </c>
      <c r="K43" s="90">
        <f t="shared" si="41"/>
        <v>0.12144063547855671</v>
      </c>
      <c r="L43" s="90">
        <f t="shared" si="41"/>
        <v>0.13007435247415905</v>
      </c>
      <c r="M43" s="90">
        <f t="shared" si="41"/>
        <v>0.16100999864082027</v>
      </c>
      <c r="N43" s="214">
        <f t="shared" si="41"/>
        <v>0.15195577424574022</v>
      </c>
      <c r="O43" s="214">
        <f t="shared" si="41"/>
        <v>0.12217557015059725</v>
      </c>
      <c r="P43" s="214">
        <f t="shared" si="41"/>
        <v>7.9902784571023053E-2</v>
      </c>
      <c r="Q43" s="214">
        <f t="shared" si="41"/>
        <v>0.1303980272243678</v>
      </c>
      <c r="R43" s="214">
        <f t="shared" si="41"/>
        <v>0.14121707680021262</v>
      </c>
      <c r="S43" s="214">
        <f t="shared" si="41"/>
        <v>0.11472462555126767</v>
      </c>
      <c r="T43" s="214">
        <f t="shared" si="41"/>
        <v>0.11917777290573049</v>
      </c>
      <c r="U43" s="214">
        <f t="shared" si="41"/>
        <v>0.12465964553064249</v>
      </c>
    </row>
    <row r="44" spans="1:89" x14ac:dyDescent="0.25">
      <c r="A44" s="184" t="s">
        <v>336</v>
      </c>
      <c r="B44" s="64"/>
      <c r="C44" s="64"/>
      <c r="D44" s="64"/>
      <c r="E44" s="90">
        <f>E7/E9</f>
        <v>0.59285884936033928</v>
      </c>
      <c r="F44" s="90">
        <f t="shared" ref="F44:U44" si="42">F7/F9</f>
        <v>0.602092000842402</v>
      </c>
      <c r="G44" s="90">
        <f t="shared" si="42"/>
        <v>0.61294252021180928</v>
      </c>
      <c r="H44" s="90">
        <f t="shared" si="42"/>
        <v>0.59193281189082969</v>
      </c>
      <c r="I44" s="90">
        <f t="shared" si="42"/>
        <v>0.59848961710082815</v>
      </c>
      <c r="J44" s="90">
        <f t="shared" si="42"/>
        <v>0.51780951049421164</v>
      </c>
      <c r="K44" s="90">
        <f t="shared" si="42"/>
        <v>0.59618993405337684</v>
      </c>
      <c r="L44" s="90">
        <f t="shared" si="42"/>
        <v>0.56689263280730706</v>
      </c>
      <c r="M44" s="90">
        <f t="shared" si="42"/>
        <v>0.44514016481555063</v>
      </c>
      <c r="N44" s="214">
        <f t="shared" si="42"/>
        <v>0.43778454982838949</v>
      </c>
      <c r="O44" s="214">
        <f t="shared" si="42"/>
        <v>0.42726130445105587</v>
      </c>
      <c r="P44" s="214">
        <f t="shared" si="42"/>
        <v>0.3838692911779194</v>
      </c>
      <c r="Q44" s="214">
        <f t="shared" si="42"/>
        <v>0.60775628788701042</v>
      </c>
      <c r="R44" s="214">
        <f t="shared" si="42"/>
        <v>0.58161740322358069</v>
      </c>
      <c r="S44" s="214">
        <f t="shared" si="42"/>
        <v>0.58491958076091655</v>
      </c>
      <c r="T44" s="214">
        <f t="shared" si="42"/>
        <v>0.55848672996038207</v>
      </c>
      <c r="U44" s="214">
        <f t="shared" si="42"/>
        <v>0.55995092573401695</v>
      </c>
    </row>
    <row r="45" spans="1:89" s="225" customFormat="1" x14ac:dyDescent="0.25">
      <c r="A45" s="222" t="s">
        <v>337</v>
      </c>
      <c r="B45" s="223"/>
      <c r="C45" s="223"/>
      <c r="D45" s="223"/>
      <c r="E45" s="224">
        <f>E8/E9</f>
        <v>0.8416674463520144</v>
      </c>
      <c r="F45" s="224">
        <f t="shared" ref="F45:U45" si="43">F8/F9</f>
        <v>0.8342470363458373</v>
      </c>
      <c r="G45" s="224">
        <f t="shared" si="43"/>
        <v>0.83296032961993149</v>
      </c>
      <c r="H45" s="224">
        <f t="shared" si="43"/>
        <v>0.805619751335377</v>
      </c>
      <c r="I45" s="224">
        <f t="shared" si="43"/>
        <v>0.86571892687716279</v>
      </c>
      <c r="J45" s="224">
        <f t="shared" si="43"/>
        <v>0.74832327242039898</v>
      </c>
      <c r="K45" s="224">
        <f t="shared" si="43"/>
        <v>0.88088170956341649</v>
      </c>
      <c r="L45" s="224">
        <f t="shared" si="43"/>
        <v>0.79270764725198239</v>
      </c>
      <c r="M45" s="224">
        <f t="shared" si="43"/>
        <v>0.72171400040259603</v>
      </c>
      <c r="N45" s="224">
        <f t="shared" si="43"/>
        <v>0.71531455905804142</v>
      </c>
      <c r="O45" s="224">
        <f t="shared" si="43"/>
        <v>0.72956652843157976</v>
      </c>
      <c r="P45" s="224">
        <f t="shared" si="43"/>
        <v>0.47931977315209229</v>
      </c>
      <c r="Q45" s="224">
        <f t="shared" si="43"/>
        <v>0.82640413708582794</v>
      </c>
      <c r="R45" s="224">
        <f t="shared" si="43"/>
        <v>0.79374947827182252</v>
      </c>
      <c r="S45" s="224">
        <f t="shared" si="43"/>
        <v>0.80999065118458347</v>
      </c>
      <c r="T45" s="224">
        <f t="shared" si="43"/>
        <v>0.77073761341660896</v>
      </c>
      <c r="U45" s="224">
        <f t="shared" si="43"/>
        <v>0.75805836962748563</v>
      </c>
    </row>
    <row r="46" spans="1:89" x14ac:dyDescent="0.25">
      <c r="A46" s="185"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339</v>
      </c>
      <c r="B47" s="64"/>
      <c r="C47" s="64"/>
      <c r="D47" s="64"/>
      <c r="E47" s="90">
        <f>E10/E14</f>
        <v>4.7288802299683906E-4</v>
      </c>
      <c r="F47" s="90">
        <f t="shared" ref="F47:U47" si="45">F10/F14</f>
        <v>4.8603530431308114E-4</v>
      </c>
      <c r="G47" s="90">
        <f t="shared" si="45"/>
        <v>4.0685309435066632E-4</v>
      </c>
      <c r="H47" s="90">
        <f t="shared" si="45"/>
        <v>4.058424851320076E-4</v>
      </c>
      <c r="I47" s="90">
        <f t="shared" si="45"/>
        <v>4.6091530307016358E-4</v>
      </c>
      <c r="J47" s="90">
        <f t="shared" si="45"/>
        <v>2.3898948138650948E-2</v>
      </c>
      <c r="K47" s="90">
        <f t="shared" si="45"/>
        <v>6.3447570619852595E-2</v>
      </c>
      <c r="L47" s="90">
        <f t="shared" si="45"/>
        <v>4.6441166297557609E-2</v>
      </c>
      <c r="M47" s="90">
        <f t="shared" si="45"/>
        <v>0</v>
      </c>
      <c r="N47" s="214">
        <f t="shared" si="45"/>
        <v>0</v>
      </c>
      <c r="O47" s="214">
        <f t="shared" si="45"/>
        <v>0</v>
      </c>
      <c r="P47" s="214">
        <f t="shared" si="45"/>
        <v>2.6316913005462786E-3</v>
      </c>
      <c r="Q47" s="214">
        <f t="shared" si="45"/>
        <v>8.767947260532493E-3</v>
      </c>
      <c r="R47" s="214">
        <f t="shared" si="45"/>
        <v>8.6413561325381447E-3</v>
      </c>
      <c r="S47" s="214">
        <f t="shared" si="45"/>
        <v>8.8066466200837062E-3</v>
      </c>
      <c r="T47" s="214">
        <f t="shared" si="45"/>
        <v>1.7809899847848403E-2</v>
      </c>
      <c r="U47" s="214">
        <f t="shared" si="45"/>
        <v>1.3427441316165344E-2</v>
      </c>
    </row>
    <row r="48" spans="1:89" x14ac:dyDescent="0.25">
      <c r="A48" s="184" t="s">
        <v>340</v>
      </c>
      <c r="B48" s="64"/>
      <c r="C48" s="64"/>
      <c r="D48" s="64"/>
      <c r="E48" s="90">
        <f>E11/E14</f>
        <v>1.9300270047486997E-3</v>
      </c>
      <c r="F48" s="90">
        <f t="shared" ref="F48:U48" si="46">F11/F14</f>
        <v>2.1083195258152416E-3</v>
      </c>
      <c r="G48" s="90">
        <f t="shared" si="46"/>
        <v>2.3705189658711633E-3</v>
      </c>
      <c r="H48" s="90">
        <f t="shared" si="46"/>
        <v>2.4878342667625378E-3</v>
      </c>
      <c r="I48" s="90">
        <f t="shared" si="46"/>
        <v>2.6750321018647561E-3</v>
      </c>
      <c r="J48" s="90">
        <f t="shared" si="46"/>
        <v>8.9417392831985895E-2</v>
      </c>
      <c r="K48" s="90">
        <f t="shared" si="46"/>
        <v>0.16526808684173669</v>
      </c>
      <c r="L48" s="90">
        <f t="shared" si="46"/>
        <v>0.1666549894020378</v>
      </c>
      <c r="M48" s="90">
        <f t="shared" si="46"/>
        <v>0</v>
      </c>
      <c r="N48" s="214">
        <f t="shared" si="46"/>
        <v>0</v>
      </c>
      <c r="O48" s="214">
        <f t="shared" si="46"/>
        <v>0</v>
      </c>
      <c r="P48" s="214">
        <f t="shared" si="46"/>
        <v>0</v>
      </c>
      <c r="Q48" s="214">
        <f t="shared" si="46"/>
        <v>7.0709252101068491E-3</v>
      </c>
      <c r="R48" s="214">
        <f t="shared" si="46"/>
        <v>1.3062684768819721E-2</v>
      </c>
      <c r="S48" s="214">
        <f t="shared" si="46"/>
        <v>1.388664327156857E-2</v>
      </c>
      <c r="T48" s="214">
        <f t="shared" si="46"/>
        <v>6.9528936858994318E-3</v>
      </c>
      <c r="U48" s="214">
        <f t="shared" si="46"/>
        <v>7.5768778176378351E-3</v>
      </c>
    </row>
    <row r="49" spans="1:21" x14ac:dyDescent="0.25">
      <c r="A49" s="184" t="s">
        <v>341</v>
      </c>
      <c r="B49" s="64"/>
      <c r="C49" s="64"/>
      <c r="D49" s="64"/>
      <c r="E49" s="90">
        <f>E12/E14</f>
        <v>2.4029150277455388E-3</v>
      </c>
      <c r="F49" s="90">
        <f t="shared" ref="F49:U49" si="47">F12/F14</f>
        <v>2.5943548301283225E-3</v>
      </c>
      <c r="G49" s="90">
        <f t="shared" si="47"/>
        <v>2.7773720602218294E-3</v>
      </c>
      <c r="H49" s="90">
        <f t="shared" si="47"/>
        <v>2.8936767518945453E-3</v>
      </c>
      <c r="I49" s="90">
        <f t="shared" si="47"/>
        <v>3.1359474049349198E-3</v>
      </c>
      <c r="J49" s="90">
        <f t="shared" si="47"/>
        <v>0.11331634097063685</v>
      </c>
      <c r="K49" s="90">
        <f t="shared" si="47"/>
        <v>0.22871565746158928</v>
      </c>
      <c r="L49" s="90">
        <f t="shared" si="47"/>
        <v>0.21309615569959542</v>
      </c>
      <c r="M49" s="90">
        <f t="shared" si="47"/>
        <v>0</v>
      </c>
      <c r="N49" s="214">
        <f t="shared" si="47"/>
        <v>0</v>
      </c>
      <c r="O49" s="214">
        <f t="shared" si="47"/>
        <v>0</v>
      </c>
      <c r="P49" s="214">
        <f t="shared" si="47"/>
        <v>2.6316913005462786E-3</v>
      </c>
      <c r="Q49" s="214">
        <f t="shared" si="47"/>
        <v>1.583887247063934E-2</v>
      </c>
      <c r="R49" s="214">
        <f t="shared" si="47"/>
        <v>2.1704040901357868E-2</v>
      </c>
      <c r="S49" s="214">
        <f t="shared" si="47"/>
        <v>2.2693289891652278E-2</v>
      </c>
      <c r="T49" s="214">
        <f t="shared" si="47"/>
        <v>2.4762793533747832E-2</v>
      </c>
      <c r="U49" s="214">
        <f t="shared" si="47"/>
        <v>2.1004319133803181E-2</v>
      </c>
    </row>
    <row r="50" spans="1:21" x14ac:dyDescent="0.25">
      <c r="A50" s="184" t="s">
        <v>345</v>
      </c>
      <c r="B50" s="64"/>
      <c r="C50" s="64"/>
      <c r="D50" s="64"/>
      <c r="E50" s="90">
        <f>E13/E14</f>
        <v>0.99759708497225441</v>
      </c>
      <c r="F50" s="90">
        <f t="shared" ref="F50:U50" si="48">F13/F14</f>
        <v>0.99740564516987162</v>
      </c>
      <c r="G50" s="90">
        <f t="shared" si="48"/>
        <v>0.99722262793977823</v>
      </c>
      <c r="H50" s="90">
        <f t="shared" si="48"/>
        <v>0.99710632324810544</v>
      </c>
      <c r="I50" s="90">
        <f t="shared" si="48"/>
        <v>0.99686405259506505</v>
      </c>
      <c r="J50" s="90">
        <f t="shared" si="48"/>
        <v>0.88668365902936319</v>
      </c>
      <c r="K50" s="90">
        <f t="shared" si="48"/>
        <v>0.77128434253841072</v>
      </c>
      <c r="L50" s="90">
        <f t="shared" si="48"/>
        <v>0.78690384430040461</v>
      </c>
      <c r="M50" s="90">
        <f t="shared" si="48"/>
        <v>1</v>
      </c>
      <c r="N50" s="214">
        <f t="shared" si="48"/>
        <v>1</v>
      </c>
      <c r="O50" s="214">
        <f t="shared" si="48"/>
        <v>1</v>
      </c>
      <c r="P50" s="214">
        <f t="shared" si="48"/>
        <v>0.9973683086994537</v>
      </c>
      <c r="Q50" s="214">
        <f t="shared" si="48"/>
        <v>0.98416112752936069</v>
      </c>
      <c r="R50" s="214">
        <f t="shared" si="48"/>
        <v>0.9782959590986422</v>
      </c>
      <c r="S50" s="214">
        <f t="shared" si="48"/>
        <v>0.97730671010834769</v>
      </c>
      <c r="T50" s="214">
        <f t="shared" si="48"/>
        <v>0.97523720646625212</v>
      </c>
      <c r="U50" s="214">
        <f t="shared" si="48"/>
        <v>0.97899568086619682</v>
      </c>
    </row>
    <row r="51" spans="1:21" x14ac:dyDescent="0.25">
      <c r="A51" s="185"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643</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647</v>
      </c>
      <c r="B55" s="64"/>
      <c r="C55" s="64"/>
      <c r="D55" s="64"/>
      <c r="E55" s="214">
        <f>E2/E9</f>
        <v>0.15357885292284826</v>
      </c>
      <c r="F55" s="214">
        <f t="shared" ref="F55:U55" si="51">F2/F9</f>
        <v>0.16132815520011692</v>
      </c>
      <c r="G55" s="214">
        <f t="shared" si="51"/>
        <v>0.1625385084853456</v>
      </c>
      <c r="H55" s="214">
        <f t="shared" si="51"/>
        <v>0.18865028255220315</v>
      </c>
      <c r="I55" s="214">
        <f t="shared" si="51"/>
        <v>0.1284124157304293</v>
      </c>
      <c r="J55" s="214">
        <f t="shared" si="51"/>
        <v>0.24507069365987452</v>
      </c>
      <c r="K55" s="214">
        <f t="shared" si="51"/>
        <v>0.11109299196335491</v>
      </c>
      <c r="L55" s="214">
        <f t="shared" si="51"/>
        <v>0.19933960892472069</v>
      </c>
      <c r="M55" s="214">
        <f t="shared" si="51"/>
        <v>0.26783983577118242</v>
      </c>
      <c r="N55" s="214">
        <f t="shared" si="51"/>
        <v>0.27769745416405095</v>
      </c>
      <c r="O55" s="214">
        <f t="shared" si="51"/>
        <v>0.26606071663712771</v>
      </c>
      <c r="P55" s="214">
        <f t="shared" si="51"/>
        <v>0.51620868628434802</v>
      </c>
      <c r="Q55" s="214">
        <f t="shared" si="51"/>
        <v>0.16590671088821501</v>
      </c>
      <c r="R55" s="214">
        <f t="shared" si="51"/>
        <v>0.19924445233761276</v>
      </c>
      <c r="S55" s="214">
        <f t="shared" si="51"/>
        <v>0.18286926844236451</v>
      </c>
      <c r="T55" s="214">
        <f t="shared" si="51"/>
        <v>0.22227144521670608</v>
      </c>
      <c r="U55" s="214">
        <f t="shared" si="51"/>
        <v>0.23483568622716416</v>
      </c>
    </row>
    <row r="56" spans="1:21" x14ac:dyDescent="0.25">
      <c r="A56" s="184" t="s">
        <v>648</v>
      </c>
      <c r="B56" s="64"/>
      <c r="C56" s="64"/>
      <c r="D56" s="64"/>
      <c r="E56" s="214">
        <f>E4/E9</f>
        <v>0.24880859699167507</v>
      </c>
      <c r="F56" s="214">
        <f t="shared" ref="F56:U56" si="52">F4/F9</f>
        <v>0.23215503550343533</v>
      </c>
      <c r="G56" s="214">
        <f t="shared" si="52"/>
        <v>0.22001780940812213</v>
      </c>
      <c r="H56" s="214">
        <f t="shared" si="52"/>
        <v>0.21368693944454731</v>
      </c>
      <c r="I56" s="214">
        <f t="shared" si="52"/>
        <v>0.26722930977633452</v>
      </c>
      <c r="J56" s="214">
        <f t="shared" si="52"/>
        <v>0.23051376192618736</v>
      </c>
      <c r="K56" s="214">
        <f t="shared" si="52"/>
        <v>0.28469177551003977</v>
      </c>
      <c r="L56" s="214">
        <f t="shared" si="52"/>
        <v>0.22581501444467536</v>
      </c>
      <c r="M56" s="214">
        <f t="shared" si="52"/>
        <v>0.27657383558704546</v>
      </c>
      <c r="N56" s="214">
        <f t="shared" si="52"/>
        <v>0.27753000922965193</v>
      </c>
      <c r="O56" s="214">
        <f t="shared" si="52"/>
        <v>0.30230522398052384</v>
      </c>
      <c r="P56" s="214">
        <f t="shared" si="52"/>
        <v>9.5450481974172829E-2</v>
      </c>
      <c r="Q56" s="214">
        <f t="shared" si="52"/>
        <v>0.21864784919881758</v>
      </c>
      <c r="R56" s="214">
        <f t="shared" si="52"/>
        <v>0.2121320750482418</v>
      </c>
      <c r="S56" s="214">
        <f t="shared" si="52"/>
        <v>0.22507107042366686</v>
      </c>
      <c r="T56" s="214">
        <f t="shared" si="52"/>
        <v>0.21225088345622703</v>
      </c>
      <c r="U56" s="214">
        <f t="shared" si="52"/>
        <v>0.19810744389346863</v>
      </c>
    </row>
    <row r="57" spans="1:21" x14ac:dyDescent="0.25">
      <c r="A57" s="184" t="s">
        <v>649</v>
      </c>
      <c r="B57" s="64"/>
      <c r="C57" s="64"/>
      <c r="D57" s="64"/>
      <c r="E57" s="214">
        <f>E5/E9</f>
        <v>0.35885720474558513</v>
      </c>
      <c r="F57" s="214">
        <f t="shared" ref="F57:U57" si="53">F5/F9</f>
        <v>0.35329073890561763</v>
      </c>
      <c r="G57" s="214">
        <f t="shared" si="53"/>
        <v>0.34724691622323989</v>
      </c>
      <c r="H57" s="214">
        <f t="shared" si="53"/>
        <v>0.32422642792294082</v>
      </c>
      <c r="I57" s="214">
        <f t="shared" si="53"/>
        <v>0.37153906371108031</v>
      </c>
      <c r="J57" s="214">
        <f t="shared" si="53"/>
        <v>0.32987437394185742</v>
      </c>
      <c r="K57" s="214">
        <f t="shared" si="53"/>
        <v>0.40613241098859648</v>
      </c>
      <c r="L57" s="214">
        <f t="shared" si="53"/>
        <v>0.35588936691883444</v>
      </c>
      <c r="M57" s="214">
        <f t="shared" si="53"/>
        <v>0.43758383422786573</v>
      </c>
      <c r="N57" s="214">
        <f t="shared" si="53"/>
        <v>0.42948578347539212</v>
      </c>
      <c r="O57" s="214">
        <f t="shared" si="53"/>
        <v>0.42448079413112111</v>
      </c>
      <c r="P57" s="214">
        <f t="shared" si="53"/>
        <v>0.1753532665451959</v>
      </c>
      <c r="Q57" s="214">
        <f t="shared" si="53"/>
        <v>0.34904587642318541</v>
      </c>
      <c r="R57" s="214">
        <f t="shared" si="53"/>
        <v>0.35334915184845439</v>
      </c>
      <c r="S57" s="214">
        <f t="shared" si="53"/>
        <v>0.33979569597493453</v>
      </c>
      <c r="T57" s="214">
        <f t="shared" si="53"/>
        <v>0.33142865636195751</v>
      </c>
      <c r="U57" s="214">
        <f t="shared" si="53"/>
        <v>0.32276708942411114</v>
      </c>
    </row>
    <row r="58" spans="1:21" x14ac:dyDescent="0.25">
      <c r="A58" s="184" t="s">
        <v>650</v>
      </c>
      <c r="B58" s="64"/>
      <c r="C58" s="64"/>
      <c r="D58" s="64"/>
      <c r="E58" s="214">
        <f>E6/E9</f>
        <v>0.11004860775391004</v>
      </c>
      <c r="F58" s="214">
        <f t="shared" ref="F58:U58" si="54">F6/F9</f>
        <v>0.12113570340218228</v>
      </c>
      <c r="G58" s="214">
        <f t="shared" si="54"/>
        <v>0.1272291068151177</v>
      </c>
      <c r="H58" s="214">
        <f t="shared" si="54"/>
        <v>0.11053948847839354</v>
      </c>
      <c r="I58" s="214">
        <f t="shared" si="54"/>
        <v>0.10430975393474573</v>
      </c>
      <c r="J58" s="214">
        <f t="shared" si="54"/>
        <v>9.9360612015670063E-2</v>
      </c>
      <c r="K58" s="214">
        <f t="shared" si="54"/>
        <v>0.12144063547855671</v>
      </c>
      <c r="L58" s="214">
        <f t="shared" si="54"/>
        <v>0.13007435247415905</v>
      </c>
      <c r="M58" s="214">
        <f t="shared" si="54"/>
        <v>0.16100999864082027</v>
      </c>
      <c r="N58" s="214">
        <f t="shared" si="54"/>
        <v>0.15195577424574022</v>
      </c>
      <c r="O58" s="214">
        <f t="shared" si="54"/>
        <v>0.12217557015059725</v>
      </c>
      <c r="P58" s="214">
        <f t="shared" si="54"/>
        <v>7.9902784571023053E-2</v>
      </c>
      <c r="Q58" s="214">
        <f t="shared" si="54"/>
        <v>0.1303980272243678</v>
      </c>
      <c r="R58" s="214">
        <f t="shared" si="54"/>
        <v>0.14121707680021262</v>
      </c>
      <c r="S58" s="214">
        <f t="shared" si="54"/>
        <v>0.11472462555126767</v>
      </c>
      <c r="T58" s="214">
        <f t="shared" si="54"/>
        <v>0.11917777290573049</v>
      </c>
      <c r="U58" s="214">
        <f t="shared" si="54"/>
        <v>0.12465964553064249</v>
      </c>
    </row>
    <row r="59" spans="1:21" s="225" customFormat="1" x14ac:dyDescent="0.25">
      <c r="A59" s="227" t="s">
        <v>644</v>
      </c>
      <c r="B59" s="223"/>
      <c r="C59" s="223"/>
      <c r="D59" s="223"/>
      <c r="E59" s="224">
        <f>E55+E56</f>
        <v>0.40238744991452335</v>
      </c>
      <c r="F59" s="224">
        <f t="shared" ref="F59:U59" si="55">F55+F56</f>
        <v>0.39348319070355225</v>
      </c>
      <c r="G59" s="224">
        <f t="shared" si="55"/>
        <v>0.38255631789346772</v>
      </c>
      <c r="H59" s="224">
        <f t="shared" si="55"/>
        <v>0.40233722199675048</v>
      </c>
      <c r="I59" s="224">
        <f t="shared" si="55"/>
        <v>0.3956417255067638</v>
      </c>
      <c r="J59" s="224">
        <f t="shared" si="55"/>
        <v>0.47558445558606188</v>
      </c>
      <c r="K59" s="224">
        <f t="shared" si="55"/>
        <v>0.39578476747339469</v>
      </c>
      <c r="L59" s="224">
        <f t="shared" si="55"/>
        <v>0.42515462336939602</v>
      </c>
      <c r="M59" s="224">
        <f t="shared" si="55"/>
        <v>0.54441367135822794</v>
      </c>
      <c r="N59" s="224">
        <f t="shared" si="55"/>
        <v>0.55522746339370288</v>
      </c>
      <c r="O59" s="224">
        <f t="shared" si="55"/>
        <v>0.56836594061765155</v>
      </c>
      <c r="P59" s="224">
        <f t="shared" si="55"/>
        <v>0.61165916825852085</v>
      </c>
      <c r="Q59" s="224">
        <f t="shared" si="55"/>
        <v>0.38455456008703259</v>
      </c>
      <c r="R59" s="224">
        <f t="shared" si="55"/>
        <v>0.41137652738585456</v>
      </c>
      <c r="S59" s="224">
        <f t="shared" si="55"/>
        <v>0.40794033886603137</v>
      </c>
      <c r="T59" s="224">
        <f t="shared" si="55"/>
        <v>0.43452232867293311</v>
      </c>
      <c r="U59" s="224">
        <f t="shared" si="55"/>
        <v>0.43294313012063279</v>
      </c>
    </row>
    <row r="60" spans="1:21" x14ac:dyDescent="0.25">
      <c r="A60" s="184" t="s">
        <v>651</v>
      </c>
      <c r="B60" s="64"/>
      <c r="C60" s="64"/>
      <c r="D60" s="64"/>
      <c r="E60" s="214">
        <f>E3/E9</f>
        <v>4.7537007251373343E-3</v>
      </c>
      <c r="F60" s="214">
        <f t="shared" ref="F60:U60" si="56">F3/F9</f>
        <v>4.4248084540457729E-3</v>
      </c>
      <c r="G60" s="214">
        <f t="shared" si="56"/>
        <v>4.5011618947229364E-3</v>
      </c>
      <c r="H60" s="214">
        <f t="shared" si="56"/>
        <v>5.7299661124198932E-3</v>
      </c>
      <c r="I60" s="214">
        <f t="shared" si="56"/>
        <v>5.8686573924079015E-3</v>
      </c>
      <c r="J60" s="214">
        <f t="shared" si="56"/>
        <v>6.6060339197265205E-3</v>
      </c>
      <c r="K60" s="214">
        <f t="shared" si="56"/>
        <v>8.0252984732285971E-3</v>
      </c>
      <c r="L60" s="214">
        <f t="shared" si="56"/>
        <v>7.9527438232968491E-3</v>
      </c>
      <c r="M60" s="214">
        <f t="shared" si="56"/>
        <v>1.0446163826221454E-2</v>
      </c>
      <c r="N60" s="214">
        <f t="shared" si="56"/>
        <v>6.9879867779075074E-3</v>
      </c>
      <c r="O60" s="214">
        <f t="shared" si="56"/>
        <v>4.372754931292514E-3</v>
      </c>
      <c r="P60" s="214">
        <f t="shared" si="56"/>
        <v>4.4715405635596412E-3</v>
      </c>
      <c r="Q60" s="214">
        <f t="shared" si="56"/>
        <v>7.6891520259571118E-3</v>
      </c>
      <c r="R60" s="214">
        <f t="shared" si="56"/>
        <v>7.00606939056473E-3</v>
      </c>
      <c r="S60" s="214">
        <f t="shared" si="56"/>
        <v>7.1400803730520745E-3</v>
      </c>
      <c r="T60" s="214">
        <f t="shared" si="56"/>
        <v>6.9909413666850422E-3</v>
      </c>
      <c r="U60" s="214">
        <f t="shared" si="56"/>
        <v>7.1059441453502799E-3</v>
      </c>
    </row>
    <row r="61" spans="1:21" x14ac:dyDescent="0.25">
      <c r="A61" s="184" t="s">
        <v>652</v>
      </c>
      <c r="B61" s="64"/>
      <c r="C61" s="64"/>
      <c r="D61" s="64"/>
      <c r="E61" s="214">
        <f>E7/E9</f>
        <v>0.59285884936033928</v>
      </c>
      <c r="F61" s="214">
        <f t="shared" ref="F61:U61" si="57">F7/F9</f>
        <v>0.602092000842402</v>
      </c>
      <c r="G61" s="214">
        <f t="shared" si="57"/>
        <v>0.61294252021180928</v>
      </c>
      <c r="H61" s="214">
        <f t="shared" si="57"/>
        <v>0.59193281189082969</v>
      </c>
      <c r="I61" s="214">
        <f t="shared" si="57"/>
        <v>0.59848961710082815</v>
      </c>
      <c r="J61" s="214">
        <f t="shared" si="57"/>
        <v>0.51780951049421164</v>
      </c>
      <c r="K61" s="214">
        <f t="shared" si="57"/>
        <v>0.59618993405337684</v>
      </c>
      <c r="L61" s="214">
        <f t="shared" si="57"/>
        <v>0.56689263280730706</v>
      </c>
      <c r="M61" s="214">
        <f t="shared" si="57"/>
        <v>0.44514016481555063</v>
      </c>
      <c r="N61" s="214">
        <f t="shared" si="57"/>
        <v>0.43778454982838949</v>
      </c>
      <c r="O61" s="214">
        <f t="shared" si="57"/>
        <v>0.42726130445105587</v>
      </c>
      <c r="P61" s="214">
        <f t="shared" si="57"/>
        <v>0.3838692911779194</v>
      </c>
      <c r="Q61" s="214">
        <f t="shared" si="57"/>
        <v>0.60775628788701042</v>
      </c>
      <c r="R61" s="214">
        <f t="shared" si="57"/>
        <v>0.58161740322358069</v>
      </c>
      <c r="S61" s="214">
        <f t="shared" si="57"/>
        <v>0.58491958076091655</v>
      </c>
      <c r="T61" s="214">
        <f t="shared" si="57"/>
        <v>0.55848672996038207</v>
      </c>
      <c r="U61" s="214">
        <f t="shared" si="57"/>
        <v>0.55995092573401695</v>
      </c>
    </row>
    <row r="62" spans="1:21" s="225" customFormat="1" x14ac:dyDescent="0.25">
      <c r="A62" s="227" t="s">
        <v>645</v>
      </c>
      <c r="B62" s="223"/>
      <c r="C62" s="223"/>
      <c r="D62" s="223"/>
      <c r="E62" s="224">
        <f>E60+E61</f>
        <v>0.59761255008547665</v>
      </c>
      <c r="F62" s="224">
        <f t="shared" ref="F62:M62" si="58">F60+F61</f>
        <v>0.6065168092964478</v>
      </c>
      <c r="G62" s="224">
        <f t="shared" si="58"/>
        <v>0.61744368210653222</v>
      </c>
      <c r="H62" s="224">
        <f t="shared" si="58"/>
        <v>0.59766277800324963</v>
      </c>
      <c r="I62" s="224">
        <f t="shared" si="58"/>
        <v>0.60435827449323609</v>
      </c>
      <c r="J62" s="224">
        <f t="shared" si="58"/>
        <v>0.52441554441393812</v>
      </c>
      <c r="K62" s="224">
        <f t="shared" si="58"/>
        <v>0.60421523252660547</v>
      </c>
      <c r="L62" s="224">
        <f t="shared" si="58"/>
        <v>0.57484537663060387</v>
      </c>
      <c r="M62" s="224">
        <f t="shared" si="58"/>
        <v>0.45558632864177206</v>
      </c>
      <c r="N62" s="224">
        <f t="shared" ref="N62" si="59">N60+N61</f>
        <v>0.44477253660629701</v>
      </c>
      <c r="O62" s="224">
        <f t="shared" ref="O62" si="60">O60+O61</f>
        <v>0.43163405938234839</v>
      </c>
      <c r="P62" s="224">
        <f t="shared" ref="P62" si="61">P60+P61</f>
        <v>0.38834083174147904</v>
      </c>
      <c r="Q62" s="224">
        <f t="shared" ref="Q62" si="62">Q60+Q61</f>
        <v>0.61544543991296752</v>
      </c>
      <c r="R62" s="224">
        <f t="shared" ref="R62" si="63">R60+R61</f>
        <v>0.58862347261414538</v>
      </c>
      <c r="S62" s="224">
        <f t="shared" ref="S62" si="64">S60+S61</f>
        <v>0.59205966113396857</v>
      </c>
      <c r="T62" s="224">
        <f t="shared" ref="T62" si="65">T60+T61</f>
        <v>0.56547767132706706</v>
      </c>
      <c r="U62" s="224">
        <f t="shared" ref="U62" si="66">U60+U61</f>
        <v>0.56705686987936721</v>
      </c>
    </row>
    <row r="63" spans="1:21" x14ac:dyDescent="0.25">
      <c r="A63" s="226" t="s">
        <v>646</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78" t="s">
        <v>702</v>
      </c>
      <c r="B64" s="279"/>
      <c r="C64" s="279"/>
      <c r="D64" s="279"/>
      <c r="E64" s="279"/>
      <c r="F64" s="279"/>
      <c r="G64" s="279"/>
      <c r="H64" s="279"/>
      <c r="I64" s="279"/>
      <c r="J64" s="279"/>
      <c r="K64" s="279"/>
      <c r="L64" s="279"/>
      <c r="M64" s="279"/>
      <c r="N64" s="279"/>
      <c r="O64" s="279"/>
      <c r="P64" s="279"/>
      <c r="Q64" s="279"/>
      <c r="R64" s="279"/>
      <c r="S64" s="279"/>
      <c r="T64" s="279"/>
      <c r="U64" s="279"/>
    </row>
    <row r="66" spans="1:21" s="9" customFormat="1" x14ac:dyDescent="0.25">
      <c r="A66" s="232" t="s">
        <v>653</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654</v>
      </c>
      <c r="E67" s="193">
        <f>E10</f>
        <v>1931470.31</v>
      </c>
      <c r="F67" s="193">
        <f t="shared" ref="F67:U67" si="68">F10</f>
        <v>1948951.34</v>
      </c>
      <c r="G67" s="193">
        <f t="shared" si="68"/>
        <v>1603764.68</v>
      </c>
      <c r="H67" s="193">
        <f t="shared" si="68"/>
        <v>1610046.15</v>
      </c>
      <c r="I67" s="193">
        <f t="shared" si="68"/>
        <v>1785316.59</v>
      </c>
      <c r="J67" s="193">
        <f t="shared" si="68"/>
        <v>101604314.73999999</v>
      </c>
      <c r="K67" s="193">
        <f t="shared" si="68"/>
        <v>222038338.03999999</v>
      </c>
      <c r="L67" s="193">
        <f t="shared" si="68"/>
        <v>158562478.13999999</v>
      </c>
      <c r="M67" s="193">
        <f t="shared" si="68"/>
        <v>0</v>
      </c>
      <c r="N67" s="193">
        <f t="shared" si="68"/>
        <v>0</v>
      </c>
      <c r="O67" s="193">
        <f t="shared" si="68"/>
        <v>0</v>
      </c>
      <c r="P67" s="193">
        <f t="shared" si="68"/>
        <v>6400000</v>
      </c>
      <c r="Q67" s="193">
        <f t="shared" si="68"/>
        <v>12400000</v>
      </c>
      <c r="R67" s="193">
        <f t="shared" si="68"/>
        <v>12000000</v>
      </c>
      <c r="S67" s="193">
        <f t="shared" si="68"/>
        <v>12000000</v>
      </c>
      <c r="T67" s="193">
        <f t="shared" si="68"/>
        <v>24857676</v>
      </c>
      <c r="U67" s="193">
        <f t="shared" si="68"/>
        <v>18437676</v>
      </c>
    </row>
    <row r="68" spans="1:21" x14ac:dyDescent="0.25">
      <c r="A68" s="17" t="s">
        <v>655</v>
      </c>
      <c r="E68" s="193">
        <f>E11</f>
        <v>7883028.7000000002</v>
      </c>
      <c r="F68" s="193">
        <f t="shared" ref="F68:U68" si="69">F11</f>
        <v>8454143.4100000001</v>
      </c>
      <c r="G68" s="193">
        <f t="shared" si="69"/>
        <v>9344293.1699999999</v>
      </c>
      <c r="H68" s="193">
        <f t="shared" si="69"/>
        <v>9869661.5800000001</v>
      </c>
      <c r="I68" s="193">
        <f t="shared" si="69"/>
        <v>10361511.449999999</v>
      </c>
      <c r="J68" s="193">
        <f t="shared" si="69"/>
        <v>380150325.94</v>
      </c>
      <c r="K68" s="193">
        <f t="shared" si="69"/>
        <v>578364955.11000001</v>
      </c>
      <c r="L68" s="193">
        <f t="shared" si="69"/>
        <v>569004403.22000003</v>
      </c>
      <c r="M68" s="193">
        <f t="shared" si="69"/>
        <v>0</v>
      </c>
      <c r="N68" s="193">
        <f t="shared" si="69"/>
        <v>0</v>
      </c>
      <c r="O68" s="193">
        <f t="shared" si="69"/>
        <v>0</v>
      </c>
      <c r="P68" s="193">
        <f t="shared" si="69"/>
        <v>0</v>
      </c>
      <c r="Q68" s="193">
        <f t="shared" si="69"/>
        <v>10000000</v>
      </c>
      <c r="R68" s="193">
        <f t="shared" si="69"/>
        <v>18139770.52</v>
      </c>
      <c r="S68" s="193">
        <f t="shared" si="69"/>
        <v>18922039.960000001</v>
      </c>
      <c r="T68" s="193">
        <f t="shared" si="69"/>
        <v>9704309.4000000004</v>
      </c>
      <c r="U68" s="193">
        <f t="shared" si="69"/>
        <v>10404068.43</v>
      </c>
    </row>
    <row r="69" spans="1:21" x14ac:dyDescent="0.25">
      <c r="A69" s="17" t="s">
        <v>656</v>
      </c>
      <c r="E69" s="193">
        <f>E12</f>
        <v>9814499.0099999998</v>
      </c>
      <c r="F69" s="193">
        <f t="shared" ref="F69:U69" si="70">F12</f>
        <v>10403094.75</v>
      </c>
      <c r="G69" s="193">
        <f t="shared" si="70"/>
        <v>10948057.85</v>
      </c>
      <c r="H69" s="193">
        <f t="shared" si="70"/>
        <v>11479707.73</v>
      </c>
      <c r="I69" s="193">
        <f t="shared" si="70"/>
        <v>12146828.039999999</v>
      </c>
      <c r="J69" s="193">
        <f t="shared" si="70"/>
        <v>481754640.68000001</v>
      </c>
      <c r="K69" s="193">
        <f t="shared" si="70"/>
        <v>800403293.14999998</v>
      </c>
      <c r="L69" s="193">
        <f t="shared" si="70"/>
        <v>727566881.36000001</v>
      </c>
      <c r="M69" s="193">
        <f t="shared" si="70"/>
        <v>0</v>
      </c>
      <c r="N69" s="193">
        <f t="shared" si="70"/>
        <v>0</v>
      </c>
      <c r="O69" s="193">
        <f t="shared" si="70"/>
        <v>0</v>
      </c>
      <c r="P69" s="193">
        <f t="shared" si="70"/>
        <v>6400000</v>
      </c>
      <c r="Q69" s="193">
        <f t="shared" si="70"/>
        <v>22400000</v>
      </c>
      <c r="R69" s="193">
        <f t="shared" si="70"/>
        <v>30139770.52</v>
      </c>
      <c r="S69" s="193">
        <f t="shared" si="70"/>
        <v>30922039.960000001</v>
      </c>
      <c r="T69" s="193">
        <f t="shared" si="70"/>
        <v>34561985.399999999</v>
      </c>
      <c r="U69" s="193">
        <f t="shared" si="70"/>
        <v>28841744.43</v>
      </c>
    </row>
    <row r="70" spans="1:21" s="234" customFormat="1" x14ac:dyDescent="0.25">
      <c r="A70" s="234" t="s">
        <v>659</v>
      </c>
      <c r="E70" s="234">
        <f>E69/E74</f>
        <v>2.4029150277455388E-3</v>
      </c>
      <c r="F70" s="234">
        <f t="shared" ref="F70:U70" si="71">F69/F74</f>
        <v>2.5943548301283225E-3</v>
      </c>
      <c r="G70" s="234">
        <f t="shared" si="71"/>
        <v>2.7773720602218294E-3</v>
      </c>
      <c r="H70" s="234">
        <f t="shared" si="71"/>
        <v>2.8936767518945453E-3</v>
      </c>
      <c r="I70" s="234">
        <f t="shared" si="71"/>
        <v>3.1359474049349198E-3</v>
      </c>
      <c r="J70" s="234">
        <f t="shared" si="71"/>
        <v>0.11331634097063685</v>
      </c>
      <c r="K70" s="234">
        <f t="shared" si="71"/>
        <v>0.22871565746158928</v>
      </c>
      <c r="L70" s="234">
        <f t="shared" si="71"/>
        <v>0.21309615569959542</v>
      </c>
      <c r="M70" s="234">
        <f t="shared" si="71"/>
        <v>0</v>
      </c>
      <c r="N70" s="234">
        <f t="shared" si="71"/>
        <v>0</v>
      </c>
      <c r="O70" s="234">
        <f t="shared" si="71"/>
        <v>0</v>
      </c>
      <c r="P70" s="234">
        <f t="shared" si="71"/>
        <v>2.6316913005462786E-3</v>
      </c>
      <c r="Q70" s="234">
        <f t="shared" si="71"/>
        <v>1.583887247063934E-2</v>
      </c>
      <c r="R70" s="234">
        <f t="shared" si="71"/>
        <v>2.1704040901357868E-2</v>
      </c>
      <c r="S70" s="234">
        <f t="shared" si="71"/>
        <v>2.2693289891652278E-2</v>
      </c>
      <c r="T70" s="234">
        <f t="shared" si="71"/>
        <v>2.4762793533747832E-2</v>
      </c>
      <c r="U70" s="234">
        <f t="shared" si="71"/>
        <v>2.1004319133803181E-2</v>
      </c>
    </row>
    <row r="71" spans="1:21" x14ac:dyDescent="0.25">
      <c r="A71" s="17" t="s">
        <v>657</v>
      </c>
      <c r="E71" s="193">
        <f>E13</f>
        <v>4074599180.4899998</v>
      </c>
      <c r="F71" s="193">
        <f t="shared" ref="F71:U71" si="72">F13</f>
        <v>3999493558.2399998</v>
      </c>
      <c r="G71" s="193">
        <f t="shared" si="72"/>
        <v>3930928512.02</v>
      </c>
      <c r="H71" s="193">
        <f t="shared" si="72"/>
        <v>3955690337.2599998</v>
      </c>
      <c r="I71" s="193">
        <f t="shared" si="72"/>
        <v>3861268912.5699997</v>
      </c>
      <c r="J71" s="193">
        <f t="shared" si="72"/>
        <v>3769659026.1699996</v>
      </c>
      <c r="K71" s="193">
        <f t="shared" si="72"/>
        <v>2699152889.5499992</v>
      </c>
      <c r="L71" s="193">
        <f t="shared" si="72"/>
        <v>2686698753.6600003</v>
      </c>
      <c r="M71" s="193">
        <f t="shared" si="72"/>
        <v>2599306347.4499998</v>
      </c>
      <c r="N71" s="193">
        <f t="shared" si="72"/>
        <v>2487565966.0600004</v>
      </c>
      <c r="O71" s="193">
        <f t="shared" si="72"/>
        <v>2411198959.3899999</v>
      </c>
      <c r="P71" s="193">
        <f t="shared" si="72"/>
        <v>2425496172.1200004</v>
      </c>
      <c r="Q71" s="193">
        <f t="shared" si="72"/>
        <v>1391842083.3</v>
      </c>
      <c r="R71" s="193">
        <f t="shared" si="72"/>
        <v>1358531152.8800001</v>
      </c>
      <c r="S71" s="193">
        <f t="shared" si="72"/>
        <v>1331685149.55</v>
      </c>
      <c r="T71" s="193">
        <f t="shared" si="72"/>
        <v>1361160405.6499996</v>
      </c>
      <c r="U71" s="193">
        <f t="shared" si="72"/>
        <v>1344292240.3599999</v>
      </c>
    </row>
    <row r="72" spans="1:21" s="234" customFormat="1" x14ac:dyDescent="0.25">
      <c r="A72" s="234" t="s">
        <v>660</v>
      </c>
      <c r="E72" s="234">
        <f>E71/E74</f>
        <v>0.99759708497225441</v>
      </c>
      <c r="F72" s="234">
        <f t="shared" ref="F72:U72" si="73">F71/F74</f>
        <v>0.99740564516987162</v>
      </c>
      <c r="G72" s="234">
        <f t="shared" si="73"/>
        <v>0.99722262793977823</v>
      </c>
      <c r="H72" s="234">
        <f t="shared" si="73"/>
        <v>0.99710632324810544</v>
      </c>
      <c r="I72" s="234">
        <f t="shared" si="73"/>
        <v>0.99686405259506505</v>
      </c>
      <c r="J72" s="234">
        <f t="shared" si="73"/>
        <v>0.88668365902936319</v>
      </c>
      <c r="K72" s="234">
        <f t="shared" si="73"/>
        <v>0.77128434253841072</v>
      </c>
      <c r="L72" s="234">
        <f t="shared" si="73"/>
        <v>0.78690384430040461</v>
      </c>
      <c r="M72" s="234">
        <f t="shared" si="73"/>
        <v>1</v>
      </c>
      <c r="N72" s="234">
        <f t="shared" si="73"/>
        <v>1</v>
      </c>
      <c r="O72" s="234">
        <f t="shared" si="73"/>
        <v>1</v>
      </c>
      <c r="P72" s="234">
        <f t="shared" si="73"/>
        <v>0.9973683086994537</v>
      </c>
      <c r="Q72" s="234">
        <f t="shared" si="73"/>
        <v>0.98416112752936069</v>
      </c>
      <c r="R72" s="234">
        <f t="shared" si="73"/>
        <v>0.9782959590986422</v>
      </c>
      <c r="S72" s="234">
        <f t="shared" si="73"/>
        <v>0.97730671010834769</v>
      </c>
      <c r="T72" s="234">
        <f t="shared" si="73"/>
        <v>0.97523720646625212</v>
      </c>
      <c r="U72" s="234">
        <f t="shared" si="73"/>
        <v>0.97899568086619682</v>
      </c>
    </row>
    <row r="73" spans="1:21" s="236" customFormat="1" x14ac:dyDescent="0.25">
      <c r="A73" s="235" t="s">
        <v>661</v>
      </c>
      <c r="E73" s="237">
        <f>E74/E71</f>
        <v>1.0024087029362285</v>
      </c>
      <c r="F73" s="237">
        <f t="shared" ref="F73:U73" si="74">F74/F71</f>
        <v>1.0026011030142972</v>
      </c>
      <c r="G73" s="237">
        <f t="shared" si="74"/>
        <v>1.0027851073395313</v>
      </c>
      <c r="H73" s="237">
        <f t="shared" si="74"/>
        <v>1.0029020744171677</v>
      </c>
      <c r="I73" s="237">
        <f t="shared" si="74"/>
        <v>1.0031458125075041</v>
      </c>
      <c r="J73" s="237">
        <f t="shared" si="74"/>
        <v>1.1277979353929699</v>
      </c>
      <c r="K73" s="237">
        <f t="shared" si="74"/>
        <v>1.2965387015492267</v>
      </c>
      <c r="L73" s="237">
        <f t="shared" si="74"/>
        <v>1.2708032973063541</v>
      </c>
      <c r="M73" s="237">
        <f t="shared" si="74"/>
        <v>1</v>
      </c>
      <c r="N73" s="237">
        <f t="shared" si="74"/>
        <v>1</v>
      </c>
      <c r="O73" s="237">
        <f t="shared" si="74"/>
        <v>1</v>
      </c>
      <c r="P73" s="237">
        <f t="shared" si="74"/>
        <v>1.0026386353743062</v>
      </c>
      <c r="Q73" s="237">
        <f t="shared" si="74"/>
        <v>1.0160937797964051</v>
      </c>
      <c r="R73" s="237">
        <f t="shared" si="74"/>
        <v>1.0221855571409648</v>
      </c>
      <c r="S73" s="237">
        <f t="shared" si="74"/>
        <v>1.0232202333790754</v>
      </c>
      <c r="T73" s="237">
        <f t="shared" si="74"/>
        <v>1.0253915594786167</v>
      </c>
      <c r="U73" s="237">
        <f t="shared" si="74"/>
        <v>1.0214549660885317</v>
      </c>
    </row>
    <row r="74" spans="1:21" x14ac:dyDescent="0.25">
      <c r="A74" s="17" t="s">
        <v>658</v>
      </c>
      <c r="E74" s="193">
        <f>E14</f>
        <v>4084413679.5</v>
      </c>
      <c r="F74" s="193">
        <f t="shared" ref="F74:U74" si="75">F14</f>
        <v>4009896652.9899998</v>
      </c>
      <c r="G74" s="193">
        <f t="shared" si="75"/>
        <v>3941876569.8699999</v>
      </c>
      <c r="H74" s="193">
        <f t="shared" si="75"/>
        <v>3967170044.9899998</v>
      </c>
      <c r="I74" s="193">
        <f t="shared" si="75"/>
        <v>3873415740.6099997</v>
      </c>
      <c r="J74" s="193">
        <f t="shared" si="75"/>
        <v>4251413666.8499994</v>
      </c>
      <c r="K74" s="193">
        <f t="shared" si="75"/>
        <v>3499556182.6999993</v>
      </c>
      <c r="L74" s="193">
        <f t="shared" si="75"/>
        <v>3414265635.0200005</v>
      </c>
      <c r="M74" s="193">
        <f t="shared" si="75"/>
        <v>2599306347.4499998</v>
      </c>
      <c r="N74" s="193">
        <f t="shared" si="75"/>
        <v>2487565966.0600004</v>
      </c>
      <c r="O74" s="193">
        <f t="shared" si="75"/>
        <v>2411198959.3899999</v>
      </c>
      <c r="P74" s="193">
        <f t="shared" si="75"/>
        <v>2431896172.1200004</v>
      </c>
      <c r="Q74" s="193">
        <f t="shared" si="75"/>
        <v>1414242083.3</v>
      </c>
      <c r="R74" s="193">
        <f t="shared" si="75"/>
        <v>1388670923.4000001</v>
      </c>
      <c r="S74" s="193">
        <f t="shared" si="75"/>
        <v>1362607189.51</v>
      </c>
      <c r="T74" s="193">
        <f t="shared" si="75"/>
        <v>1395722391.0499997</v>
      </c>
      <c r="U74" s="193">
        <f t="shared" si="75"/>
        <v>1373133984.79</v>
      </c>
    </row>
    <row r="75" spans="1:21" ht="83.4" customHeight="1" x14ac:dyDescent="0.25">
      <c r="A75" s="276" t="s">
        <v>703</v>
      </c>
      <c r="B75" s="275"/>
      <c r="C75" s="275"/>
      <c r="D75" s="275"/>
      <c r="E75" s="275"/>
      <c r="F75" s="275"/>
      <c r="G75" s="275"/>
      <c r="H75" s="275"/>
      <c r="I75" s="275"/>
      <c r="J75" s="275"/>
      <c r="K75" s="275"/>
      <c r="L75" s="275"/>
      <c r="M75" s="275"/>
      <c r="N75" s="275"/>
      <c r="O75" s="275"/>
      <c r="P75" s="275"/>
      <c r="Q75" s="275"/>
      <c r="R75" s="275"/>
      <c r="S75" s="275"/>
      <c r="T75" s="275"/>
      <c r="U75" s="275"/>
    </row>
    <row r="77" spans="1:21" s="238" customFormat="1" x14ac:dyDescent="0.25">
      <c r="A77" s="239" t="s">
        <v>662</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654</v>
      </c>
      <c r="B78" s="64"/>
      <c r="C78" s="64"/>
      <c r="D78" s="64"/>
      <c r="E78" s="89">
        <f>E10</f>
        <v>1931470.31</v>
      </c>
      <c r="F78" s="89">
        <f t="shared" ref="F78:U78" si="77">F10</f>
        <v>1948951.34</v>
      </c>
      <c r="G78" s="89">
        <f t="shared" si="77"/>
        <v>1603764.68</v>
      </c>
      <c r="H78" s="89">
        <f t="shared" si="77"/>
        <v>1610046.15</v>
      </c>
      <c r="I78" s="89">
        <f t="shared" si="77"/>
        <v>1785316.59</v>
      </c>
      <c r="J78" s="89">
        <f t="shared" si="77"/>
        <v>101604314.73999999</v>
      </c>
      <c r="K78" s="89">
        <f t="shared" si="77"/>
        <v>222038338.03999999</v>
      </c>
      <c r="L78" s="89">
        <f t="shared" si="77"/>
        <v>158562478.13999999</v>
      </c>
      <c r="M78" s="89">
        <f t="shared" si="77"/>
        <v>0</v>
      </c>
      <c r="N78" s="89">
        <f t="shared" si="77"/>
        <v>0</v>
      </c>
      <c r="O78" s="89">
        <f t="shared" si="77"/>
        <v>0</v>
      </c>
      <c r="P78" s="89">
        <f t="shared" si="77"/>
        <v>6400000</v>
      </c>
      <c r="Q78" s="89">
        <f t="shared" si="77"/>
        <v>12400000</v>
      </c>
      <c r="R78" s="89">
        <f t="shared" si="77"/>
        <v>12000000</v>
      </c>
      <c r="S78" s="89">
        <f t="shared" si="77"/>
        <v>12000000</v>
      </c>
      <c r="T78" s="89">
        <f t="shared" si="77"/>
        <v>24857676</v>
      </c>
      <c r="U78" s="89">
        <f t="shared" si="77"/>
        <v>18437676</v>
      </c>
    </row>
    <row r="79" spans="1:21" x14ac:dyDescent="0.25">
      <c r="A79" s="184" t="s">
        <v>663</v>
      </c>
      <c r="B79" s="64"/>
      <c r="C79" s="64"/>
      <c r="D79" s="64"/>
      <c r="E79" s="89">
        <f>E78</f>
        <v>1931470.31</v>
      </c>
      <c r="F79" s="89">
        <f t="shared" ref="F79:U79" si="78">F78</f>
        <v>1948951.34</v>
      </c>
      <c r="G79" s="89">
        <f t="shared" si="78"/>
        <v>1603764.68</v>
      </c>
      <c r="H79" s="89">
        <f t="shared" si="78"/>
        <v>1610046.15</v>
      </c>
      <c r="I79" s="89">
        <f t="shared" si="78"/>
        <v>1785316.59</v>
      </c>
      <c r="J79" s="89">
        <f t="shared" si="78"/>
        <v>101604314.73999999</v>
      </c>
      <c r="K79" s="89">
        <f t="shared" si="78"/>
        <v>222038338.03999999</v>
      </c>
      <c r="L79" s="89">
        <f t="shared" si="78"/>
        <v>158562478.13999999</v>
      </c>
      <c r="M79" s="89">
        <f t="shared" si="78"/>
        <v>0</v>
      </c>
      <c r="N79" s="89">
        <f t="shared" si="78"/>
        <v>0</v>
      </c>
      <c r="O79" s="89">
        <f t="shared" si="78"/>
        <v>0</v>
      </c>
      <c r="P79" s="89">
        <f t="shared" si="78"/>
        <v>6400000</v>
      </c>
      <c r="Q79" s="89">
        <f t="shared" si="78"/>
        <v>12400000</v>
      </c>
      <c r="R79" s="89">
        <f t="shared" si="78"/>
        <v>12000000</v>
      </c>
      <c r="S79" s="89">
        <f t="shared" si="78"/>
        <v>12000000</v>
      </c>
      <c r="T79" s="89">
        <f t="shared" si="78"/>
        <v>24857676</v>
      </c>
      <c r="U79" s="89">
        <f t="shared" si="78"/>
        <v>18437676</v>
      </c>
    </row>
    <row r="80" spans="1:21" s="220" customFormat="1" x14ac:dyDescent="0.25">
      <c r="A80" s="224" t="s">
        <v>664</v>
      </c>
      <c r="B80" s="224"/>
      <c r="C80" s="224"/>
      <c r="D80" s="224"/>
      <c r="E80" s="224">
        <f>E79/E85</f>
        <v>4.7288802299683906E-4</v>
      </c>
      <c r="F80" s="224">
        <f t="shared" ref="F80:U80" si="79">F79/F85</f>
        <v>4.8603530431308114E-4</v>
      </c>
      <c r="G80" s="224">
        <f t="shared" si="79"/>
        <v>4.0685309435066632E-4</v>
      </c>
      <c r="H80" s="224">
        <f t="shared" si="79"/>
        <v>4.058424851320076E-4</v>
      </c>
      <c r="I80" s="224">
        <f t="shared" si="79"/>
        <v>4.6091530307016358E-4</v>
      </c>
      <c r="J80" s="224">
        <f t="shared" si="79"/>
        <v>2.3898948138650948E-2</v>
      </c>
      <c r="K80" s="224">
        <f t="shared" si="79"/>
        <v>6.3447570619852595E-2</v>
      </c>
      <c r="L80" s="224">
        <f t="shared" si="79"/>
        <v>4.6441166297557609E-2</v>
      </c>
      <c r="M80" s="224">
        <f t="shared" si="79"/>
        <v>0</v>
      </c>
      <c r="N80" s="224">
        <f t="shared" si="79"/>
        <v>0</v>
      </c>
      <c r="O80" s="224">
        <f t="shared" si="79"/>
        <v>0</v>
      </c>
      <c r="P80" s="224">
        <f t="shared" si="79"/>
        <v>2.6316913005462786E-3</v>
      </c>
      <c r="Q80" s="224">
        <f t="shared" si="79"/>
        <v>8.767947260532493E-3</v>
      </c>
      <c r="R80" s="224">
        <f t="shared" si="79"/>
        <v>8.6413561325381447E-3</v>
      </c>
      <c r="S80" s="224">
        <f t="shared" si="79"/>
        <v>8.8066466200837062E-3</v>
      </c>
      <c r="T80" s="224">
        <f t="shared" si="79"/>
        <v>1.7809899847848403E-2</v>
      </c>
      <c r="U80" s="224">
        <f t="shared" si="79"/>
        <v>1.3427441316165344E-2</v>
      </c>
    </row>
    <row r="81" spans="1:21" x14ac:dyDescent="0.25">
      <c r="A81" s="184" t="s">
        <v>655</v>
      </c>
      <c r="B81" s="64"/>
      <c r="C81" s="64"/>
      <c r="D81" s="64"/>
      <c r="E81" s="89">
        <f>E11</f>
        <v>7883028.7000000002</v>
      </c>
      <c r="F81" s="89">
        <f t="shared" ref="F81:U81" si="80">F11</f>
        <v>8454143.4100000001</v>
      </c>
      <c r="G81" s="89">
        <f t="shared" si="80"/>
        <v>9344293.1699999999</v>
      </c>
      <c r="H81" s="89">
        <f t="shared" si="80"/>
        <v>9869661.5800000001</v>
      </c>
      <c r="I81" s="89">
        <f t="shared" si="80"/>
        <v>10361511.449999999</v>
      </c>
      <c r="J81" s="89">
        <f t="shared" si="80"/>
        <v>380150325.94</v>
      </c>
      <c r="K81" s="89">
        <f t="shared" si="80"/>
        <v>578364955.11000001</v>
      </c>
      <c r="L81" s="89">
        <f t="shared" si="80"/>
        <v>569004403.22000003</v>
      </c>
      <c r="M81" s="89">
        <f t="shared" si="80"/>
        <v>0</v>
      </c>
      <c r="N81" s="89">
        <f t="shared" si="80"/>
        <v>0</v>
      </c>
      <c r="O81" s="89">
        <f t="shared" si="80"/>
        <v>0</v>
      </c>
      <c r="P81" s="89">
        <f t="shared" si="80"/>
        <v>0</v>
      </c>
      <c r="Q81" s="89">
        <f t="shared" si="80"/>
        <v>10000000</v>
      </c>
      <c r="R81" s="89">
        <f t="shared" si="80"/>
        <v>18139770.52</v>
      </c>
      <c r="S81" s="89">
        <f t="shared" si="80"/>
        <v>18922039.960000001</v>
      </c>
      <c r="T81" s="89">
        <f t="shared" si="80"/>
        <v>9704309.4000000004</v>
      </c>
      <c r="U81" s="89">
        <f t="shared" si="80"/>
        <v>10404068.43</v>
      </c>
    </row>
    <row r="82" spans="1:21" x14ac:dyDescent="0.25">
      <c r="A82" s="184" t="s">
        <v>657</v>
      </c>
      <c r="B82" s="64"/>
      <c r="C82" s="64"/>
      <c r="D82" s="64"/>
      <c r="E82" s="89">
        <f>E13</f>
        <v>4074599180.4899998</v>
      </c>
      <c r="F82" s="89">
        <f t="shared" ref="F82:U82" si="81">F13</f>
        <v>3999493558.2399998</v>
      </c>
      <c r="G82" s="89">
        <f t="shared" si="81"/>
        <v>3930928512.02</v>
      </c>
      <c r="H82" s="89">
        <f t="shared" si="81"/>
        <v>3955690337.2599998</v>
      </c>
      <c r="I82" s="89">
        <f t="shared" si="81"/>
        <v>3861268912.5699997</v>
      </c>
      <c r="J82" s="89">
        <f t="shared" si="81"/>
        <v>3769659026.1699996</v>
      </c>
      <c r="K82" s="89">
        <f t="shared" si="81"/>
        <v>2699152889.5499992</v>
      </c>
      <c r="L82" s="89">
        <f t="shared" si="81"/>
        <v>2686698753.6600003</v>
      </c>
      <c r="M82" s="89">
        <f t="shared" si="81"/>
        <v>2599306347.4499998</v>
      </c>
      <c r="N82" s="89">
        <f t="shared" si="81"/>
        <v>2487565966.0600004</v>
      </c>
      <c r="O82" s="89">
        <f t="shared" si="81"/>
        <v>2411198959.3899999</v>
      </c>
      <c r="P82" s="89">
        <f t="shared" si="81"/>
        <v>2425496172.1200004</v>
      </c>
      <c r="Q82" s="89">
        <f t="shared" si="81"/>
        <v>1391842083.3</v>
      </c>
      <c r="R82" s="89">
        <f t="shared" si="81"/>
        <v>1358531152.8800001</v>
      </c>
      <c r="S82" s="89">
        <f t="shared" si="81"/>
        <v>1331685149.55</v>
      </c>
      <c r="T82" s="89">
        <f t="shared" si="81"/>
        <v>1361160405.6499996</v>
      </c>
      <c r="U82" s="89">
        <f t="shared" si="81"/>
        <v>1344292240.3599999</v>
      </c>
    </row>
    <row r="83" spans="1:21" x14ac:dyDescent="0.25">
      <c r="A83" s="184" t="s">
        <v>665</v>
      </c>
      <c r="B83" s="64"/>
      <c r="C83" s="64"/>
      <c r="D83" s="64"/>
      <c r="E83" s="89">
        <f>E81+E82</f>
        <v>4082482209.1899996</v>
      </c>
      <c r="F83" s="89">
        <f t="shared" ref="F83:U83" si="82">F81+F82</f>
        <v>4007947701.6499996</v>
      </c>
      <c r="G83" s="89">
        <f t="shared" si="82"/>
        <v>3940272805.1900001</v>
      </c>
      <c r="H83" s="89">
        <f t="shared" si="82"/>
        <v>3965559998.8399997</v>
      </c>
      <c r="I83" s="89">
        <f t="shared" si="82"/>
        <v>3871630424.0199995</v>
      </c>
      <c r="J83" s="89">
        <f t="shared" si="82"/>
        <v>4149809352.1099997</v>
      </c>
      <c r="K83" s="89">
        <f t="shared" si="82"/>
        <v>3277517844.6599994</v>
      </c>
      <c r="L83" s="89">
        <f t="shared" si="82"/>
        <v>3255703156.8800001</v>
      </c>
      <c r="M83" s="89">
        <f t="shared" si="82"/>
        <v>2599306347.4499998</v>
      </c>
      <c r="N83" s="89">
        <f t="shared" si="82"/>
        <v>2487565966.0600004</v>
      </c>
      <c r="O83" s="89">
        <f t="shared" si="82"/>
        <v>2411198959.3899999</v>
      </c>
      <c r="P83" s="89">
        <f t="shared" si="82"/>
        <v>2425496172.1200004</v>
      </c>
      <c r="Q83" s="89">
        <f t="shared" si="82"/>
        <v>1401842083.3</v>
      </c>
      <c r="R83" s="89">
        <f t="shared" si="82"/>
        <v>1376670923.4000001</v>
      </c>
      <c r="S83" s="89">
        <f t="shared" si="82"/>
        <v>1350607189.51</v>
      </c>
      <c r="T83" s="89">
        <f t="shared" si="82"/>
        <v>1370864715.0499997</v>
      </c>
      <c r="U83" s="89">
        <f t="shared" si="82"/>
        <v>1354696308.79</v>
      </c>
    </row>
    <row r="84" spans="1:21" s="220" customFormat="1" x14ac:dyDescent="0.25">
      <c r="A84" s="224" t="s">
        <v>666</v>
      </c>
      <c r="B84" s="224"/>
      <c r="C84" s="224"/>
      <c r="D84" s="224"/>
      <c r="E84" s="224">
        <f>E83/E85</f>
        <v>0.99952711197700306</v>
      </c>
      <c r="F84" s="224">
        <f t="shared" ref="F84:U84" si="83">F83/F85</f>
        <v>0.99951396469568687</v>
      </c>
      <c r="G84" s="224">
        <f t="shared" si="83"/>
        <v>0.99959314690564938</v>
      </c>
      <c r="H84" s="224">
        <f t="shared" si="83"/>
        <v>0.99959415751486802</v>
      </c>
      <c r="I84" s="224">
        <f t="shared" si="83"/>
        <v>0.99953908469692976</v>
      </c>
      <c r="J84" s="224">
        <f t="shared" si="83"/>
        <v>0.9761010518613491</v>
      </c>
      <c r="K84" s="224">
        <f t="shared" si="83"/>
        <v>0.93655242938014738</v>
      </c>
      <c r="L84" s="224">
        <f t="shared" si="83"/>
        <v>0.95355883370244232</v>
      </c>
      <c r="M84" s="224">
        <f t="shared" si="83"/>
        <v>1</v>
      </c>
      <c r="N84" s="224">
        <f t="shared" si="83"/>
        <v>1</v>
      </c>
      <c r="O84" s="224">
        <f t="shared" si="83"/>
        <v>1</v>
      </c>
      <c r="P84" s="224">
        <f t="shared" si="83"/>
        <v>0.9973683086994537</v>
      </c>
      <c r="Q84" s="224">
        <f t="shared" si="83"/>
        <v>0.99123205273946746</v>
      </c>
      <c r="R84" s="224">
        <f t="shared" si="83"/>
        <v>0.99135864386746186</v>
      </c>
      <c r="S84" s="224">
        <f t="shared" si="83"/>
        <v>0.99119335337991632</v>
      </c>
      <c r="T84" s="224">
        <f t="shared" si="83"/>
        <v>0.98219010015215158</v>
      </c>
      <c r="U84" s="224">
        <f t="shared" si="83"/>
        <v>0.98657255868383464</v>
      </c>
    </row>
    <row r="85" spans="1:21" x14ac:dyDescent="0.25">
      <c r="A85" s="184" t="s">
        <v>658</v>
      </c>
      <c r="B85" s="64"/>
      <c r="C85" s="64"/>
      <c r="D85" s="64"/>
      <c r="E85" s="89">
        <f>E14</f>
        <v>4084413679.5</v>
      </c>
      <c r="F85" s="89">
        <f t="shared" ref="F85:U85" si="84">F14</f>
        <v>4009896652.9899998</v>
      </c>
      <c r="G85" s="89">
        <f t="shared" si="84"/>
        <v>3941876569.8699999</v>
      </c>
      <c r="H85" s="89">
        <f t="shared" si="84"/>
        <v>3967170044.9899998</v>
      </c>
      <c r="I85" s="89">
        <f t="shared" si="84"/>
        <v>3873415740.6099997</v>
      </c>
      <c r="J85" s="89">
        <f t="shared" si="84"/>
        <v>4251413666.8499994</v>
      </c>
      <c r="K85" s="89">
        <f t="shared" si="84"/>
        <v>3499556182.6999993</v>
      </c>
      <c r="L85" s="89">
        <f t="shared" si="84"/>
        <v>3414265635.0200005</v>
      </c>
      <c r="M85" s="89">
        <f t="shared" si="84"/>
        <v>2599306347.4499998</v>
      </c>
      <c r="N85" s="89">
        <f t="shared" si="84"/>
        <v>2487565966.0600004</v>
      </c>
      <c r="O85" s="89">
        <f t="shared" si="84"/>
        <v>2411198959.3899999</v>
      </c>
      <c r="P85" s="89">
        <f t="shared" si="84"/>
        <v>2431896172.1200004</v>
      </c>
      <c r="Q85" s="89">
        <f t="shared" si="84"/>
        <v>1414242083.3</v>
      </c>
      <c r="R85" s="89">
        <f t="shared" si="84"/>
        <v>1388670923.4000001</v>
      </c>
      <c r="S85" s="89">
        <f t="shared" si="84"/>
        <v>1362607189.51</v>
      </c>
      <c r="T85" s="89">
        <f t="shared" si="84"/>
        <v>1395722391.0499997</v>
      </c>
      <c r="U85" s="89">
        <f t="shared" si="84"/>
        <v>1373133984.79</v>
      </c>
    </row>
    <row r="87" spans="1:21" s="56" customFormat="1" ht="85.8" customHeight="1" x14ac:dyDescent="0.25">
      <c r="A87" s="274" t="s">
        <v>704</v>
      </c>
      <c r="B87" s="277"/>
      <c r="C87" s="277"/>
      <c r="D87" s="277"/>
      <c r="E87" s="277"/>
      <c r="F87" s="277"/>
      <c r="G87" s="277"/>
      <c r="H87" s="277"/>
      <c r="I87" s="277"/>
      <c r="J87" s="277"/>
      <c r="K87" s="277"/>
      <c r="L87" s="277"/>
      <c r="M87" s="277"/>
      <c r="N87" s="277"/>
      <c r="O87" s="277"/>
      <c r="P87" s="277"/>
      <c r="Q87" s="277"/>
      <c r="R87" s="277"/>
      <c r="S87" s="277"/>
      <c r="T87" s="277"/>
      <c r="U87" s="277"/>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topLeftCell="A31"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7" width="19.33203125" hidden="1" customWidth="1"/>
    <col min="8" max="8" width="18.33203125" hidden="1" customWidth="1"/>
    <col min="9" max="9" width="21.5546875" bestFit="1" customWidth="1"/>
    <col min="10" max="10" width="19.33203125" hidden="1" customWidth="1"/>
    <col min="11" max="11" width="17.21875" hidden="1" customWidth="1"/>
    <col min="12" max="12" width="18.33203125" hidden="1" customWidth="1"/>
    <col min="13" max="13" width="21.5546875" bestFit="1" customWidth="1"/>
    <col min="14" max="14" width="19.33203125" hidden="1" customWidth="1"/>
    <col min="15" max="16" width="18.33203125" hidden="1" customWidth="1"/>
    <col min="17" max="17" width="19.3320312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4" width="17.21875" hidden="1" customWidth="1"/>
    <col min="35" max="36" width="17.21875" bestFit="1" customWidth="1"/>
    <col min="37" max="37" width="17.21875" hidden="1" customWidth="1"/>
    <col min="38" max="40" width="18.33203125" bestFit="1" customWidth="1"/>
    <col min="41" max="41" width="21.5546875" bestFit="1" customWidth="1"/>
    <col min="42" max="63" width="18.33203125" bestFit="1" customWidth="1"/>
    <col min="64" max="76" width="17.21875" bestFit="1" customWidth="1"/>
    <col min="77" max="77" width="9.5546875" bestFit="1" customWidth="1"/>
    <col min="78"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2456391218.1599998</v>
      </c>
      <c r="F2" s="26">
        <f>股权价值增加表!F4</f>
        <v>1797303663.71</v>
      </c>
      <c r="G2" s="26">
        <f>股权价值增加表!G4</f>
        <v>1262280095.75</v>
      </c>
      <c r="H2" s="26">
        <f>股权价值增加表!H4</f>
        <v>612156580.71000004</v>
      </c>
      <c r="I2" s="26">
        <f>股权价值增加表!I4</f>
        <v>1847391081.8399999</v>
      </c>
      <c r="J2" s="26">
        <f>股权价值增加表!J4</f>
        <v>1324775375.3399999</v>
      </c>
      <c r="K2" s="26">
        <f>股权价值增加表!K4</f>
        <v>888376461.49000001</v>
      </c>
      <c r="L2" s="26">
        <f>股权价值增加表!L4</f>
        <v>423001389.69</v>
      </c>
      <c r="M2" s="26">
        <f>股权价值增加表!M4</f>
        <v>1631042560</v>
      </c>
      <c r="N2" s="26">
        <f>股权价值增加表!N4</f>
        <v>1022711562.04</v>
      </c>
      <c r="O2" s="26">
        <f>股权价值增加表!O4</f>
        <v>615138524.07000005</v>
      </c>
      <c r="P2" s="26">
        <f>股权价值增加表!P4</f>
        <v>265749041.91</v>
      </c>
      <c r="Q2" s="26">
        <f>股权价值增加表!Q4</f>
        <v>1068796191.5700001</v>
      </c>
      <c r="R2" s="26">
        <f>股权价值增加表!R4</f>
        <v>705098562.99000001</v>
      </c>
      <c r="S2" s="26">
        <f>股权价值增加表!S4</f>
        <v>433011175.55000001</v>
      </c>
      <c r="T2" s="26">
        <f>股权价值增加表!T4</f>
        <v>196981639.65000001</v>
      </c>
      <c r="U2" s="26">
        <f>股权价值增加表!U4</f>
        <v>965382340.42999995</v>
      </c>
      <c r="V2" s="26">
        <f>股权价值增加表!V4</f>
        <v>705638264.82000005</v>
      </c>
      <c r="W2" s="26">
        <f>股权价值增加表!W4</f>
        <v>483178236.35000002</v>
      </c>
      <c r="X2" s="26">
        <f>股权价值增加表!X4</f>
        <v>221315195.03</v>
      </c>
      <c r="Y2" s="26">
        <f>股权价值增加表!Y4</f>
        <v>789577816.87</v>
      </c>
      <c r="Z2" s="26">
        <f>股权价值增加表!Z4</f>
        <v>539360672.49000001</v>
      </c>
      <c r="AA2" s="26">
        <f>股权价值增加表!AA4</f>
        <v>394771497.57999998</v>
      </c>
      <c r="AB2" s="26">
        <f>股权价值增加表!AB4</f>
        <v>177632246.53</v>
      </c>
      <c r="AC2" s="26">
        <f>股权价值增加表!AC4</f>
        <v>820090562.65999997</v>
      </c>
      <c r="AD2" s="26">
        <f>股权价值增加表!AD4</f>
        <v>640951585.91999996</v>
      </c>
      <c r="AE2" s="26">
        <f>股权价值增加表!AE4</f>
        <v>469202622.25999999</v>
      </c>
      <c r="AF2" s="26">
        <f>股权价值增加表!AF4</f>
        <v>205970417.91999999</v>
      </c>
      <c r="AG2" s="26">
        <f>股权价值增加表!AG4</f>
        <v>731662751.10000002</v>
      </c>
      <c r="AH2" s="26">
        <f>股权价值增加表!AH4</f>
        <v>538217516.25999999</v>
      </c>
      <c r="AI2" s="26">
        <f>股权价值增加表!AI4</f>
        <v>404874884.06999999</v>
      </c>
      <c r="AJ2" s="26">
        <f>股权价值增加表!AJ4</f>
        <v>639478592.48000002</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0.32965414973933743</v>
      </c>
      <c r="F3" s="66">
        <f t="shared" ref="F3:BQ3" si="0">(F2-J2)/J2</f>
        <v>0.35668559150922252</v>
      </c>
      <c r="G3" s="66">
        <f t="shared" si="0"/>
        <v>0.42088422022447836</v>
      </c>
      <c r="H3" s="66">
        <f t="shared" si="0"/>
        <v>0.44717392337321626</v>
      </c>
      <c r="I3" s="66">
        <f t="shared" si="0"/>
        <v>0.13264431422316775</v>
      </c>
      <c r="J3" s="66">
        <f t="shared" si="0"/>
        <v>0.29535582124198739</v>
      </c>
      <c r="K3" s="66">
        <f t="shared" si="0"/>
        <v>0.44418927888331489</v>
      </c>
      <c r="L3" s="66">
        <f t="shared" si="0"/>
        <v>0.59173251067921417</v>
      </c>
      <c r="M3" s="66">
        <f t="shared" si="0"/>
        <v>0.5260557371598531</v>
      </c>
      <c r="N3" s="66">
        <f t="shared" si="0"/>
        <v>0.45045191654220473</v>
      </c>
      <c r="O3" s="66">
        <f t="shared" si="0"/>
        <v>0.42060657739067914</v>
      </c>
      <c r="P3" s="66">
        <f t="shared" si="0"/>
        <v>0.34910564447624137</v>
      </c>
      <c r="Q3" s="66">
        <f t="shared" si="0"/>
        <v>0.10712216995179089</v>
      </c>
      <c r="R3" s="66">
        <f t="shared" si="0"/>
        <v>-7.6484206838997658E-4</v>
      </c>
      <c r="S3" s="66">
        <f t="shared" si="0"/>
        <v>-0.10382723605055025</v>
      </c>
      <c r="T3" s="66">
        <f t="shared" si="0"/>
        <v>-0.10994977266112027</v>
      </c>
      <c r="U3" s="66">
        <f t="shared" si="0"/>
        <v>0.22265636116388673</v>
      </c>
      <c r="V3" s="66">
        <f t="shared" si="0"/>
        <v>0.30828645989772807</v>
      </c>
      <c r="W3" s="66">
        <f t="shared" si="0"/>
        <v>0.22394407730027296</v>
      </c>
      <c r="X3" s="66">
        <f t="shared" si="0"/>
        <v>0.24591789696597943</v>
      </c>
      <c r="Y3" s="66">
        <f t="shared" si="0"/>
        <v>-3.7206556421074427E-2</v>
      </c>
      <c r="Z3" s="66">
        <f t="shared" si="0"/>
        <v>-0.15850013583191283</v>
      </c>
      <c r="AA3" s="66">
        <f t="shared" si="0"/>
        <v>-0.15863322400349963</v>
      </c>
      <c r="AB3" s="66">
        <f t="shared" si="0"/>
        <v>-0.13758369612575475</v>
      </c>
      <c r="AC3" s="66">
        <f t="shared" si="0"/>
        <v>0.12085870358584658</v>
      </c>
      <c r="AD3" s="66">
        <f t="shared" si="0"/>
        <v>0.19087834668385559</v>
      </c>
      <c r="AE3" s="66">
        <f t="shared" si="0"/>
        <v>0.15888300490103552</v>
      </c>
      <c r="AF3" s="66">
        <f t="shared" si="0"/>
        <v>-0.67790881455278462</v>
      </c>
      <c r="AG3" s="66" t="e">
        <f t="shared" si="0"/>
        <v>#DIV/0!</v>
      </c>
      <c r="AH3" s="66" t="e">
        <f t="shared" si="0"/>
        <v>#DIV/0!</v>
      </c>
      <c r="AI3" s="66" t="e">
        <f t="shared" si="0"/>
        <v>#DIV/0!</v>
      </c>
      <c r="AJ3" s="66" t="e">
        <f t="shared" si="0"/>
        <v>#DIV/0!</v>
      </c>
      <c r="AK3" s="66" t="e">
        <f t="shared" si="0"/>
        <v>#DIV/0!</v>
      </c>
      <c r="AL3" s="66" t="e">
        <f t="shared" si="0"/>
        <v>#DIV/0!</v>
      </c>
      <c r="AM3" s="66" t="e">
        <f t="shared" si="0"/>
        <v>#DIV/0!</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1483217632.6600001</v>
      </c>
      <c r="F4" s="26">
        <f>股权价值增加表!F5</f>
        <v>1076327673.26</v>
      </c>
      <c r="G4" s="26">
        <f>股权价值增加表!G5</f>
        <v>763209419.25999999</v>
      </c>
      <c r="H4" s="26">
        <f>股权价值增加表!H5</f>
        <v>379066624.18000001</v>
      </c>
      <c r="I4" s="26">
        <f>股权价值增加表!I5</f>
        <v>1093192340.75</v>
      </c>
      <c r="J4" s="26">
        <f>股权价值增加表!J5</f>
        <v>774816435.69000006</v>
      </c>
      <c r="K4" s="26">
        <f>股权价值增加表!K5</f>
        <v>523069803.54000002</v>
      </c>
      <c r="L4" s="26">
        <f>股权价值增加表!L5</f>
        <v>261347307.03</v>
      </c>
      <c r="M4" s="26">
        <f>股权价值增加表!M5</f>
        <v>1072076772.12</v>
      </c>
      <c r="N4" s="26">
        <f>股权价值增加表!N5</f>
        <v>666132747.07000005</v>
      </c>
      <c r="O4" s="26">
        <f>股权价值增加表!O5</f>
        <v>408201899.26999998</v>
      </c>
      <c r="P4" s="26">
        <f>股权价值增加表!P5</f>
        <v>177861626.05000001</v>
      </c>
      <c r="Q4" s="26">
        <f>股权价值增加表!Q5</f>
        <v>768038724.02999997</v>
      </c>
      <c r="R4" s="26">
        <f>股权价值增加表!R5</f>
        <v>507051456.85000002</v>
      </c>
      <c r="S4" s="26">
        <f>股权价值增加表!S5</f>
        <v>315018885.75999999</v>
      </c>
      <c r="T4" s="26">
        <f>股权价值增加表!T5</f>
        <v>139161166.72</v>
      </c>
      <c r="U4" s="26">
        <f>股权价值增加表!U5</f>
        <v>670813034.48000002</v>
      </c>
      <c r="V4" s="26">
        <f>股权价值增加表!V5</f>
        <v>496650507.01999998</v>
      </c>
      <c r="W4" s="26">
        <f>股权价值增加表!W5</f>
        <v>341931917.73000002</v>
      </c>
      <c r="X4" s="26">
        <f>股权价值增加表!X5</f>
        <v>156289971.44999999</v>
      </c>
      <c r="Y4" s="26">
        <f>股权价值增加表!Y5</f>
        <v>521890826.97000003</v>
      </c>
      <c r="Z4" s="26">
        <f>股权价值增加表!Z5</f>
        <v>355153963.38</v>
      </c>
      <c r="AA4" s="26">
        <f>股权价值增加表!AA5</f>
        <v>254538342.21000001</v>
      </c>
      <c r="AB4" s="26">
        <f>股权价值增加表!AB5</f>
        <v>119441195.91</v>
      </c>
      <c r="AC4" s="26">
        <f>股权价值增加表!AC5</f>
        <v>531176597.10000002</v>
      </c>
      <c r="AD4" s="26">
        <f>股权价值增加表!AD5</f>
        <v>402979000.42000002</v>
      </c>
      <c r="AE4" s="26">
        <f>股权价值增加表!AE5</f>
        <v>294317658.50999999</v>
      </c>
      <c r="AF4" s="26">
        <f>股权价值增加表!AF5</f>
        <v>134954397.66</v>
      </c>
      <c r="AG4" s="26">
        <f>股权价值增加表!AG5</f>
        <v>498840802.37</v>
      </c>
      <c r="AH4" s="26">
        <f>股权价值增加表!AH5</f>
        <v>366482751.81999999</v>
      </c>
      <c r="AI4" s="26">
        <f>股权价值增加表!AI5</f>
        <v>249155678</v>
      </c>
      <c r="AJ4" s="26">
        <f>股权价值增加表!AJ5</f>
        <v>447889209.37</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0.60381979128350272</v>
      </c>
      <c r="F5" s="66">
        <f t="shared" si="2"/>
        <v>0.59885688489514399</v>
      </c>
      <c r="G5" s="66">
        <f t="shared" si="2"/>
        <v>0.6046276272830946</v>
      </c>
      <c r="H5" s="66">
        <f t="shared" si="2"/>
        <v>0.61923147790120237</v>
      </c>
      <c r="I5" s="66">
        <f t="shared" si="2"/>
        <v>0.59174927902173335</v>
      </c>
      <c r="J5" s="66">
        <f t="shared" si="2"/>
        <v>0.58486627251140255</v>
      </c>
      <c r="K5" s="66">
        <f t="shared" si="2"/>
        <v>0.58879295683127231</v>
      </c>
      <c r="L5" s="66">
        <f t="shared" si="2"/>
        <v>0.61784030360167497</v>
      </c>
      <c r="M5" s="66">
        <f t="shared" si="2"/>
        <v>0.6572954001396506</v>
      </c>
      <c r="N5" s="66">
        <f t="shared" si="2"/>
        <v>0.65133980273115022</v>
      </c>
      <c r="O5" s="66">
        <f t="shared" si="2"/>
        <v>0.66359345626603672</v>
      </c>
      <c r="P5" s="66">
        <f t="shared" si="2"/>
        <v>0.66928416663957568</v>
      </c>
      <c r="Q5" s="66">
        <f t="shared" si="2"/>
        <v>0.71860166614347243</v>
      </c>
      <c r="R5" s="66">
        <f t="shared" si="2"/>
        <v>0.71912138737005371</v>
      </c>
      <c r="S5" s="66">
        <f t="shared" si="2"/>
        <v>0.72750751839111505</v>
      </c>
      <c r="T5" s="66">
        <f t="shared" si="2"/>
        <v>0.7064677041335613</v>
      </c>
      <c r="U5" s="66">
        <f t="shared" si="2"/>
        <v>0.69486772896757876</v>
      </c>
      <c r="V5" s="66">
        <f t="shared" si="2"/>
        <v>0.70383159726561828</v>
      </c>
      <c r="W5" s="66">
        <f t="shared" si="2"/>
        <v>0.70767243225399468</v>
      </c>
      <c r="X5" s="66">
        <f t="shared" si="2"/>
        <v>0.70618726124437303</v>
      </c>
      <c r="Y5" s="66">
        <f t="shared" si="2"/>
        <v>0.66097453071674472</v>
      </c>
      <c r="Z5" s="66">
        <f t="shared" si="2"/>
        <v>0.65847211614522139</v>
      </c>
      <c r="AA5" s="66">
        <f t="shared" si="2"/>
        <v>0.64477385974000845</v>
      </c>
      <c r="AB5" s="66">
        <f t="shared" si="2"/>
        <v>0.67240716842382431</v>
      </c>
      <c r="AC5" s="66">
        <f t="shared" si="2"/>
        <v>0.64770480393909824</v>
      </c>
      <c r="AD5" s="66">
        <f t="shared" si="2"/>
        <v>0.62871987412524732</v>
      </c>
      <c r="AE5" s="66">
        <f t="shared" si="2"/>
        <v>0.62727198132944206</v>
      </c>
      <c r="AF5" s="66">
        <f t="shared" si="2"/>
        <v>0.65521252528805862</v>
      </c>
      <c r="AG5" s="66">
        <f t="shared" si="2"/>
        <v>0.68179062227786003</v>
      </c>
      <c r="AH5" s="66">
        <f t="shared" si="2"/>
        <v>0.68091940664926442</v>
      </c>
      <c r="AI5" s="66">
        <f t="shared" si="2"/>
        <v>0.61538931606565828</v>
      </c>
      <c r="AJ5" s="66">
        <f t="shared" si="2"/>
        <v>0.70039750296098913</v>
      </c>
      <c r="AK5" s="66" t="e">
        <f t="shared" ref="AK5:BP5" si="3">AK4/AK2</f>
        <v>#DIV/0!</v>
      </c>
      <c r="AL5" s="66" t="e">
        <f t="shared" si="3"/>
        <v>#DIV/0!</v>
      </c>
      <c r="AM5" s="66" t="e">
        <f t="shared" si="3"/>
        <v>#DIV/0!</v>
      </c>
      <c r="AN5" s="66" t="e">
        <f t="shared" si="3"/>
        <v>#DIV/0!</v>
      </c>
      <c r="AO5" s="66" t="e">
        <f t="shared" si="3"/>
        <v>#DIV/0!</v>
      </c>
      <c r="AP5" s="66" t="e">
        <f t="shared" si="3"/>
        <v>#DIV/0!</v>
      </c>
      <c r="AQ5" s="66" t="e">
        <f t="shared" si="3"/>
        <v>#DIV/0!</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0.35677645860783996</v>
      </c>
      <c r="F6" s="66">
        <f t="shared" ref="F6:BQ6" si="5">(F4-J4)/J4</f>
        <v>0.38913892850181225</v>
      </c>
      <c r="G6" s="66">
        <f t="shared" si="5"/>
        <v>0.45909669052734009</v>
      </c>
      <c r="H6" s="66">
        <f t="shared" si="5"/>
        <v>0.45043248575156364</v>
      </c>
      <c r="I6" s="66">
        <f t="shared" si="5"/>
        <v>1.9695948255874049E-2</v>
      </c>
      <c r="J6" s="66">
        <f t="shared" si="5"/>
        <v>0.16315620136984357</v>
      </c>
      <c r="K6" s="66">
        <f t="shared" si="5"/>
        <v>0.28139973007333346</v>
      </c>
      <c r="L6" s="66">
        <f t="shared" si="5"/>
        <v>0.46938557143591336</v>
      </c>
      <c r="M6" s="66">
        <f t="shared" si="5"/>
        <v>0.39586291495130937</v>
      </c>
      <c r="N6" s="66">
        <f t="shared" si="5"/>
        <v>0.31373796105088542</v>
      </c>
      <c r="O6" s="66">
        <f t="shared" si="5"/>
        <v>0.29580135579868794</v>
      </c>
      <c r="P6" s="66">
        <f t="shared" si="5"/>
        <v>0.27809812350788554</v>
      </c>
      <c r="Q6" s="66">
        <f t="shared" si="5"/>
        <v>0.1449370905939048</v>
      </c>
      <c r="R6" s="66">
        <f t="shared" si="5"/>
        <v>2.0942191104178616E-2</v>
      </c>
      <c r="S6" s="66">
        <f t="shared" si="5"/>
        <v>-7.8708744561399466E-2</v>
      </c>
      <c r="T6" s="66">
        <f t="shared" si="5"/>
        <v>-0.10959631364114623</v>
      </c>
      <c r="U6" s="66">
        <f t="shared" si="5"/>
        <v>0.28535126469766542</v>
      </c>
      <c r="V6" s="66">
        <f t="shared" si="5"/>
        <v>0.39840902321172905</v>
      </c>
      <c r="W6" s="66">
        <f t="shared" si="5"/>
        <v>0.34334149724247948</v>
      </c>
      <c r="X6" s="66">
        <f t="shared" si="5"/>
        <v>0.30850976716413547</v>
      </c>
      <c r="Y6" s="66">
        <f t="shared" si="5"/>
        <v>-1.7481512138705621E-2</v>
      </c>
      <c r="Z6" s="66">
        <f t="shared" si="5"/>
        <v>-0.1186787326142428</v>
      </c>
      <c r="AA6" s="66">
        <f t="shared" si="5"/>
        <v>-0.13515776287900988</v>
      </c>
      <c r="AB6" s="66">
        <f t="shared" si="5"/>
        <v>-0.11495143558851256</v>
      </c>
      <c r="AC6" s="66">
        <f t="shared" si="5"/>
        <v>6.4821872181209272E-2</v>
      </c>
      <c r="AD6" s="66">
        <f t="shared" si="5"/>
        <v>9.9585173978188626E-2</v>
      </c>
      <c r="AE6" s="66">
        <f t="shared" si="5"/>
        <v>0.18126008956536802</v>
      </c>
      <c r="AF6" s="66">
        <f t="shared" si="5"/>
        <v>-0.69868799060860043</v>
      </c>
      <c r="AG6" s="66" t="e">
        <f t="shared" si="5"/>
        <v>#DIV/0!</v>
      </c>
      <c r="AH6" s="66" t="e">
        <f t="shared" si="5"/>
        <v>#DIV/0!</v>
      </c>
      <c r="AI6" s="66" t="e">
        <f t="shared" si="5"/>
        <v>#DIV/0!</v>
      </c>
      <c r="AJ6" s="66" t="e">
        <f t="shared" si="5"/>
        <v>#DIV/0!</v>
      </c>
      <c r="AK6" s="66" t="e">
        <f t="shared" si="5"/>
        <v>#DIV/0!</v>
      </c>
      <c r="AL6" s="66" t="e">
        <f t="shared" si="5"/>
        <v>#DIV/0!</v>
      </c>
      <c r="AM6" s="66" t="e">
        <f t="shared" si="5"/>
        <v>#DIV/0!</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9" t="s">
        <v>355</v>
      </c>
      <c r="E7" s="27">
        <f>股权价值增加表!E6</f>
        <v>973173585.49999976</v>
      </c>
      <c r="F7" s="27">
        <f>股权价值增加表!F6</f>
        <v>720975990.45000005</v>
      </c>
      <c r="G7" s="27">
        <f>股权价值增加表!G6</f>
        <v>499070676.49000001</v>
      </c>
      <c r="H7" s="27">
        <f>股权价值增加表!H6</f>
        <v>233089956.53000003</v>
      </c>
      <c r="I7" s="27">
        <f>股权价值增加表!I6</f>
        <v>754198741.08999991</v>
      </c>
      <c r="J7" s="27">
        <f>股权价值增加表!J6</f>
        <v>549958939.64999986</v>
      </c>
      <c r="K7" s="27">
        <f>股权价值增加表!K6</f>
        <v>365306657.94999999</v>
      </c>
      <c r="L7" s="27">
        <f>股权价值增加表!L6</f>
        <v>161654082.66</v>
      </c>
      <c r="M7" s="27">
        <f>股权价值增加表!M6</f>
        <v>558965787.88</v>
      </c>
      <c r="N7" s="27">
        <f>股权价值增加表!N6</f>
        <v>356578814.96999991</v>
      </c>
      <c r="O7" s="27">
        <f>股权价值增加表!O6</f>
        <v>206936624.80000007</v>
      </c>
      <c r="P7" s="27">
        <f>股权价值增加表!P6</f>
        <v>87887415.859999985</v>
      </c>
      <c r="Q7" s="27">
        <f>股权价值增加表!Q6</f>
        <v>300757467.54000008</v>
      </c>
      <c r="R7" s="27">
        <f>股权价值增加表!R6</f>
        <v>198047106.13999999</v>
      </c>
      <c r="S7" s="27">
        <f>股权价值增加表!S6</f>
        <v>117992289.79000002</v>
      </c>
      <c r="T7" s="27">
        <f>股权价值增加表!T6</f>
        <v>57820472.930000007</v>
      </c>
      <c r="U7" s="27">
        <f>股权价值增加表!U6</f>
        <v>294569305.94999993</v>
      </c>
      <c r="V7" s="27">
        <f>股权价值增加表!V6</f>
        <v>208987757.80000007</v>
      </c>
      <c r="W7" s="27">
        <f>股权价值增加表!W6</f>
        <v>141246318.62</v>
      </c>
      <c r="X7" s="27">
        <f>股权价值增加表!X6</f>
        <v>65025223.580000013</v>
      </c>
      <c r="Y7" s="27">
        <f>股权价值增加表!Y6</f>
        <v>267686989.89999998</v>
      </c>
      <c r="Z7" s="27">
        <f>股权价值增加表!Z6</f>
        <v>184206709.11000001</v>
      </c>
      <c r="AA7" s="27">
        <f>股权价值增加表!AA6</f>
        <v>140233155.36999997</v>
      </c>
      <c r="AB7" s="27">
        <f>股权价值增加表!AB6</f>
        <v>58191050.620000005</v>
      </c>
      <c r="AC7" s="27">
        <f>股权价值增加表!AC6</f>
        <v>288913965.55999994</v>
      </c>
      <c r="AD7" s="27">
        <f>股权价值增加表!AD6</f>
        <v>237972585.49999994</v>
      </c>
      <c r="AE7" s="27">
        <f>股权价值增加表!AE6</f>
        <v>174884963.75</v>
      </c>
      <c r="AF7" s="27">
        <f>股权价值增加表!AF6</f>
        <v>71016020.25999999</v>
      </c>
      <c r="AG7" s="27">
        <f>股权价值增加表!AG6</f>
        <v>232821948.73000002</v>
      </c>
      <c r="AH7" s="27">
        <f>股权价值增加表!AH6</f>
        <v>171734764.44</v>
      </c>
      <c r="AI7" s="27">
        <f>股权价值增加表!AI6</f>
        <v>155719206.06999999</v>
      </c>
      <c r="AJ7" s="27">
        <f>股权价值增加表!AJ6</f>
        <v>191589383.11000001</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0.39618020871649728</v>
      </c>
      <c r="F8" s="66">
        <f t="shared" ref="F8:BQ8" si="7">F7/F2</f>
        <v>0.40114311510485606</v>
      </c>
      <c r="G8" s="66">
        <f t="shared" si="7"/>
        <v>0.3953723727169054</v>
      </c>
      <c r="H8" s="66">
        <f t="shared" si="7"/>
        <v>0.38076852209879763</v>
      </c>
      <c r="I8" s="66">
        <f t="shared" si="7"/>
        <v>0.40825072097826659</v>
      </c>
      <c r="J8" s="66">
        <f t="shared" si="7"/>
        <v>0.41513372748859739</v>
      </c>
      <c r="K8" s="66">
        <f t="shared" si="7"/>
        <v>0.41120704316872769</v>
      </c>
      <c r="L8" s="66">
        <f t="shared" si="7"/>
        <v>0.38215969639832509</v>
      </c>
      <c r="M8" s="66">
        <f t="shared" si="7"/>
        <v>0.34270459986034946</v>
      </c>
      <c r="N8" s="66">
        <f t="shared" si="7"/>
        <v>0.34866019726884978</v>
      </c>
      <c r="O8" s="66">
        <f t="shared" si="7"/>
        <v>0.33640654373396323</v>
      </c>
      <c r="P8" s="66">
        <f t="shared" si="7"/>
        <v>0.33071583336042437</v>
      </c>
      <c r="Q8" s="66">
        <f t="shared" si="7"/>
        <v>0.28139833385652757</v>
      </c>
      <c r="R8" s="66">
        <f t="shared" si="7"/>
        <v>0.28087861262994629</v>
      </c>
      <c r="S8" s="66">
        <f t="shared" si="7"/>
        <v>0.27249248160888495</v>
      </c>
      <c r="T8" s="66">
        <f t="shared" si="7"/>
        <v>0.29353229586643864</v>
      </c>
      <c r="U8" s="66">
        <f t="shared" si="7"/>
        <v>0.3051322710324213</v>
      </c>
      <c r="V8" s="66">
        <f t="shared" si="7"/>
        <v>0.29616840273438172</v>
      </c>
      <c r="W8" s="66">
        <f t="shared" si="7"/>
        <v>0.29232756774600532</v>
      </c>
      <c r="X8" s="66">
        <f t="shared" si="7"/>
        <v>0.29381273875562691</v>
      </c>
      <c r="Y8" s="66">
        <f t="shared" si="7"/>
        <v>0.33902546928325533</v>
      </c>
      <c r="Z8" s="66">
        <f t="shared" si="7"/>
        <v>0.34152788385477861</v>
      </c>
      <c r="AA8" s="66">
        <f t="shared" si="7"/>
        <v>0.3552261402599915</v>
      </c>
      <c r="AB8" s="66">
        <f t="shared" si="7"/>
        <v>0.32759283157617569</v>
      </c>
      <c r="AC8" s="66">
        <f t="shared" si="7"/>
        <v>0.35229519606090176</v>
      </c>
      <c r="AD8" s="66">
        <f t="shared" si="7"/>
        <v>0.37128012587475268</v>
      </c>
      <c r="AE8" s="66">
        <f t="shared" si="7"/>
        <v>0.37272801867055788</v>
      </c>
      <c r="AF8" s="66">
        <f t="shared" si="7"/>
        <v>0.34478747471194138</v>
      </c>
      <c r="AG8" s="66">
        <f t="shared" si="7"/>
        <v>0.31820937772214003</v>
      </c>
      <c r="AH8" s="66">
        <f t="shared" si="7"/>
        <v>0.31908059335073563</v>
      </c>
      <c r="AI8" s="66">
        <f t="shared" si="7"/>
        <v>0.38461068393434167</v>
      </c>
      <c r="AJ8" s="66">
        <f t="shared" si="7"/>
        <v>0.29960249703901082</v>
      </c>
      <c r="AK8" s="66" t="e">
        <f t="shared" si="7"/>
        <v>#DIV/0!</v>
      </c>
      <c r="AL8" s="66" t="e">
        <f t="shared" si="7"/>
        <v>#DIV/0!</v>
      </c>
      <c r="AM8" s="66" t="e">
        <f t="shared" si="7"/>
        <v>#DIV/0!</v>
      </c>
      <c r="AN8" s="66" t="e">
        <f t="shared" si="7"/>
        <v>#DIV/0!</v>
      </c>
      <c r="AO8" s="66" t="e">
        <f t="shared" si="7"/>
        <v>#DIV/0!</v>
      </c>
      <c r="AP8" s="66" t="e">
        <f t="shared" si="7"/>
        <v>#DIV/0!</v>
      </c>
      <c r="AQ8" s="66" t="e">
        <f t="shared" si="7"/>
        <v>#DIV/0!</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0.29034103675846523</v>
      </c>
      <c r="F9" s="66">
        <f t="shared" ref="F9:BQ9" si="9">(F7-J7)/J7</f>
        <v>0.31096330738588845</v>
      </c>
      <c r="G9" s="66">
        <f t="shared" si="9"/>
        <v>0.36616912292441295</v>
      </c>
      <c r="H9" s="66">
        <f t="shared" si="9"/>
        <v>0.44190578236275047</v>
      </c>
      <c r="I9" s="66">
        <f t="shared" si="9"/>
        <v>0.34927531781589638</v>
      </c>
      <c r="J9" s="66">
        <f t="shared" si="9"/>
        <v>0.54232084622377141</v>
      </c>
      <c r="K9" s="66">
        <f t="shared" si="9"/>
        <v>0.7653069305786796</v>
      </c>
      <c r="L9" s="66">
        <f t="shared" si="9"/>
        <v>0.8393313886655448</v>
      </c>
      <c r="M9" s="66">
        <f t="shared" si="9"/>
        <v>0.85852671407288927</v>
      </c>
      <c r="N9" s="66">
        <f t="shared" si="9"/>
        <v>0.80047475532378376</v>
      </c>
      <c r="O9" s="66">
        <f t="shared" si="9"/>
        <v>0.75381480576655591</v>
      </c>
      <c r="P9" s="66">
        <f t="shared" si="9"/>
        <v>0.52000513669959658</v>
      </c>
      <c r="Q9" s="66">
        <f t="shared" si="9"/>
        <v>2.1007489460054363E-2</v>
      </c>
      <c r="R9" s="66">
        <f t="shared" si="9"/>
        <v>-5.2350682045549379E-2</v>
      </c>
      <c r="S9" s="66">
        <f t="shared" si="9"/>
        <v>-0.16463458345106413</v>
      </c>
      <c r="T9" s="66">
        <f t="shared" si="9"/>
        <v>-0.11079932145309826</v>
      </c>
      <c r="U9" s="66">
        <f t="shared" si="9"/>
        <v>0.10042443997761116</v>
      </c>
      <c r="V9" s="66">
        <f t="shared" si="9"/>
        <v>0.1345284805842871</v>
      </c>
      <c r="W9" s="66">
        <f t="shared" si="9"/>
        <v>7.2248481275832112E-3</v>
      </c>
      <c r="X9" s="66">
        <f t="shared" si="9"/>
        <v>0.11744371148458237</v>
      </c>
      <c r="Y9" s="66">
        <f t="shared" si="9"/>
        <v>-7.3471615049330918E-2</v>
      </c>
      <c r="Z9" s="66">
        <f t="shared" si="9"/>
        <v>-0.22593306820209313</v>
      </c>
      <c r="AA9" s="66">
        <f t="shared" si="9"/>
        <v>-0.19814058131112502</v>
      </c>
      <c r="AB9" s="66">
        <f t="shared" si="9"/>
        <v>-0.1805926267488083</v>
      </c>
      <c r="AC9" s="66">
        <f t="shared" si="9"/>
        <v>0.24092237495636187</v>
      </c>
      <c r="AD9" s="66">
        <f t="shared" si="9"/>
        <v>0.38569838364405157</v>
      </c>
      <c r="AE9" s="66">
        <f t="shared" si="9"/>
        <v>0.12307895836165823</v>
      </c>
      <c r="AF9" s="66">
        <f t="shared" si="9"/>
        <v>-0.62933217328004798</v>
      </c>
      <c r="AG9" s="66" t="e">
        <f t="shared" si="9"/>
        <v>#DIV/0!</v>
      </c>
      <c r="AH9" s="66" t="e">
        <f t="shared" si="9"/>
        <v>#DIV/0!</v>
      </c>
      <c r="AI9" s="66" t="e">
        <f t="shared" si="9"/>
        <v>#DIV/0!</v>
      </c>
      <c r="AJ9" s="66" t="e">
        <f t="shared" si="9"/>
        <v>#DIV/0!</v>
      </c>
      <c r="AK9" s="66" t="e">
        <f t="shared" si="9"/>
        <v>#DIV/0!</v>
      </c>
      <c r="AL9" s="66" t="e">
        <f t="shared" si="9"/>
        <v>#DIV/0!</v>
      </c>
      <c r="AM9" s="66" t="e">
        <f t="shared" si="9"/>
        <v>#DIV/0!</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9" t="s">
        <v>358</v>
      </c>
      <c r="E10" s="27">
        <f>股权价值增加表!E8</f>
        <v>29290483.289999999</v>
      </c>
      <c r="F10" s="27">
        <f>股权价值增加表!F8</f>
        <v>20515098.809999999</v>
      </c>
      <c r="G10" s="27">
        <f>股权价值增加表!G8</f>
        <v>14190798.9</v>
      </c>
      <c r="H10" s="27">
        <f>股权价值增加表!H8</f>
        <v>7259068.7199999997</v>
      </c>
      <c r="I10" s="27">
        <f>股权价值增加表!I8</f>
        <v>19407331.18</v>
      </c>
      <c r="J10" s="27">
        <f>股权价值增加表!J8</f>
        <v>7888050.0099999998</v>
      </c>
      <c r="K10" s="27">
        <f>股权价值增加表!K8</f>
        <v>5589750.1100000003</v>
      </c>
      <c r="L10" s="27">
        <f>股权价值增加表!L8</f>
        <v>1931265.36</v>
      </c>
      <c r="M10" s="27">
        <f>股权价值增加表!M8</f>
        <v>13891686.960000001</v>
      </c>
      <c r="N10" s="27">
        <f>股权价值增加表!N8</f>
        <v>11091047.01</v>
      </c>
      <c r="O10" s="27">
        <f>股权价值增加表!O8</f>
        <v>7469738.3899999997</v>
      </c>
      <c r="P10" s="27">
        <f>股权价值增加表!P8</f>
        <v>3557840.46</v>
      </c>
      <c r="Q10" s="27">
        <f>股权价值增加表!Q8</f>
        <v>9556522.0099999998</v>
      </c>
      <c r="R10" s="27">
        <f>股权价值增加表!R8</f>
        <v>6871760.4199999999</v>
      </c>
      <c r="S10" s="27">
        <f>股权价值增加表!S8</f>
        <v>4342226.78</v>
      </c>
      <c r="T10" s="27">
        <f>股权价值增加表!T8</f>
        <v>2075024.7</v>
      </c>
      <c r="U10" s="27">
        <f>股权价值增加表!U8</f>
        <v>7449893.2199999997</v>
      </c>
      <c r="V10" s="27">
        <f>股权价值增加表!V8</f>
        <v>4833119.1500000004</v>
      </c>
      <c r="W10" s="27">
        <f>股权价值增加表!W8</f>
        <v>2868816.48</v>
      </c>
      <c r="X10" s="27">
        <f>股权价值增加表!X8</f>
        <v>591991.57999999996</v>
      </c>
      <c r="Y10" s="27">
        <f>股权价值增加表!Y8</f>
        <v>6498688.8600000003</v>
      </c>
      <c r="Z10" s="27">
        <f>股权价值增加表!Z8</f>
        <v>5460486.7300000004</v>
      </c>
      <c r="AA10" s="27">
        <f>股权价值增加表!AA8</f>
        <v>3884074.67</v>
      </c>
      <c r="AB10" s="27">
        <f>股权价值增加表!AB8</f>
        <v>1261607.6399999999</v>
      </c>
      <c r="AC10" s="27">
        <f>股权价值增加表!AC8</f>
        <v>7563965.7599999998</v>
      </c>
      <c r="AD10" s="27">
        <f>股权价值增加表!AD8</f>
        <v>6183916.9900000002</v>
      </c>
      <c r="AE10" s="27">
        <f>股权价值增加表!AE8</f>
        <v>3394963.58</v>
      </c>
      <c r="AF10" s="27">
        <f>股权价值增加表!AF8</f>
        <v>1168668.52</v>
      </c>
      <c r="AG10" s="27">
        <f>股权价值增加表!AG8</f>
        <v>5622497.25</v>
      </c>
      <c r="AH10" s="27">
        <f>股权价值增加表!AH8</f>
        <v>4295612.0999999996</v>
      </c>
      <c r="AI10" s="27">
        <f>股权价值增加表!AI8</f>
        <v>4126801.4</v>
      </c>
      <c r="AJ10" s="27">
        <f>股权价值增加表!AJ8</f>
        <v>4576691.03</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1.1924193130742633E-2</v>
      </c>
      <c r="F11" s="57">
        <f t="shared" ref="F11:BQ11" si="11">F10/F2</f>
        <v>1.1414375447080915E-2</v>
      </c>
      <c r="G11" s="57">
        <f t="shared" si="11"/>
        <v>1.1242194935798583E-2</v>
      </c>
      <c r="H11" s="57">
        <f t="shared" si="11"/>
        <v>1.185818947103482E-2</v>
      </c>
      <c r="I11" s="57">
        <f t="shared" si="11"/>
        <v>1.050526408337444E-2</v>
      </c>
      <c r="J11" s="57">
        <f t="shared" si="11"/>
        <v>5.9542547037270783E-3</v>
      </c>
      <c r="K11" s="57">
        <f t="shared" si="11"/>
        <v>6.2920961465196597E-3</v>
      </c>
      <c r="L11" s="57">
        <f t="shared" si="11"/>
        <v>4.5656241494037254E-3</v>
      </c>
      <c r="M11" s="57">
        <f t="shared" si="11"/>
        <v>8.5170597632964282E-3</v>
      </c>
      <c r="N11" s="57">
        <f t="shared" si="11"/>
        <v>1.0844745890890994E-2</v>
      </c>
      <c r="O11" s="57">
        <f t="shared" si="11"/>
        <v>1.2143180922204729E-2</v>
      </c>
      <c r="P11" s="57">
        <f t="shared" si="11"/>
        <v>1.3387970976034289E-2</v>
      </c>
      <c r="Q11" s="57">
        <f t="shared" si="11"/>
        <v>8.9413885316732087E-3</v>
      </c>
      <c r="R11" s="57">
        <f t="shared" si="11"/>
        <v>9.7458153805618491E-3</v>
      </c>
      <c r="S11" s="57">
        <f t="shared" si="11"/>
        <v>1.0027978549247862E-2</v>
      </c>
      <c r="T11" s="57">
        <f t="shared" si="11"/>
        <v>1.0534102080208774E-2</v>
      </c>
      <c r="U11" s="57">
        <f t="shared" si="11"/>
        <v>7.717039050747161E-3</v>
      </c>
      <c r="V11" s="57">
        <f t="shared" si="11"/>
        <v>6.8492872211697187E-3</v>
      </c>
      <c r="W11" s="57">
        <f t="shared" si="11"/>
        <v>5.9373876225706371E-3</v>
      </c>
      <c r="X11" s="57">
        <f t="shared" si="11"/>
        <v>2.6748799598678868E-3</v>
      </c>
      <c r="Y11" s="57">
        <f t="shared" si="11"/>
        <v>8.2305869303189606E-3</v>
      </c>
      <c r="Z11" s="57">
        <f t="shared" si="11"/>
        <v>1.0123998668258929E-2</v>
      </c>
      <c r="AA11" s="57">
        <f t="shared" si="11"/>
        <v>9.8387920450434662E-3</v>
      </c>
      <c r="AB11" s="57">
        <f t="shared" si="11"/>
        <v>7.1023570587276739E-3</v>
      </c>
      <c r="AC11" s="57">
        <f t="shared" si="11"/>
        <v>9.2233298423358787E-3</v>
      </c>
      <c r="AD11" s="57">
        <f t="shared" si="11"/>
        <v>9.6480251018083024E-3</v>
      </c>
      <c r="AE11" s="57">
        <f t="shared" si="11"/>
        <v>7.2356023153654575E-3</v>
      </c>
      <c r="AF11" s="57">
        <f t="shared" si="11"/>
        <v>5.6739629496402591E-3</v>
      </c>
      <c r="AG11" s="57">
        <f t="shared" si="11"/>
        <v>7.6845476164353011E-3</v>
      </c>
      <c r="AH11" s="57">
        <f t="shared" si="11"/>
        <v>7.981182273385715E-3</v>
      </c>
      <c r="AI11" s="57">
        <f t="shared" si="11"/>
        <v>1.0192781924419162E-2</v>
      </c>
      <c r="AJ11" s="57">
        <f t="shared" si="11"/>
        <v>7.1569104639623076E-3</v>
      </c>
      <c r="AK11" s="57" t="e">
        <f t="shared" si="11"/>
        <v>#DIV/0!</v>
      </c>
      <c r="AL11" s="57" t="e">
        <f t="shared" si="11"/>
        <v>#DIV/0!</v>
      </c>
      <c r="AM11" s="57" t="e">
        <f t="shared" si="11"/>
        <v>#DIV/0!</v>
      </c>
      <c r="AN11" s="57" t="e">
        <f t="shared" si="11"/>
        <v>#DIV/0!</v>
      </c>
      <c r="AO11" s="57" t="e">
        <f t="shared" si="11"/>
        <v>#DIV/0!</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9" t="s">
        <v>360</v>
      </c>
      <c r="E12" s="27">
        <f>股权价值增加表!E9</f>
        <v>161946615.94</v>
      </c>
      <c r="F12" s="27">
        <f>股权价值增加表!F9</f>
        <v>115835567.73999999</v>
      </c>
      <c r="G12" s="27">
        <f>股权价值增加表!G9</f>
        <v>79063494.579999998</v>
      </c>
      <c r="H12" s="27">
        <f>股权价值增加表!H9</f>
        <v>38085936.170000002</v>
      </c>
      <c r="I12" s="27">
        <f>股权价值增加表!I9</f>
        <v>127782137.45999999</v>
      </c>
      <c r="J12" s="27">
        <f>股权价值增加表!J9</f>
        <v>79823343.730000004</v>
      </c>
      <c r="K12" s="27">
        <f>股权价值增加表!K9</f>
        <v>44739353.159999996</v>
      </c>
      <c r="L12" s="27">
        <f>股权价值增加表!L9</f>
        <v>4311945.47</v>
      </c>
      <c r="M12" s="27">
        <f>股权价值增加表!M9</f>
        <v>38193258.799999997</v>
      </c>
      <c r="N12" s="27">
        <f>股权价值增加表!N9</f>
        <v>30523308.300000001</v>
      </c>
      <c r="O12" s="27">
        <f>股权价值增加表!O9</f>
        <v>16053033.359999999</v>
      </c>
      <c r="P12" s="27">
        <f>股权价值增加表!P9</f>
        <v>7590713.0899999999</v>
      </c>
      <c r="Q12" s="27">
        <f>股权价值增加表!Q9</f>
        <v>24163207.609999999</v>
      </c>
      <c r="R12" s="27">
        <f>股权价值增加表!R9</f>
        <v>15881130.720000001</v>
      </c>
      <c r="S12" s="27">
        <f>股权价值增加表!S9</f>
        <v>11730498.82</v>
      </c>
      <c r="T12" s="27">
        <f>股权价值增加表!T9</f>
        <v>5135968.8099999996</v>
      </c>
      <c r="U12" s="27">
        <f>股权价值增加表!U9</f>
        <v>16340221.83</v>
      </c>
      <c r="V12" s="27">
        <f>股权价值增加表!V9</f>
        <v>12802972.93</v>
      </c>
      <c r="W12" s="27">
        <f>股权价值增加表!W9</f>
        <v>7576609.4900000002</v>
      </c>
      <c r="X12" s="27">
        <f>股权价值增加表!X9</f>
        <v>2902536.7</v>
      </c>
      <c r="Y12" s="27">
        <f>股权价值增加表!Y9</f>
        <v>17382391.079999998</v>
      </c>
      <c r="Z12" s="27">
        <f>股权价值增加表!Z9</f>
        <v>10896233.470000001</v>
      </c>
      <c r="AA12" s="27">
        <f>股权价值增加表!AA9</f>
        <v>7025899.1500000004</v>
      </c>
      <c r="AB12" s="27">
        <f>股权价值增加表!AB9</f>
        <v>4075108.68</v>
      </c>
      <c r="AC12" s="27">
        <f>股权价值增加表!AC9</f>
        <v>18337717.219999999</v>
      </c>
      <c r="AD12" s="27">
        <f>股权价值增加表!AD9</f>
        <v>16095605.960000001</v>
      </c>
      <c r="AE12" s="27">
        <f>股权价值增加表!AE9</f>
        <v>11738887.710000001</v>
      </c>
      <c r="AF12" s="27">
        <f>股权价值增加表!AF9</f>
        <v>3767219.08</v>
      </c>
      <c r="AG12" s="27">
        <f>股权价值增加表!AG9</f>
        <v>10156455.640000001</v>
      </c>
      <c r="AH12" s="27">
        <f>股权价值增加表!AH9</f>
        <v>7771348.21</v>
      </c>
      <c r="AI12" s="27">
        <f>股权价值增加表!AI9</f>
        <v>6459453.6500000004</v>
      </c>
      <c r="AJ12" s="27">
        <f>股权价值增加表!AJ9</f>
        <v>6710158.71</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6.5928674041307131E-2</v>
      </c>
      <c r="F13" s="57">
        <f t="shared" ref="F13:BQ13" si="13">F12/F2</f>
        <v>6.4449636463151605E-2</v>
      </c>
      <c r="G13" s="57">
        <f t="shared" si="13"/>
        <v>6.2635460106041999E-2</v>
      </c>
      <c r="H13" s="57">
        <f t="shared" si="13"/>
        <v>6.2216003829978661E-2</v>
      </c>
      <c r="I13" s="57">
        <f t="shared" si="13"/>
        <v>6.916896953552959E-2</v>
      </c>
      <c r="J13" s="57">
        <f t="shared" si="13"/>
        <v>6.0254247788621193E-2</v>
      </c>
      <c r="K13" s="57">
        <f t="shared" si="13"/>
        <v>5.0360804342972347E-2</v>
      </c>
      <c r="L13" s="57">
        <f t="shared" si="13"/>
        <v>1.0193691025838104E-2</v>
      </c>
      <c r="M13" s="57">
        <f t="shared" si="13"/>
        <v>2.3416469770108264E-2</v>
      </c>
      <c r="N13" s="57">
        <f t="shared" si="13"/>
        <v>2.9845471033020533E-2</v>
      </c>
      <c r="O13" s="57">
        <f t="shared" si="13"/>
        <v>2.6096615204306787E-2</v>
      </c>
      <c r="P13" s="57">
        <f t="shared" si="13"/>
        <v>2.8563463617568608E-2</v>
      </c>
      <c r="Q13" s="57">
        <f t="shared" si="13"/>
        <v>2.260787210937348E-2</v>
      </c>
      <c r="R13" s="57">
        <f t="shared" si="13"/>
        <v>2.2523277671500846E-2</v>
      </c>
      <c r="S13" s="57">
        <f t="shared" si="13"/>
        <v>2.7090522098188834E-2</v>
      </c>
      <c r="T13" s="57">
        <f t="shared" si="13"/>
        <v>2.6073337693430045E-2</v>
      </c>
      <c r="U13" s="57">
        <f t="shared" si="13"/>
        <v>1.6926166085368569E-2</v>
      </c>
      <c r="V13" s="57">
        <f t="shared" si="13"/>
        <v>1.8143818962632202E-2</v>
      </c>
      <c r="W13" s="57">
        <f t="shared" si="13"/>
        <v>1.568077558135654E-2</v>
      </c>
      <c r="X13" s="57">
        <f t="shared" si="13"/>
        <v>1.3114945404478676E-2</v>
      </c>
      <c r="Y13" s="57">
        <f t="shared" si="13"/>
        <v>2.2014791586858779E-2</v>
      </c>
      <c r="Z13" s="57">
        <f t="shared" si="13"/>
        <v>2.0202128233963928E-2</v>
      </c>
      <c r="AA13" s="57">
        <f t="shared" si="13"/>
        <v>1.7797382012302472E-2</v>
      </c>
      <c r="AB13" s="57">
        <f t="shared" si="13"/>
        <v>2.2941266350036068E-2</v>
      </c>
      <c r="AC13" s="57">
        <f t="shared" si="13"/>
        <v>2.2360600225078561E-2</v>
      </c>
      <c r="AD13" s="57">
        <f t="shared" si="13"/>
        <v>2.5112046390987425E-2</v>
      </c>
      <c r="AE13" s="57">
        <f t="shared" si="13"/>
        <v>2.5018802438608521E-2</v>
      </c>
      <c r="AF13" s="57">
        <f t="shared" si="13"/>
        <v>1.8290097762792366E-2</v>
      </c>
      <c r="AG13" s="57">
        <f t="shared" si="13"/>
        <v>1.3881334842768109E-2</v>
      </c>
      <c r="AH13" s="57">
        <f t="shared" si="13"/>
        <v>1.4439047365091417E-2</v>
      </c>
      <c r="AI13" s="57">
        <f t="shared" si="13"/>
        <v>1.5954196973312889E-2</v>
      </c>
      <c r="AJ13" s="57">
        <f t="shared" si="13"/>
        <v>1.0493171763540877E-2</v>
      </c>
      <c r="AK13" s="57" t="e">
        <f t="shared" si="13"/>
        <v>#DIV/0!</v>
      </c>
      <c r="AL13" s="57" t="e">
        <f t="shared" si="13"/>
        <v>#DIV/0!</v>
      </c>
      <c r="AM13" s="57" t="e">
        <f t="shared" si="13"/>
        <v>#DIV/0!</v>
      </c>
      <c r="AN13" s="57" t="e">
        <f t="shared" si="13"/>
        <v>#DIV/0!</v>
      </c>
      <c r="AO13" s="57" t="e">
        <f t="shared" si="13"/>
        <v>#DIV/0!</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9" t="s">
        <v>362</v>
      </c>
      <c r="E14" s="26">
        <f>股权价值增加表!E10</f>
        <v>322376512.32999998</v>
      </c>
      <c r="F14" s="26">
        <f>股权价值增加表!F10</f>
        <v>227571290.36000001</v>
      </c>
      <c r="G14" s="26">
        <f>股权价值增加表!G10</f>
        <v>149051947.09</v>
      </c>
      <c r="H14" s="26">
        <f>股权价值增加表!H10</f>
        <v>70210928.969999999</v>
      </c>
      <c r="I14" s="26">
        <f>股权价值增加表!I10</f>
        <v>248517248.97</v>
      </c>
      <c r="J14" s="26">
        <f>股权价值增加表!J10</f>
        <v>179481284.69999999</v>
      </c>
      <c r="K14" s="26">
        <f>股权价值增加表!K10</f>
        <v>114411910.42</v>
      </c>
      <c r="L14" s="26">
        <f>股权价值增加表!L10</f>
        <v>50658210.920000002</v>
      </c>
      <c r="M14" s="26">
        <f>股权价值增加表!M10</f>
        <v>251304890.34999999</v>
      </c>
      <c r="N14" s="26">
        <f>股权价值增加表!N10</f>
        <v>172162246.28</v>
      </c>
      <c r="O14" s="26">
        <f>股权价值增加表!O10</f>
        <v>121462995.86</v>
      </c>
      <c r="P14" s="26">
        <f>股权价值增加表!P10</f>
        <v>51106501.609999999</v>
      </c>
      <c r="Q14" s="26">
        <f>股权价值增加表!Q10</f>
        <v>159983783.44</v>
      </c>
      <c r="R14" s="26">
        <f>股权价值增加表!R10</f>
        <v>111377146.03</v>
      </c>
      <c r="S14" s="26">
        <f>股权价值增加表!S10</f>
        <v>65725165.530000001</v>
      </c>
      <c r="T14" s="26">
        <f>股权价值增加表!T10</f>
        <v>31816342.18</v>
      </c>
      <c r="U14" s="26">
        <f>股权价值增加表!U10</f>
        <v>122575848.34999999</v>
      </c>
      <c r="V14" s="26">
        <f>股权价值增加表!V10</f>
        <v>86828470.189999998</v>
      </c>
      <c r="W14" s="26">
        <f>股权价值增加表!W10</f>
        <v>53964969.229999997</v>
      </c>
      <c r="X14" s="26">
        <f>股权价值增加表!X10</f>
        <v>25488351.719999999</v>
      </c>
      <c r="Y14" s="26">
        <f>股权价值增加表!Y10</f>
        <v>116980991.06999999</v>
      </c>
      <c r="Z14" s="26">
        <f>股权价值增加表!Z10</f>
        <v>78100978.640000001</v>
      </c>
      <c r="AA14" s="26">
        <f>股权价值增加表!AA10</f>
        <v>49409278.43</v>
      </c>
      <c r="AB14" s="26">
        <f>股权价值增加表!AB10</f>
        <v>23011740.16</v>
      </c>
      <c r="AC14" s="26">
        <f>股权价值增加表!AC10</f>
        <v>102116537.31</v>
      </c>
      <c r="AD14" s="26">
        <f>股权价值增加表!AD10</f>
        <v>82818317.629999995</v>
      </c>
      <c r="AE14" s="26">
        <f>股权价值增加表!AE10</f>
        <v>57192219.799999997</v>
      </c>
      <c r="AF14" s="26">
        <f>股权价值增加表!AF10</f>
        <v>26394348.949999999</v>
      </c>
      <c r="AG14" s="26">
        <f>股权价值增加表!AG10</f>
        <v>80905786.969999999</v>
      </c>
      <c r="AH14" s="26">
        <f>股权价值增加表!AH10</f>
        <v>58116124.539999999</v>
      </c>
      <c r="AI14" s="26">
        <f>股权价值增加表!AI10</f>
        <v>49034496.270000003</v>
      </c>
      <c r="AJ14" s="26">
        <f>股权价值增加表!AJ10</f>
        <v>47734088.259999998</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0.13123988961802321</v>
      </c>
      <c r="F15" s="57">
        <f t="shared" ref="F15:BQ15" si="15">F14/F2</f>
        <v>0.12661816417279573</v>
      </c>
      <c r="G15" s="57">
        <f t="shared" si="15"/>
        <v>0.1180815158155836</v>
      </c>
      <c r="H15" s="57">
        <f t="shared" si="15"/>
        <v>0.11469439549039394</v>
      </c>
      <c r="I15" s="57">
        <f t="shared" si="15"/>
        <v>0.13452335643110122</v>
      </c>
      <c r="J15" s="57">
        <f t="shared" si="15"/>
        <v>0.13548054110979879</v>
      </c>
      <c r="K15" s="57">
        <f t="shared" si="15"/>
        <v>0.12878764282892685</v>
      </c>
      <c r="L15" s="57">
        <f t="shared" si="15"/>
        <v>0.11975897043062975</v>
      </c>
      <c r="M15" s="57">
        <f t="shared" si="15"/>
        <v>0.15407623106413607</v>
      </c>
      <c r="N15" s="57">
        <f t="shared" si="15"/>
        <v>0.16833900453475703</v>
      </c>
      <c r="O15" s="57">
        <f t="shared" si="15"/>
        <v>0.19745633074051797</v>
      </c>
      <c r="P15" s="57">
        <f t="shared" si="15"/>
        <v>0.19231114152918755</v>
      </c>
      <c r="Q15" s="57">
        <f t="shared" si="15"/>
        <v>0.14968595949522709</v>
      </c>
      <c r="R15" s="57">
        <f t="shared" si="15"/>
        <v>0.15795968376066538</v>
      </c>
      <c r="S15" s="57">
        <f t="shared" si="15"/>
        <v>0.15178630308217225</v>
      </c>
      <c r="T15" s="57">
        <f t="shared" si="15"/>
        <v>0.16151932858581014</v>
      </c>
      <c r="U15" s="57">
        <f t="shared" si="15"/>
        <v>0.12697129750208849</v>
      </c>
      <c r="V15" s="57">
        <f t="shared" si="15"/>
        <v>0.1230495489245455</v>
      </c>
      <c r="W15" s="57">
        <f t="shared" si="15"/>
        <v>0.11168749991237058</v>
      </c>
      <c r="X15" s="57">
        <f t="shared" si="15"/>
        <v>0.11516765361070201</v>
      </c>
      <c r="Y15" s="57">
        <f t="shared" si="15"/>
        <v>0.14815637999270226</v>
      </c>
      <c r="Z15" s="57">
        <f t="shared" si="15"/>
        <v>0.14480287982333015</v>
      </c>
      <c r="AA15" s="57">
        <f t="shared" si="15"/>
        <v>0.12515918381363708</v>
      </c>
      <c r="AB15" s="57">
        <f t="shared" si="15"/>
        <v>0.12954708736464463</v>
      </c>
      <c r="AC15" s="57">
        <f t="shared" si="15"/>
        <v>0.1245186104553874</v>
      </c>
      <c r="AD15" s="57">
        <f t="shared" si="15"/>
        <v>0.12921150278632265</v>
      </c>
      <c r="AE15" s="57">
        <f t="shared" si="15"/>
        <v>0.12189237034636174</v>
      </c>
      <c r="AF15" s="57">
        <f t="shared" si="15"/>
        <v>0.12814630963292847</v>
      </c>
      <c r="AG15" s="57">
        <f t="shared" si="15"/>
        <v>0.11057797714638913</v>
      </c>
      <c r="AH15" s="57">
        <f t="shared" si="15"/>
        <v>0.10797887988455115</v>
      </c>
      <c r="AI15" s="57">
        <f t="shared" si="15"/>
        <v>0.12111024466887477</v>
      </c>
      <c r="AJ15" s="57">
        <f t="shared" si="15"/>
        <v>7.4645326397682191E-2</v>
      </c>
      <c r="AK15" s="57" t="e">
        <f t="shared" si="15"/>
        <v>#DIV/0!</v>
      </c>
      <c r="AL15" s="57" t="e">
        <f t="shared" si="15"/>
        <v>#DIV/0!</v>
      </c>
      <c r="AM15" s="57" t="e">
        <f t="shared" si="15"/>
        <v>#DIV/0!</v>
      </c>
      <c r="AN15" s="57" t="e">
        <f t="shared" si="15"/>
        <v>#DIV/0!</v>
      </c>
      <c r="AO15" s="57" t="e">
        <f t="shared" si="15"/>
        <v>#DIV/0!</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9" t="s">
        <v>364</v>
      </c>
      <c r="E16" s="26">
        <f>股权价值增加表!E11</f>
        <v>18676311.399999999</v>
      </c>
      <c r="F16" s="26">
        <f>股权价值增加表!F11</f>
        <v>4048475.53</v>
      </c>
      <c r="G16" s="26">
        <f>股权价值增加表!G11</f>
        <v>3804468.86</v>
      </c>
      <c r="H16" s="26">
        <f>股权价值增加表!H11</f>
        <v>-29469.7</v>
      </c>
      <c r="I16" s="26">
        <f>股权价值增加表!I11</f>
        <v>16123802.359999999</v>
      </c>
      <c r="J16" s="26">
        <f>股权价值增加表!J11</f>
        <v>2895422.65</v>
      </c>
      <c r="K16" s="26">
        <f>股权价值增加表!K11</f>
        <v>1581627.7</v>
      </c>
      <c r="L16" s="26">
        <f>股权价值增加表!L11</f>
        <v>-337282.13</v>
      </c>
      <c r="M16" s="26">
        <f>股权价值增加表!M11</f>
        <v>29378762.280000001</v>
      </c>
      <c r="N16" s="26">
        <f>股权价值增加表!N11</f>
        <v>-4028430.7</v>
      </c>
      <c r="O16" s="26">
        <f>股权价值增加表!O11</f>
        <v>-4028430.7</v>
      </c>
      <c r="P16" s="26">
        <f>股权价值增加表!P11</f>
        <v>0</v>
      </c>
      <c r="Q16" s="26">
        <f>股权价值增加表!Q11</f>
        <v>15117518.52</v>
      </c>
      <c r="R16" s="26">
        <f>股权价值增加表!R11</f>
        <v>676735.04</v>
      </c>
      <c r="S16" s="26">
        <f>股权价值增加表!S11</f>
        <v>676735.04</v>
      </c>
      <c r="T16" s="26">
        <f>股权价值增加表!T11</f>
        <v>0</v>
      </c>
      <c r="U16" s="26">
        <f>股权价值增加表!U11</f>
        <v>5455016.3399999999</v>
      </c>
      <c r="V16" s="26">
        <f>股权价值增加表!V11</f>
        <v>878118.94</v>
      </c>
      <c r="W16" s="26">
        <f>股权价值增加表!W11</f>
        <v>878118.94</v>
      </c>
      <c r="X16" s="26">
        <f>股权价值增加表!X11</f>
        <v>0</v>
      </c>
      <c r="Y16" s="26">
        <f>股权价值增加表!Y11</f>
        <v>14104415.439999999</v>
      </c>
      <c r="Z16" s="26">
        <f>股权价值增加表!Z11</f>
        <v>2658839.17</v>
      </c>
      <c r="AA16" s="26">
        <f>股权价值增加表!AA11</f>
        <v>4612662.8600000003</v>
      </c>
      <c r="AB16" s="26">
        <f>股权价值增加表!AB11</f>
        <v>0</v>
      </c>
      <c r="AC16" s="26">
        <f>股权价值增加表!AC11</f>
        <v>16632824.51</v>
      </c>
      <c r="AD16" s="26">
        <f>股权价值增加表!AD11</f>
        <v>9905317.9499999993</v>
      </c>
      <c r="AE16" s="26">
        <f>股权价值增加表!AE11</f>
        <v>9905317.9499999993</v>
      </c>
      <c r="AF16" s="26">
        <f>股权价值增加表!AF11</f>
        <v>632790.14</v>
      </c>
      <c r="AG16" s="26">
        <f>股权价值增加表!AG11</f>
        <v>10951177.859999999</v>
      </c>
      <c r="AH16" s="26">
        <f>股权价值增加表!AH11</f>
        <v>8545607.7699999996</v>
      </c>
      <c r="AI16" s="26">
        <f>股权价值增加表!AI11</f>
        <v>7466337.8700000001</v>
      </c>
      <c r="AJ16" s="26">
        <f>股权价值增加表!AJ11</f>
        <v>2619604.33</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671</v>
      </c>
      <c r="E17" s="57">
        <f>E16/E2</f>
        <v>7.6031502074778608E-3</v>
      </c>
      <c r="F17" s="57">
        <f t="shared" ref="F17:BQ17" si="17">F16/F2</f>
        <v>2.2525272783582512E-3</v>
      </c>
      <c r="G17" s="57">
        <f t="shared" si="17"/>
        <v>3.0139656585011156E-3</v>
      </c>
      <c r="H17" s="57">
        <f t="shared" si="17"/>
        <v>-4.8140787714509319E-5</v>
      </c>
      <c r="I17" s="57">
        <f t="shared" si="17"/>
        <v>8.7278771227696453E-3</v>
      </c>
      <c r="J17" s="57">
        <f t="shared" si="17"/>
        <v>2.1855951611848899E-3</v>
      </c>
      <c r="K17" s="57">
        <f t="shared" si="17"/>
        <v>1.780357504460741E-3</v>
      </c>
      <c r="L17" s="57">
        <f t="shared" si="17"/>
        <v>-7.9735466175933831E-4</v>
      </c>
      <c r="M17" s="57">
        <f t="shared" si="17"/>
        <v>1.8012259765925423E-2</v>
      </c>
      <c r="N17" s="57">
        <f t="shared" si="17"/>
        <v>-3.9389705265133607E-3</v>
      </c>
      <c r="O17" s="57">
        <f t="shared" si="17"/>
        <v>-6.5488187495497882E-3</v>
      </c>
      <c r="P17" s="57">
        <f t="shared" si="17"/>
        <v>0</v>
      </c>
      <c r="Q17" s="57">
        <f t="shared" si="17"/>
        <v>1.4144435243349095E-2</v>
      </c>
      <c r="R17" s="57">
        <f t="shared" si="17"/>
        <v>9.5977367636416208E-4</v>
      </c>
      <c r="S17" s="57">
        <f t="shared" si="17"/>
        <v>1.562858139031696E-3</v>
      </c>
      <c r="T17" s="57">
        <f t="shared" si="17"/>
        <v>0</v>
      </c>
      <c r="U17" s="57">
        <f t="shared" si="17"/>
        <v>5.6506278513135328E-3</v>
      </c>
      <c r="V17" s="57">
        <f t="shared" si="17"/>
        <v>1.2444321457312092E-3</v>
      </c>
      <c r="W17" s="57">
        <f t="shared" si="17"/>
        <v>1.8173809868454352E-3</v>
      </c>
      <c r="X17" s="57">
        <f t="shared" si="17"/>
        <v>0</v>
      </c>
      <c r="Y17" s="57">
        <f t="shared" si="17"/>
        <v>1.786323670529642E-2</v>
      </c>
      <c r="Z17" s="57">
        <f t="shared" si="17"/>
        <v>4.9296126054672552E-3</v>
      </c>
      <c r="AA17" s="57">
        <f t="shared" si="17"/>
        <v>1.168438676114212E-2</v>
      </c>
      <c r="AB17" s="57">
        <f t="shared" si="17"/>
        <v>0</v>
      </c>
      <c r="AC17" s="57">
        <f t="shared" si="17"/>
        <v>2.0281692373157786E-2</v>
      </c>
      <c r="AD17" s="57">
        <f t="shared" si="17"/>
        <v>1.5454081349658018E-2</v>
      </c>
      <c r="AE17" s="57">
        <f t="shared" si="17"/>
        <v>2.1110960340096203E-2</v>
      </c>
      <c r="AF17" s="57">
        <f t="shared" si="17"/>
        <v>3.0722379766485648E-3</v>
      </c>
      <c r="AG17" s="57">
        <f t="shared" si="17"/>
        <v>1.4967521366279376E-2</v>
      </c>
      <c r="AH17" s="57">
        <f t="shared" si="17"/>
        <v>1.5877609910175835E-2</v>
      </c>
      <c r="AI17" s="57">
        <f t="shared" si="17"/>
        <v>1.8441099124116386E-2</v>
      </c>
      <c r="AJ17" s="57">
        <f t="shared" si="17"/>
        <v>4.0964691559740203E-3</v>
      </c>
      <c r="AK17" s="57" t="e">
        <f t="shared" si="17"/>
        <v>#DIV/0!</v>
      </c>
      <c r="AL17" s="57" t="e">
        <f t="shared" si="17"/>
        <v>#DIV/0!</v>
      </c>
      <c r="AM17" s="57" t="e">
        <f t="shared" si="17"/>
        <v>#DIV/0!</v>
      </c>
      <c r="AN17" s="57" t="e">
        <f t="shared" si="17"/>
        <v>#DIV/0!</v>
      </c>
      <c r="AO17" s="57" t="e">
        <f t="shared" si="17"/>
        <v>#DIV/0!</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9" t="s">
        <v>365</v>
      </c>
      <c r="E18" s="26">
        <f>股权价值增加表!E12</f>
        <v>3026262.43</v>
      </c>
      <c r="F18" s="26">
        <f>股权价值增加表!F12</f>
        <v>0</v>
      </c>
      <c r="G18" s="26">
        <f>股权价值增加表!G12</f>
        <v>0</v>
      </c>
      <c r="H18" s="26">
        <f>股权价值增加表!H12</f>
        <v>0</v>
      </c>
      <c r="I18" s="26">
        <f>股权价值增加表!I12</f>
        <v>2421047.4300000002</v>
      </c>
      <c r="J18" s="26">
        <f>股权价值增加表!J12</f>
        <v>0</v>
      </c>
      <c r="K18" s="26">
        <f>股权价值增加表!K12</f>
        <v>0</v>
      </c>
      <c r="L18" s="26">
        <f>股权价值增加表!L12</f>
        <v>0</v>
      </c>
      <c r="M18" s="26">
        <f>股权价值增加表!M12</f>
        <v>270013.73</v>
      </c>
      <c r="N18" s="26">
        <f>股权价值增加表!N12</f>
        <v>0</v>
      </c>
      <c r="O18" s="26">
        <f>股权价值增加表!O12</f>
        <v>0</v>
      </c>
      <c r="P18" s="26">
        <f>股权价值增加表!P12</f>
        <v>0</v>
      </c>
      <c r="Q18" s="26">
        <f>股权价值增加表!Q12</f>
        <v>283627.51</v>
      </c>
      <c r="R18" s="26">
        <f>股权价值增加表!R12</f>
        <v>0</v>
      </c>
      <c r="S18" s="26">
        <f>股权价值增加表!S12</f>
        <v>0</v>
      </c>
      <c r="T18" s="26">
        <f>股权价值增加表!T12</f>
        <v>0</v>
      </c>
      <c r="U18" s="26">
        <f>股权价值增加表!U12</f>
        <v>545832.66</v>
      </c>
      <c r="V18" s="26">
        <f>股权价值增加表!V12</f>
        <v>0</v>
      </c>
      <c r="W18" s="26">
        <f>股权价值增加表!W12</f>
        <v>0</v>
      </c>
      <c r="X18" s="26">
        <f>股权价值增加表!X12</f>
        <v>0</v>
      </c>
      <c r="Y18" s="26">
        <f>股权价值增加表!Y12</f>
        <v>132352.54</v>
      </c>
      <c r="Z18" s="26">
        <f>股权价值增加表!Z12</f>
        <v>0</v>
      </c>
      <c r="AA18" s="26">
        <f>股权价值增加表!AA12</f>
        <v>0</v>
      </c>
      <c r="AB18" s="26">
        <f>股权价值增加表!AB12</f>
        <v>0</v>
      </c>
      <c r="AC18" s="26">
        <f>股权价值增加表!AC12</f>
        <v>660384.18000000005</v>
      </c>
      <c r="AD18" s="26">
        <f>股权价值增加表!AD12</f>
        <v>0</v>
      </c>
      <c r="AE18" s="26">
        <f>股权价值增加表!AE12</f>
        <v>0</v>
      </c>
      <c r="AF18" s="26">
        <f>股权价值增加表!AF12</f>
        <v>0</v>
      </c>
      <c r="AG18" s="26">
        <f>股权价值增加表!AG12</f>
        <v>2420249.7999999998</v>
      </c>
      <c r="AH18" s="26">
        <f>股权价值增加表!AH12</f>
        <v>0</v>
      </c>
      <c r="AI18" s="26">
        <f>股权价值增加表!AI12</f>
        <v>0</v>
      </c>
      <c r="AJ18" s="26">
        <f>股权价值增加表!AJ12</f>
        <v>0</v>
      </c>
      <c r="AK18" s="26">
        <f>股权价值增加表!AK12</f>
        <v>10870060.949999999</v>
      </c>
      <c r="AL18" s="26">
        <f>股权价值增加表!AL12</f>
        <v>0</v>
      </c>
      <c r="AM18" s="26">
        <f>股权价值增加表!AM12</f>
        <v>0</v>
      </c>
      <c r="AN18" s="26">
        <f>股权价值增加表!AN12</f>
        <v>0</v>
      </c>
      <c r="AO18" s="26">
        <f>股权价值增加表!AO12</f>
        <v>12110695.470000001</v>
      </c>
      <c r="AP18" s="26">
        <f>股权价值增加表!AP12</f>
        <v>0</v>
      </c>
      <c r="AQ18" s="26">
        <f>股权价值增加表!AQ12</f>
        <v>0</v>
      </c>
      <c r="AR18" s="26">
        <f>股权价值增加表!AR12</f>
        <v>0</v>
      </c>
      <c r="AS18" s="26">
        <f>股权价值增加表!AS12</f>
        <v>-475235.25</v>
      </c>
      <c r="AT18" s="26">
        <f>股权价值增加表!AT12</f>
        <v>0</v>
      </c>
      <c r="AU18" s="26">
        <f>股权价值增加表!AU12</f>
        <v>0</v>
      </c>
      <c r="AV18" s="26">
        <f>股权价值增加表!AV12</f>
        <v>0</v>
      </c>
      <c r="AW18" s="26">
        <f>股权价值增加表!AW12</f>
        <v>2970451.97</v>
      </c>
      <c r="AX18" s="26">
        <f>股权价值增加表!AX12</f>
        <v>0</v>
      </c>
      <c r="AY18" s="26">
        <f>股权价值增加表!AY12</f>
        <v>0</v>
      </c>
      <c r="AZ18" s="26">
        <f>股权价值增加表!AZ12</f>
        <v>0</v>
      </c>
      <c r="BA18" s="26">
        <f>股权价值增加表!BA12</f>
        <v>1288210.29</v>
      </c>
      <c r="BB18" s="26">
        <f>股权价值增加表!BB12</f>
        <v>0</v>
      </c>
      <c r="BC18" s="26">
        <f>股权价值增加表!BC12</f>
        <v>0</v>
      </c>
      <c r="BD18" s="26">
        <f>股权价值增加表!BD12</f>
        <v>0</v>
      </c>
      <c r="BE18" s="26">
        <f>股权价值增加表!BE12</f>
        <v>1282524.67</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1.2319952976655208E-3</v>
      </c>
      <c r="F19" s="57">
        <f t="shared" ref="F19:BQ19" si="19">F18/F2</f>
        <v>0</v>
      </c>
      <c r="G19" s="57">
        <f t="shared" si="19"/>
        <v>0</v>
      </c>
      <c r="H19" s="57">
        <f t="shared" si="19"/>
        <v>0</v>
      </c>
      <c r="I19" s="57">
        <f t="shared" si="19"/>
        <v>1.3105224193182955E-3</v>
      </c>
      <c r="J19" s="57">
        <f t="shared" si="19"/>
        <v>0</v>
      </c>
      <c r="K19" s="57">
        <f t="shared" si="19"/>
        <v>0</v>
      </c>
      <c r="L19" s="57">
        <f t="shared" si="19"/>
        <v>0</v>
      </c>
      <c r="M19" s="57">
        <f t="shared" si="19"/>
        <v>1.6554671019743347E-4</v>
      </c>
      <c r="N19" s="57">
        <f t="shared" si="19"/>
        <v>0</v>
      </c>
      <c r="O19" s="57">
        <f t="shared" si="19"/>
        <v>0</v>
      </c>
      <c r="P19" s="57">
        <f t="shared" si="19"/>
        <v>0</v>
      </c>
      <c r="Q19" s="57">
        <f t="shared" si="19"/>
        <v>2.653709961142054E-4</v>
      </c>
      <c r="R19" s="57">
        <f t="shared" si="19"/>
        <v>0</v>
      </c>
      <c r="S19" s="57">
        <f t="shared" si="19"/>
        <v>0</v>
      </c>
      <c r="T19" s="57">
        <f t="shared" si="19"/>
        <v>0</v>
      </c>
      <c r="U19" s="57">
        <f t="shared" si="19"/>
        <v>5.6540568139756484E-4</v>
      </c>
      <c r="V19" s="57">
        <f t="shared" si="19"/>
        <v>0</v>
      </c>
      <c r="W19" s="57">
        <f t="shared" si="19"/>
        <v>0</v>
      </c>
      <c r="X19" s="57">
        <f t="shared" si="19"/>
        <v>0</v>
      </c>
      <c r="Y19" s="57">
        <f t="shared" si="19"/>
        <v>1.6762444077350668E-4</v>
      </c>
      <c r="Z19" s="57">
        <f t="shared" si="19"/>
        <v>0</v>
      </c>
      <c r="AA19" s="57">
        <f t="shared" si="19"/>
        <v>0</v>
      </c>
      <c r="AB19" s="57">
        <f t="shared" si="19"/>
        <v>0</v>
      </c>
      <c r="AC19" s="57">
        <f t="shared" si="19"/>
        <v>8.0525762649677956E-4</v>
      </c>
      <c r="AD19" s="57">
        <f t="shared" si="19"/>
        <v>0</v>
      </c>
      <c r="AE19" s="57">
        <f t="shared" si="19"/>
        <v>0</v>
      </c>
      <c r="AF19" s="57">
        <f t="shared" si="19"/>
        <v>0</v>
      </c>
      <c r="AG19" s="57">
        <f t="shared" si="19"/>
        <v>3.3078761989199751E-3</v>
      </c>
      <c r="AH19" s="57">
        <f t="shared" si="19"/>
        <v>0</v>
      </c>
      <c r="AI19" s="57">
        <f t="shared" si="19"/>
        <v>0</v>
      </c>
      <c r="AJ19" s="57">
        <f t="shared" si="19"/>
        <v>0</v>
      </c>
      <c r="AK19" s="57" t="e">
        <f t="shared" si="19"/>
        <v>#DIV/0!</v>
      </c>
      <c r="AL19" s="57" t="e">
        <f t="shared" si="19"/>
        <v>#DIV/0!</v>
      </c>
      <c r="AM19" s="57" t="e">
        <f t="shared" si="19"/>
        <v>#DIV/0!</v>
      </c>
      <c r="AN19" s="57" t="e">
        <f t="shared" si="19"/>
        <v>#DIV/0!</v>
      </c>
      <c r="AO19" s="57" t="e">
        <f t="shared" si="19"/>
        <v>#DIV/0!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9" t="s">
        <v>367</v>
      </c>
      <c r="E20" s="26">
        <f>股权价值增加表!E13-股权价值增加表!E14</f>
        <v>2643981.34</v>
      </c>
      <c r="F20" s="26">
        <f>股权价值增加表!F13-股权价值增加表!F14</f>
        <v>5981878.4100000001</v>
      </c>
      <c r="G20" s="26">
        <f>股权价值增加表!G13-股权价值增加表!G14</f>
        <v>2792775.0599999996</v>
      </c>
      <c r="H20" s="26">
        <f>股权价值增加表!H13-股权价值增加表!H14</f>
        <v>737074.90999999992</v>
      </c>
      <c r="I20" s="26">
        <f>股权价值增加表!I13-股权价值增加表!I14</f>
        <v>7510311.8599999994</v>
      </c>
      <c r="J20" s="26">
        <f>股权价值增加表!J13-股权价值增加表!J14</f>
        <v>6543934.0399999991</v>
      </c>
      <c r="K20" s="26">
        <f>股权价值增加表!K13-股权价值增加表!K14</f>
        <v>4372707.21</v>
      </c>
      <c r="L20" s="26">
        <f>股权价值增加表!L13-股权价值增加表!L14</f>
        <v>540460.8600000001</v>
      </c>
      <c r="M20" s="26">
        <f>股权价值增加表!M13-股权价值增加表!M14</f>
        <v>4192156.7</v>
      </c>
      <c r="N20" s="26">
        <f>股权价值增加表!N13-股权价值增加表!N14</f>
        <v>2669012.7300000004</v>
      </c>
      <c r="O20" s="26">
        <f>股权价值增加表!O13-股权价值增加表!O14</f>
        <v>1754380.26</v>
      </c>
      <c r="P20" s="26">
        <f>股权价值增加表!P13-股权价值增加表!P14</f>
        <v>766278.62</v>
      </c>
      <c r="Q20" s="26">
        <f>股权价值增加表!Q13-股权价值增加表!Q14</f>
        <v>11837004.690000001</v>
      </c>
      <c r="R20" s="26">
        <f>股权价值增加表!R13-股权价值增加表!R14</f>
        <v>5107701.0199999996</v>
      </c>
      <c r="S20" s="26">
        <f>股权价值增加表!S13-股权价值增加表!S14</f>
        <v>1582827.4400000002</v>
      </c>
      <c r="T20" s="26">
        <f>股权价值增加表!T13-股权价值增加表!T14</f>
        <v>635938.26</v>
      </c>
      <c r="U20" s="26">
        <f>股权价值增加表!U13-股权价值增加表!U14</f>
        <v>8999119.8299999982</v>
      </c>
      <c r="V20" s="26">
        <f>股权价值增加表!V13-股权价值增加表!V14</f>
        <v>7680954.0800000001</v>
      </c>
      <c r="W20" s="26">
        <f>股权价值增加表!W13-股权价值增加表!W14</f>
        <v>1800460.74</v>
      </c>
      <c r="X20" s="26">
        <f>股权价值增加表!X13-股权价值增加表!X14</f>
        <v>718626.67999999993</v>
      </c>
      <c r="Y20" s="26">
        <f>股权价值增加表!Y13-股权价值增加表!Y14</f>
        <v>9217999.4900000002</v>
      </c>
      <c r="Z20" s="26">
        <f>股权价值增加表!Z13-股权价值增加表!Z14</f>
        <v>5914596.75</v>
      </c>
      <c r="AA20" s="26">
        <f>股权价值增加表!AA13-股权价值增加表!AA14</f>
        <v>4811701.42</v>
      </c>
      <c r="AB20" s="26">
        <f>股权价值增加表!AB13-股权价值增加表!AB14</f>
        <v>4150741.44</v>
      </c>
      <c r="AC20" s="26">
        <f>股权价值增加表!AC13-股权价值增加表!AC14</f>
        <v>9983507.2600000016</v>
      </c>
      <c r="AD20" s="26">
        <f>股权价值增加表!AD13-股权价值增加表!AD14</f>
        <v>7988985.0699999994</v>
      </c>
      <c r="AE20" s="26">
        <f>股权价值增加表!AE13-股权价值增加表!AE14</f>
        <v>4698549.92</v>
      </c>
      <c r="AF20" s="26">
        <f>股权价值增加表!AF13-股权价值增加表!AF14</f>
        <v>128668.95999999999</v>
      </c>
      <c r="AG20" s="26">
        <f>股权价值增加表!AG13-股权价值增加表!AG14</f>
        <v>284293.52</v>
      </c>
      <c r="AH20" s="26">
        <f>股权价值增加表!AH13-股权价值增加表!AH14</f>
        <v>178155.80000000005</v>
      </c>
      <c r="AI20" s="26">
        <f>股权价值增加表!AI13-股权价值增加表!AI14</f>
        <v>421833.05</v>
      </c>
      <c r="AJ20" s="26">
        <f>股权价值增加表!AJ13-股权价值增加表!AJ14</f>
        <v>275709.03000000003</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1.076368178021951E-3</v>
      </c>
      <c r="F21" s="57">
        <f t="shared" ref="F21:BQ21" si="21">F20/F2</f>
        <v>3.3282513861081146E-3</v>
      </c>
      <c r="G21" s="57">
        <f t="shared" si="21"/>
        <v>2.2124844314689415E-3</v>
      </c>
      <c r="H21" s="57">
        <f t="shared" si="21"/>
        <v>1.2040627075267497E-3</v>
      </c>
      <c r="I21" s="57">
        <f t="shared" si="21"/>
        <v>4.0653611105017006E-3</v>
      </c>
      <c r="J21" s="57">
        <f t="shared" si="21"/>
        <v>4.9396555535465899E-3</v>
      </c>
      <c r="K21" s="57">
        <f t="shared" si="21"/>
        <v>4.9221331266094352E-3</v>
      </c>
      <c r="L21" s="57">
        <f t="shared" si="21"/>
        <v>1.2776810506369288E-3</v>
      </c>
      <c r="M21" s="57">
        <f t="shared" si="21"/>
        <v>2.5702313371884057E-3</v>
      </c>
      <c r="N21" s="57">
        <f t="shared" si="21"/>
        <v>2.6097414257018159E-3</v>
      </c>
      <c r="O21" s="57">
        <f t="shared" si="21"/>
        <v>2.8520084360711558E-3</v>
      </c>
      <c r="P21" s="57">
        <f t="shared" si="21"/>
        <v>2.883467102995284E-3</v>
      </c>
      <c r="Q21" s="57">
        <f t="shared" si="21"/>
        <v>1.1075081276826149E-2</v>
      </c>
      <c r="R21" s="57">
        <f t="shared" si="21"/>
        <v>7.2439532401549359E-3</v>
      </c>
      <c r="S21" s="57">
        <f t="shared" si="21"/>
        <v>3.6553962792981779E-3</v>
      </c>
      <c r="T21" s="57">
        <f t="shared" si="21"/>
        <v>3.2284138822782919E-3</v>
      </c>
      <c r="U21" s="57">
        <f t="shared" si="21"/>
        <v>9.3218194005823818E-3</v>
      </c>
      <c r="V21" s="57">
        <f t="shared" si="21"/>
        <v>1.0885115593836625E-2</v>
      </c>
      <c r="W21" s="57">
        <f t="shared" si="21"/>
        <v>3.7262869155716681E-3</v>
      </c>
      <c r="X21" s="57">
        <f t="shared" si="21"/>
        <v>3.2470733873586391E-3</v>
      </c>
      <c r="Y21" s="57">
        <f t="shared" si="21"/>
        <v>1.1674592792565368E-2</v>
      </c>
      <c r="Z21" s="57">
        <f t="shared" si="21"/>
        <v>1.0965939957570153E-2</v>
      </c>
      <c r="AA21" s="57">
        <f t="shared" si="21"/>
        <v>1.2188573515302772E-2</v>
      </c>
      <c r="AB21" s="57">
        <f t="shared" si="21"/>
        <v>2.3367049176507421E-2</v>
      </c>
      <c r="AC21" s="57">
        <f t="shared" si="21"/>
        <v>1.2173664366552463E-2</v>
      </c>
      <c r="AD21" s="57">
        <f t="shared" si="21"/>
        <v>1.2464256654475522E-2</v>
      </c>
      <c r="AE21" s="57">
        <f t="shared" si="21"/>
        <v>1.0013903795696149E-2</v>
      </c>
      <c r="AF21" s="57">
        <f t="shared" si="21"/>
        <v>6.2469630978743615E-4</v>
      </c>
      <c r="AG21" s="57">
        <f t="shared" si="21"/>
        <v>3.8855814317810501E-4</v>
      </c>
      <c r="AH21" s="57">
        <f t="shared" si="21"/>
        <v>3.3101078024732521E-4</v>
      </c>
      <c r="AI21" s="57">
        <f t="shared" si="21"/>
        <v>1.041884954086379E-3</v>
      </c>
      <c r="AJ21" s="57">
        <f t="shared" si="21"/>
        <v>4.3114661419822736E-4</v>
      </c>
      <c r="AK21" s="57" t="e">
        <f t="shared" si="21"/>
        <v>#DIV/0!</v>
      </c>
      <c r="AL21" s="57" t="e">
        <f t="shared" si="21"/>
        <v>#DIV/0!</v>
      </c>
      <c r="AM21" s="57" t="e">
        <f t="shared" si="21"/>
        <v>#DIV/0!</v>
      </c>
      <c r="AN21" s="57" t="e">
        <f t="shared" si="21"/>
        <v>#DIV/0!</v>
      </c>
      <c r="AO21" s="57" t="e">
        <f t="shared" si="21"/>
        <v>#DIV/0!</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0.21900427047323834</v>
      </c>
      <c r="F22" s="66">
        <f t="shared" ref="F22:BQ22" si="23">F11+F13+F15+F17+F19+F21</f>
        <v>0.20806295474749464</v>
      </c>
      <c r="G22" s="66">
        <f t="shared" si="23"/>
        <v>0.19718562094739425</v>
      </c>
      <c r="H22" s="66">
        <f t="shared" si="23"/>
        <v>0.18992451071121963</v>
      </c>
      <c r="I22" s="66">
        <f t="shared" si="23"/>
        <v>0.22830135070259489</v>
      </c>
      <c r="J22" s="66">
        <f t="shared" si="23"/>
        <v>0.20881429431687853</v>
      </c>
      <c r="K22" s="66">
        <f t="shared" si="23"/>
        <v>0.19214303394948903</v>
      </c>
      <c r="L22" s="66">
        <f t="shared" si="23"/>
        <v>0.13499861199474919</v>
      </c>
      <c r="M22" s="66">
        <f t="shared" si="23"/>
        <v>0.20675779841085201</v>
      </c>
      <c r="N22" s="66">
        <f t="shared" si="23"/>
        <v>0.20769999235785702</v>
      </c>
      <c r="O22" s="66">
        <f t="shared" si="23"/>
        <v>0.23199931655355086</v>
      </c>
      <c r="P22" s="66">
        <f t="shared" si="23"/>
        <v>0.23714604322578572</v>
      </c>
      <c r="Q22" s="66">
        <f t="shared" si="23"/>
        <v>0.20672010765256324</v>
      </c>
      <c r="R22" s="66">
        <f t="shared" si="23"/>
        <v>0.19843250372924717</v>
      </c>
      <c r="S22" s="66">
        <f t="shared" si="23"/>
        <v>0.19412305814793882</v>
      </c>
      <c r="T22" s="66">
        <f t="shared" si="23"/>
        <v>0.20135518224172724</v>
      </c>
      <c r="U22" s="66">
        <f t="shared" si="23"/>
        <v>0.16715235557149771</v>
      </c>
      <c r="V22" s="66">
        <f t="shared" si="23"/>
        <v>0.16017220284791525</v>
      </c>
      <c r="W22" s="66">
        <f t="shared" si="23"/>
        <v>0.13884933101871488</v>
      </c>
      <c r="X22" s="66">
        <f t="shared" si="23"/>
        <v>0.13420455236240722</v>
      </c>
      <c r="Y22" s="66">
        <f t="shared" si="23"/>
        <v>0.20810721244851527</v>
      </c>
      <c r="Z22" s="66">
        <f t="shared" si="23"/>
        <v>0.19102455928859041</v>
      </c>
      <c r="AA22" s="66">
        <f t="shared" si="23"/>
        <v>0.17666831814742792</v>
      </c>
      <c r="AB22" s="66">
        <f t="shared" si="23"/>
        <v>0.18295775994991578</v>
      </c>
      <c r="AC22" s="66">
        <f t="shared" si="23"/>
        <v>0.18936315488900884</v>
      </c>
      <c r="AD22" s="66">
        <f t="shared" si="23"/>
        <v>0.19188991228325192</v>
      </c>
      <c r="AE22" s="66">
        <f t="shared" si="23"/>
        <v>0.18527163923612808</v>
      </c>
      <c r="AF22" s="66">
        <f t="shared" si="23"/>
        <v>0.15580730463179709</v>
      </c>
      <c r="AG22" s="66">
        <f t="shared" si="23"/>
        <v>0.15080781531397</v>
      </c>
      <c r="AH22" s="66">
        <f t="shared" si="23"/>
        <v>0.14660773021345147</v>
      </c>
      <c r="AI22" s="66">
        <f t="shared" si="23"/>
        <v>0.1667402076448096</v>
      </c>
      <c r="AJ22" s="66">
        <f t="shared" si="23"/>
        <v>9.6823024395357615E-2</v>
      </c>
      <c r="AK22" s="66" t="e">
        <f t="shared" si="23"/>
        <v>#DIV/0!</v>
      </c>
      <c r="AL22" s="66" t="e">
        <f t="shared" si="23"/>
        <v>#DIV/0!</v>
      </c>
      <c r="AM22" s="66" t="e">
        <f t="shared" si="23"/>
        <v>#DIV/0!</v>
      </c>
      <c r="AN22" s="66" t="e">
        <f t="shared" si="23"/>
        <v>#DIV/0!</v>
      </c>
      <c r="AO22" s="66" t="e">
        <f t="shared" si="23"/>
        <v>#DIV/0!</v>
      </c>
      <c r="AP22" s="66" t="e">
        <f t="shared" si="23"/>
        <v>#DIV/0!</v>
      </c>
      <c r="AQ22" s="66" t="e">
        <f t="shared" si="23"/>
        <v>#DIV/0!</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9" t="s">
        <v>370</v>
      </c>
      <c r="E23" s="27">
        <f>股权价值增加表!E17</f>
        <v>369512838.48811829</v>
      </c>
      <c r="F23" s="27">
        <f>股权价值增加表!F17</f>
        <v>301605687.83066344</v>
      </c>
      <c r="G23" s="27">
        <f>股权价值增加表!G17</f>
        <v>213348060.3247003</v>
      </c>
      <c r="H23" s="27">
        <f>股权价值增加表!H17</f>
        <v>97894486.358373895</v>
      </c>
      <c r="I23" s="27">
        <f>股权价值增加表!I17</f>
        <v>306424247.89429224</v>
      </c>
      <c r="J23" s="27">
        <f>股权价值增加表!J17</f>
        <v>244984620.96616301</v>
      </c>
      <c r="K23" s="27">
        <f>股权价值增加表!K17</f>
        <v>175694396.55346081</v>
      </c>
      <c r="L23" s="27">
        <f>股权价值增加表!L17</f>
        <v>88856708.058099955</v>
      </c>
      <c r="M23" s="27">
        <f>股权价值增加表!M17</f>
        <v>202939315.85748756</v>
      </c>
      <c r="N23" s="27">
        <f>股权价值增加表!N17</f>
        <v>127224501.45147024</v>
      </c>
      <c r="O23" s="27">
        <f>股权价值增加表!O17</f>
        <v>58468792.094376966</v>
      </c>
      <c r="P23" s="27">
        <f>股权价值增加表!P17</f>
        <v>22110009.365698878</v>
      </c>
      <c r="Q23" s="27">
        <f>股权价值增加表!Q17</f>
        <v>90040244.176868096</v>
      </c>
      <c r="R23" s="27">
        <f>股权价值增加表!R17</f>
        <v>58250074.893841423</v>
      </c>
      <c r="S23" s="27">
        <f>股权价值增加表!S17</f>
        <v>32054530.079764392</v>
      </c>
      <c r="T23" s="27">
        <f>股权价值增加表!T17</f>
        <v>16102753.595755408</v>
      </c>
      <c r="U23" s="27">
        <f>股权价值增加表!U17</f>
        <v>126623705.90028095</v>
      </c>
      <c r="V23" s="27">
        <f>股权价值增加表!V17</f>
        <v>94675547.378366321</v>
      </c>
      <c r="W23" s="27">
        <f>股权价值增加表!W17</f>
        <v>66621231.227499977</v>
      </c>
      <c r="X23" s="27">
        <f>股权价值增加表!X17</f>
        <v>31021376.888695545</v>
      </c>
      <c r="Y23" s="27">
        <f>股权价值增加表!Y17</f>
        <v>104209093.17925918</v>
      </c>
      <c r="Z23" s="27">
        <f>股权价值增加表!Z17</f>
        <v>79568167.499602944</v>
      </c>
      <c r="AA23" s="27">
        <f>股权价值增加表!AA17</f>
        <v>68647309.097294345</v>
      </c>
      <c r="AB23" s="27">
        <f>股权价值增加表!AB17</f>
        <v>28876648.166888524</v>
      </c>
      <c r="AC23" s="27">
        <f>股权价值增加表!AC17</f>
        <v>130703810.0764778</v>
      </c>
      <c r="AD23" s="27">
        <f>股权价值增加表!AD17</f>
        <v>112314236.66316335</v>
      </c>
      <c r="AE23" s="27">
        <f>股权价值增加表!AE17</f>
        <v>84388671.342867658</v>
      </c>
      <c r="AF23" s="27">
        <f>股权价值增加表!AF17</f>
        <v>32897415.338277187</v>
      </c>
      <c r="AG23" s="27">
        <f>股权价值增加表!AG17</f>
        <v>106791879.66811542</v>
      </c>
      <c r="AH23" s="27">
        <f>股权价值增加表!AH17</f>
        <v>80475278.938874602</v>
      </c>
      <c r="AI23" s="27">
        <f>股权价值增加表!AI17</f>
        <v>75527450.30625847</v>
      </c>
      <c r="AJ23" s="27">
        <f>股权价值增加表!AJ17</f>
        <v>114786372.04076934</v>
      </c>
      <c r="AK23" s="27">
        <f>股权价值增加表!AK17</f>
        <v>-10870060.949999999</v>
      </c>
      <c r="AL23" s="27">
        <f>股权价值增加表!AL17</f>
        <v>0</v>
      </c>
      <c r="AM23" s="27">
        <f>股权价值增加表!AM17</f>
        <v>0</v>
      </c>
      <c r="AN23" s="27">
        <f>股权价值增加表!AN17</f>
        <v>0</v>
      </c>
      <c r="AO23" s="27">
        <f>股权价值增加表!AO17</f>
        <v>147948323213.46033</v>
      </c>
      <c r="AP23" s="27">
        <f>股权价值增加表!AP17</f>
        <v>0</v>
      </c>
      <c r="AQ23" s="27">
        <f>股权价值增加表!AQ17</f>
        <v>0</v>
      </c>
      <c r="AR23" s="27">
        <f>股权价值增加表!AR17</f>
        <v>0</v>
      </c>
      <c r="AS23" s="27">
        <f>股权价值增加表!AS17</f>
        <v>-1762760.594570708</v>
      </c>
      <c r="AT23" s="27">
        <f>股权价值增加表!AT17</f>
        <v>0</v>
      </c>
      <c r="AU23" s="27">
        <f>股权价值增加表!AU17</f>
        <v>0</v>
      </c>
      <c r="AV23" s="27">
        <f>股权价值增加表!AV17</f>
        <v>0</v>
      </c>
      <c r="AW23" s="27">
        <f>股权价值增加表!AW17</f>
        <v>35124209.753730051</v>
      </c>
      <c r="AX23" s="27">
        <f>股权价值增加表!AX17</f>
        <v>0</v>
      </c>
      <c r="AY23" s="27">
        <f>股权价值增加表!AY17</f>
        <v>0</v>
      </c>
      <c r="AZ23" s="27">
        <f>股权价值增加表!AZ17</f>
        <v>0</v>
      </c>
      <c r="BA23" s="27">
        <f>股权价值增加表!BA17</f>
        <v>-101391235.69955802</v>
      </c>
      <c r="BB23" s="27">
        <f>股权价值增加表!BB17</f>
        <v>0</v>
      </c>
      <c r="BC23" s="27">
        <f>股权价值增加表!BC17</f>
        <v>0</v>
      </c>
      <c r="BD23" s="27">
        <f>股权价值增加表!BD17</f>
        <v>0</v>
      </c>
      <c r="BE23" s="27">
        <f>股权价值增加表!BE17</f>
        <v>-22140752.353821948</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t="e">
        <f>股权价值增加表!BY17</f>
        <v>#DIV/0!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0.15042914815698941</v>
      </c>
      <c r="F24" s="57">
        <f t="shared" ref="F24:BQ24" si="25">F23/F2</f>
        <v>0.1678100890353097</v>
      </c>
      <c r="G24" s="57">
        <f t="shared" si="25"/>
        <v>0.1690180024568452</v>
      </c>
      <c r="H24" s="57">
        <f t="shared" si="25"/>
        <v>0.15991739604405222</v>
      </c>
      <c r="I24" s="57">
        <f t="shared" si="25"/>
        <v>0.1658686408668239</v>
      </c>
      <c r="J24" s="57">
        <f t="shared" si="25"/>
        <v>0.18492540360156406</v>
      </c>
      <c r="K24" s="57">
        <f t="shared" si="25"/>
        <v>0.19777020685440405</v>
      </c>
      <c r="L24" s="57">
        <f t="shared" si="25"/>
        <v>0.21006244949506978</v>
      </c>
      <c r="M24" s="57">
        <f t="shared" si="25"/>
        <v>0.12442306585641</v>
      </c>
      <c r="N24" s="57">
        <f t="shared" si="25"/>
        <v>0.12439920127400914</v>
      </c>
      <c r="O24" s="57">
        <f t="shared" si="25"/>
        <v>9.5049797413961801E-2</v>
      </c>
      <c r="P24" s="57">
        <f t="shared" si="25"/>
        <v>8.3198830019439063E-2</v>
      </c>
      <c r="Q24" s="57">
        <f t="shared" si="25"/>
        <v>8.4244540621541852E-2</v>
      </c>
      <c r="R24" s="57">
        <f t="shared" si="25"/>
        <v>8.2612669988759505E-2</v>
      </c>
      <c r="S24" s="57">
        <f t="shared" si="25"/>
        <v>7.4027027221755942E-2</v>
      </c>
      <c r="T24" s="57">
        <f t="shared" si="25"/>
        <v>8.1747484813138052E-2</v>
      </c>
      <c r="U24" s="57">
        <f t="shared" si="25"/>
        <v>0.13116430723590852</v>
      </c>
      <c r="V24" s="57">
        <f t="shared" si="25"/>
        <v>0.13417008699566049</v>
      </c>
      <c r="W24" s="57">
        <f t="shared" si="25"/>
        <v>0.1378812748909525</v>
      </c>
      <c r="X24" s="57">
        <f t="shared" si="25"/>
        <v>0.1401683101085332</v>
      </c>
      <c r="Y24" s="57">
        <f t="shared" si="25"/>
        <v>0.13198077624870341</v>
      </c>
      <c r="Z24" s="57">
        <f t="shared" si="25"/>
        <v>0.14752311682694694</v>
      </c>
      <c r="AA24" s="57">
        <f t="shared" si="25"/>
        <v>0.17389124979414972</v>
      </c>
      <c r="AB24" s="57">
        <f t="shared" si="25"/>
        <v>0.16256422316885802</v>
      </c>
      <c r="AC24" s="57">
        <f t="shared" si="25"/>
        <v>0.15937728834792858</v>
      </c>
      <c r="AD24" s="57">
        <f t="shared" si="25"/>
        <v>0.17523045286166403</v>
      </c>
      <c r="AE24" s="57">
        <f t="shared" si="25"/>
        <v>0.17985549811378768</v>
      </c>
      <c r="AF24" s="57">
        <f t="shared" si="25"/>
        <v>0.15971912700130908</v>
      </c>
      <c r="AG24" s="57">
        <f t="shared" si="25"/>
        <v>0.145957792039518</v>
      </c>
      <c r="AH24" s="57">
        <f t="shared" si="25"/>
        <v>0.14952185038139659</v>
      </c>
      <c r="AI24" s="57">
        <f t="shared" si="25"/>
        <v>0.18654516068524593</v>
      </c>
      <c r="AJ24" s="57">
        <f t="shared" si="25"/>
        <v>0.17949994478409273</v>
      </c>
      <c r="AK24" s="57" t="e">
        <f t="shared" si="25"/>
        <v>#DIV/0!</v>
      </c>
      <c r="AL24" s="57" t="e">
        <f t="shared" si="25"/>
        <v>#DIV/0!</v>
      </c>
      <c r="AM24" s="57" t="e">
        <f t="shared" si="25"/>
        <v>#DIV/0!</v>
      </c>
      <c r="AN24" s="57" t="e">
        <f t="shared" si="25"/>
        <v>#DIV/0!</v>
      </c>
      <c r="AO24" s="57" t="e">
        <f t="shared" si="25"/>
        <v>#DIV/0!</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0" t="s">
        <v>672</v>
      </c>
      <c r="B25" s="281"/>
      <c r="C25" s="281"/>
      <c r="D25" s="281"/>
      <c r="E25" s="281"/>
      <c r="F25" s="281"/>
      <c r="G25" s="281"/>
      <c r="H25" s="281"/>
      <c r="I25" s="281"/>
      <c r="J25" s="281"/>
      <c r="K25" s="281"/>
      <c r="L25" s="281"/>
      <c r="M25" s="281"/>
      <c r="N25" s="281"/>
      <c r="O25" s="281"/>
      <c r="P25" s="281"/>
      <c r="Q25" s="281"/>
      <c r="R25" s="281"/>
      <c r="S25" s="281"/>
      <c r="T25" s="281"/>
      <c r="U25" s="281"/>
      <c r="V25" s="281"/>
      <c r="W25" s="281"/>
      <c r="X25" s="281"/>
      <c r="Y25" s="281"/>
      <c r="Z25" s="281"/>
      <c r="AA25" s="281"/>
      <c r="AB25" s="281"/>
      <c r="AC25" s="281"/>
      <c r="AD25" s="281"/>
      <c r="AE25" s="281"/>
      <c r="AF25" s="281"/>
      <c r="AG25" s="281"/>
    </row>
    <row r="26" spans="1:89" s="63" customFormat="1" ht="15" thickBot="1" x14ac:dyDescent="0.3">
      <c r="A26" s="151" t="s">
        <v>599</v>
      </c>
      <c r="B26" s="152"/>
      <c r="C26" s="152"/>
      <c r="D26" s="152"/>
      <c r="E26" s="153">
        <f>POWER(E2/Y2,1/6)-1</f>
        <v>0.20823227577039738</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40178</v>
      </c>
      <c r="AJ27" s="1">
        <v>39813</v>
      </c>
      <c r="AK27" s="1">
        <v>25569</v>
      </c>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440501381.44999981</v>
      </c>
      <c r="F28" s="26">
        <f>股权价值增加表!F15</f>
        <v>358987436.42000014</v>
      </c>
      <c r="G28" s="26">
        <f>股权价值增加表!G15</f>
        <v>255752742.12</v>
      </c>
      <c r="H28" s="26">
        <f>股权价值增加表!H15</f>
        <v>118300567.28000003</v>
      </c>
      <c r="I28" s="26">
        <f>股权价值增加表!I15</f>
        <v>347457485.54999983</v>
      </c>
      <c r="J28" s="26">
        <f>股权价值增加表!J15</f>
        <v>286414772.5999999</v>
      </c>
      <c r="K28" s="26">
        <f>股权价值增加表!K15</f>
        <v>203356723.77000001</v>
      </c>
      <c r="L28" s="26">
        <f>股权价值增加表!L15</f>
        <v>105630403.89999999</v>
      </c>
      <c r="M28" s="26">
        <f>股权价值增加表!M15</f>
        <v>230119332.45999998</v>
      </c>
      <c r="N28" s="26">
        <f>股权价值增加表!N15</f>
        <v>149499656.80999988</v>
      </c>
      <c r="O28" s="26">
        <f>股权价值增加表!O15</f>
        <v>67733668.150000051</v>
      </c>
      <c r="P28" s="26">
        <f>股权价值增加表!P15</f>
        <v>26398639.319999989</v>
      </c>
      <c r="Q28" s="26">
        <f>股权价值增加表!Q15</f>
        <v>103489813.14000008</v>
      </c>
      <c r="R28" s="26">
        <f>股权价值增加表!R15</f>
        <v>68348034.949999973</v>
      </c>
      <c r="S28" s="26">
        <f>股权价值增加表!S15</f>
        <v>37100491.060000017</v>
      </c>
      <c r="T28" s="26">
        <f>股权价值增加表!T15</f>
        <v>19429075.500000007</v>
      </c>
      <c r="U28" s="26">
        <f>股权价值增加表!U15</f>
        <v>151201613.37999991</v>
      </c>
      <c r="V28" s="26">
        <f>股权价值增加表!V15</f>
        <v>111326030.67000009</v>
      </c>
      <c r="W28" s="26">
        <f>股权价值增加表!W15</f>
        <v>77758265.220000014</v>
      </c>
      <c r="X28" s="26">
        <f>股权价值增加表!X15</f>
        <v>36760970.260000013</v>
      </c>
      <c r="Y28" s="26">
        <f>股权价值增加表!Y15</f>
        <v>121806150.39999999</v>
      </c>
      <c r="Z28" s="26">
        <f>股权价值增加表!Z15</f>
        <v>93004767.850000009</v>
      </c>
      <c r="AA28" s="26">
        <f>股权价值增加表!AA15</f>
        <v>80112941.679999977</v>
      </c>
      <c r="AB28" s="26">
        <f>股权价值增加表!AB15</f>
        <v>33993335.580000006</v>
      </c>
      <c r="AC28" s="26">
        <f>股权价值增加表!AC15</f>
        <v>153586043.83999994</v>
      </c>
      <c r="AD28" s="26">
        <f>股权价值增加表!AD15</f>
        <v>130958412.03999993</v>
      </c>
      <c r="AE28" s="26">
        <f>股权价值增加表!AE15</f>
        <v>97352124.629999995</v>
      </c>
      <c r="AF28" s="26">
        <f>股权价值增加表!AF15</f>
        <v>39181662.529999994</v>
      </c>
      <c r="AG28" s="26">
        <f>股权价值增加表!AG15</f>
        <v>123050074.73000003</v>
      </c>
      <c r="AH28" s="26">
        <f>股权价值增加表!AH15</f>
        <v>93184227.620000005</v>
      </c>
      <c r="AI28" s="26">
        <f>股权价值增加表!AI15</f>
        <v>89053949.929999992</v>
      </c>
      <c r="AJ28" s="26">
        <f>股权价值增加表!AJ15</f>
        <v>130224549.81000002</v>
      </c>
      <c r="AK28" s="26">
        <f>股权价值增加表!AK15</f>
        <v>-10870060.949999999</v>
      </c>
      <c r="AL28" s="26">
        <f>股权价值增加表!AL15</f>
        <v>0</v>
      </c>
      <c r="AM28" s="26">
        <f>股权价值增加表!AM15</f>
        <v>0</v>
      </c>
      <c r="AN28" s="26">
        <f>股权价值增加表!AN15</f>
        <v>0</v>
      </c>
      <c r="AO28" s="26">
        <f>股权价值增加表!AO15</f>
        <v>-12110695.470000001</v>
      </c>
      <c r="AP28" s="26">
        <f>股权价值增加表!AP15</f>
        <v>0</v>
      </c>
      <c r="AQ28" s="26">
        <f>股权价值增加表!AQ15</f>
        <v>0</v>
      </c>
      <c r="AR28" s="26">
        <f>股权价值增加表!AR15</f>
        <v>0</v>
      </c>
      <c r="AS28" s="26">
        <f>股权价值增加表!AS15</f>
        <v>475235.25</v>
      </c>
      <c r="AT28" s="26">
        <f>股权价值增加表!AT15</f>
        <v>0</v>
      </c>
      <c r="AU28" s="26">
        <f>股权价值增加表!AU15</f>
        <v>0</v>
      </c>
      <c r="AV28" s="26">
        <f>股权价值增加表!AV15</f>
        <v>0</v>
      </c>
      <c r="AW28" s="26">
        <f>股权价值增加表!AW15</f>
        <v>-2970451.97</v>
      </c>
      <c r="AX28" s="26">
        <f>股权价值增加表!AX15</f>
        <v>0</v>
      </c>
      <c r="AY28" s="26">
        <f>股权价值增加表!AY15</f>
        <v>0</v>
      </c>
      <c r="AZ28" s="26">
        <f>股权价值增加表!AZ15</f>
        <v>0</v>
      </c>
      <c r="BA28" s="26">
        <f>股权价值增加表!BA15</f>
        <v>-1288210.29</v>
      </c>
      <c r="BB28" s="26">
        <f>股权价值增加表!BB15</f>
        <v>0</v>
      </c>
      <c r="BC28" s="26">
        <f>股权价值增加表!BC15</f>
        <v>0</v>
      </c>
      <c r="BD28" s="26">
        <f>股权价值增加表!BD15</f>
        <v>0</v>
      </c>
      <c r="BE28" s="26">
        <f>股权价值增加表!BE15</f>
        <v>-1282524.67</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378</v>
      </c>
      <c r="E29" s="59">
        <f t="shared" ref="E29:AJ29" si="27">E28/E34</f>
        <v>1.1333094299631095</v>
      </c>
      <c r="F29" s="59">
        <f t="shared" si="27"/>
        <v>1.1033152372700672</v>
      </c>
      <c r="G29" s="59">
        <f t="shared" si="27"/>
        <v>1.0675216060728705</v>
      </c>
      <c r="H29" s="59">
        <f t="shared" si="27"/>
        <v>1.0366513300746929</v>
      </c>
      <c r="I29" s="59">
        <f t="shared" si="27"/>
        <v>0.80584164272819847</v>
      </c>
      <c r="J29" s="59">
        <f t="shared" si="27"/>
        <v>0.89620987850686995</v>
      </c>
      <c r="K29" s="59">
        <f t="shared" si="27"/>
        <v>0.87520583391832718</v>
      </c>
      <c r="L29" s="59">
        <f t="shared" si="27"/>
        <v>0.94492735257845462</v>
      </c>
      <c r="M29" s="59">
        <f t="shared" si="27"/>
        <v>0.77175854873721272</v>
      </c>
      <c r="N29" s="59">
        <f t="shared" si="27"/>
        <v>0.99387300648722421</v>
      </c>
      <c r="O29" s="59">
        <f t="shared" si="27"/>
        <v>0.98597767110988699</v>
      </c>
      <c r="P29" s="59">
        <f t="shared" si="27"/>
        <v>1</v>
      </c>
      <c r="Q29" s="59">
        <f t="shared" si="27"/>
        <v>0.91587814498812525</v>
      </c>
      <c r="R29" s="59">
        <f t="shared" si="27"/>
        <v>0.98674747224226744</v>
      </c>
      <c r="S29" s="59">
        <f t="shared" si="27"/>
        <v>0.97585515425208735</v>
      </c>
      <c r="T29" s="59">
        <f t="shared" si="27"/>
        <v>1</v>
      </c>
      <c r="U29" s="59">
        <f t="shared" si="27"/>
        <v>1.0319288454368514</v>
      </c>
      <c r="V29" s="59">
        <f t="shared" si="27"/>
        <v>0.99388038005594947</v>
      </c>
      <c r="W29" s="59">
        <f t="shared" si="27"/>
        <v>0.99126166267705251</v>
      </c>
      <c r="X29" s="59">
        <f t="shared" si="27"/>
        <v>1</v>
      </c>
      <c r="Y29" s="59">
        <f t="shared" si="27"/>
        <v>0.94183418751782788</v>
      </c>
      <c r="Z29" s="59">
        <f t="shared" si="27"/>
        <v>0.9989509223336942</v>
      </c>
      <c r="AA29" s="59">
        <f t="shared" si="27"/>
        <v>0.99878230964835724</v>
      </c>
      <c r="AB29" s="59">
        <f t="shared" si="27"/>
        <v>1</v>
      </c>
      <c r="AC29" s="59">
        <f t="shared" si="27"/>
        <v>0.97995513502953746</v>
      </c>
      <c r="AD29" s="59">
        <f t="shared" si="27"/>
        <v>0.99271751076313242</v>
      </c>
      <c r="AE29" s="59">
        <f t="shared" si="27"/>
        <v>0.99022813637586138</v>
      </c>
      <c r="AF29" s="59">
        <f t="shared" si="27"/>
        <v>1</v>
      </c>
      <c r="AG29" s="59">
        <f t="shared" si="27"/>
        <v>0.97938813714821649</v>
      </c>
      <c r="AH29" s="59">
        <f t="shared" si="27"/>
        <v>0.99506954538737225</v>
      </c>
      <c r="AI29" s="59">
        <f t="shared" si="27"/>
        <v>0.99408563421837026</v>
      </c>
      <c r="AJ29" s="59">
        <f t="shared" si="27"/>
        <v>0.97732786419965623</v>
      </c>
      <c r="AK29" s="59">
        <f t="shared" ref="AK29:BP29" si="28">AK28/AK34</f>
        <v>-1.8471071884989929</v>
      </c>
      <c r="AL29" s="59">
        <f t="shared" si="28"/>
        <v>0</v>
      </c>
      <c r="AM29" s="59">
        <f t="shared" si="28"/>
        <v>0</v>
      </c>
      <c r="AN29" s="59" t="e">
        <f t="shared" si="28"/>
        <v>#DIV/0!</v>
      </c>
      <c r="AO29" s="59">
        <f t="shared" si="28"/>
        <v>-0.19633160200252242</v>
      </c>
      <c r="AP29" s="59">
        <f t="shared" si="28"/>
        <v>0</v>
      </c>
      <c r="AQ29" s="59">
        <f t="shared" si="28"/>
        <v>0</v>
      </c>
      <c r="AR29" s="59">
        <f t="shared" si="28"/>
        <v>0</v>
      </c>
      <c r="AS29" s="59">
        <f t="shared" si="28"/>
        <v>2.0945599126720323E-3</v>
      </c>
      <c r="AT29" s="59">
        <f t="shared" si="28"/>
        <v>0</v>
      </c>
      <c r="AU29" s="59">
        <f t="shared" si="28"/>
        <v>0</v>
      </c>
      <c r="AV29" s="59">
        <f t="shared" si="28"/>
        <v>0</v>
      </c>
      <c r="AW29" s="59">
        <f t="shared" si="28"/>
        <v>-6.5960278989929372E-2</v>
      </c>
      <c r="AX29" s="59">
        <f t="shared" si="28"/>
        <v>0</v>
      </c>
      <c r="AY29" s="59">
        <f t="shared" si="28"/>
        <v>0</v>
      </c>
      <c r="AZ29" s="59">
        <f t="shared" si="28"/>
        <v>0</v>
      </c>
      <c r="BA29" s="59">
        <f t="shared" si="28"/>
        <v>-0.23097994708256178</v>
      </c>
      <c r="BB29" s="59">
        <f t="shared" si="28"/>
        <v>0</v>
      </c>
      <c r="BC29" s="59">
        <f t="shared" si="28"/>
        <v>0</v>
      </c>
      <c r="BD29" s="59">
        <f t="shared" si="28"/>
        <v>0</v>
      </c>
      <c r="BE29" s="59">
        <f t="shared" si="28"/>
        <v>-0.33431210649647863</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t="e">
        <f t="shared" si="29"/>
        <v>#DIV/0!</v>
      </c>
      <c r="BU29" s="59" t="e">
        <f t="shared" si="29"/>
        <v>#DIV/0!</v>
      </c>
      <c r="BV29" s="59" t="e">
        <f t="shared" si="29"/>
        <v>#DIV/0!</v>
      </c>
      <c r="BW29" s="59" t="e">
        <f t="shared" si="29"/>
        <v>#DIV/0!</v>
      </c>
      <c r="BX29" s="59" t="e">
        <f t="shared" si="29"/>
        <v>#DIV/0!</v>
      </c>
      <c r="BY29" s="59" t="e">
        <f t="shared" si="29"/>
        <v>#DIV/0!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-734614.85</v>
      </c>
      <c r="F30" s="26">
        <f>股权价值增加表!F20</f>
        <v>-2437995.12</v>
      </c>
      <c r="G30" s="26">
        <f>股权价值增加表!G20</f>
        <v>-2437995.12</v>
      </c>
      <c r="H30" s="26">
        <f>股权价值增加表!H20</f>
        <v>0</v>
      </c>
      <c r="I30" s="26">
        <f>股权价值增加表!I20</f>
        <v>-2525890.17</v>
      </c>
      <c r="J30" s="26">
        <f>股权价值增加表!J20</f>
        <v>3168252.93</v>
      </c>
      <c r="K30" s="26">
        <f>股权价值增加表!K20</f>
        <v>3168252.93</v>
      </c>
      <c r="L30" s="26">
        <f>股权价值增加表!L20</f>
        <v>0</v>
      </c>
      <c r="M30" s="26">
        <f>股权价值增加表!M20</f>
        <v>10697542</v>
      </c>
      <c r="N30" s="26">
        <f>股权价值增加表!N20</f>
        <v>921630.25</v>
      </c>
      <c r="O30" s="26">
        <f>股权价值增加表!O20</f>
        <v>963291.36</v>
      </c>
      <c r="P30" s="26">
        <f>股权价值增加表!P20</f>
        <v>0</v>
      </c>
      <c r="Q30" s="26">
        <f>股权价值增加表!Q20</f>
        <v>2084177.5</v>
      </c>
      <c r="R30" s="26">
        <f>股权价值增加表!R20</f>
        <v>917949.38</v>
      </c>
      <c r="S30" s="26">
        <f>股权价值增加表!S20</f>
        <v>917949.38</v>
      </c>
      <c r="T30" s="26">
        <f>股权价值增加表!T20</f>
        <v>0</v>
      </c>
      <c r="U30" s="26">
        <f>股权价值增加表!U20</f>
        <v>1109427.94</v>
      </c>
      <c r="V30" s="26">
        <f>股权价值增加表!V20</f>
        <v>685467.8</v>
      </c>
      <c r="W30" s="26">
        <f>股权价值增加表!W20</f>
        <v>685467.8</v>
      </c>
      <c r="X30" s="26">
        <f>股权价值增加表!X20</f>
        <v>0</v>
      </c>
      <c r="Y30" s="26">
        <f>股权价值增加表!Y20</f>
        <v>1641093.94</v>
      </c>
      <c r="Z30" s="26">
        <f>股权价值增加表!Z20</f>
        <v>0</v>
      </c>
      <c r="AA30" s="26">
        <f>股权价值增加表!AA20</f>
        <v>97671.69</v>
      </c>
      <c r="AB30" s="26">
        <f>股权价值增加表!AB20</f>
        <v>0</v>
      </c>
      <c r="AC30" s="26">
        <f>股权价值增加表!AC20</f>
        <v>1854065.85</v>
      </c>
      <c r="AD30" s="26">
        <f>股权价值增加表!AD20</f>
        <v>0</v>
      </c>
      <c r="AE30" s="26">
        <f>股权价值增加表!AE20</f>
        <v>960699.51</v>
      </c>
      <c r="AF30" s="26">
        <f>股权价值增加表!AF20</f>
        <v>0</v>
      </c>
      <c r="AG30" s="26">
        <f>股权价值增加表!AG20</f>
        <v>1618437.56</v>
      </c>
      <c r="AH30" s="26">
        <f>股权价值增加表!AH20</f>
        <v>0</v>
      </c>
      <c r="AI30" s="26">
        <f>股权价值增加表!AI20</f>
        <v>529831.25</v>
      </c>
      <c r="AJ30" s="26">
        <f>股权价值增加表!AJ20</f>
        <v>2975960.3</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379</v>
      </c>
      <c r="E31" s="59">
        <f>E30/E34</f>
        <v>-1.8899961996837354E-3</v>
      </c>
      <c r="F31" s="59">
        <f t="shared" ref="F31:BQ31" si="30">F30/F34</f>
        <v>-7.4929562747678537E-3</v>
      </c>
      <c r="G31" s="59">
        <f t="shared" si="30"/>
        <v>-1.0176283720465711E-2</v>
      </c>
      <c r="H31" s="59">
        <f t="shared" si="30"/>
        <v>0</v>
      </c>
      <c r="I31" s="59">
        <f t="shared" si="30"/>
        <v>-5.858177096751311E-3</v>
      </c>
      <c r="J31" s="59">
        <f t="shared" si="30"/>
        <v>9.9136631385972566E-3</v>
      </c>
      <c r="K31" s="59">
        <f t="shared" si="30"/>
        <v>1.3635513969043885E-2</v>
      </c>
      <c r="L31" s="59">
        <f t="shared" si="30"/>
        <v>0</v>
      </c>
      <c r="M31" s="59">
        <f t="shared" si="30"/>
        <v>3.5876687980617397E-2</v>
      </c>
      <c r="N31" s="59">
        <f t="shared" si="30"/>
        <v>6.1269935127757627E-3</v>
      </c>
      <c r="O31" s="59">
        <f t="shared" si="30"/>
        <v>1.4022328890113048E-2</v>
      </c>
      <c r="P31" s="59">
        <f t="shared" si="30"/>
        <v>0</v>
      </c>
      <c r="Q31" s="59">
        <f t="shared" si="30"/>
        <v>1.8444835917750764E-2</v>
      </c>
      <c r="R31" s="59">
        <f t="shared" si="30"/>
        <v>1.325252775773266E-2</v>
      </c>
      <c r="S31" s="59">
        <f t="shared" si="30"/>
        <v>2.4144845747912522E-2</v>
      </c>
      <c r="T31" s="59">
        <f t="shared" si="30"/>
        <v>0</v>
      </c>
      <c r="U31" s="59">
        <f t="shared" si="30"/>
        <v>7.5716830503808558E-3</v>
      </c>
      <c r="V31" s="59">
        <f t="shared" si="30"/>
        <v>6.1196199440505484E-3</v>
      </c>
      <c r="W31" s="59">
        <f t="shared" si="30"/>
        <v>8.7383373229475599E-3</v>
      </c>
      <c r="X31" s="59">
        <f t="shared" si="30"/>
        <v>0</v>
      </c>
      <c r="Y31" s="59">
        <f t="shared" si="30"/>
        <v>1.2689329500559695E-2</v>
      </c>
      <c r="Z31" s="59">
        <f t="shared" si="30"/>
        <v>0</v>
      </c>
      <c r="AA31" s="59">
        <f t="shared" si="30"/>
        <v>1.2176903516428008E-3</v>
      </c>
      <c r="AB31" s="59">
        <f t="shared" si="30"/>
        <v>0</v>
      </c>
      <c r="AC31" s="59">
        <f t="shared" si="30"/>
        <v>1.1829859699252248E-2</v>
      </c>
      <c r="AD31" s="59">
        <f t="shared" si="30"/>
        <v>0</v>
      </c>
      <c r="AE31" s="59">
        <f t="shared" si="30"/>
        <v>9.7718636241385867E-3</v>
      </c>
      <c r="AF31" s="59">
        <f t="shared" si="30"/>
        <v>0</v>
      </c>
      <c r="AG31" s="59">
        <f t="shared" si="30"/>
        <v>1.2881573216896692E-2</v>
      </c>
      <c r="AH31" s="59">
        <f t="shared" si="30"/>
        <v>0</v>
      </c>
      <c r="AI31" s="59">
        <f t="shared" si="30"/>
        <v>5.9143657816297596E-3</v>
      </c>
      <c r="AJ31" s="59">
        <f t="shared" si="30"/>
        <v>2.2334413351288267E-2</v>
      </c>
      <c r="AK31" s="59">
        <f t="shared" si="30"/>
        <v>0</v>
      </c>
      <c r="AL31" s="59">
        <f t="shared" si="30"/>
        <v>0</v>
      </c>
      <c r="AM31" s="59">
        <f t="shared" si="30"/>
        <v>0</v>
      </c>
      <c r="AN31" s="59" t="e">
        <f t="shared" si="30"/>
        <v>#DIV/0!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t="e">
        <f t="shared" si="31"/>
        <v>#DIV/0!</v>
      </c>
      <c r="BU31" s="59" t="e">
        <f t="shared" si="31"/>
        <v>#DIV/0!</v>
      </c>
      <c r="BV31" s="59" t="e">
        <f t="shared" si="31"/>
        <v>#DIV/0!</v>
      </c>
      <c r="BW31" s="59" t="e">
        <f t="shared" si="31"/>
        <v>#DIV/0!</v>
      </c>
      <c r="BX31" s="59" t="e">
        <f t="shared" si="31"/>
        <v>#DIV/0!</v>
      </c>
      <c r="BY31" s="59" t="e">
        <f t="shared" si="31"/>
        <v>#DIV/0!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-51080879.230000004</v>
      </c>
      <c r="F32" s="26">
        <f>股权价值增加表!F27</f>
        <v>-31177848.219999999</v>
      </c>
      <c r="G32" s="26">
        <f>股权价值增加表!G27</f>
        <v>-13738572.930000002</v>
      </c>
      <c r="H32" s="26">
        <f>股权价值增加表!H27</f>
        <v>-4182576.16</v>
      </c>
      <c r="I32" s="26">
        <f>股权价值增加表!I27</f>
        <v>86241810.319999993</v>
      </c>
      <c r="J32" s="26">
        <f>股权价值增加表!J27</f>
        <v>30001459.609999999</v>
      </c>
      <c r="K32" s="26">
        <f>股权价值增加表!K27</f>
        <v>25828049.170000002</v>
      </c>
      <c r="L32" s="26">
        <f>股权价值增加表!L27</f>
        <v>6156394.96</v>
      </c>
      <c r="M32" s="26">
        <f>股权价值增加表!M27</f>
        <v>57358419.920000002</v>
      </c>
      <c r="N32" s="26">
        <f>股权价值增加表!N27</f>
        <v>0</v>
      </c>
      <c r="O32" s="26">
        <f>股权价值增加表!O27</f>
        <v>0</v>
      </c>
      <c r="P32" s="26">
        <f>股权价值增加表!P27</f>
        <v>0</v>
      </c>
      <c r="Q32" s="26">
        <f>股权价值增加表!Q27</f>
        <v>7421186.4000000004</v>
      </c>
      <c r="R32" s="26">
        <f>股权价值增加表!R27</f>
        <v>0</v>
      </c>
      <c r="S32" s="26">
        <f>股权价值增加表!S27</f>
        <v>0</v>
      </c>
      <c r="T32" s="26">
        <f>股权价值增加表!T27</f>
        <v>0</v>
      </c>
      <c r="U32" s="26">
        <f>股权价值增加表!U27</f>
        <v>-5787747.54</v>
      </c>
      <c r="V32" s="26">
        <f>股权价值增加表!V27</f>
        <v>0</v>
      </c>
      <c r="W32" s="26">
        <f>股权价值增加表!W27</f>
        <v>0</v>
      </c>
      <c r="X32" s="26">
        <f>股权价值增加表!X27</f>
        <v>0</v>
      </c>
      <c r="Y32" s="26">
        <f>股权价值增加表!Y27</f>
        <v>5881412.46</v>
      </c>
      <c r="Z32" s="26">
        <f>股权价值增加表!Z27</f>
        <v>97671.69</v>
      </c>
      <c r="AA32" s="26">
        <f>股权价值增加表!AA27</f>
        <v>0</v>
      </c>
      <c r="AB32" s="26">
        <f>股权价值增加表!AB27</f>
        <v>0</v>
      </c>
      <c r="AC32" s="26">
        <f>股权价值增加表!AC27</f>
        <v>1287518.29</v>
      </c>
      <c r="AD32" s="26">
        <f>股权价值增加表!AD27</f>
        <v>960699.51</v>
      </c>
      <c r="AE32" s="26">
        <f>股权价值增加表!AE27</f>
        <v>0</v>
      </c>
      <c r="AF32" s="26">
        <f>股权价值增加表!AF27</f>
        <v>0</v>
      </c>
      <c r="AG32" s="26">
        <f>股权价值增加表!AG27</f>
        <v>971231.61000000034</v>
      </c>
      <c r="AH32" s="26">
        <f>股权价值增加表!AH27</f>
        <v>461717.08</v>
      </c>
      <c r="AI32" s="26">
        <f>股权价值增加表!AI27</f>
        <v>0</v>
      </c>
      <c r="AJ32" s="26">
        <f>股权价值增加表!AJ27</f>
        <v>45000</v>
      </c>
      <c r="AK32" s="26">
        <f>股权价值增加表!AK27</f>
        <v>16754971.699999999</v>
      </c>
      <c r="AL32" s="26">
        <f>股权价值增加表!AL27</f>
        <v>1717806.4499999993</v>
      </c>
      <c r="AM32" s="26">
        <f>股权价值增加表!AM27</f>
        <v>1000000</v>
      </c>
      <c r="AN32" s="26">
        <f>股权价值增加表!AN27</f>
        <v>0</v>
      </c>
      <c r="AO32" s="26">
        <f>股权价值增加表!AO27</f>
        <v>73795596.659999996</v>
      </c>
      <c r="AP32" s="26">
        <f>股权价值增加表!AP27</f>
        <v>-930380.59</v>
      </c>
      <c r="AQ32" s="26">
        <f>股权价值增加表!AQ27</f>
        <v>-7876342.5499999998</v>
      </c>
      <c r="AR32" s="26">
        <f>股权价值增加表!AR27</f>
        <v>6521906.0300000003</v>
      </c>
      <c r="AS32" s="26">
        <f>股权价值增加表!AS27</f>
        <v>226415028.00999999</v>
      </c>
      <c r="AT32" s="26">
        <f>股权价值增加表!AT27</f>
        <v>60055871.75</v>
      </c>
      <c r="AU32" s="26">
        <f>股权价值增加表!AU27</f>
        <v>5904137.3200000003</v>
      </c>
      <c r="AV32" s="26">
        <f>股权价值增加表!AV27</f>
        <v>2766492.93</v>
      </c>
      <c r="AW32" s="26">
        <f>股权价值增加表!AW27</f>
        <v>48004402.939999998</v>
      </c>
      <c r="AX32" s="26">
        <f>股权价值增加表!AX27</f>
        <v>14019438.57</v>
      </c>
      <c r="AY32" s="26">
        <f>股权价值增加表!AY27</f>
        <v>14009438.57</v>
      </c>
      <c r="AZ32" s="26">
        <f>股权价值增加表!AZ27</f>
        <v>6036022.2699999996</v>
      </c>
      <c r="BA32" s="26">
        <f>股权价值增加表!BA27</f>
        <v>6865362.3600000003</v>
      </c>
      <c r="BB32" s="26">
        <f>股权价值增加表!BB27</f>
        <v>1968092.42</v>
      </c>
      <c r="BC32" s="26">
        <f>股权价值增加表!BC27</f>
        <v>-892725.16</v>
      </c>
      <c r="BD32" s="26">
        <f>股权价值增加表!BD27</f>
        <v>-162719.66</v>
      </c>
      <c r="BE32" s="26">
        <f>股权价值增加表!BE27</f>
        <v>5118834.05</v>
      </c>
      <c r="BF32" s="26">
        <f>股权价值增加表!BF27</f>
        <v>-255923.71</v>
      </c>
      <c r="BG32" s="26">
        <f>股权价值增加表!BG27</f>
        <v>-250667.51</v>
      </c>
      <c r="BH32" s="26">
        <f>股权价值增加表!BH27</f>
        <v>48919.87</v>
      </c>
      <c r="BI32" s="26">
        <f>股权价值增加表!BI27</f>
        <v>2592149.1599999997</v>
      </c>
      <c r="BJ32" s="26">
        <f>股权价值增加表!BJ27</f>
        <v>98113.99</v>
      </c>
      <c r="BK32" s="26">
        <f>股权价值增加表!BK27</f>
        <v>604187.18999999994</v>
      </c>
      <c r="BL32" s="26">
        <f>股权价值增加表!BL27</f>
        <v>573275.71</v>
      </c>
      <c r="BM32" s="26">
        <f>股权价值增加表!BM27</f>
        <v>-296138.87</v>
      </c>
      <c r="BN32" s="26">
        <f>股权价值增加表!BN27</f>
        <v>225245.9</v>
      </c>
      <c r="BO32" s="26">
        <f>股权价值增加表!BO27</f>
        <v>327855.90000000002</v>
      </c>
      <c r="BP32" s="26">
        <f>股权价值增加表!BP27</f>
        <v>242481.5</v>
      </c>
      <c r="BQ32" s="26">
        <f>股权价值增加表!BQ27</f>
        <v>323331.55</v>
      </c>
      <c r="BR32" s="26">
        <f>股权价值增加表!BR27</f>
        <v>1314800</v>
      </c>
      <c r="BS32" s="26">
        <f>股权价值增加表!BS27</f>
        <v>500000</v>
      </c>
      <c r="BT32" s="26">
        <f>股权价值增加表!BT27</f>
        <v>0</v>
      </c>
      <c r="BU32" s="26">
        <f>股权价值增加表!BU27</f>
        <v>0</v>
      </c>
      <c r="BV32" s="26">
        <f>股权价值增加表!BV27</f>
        <v>0</v>
      </c>
      <c r="BW32" s="26">
        <f>股权价值增加表!BW27</f>
        <v>0</v>
      </c>
      <c r="BX32" s="26">
        <f>股权价值增加表!BX27</f>
        <v>0</v>
      </c>
      <c r="BY32" s="26">
        <f>股权价值增加表!BY27</f>
        <v>0</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380</v>
      </c>
      <c r="E33" s="59">
        <f>E32/E34</f>
        <v>-0.13141943376342563</v>
      </c>
      <c r="F33" s="59">
        <f t="shared" ref="F33:BQ33" si="32">F32/F34</f>
        <v>-9.5822280995299436E-2</v>
      </c>
      <c r="G33" s="59">
        <f t="shared" si="32"/>
        <v>-5.7345322352404832E-2</v>
      </c>
      <c r="H33" s="59">
        <f t="shared" si="32"/>
        <v>-3.6651330074692949E-2</v>
      </c>
      <c r="I33" s="59">
        <f t="shared" si="32"/>
        <v>0.20001653436855285</v>
      </c>
      <c r="J33" s="59">
        <f t="shared" si="32"/>
        <v>9.3876458354532774E-2</v>
      </c>
      <c r="K33" s="59">
        <f t="shared" si="32"/>
        <v>0.11115865211262893</v>
      </c>
      <c r="L33" s="59">
        <f t="shared" si="32"/>
        <v>5.5072647421545468E-2</v>
      </c>
      <c r="M33" s="59">
        <f t="shared" si="32"/>
        <v>0.19236476328216984</v>
      </c>
      <c r="N33" s="59">
        <f t="shared" si="32"/>
        <v>0</v>
      </c>
      <c r="O33" s="59">
        <f t="shared" si="32"/>
        <v>0</v>
      </c>
      <c r="P33" s="59">
        <f t="shared" si="32"/>
        <v>0</v>
      </c>
      <c r="Q33" s="59">
        <f t="shared" si="32"/>
        <v>6.5677019094123934E-2</v>
      </c>
      <c r="R33" s="59">
        <f t="shared" si="32"/>
        <v>0</v>
      </c>
      <c r="S33" s="59">
        <f t="shared" si="32"/>
        <v>0</v>
      </c>
      <c r="T33" s="59">
        <f t="shared" si="32"/>
        <v>0</v>
      </c>
      <c r="U33" s="59">
        <f t="shared" si="32"/>
        <v>-3.9500528487232345E-2</v>
      </c>
      <c r="V33" s="59">
        <f t="shared" si="32"/>
        <v>0</v>
      </c>
      <c r="W33" s="59">
        <f t="shared" si="32"/>
        <v>0</v>
      </c>
      <c r="X33" s="59">
        <f t="shared" si="32"/>
        <v>0</v>
      </c>
      <c r="Y33" s="59">
        <f t="shared" si="32"/>
        <v>4.5476482981612477E-2</v>
      </c>
      <c r="Z33" s="59">
        <f t="shared" si="32"/>
        <v>1.0490776663057994E-3</v>
      </c>
      <c r="AA33" s="59">
        <f t="shared" si="32"/>
        <v>0</v>
      </c>
      <c r="AB33" s="59">
        <f t="shared" si="32"/>
        <v>0</v>
      </c>
      <c r="AC33" s="59">
        <f t="shared" si="32"/>
        <v>8.2150052712103867E-3</v>
      </c>
      <c r="AD33" s="59">
        <f t="shared" si="32"/>
        <v>7.2824892368675183E-3</v>
      </c>
      <c r="AE33" s="59">
        <f t="shared" si="32"/>
        <v>0</v>
      </c>
      <c r="AF33" s="59">
        <f t="shared" si="32"/>
        <v>0</v>
      </c>
      <c r="AG33" s="59">
        <f t="shared" si="32"/>
        <v>7.7302896348867842E-3</v>
      </c>
      <c r="AH33" s="59">
        <f t="shared" si="32"/>
        <v>4.9304546126277696E-3</v>
      </c>
      <c r="AI33" s="59">
        <f t="shared" si="32"/>
        <v>0</v>
      </c>
      <c r="AJ33" s="59">
        <f t="shared" si="32"/>
        <v>3.3772244905551059E-4</v>
      </c>
      <c r="AK33" s="59">
        <f t="shared" si="32"/>
        <v>2.8471071884989927</v>
      </c>
      <c r="AL33" s="59">
        <f t="shared" si="32"/>
        <v>1</v>
      </c>
      <c r="AM33" s="59">
        <f t="shared" si="32"/>
        <v>1</v>
      </c>
      <c r="AN33" s="59" t="e">
        <f t="shared" si="32"/>
        <v>#DIV/0!</v>
      </c>
      <c r="AO33" s="59">
        <f t="shared" si="32"/>
        <v>1.1963316020025223</v>
      </c>
      <c r="AP33" s="59">
        <f t="shared" si="32"/>
        <v>1</v>
      </c>
      <c r="AQ33" s="59">
        <f t="shared" si="32"/>
        <v>1</v>
      </c>
      <c r="AR33" s="59">
        <f t="shared" si="32"/>
        <v>1</v>
      </c>
      <c r="AS33" s="59">
        <f t="shared" si="32"/>
        <v>0.99790544008732796</v>
      </c>
      <c r="AT33" s="59">
        <f t="shared" si="32"/>
        <v>1</v>
      </c>
      <c r="AU33" s="59">
        <f t="shared" si="32"/>
        <v>1</v>
      </c>
      <c r="AV33" s="59">
        <f t="shared" si="32"/>
        <v>1</v>
      </c>
      <c r="AW33" s="59">
        <f t="shared" si="32"/>
        <v>1.0659602789899294</v>
      </c>
      <c r="AX33" s="59">
        <f t="shared" si="32"/>
        <v>1</v>
      </c>
      <c r="AY33" s="59">
        <f t="shared" si="32"/>
        <v>1</v>
      </c>
      <c r="AZ33" s="59">
        <f t="shared" si="32"/>
        <v>1</v>
      </c>
      <c r="BA33" s="59">
        <f t="shared" si="32"/>
        <v>1.2309799470825618</v>
      </c>
      <c r="BB33" s="59">
        <f t="shared" si="32"/>
        <v>1</v>
      </c>
      <c r="BC33" s="59">
        <f t="shared" si="32"/>
        <v>1</v>
      </c>
      <c r="BD33" s="59">
        <f t="shared" si="32"/>
        <v>1</v>
      </c>
      <c r="BE33" s="59">
        <f t="shared" si="32"/>
        <v>1.3343121064964787</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t="e">
        <f t="shared" si="33"/>
        <v>#DIV/0!</v>
      </c>
      <c r="BU33" s="59" t="e">
        <f t="shared" si="33"/>
        <v>#DIV/0!</v>
      </c>
      <c r="BV33" s="59" t="e">
        <f t="shared" si="33"/>
        <v>#DIV/0!</v>
      </c>
      <c r="BW33" s="59" t="e">
        <f t="shared" si="33"/>
        <v>#DIV/0!</v>
      </c>
      <c r="BX33" s="59" t="e">
        <f t="shared" si="33"/>
        <v>#DIV/0!</v>
      </c>
      <c r="BY33" s="59" t="e">
        <f t="shared" si="33"/>
        <v>#DIV/0!</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376</v>
      </c>
      <c r="E34" s="58">
        <f>股权价值增加表!E31</f>
        <v>388685887.36999977</v>
      </c>
      <c r="F34" s="58">
        <f>股权价值增加表!F31</f>
        <v>325371593.08000016</v>
      </c>
      <c r="G34" s="58">
        <f>股权价值增加表!G31</f>
        <v>239576174.06999999</v>
      </c>
      <c r="H34" s="58">
        <f>股权价值增加表!H31</f>
        <v>114117991.12000003</v>
      </c>
      <c r="I34" s="58">
        <f>股权价值增加表!I31</f>
        <v>431173405.69999981</v>
      </c>
      <c r="J34" s="58">
        <f>股权价值增加表!J31</f>
        <v>319584485.13999993</v>
      </c>
      <c r="K34" s="58">
        <f>股权价值增加表!K31</f>
        <v>232353025.87</v>
      </c>
      <c r="L34" s="58">
        <f>股权价值增加表!L31</f>
        <v>111786798.85999998</v>
      </c>
      <c r="M34" s="58">
        <f>股权价值增加表!M31</f>
        <v>298175294.38</v>
      </c>
      <c r="N34" s="58">
        <f>股权价值增加表!N31</f>
        <v>150421287.05999988</v>
      </c>
      <c r="O34" s="58">
        <f>股权价值增加表!O31</f>
        <v>68696959.51000005</v>
      </c>
      <c r="P34" s="58">
        <f>股权价值增加表!P31</f>
        <v>26398639.319999989</v>
      </c>
      <c r="Q34" s="58">
        <f>股权价值增加表!Q31</f>
        <v>112995177.04000008</v>
      </c>
      <c r="R34" s="58">
        <f>股权价值增加表!R31</f>
        <v>69265984.329999968</v>
      </c>
      <c r="S34" s="58">
        <f>股权价值增加表!S31</f>
        <v>38018440.44000002</v>
      </c>
      <c r="T34" s="58">
        <f>股权价值增加表!T31</f>
        <v>19429075.500000007</v>
      </c>
      <c r="U34" s="58">
        <f>股权价值增加表!U31</f>
        <v>146523293.77999991</v>
      </c>
      <c r="V34" s="58">
        <f>股权价值增加表!V31</f>
        <v>112011498.47000009</v>
      </c>
      <c r="W34" s="58">
        <f>股权价值增加表!W31</f>
        <v>78443733.020000011</v>
      </c>
      <c r="X34" s="58">
        <f>股权价值增加表!X31</f>
        <v>36760970.260000013</v>
      </c>
      <c r="Y34" s="58">
        <f>股权价值增加表!Y31</f>
        <v>129328656.79999998</v>
      </c>
      <c r="Z34" s="58">
        <f>股权价值增加表!Z31</f>
        <v>93102439.540000007</v>
      </c>
      <c r="AA34" s="58">
        <f>股权价值增加表!AA31</f>
        <v>80210613.369999975</v>
      </c>
      <c r="AB34" s="58">
        <f>股权价值增加表!AB31</f>
        <v>33993335.580000006</v>
      </c>
      <c r="AC34" s="58">
        <f>股权价值增加表!AC31</f>
        <v>156727627.97999993</v>
      </c>
      <c r="AD34" s="58">
        <f>股权价值增加表!AD31</f>
        <v>131919111.54999994</v>
      </c>
      <c r="AE34" s="58">
        <f>股权价值增加表!AE31</f>
        <v>98312824.140000001</v>
      </c>
      <c r="AF34" s="58">
        <f>股权价值增加表!AF31</f>
        <v>39181662.529999994</v>
      </c>
      <c r="AG34" s="58">
        <f>股权价值增加表!AG31</f>
        <v>125639743.90000004</v>
      </c>
      <c r="AH34" s="58">
        <f>股权价值增加表!AH31</f>
        <v>93645944.700000003</v>
      </c>
      <c r="AI34" s="58">
        <f>股权价值增加表!AI31</f>
        <v>89583781.179999992</v>
      </c>
      <c r="AJ34" s="58">
        <f>股权价值增加表!AJ31</f>
        <v>133245510.11000001</v>
      </c>
      <c r="AK34" s="58">
        <f>股权价值增加表!AK31</f>
        <v>5884910.75</v>
      </c>
      <c r="AL34" s="58">
        <f>股权价值增加表!AL31</f>
        <v>1717806.4499999993</v>
      </c>
      <c r="AM34" s="58">
        <f>股权价值增加表!AM31</f>
        <v>1000000</v>
      </c>
      <c r="AN34" s="58">
        <f>股权价值增加表!AN31</f>
        <v>0</v>
      </c>
      <c r="AO34" s="58">
        <f>股权价值增加表!AO31</f>
        <v>61684901.189999998</v>
      </c>
      <c r="AP34" s="58">
        <f>股权价值增加表!AP31</f>
        <v>-930380.59</v>
      </c>
      <c r="AQ34" s="58">
        <f>股权价值增加表!AQ31</f>
        <v>-7876342.5499999998</v>
      </c>
      <c r="AR34" s="58">
        <f>股权价值增加表!AR31</f>
        <v>6521906.0300000003</v>
      </c>
      <c r="AS34" s="58">
        <f>股权价值增加表!AS31</f>
        <v>226890263.25999999</v>
      </c>
      <c r="AT34" s="58">
        <f>股权价值增加表!AT31</f>
        <v>60055871.75</v>
      </c>
      <c r="AU34" s="58">
        <f>股权价值增加表!AU31</f>
        <v>5904137.3200000003</v>
      </c>
      <c r="AV34" s="58">
        <f>股权价值增加表!AV31</f>
        <v>2766492.93</v>
      </c>
      <c r="AW34" s="58">
        <f>股权价值增加表!AW31</f>
        <v>45033950.969999999</v>
      </c>
      <c r="AX34" s="58">
        <f>股权价值增加表!AX31</f>
        <v>14019438.57</v>
      </c>
      <c r="AY34" s="58">
        <f>股权价值增加表!AY31</f>
        <v>14009438.57</v>
      </c>
      <c r="AZ34" s="58">
        <f>股权价值增加表!AZ31</f>
        <v>6036022.2699999996</v>
      </c>
      <c r="BA34" s="58">
        <f>股权价值增加表!BA31</f>
        <v>5577152.0700000003</v>
      </c>
      <c r="BB34" s="58">
        <f>股权价值增加表!BB31</f>
        <v>1968092.42</v>
      </c>
      <c r="BC34" s="58">
        <f>股权价值增加表!BC31</f>
        <v>-892725.16</v>
      </c>
      <c r="BD34" s="58">
        <f>股权价值增加表!BD31</f>
        <v>-162719.66</v>
      </c>
      <c r="BE34" s="58">
        <f>股权价值增加表!BE31</f>
        <v>3836309.38</v>
      </c>
      <c r="BF34" s="58">
        <f>股权价值增加表!BF31</f>
        <v>-255923.71</v>
      </c>
      <c r="BG34" s="58">
        <f>股权价值增加表!BG31</f>
        <v>-250667.51</v>
      </c>
      <c r="BH34" s="58">
        <f>股权价值增加表!BH31</f>
        <v>48919.87</v>
      </c>
      <c r="BI34" s="58">
        <f>股权价值增加表!BI31</f>
        <v>2592149.1599999997</v>
      </c>
      <c r="BJ34" s="58">
        <f>股权价值增加表!BJ31</f>
        <v>98113.99</v>
      </c>
      <c r="BK34" s="58">
        <f>股权价值增加表!BK31</f>
        <v>604187.18999999994</v>
      </c>
      <c r="BL34" s="58">
        <f>股权价值增加表!BL31</f>
        <v>573275.71</v>
      </c>
      <c r="BM34" s="58">
        <f>股权价值增加表!BM31</f>
        <v>-296138.87</v>
      </c>
      <c r="BN34" s="58">
        <f>股权价值增加表!BN31</f>
        <v>225245.9</v>
      </c>
      <c r="BO34" s="58">
        <f>股权价值增加表!BO31</f>
        <v>327855.90000000002</v>
      </c>
      <c r="BP34" s="58">
        <f>股权价值增加表!BP31</f>
        <v>242481.5</v>
      </c>
      <c r="BQ34" s="58">
        <f>股权价值增加表!BQ31</f>
        <v>323331.55</v>
      </c>
      <c r="BR34" s="58">
        <f>股权价值增加表!BR31</f>
        <v>1314800</v>
      </c>
      <c r="BS34" s="58">
        <f>股权价值增加表!BS31</f>
        <v>500000</v>
      </c>
      <c r="BT34" s="58">
        <f>股权价值增加表!BT31</f>
        <v>0</v>
      </c>
      <c r="BU34" s="58">
        <f>股权价值增加表!BU31</f>
        <v>0</v>
      </c>
      <c r="BV34" s="58">
        <f>股权价值增加表!BV31</f>
        <v>0</v>
      </c>
      <c r="BW34" s="58">
        <f>股权价值增加表!BW31</f>
        <v>0</v>
      </c>
      <c r="BX34" s="58">
        <f>股权价值增加表!BX31</f>
        <v>0</v>
      </c>
      <c r="BY34" s="58">
        <f>股权价值增加表!BY31</f>
        <v>0</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0" t="s">
        <v>679</v>
      </c>
      <c r="B35" s="281"/>
      <c r="C35" s="281"/>
      <c r="D35" s="281"/>
      <c r="E35" s="281"/>
      <c r="F35" s="281"/>
      <c r="G35" s="281"/>
      <c r="H35" s="281"/>
      <c r="I35" s="281"/>
      <c r="J35" s="281"/>
      <c r="K35" s="281"/>
      <c r="L35" s="281"/>
      <c r="M35" s="281"/>
      <c r="N35" s="281"/>
      <c r="O35" s="281"/>
      <c r="P35" s="281"/>
      <c r="Q35" s="281"/>
      <c r="R35" s="281"/>
      <c r="S35" s="281"/>
      <c r="T35" s="281"/>
      <c r="U35" s="281"/>
      <c r="V35" s="281"/>
      <c r="W35" s="281"/>
      <c r="X35" s="281"/>
      <c r="Y35" s="281"/>
      <c r="Z35" s="281"/>
      <c r="AA35" s="281"/>
      <c r="AB35" s="281"/>
      <c r="AC35" s="281"/>
      <c r="AD35" s="281"/>
      <c r="AE35" s="281"/>
      <c r="AF35" s="281"/>
      <c r="AG35" s="281"/>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40178</v>
      </c>
      <c r="AJ38" s="1">
        <v>39813</v>
      </c>
      <c r="AK38" s="1">
        <v>25569</v>
      </c>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388685887.36999977</v>
      </c>
      <c r="F39" s="26">
        <f>股权价值增加表!F31</f>
        <v>325371593.08000016</v>
      </c>
      <c r="G39" s="26">
        <f>股权价值增加表!G31</f>
        <v>239576174.06999999</v>
      </c>
      <c r="H39" s="26">
        <f>股权价值增加表!H31</f>
        <v>114117991.12000003</v>
      </c>
      <c r="I39" s="26">
        <f>股权价值增加表!I31</f>
        <v>431173405.69999981</v>
      </c>
      <c r="J39" s="26">
        <f>股权价值增加表!J31</f>
        <v>319584485.13999993</v>
      </c>
      <c r="K39" s="26">
        <f>股权价值增加表!K31</f>
        <v>232353025.87</v>
      </c>
      <c r="L39" s="26">
        <f>股权价值增加表!L31</f>
        <v>111786798.85999998</v>
      </c>
      <c r="M39" s="26">
        <f>股权价值增加表!M31</f>
        <v>298175294.38</v>
      </c>
      <c r="N39" s="26">
        <f>股权价值增加表!N31</f>
        <v>150421287.05999988</v>
      </c>
      <c r="O39" s="26">
        <f>股权价值增加表!O31</f>
        <v>68696959.51000005</v>
      </c>
      <c r="P39" s="26">
        <f>股权价值增加表!P31</f>
        <v>26398639.319999989</v>
      </c>
      <c r="Q39" s="26">
        <f>股权价值增加表!Q31</f>
        <v>112995177.04000008</v>
      </c>
      <c r="R39" s="26">
        <f>股权价值增加表!R31</f>
        <v>69265984.329999968</v>
      </c>
      <c r="S39" s="26">
        <f>股权价值增加表!S31</f>
        <v>38018440.44000002</v>
      </c>
      <c r="T39" s="26">
        <f>股权价值增加表!T31</f>
        <v>19429075.500000007</v>
      </c>
      <c r="U39" s="26">
        <f>股权价值增加表!U31</f>
        <v>146523293.77999991</v>
      </c>
      <c r="V39" s="26">
        <f>股权价值增加表!V31</f>
        <v>112011498.47000009</v>
      </c>
      <c r="W39" s="26">
        <f>股权价值增加表!W31</f>
        <v>78443733.020000011</v>
      </c>
      <c r="X39" s="26">
        <f>股权价值增加表!X31</f>
        <v>36760970.260000013</v>
      </c>
      <c r="Y39" s="26">
        <f>股权价值增加表!Y31</f>
        <v>129328656.79999998</v>
      </c>
      <c r="Z39" s="26">
        <f>股权价值增加表!Z31</f>
        <v>93102439.540000007</v>
      </c>
      <c r="AA39" s="26">
        <f>股权价值增加表!AA31</f>
        <v>80210613.369999975</v>
      </c>
      <c r="AB39" s="26">
        <f>股权价值增加表!AB31</f>
        <v>33993335.580000006</v>
      </c>
      <c r="AC39" s="26">
        <f>股权价值增加表!AC31</f>
        <v>156727627.97999993</v>
      </c>
      <c r="AD39" s="26">
        <f>股权价值增加表!AD31</f>
        <v>131919111.54999994</v>
      </c>
      <c r="AE39" s="26">
        <f>股权价值增加表!AE31</f>
        <v>98312824.140000001</v>
      </c>
      <c r="AF39" s="26">
        <f>股权价值增加表!AF31</f>
        <v>39181662.529999994</v>
      </c>
      <c r="AG39" s="26">
        <f>股权价值增加表!AG31</f>
        <v>125639743.90000004</v>
      </c>
      <c r="AH39" s="26">
        <f>股权价值增加表!AH31</f>
        <v>93645944.700000003</v>
      </c>
      <c r="AI39" s="26">
        <f>股权价值增加表!AI31</f>
        <v>89583781.179999992</v>
      </c>
      <c r="AJ39" s="26">
        <f>股权价值增加表!AJ31</f>
        <v>133245510.11000001</v>
      </c>
      <c r="AK39" s="26">
        <f>股权价值增加表!AK31</f>
        <v>5884910.75</v>
      </c>
      <c r="AL39" s="26">
        <f>股权价值增加表!AL31</f>
        <v>1717806.4499999993</v>
      </c>
      <c r="AM39" s="26">
        <f>股权价值增加表!AM31</f>
        <v>1000000</v>
      </c>
      <c r="AN39" s="26">
        <f>股权价值增加表!AN31</f>
        <v>0</v>
      </c>
      <c r="AO39" s="26">
        <f>股权价值增加表!AO31</f>
        <v>61684901.189999998</v>
      </c>
      <c r="AP39" s="26">
        <f>股权价值增加表!AP31</f>
        <v>-930380.59</v>
      </c>
      <c r="AQ39" s="26">
        <f>股权价值增加表!AQ31</f>
        <v>-7876342.5499999998</v>
      </c>
      <c r="AR39" s="26">
        <f>股权价值增加表!AR31</f>
        <v>6521906.0300000003</v>
      </c>
      <c r="AS39" s="26">
        <f>股权价值增加表!AS31</f>
        <v>226890263.25999999</v>
      </c>
      <c r="AT39" s="26">
        <f>股权价值增加表!AT31</f>
        <v>60055871.75</v>
      </c>
      <c r="AU39" s="26">
        <f>股权价值增加表!AU31</f>
        <v>5904137.3200000003</v>
      </c>
      <c r="AV39" s="26">
        <f>股权价值增加表!AV31</f>
        <v>2766492.93</v>
      </c>
      <c r="AW39" s="26">
        <f>股权价值增加表!AW31</f>
        <v>45033950.969999999</v>
      </c>
      <c r="AX39" s="26">
        <f>股权价值增加表!AX31</f>
        <v>14019438.57</v>
      </c>
      <c r="AY39" s="26">
        <f>股权价值增加表!AY31</f>
        <v>14009438.57</v>
      </c>
      <c r="AZ39" s="26">
        <f>股权价值增加表!AZ31</f>
        <v>6036022.2699999996</v>
      </c>
      <c r="BA39" s="26">
        <f>股权价值增加表!BA31</f>
        <v>5577152.0700000003</v>
      </c>
      <c r="BB39" s="26">
        <f>股权价值增加表!BB31</f>
        <v>1968092.42</v>
      </c>
      <c r="BC39" s="26">
        <f>股权价值增加表!BC31</f>
        <v>-892725.16</v>
      </c>
      <c r="BD39" s="26">
        <f>股权价值增加表!BD31</f>
        <v>-162719.66</v>
      </c>
      <c r="BE39" s="26">
        <f>股权价值增加表!BE31</f>
        <v>3836309.38</v>
      </c>
      <c r="BF39" s="26">
        <f>股权价值增加表!BF31</f>
        <v>-255923.71</v>
      </c>
      <c r="BG39" s="26">
        <f>股权价值增加表!BG31</f>
        <v>-250667.51</v>
      </c>
      <c r="BH39" s="26">
        <f>股权价值增加表!BH31</f>
        <v>48919.87</v>
      </c>
      <c r="BI39" s="26">
        <f>股权价值增加表!BI31</f>
        <v>2592149.1599999997</v>
      </c>
      <c r="BJ39" s="26">
        <f>股权价值增加表!BJ31</f>
        <v>98113.99</v>
      </c>
      <c r="BK39" s="26">
        <f>股权价值增加表!BK31</f>
        <v>604187.18999999994</v>
      </c>
      <c r="BL39" s="26">
        <f>股权价值增加表!BL31</f>
        <v>573275.71</v>
      </c>
      <c r="BM39" s="26">
        <f>股权价值增加表!BM31</f>
        <v>-296138.87</v>
      </c>
      <c r="BN39" s="26">
        <f>股权价值增加表!BN31</f>
        <v>225245.9</v>
      </c>
      <c r="BO39" s="26">
        <f>股权价值增加表!BO31</f>
        <v>327855.90000000002</v>
      </c>
      <c r="BP39" s="26">
        <f>股权价值增加表!BP31</f>
        <v>242481.5</v>
      </c>
      <c r="BQ39" s="26">
        <f>股权价值增加表!BQ31</f>
        <v>323331.55</v>
      </c>
      <c r="BR39" s="26">
        <f>股权价值增加表!BR31</f>
        <v>1314800</v>
      </c>
      <c r="BS39" s="26">
        <f>股权价值增加表!BS31</f>
        <v>500000</v>
      </c>
      <c r="BT39" s="26">
        <f>股权价值增加表!BT31</f>
        <v>0</v>
      </c>
      <c r="BU39" s="26">
        <f>股权价值增加表!BU31</f>
        <v>0</v>
      </c>
      <c r="BV39" s="26">
        <f>股权价值增加表!BV31</f>
        <v>0</v>
      </c>
      <c r="BW39" s="26">
        <f>股权价值增加表!BW31</f>
        <v>0</v>
      </c>
      <c r="BX39" s="26">
        <f>股权价值增加表!BX31</f>
        <v>0</v>
      </c>
      <c r="BY39" s="26">
        <f>股权价值增加表!BY31</f>
        <v>0</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362767682.85999978</v>
      </c>
      <c r="F40" s="26">
        <f>股权价值增加表!F38</f>
        <v>312559901.67000014</v>
      </c>
      <c r="G40" s="26">
        <f>股权价值增加表!G38</f>
        <v>233234690.69999999</v>
      </c>
      <c r="H40" s="26">
        <f>股权价值增加表!H38</f>
        <v>111794823.64000003</v>
      </c>
      <c r="I40" s="26">
        <f>股权价值增加表!I38</f>
        <v>419559803.73999983</v>
      </c>
      <c r="J40" s="26">
        <f>股权价值增加表!J38</f>
        <v>309483703.9199999</v>
      </c>
      <c r="K40" s="26">
        <f>股权价值增加表!K38</f>
        <v>230466702.94</v>
      </c>
      <c r="L40" s="26">
        <f>股权价值增加表!L38</f>
        <v>103060546.38999999</v>
      </c>
      <c r="M40" s="26">
        <f>股权价值增加表!M38</f>
        <v>338075073.75</v>
      </c>
      <c r="N40" s="26">
        <f>股权价值增加表!N38</f>
        <v>171501581.4199999</v>
      </c>
      <c r="O40" s="26">
        <f>股权价值增加表!O38</f>
        <v>81194258.120000049</v>
      </c>
      <c r="P40" s="26">
        <f>股权价值增加表!P38</f>
        <v>28274821.669999991</v>
      </c>
      <c r="Q40" s="26">
        <f>股权价值增加表!Q38</f>
        <v>114105236.79000008</v>
      </c>
      <c r="R40" s="26">
        <f>股权价值增加表!R38</f>
        <v>74091240.189999968</v>
      </c>
      <c r="S40" s="26">
        <f>股权价值增加表!S38</f>
        <v>42261579.250000022</v>
      </c>
      <c r="T40" s="26">
        <f>股权价值增加表!T38</f>
        <v>20000713.920000009</v>
      </c>
      <c r="U40" s="26">
        <f>股权价值增加表!U38</f>
        <v>132612462.02999991</v>
      </c>
      <c r="V40" s="26">
        <f>股权价值增加表!V38</f>
        <v>105758651.03000009</v>
      </c>
      <c r="W40" s="26">
        <f>股权价值增加表!W38</f>
        <v>73045750.570000008</v>
      </c>
      <c r="X40" s="26">
        <f>股权价值增加表!X38</f>
        <v>36313778.45000001</v>
      </c>
      <c r="Y40" s="26">
        <f>股权价值增加表!Y38</f>
        <v>121678615.60999998</v>
      </c>
      <c r="Z40" s="26">
        <f>股权价值增加表!Z38</f>
        <v>95541382.530000001</v>
      </c>
      <c r="AA40" s="26">
        <f>股权价值增加表!AA38</f>
        <v>81037509.569999978</v>
      </c>
      <c r="AB40" s="26">
        <f>股权价值增加表!AB38</f>
        <v>32786372.460000005</v>
      </c>
      <c r="AC40" s="26">
        <f>股权价值增加表!AC38</f>
        <v>135281395.52999994</v>
      </c>
      <c r="AD40" s="26">
        <f>股权价值增加表!AD38</f>
        <v>118991880.89999993</v>
      </c>
      <c r="AE40" s="26">
        <f>股权价值增加表!AE38</f>
        <v>88992233.319999993</v>
      </c>
      <c r="AF40" s="26">
        <f>股权价值增加表!AF38</f>
        <v>35289476.409999996</v>
      </c>
      <c r="AG40" s="26">
        <f>股权价值增加表!AG38</f>
        <v>106941642.53000003</v>
      </c>
      <c r="AH40" s="26">
        <f>股权价值增加表!AH38</f>
        <v>86492487.890000001</v>
      </c>
      <c r="AI40" s="26">
        <f>股权价值增加表!AI38</f>
        <v>74753758.859999985</v>
      </c>
      <c r="AJ40" s="26">
        <f>股权价值增加表!AJ38</f>
        <v>106267305.26000002</v>
      </c>
      <c r="AK40" s="26">
        <f>股权价值增加表!AK38</f>
        <v>-9000550.8699999992</v>
      </c>
      <c r="AL40" s="26">
        <f>股权价值增加表!AL38</f>
        <v>-40269634.489999995</v>
      </c>
      <c r="AM40" s="26">
        <f>股权价值增加表!AM38</f>
        <v>-35926585.880000003</v>
      </c>
      <c r="AN40" s="26">
        <f>股权价值增加表!AN38</f>
        <v>-28076939.34</v>
      </c>
      <c r="AO40" s="26">
        <f>股权价值增加表!AO38</f>
        <v>21900.179999999702</v>
      </c>
      <c r="AP40" s="26">
        <f>股权价值增加表!AP38</f>
        <v>-27653608.949999999</v>
      </c>
      <c r="AQ40" s="26">
        <f>股权价值增加表!AQ38</f>
        <v>10088008.099999998</v>
      </c>
      <c r="AR40" s="26">
        <f>股权价值增加表!AR38</f>
        <v>25726583.670000002</v>
      </c>
      <c r="AS40" s="26">
        <f>股权价值增加表!AS38</f>
        <v>166768384.75</v>
      </c>
      <c r="AT40" s="26">
        <f>股权价值增加表!AT38</f>
        <v>1180360.0600000024</v>
      </c>
      <c r="AU40" s="26">
        <f>股权价值增加表!AU38</f>
        <v>-30937042.100000001</v>
      </c>
      <c r="AV40" s="26">
        <f>股权价值增加表!AV38</f>
        <v>-9937044.7200000007</v>
      </c>
      <c r="AW40" s="26">
        <f>股权价值增加表!AW38</f>
        <v>30839697.699999999</v>
      </c>
      <c r="AX40" s="26">
        <f>股权价值增加表!AX38</f>
        <v>-1456580.4499999993</v>
      </c>
      <c r="AY40" s="26">
        <f>股权价值增加表!AY38</f>
        <v>2208842.370000001</v>
      </c>
      <c r="AZ40" s="26">
        <f>股权价值增加表!AZ38</f>
        <v>1593007.0099999998</v>
      </c>
      <c r="BA40" s="26">
        <f>股权价值增加表!BA38</f>
        <v>-3181726.42</v>
      </c>
      <c r="BB40" s="26">
        <f>股权价值增加表!BB38</f>
        <v>-5214152.9000000004</v>
      </c>
      <c r="BC40" s="26">
        <f>股权价值增加表!BC38</f>
        <v>-4407842.97</v>
      </c>
      <c r="BD40" s="26">
        <f>股权价值增加表!BD38</f>
        <v>-2449346.6</v>
      </c>
      <c r="BE40" s="26">
        <f>股权价值增加表!BE38</f>
        <v>-6772579.5000000009</v>
      </c>
      <c r="BF40" s="26">
        <f>股权价值增加表!BF38</f>
        <v>-6363443.7699999996</v>
      </c>
      <c r="BG40" s="26">
        <f>股权价值增加表!BG38</f>
        <v>-2051314.19</v>
      </c>
      <c r="BH40" s="26">
        <f>股权价值增加表!BH38</f>
        <v>-29571.21</v>
      </c>
      <c r="BI40" s="26">
        <f>股权价值增加表!BI38</f>
        <v>874393.14999999967</v>
      </c>
      <c r="BJ40" s="26">
        <f>股权价值增加表!BJ38</f>
        <v>591045.81000000006</v>
      </c>
      <c r="BK40" s="26">
        <f>股权价值增加表!BK38</f>
        <v>1207192.08</v>
      </c>
      <c r="BL40" s="26">
        <f>股权价值增加表!BL38</f>
        <v>786360.35</v>
      </c>
      <c r="BM40" s="26">
        <f>股权价值增加表!BM38</f>
        <v>2848251.9299999997</v>
      </c>
      <c r="BN40" s="26">
        <f>股权价值增加表!BN38</f>
        <v>2781661.44</v>
      </c>
      <c r="BO40" s="26">
        <f>股权价值增加表!BO38</f>
        <v>2781642.6799999997</v>
      </c>
      <c r="BP40" s="26">
        <f>股权价值增加表!BP38</f>
        <v>2355645.86</v>
      </c>
      <c r="BQ40" s="26">
        <f>股权价值增加表!BQ38</f>
        <v>1908571.3</v>
      </c>
      <c r="BR40" s="26">
        <f>股权价值增加表!BR38</f>
        <v>1314800</v>
      </c>
      <c r="BS40" s="26">
        <f>股权价值增加表!BS38</f>
        <v>2804346.42</v>
      </c>
      <c r="BT40" s="26">
        <f>股权价值增加表!BT38</f>
        <v>-5950327.5999999996</v>
      </c>
      <c r="BU40" s="26">
        <f>股权价值增加表!BU38</f>
        <v>-2430452.9300000002</v>
      </c>
      <c r="BV40" s="26">
        <f>股权价值增加表!BV38</f>
        <v>-2589207.4500000002</v>
      </c>
      <c r="BW40" s="26">
        <f>股权价值增加表!BW38</f>
        <v>-4043301.61</v>
      </c>
      <c r="BX40" s="26">
        <f>股权价值增加表!BX38</f>
        <v>-3372272.53</v>
      </c>
      <c r="BY40" s="26">
        <f>股权价值增加表!BY38</f>
        <v>0</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6.668161966304631E-2</v>
      </c>
      <c r="F41" s="59">
        <f t="shared" ref="F41:BQ41" si="34">1-F40/F39</f>
        <v>3.9375568373143044E-2</v>
      </c>
      <c r="G41" s="59">
        <f t="shared" si="34"/>
        <v>2.6469591121140223E-2</v>
      </c>
      <c r="H41" s="59">
        <f t="shared" si="34"/>
        <v>2.0357591797748098E-2</v>
      </c>
      <c r="I41" s="59">
        <f t="shared" si="34"/>
        <v>2.6934875403888947E-2</v>
      </c>
      <c r="J41" s="59">
        <f t="shared" si="34"/>
        <v>3.1605981171380026E-2</v>
      </c>
      <c r="K41" s="59">
        <f t="shared" si="34"/>
        <v>8.1183488914639002E-3</v>
      </c>
      <c r="L41" s="59">
        <f t="shared" si="34"/>
        <v>7.8061565041580794E-2</v>
      </c>
      <c r="M41" s="59">
        <f t="shared" si="34"/>
        <v>-0.13381316333723814</v>
      </c>
      <c r="N41" s="59">
        <f t="shared" si="34"/>
        <v>-0.14014169651128916</v>
      </c>
      <c r="O41" s="59">
        <f t="shared" si="34"/>
        <v>-0.18191923920855335</v>
      </c>
      <c r="P41" s="59">
        <f t="shared" si="34"/>
        <v>-7.1071176330613994E-2</v>
      </c>
      <c r="Q41" s="59">
        <f t="shared" si="34"/>
        <v>-9.8239569075329047E-3</v>
      </c>
      <c r="R41" s="59">
        <f t="shared" si="34"/>
        <v>-6.9662705391023039E-2</v>
      </c>
      <c r="S41" s="59">
        <f t="shared" si="34"/>
        <v>-0.11160738738603548</v>
      </c>
      <c r="T41" s="59">
        <f t="shared" si="34"/>
        <v>-2.9421802390957819E-2</v>
      </c>
      <c r="U41" s="59">
        <f t="shared" si="34"/>
        <v>9.4939387391104302E-2</v>
      </c>
      <c r="V41" s="59">
        <f t="shared" si="34"/>
        <v>5.5823263909594911E-2</v>
      </c>
      <c r="W41" s="59">
        <f t="shared" si="34"/>
        <v>6.8813431515602819E-2</v>
      </c>
      <c r="X41" s="59">
        <f t="shared" si="34"/>
        <v>1.2164853289702071E-2</v>
      </c>
      <c r="Y41" s="59">
        <f t="shared" si="34"/>
        <v>5.9151941876504521E-2</v>
      </c>
      <c r="Z41" s="59">
        <f t="shared" si="34"/>
        <v>-2.6196338163106292E-2</v>
      </c>
      <c r="AA41" s="59">
        <f t="shared" si="34"/>
        <v>-1.030906217093297E-2</v>
      </c>
      <c r="AB41" s="59">
        <f t="shared" si="34"/>
        <v>3.5505874884196986E-2</v>
      </c>
      <c r="AC41" s="59">
        <f t="shared" si="34"/>
        <v>0.13683759989487465</v>
      </c>
      <c r="AD41" s="59">
        <f t="shared" si="34"/>
        <v>9.7993615163943337E-2</v>
      </c>
      <c r="AE41" s="59">
        <f t="shared" si="34"/>
        <v>9.4805442743941981E-2</v>
      </c>
      <c r="AF41" s="59">
        <f t="shared" si="34"/>
        <v>9.9336931326481914E-2</v>
      </c>
      <c r="AG41" s="59">
        <f t="shared" si="34"/>
        <v>0.14882314138496111</v>
      </c>
      <c r="AH41" s="59">
        <f t="shared" si="34"/>
        <v>7.6388324480216374E-2</v>
      </c>
      <c r="AI41" s="59">
        <f t="shared" si="34"/>
        <v>0.16554360761131703</v>
      </c>
      <c r="AJ41" s="59">
        <f t="shared" si="34"/>
        <v>0.20246989806807225</v>
      </c>
      <c r="AK41" s="59">
        <f t="shared" si="34"/>
        <v>2.5294286102809629</v>
      </c>
      <c r="AL41" s="59">
        <f t="shared" si="34"/>
        <v>24.442474843426051</v>
      </c>
      <c r="AM41" s="59">
        <f t="shared" si="34"/>
        <v>36.926585880000005</v>
      </c>
      <c r="AN41" s="59" t="e">
        <f t="shared" si="34"/>
        <v>#DIV/0!</v>
      </c>
      <c r="AO41" s="59">
        <f t="shared" si="34"/>
        <v>0.99964496692744076</v>
      </c>
      <c r="AP41" s="59">
        <f t="shared" si="34"/>
        <v>-28.722899689900022</v>
      </c>
      <c r="AQ41" s="59">
        <f t="shared" si="34"/>
        <v>2.2807985477980512</v>
      </c>
      <c r="AR41" s="59">
        <f t="shared" si="34"/>
        <v>-2.9446418810177186</v>
      </c>
      <c r="AS41" s="59">
        <f t="shared" si="34"/>
        <v>0.26498218850892086</v>
      </c>
      <c r="AT41" s="59">
        <f t="shared" si="34"/>
        <v>0.98034563439668987</v>
      </c>
      <c r="AU41" s="59">
        <f t="shared" si="34"/>
        <v>6.239892032185999</v>
      </c>
      <c r="AV41" s="59">
        <f t="shared" si="34"/>
        <v>4.591928470968476</v>
      </c>
      <c r="AW41" s="59">
        <f t="shared" si="34"/>
        <v>0.31519005026797897</v>
      </c>
      <c r="AX41" s="59">
        <f t="shared" si="34"/>
        <v>1.103897202639549</v>
      </c>
      <c r="AY41" s="59">
        <f t="shared" si="34"/>
        <v>0.84233184228167102</v>
      </c>
      <c r="AZ41" s="59">
        <f t="shared" si="34"/>
        <v>0.73608331136922733</v>
      </c>
      <c r="BA41" s="59">
        <f t="shared" si="34"/>
        <v>1.5704930366010263</v>
      </c>
      <c r="BB41" s="59">
        <f t="shared" si="34"/>
        <v>3.6493435201584692</v>
      </c>
      <c r="BC41" s="59">
        <f t="shared" si="34"/>
        <v>-3.9375139936685546</v>
      </c>
      <c r="BD41" s="59">
        <f t="shared" si="34"/>
        <v>-14.052554804994061</v>
      </c>
      <c r="BE41" s="59">
        <f t="shared" si="34"/>
        <v>2.7653892919345315</v>
      </c>
      <c r="BF41" s="59">
        <f t="shared" si="34"/>
        <v>-23.864612075215696</v>
      </c>
      <c r="BG41" s="59">
        <f t="shared" si="34"/>
        <v>-7.1834067366768029</v>
      </c>
      <c r="BH41" s="59">
        <f t="shared" si="34"/>
        <v>1.6044825957223516</v>
      </c>
      <c r="BI41" s="59">
        <f t="shared" si="34"/>
        <v>0.6626763754598135</v>
      </c>
      <c r="BJ41" s="59">
        <f t="shared" si="34"/>
        <v>-5.0240727137893382</v>
      </c>
      <c r="BK41" s="59">
        <f t="shared" si="34"/>
        <v>-0.99804315612848415</v>
      </c>
      <c r="BL41" s="59">
        <f t="shared" si="34"/>
        <v>-0.37169661348463556</v>
      </c>
      <c r="BM41" s="59">
        <f t="shared" si="34"/>
        <v>10.617960418367234</v>
      </c>
      <c r="BN41" s="59">
        <f t="shared" si="34"/>
        <v>-11.349443164115307</v>
      </c>
      <c r="BO41" s="59">
        <f t="shared" si="34"/>
        <v>-7.4843453480629734</v>
      </c>
      <c r="BP41" s="59">
        <f t="shared" si="34"/>
        <v>-8.7147446712429595</v>
      </c>
      <c r="BQ41" s="59">
        <f t="shared" si="34"/>
        <v>-4.9028303918995846</v>
      </c>
      <c r="BR41" s="59">
        <f t="shared" ref="BR41:CK41" si="35">1-BR40/BR39</f>
        <v>0</v>
      </c>
      <c r="BS41" s="59">
        <f t="shared" si="35"/>
        <v>-4.6086928399999998</v>
      </c>
      <c r="BT41" s="59" t="e">
        <f t="shared" si="35"/>
        <v>#DIV/0!</v>
      </c>
      <c r="BU41" s="59" t="e">
        <f t="shared" si="35"/>
        <v>#DIV/0!</v>
      </c>
      <c r="BV41" s="59" t="e">
        <f t="shared" si="35"/>
        <v>#DIV/0!</v>
      </c>
      <c r="BW41" s="59" t="e">
        <f t="shared" si="35"/>
        <v>#DIV/0!</v>
      </c>
      <c r="BX41" s="59" t="e">
        <f t="shared" si="35"/>
        <v>#DIV/0!</v>
      </c>
      <c r="BY41" s="59" t="e">
        <f t="shared" si="35"/>
        <v>#DIV/0!</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50">
        <f>E39/(E39-E40)</f>
        <v>14.996636330268695</v>
      </c>
      <c r="F42" s="29">
        <f t="shared" ref="F42:BQ42" si="36">F39/(F39-F40)</f>
        <v>25.396458802155891</v>
      </c>
      <c r="G42" s="29">
        <f t="shared" si="36"/>
        <v>37.779200873312362</v>
      </c>
      <c r="H42" s="29">
        <f t="shared" si="36"/>
        <v>49.121723725230446</v>
      </c>
      <c r="I42" s="29">
        <f t="shared" si="36"/>
        <v>37.126587185014955</v>
      </c>
      <c r="J42" s="29">
        <f t="shared" si="36"/>
        <v>31.639580957085517</v>
      </c>
      <c r="K42" s="29">
        <f t="shared" si="36"/>
        <v>123.17775613849911</v>
      </c>
      <c r="L42" s="29">
        <f t="shared" si="36"/>
        <v>12.810401629372064</v>
      </c>
      <c r="M42" s="29">
        <f t="shared" si="36"/>
        <v>-7.473106345149195</v>
      </c>
      <c r="N42" s="29">
        <f t="shared" si="36"/>
        <v>-7.1356350386370879</v>
      </c>
      <c r="O42" s="29">
        <f t="shared" si="36"/>
        <v>-5.4969447121180739</v>
      </c>
      <c r="P42" s="29">
        <f t="shared" si="36"/>
        <v>-14.070401696295654</v>
      </c>
      <c r="Q42" s="29">
        <f t="shared" si="36"/>
        <v>-101.79197744986257</v>
      </c>
      <c r="R42" s="29">
        <f t="shared" si="36"/>
        <v>-14.35488321027602</v>
      </c>
      <c r="S42" s="29">
        <f t="shared" si="36"/>
        <v>-8.9599803688722588</v>
      </c>
      <c r="T42" s="29">
        <f t="shared" si="36"/>
        <v>-33.988400394780932</v>
      </c>
      <c r="U42" s="29">
        <f t="shared" si="36"/>
        <v>10.533036155799952</v>
      </c>
      <c r="V42" s="29">
        <f t="shared" si="36"/>
        <v>17.913678455267114</v>
      </c>
      <c r="W42" s="29">
        <f t="shared" si="36"/>
        <v>14.532046694594193</v>
      </c>
      <c r="X42" s="29">
        <f t="shared" si="36"/>
        <v>82.204032895861431</v>
      </c>
      <c r="Y42" s="29">
        <f t="shared" si="36"/>
        <v>16.905615746102935</v>
      </c>
      <c r="Z42" s="29">
        <f t="shared" si="36"/>
        <v>-38.1732742100709</v>
      </c>
      <c r="AA42" s="29">
        <f t="shared" si="36"/>
        <v>-97.002034076344387</v>
      </c>
      <c r="AB42" s="29">
        <f t="shared" si="36"/>
        <v>28.164353174270957</v>
      </c>
      <c r="AC42" s="29">
        <f t="shared" si="36"/>
        <v>7.3079329129438779</v>
      </c>
      <c r="AD42" s="29">
        <f t="shared" si="36"/>
        <v>10.204746486054217</v>
      </c>
      <c r="AE42" s="29">
        <f t="shared" si="36"/>
        <v>10.547917620097813</v>
      </c>
      <c r="AF42" s="29">
        <f t="shared" si="36"/>
        <v>10.066749462124905</v>
      </c>
      <c r="AG42" s="29">
        <f t="shared" si="36"/>
        <v>6.719385108350175</v>
      </c>
      <c r="AH42" s="29">
        <f t="shared" si="36"/>
        <v>13.091005815410798</v>
      </c>
      <c r="AI42" s="29">
        <f t="shared" si="36"/>
        <v>6.0407044067078619</v>
      </c>
      <c r="AJ42" s="29">
        <f t="shared" si="36"/>
        <v>4.9390057956358069</v>
      </c>
      <c r="AK42" s="29">
        <f t="shared" si="36"/>
        <v>0.3953462042516086</v>
      </c>
      <c r="AL42" s="29">
        <f t="shared" si="36"/>
        <v>4.0912387407814221E-2</v>
      </c>
      <c r="AM42" s="29">
        <f t="shared" si="36"/>
        <v>2.7080759733642615E-2</v>
      </c>
      <c r="AN42" s="29">
        <f t="shared" si="36"/>
        <v>0</v>
      </c>
      <c r="AO42" s="29">
        <f t="shared" si="36"/>
        <v>1.0003551591658091</v>
      </c>
      <c r="AP42" s="29">
        <f t="shared" si="36"/>
        <v>-3.4815426394836972E-2</v>
      </c>
      <c r="AQ42" s="29">
        <f t="shared" si="36"/>
        <v>0.43844293086096048</v>
      </c>
      <c r="AR42" s="29">
        <f t="shared" si="36"/>
        <v>-0.33959987000333736</v>
      </c>
      <c r="AS42" s="29">
        <f t="shared" si="36"/>
        <v>3.7738385573275401</v>
      </c>
      <c r="AT42" s="29">
        <f t="shared" si="36"/>
        <v>1.0200484042706075</v>
      </c>
      <c r="AU42" s="29">
        <f t="shared" si="36"/>
        <v>0.16025918314642273</v>
      </c>
      <c r="AV42" s="29">
        <f t="shared" si="36"/>
        <v>0.21777342707367819</v>
      </c>
      <c r="AW42" s="29">
        <f t="shared" si="36"/>
        <v>3.1726889828844094</v>
      </c>
      <c r="AX42" s="29">
        <f t="shared" si="36"/>
        <v>0.90588145128811048</v>
      </c>
      <c r="AY42" s="29">
        <f t="shared" si="36"/>
        <v>1.1871805739781183</v>
      </c>
      <c r="AZ42" s="29">
        <f t="shared" si="36"/>
        <v>1.3585418723049805</v>
      </c>
      <c r="BA42" s="29">
        <f t="shared" si="36"/>
        <v>0.636742714991129</v>
      </c>
      <c r="BB42" s="29">
        <f t="shared" si="36"/>
        <v>0.27402188762886753</v>
      </c>
      <c r="BC42" s="29">
        <f t="shared" si="36"/>
        <v>-0.25396735138160281</v>
      </c>
      <c r="BD42" s="29">
        <f t="shared" si="36"/>
        <v>-7.1161437466489397E-2</v>
      </c>
      <c r="BE42" s="29">
        <f t="shared" si="36"/>
        <v>0.36161274035325741</v>
      </c>
      <c r="BF42" s="29">
        <f t="shared" si="36"/>
        <v>-4.190304861642976E-2</v>
      </c>
      <c r="BG42" s="29">
        <f t="shared" si="36"/>
        <v>-0.13920971436772928</v>
      </c>
      <c r="BH42" s="29">
        <f t="shared" si="36"/>
        <v>0.62325387802027954</v>
      </c>
      <c r="BI42" s="29">
        <f t="shared" si="36"/>
        <v>1.5090322169794066</v>
      </c>
      <c r="BJ42" s="29">
        <f t="shared" si="36"/>
        <v>-0.19904170519971706</v>
      </c>
      <c r="BK42" s="29">
        <f t="shared" si="36"/>
        <v>-1.0019606806173658</v>
      </c>
      <c r="BL42" s="29">
        <f t="shared" si="36"/>
        <v>-2.6903661850051694</v>
      </c>
      <c r="BM42" s="29">
        <f t="shared" si="36"/>
        <v>9.4180045940854426E-2</v>
      </c>
      <c r="BN42" s="29">
        <f t="shared" si="36"/>
        <v>-8.8110049589199407E-2</v>
      </c>
      <c r="BO42" s="29">
        <f t="shared" si="36"/>
        <v>-0.13361222037393161</v>
      </c>
      <c r="BP42" s="29">
        <f t="shared" si="36"/>
        <v>-0.11474805490283776</v>
      </c>
      <c r="BQ42" s="29">
        <f t="shared" si="36"/>
        <v>-0.20396381682959944</v>
      </c>
      <c r="BR42" s="29" t="e">
        <f t="shared" ref="BR42:CK42" si="37">BR39/(BR39-BR40)</f>
        <v>#DIV/0!</v>
      </c>
      <c r="BS42" s="29">
        <f t="shared" si="37"/>
        <v>-0.21698126447498289</v>
      </c>
      <c r="BT42" s="29">
        <f t="shared" si="37"/>
        <v>0</v>
      </c>
      <c r="BU42" s="29">
        <f t="shared" si="37"/>
        <v>0</v>
      </c>
      <c r="BV42" s="29">
        <f t="shared" si="37"/>
        <v>0</v>
      </c>
      <c r="BW42" s="29">
        <f t="shared" si="37"/>
        <v>0</v>
      </c>
      <c r="BX42" s="29">
        <f t="shared" si="37"/>
        <v>0</v>
      </c>
      <c r="BY42" s="29" t="e">
        <f t="shared" si="37"/>
        <v>#DIV/0!</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0" t="s">
        <v>701</v>
      </c>
      <c r="B43" s="281"/>
      <c r="C43" s="281"/>
      <c r="D43" s="281"/>
      <c r="E43" s="281"/>
      <c r="F43" s="281"/>
      <c r="G43" s="281"/>
      <c r="H43" s="281"/>
      <c r="I43" s="281"/>
      <c r="J43" s="281"/>
      <c r="K43" s="281"/>
      <c r="L43" s="281"/>
      <c r="M43" s="281"/>
      <c r="N43" s="281"/>
      <c r="O43" s="281"/>
      <c r="P43" s="281"/>
      <c r="Q43" s="281"/>
      <c r="R43" s="281"/>
      <c r="S43" s="281"/>
      <c r="T43" s="281"/>
      <c r="U43" s="281"/>
      <c r="V43" s="281"/>
      <c r="W43" s="281"/>
      <c r="X43" s="281"/>
      <c r="Y43" s="281"/>
      <c r="Z43" s="281"/>
      <c r="AA43" s="281"/>
      <c r="AB43" s="281"/>
      <c r="AC43" s="281"/>
      <c r="AD43" s="281"/>
      <c r="AE43" s="281"/>
      <c r="AF43" s="281"/>
      <c r="AG43" s="281"/>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40178</v>
      </c>
      <c r="AJ46" s="1">
        <v>39813</v>
      </c>
      <c r="AK46" s="1">
        <v>25569</v>
      </c>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304306233.41999978</v>
      </c>
      <c r="F47" s="26">
        <f>股权价值增加表!F42</f>
        <v>262599285.01000014</v>
      </c>
      <c r="G47" s="26">
        <f>股权价值增加表!G42</f>
        <v>194563579.06</v>
      </c>
      <c r="H47" s="26">
        <f>股权价值增加表!H42</f>
        <v>92510941.320000023</v>
      </c>
      <c r="I47" s="26">
        <f>股权价值增加表!I42</f>
        <v>370011591.78999984</v>
      </c>
      <c r="J47" s="26">
        <f>股权价值增加表!J42</f>
        <v>264716610.8499999</v>
      </c>
      <c r="K47" s="26">
        <f>股权价值增加表!K42</f>
        <v>199116643.63999999</v>
      </c>
      <c r="L47" s="26">
        <f>股权价值增加表!L42</f>
        <v>86694933.889999986</v>
      </c>
      <c r="M47" s="26">
        <f>股权价值增加表!M42</f>
        <v>298144112.63</v>
      </c>
      <c r="N47" s="26">
        <f>股权价值增加表!N42</f>
        <v>145948182.48999989</v>
      </c>
      <c r="O47" s="26">
        <f>股权价值增加表!O42</f>
        <v>70088189.920000046</v>
      </c>
      <c r="P47" s="26">
        <f>股权价值增加表!P42</f>
        <v>23681393.739999991</v>
      </c>
      <c r="Q47" s="26">
        <f>股权价值增加表!Q42</f>
        <v>99276084.000000089</v>
      </c>
      <c r="R47" s="26">
        <f>股权价值增加表!R42</f>
        <v>63144760.389999971</v>
      </c>
      <c r="S47" s="26">
        <f>股权价值增加表!S42</f>
        <v>36513669.350000024</v>
      </c>
      <c r="T47" s="26">
        <f>股权价值增加表!T42</f>
        <v>16576525.63000001</v>
      </c>
      <c r="U47" s="26">
        <f>股权价值增加表!U42</f>
        <v>111056231.57999991</v>
      </c>
      <c r="V47" s="26">
        <f>股权价值增加表!V42</f>
        <v>89940853.150000095</v>
      </c>
      <c r="W47" s="26">
        <f>股权价值增加表!W42</f>
        <v>62583672.940000005</v>
      </c>
      <c r="X47" s="26">
        <f>股权价值增加表!X42</f>
        <v>30644006.390000012</v>
      </c>
      <c r="Y47" s="26">
        <f>股权价值增加表!Y42</f>
        <v>104099983.04999998</v>
      </c>
      <c r="Z47" s="26">
        <f>股权价值增加表!Z42</f>
        <v>81738311.960000008</v>
      </c>
      <c r="AA47" s="26">
        <f>股权价值增加表!AA42</f>
        <v>69439554.349999979</v>
      </c>
      <c r="AB47" s="26">
        <f>股权价值增加表!AB42</f>
        <v>27851357.510000005</v>
      </c>
      <c r="AC47" s="26">
        <f>股权价值增加表!AC42</f>
        <v>115126305.65999994</v>
      </c>
      <c r="AD47" s="26">
        <f>股权价值增加表!AD42</f>
        <v>102051346.40999994</v>
      </c>
      <c r="AE47" s="26">
        <f>股权价值增加表!AE42</f>
        <v>77141986.969999999</v>
      </c>
      <c r="AF47" s="26">
        <f>股权价值增加表!AF42</f>
        <v>29629487.049999997</v>
      </c>
      <c r="AG47" s="26">
        <f>股权价值增加表!AG42</f>
        <v>92811800.770000026</v>
      </c>
      <c r="AH47" s="26">
        <f>股权价值增加表!AH42</f>
        <v>74696193.409999996</v>
      </c>
      <c r="AI47" s="26">
        <f>股权价值增加表!AI42</f>
        <v>63399330.539999984</v>
      </c>
      <c r="AJ47" s="26">
        <f>股权价值增加表!AJ42</f>
        <v>93669269.390000015</v>
      </c>
      <c r="AK47" s="26">
        <f>股权价值增加表!AK42</f>
        <v>-9000550.8699999992</v>
      </c>
      <c r="AL47" s="26">
        <f>股权价值增加表!AL42</f>
        <v>-183345585.82999998</v>
      </c>
      <c r="AM47" s="26">
        <f>股权价值增加表!AM42</f>
        <v>-106810116.88</v>
      </c>
      <c r="AN47" s="26">
        <f>股权价值增加表!AN42</f>
        <v>-49783959.600000001</v>
      </c>
      <c r="AO47" s="26">
        <f>股权价值增加表!AO42</f>
        <v>-267539954.00999999</v>
      </c>
      <c r="AP47" s="26">
        <f>股权价值增加表!AP42</f>
        <v>-424870521.57999998</v>
      </c>
      <c r="AQ47" s="26">
        <f>股权价值增加表!AQ42</f>
        <v>-293304959.90999997</v>
      </c>
      <c r="AR47" s="26">
        <f>股权价值增加表!AR42</f>
        <v>-120246619.52999999</v>
      </c>
      <c r="AS47" s="26">
        <f>股权价值增加表!AS42</f>
        <v>-618583611.08000004</v>
      </c>
      <c r="AT47" s="26">
        <f>股权价值增加表!AT42</f>
        <v>-534184089.29000002</v>
      </c>
      <c r="AU47" s="26">
        <f>股权价值增加表!AU42</f>
        <v>-361733175.15000004</v>
      </c>
      <c r="AV47" s="26">
        <f>股权价值增加表!AV42</f>
        <v>-169159183.02000001</v>
      </c>
      <c r="AW47" s="26">
        <f>股权价值增加表!AW42</f>
        <v>-364665048.18000001</v>
      </c>
      <c r="AX47" s="26">
        <f>股权价值增加表!AX42</f>
        <v>-314423100.28999996</v>
      </c>
      <c r="AY47" s="26">
        <f>股权价值增加表!AY42</f>
        <v>-184996081.94999999</v>
      </c>
      <c r="AZ47" s="26">
        <f>股权价值增加表!AZ42</f>
        <v>-91146481.429999992</v>
      </c>
      <c r="BA47" s="26">
        <f>股权价值增加表!BA42</f>
        <v>-250424310.28999999</v>
      </c>
      <c r="BB47" s="26">
        <f>股权价值增加表!BB42</f>
        <v>-244895316.83000001</v>
      </c>
      <c r="BC47" s="26">
        <f>股权价值增加表!BC42</f>
        <v>-168341803.09999999</v>
      </c>
      <c r="BD47" s="26">
        <f>股权价值增加表!BD42</f>
        <v>-79512055.189999998</v>
      </c>
      <c r="BE47" s="26">
        <f>股权价值增加表!BE42</f>
        <v>-116917833.25</v>
      </c>
      <c r="BF47" s="26">
        <f>股权价值增加表!BF42</f>
        <v>-162029458.54000002</v>
      </c>
      <c r="BG47" s="26">
        <f>股权价值增加表!BG42</f>
        <v>-108444248.91</v>
      </c>
      <c r="BH47" s="26">
        <f>股权价值增加表!BH42</f>
        <v>-47946526.399999999</v>
      </c>
      <c r="BI47" s="26">
        <f>股权价值增加表!BI42</f>
        <v>-68952791.199999988</v>
      </c>
      <c r="BJ47" s="26">
        <f>股权价值增加表!BJ42</f>
        <v>-82824833.469999999</v>
      </c>
      <c r="BK47" s="26">
        <f>股权价值增加表!BK42</f>
        <v>-63169460.109999999</v>
      </c>
      <c r="BL47" s="26">
        <f>股权价值增加表!BL42</f>
        <v>-27774802.43</v>
      </c>
      <c r="BM47" s="26">
        <f>股权价值增加表!BM42</f>
        <v>-32774755.549999997</v>
      </c>
      <c r="BN47" s="26">
        <f>股权价值增加表!BN42</f>
        <v>-31702157.48</v>
      </c>
      <c r="BO47" s="26">
        <f>股权价值增加表!BO42</f>
        <v>-16273314.18</v>
      </c>
      <c r="BP47" s="26">
        <f>股权价值增加表!BP42</f>
        <v>-15224717.800000001</v>
      </c>
      <c r="BQ47" s="26">
        <f>股权价值增加表!BQ42</f>
        <v>-11754436.18</v>
      </c>
      <c r="BR47" s="26">
        <f>股权价值增加表!BR42</f>
        <v>-22857300</v>
      </c>
      <c r="BS47" s="26">
        <f>股权价值增加表!BS42</f>
        <v>-9613624.7599999998</v>
      </c>
      <c r="BT47" s="26">
        <f>股权价值增加表!BT42</f>
        <v>-16402935.85</v>
      </c>
      <c r="BU47" s="26">
        <f>股权价值增加表!BU42</f>
        <v>-15677799.189999999</v>
      </c>
      <c r="BV47" s="26">
        <f>股权价值增加表!BV42</f>
        <v>-13041815.699999999</v>
      </c>
      <c r="BW47" s="26">
        <f>股权价值增加表!BW42</f>
        <v>-7764894.8799999999</v>
      </c>
      <c r="BX47" s="26">
        <f>股权价值增加表!BX42</f>
        <v>-7173387.8499999996</v>
      </c>
      <c r="BY47" s="26">
        <f>股权价值增加表!BY42</f>
        <v>0</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0.1238834560107023</v>
      </c>
      <c r="F48" s="63">
        <f>股权价值增加表!F43</f>
        <v>0.14610735531910163</v>
      </c>
      <c r="G48" s="63">
        <f>股权价值增加表!G43</f>
        <v>0.15413661335156961</v>
      </c>
      <c r="H48" s="63">
        <f>股权价值增加表!H43</f>
        <v>0.15112300387705166</v>
      </c>
      <c r="I48" s="63">
        <f>股权价值增加表!I43</f>
        <v>0.20028871819683605</v>
      </c>
      <c r="J48" s="63">
        <f>股权价值增加表!J43</f>
        <v>0.19981999648963972</v>
      </c>
      <c r="K48" s="63">
        <f>股权价值增加表!K43</f>
        <v>0.22413543387455154</v>
      </c>
      <c r="L48" s="63">
        <f>股权价值增加表!L43</f>
        <v>0.20495188905534109</v>
      </c>
      <c r="M48" s="63">
        <f>股权价值增加表!M43</f>
        <v>0.18279358242497362</v>
      </c>
      <c r="N48" s="63">
        <f>股权价值增加表!N43</f>
        <v>0.14270708174930324</v>
      </c>
      <c r="O48" s="63">
        <f>股权价值增加表!O43</f>
        <v>0.11393887259128047</v>
      </c>
      <c r="P48" s="63">
        <f>股权价值增加表!P43</f>
        <v>8.9111868738251401E-2</v>
      </c>
      <c r="Q48" s="63">
        <f>股权价值增加表!Q43</f>
        <v>9.2885888612841375E-2</v>
      </c>
      <c r="R48" s="63">
        <f>股权价值增加表!R43</f>
        <v>8.9554515786037014E-2</v>
      </c>
      <c r="S48" s="63">
        <f>股权价值增加表!S43</f>
        <v>8.4325004553569019E-2</v>
      </c>
      <c r="T48" s="63">
        <f>股权价值增加表!T43</f>
        <v>8.4152643157268031E-2</v>
      </c>
      <c r="U48" s="63">
        <f>股权价值增加表!U43</f>
        <v>0.11503859862459605</v>
      </c>
      <c r="V48" s="63">
        <f>股权价值增加表!V43</f>
        <v>0.12746028331236109</v>
      </c>
      <c r="W48" s="63">
        <f>股权价值增加表!W43</f>
        <v>0.12952502458050749</v>
      </c>
      <c r="X48" s="63">
        <f>股权价值增加表!X43</f>
        <v>0.13846318318019743</v>
      </c>
      <c r="Y48" s="63">
        <f>股权价值增加表!Y43</f>
        <v>0.13184258831215304</v>
      </c>
      <c r="Z48" s="63">
        <f>股权价值增加表!Z43</f>
        <v>0.15154666650545506</v>
      </c>
      <c r="AA48" s="63">
        <f>股权价值增加表!AA43</f>
        <v>0.1758980949123059</v>
      </c>
      <c r="AB48" s="63">
        <f>股权价值增加表!AB43</f>
        <v>0.15679223820037788</v>
      </c>
      <c r="AC48" s="63">
        <f>股权价值增加表!AC43</f>
        <v>0.14038242957775623</v>
      </c>
      <c r="AD48" s="63">
        <f>股权价值增加表!AD43</f>
        <v>0.15921849426976442</v>
      </c>
      <c r="AE48" s="63">
        <f>股权价值增加表!AE43</f>
        <v>0.16441081807776681</v>
      </c>
      <c r="AF48" s="63">
        <f>股权价值增加表!AF43</f>
        <v>0.14385311905085443</v>
      </c>
      <c r="AG48" s="63">
        <f>股权价值增加表!AG43</f>
        <v>0.12685052044875109</v>
      </c>
      <c r="AH48" s="63">
        <f>股权价值增加表!AH43</f>
        <v>0.13878439692757241</v>
      </c>
      <c r="AI48" s="63">
        <f>股权价值增加表!AI43</f>
        <v>0.15658993193818041</v>
      </c>
      <c r="AJ48" s="63">
        <f>股权价值增加表!AJ43</f>
        <v>0.14647756858714478</v>
      </c>
      <c r="AK48" s="63" t="e">
        <f>股权价值增加表!AK43</f>
        <v>#DIV/0!</v>
      </c>
      <c r="AL48" s="63" t="e">
        <f>股权价值增加表!AL43</f>
        <v>#DIV/0!</v>
      </c>
      <c r="AM48" s="63" t="e">
        <f>股权价值增加表!AM43</f>
        <v>#DIV/0!</v>
      </c>
      <c r="AN48" s="63" t="e">
        <f>股权价值增加表!AN43</f>
        <v>#DIV/0!</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-0.17757648632611259</v>
      </c>
      <c r="F49" s="59">
        <f t="shared" ref="F49:BQ49" si="38">(F47-J47)/J47</f>
        <v>-7.9984623299651381E-3</v>
      </c>
      <c r="G49" s="59">
        <f t="shared" si="38"/>
        <v>-2.2866318439114804E-2</v>
      </c>
      <c r="H49" s="59">
        <f t="shared" si="38"/>
        <v>6.7085897284142187E-2</v>
      </c>
      <c r="I49" s="59">
        <f t="shared" si="38"/>
        <v>0.24104946606538613</v>
      </c>
      <c r="J49" s="59">
        <f t="shared" si="38"/>
        <v>0.81377120518878554</v>
      </c>
      <c r="K49" s="59">
        <f t="shared" si="38"/>
        <v>1.8409442998495951</v>
      </c>
      <c r="L49" s="59">
        <f t="shared" si="38"/>
        <v>2.660888157252522</v>
      </c>
      <c r="M49" s="59">
        <f t="shared" si="38"/>
        <v>2.0031816386915478</v>
      </c>
      <c r="N49" s="59">
        <f t="shared" si="38"/>
        <v>1.3113268874342459</v>
      </c>
      <c r="O49" s="59">
        <f t="shared" si="38"/>
        <v>0.9195055212932195</v>
      </c>
      <c r="P49" s="59">
        <f t="shared" si="38"/>
        <v>0.42861020871235345</v>
      </c>
      <c r="Q49" s="59">
        <f t="shared" si="38"/>
        <v>-0.10607371970400356</v>
      </c>
      <c r="R49" s="59">
        <f t="shared" si="38"/>
        <v>-0.29793015989419813</v>
      </c>
      <c r="S49" s="59">
        <f t="shared" si="38"/>
        <v>-0.41656237745895358</v>
      </c>
      <c r="T49" s="59">
        <f t="shared" si="38"/>
        <v>-0.45906140930027384</v>
      </c>
      <c r="U49" s="59">
        <f t="shared" si="38"/>
        <v>6.6822763329930507E-2</v>
      </c>
      <c r="V49" s="59">
        <f t="shared" si="38"/>
        <v>0.10035124280538281</v>
      </c>
      <c r="W49" s="59">
        <f t="shared" si="38"/>
        <v>-9.8731644725769702E-2</v>
      </c>
      <c r="X49" s="59">
        <f t="shared" si="38"/>
        <v>0.10026975808979179</v>
      </c>
      <c r="Y49" s="59">
        <f t="shared" si="38"/>
        <v>-9.5775874564791114E-2</v>
      </c>
      <c r="Z49" s="59">
        <f t="shared" si="38"/>
        <v>-0.19904719697073461</v>
      </c>
      <c r="AA49" s="59">
        <f t="shared" si="38"/>
        <v>-9.9847475059145735E-2</v>
      </c>
      <c r="AB49" s="59">
        <f t="shared" si="38"/>
        <v>-6.0012160757268049E-2</v>
      </c>
      <c r="AC49" s="59">
        <f t="shared" si="38"/>
        <v>0.24042745324269937</v>
      </c>
      <c r="AD49" s="59">
        <f t="shared" si="38"/>
        <v>0.36621883594322163</v>
      </c>
      <c r="AE49" s="59">
        <f t="shared" si="38"/>
        <v>0.21676343130042172</v>
      </c>
      <c r="AF49" s="59">
        <f t="shared" si="38"/>
        <v>-0.68367974637834428</v>
      </c>
      <c r="AG49" s="59">
        <f t="shared" si="38"/>
        <v>-11.31179114595683</v>
      </c>
      <c r="AH49" s="59">
        <f t="shared" si="38"/>
        <v>-1.407406554522993</v>
      </c>
      <c r="AI49" s="59">
        <f t="shared" si="38"/>
        <v>-1.5935704630978773</v>
      </c>
      <c r="AJ49" s="59">
        <f t="shared" si="38"/>
        <v>-2.8815150530935272</v>
      </c>
      <c r="AK49" s="59">
        <f t="shared" si="38"/>
        <v>-0.96635810563956515</v>
      </c>
      <c r="AL49" s="59">
        <f t="shared" si="38"/>
        <v>-0.56846715289124294</v>
      </c>
      <c r="AM49" s="59">
        <f t="shared" si="38"/>
        <v>-0.6358393771698424</v>
      </c>
      <c r="AN49" s="59">
        <f t="shared" si="38"/>
        <v>-0.58598453915305659</v>
      </c>
      <c r="AO49" s="59">
        <f t="shared" si="38"/>
        <v>-0.56749589025985425</v>
      </c>
      <c r="AP49" s="59">
        <f t="shared" si="38"/>
        <v>-0.20463650996287058</v>
      </c>
      <c r="AQ49" s="59">
        <f t="shared" si="38"/>
        <v>-0.18916765157529417</v>
      </c>
      <c r="AR49" s="59">
        <f t="shared" si="38"/>
        <v>-0.28915109789940874</v>
      </c>
      <c r="AS49" s="59">
        <f t="shared" si="38"/>
        <v>0.69630627933024414</v>
      </c>
      <c r="AT49" s="59">
        <f t="shared" si="38"/>
        <v>0.69893398035102772</v>
      </c>
      <c r="AU49" s="59">
        <f t="shared" si="38"/>
        <v>0.95535587206526817</v>
      </c>
      <c r="AV49" s="59">
        <f t="shared" si="38"/>
        <v>0.85590469720889173</v>
      </c>
      <c r="AW49" s="59">
        <f t="shared" si="38"/>
        <v>0.45618868933972623</v>
      </c>
      <c r="AX49" s="59">
        <f t="shared" si="38"/>
        <v>0.28390817905376414</v>
      </c>
      <c r="AY49" s="59">
        <f t="shared" si="38"/>
        <v>9.8931332225940707E-2</v>
      </c>
      <c r="AZ49" s="59">
        <f t="shared" si="38"/>
        <v>0.14632279611184321</v>
      </c>
      <c r="BA49" s="59">
        <f t="shared" si="38"/>
        <v>1.141882921782593</v>
      </c>
      <c r="BB49" s="59">
        <f t="shared" si="38"/>
        <v>0.51142464485581796</v>
      </c>
      <c r="BC49" s="59">
        <f t="shared" si="38"/>
        <v>0.55233499970763922</v>
      </c>
      <c r="BD49" s="59">
        <f t="shared" si="38"/>
        <v>0.6583486054163874</v>
      </c>
      <c r="BE49" s="59">
        <f t="shared" si="38"/>
        <v>0.69562147108556815</v>
      </c>
      <c r="BF49" s="59">
        <f t="shared" si="38"/>
        <v>0.95629078564569336</v>
      </c>
      <c r="BG49" s="59">
        <f t="shared" si="38"/>
        <v>0.71671957811830023</v>
      </c>
      <c r="BH49" s="59">
        <f t="shared" si="38"/>
        <v>0.72625985444318419</v>
      </c>
      <c r="BI49" s="59">
        <f t="shared" si="38"/>
        <v>1.1038384586822645</v>
      </c>
      <c r="BJ49" s="59">
        <f t="shared" si="38"/>
        <v>1.6125929606605434</v>
      </c>
      <c r="BK49" s="59">
        <f t="shared" si="38"/>
        <v>2.8817821257107936</v>
      </c>
      <c r="BL49" s="59">
        <f t="shared" si="38"/>
        <v>0.82432297234435425</v>
      </c>
      <c r="BM49" s="59">
        <f t="shared" si="38"/>
        <v>1.7882881873794816</v>
      </c>
      <c r="BN49" s="59">
        <f t="shared" si="38"/>
        <v>0.386959854401001</v>
      </c>
      <c r="BO49" s="59">
        <f t="shared" si="38"/>
        <v>0.69273448738184373</v>
      </c>
      <c r="BP49" s="59">
        <f t="shared" si="38"/>
        <v>-7.1829705412156386E-2</v>
      </c>
      <c r="BQ49" s="59">
        <f t="shared" si="38"/>
        <v>-0.25024960215732933</v>
      </c>
      <c r="BR49" s="59">
        <f t="shared" ref="BR49:CJ49" si="39">(BR47-BV47)/BV47</f>
        <v>0.75261639374339584</v>
      </c>
      <c r="BS49" s="59">
        <f t="shared" si="39"/>
        <v>0.23808820448577661</v>
      </c>
      <c r="BT49" s="59">
        <f t="shared" si="39"/>
        <v>1.2866372476987984</v>
      </c>
      <c r="BU49" s="59" t="e">
        <f t="shared" si="39"/>
        <v>#DIV/0!</v>
      </c>
      <c r="BV49" s="59">
        <f t="shared" si="39"/>
        <v>-28.434246804428835</v>
      </c>
      <c r="BW49" s="59">
        <f t="shared" si="39"/>
        <v>-0.8327659351804636</v>
      </c>
      <c r="BX49" s="59">
        <f t="shared" si="39"/>
        <v>7.641025332756618E-2</v>
      </c>
      <c r="BY49" s="59">
        <f t="shared" si="39"/>
        <v>-1</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-21322077.872000217</v>
      </c>
      <c r="F50" s="26">
        <f>股权价值增加表!F47</f>
        <v>-57025432.293999881</v>
      </c>
      <c r="G50" s="26">
        <f>股权价值增加表!G47</f>
        <v>-119565408.02400005</v>
      </c>
      <c r="H50" s="26">
        <f>股权价值增加表!H47</f>
        <v>-213386558.52320001</v>
      </c>
      <c r="I50" s="26">
        <f>股权价值增加表!I47</f>
        <v>61397944.999599814</v>
      </c>
      <c r="J50" s="26">
        <f>股权价值增加表!J47</f>
        <v>-36815521.438000083</v>
      </c>
      <c r="K50" s="26">
        <f>股权价值增加表!K47</f>
        <v>-16708896.290400028</v>
      </c>
      <c r="L50" s="26">
        <f>股权价值增加表!L47</f>
        <v>-128240966.40279999</v>
      </c>
      <c r="M50" s="26">
        <f>股权价值增加表!M47</f>
        <v>90199604.833999991</v>
      </c>
      <c r="N50" s="26">
        <f>股权价值增加表!N47</f>
        <v>-53057094.794800103</v>
      </c>
      <c r="O50" s="26">
        <f>股权价值增加表!O47</f>
        <v>-122807726.83119994</v>
      </c>
      <c r="P50" s="26">
        <f>股权价值增加表!P47</f>
        <v>-170358300.02960002</v>
      </c>
      <c r="Q50" s="26">
        <f>股权价值增加表!Q47</f>
        <v>-12071282.663999915</v>
      </c>
      <c r="R50" s="26">
        <f>股权价值增加表!R47</f>
        <v>-45537731.84040004</v>
      </c>
      <c r="S50" s="26">
        <f>股权价值增加表!S47</f>
        <v>-70021142.613999978</v>
      </c>
      <c r="T50" s="26">
        <f>股权价值增加表!T47</f>
        <v>-92316306.821999997</v>
      </c>
      <c r="U50" s="26">
        <f>股权价值增加表!U47</f>
        <v>3512852.35119991</v>
      </c>
      <c r="V50" s="26">
        <f>股权价值增加表!V47</f>
        <v>-14926891.088399902</v>
      </c>
      <c r="W50" s="26">
        <f>股权价值增加表!W47</f>
        <v>-40095582.8816</v>
      </c>
      <c r="X50" s="26">
        <f>股权价值增加表!X47</f>
        <v>-71480724.657199979</v>
      </c>
      <c r="Y50" s="26">
        <f>股权价值增加表!Y47</f>
        <v>4543344.2099999785</v>
      </c>
      <c r="Z50" s="26">
        <f>股权价值增加表!Z47</f>
        <v>-15612310.234400004</v>
      </c>
      <c r="AA50" s="26">
        <f>股权价值增加表!AA47</f>
        <v>-26944398.60680002</v>
      </c>
      <c r="AB50" s="26">
        <f>股权价值增加表!AB47</f>
        <v>-65209574.680399999</v>
      </c>
      <c r="AC50" s="26">
        <f>股权价值增加表!AC47</f>
        <v>18804299.503999934</v>
      </c>
      <c r="AD50" s="26">
        <f>股权价值增加表!AD47</f>
        <v>71466550.80279994</v>
      </c>
      <c r="AE50" s="26">
        <f>股权价值增加表!AE47</f>
        <v>48585274.884399995</v>
      </c>
      <c r="AF50" s="26">
        <f>股权价值增加表!AF47</f>
        <v>4302527.3171999939</v>
      </c>
      <c r="AG50" s="26">
        <f>股权价值增加表!AG47</f>
        <v>71089268.390800029</v>
      </c>
      <c r="AH50" s="26">
        <f>股权价值增加表!AH47</f>
        <v>55161655.682799995</v>
      </c>
      <c r="AI50" s="26">
        <f>股权价值增加表!AI47</f>
        <v>63399330.539999984</v>
      </c>
      <c r="AJ50" s="26">
        <f>股权价值增加表!AJ47</f>
        <v>93669269.390000015</v>
      </c>
      <c r="AK50" s="26">
        <f>股权价值增加表!AK47</f>
        <v>-9000550.8699999992</v>
      </c>
      <c r="AL50" s="26">
        <f>股权价值增加表!AL47</f>
        <v>-629468229.6724</v>
      </c>
      <c r="AM50" s="26">
        <f>股权价值增加表!AM47</f>
        <v>-517814074.93120003</v>
      </c>
      <c r="AN50" s="26">
        <f>股权价值增加表!AN47</f>
        <v>-427312716.9192</v>
      </c>
      <c r="AO50" s="26">
        <f>股权价值增加表!AO47</f>
        <v>-703493092.97239995</v>
      </c>
      <c r="AP50" s="26">
        <f>股权价值增加表!AP47</f>
        <v>-828633635.79999995</v>
      </c>
      <c r="AQ50" s="26">
        <f>股权价值增加表!AQ47</f>
        <v>-666442085.84039998</v>
      </c>
      <c r="AR50" s="26">
        <f>股权价值增加表!AR47</f>
        <v>-442002681.69799995</v>
      </c>
      <c r="AS50" s="26">
        <f>股权价值增加表!AS47</f>
        <v>-973661758.99760008</v>
      </c>
      <c r="AT50" s="26">
        <f>股权价值增加表!AT47</f>
        <v>-849646965.13240004</v>
      </c>
      <c r="AU50" s="26">
        <f>股权价值增加表!AU47</f>
        <v>-633828785.50600004</v>
      </c>
      <c r="AV50" s="26">
        <f>股权价值增加表!AV47</f>
        <v>-429651602.9648</v>
      </c>
      <c r="AW50" s="26">
        <f>股权价值增加表!AW47</f>
        <v>-590246188.43519998</v>
      </c>
      <c r="AX50" s="26">
        <f>股权价值增加表!AX47</f>
        <v>-518413041.75479996</v>
      </c>
      <c r="AY50" s="26">
        <f>股权价值增加表!AY47</f>
        <v>-364655313.09799999</v>
      </c>
      <c r="AZ50" s="26">
        <f>股权价值增加表!AZ47</f>
        <v>-269019296.514</v>
      </c>
      <c r="BA50" s="26">
        <f>股权价值增加表!BA47</f>
        <v>-398856586.50760001</v>
      </c>
      <c r="BB50" s="26">
        <f>股权价值增加表!BB47</f>
        <v>-382115626.56360006</v>
      </c>
      <c r="BC50" s="26">
        <f>股权价值增加表!BC47</f>
        <v>-293397715.94959998</v>
      </c>
      <c r="BD50" s="26">
        <f>股权价值增加表!BD47</f>
        <v>-201227910.11159998</v>
      </c>
      <c r="BE50" s="26">
        <f>股权价值增加表!BE47</f>
        <v>-226099379.49080002</v>
      </c>
      <c r="BF50" s="26">
        <f>股权价值增加表!BF47</f>
        <v>-264108967.88480002</v>
      </c>
      <c r="BG50" s="26">
        <f>股权价值增加表!BG47</f>
        <v>-202554416.47240001</v>
      </c>
      <c r="BH50" s="26">
        <f>股权价值增加表!BH47</f>
        <v>-138760668.02399999</v>
      </c>
      <c r="BI50" s="26">
        <f>股权价值增加表!BI47</f>
        <v>-151984669.30320001</v>
      </c>
      <c r="BJ50" s="26">
        <f>股权价值增加表!BJ47</f>
        <v>-162209365.23640001</v>
      </c>
      <c r="BK50" s="26">
        <f>股权价值增加表!BK47</f>
        <v>-132780821.25479999</v>
      </c>
      <c r="BL50" s="26">
        <f>股权价值增加表!BL47</f>
        <v>-90962533.297199994</v>
      </c>
      <c r="BM50" s="26">
        <f>股权价值增加表!BM47</f>
        <v>-97467461.189999998</v>
      </c>
      <c r="BN50" s="26">
        <f>股权价值增加表!BN47</f>
        <v>-93955368.17840001</v>
      </c>
      <c r="BO50" s="26">
        <f>股权价值增加表!BO47</f>
        <v>-76020503.647200003</v>
      </c>
      <c r="BP50" s="26">
        <f>股权价值增加表!BP47</f>
        <v>-70384055.829600006</v>
      </c>
      <c r="BQ50" s="26">
        <f>股权价值增加表!BQ47</f>
        <v>-64058296.961599998</v>
      </c>
      <c r="BR50" s="26">
        <f>股权价值增加表!BR47</f>
        <v>-22857300</v>
      </c>
      <c r="BS50" s="26">
        <f>股权价值增加表!BS47</f>
        <v>-62720929.903199993</v>
      </c>
      <c r="BT50" s="26">
        <f>股权价值增加表!BT47</f>
        <v>-64488525.177200004</v>
      </c>
      <c r="BU50" s="26">
        <f>股权价值增加表!BU47</f>
        <v>-28094013.710000001</v>
      </c>
      <c r="BV50" s="26">
        <f>股权价值增加表!BV47</f>
        <v>-23306340.038400002</v>
      </c>
      <c r="BW50" s="26">
        <f>股权价值增加表!BW47</f>
        <v>-17556641.577599999</v>
      </c>
      <c r="BX50" s="26">
        <f>股权价值增加表!BX47</f>
        <v>-12774053.8916</v>
      </c>
      <c r="BY50" s="26">
        <f>股权价值增加表!BY47</f>
        <v>0</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0" t="s">
        <v>686</v>
      </c>
      <c r="B51" s="281"/>
      <c r="C51" s="281"/>
      <c r="D51" s="281"/>
      <c r="E51" s="281"/>
      <c r="F51" s="281"/>
      <c r="G51" s="281"/>
      <c r="H51" s="281"/>
      <c r="I51" s="281"/>
      <c r="J51" s="281"/>
      <c r="K51" s="281"/>
      <c r="L51" s="281"/>
      <c r="M51" s="281"/>
      <c r="N51" s="281"/>
      <c r="O51" s="281"/>
      <c r="P51" s="281"/>
      <c r="Q51" s="281"/>
      <c r="R51" s="281"/>
      <c r="S51" s="281"/>
      <c r="T51" s="281"/>
      <c r="U51" s="281"/>
      <c r="V51" s="281"/>
      <c r="W51" s="281"/>
      <c r="X51" s="281"/>
      <c r="Y51" s="281"/>
      <c r="Z51" s="281"/>
      <c r="AA51" s="281"/>
      <c r="AB51" s="281"/>
      <c r="AC51" s="281"/>
      <c r="AD51" s="281"/>
      <c r="AE51" s="281"/>
      <c r="AF51" s="281"/>
      <c r="AG51" s="281"/>
    </row>
    <row r="53" spans="1:88" x14ac:dyDescent="0.25">
      <c r="A53" s="20" t="s">
        <v>673</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674</v>
      </c>
      <c r="E54" s="193">
        <f>E39</f>
        <v>388685887.36999977</v>
      </c>
      <c r="F54" s="193">
        <f t="shared" ref="F54:AC54" si="41">F39</f>
        <v>325371593.08000016</v>
      </c>
      <c r="G54" s="193">
        <f t="shared" si="41"/>
        <v>239576174.06999999</v>
      </c>
      <c r="H54" s="193">
        <f t="shared" si="41"/>
        <v>114117991.12000003</v>
      </c>
      <c r="I54" s="193">
        <f t="shared" si="41"/>
        <v>431173405.69999981</v>
      </c>
      <c r="J54" s="193">
        <f t="shared" si="41"/>
        <v>319584485.13999993</v>
      </c>
      <c r="K54" s="193">
        <f t="shared" si="41"/>
        <v>232353025.87</v>
      </c>
      <c r="L54" s="193">
        <f t="shared" si="41"/>
        <v>111786798.85999998</v>
      </c>
      <c r="M54" s="193">
        <f t="shared" si="41"/>
        <v>298175294.38</v>
      </c>
      <c r="N54" s="193">
        <f t="shared" si="41"/>
        <v>150421287.05999988</v>
      </c>
      <c r="O54" s="193">
        <f t="shared" si="41"/>
        <v>68696959.51000005</v>
      </c>
      <c r="P54" s="193">
        <f t="shared" si="41"/>
        <v>26398639.319999989</v>
      </c>
      <c r="Q54" s="193">
        <f t="shared" si="41"/>
        <v>112995177.04000008</v>
      </c>
      <c r="R54" s="193">
        <f t="shared" si="41"/>
        <v>69265984.329999968</v>
      </c>
      <c r="S54" s="193">
        <f t="shared" si="41"/>
        <v>38018440.44000002</v>
      </c>
      <c r="T54" s="193">
        <f t="shared" si="41"/>
        <v>19429075.500000007</v>
      </c>
      <c r="U54" s="193">
        <f t="shared" si="41"/>
        <v>146523293.77999991</v>
      </c>
      <c r="V54" s="193">
        <f t="shared" si="41"/>
        <v>112011498.47000009</v>
      </c>
      <c r="W54" s="193">
        <f t="shared" si="41"/>
        <v>78443733.020000011</v>
      </c>
      <c r="X54" s="193">
        <f t="shared" si="41"/>
        <v>36760970.260000013</v>
      </c>
      <c r="Y54" s="193">
        <f t="shared" si="41"/>
        <v>129328656.79999998</v>
      </c>
      <c r="Z54" s="193">
        <f t="shared" si="41"/>
        <v>93102439.540000007</v>
      </c>
      <c r="AA54" s="193">
        <f t="shared" si="41"/>
        <v>80210613.369999975</v>
      </c>
      <c r="AB54" s="193">
        <f t="shared" si="41"/>
        <v>33993335.580000006</v>
      </c>
      <c r="AC54" s="193">
        <f t="shared" si="41"/>
        <v>156727627.97999993</v>
      </c>
    </row>
    <row r="55" spans="1:88" s="63" customFormat="1" x14ac:dyDescent="0.25">
      <c r="A55" s="63" t="s">
        <v>675</v>
      </c>
      <c r="E55" s="63">
        <f>E54/E2</f>
        <v>0.15823452082732622</v>
      </c>
      <c r="F55" s="63">
        <f t="shared" ref="F55:AC55" si="42">F54/F2</f>
        <v>0.1810331774478037</v>
      </c>
      <c r="G55" s="63">
        <f t="shared" si="42"/>
        <v>0.1897963652256219</v>
      </c>
      <c r="H55" s="63">
        <f t="shared" si="42"/>
        <v>0.18641961013903027</v>
      </c>
      <c r="I55" s="63">
        <f t="shared" si="42"/>
        <v>0.23339584668263716</v>
      </c>
      <c r="J55" s="63">
        <f t="shared" si="42"/>
        <v>0.24123673423351447</v>
      </c>
      <c r="K55" s="63">
        <f t="shared" si="42"/>
        <v>0.26154793147073435</v>
      </c>
      <c r="L55" s="63">
        <f t="shared" si="42"/>
        <v>0.26427052389100625</v>
      </c>
      <c r="M55" s="63">
        <f t="shared" si="42"/>
        <v>0.18281270010514011</v>
      </c>
      <c r="N55" s="63">
        <f t="shared" si="42"/>
        <v>0.14708085118345093</v>
      </c>
      <c r="O55" s="63">
        <f t="shared" si="42"/>
        <v>0.11167721874330641</v>
      </c>
      <c r="P55" s="63">
        <f t="shared" si="42"/>
        <v>9.9336724340629207E-2</v>
      </c>
      <c r="Q55" s="63">
        <f t="shared" si="42"/>
        <v>0.10572191212060428</v>
      </c>
      <c r="R55" s="63">
        <f t="shared" si="42"/>
        <v>9.8235889229832854E-2</v>
      </c>
      <c r="S55" s="63">
        <f t="shared" si="42"/>
        <v>8.7800136778710028E-2</v>
      </c>
      <c r="T55" s="63">
        <f t="shared" si="42"/>
        <v>9.8633941389267982E-2</v>
      </c>
      <c r="U55" s="63">
        <f t="shared" si="42"/>
        <v>0.15177747473061876</v>
      </c>
      <c r="V55" s="63">
        <f t="shared" si="42"/>
        <v>0.15873784636462834</v>
      </c>
      <c r="W55" s="63">
        <f t="shared" si="42"/>
        <v>0.16234947503549743</v>
      </c>
      <c r="X55" s="63">
        <f t="shared" si="42"/>
        <v>0.16610233316793699</v>
      </c>
      <c r="Y55" s="63">
        <f t="shared" si="42"/>
        <v>0.16379469386903164</v>
      </c>
      <c r="Z55" s="63">
        <f t="shared" si="42"/>
        <v>0.17261629237850332</v>
      </c>
      <c r="AA55" s="63">
        <f t="shared" si="42"/>
        <v>0.20318238236980468</v>
      </c>
      <c r="AB55" s="63">
        <f t="shared" si="42"/>
        <v>0.19136916997927475</v>
      </c>
      <c r="AC55" s="63">
        <f t="shared" si="42"/>
        <v>0.19111014699601828</v>
      </c>
    </row>
    <row r="56" spans="1:88" x14ac:dyDescent="0.25">
      <c r="A56" s="17" t="s">
        <v>676</v>
      </c>
      <c r="E56" s="193">
        <f>E23</f>
        <v>369512838.48811829</v>
      </c>
      <c r="F56" s="193">
        <f t="shared" ref="F56:AC56" si="43">F23</f>
        <v>301605687.83066344</v>
      </c>
      <c r="G56" s="193">
        <f t="shared" si="43"/>
        <v>213348060.3247003</v>
      </c>
      <c r="H56" s="193">
        <f t="shared" si="43"/>
        <v>97894486.358373895</v>
      </c>
      <c r="I56" s="193">
        <f t="shared" si="43"/>
        <v>306424247.89429224</v>
      </c>
      <c r="J56" s="193">
        <f t="shared" si="43"/>
        <v>244984620.96616301</v>
      </c>
      <c r="K56" s="193">
        <f t="shared" si="43"/>
        <v>175694396.55346081</v>
      </c>
      <c r="L56" s="193">
        <f t="shared" si="43"/>
        <v>88856708.058099955</v>
      </c>
      <c r="M56" s="193">
        <f t="shared" si="43"/>
        <v>202939315.85748756</v>
      </c>
      <c r="N56" s="193">
        <f t="shared" si="43"/>
        <v>127224501.45147024</v>
      </c>
      <c r="O56" s="193">
        <f t="shared" si="43"/>
        <v>58468792.094376966</v>
      </c>
      <c r="P56" s="193">
        <f t="shared" si="43"/>
        <v>22110009.365698878</v>
      </c>
      <c r="Q56" s="193">
        <f t="shared" si="43"/>
        <v>90040244.176868096</v>
      </c>
      <c r="R56" s="193">
        <f t="shared" si="43"/>
        <v>58250074.893841423</v>
      </c>
      <c r="S56" s="193">
        <f t="shared" si="43"/>
        <v>32054530.079764392</v>
      </c>
      <c r="T56" s="193">
        <f t="shared" si="43"/>
        <v>16102753.595755408</v>
      </c>
      <c r="U56" s="193">
        <f t="shared" si="43"/>
        <v>126623705.90028095</v>
      </c>
      <c r="V56" s="193">
        <f t="shared" si="43"/>
        <v>94675547.378366321</v>
      </c>
      <c r="W56" s="193">
        <f t="shared" si="43"/>
        <v>66621231.227499977</v>
      </c>
      <c r="X56" s="193">
        <f t="shared" si="43"/>
        <v>31021376.888695545</v>
      </c>
      <c r="Y56" s="193">
        <f t="shared" si="43"/>
        <v>104209093.17925918</v>
      </c>
      <c r="Z56" s="193">
        <f t="shared" si="43"/>
        <v>79568167.499602944</v>
      </c>
      <c r="AA56" s="193">
        <f t="shared" si="43"/>
        <v>68647309.097294345</v>
      </c>
      <c r="AB56" s="193">
        <f t="shared" si="43"/>
        <v>28876648.166888524</v>
      </c>
      <c r="AC56" s="193">
        <f t="shared" si="43"/>
        <v>130703810.0764778</v>
      </c>
    </row>
    <row r="57" spans="1:88" s="63" customFormat="1" x14ac:dyDescent="0.25">
      <c r="A57" s="63" t="s">
        <v>677</v>
      </c>
      <c r="E57" s="63">
        <f>E56/E2</f>
        <v>0.15042914815698941</v>
      </c>
      <c r="F57" s="63">
        <f t="shared" ref="F57:AC57" si="44">F56/F2</f>
        <v>0.1678100890353097</v>
      </c>
      <c r="G57" s="63">
        <f t="shared" si="44"/>
        <v>0.1690180024568452</v>
      </c>
      <c r="H57" s="63">
        <f t="shared" si="44"/>
        <v>0.15991739604405222</v>
      </c>
      <c r="I57" s="63">
        <f t="shared" si="44"/>
        <v>0.1658686408668239</v>
      </c>
      <c r="J57" s="63">
        <f t="shared" si="44"/>
        <v>0.18492540360156406</v>
      </c>
      <c r="K57" s="63">
        <f t="shared" si="44"/>
        <v>0.19777020685440405</v>
      </c>
      <c r="L57" s="63">
        <f t="shared" si="44"/>
        <v>0.21006244949506978</v>
      </c>
      <c r="M57" s="63">
        <f t="shared" si="44"/>
        <v>0.12442306585641</v>
      </c>
      <c r="N57" s="63">
        <f t="shared" si="44"/>
        <v>0.12439920127400914</v>
      </c>
      <c r="O57" s="63">
        <f t="shared" si="44"/>
        <v>9.5049797413961801E-2</v>
      </c>
      <c r="P57" s="63">
        <f t="shared" si="44"/>
        <v>8.3198830019439063E-2</v>
      </c>
      <c r="Q57" s="63">
        <f t="shared" si="44"/>
        <v>8.4244540621541852E-2</v>
      </c>
      <c r="R57" s="63">
        <f t="shared" si="44"/>
        <v>8.2612669988759505E-2</v>
      </c>
      <c r="S57" s="63">
        <f t="shared" si="44"/>
        <v>7.4027027221755942E-2</v>
      </c>
      <c r="T57" s="63">
        <f t="shared" si="44"/>
        <v>8.1747484813138052E-2</v>
      </c>
      <c r="U57" s="63">
        <f t="shared" si="44"/>
        <v>0.13116430723590852</v>
      </c>
      <c r="V57" s="63">
        <f t="shared" si="44"/>
        <v>0.13417008699566049</v>
      </c>
      <c r="W57" s="63">
        <f t="shared" si="44"/>
        <v>0.1378812748909525</v>
      </c>
      <c r="X57" s="63">
        <f t="shared" si="44"/>
        <v>0.1401683101085332</v>
      </c>
      <c r="Y57" s="63">
        <f t="shared" si="44"/>
        <v>0.13198077624870341</v>
      </c>
      <c r="Z57" s="63">
        <f t="shared" si="44"/>
        <v>0.14752311682694694</v>
      </c>
      <c r="AA57" s="63">
        <f t="shared" si="44"/>
        <v>0.17389124979414972</v>
      </c>
      <c r="AB57" s="63">
        <f t="shared" si="44"/>
        <v>0.16256422316885802</v>
      </c>
      <c r="AC57" s="63">
        <f t="shared" si="44"/>
        <v>0.15937728834792858</v>
      </c>
    </row>
    <row r="58" spans="1:88" ht="93" customHeight="1" x14ac:dyDescent="0.25">
      <c r="A58" s="276" t="s">
        <v>678</v>
      </c>
      <c r="B58" s="282"/>
      <c r="C58" s="282"/>
      <c r="D58" s="282"/>
      <c r="E58" s="282"/>
      <c r="F58" s="282"/>
      <c r="G58" s="282"/>
      <c r="H58" s="282"/>
      <c r="I58" s="282"/>
      <c r="J58" s="282"/>
      <c r="K58" s="282"/>
      <c r="L58" s="282"/>
      <c r="M58" s="282"/>
      <c r="N58" s="282"/>
      <c r="O58" s="282"/>
      <c r="P58" s="282"/>
      <c r="Q58" s="282"/>
      <c r="R58" s="282"/>
      <c r="S58" s="282"/>
      <c r="T58" s="282"/>
      <c r="U58" s="282"/>
      <c r="V58" s="282"/>
      <c r="W58" s="282"/>
      <c r="X58" s="282"/>
      <c r="Y58" s="282"/>
      <c r="Z58" s="282"/>
      <c r="AA58" s="282"/>
      <c r="AB58" s="282"/>
      <c r="AC58" s="282"/>
    </row>
    <row r="60" spans="1:88" s="225" customFormat="1" x14ac:dyDescent="0.25">
      <c r="A60" s="227" t="s">
        <v>680</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681</v>
      </c>
      <c r="B61" s="89"/>
      <c r="C61" s="89"/>
      <c r="D61" s="89"/>
      <c r="E61" s="89">
        <f>股权价值增加表!E38</f>
        <v>362767682.85999978</v>
      </c>
      <c r="F61" s="89">
        <f>股权价值增加表!F38</f>
        <v>312559901.67000014</v>
      </c>
      <c r="G61" s="89">
        <f>股权价值增加表!G38</f>
        <v>233234690.69999999</v>
      </c>
      <c r="H61" s="89">
        <f>股权价值增加表!H38</f>
        <v>111794823.64000003</v>
      </c>
      <c r="I61" s="89">
        <f>股权价值增加表!I38</f>
        <v>419559803.73999983</v>
      </c>
      <c r="J61" s="89">
        <f>股权价值增加表!J38</f>
        <v>309483703.9199999</v>
      </c>
      <c r="K61" s="89">
        <f>股权价值增加表!K38</f>
        <v>230466702.94</v>
      </c>
      <c r="L61" s="89">
        <f>股权价值增加表!L38</f>
        <v>103060546.38999999</v>
      </c>
      <c r="M61" s="89">
        <f>股权价值增加表!M38</f>
        <v>338075073.75</v>
      </c>
      <c r="N61" s="89">
        <f>股权价值增加表!N38</f>
        <v>171501581.4199999</v>
      </c>
      <c r="O61" s="89">
        <f>股权价值增加表!O38</f>
        <v>81194258.120000049</v>
      </c>
      <c r="P61" s="89">
        <f>股权价值增加表!P38</f>
        <v>28274821.669999991</v>
      </c>
      <c r="Q61" s="89">
        <f>股权价值增加表!Q38</f>
        <v>114105236.79000008</v>
      </c>
      <c r="R61" s="89">
        <f>股权价值增加表!R38</f>
        <v>74091240.189999968</v>
      </c>
      <c r="S61" s="89">
        <f>股权价值增加表!S38</f>
        <v>42261579.250000022</v>
      </c>
      <c r="T61" s="89">
        <f>股权价值增加表!T38</f>
        <v>20000713.920000009</v>
      </c>
      <c r="U61" s="89">
        <f>股权价值增加表!U38</f>
        <v>132612462.02999991</v>
      </c>
      <c r="V61" s="89">
        <f>股权价值增加表!V38</f>
        <v>105758651.03000009</v>
      </c>
      <c r="W61" s="89">
        <f>股权价值增加表!W38</f>
        <v>73045750.570000008</v>
      </c>
      <c r="X61" s="89">
        <f>股权价值增加表!X38</f>
        <v>36313778.45000001</v>
      </c>
      <c r="Y61" s="89">
        <f>股权价值增加表!Y38</f>
        <v>121678615.60999998</v>
      </c>
      <c r="Z61" s="89">
        <f>股权价值增加表!Z38</f>
        <v>95541382.530000001</v>
      </c>
      <c r="AA61" s="89">
        <f>股权价值增加表!AA38</f>
        <v>81037509.569999978</v>
      </c>
      <c r="AB61" s="89">
        <f>股权价值增加表!AB38</f>
        <v>32786372.460000005</v>
      </c>
      <c r="AC61" s="89">
        <f>股权价值增加表!AC38</f>
        <v>135281395.52999994</v>
      </c>
    </row>
    <row r="62" spans="1:88" s="193" customFormat="1" x14ac:dyDescent="0.25">
      <c r="A62" s="89" t="s">
        <v>682</v>
      </c>
      <c r="B62" s="89"/>
      <c r="C62" s="89"/>
      <c r="D62" s="89"/>
      <c r="E62" s="89">
        <f>股权价值增加表!E40</f>
        <v>58461449.439999998</v>
      </c>
      <c r="F62" s="89">
        <f>股权价值增加表!F40</f>
        <v>49960616.659999996</v>
      </c>
      <c r="G62" s="89">
        <f>股权价值增加表!G40</f>
        <v>38671111.640000001</v>
      </c>
      <c r="H62" s="89">
        <f>股权价值增加表!H40</f>
        <v>19283882.32</v>
      </c>
      <c r="I62" s="89">
        <f>股权价值增加表!I40</f>
        <v>49548211.950000003</v>
      </c>
      <c r="J62" s="89">
        <f>股权价值增加表!J40</f>
        <v>44767093.07</v>
      </c>
      <c r="K62" s="89">
        <f>股权价值增加表!K40</f>
        <v>31350059.300000001</v>
      </c>
      <c r="L62" s="89">
        <f>股权价值增加表!L40</f>
        <v>16365612.5</v>
      </c>
      <c r="M62" s="89">
        <f>股权价值增加表!M40</f>
        <v>39930961.119999997</v>
      </c>
      <c r="N62" s="89">
        <f>股权价值增加表!N40</f>
        <v>25553398.93</v>
      </c>
      <c r="O62" s="89">
        <f>股权价值增加表!O40</f>
        <v>11106068.199999999</v>
      </c>
      <c r="P62" s="89">
        <f>股权价值增加表!P40</f>
        <v>4593427.93</v>
      </c>
      <c r="Q62" s="89">
        <f>股权价值增加表!Q40</f>
        <v>14829152.789999999</v>
      </c>
      <c r="R62" s="89">
        <f>股权价值增加表!R40</f>
        <v>10946479.800000001</v>
      </c>
      <c r="S62" s="89">
        <f>股权价值增加表!S40</f>
        <v>5747909.9000000004</v>
      </c>
      <c r="T62" s="89">
        <f>股权价值增加表!T40</f>
        <v>3424188.29</v>
      </c>
      <c r="U62" s="89">
        <f>股权价值增加表!U40</f>
        <v>21556230.449999999</v>
      </c>
      <c r="V62" s="89">
        <f>股权价值增加表!V40</f>
        <v>15817797.880000001</v>
      </c>
      <c r="W62" s="89">
        <f>股权价值增加表!W40</f>
        <v>10462077.630000001</v>
      </c>
      <c r="X62" s="89">
        <f>股权价值增加表!X40</f>
        <v>5669772.0599999996</v>
      </c>
      <c r="Y62" s="89">
        <f>股权价值增加表!Y40</f>
        <v>17578632.559999999</v>
      </c>
      <c r="Z62" s="89">
        <f>股权价值增加表!Z40</f>
        <v>13803070.57</v>
      </c>
      <c r="AA62" s="89">
        <f>股权价值增加表!AA40</f>
        <v>11597955.220000001</v>
      </c>
      <c r="AB62" s="89">
        <f>股权价值增加表!AB40</f>
        <v>4935014.95</v>
      </c>
      <c r="AC62" s="89">
        <f>股权价值增加表!AC40</f>
        <v>20155089.870000001</v>
      </c>
    </row>
    <row r="63" spans="1:88" x14ac:dyDescent="0.25">
      <c r="A63" s="184" t="s">
        <v>683</v>
      </c>
      <c r="B63" s="64"/>
      <c r="C63" s="64"/>
      <c r="D63" s="64"/>
      <c r="E63" s="64">
        <f>股权价值增加表!E42</f>
        <v>304306233.41999978</v>
      </c>
      <c r="F63" s="64">
        <f>股权价值增加表!F42</f>
        <v>262599285.01000014</v>
      </c>
      <c r="G63" s="64">
        <f>股权价值增加表!G42</f>
        <v>194563579.06</v>
      </c>
      <c r="H63" s="64">
        <f>股权价值增加表!H42</f>
        <v>92510941.320000023</v>
      </c>
      <c r="I63" s="64">
        <f>股权价值增加表!I42</f>
        <v>370011591.78999984</v>
      </c>
      <c r="J63" s="64">
        <f>股权价值增加表!J42</f>
        <v>264716610.8499999</v>
      </c>
      <c r="K63" s="64">
        <f>股权价值增加表!K42</f>
        <v>199116643.63999999</v>
      </c>
      <c r="L63" s="64">
        <f>股权价值增加表!L42</f>
        <v>86694933.889999986</v>
      </c>
      <c r="M63" s="64">
        <f>股权价值增加表!M42</f>
        <v>298144112.63</v>
      </c>
      <c r="N63" s="64">
        <f>股权价值增加表!N42</f>
        <v>145948182.48999989</v>
      </c>
      <c r="O63" s="64">
        <f>股权价值增加表!O42</f>
        <v>70088189.920000046</v>
      </c>
      <c r="P63" s="64">
        <f>股权价值增加表!P42</f>
        <v>23681393.739999991</v>
      </c>
      <c r="Q63" s="64">
        <f>股权价值增加表!Q42</f>
        <v>99276084.000000089</v>
      </c>
      <c r="R63" s="64">
        <f>股权价值增加表!R42</f>
        <v>63144760.389999971</v>
      </c>
      <c r="S63" s="64">
        <f>股权价值增加表!S42</f>
        <v>36513669.350000024</v>
      </c>
      <c r="T63" s="64">
        <f>股权价值增加表!T42</f>
        <v>16576525.63000001</v>
      </c>
      <c r="U63" s="64">
        <f>股权价值增加表!U42</f>
        <v>111056231.57999991</v>
      </c>
      <c r="V63" s="64">
        <f>股权价值增加表!V42</f>
        <v>89940853.150000095</v>
      </c>
      <c r="W63" s="64">
        <f>股权价值增加表!W42</f>
        <v>62583672.940000005</v>
      </c>
      <c r="X63" s="64">
        <f>股权价值增加表!X42</f>
        <v>30644006.390000012</v>
      </c>
      <c r="Y63" s="64">
        <f>股权价值增加表!Y42</f>
        <v>104099983.04999998</v>
      </c>
      <c r="Z63" s="64">
        <f>股权价值增加表!Z42</f>
        <v>81738311.960000008</v>
      </c>
      <c r="AA63" s="64">
        <f>股权价值增加表!AA42</f>
        <v>69439554.349999979</v>
      </c>
      <c r="AB63" s="64">
        <f>股权价值增加表!AB42</f>
        <v>27851357.510000005</v>
      </c>
      <c r="AC63" s="64">
        <f>股权价值增加表!AC42</f>
        <v>115126305.65999994</v>
      </c>
    </row>
    <row r="64" spans="1:88" s="63" customFormat="1" x14ac:dyDescent="0.25">
      <c r="A64" s="214" t="s">
        <v>684</v>
      </c>
      <c r="B64" s="214"/>
      <c r="C64" s="214"/>
      <c r="D64" s="214"/>
      <c r="E64" s="214">
        <f>1-E63/E61</f>
        <v>0.16115396216967204</v>
      </c>
      <c r="F64" s="214">
        <f t="shared" ref="F64:AC64" si="46">1-F63/F61</f>
        <v>0.15984333368759596</v>
      </c>
      <c r="G64" s="214">
        <f t="shared" si="46"/>
        <v>0.16580342968679995</v>
      </c>
      <c r="H64" s="214">
        <f t="shared" si="46"/>
        <v>0.17249351707103777</v>
      </c>
      <c r="I64" s="214">
        <f t="shared" si="46"/>
        <v>0.11809570771156352</v>
      </c>
      <c r="J64" s="214">
        <f t="shared" si="46"/>
        <v>0.14465088953947658</v>
      </c>
      <c r="K64" s="214">
        <f t="shared" si="46"/>
        <v>0.1360285841732275</v>
      </c>
      <c r="L64" s="214">
        <f t="shared" si="46"/>
        <v>0.15879609679216644</v>
      </c>
      <c r="M64" s="214">
        <f t="shared" si="46"/>
        <v>0.11811270401297957</v>
      </c>
      <c r="N64" s="214">
        <f t="shared" si="46"/>
        <v>0.14899803674358458</v>
      </c>
      <c r="O64" s="214">
        <f t="shared" si="46"/>
        <v>0.13678391129069656</v>
      </c>
      <c r="P64" s="214">
        <f t="shared" si="46"/>
        <v>0.16245647748412484</v>
      </c>
      <c r="Q64" s="214">
        <f t="shared" si="46"/>
        <v>0.12996031739797931</v>
      </c>
      <c r="R64" s="214">
        <f t="shared" si="46"/>
        <v>0.14774323890285523</v>
      </c>
      <c r="S64" s="214">
        <f t="shared" si="46"/>
        <v>0.13600792970840048</v>
      </c>
      <c r="T64" s="214">
        <f t="shared" si="46"/>
        <v>0.17120330322688793</v>
      </c>
      <c r="U64" s="214">
        <f t="shared" si="46"/>
        <v>0.16255056365007003</v>
      </c>
      <c r="V64" s="214">
        <f t="shared" si="46"/>
        <v>0.14956504953446348</v>
      </c>
      <c r="W64" s="214">
        <f t="shared" si="46"/>
        <v>0.14322636906816577</v>
      </c>
      <c r="X64" s="214">
        <f t="shared" si="46"/>
        <v>0.15613280418634035</v>
      </c>
      <c r="Y64" s="214">
        <f t="shared" si="46"/>
        <v>0.14446772320571444</v>
      </c>
      <c r="Z64" s="214">
        <f t="shared" si="46"/>
        <v>0.14447216697608312</v>
      </c>
      <c r="AA64" s="214">
        <f t="shared" si="46"/>
        <v>0.14311835693792785</v>
      </c>
      <c r="AB64" s="214">
        <f t="shared" si="46"/>
        <v>0.15052031010813449</v>
      </c>
      <c r="AC64" s="214">
        <f t="shared" si="46"/>
        <v>0.1489864130321632</v>
      </c>
    </row>
    <row r="65" spans="1:29" ht="42.6" customHeight="1" x14ac:dyDescent="0.25">
      <c r="A65" s="278" t="s">
        <v>685</v>
      </c>
      <c r="B65" s="278"/>
      <c r="C65" s="278"/>
      <c r="D65" s="278"/>
      <c r="E65" s="278"/>
      <c r="F65" s="278"/>
      <c r="G65" s="278"/>
      <c r="H65" s="278"/>
      <c r="I65" s="278"/>
      <c r="J65" s="278"/>
      <c r="K65" s="278"/>
      <c r="L65" s="278"/>
      <c r="M65" s="278"/>
      <c r="N65" s="278"/>
      <c r="O65" s="278"/>
      <c r="P65" s="278"/>
      <c r="Q65" s="278"/>
      <c r="R65" s="278"/>
      <c r="S65" s="278"/>
      <c r="T65" s="278"/>
      <c r="U65" s="278"/>
      <c r="V65" s="278"/>
      <c r="W65" s="278"/>
      <c r="X65" s="278"/>
      <c r="Y65" s="278"/>
      <c r="Z65" s="278"/>
      <c r="AA65" s="278"/>
      <c r="AB65" s="278"/>
      <c r="AC65" s="278"/>
    </row>
    <row r="68" spans="1:29" ht="55.8" customHeight="1" x14ac:dyDescent="0.25">
      <c r="A68" s="276" t="s">
        <v>737</v>
      </c>
      <c r="B68" s="275"/>
      <c r="C68" s="275"/>
      <c r="D68" s="275"/>
      <c r="E68" s="275"/>
      <c r="F68" s="275"/>
      <c r="G68" s="275"/>
      <c r="H68" s="275"/>
      <c r="I68" s="275"/>
      <c r="J68" s="275"/>
      <c r="K68" s="275"/>
      <c r="L68" s="275"/>
      <c r="M68" s="275"/>
      <c r="N68" s="275"/>
      <c r="O68" s="275"/>
      <c r="P68" s="275"/>
      <c r="Q68" s="275"/>
      <c r="R68" s="275"/>
      <c r="S68" s="275"/>
      <c r="T68" s="275"/>
      <c r="U68" s="275"/>
      <c r="V68" s="275"/>
      <c r="W68" s="275"/>
      <c r="X68" s="275"/>
      <c r="Y68" s="275"/>
      <c r="Z68" s="275"/>
      <c r="AA68" s="275"/>
      <c r="AB68" s="275"/>
      <c r="AC68" s="275"/>
    </row>
    <row r="69" spans="1:29" x14ac:dyDescent="0.25">
      <c r="A69" s="283" t="s">
        <v>705</v>
      </c>
      <c r="B69" s="283"/>
      <c r="C69" s="283"/>
      <c r="D69" s="283"/>
      <c r="E69" s="283"/>
      <c r="F69" s="257"/>
      <c r="G69" s="257"/>
      <c r="H69" s="257"/>
      <c r="I69" s="257" t="s">
        <v>709</v>
      </c>
      <c r="J69" s="257"/>
      <c r="K69" s="257"/>
      <c r="L69" s="257"/>
      <c r="M69" s="257" t="s">
        <v>710</v>
      </c>
    </row>
    <row r="70" spans="1:29" ht="57.6" x14ac:dyDescent="0.25">
      <c r="A70" s="284" t="s">
        <v>706</v>
      </c>
      <c r="B70" s="65"/>
      <c r="C70" s="65"/>
      <c r="D70" s="65"/>
      <c r="E70" s="65" t="s">
        <v>707</v>
      </c>
      <c r="F70" s="65"/>
      <c r="G70" s="65"/>
      <c r="H70" s="65"/>
      <c r="I70" s="258" t="s">
        <v>711</v>
      </c>
      <c r="J70" s="259"/>
      <c r="K70" s="259"/>
      <c r="L70" s="259"/>
      <c r="M70" s="258" t="s">
        <v>712</v>
      </c>
    </row>
    <row r="71" spans="1:29" ht="54.6" customHeight="1" x14ac:dyDescent="0.25">
      <c r="A71" s="284"/>
      <c r="B71" s="65"/>
      <c r="C71" s="65"/>
      <c r="D71" s="65"/>
      <c r="E71" s="65" t="s">
        <v>708</v>
      </c>
      <c r="F71" s="65"/>
      <c r="G71" s="65"/>
      <c r="H71" s="65"/>
      <c r="I71" s="258" t="s">
        <v>713</v>
      </c>
      <c r="J71" s="259"/>
      <c r="K71" s="259"/>
      <c r="L71" s="259"/>
      <c r="M71" s="258" t="s">
        <v>714</v>
      </c>
    </row>
    <row r="72" spans="1:29" ht="57.6" x14ac:dyDescent="0.25">
      <c r="A72" s="284" t="s">
        <v>722</v>
      </c>
      <c r="B72" s="65"/>
      <c r="C72" s="65"/>
      <c r="D72" s="65"/>
      <c r="E72" s="65" t="s">
        <v>715</v>
      </c>
      <c r="F72" s="65"/>
      <c r="G72" s="65"/>
      <c r="H72" s="65"/>
      <c r="I72" s="258" t="s">
        <v>723</v>
      </c>
      <c r="J72" s="259"/>
      <c r="K72" s="259"/>
      <c r="L72" s="259"/>
      <c r="M72" s="258" t="s">
        <v>724</v>
      </c>
    </row>
    <row r="73" spans="1:29" ht="43.2" x14ac:dyDescent="0.25">
      <c r="A73" s="284"/>
      <c r="B73" s="65"/>
      <c r="C73" s="65"/>
      <c r="D73" s="65"/>
      <c r="E73" s="65" t="s">
        <v>716</v>
      </c>
      <c r="F73" s="65"/>
      <c r="G73" s="65"/>
      <c r="H73" s="65"/>
      <c r="I73" s="258" t="s">
        <v>725</v>
      </c>
      <c r="J73" s="259"/>
      <c r="K73" s="259"/>
      <c r="L73" s="259"/>
      <c r="M73" s="258" t="s">
        <v>726</v>
      </c>
    </row>
    <row r="74" spans="1:29" ht="72" x14ac:dyDescent="0.25">
      <c r="A74" s="284"/>
      <c r="B74" s="65"/>
      <c r="C74" s="65"/>
      <c r="D74" s="65"/>
      <c r="E74" s="65" t="s">
        <v>717</v>
      </c>
      <c r="F74" s="65"/>
      <c r="G74" s="65"/>
      <c r="H74" s="65"/>
      <c r="I74" s="258" t="s">
        <v>727</v>
      </c>
      <c r="J74" s="259"/>
      <c r="K74" s="259"/>
      <c r="L74" s="259"/>
      <c r="M74" s="258" t="s">
        <v>728</v>
      </c>
    </row>
    <row r="75" spans="1:29" ht="72" x14ac:dyDescent="0.25">
      <c r="A75" s="284"/>
      <c r="B75" s="65"/>
      <c r="C75" s="65"/>
      <c r="D75" s="65"/>
      <c r="E75" s="65" t="s">
        <v>718</v>
      </c>
      <c r="F75" s="65"/>
      <c r="G75" s="65"/>
      <c r="H75" s="65"/>
      <c r="I75" s="258" t="s">
        <v>729</v>
      </c>
      <c r="J75" s="259"/>
      <c r="K75" s="259"/>
      <c r="L75" s="259"/>
      <c r="M75" s="258" t="s">
        <v>730</v>
      </c>
    </row>
    <row r="76" spans="1:29" x14ac:dyDescent="0.25">
      <c r="A76" s="284"/>
      <c r="B76" s="65"/>
      <c r="C76" s="65"/>
      <c r="D76" s="65"/>
      <c r="E76" s="65" t="s">
        <v>719</v>
      </c>
      <c r="F76" s="65"/>
      <c r="G76" s="65"/>
      <c r="H76" s="65"/>
      <c r="I76" s="258" t="s">
        <v>731</v>
      </c>
      <c r="J76" s="259"/>
      <c r="K76" s="259"/>
      <c r="L76" s="259"/>
      <c r="M76" s="258" t="s">
        <v>732</v>
      </c>
    </row>
    <row r="77" spans="1:29" ht="57.6" x14ac:dyDescent="0.25">
      <c r="A77" s="284"/>
      <c r="B77" s="65"/>
      <c r="C77" s="65"/>
      <c r="D77" s="65"/>
      <c r="E77" s="65" t="s">
        <v>720</v>
      </c>
      <c r="F77" s="65"/>
      <c r="G77" s="65"/>
      <c r="H77" s="65"/>
      <c r="I77" s="258" t="s">
        <v>733</v>
      </c>
      <c r="J77" s="259"/>
      <c r="K77" s="259"/>
      <c r="L77" s="259"/>
      <c r="M77" s="258" t="s">
        <v>734</v>
      </c>
    </row>
    <row r="78" spans="1:29" ht="57.6" x14ac:dyDescent="0.25">
      <c r="A78" s="284"/>
      <c r="B78" s="65"/>
      <c r="C78" s="65"/>
      <c r="D78" s="65"/>
      <c r="E78" s="65" t="s">
        <v>721</v>
      </c>
      <c r="F78" s="65"/>
      <c r="G78" s="65"/>
      <c r="H78" s="65"/>
      <c r="I78" s="258" t="s">
        <v>735</v>
      </c>
      <c r="J78" s="259"/>
      <c r="K78" s="259"/>
      <c r="L78" s="259"/>
      <c r="M78" s="258" t="s">
        <v>736</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topLeftCell="A86" workbookViewId="0">
      <selection activeCell="A77" sqref="A77:AG77"/>
    </sheetView>
  </sheetViews>
  <sheetFormatPr defaultRowHeight="14.4" x14ac:dyDescent="0.25"/>
  <cols>
    <col min="1" max="1" width="50.6640625" style="17" bestFit="1" customWidth="1"/>
    <col min="2" max="4" width="11.66406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8.33203125" bestFit="1" customWidth="1"/>
    <col min="34" max="34" width="18.33203125" hidden="1" customWidth="1"/>
    <col min="35" max="35" width="17.21875" bestFit="1" customWidth="1"/>
    <col min="36" max="36" width="19.33203125" bestFit="1" customWidth="1"/>
    <col min="37" max="37" width="19.33203125" hidden="1" customWidth="1"/>
    <col min="38" max="40" width="19.33203125" bestFit="1" customWidth="1"/>
    <col min="41" max="41" width="22.6640625" bestFit="1" customWidth="1"/>
    <col min="42" max="45" width="19.33203125" bestFit="1" customWidth="1"/>
    <col min="46" max="46" width="21.5546875" bestFit="1" customWidth="1"/>
    <col min="47" max="50" width="19.33203125" bestFit="1" customWidth="1"/>
    <col min="51" max="51" width="20.44140625" bestFit="1" customWidth="1"/>
    <col min="52" max="61" width="19.33203125" bestFit="1" customWidth="1"/>
    <col min="62" max="63" width="18.33203125" bestFit="1" customWidth="1"/>
    <col min="64" max="76" width="17.21875" bestFit="1" customWidth="1"/>
    <col min="77" max="77" width="9.33203125" bestFit="1" customWidth="1"/>
    <col min="78" max="84" width="19.33203125" bestFit="1" customWidth="1"/>
    <col min="85" max="87" width="17.21875" bestFit="1" customWidth="1"/>
    <col min="88" max="89" width="16.109375" bestFit="1" customWidth="1"/>
  </cols>
  <sheetData>
    <row r="1" spans="1:89" s="26" customFormat="1"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304306233.41999978</v>
      </c>
      <c r="F2" s="26">
        <f>股权价值增加表!F42</f>
        <v>262599285.01000014</v>
      </c>
      <c r="G2" s="26">
        <f>股权价值增加表!G42</f>
        <v>194563579.06</v>
      </c>
      <c r="H2" s="26">
        <f>股权价值增加表!H42</f>
        <v>92510941.320000023</v>
      </c>
      <c r="I2" s="26">
        <f>股权价值增加表!I42</f>
        <v>370011591.78999984</v>
      </c>
      <c r="J2" s="26">
        <f>股权价值增加表!J42</f>
        <v>264716610.8499999</v>
      </c>
      <c r="K2" s="26">
        <f>股权价值增加表!K42</f>
        <v>199116643.63999999</v>
      </c>
      <c r="L2" s="26">
        <f>股权价值增加表!L42</f>
        <v>86694933.889999986</v>
      </c>
      <c r="M2" s="26">
        <f>股权价值增加表!M42</f>
        <v>298144112.63</v>
      </c>
      <c r="N2" s="26">
        <f>股权价值增加表!N42</f>
        <v>145948182.48999989</v>
      </c>
      <c r="O2" s="26">
        <f>股权价值增加表!O42</f>
        <v>70088189.920000046</v>
      </c>
      <c r="P2" s="26">
        <f>股权价值增加表!P42</f>
        <v>23681393.739999991</v>
      </c>
      <c r="Q2" s="26">
        <f>股权价值增加表!Q42</f>
        <v>99276084.000000089</v>
      </c>
      <c r="R2" s="26">
        <f>股权价值增加表!R42</f>
        <v>63144760.389999971</v>
      </c>
      <c r="S2" s="26">
        <f>股权价值增加表!S42</f>
        <v>36513669.350000024</v>
      </c>
      <c r="T2" s="26">
        <f>股权价值增加表!T42</f>
        <v>16576525.63000001</v>
      </c>
      <c r="U2" s="26">
        <f>股权价值增加表!U42</f>
        <v>111056231.57999991</v>
      </c>
      <c r="V2" s="26">
        <f>股权价值增加表!V42</f>
        <v>89940853.150000095</v>
      </c>
      <c r="W2" s="26">
        <f>股权价值增加表!W42</f>
        <v>62583672.940000005</v>
      </c>
      <c r="X2" s="26">
        <f>股权价值增加表!X42</f>
        <v>30644006.390000012</v>
      </c>
      <c r="Y2" s="26">
        <f>股权价值增加表!Y42</f>
        <v>104099983.04999998</v>
      </c>
      <c r="Z2" s="26">
        <f>股权价值增加表!Z42</f>
        <v>81738311.960000008</v>
      </c>
      <c r="AA2" s="26">
        <f>股权价值增加表!AA42</f>
        <v>69439554.349999979</v>
      </c>
      <c r="AB2" s="26">
        <f>股权价值增加表!AB42</f>
        <v>27851357.510000005</v>
      </c>
      <c r="AC2" s="26">
        <f>股权价值增加表!AC42</f>
        <v>115126305.65999994</v>
      </c>
      <c r="AD2" s="26">
        <f>股权价值增加表!AD42</f>
        <v>102051346.40999994</v>
      </c>
      <c r="AE2" s="26">
        <f>股权价值增加表!AE42</f>
        <v>77141986.969999999</v>
      </c>
      <c r="AF2" s="26">
        <f>股权价值增加表!AF42</f>
        <v>29629487.049999997</v>
      </c>
      <c r="AG2" s="26">
        <f>股权价值增加表!AG42</f>
        <v>92811800.770000026</v>
      </c>
      <c r="AH2" s="26">
        <f>股权价值增加表!AH42</f>
        <v>74696193.409999996</v>
      </c>
      <c r="AI2" s="26">
        <f>股权价值增加表!AI42</f>
        <v>63399330.539999984</v>
      </c>
      <c r="AJ2" s="26">
        <f>股权价值增加表!AJ42</f>
        <v>93669269.390000015</v>
      </c>
      <c r="AK2" s="26">
        <f>股权价值增加表!AK42</f>
        <v>-9000550.8699999992</v>
      </c>
      <c r="AL2" s="26">
        <f>股权价值增加表!AL42</f>
        <v>-183345585.82999998</v>
      </c>
      <c r="AM2" s="26">
        <f>股权价值增加表!AM42</f>
        <v>-106810116.88</v>
      </c>
      <c r="AN2" s="26">
        <f>股权价值增加表!AN42</f>
        <v>-49783959.600000001</v>
      </c>
      <c r="AO2" s="26">
        <f>股权价值增加表!AO42</f>
        <v>-267539954.00999999</v>
      </c>
      <c r="AP2" s="26">
        <f>股权价值增加表!AP42</f>
        <v>-424870521.57999998</v>
      </c>
      <c r="AQ2" s="26">
        <f>股权价值增加表!AQ42</f>
        <v>-293304959.90999997</v>
      </c>
      <c r="AR2" s="26">
        <f>股权价值增加表!AR42</f>
        <v>-120246619.52999999</v>
      </c>
      <c r="AS2" s="26">
        <f>股权价值增加表!AS42</f>
        <v>-618583611.08000004</v>
      </c>
      <c r="AT2" s="26">
        <f>股权价值增加表!AT42</f>
        <v>-534184089.29000002</v>
      </c>
      <c r="AU2" s="26">
        <f>股权价值增加表!AU42</f>
        <v>-361733175.15000004</v>
      </c>
      <c r="AV2" s="26">
        <f>股权价值增加表!AV42</f>
        <v>-169159183.02000001</v>
      </c>
      <c r="AW2" s="26">
        <f>股权价值增加表!AW42</f>
        <v>-364665048.18000001</v>
      </c>
      <c r="AX2" s="26">
        <f>股权价值增加表!AX42</f>
        <v>-314423100.28999996</v>
      </c>
      <c r="AY2" s="26">
        <f>股权价值增加表!AY42</f>
        <v>-184996081.94999999</v>
      </c>
      <c r="AZ2" s="26">
        <f>股权价值增加表!AZ42</f>
        <v>-91146481.429999992</v>
      </c>
      <c r="BA2" s="26">
        <f>股权价值增加表!BA42</f>
        <v>-250424310.28999999</v>
      </c>
      <c r="BB2" s="26">
        <f>股权价值增加表!BB42</f>
        <v>-244895316.83000001</v>
      </c>
      <c r="BC2" s="26">
        <f>股权价值增加表!BC42</f>
        <v>-168341803.09999999</v>
      </c>
      <c r="BD2" s="26">
        <f>股权价值增加表!BD42</f>
        <v>-79512055.189999998</v>
      </c>
      <c r="BE2" s="26">
        <f>股权价值增加表!BE42</f>
        <v>-116917833.25</v>
      </c>
      <c r="BF2" s="26">
        <f>股权价值增加表!BF42</f>
        <v>-162029458.54000002</v>
      </c>
      <c r="BG2" s="26">
        <f>股权价值增加表!BG42</f>
        <v>-108444248.91</v>
      </c>
      <c r="BH2" s="26">
        <f>股权价值增加表!BH42</f>
        <v>-47946526.399999999</v>
      </c>
      <c r="BI2" s="26">
        <f>股权价值增加表!BI42</f>
        <v>-68952791.199999988</v>
      </c>
      <c r="BJ2" s="26">
        <f>股权价值增加表!BJ42</f>
        <v>-82824833.469999999</v>
      </c>
      <c r="BK2" s="26">
        <f>股权价值增加表!BK42</f>
        <v>-63169460.109999999</v>
      </c>
      <c r="BL2" s="26">
        <f>股权价值增加表!BL42</f>
        <v>-27774802.43</v>
      </c>
      <c r="BM2" s="26">
        <f>股权价值增加表!BM42</f>
        <v>-32774755.549999997</v>
      </c>
      <c r="BN2" s="26">
        <f>股权价值增加表!BN42</f>
        <v>-31702157.48</v>
      </c>
      <c r="BO2" s="26">
        <f>股权价值增加表!BO42</f>
        <v>-16273314.18</v>
      </c>
      <c r="BP2" s="26">
        <f>股权价值增加表!BP42</f>
        <v>-15224717.800000001</v>
      </c>
      <c r="BQ2" s="26">
        <f>股权价值增加表!BQ42</f>
        <v>-11754436.18</v>
      </c>
      <c r="BR2" s="26">
        <f>股权价值增加表!BR42</f>
        <v>-22857300</v>
      </c>
      <c r="BS2" s="26">
        <f>股权价值增加表!BS42</f>
        <v>-9613624.7599999998</v>
      </c>
      <c r="BT2" s="26">
        <f>股权价值增加表!BT42</f>
        <v>-16402935.85</v>
      </c>
      <c r="BU2" s="26">
        <f>股权价值增加表!BU42</f>
        <v>-15677799.189999999</v>
      </c>
      <c r="BV2" s="26">
        <f>股权价值增加表!BV42</f>
        <v>-13041815.699999999</v>
      </c>
      <c r="BW2" s="26">
        <f>股权价值增加表!BW42</f>
        <v>-7764894.8799999999</v>
      </c>
      <c r="BX2" s="26">
        <f>股权价值增加表!BX42</f>
        <v>-7173387.8499999996</v>
      </c>
      <c r="BY2" s="26">
        <f>股权价值增加表!BY42</f>
        <v>0</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4070353891.1500001</v>
      </c>
      <c r="F3" s="26">
        <f>资产资本表!F107</f>
        <v>3995308966.3000002</v>
      </c>
      <c r="G3" s="26">
        <f>资产资本表!G107</f>
        <v>3926612338.5500002</v>
      </c>
      <c r="H3" s="26">
        <f>资产资本表!H107</f>
        <v>3823718748.04</v>
      </c>
      <c r="I3" s="26">
        <f>资产资本表!I107</f>
        <v>3857670584.8800001</v>
      </c>
      <c r="J3" s="26">
        <f>资产资本表!J107</f>
        <v>3769151653.5999999</v>
      </c>
      <c r="K3" s="26">
        <f>资产资本表!K107</f>
        <v>2697819249.1299996</v>
      </c>
      <c r="L3" s="26">
        <f>资产资本表!L107</f>
        <v>2686698753.6600003</v>
      </c>
      <c r="M3" s="26">
        <f>资产资本表!M107</f>
        <v>2599306347.4500003</v>
      </c>
      <c r="N3" s="26">
        <f>资产资本表!N107</f>
        <v>2487565966.0600004</v>
      </c>
      <c r="O3" s="26">
        <f>资产资本表!O107</f>
        <v>2411198959.3899999</v>
      </c>
      <c r="P3" s="26">
        <f>资产资本表!P107</f>
        <v>2425496172.1200004</v>
      </c>
      <c r="Q3" s="26">
        <f>资产资本表!Q107</f>
        <v>1391842083.3</v>
      </c>
      <c r="R3" s="26">
        <f>资产资本表!R107</f>
        <v>1358531152.8800001</v>
      </c>
      <c r="S3" s="26">
        <f>资产资本表!S107</f>
        <v>1331685149.5500002</v>
      </c>
      <c r="T3" s="26">
        <f>资产资本表!T107</f>
        <v>1361160405.6499999</v>
      </c>
      <c r="U3" s="26">
        <f>资产资本表!U107</f>
        <v>1344292240.3600001</v>
      </c>
      <c r="V3" s="26">
        <f>资产资本表!V107</f>
        <v>1310846802.98</v>
      </c>
      <c r="W3" s="26">
        <f>资产资本表!W107</f>
        <v>1283490697.77</v>
      </c>
      <c r="X3" s="26">
        <f>资产资本表!X107</f>
        <v>1276559138.0899999</v>
      </c>
      <c r="Y3" s="26">
        <f>资产资本表!Y107</f>
        <v>1244457985.5</v>
      </c>
      <c r="Z3" s="26">
        <f>资产资本表!Z107</f>
        <v>1216882777.4300001</v>
      </c>
      <c r="AA3" s="26">
        <f>资产资本表!AA107</f>
        <v>1204799411.96</v>
      </c>
      <c r="AB3" s="26">
        <f>资产资本表!AB107</f>
        <v>1163261652.3800001</v>
      </c>
      <c r="AC3" s="26">
        <f>资产资本表!AC107</f>
        <v>1204025076.95</v>
      </c>
      <c r="AD3" s="26">
        <f>资产资本表!AD107</f>
        <v>382309945.08999997</v>
      </c>
      <c r="AE3" s="26">
        <f>资产资本表!AE107</f>
        <v>356958901.06999999</v>
      </c>
      <c r="AF3" s="26">
        <f>资产资本表!AF107</f>
        <v>316586996.66000003</v>
      </c>
      <c r="AG3" s="26">
        <f>资产资本表!AG107</f>
        <v>271531654.74000001</v>
      </c>
      <c r="AH3" s="26">
        <f>资产资本表!AH107</f>
        <v>244181721.59</v>
      </c>
      <c r="AI3" s="26">
        <f>资产资本表!AI107</f>
        <v>0</v>
      </c>
      <c r="AJ3" s="26">
        <f>资产资本表!AJ107</f>
        <v>6146162889.0900002</v>
      </c>
      <c r="AK3" s="26">
        <f>资产资本表!AK107</f>
        <v>5825118338.7300005</v>
      </c>
      <c r="AL3" s="26">
        <f>资产资本表!AL107</f>
        <v>5576533048.0300007</v>
      </c>
      <c r="AM3" s="26">
        <f>资产资本表!AM107</f>
        <v>5137549475.6399994</v>
      </c>
      <c r="AN3" s="26">
        <f>资产资本表!AN107</f>
        <v>4719109466.4899998</v>
      </c>
      <c r="AO3" s="26">
        <f>资产资本表!AO107</f>
        <v>5449414237.0300007</v>
      </c>
      <c r="AP3" s="26">
        <f>资产资本表!AP107</f>
        <v>5047038927.75</v>
      </c>
      <c r="AQ3" s="26">
        <f>资产资本表!AQ107</f>
        <v>4664214074.1300001</v>
      </c>
      <c r="AR3" s="26">
        <f>资产资本表!AR107</f>
        <v>4021950777.0999999</v>
      </c>
      <c r="AS3" s="26">
        <f>资产资本表!AS107</f>
        <v>4438476848.9699993</v>
      </c>
      <c r="AT3" s="26">
        <f>资产资本表!AT107</f>
        <v>3943285948.0300002</v>
      </c>
      <c r="AU3" s="26">
        <f>资产资本表!AU107</f>
        <v>3401195129.4499998</v>
      </c>
      <c r="AV3" s="26">
        <f>资产资本表!AV107</f>
        <v>3256155249.3099999</v>
      </c>
      <c r="AW3" s="26">
        <f>资产资本表!AW107</f>
        <v>2819764253.1900001</v>
      </c>
      <c r="AX3" s="26">
        <f>资产资本表!AX107</f>
        <v>2549874268.3099999</v>
      </c>
      <c r="AY3" s="26">
        <f>资产资本表!AY107</f>
        <v>2245740389.3499999</v>
      </c>
      <c r="AZ3" s="26">
        <f>资产资本表!AZ107</f>
        <v>2223410188.5499997</v>
      </c>
      <c r="BA3" s="26">
        <f>资产资本表!BA107</f>
        <v>1855403452.7199998</v>
      </c>
      <c r="BB3" s="26">
        <f>资产资本表!BB107</f>
        <v>1715253871.6700001</v>
      </c>
      <c r="BC3" s="26">
        <f>资产资本表!BC107</f>
        <v>1563198910.6199999</v>
      </c>
      <c r="BD3" s="26">
        <f>资产资本表!BD107</f>
        <v>1521448186.52</v>
      </c>
      <c r="BE3" s="26">
        <f>资产资本表!BE107</f>
        <v>1364769328.01</v>
      </c>
      <c r="BF3" s="26">
        <f>资产资本表!BF107</f>
        <v>1275993866.8100002</v>
      </c>
      <c r="BG3" s="26">
        <f>资产资本表!BG107</f>
        <v>1176377094.53</v>
      </c>
      <c r="BH3" s="26">
        <f>资产资本表!BH107</f>
        <v>1135176770.3</v>
      </c>
      <c r="BI3" s="26">
        <f>资产资本表!BI107</f>
        <v>1037898476.29</v>
      </c>
      <c r="BJ3" s="26">
        <f>资产资本表!BJ107</f>
        <v>992306647.08000004</v>
      </c>
      <c r="BK3" s="26">
        <f>资产资本表!BK107</f>
        <v>870142014.30999994</v>
      </c>
      <c r="BL3" s="26">
        <f>资产资本表!BL107</f>
        <v>789846635.84000003</v>
      </c>
      <c r="BM3" s="26">
        <f>资产资本表!BM107</f>
        <v>808658820.5</v>
      </c>
      <c r="BN3" s="26">
        <f>资产资本表!BN107</f>
        <v>778165133.73000002</v>
      </c>
      <c r="BO3" s="26">
        <f>资产资本表!BO107</f>
        <v>746839868.34000003</v>
      </c>
      <c r="BP3" s="26">
        <f>资产资本表!BP107</f>
        <v>689491725.37</v>
      </c>
      <c r="BQ3" s="26">
        <f>资产资本表!BQ107</f>
        <v>653798259.76999998</v>
      </c>
      <c r="BR3" s="26">
        <f>资产资本表!BR107</f>
        <v>687705800</v>
      </c>
      <c r="BS3" s="26">
        <f>资产资本表!BS107</f>
        <v>663841314.28999996</v>
      </c>
      <c r="BT3" s="26">
        <f>资产资本表!BT107</f>
        <v>601069866.59000003</v>
      </c>
      <c r="BU3" s="26">
        <f>资产资本表!BU107</f>
        <v>155202681.5</v>
      </c>
      <c r="BV3" s="26">
        <f>资产资本表!BV107</f>
        <v>128306554.23</v>
      </c>
      <c r="BW3" s="26">
        <f>资产资本表!BW107</f>
        <v>122396833.72</v>
      </c>
      <c r="BX3" s="26">
        <f>资产资本表!BX107</f>
        <v>70008325.519999996</v>
      </c>
      <c r="BY3" s="26">
        <f>资产资本表!BY107</f>
        <v>0</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430</v>
      </c>
      <c r="E4" s="59">
        <f>E2/E3</f>
        <v>7.4761615711508536E-2</v>
      </c>
      <c r="F4" s="59">
        <f t="shared" ref="F4:BQ4" si="0">F2/F3</f>
        <v>6.5726903031779707E-2</v>
      </c>
      <c r="G4" s="59">
        <f t="shared" si="0"/>
        <v>4.9549984130047194E-2</v>
      </c>
      <c r="H4" s="59">
        <f t="shared" si="0"/>
        <v>2.4193971213866138E-2</v>
      </c>
      <c r="I4" s="59">
        <f t="shared" si="0"/>
        <v>9.5915808166785119E-2</v>
      </c>
      <c r="J4" s="59">
        <f t="shared" si="0"/>
        <v>7.0232411741024861E-2</v>
      </c>
      <c r="K4" s="59">
        <f t="shared" si="0"/>
        <v>7.3806517506393984E-2</v>
      </c>
      <c r="L4" s="59">
        <f t="shared" si="0"/>
        <v>3.2268200434417277E-2</v>
      </c>
      <c r="M4" s="59">
        <f t="shared" si="0"/>
        <v>0.11470141367618655</v>
      </c>
      <c r="N4" s="59">
        <f t="shared" si="0"/>
        <v>5.8671080277386142E-2</v>
      </c>
      <c r="O4" s="59">
        <f t="shared" si="0"/>
        <v>2.9067775451317959E-2</v>
      </c>
      <c r="P4" s="59">
        <f t="shared" si="0"/>
        <v>9.7635255055056689E-3</v>
      </c>
      <c r="Q4" s="59">
        <f t="shared" si="0"/>
        <v>7.1327117631492076E-2</v>
      </c>
      <c r="R4" s="59">
        <f t="shared" si="0"/>
        <v>4.6480171070156964E-2</v>
      </c>
      <c r="S4" s="59">
        <f t="shared" si="0"/>
        <v>2.7419145856164749E-2</v>
      </c>
      <c r="T4" s="59">
        <f t="shared" si="0"/>
        <v>1.2178230839798901E-2</v>
      </c>
      <c r="U4" s="59">
        <f t="shared" si="0"/>
        <v>8.2613161220256068E-2</v>
      </c>
      <c r="V4" s="59">
        <f t="shared" si="0"/>
        <v>6.8612787509214651E-2</v>
      </c>
      <c r="W4" s="59">
        <f t="shared" si="0"/>
        <v>4.8760519300012038E-2</v>
      </c>
      <c r="X4" s="59">
        <f t="shared" si="0"/>
        <v>2.4005160024039206E-2</v>
      </c>
      <c r="Y4" s="59">
        <f t="shared" si="0"/>
        <v>8.3650861871543664E-2</v>
      </c>
      <c r="Z4" s="59">
        <f t="shared" si="0"/>
        <v>6.7170243080132599E-2</v>
      </c>
      <c r="AA4" s="59">
        <f t="shared" si="0"/>
        <v>5.7635780413466377E-2</v>
      </c>
      <c r="AB4" s="59">
        <f t="shared" si="0"/>
        <v>2.3942470254234655E-2</v>
      </c>
      <c r="AC4" s="59">
        <f t="shared" si="0"/>
        <v>9.5617863667453187E-2</v>
      </c>
      <c r="AD4" s="59">
        <f t="shared" si="0"/>
        <v>0.26693353840422834</v>
      </c>
      <c r="AE4" s="59">
        <f t="shared" si="0"/>
        <v>0.21610887622850558</v>
      </c>
      <c r="AF4" s="59">
        <f t="shared" si="0"/>
        <v>9.3590347558780859E-2</v>
      </c>
      <c r="AG4" s="59">
        <f t="shared" si="0"/>
        <v>0.34180840115628586</v>
      </c>
      <c r="AH4" s="59">
        <f t="shared" si="0"/>
        <v>0.3059041148682729</v>
      </c>
      <c r="AI4" s="59" t="e">
        <f t="shared" si="0"/>
        <v>#DIV/0!</v>
      </c>
      <c r="AJ4" s="59">
        <f t="shared" si="0"/>
        <v>1.524028423592084E-2</v>
      </c>
      <c r="AK4" s="59">
        <f t="shared" si="0"/>
        <v>-1.5451275573505876E-3</v>
      </c>
      <c r="AL4" s="59">
        <f t="shared" si="0"/>
        <v>-3.2878059584847207E-2</v>
      </c>
      <c r="AM4" s="59">
        <f t="shared" si="0"/>
        <v>-2.0790090175568449E-2</v>
      </c>
      <c r="AN4" s="59">
        <f t="shared" si="0"/>
        <v>-1.0549439455370069E-2</v>
      </c>
      <c r="AO4" s="59">
        <f t="shared" si="0"/>
        <v>-4.9095176540628088E-2</v>
      </c>
      <c r="AP4" s="59">
        <f t="shared" si="0"/>
        <v>-8.4182136825603951E-2</v>
      </c>
      <c r="AQ4" s="59">
        <f t="shared" si="0"/>
        <v>-6.2884111931485298E-2</v>
      </c>
      <c r="AR4" s="59">
        <f t="shared" si="0"/>
        <v>-2.9897586070584133E-2</v>
      </c>
      <c r="AS4" s="59">
        <f t="shared" si="0"/>
        <v>-0.13936844375420132</v>
      </c>
      <c r="AT4" s="59">
        <f t="shared" si="0"/>
        <v>-0.13546673924493594</v>
      </c>
      <c r="AU4" s="59">
        <f t="shared" si="0"/>
        <v>-0.10635472573092128</v>
      </c>
      <c r="AV4" s="59">
        <f t="shared" si="0"/>
        <v>-5.1950588982465108E-2</v>
      </c>
      <c r="AW4" s="59">
        <f t="shared" si="0"/>
        <v>-0.12932465817575151</v>
      </c>
      <c r="AX4" s="59">
        <f t="shared" si="0"/>
        <v>-0.1233092565377322</v>
      </c>
      <c r="AY4" s="59">
        <f t="shared" si="0"/>
        <v>-8.2376432657714577E-2</v>
      </c>
      <c r="AZ4" s="59">
        <f t="shared" si="0"/>
        <v>-4.0994001871261239E-2</v>
      </c>
      <c r="BA4" s="59">
        <f t="shared" si="0"/>
        <v>-0.13497027286592622</v>
      </c>
      <c r="BB4" s="59">
        <f t="shared" si="0"/>
        <v>-0.14277496811102708</v>
      </c>
      <c r="BC4" s="59">
        <f t="shared" si="0"/>
        <v>-0.10769058368472879</v>
      </c>
      <c r="BD4" s="59">
        <f t="shared" si="0"/>
        <v>-5.2260770951304943E-2</v>
      </c>
      <c r="BE4" s="59">
        <f t="shared" si="0"/>
        <v>-8.5668567464423057E-2</v>
      </c>
      <c r="BF4" s="59">
        <f t="shared" si="0"/>
        <v>-0.12698294463207382</v>
      </c>
      <c r="BG4" s="59">
        <f t="shared" si="0"/>
        <v>-9.2184937478170567E-2</v>
      </c>
      <c r="BH4" s="59">
        <f t="shared" si="0"/>
        <v>-4.223705739444341E-2</v>
      </c>
      <c r="BI4" s="59">
        <f t="shared" si="0"/>
        <v>-6.6435005711227041E-2</v>
      </c>
      <c r="BJ4" s="59">
        <f t="shared" si="0"/>
        <v>-8.3466974360923166E-2</v>
      </c>
      <c r="BK4" s="59">
        <f t="shared" si="0"/>
        <v>-7.2596724524434955E-2</v>
      </c>
      <c r="BL4" s="59">
        <f t="shared" si="0"/>
        <v>-3.5164804367953738E-2</v>
      </c>
      <c r="BM4" s="59">
        <f t="shared" si="0"/>
        <v>-4.0529769439397338E-2</v>
      </c>
      <c r="BN4" s="59">
        <f t="shared" si="0"/>
        <v>-4.0739627240867486E-2</v>
      </c>
      <c r="BO4" s="59">
        <f t="shared" si="0"/>
        <v>-2.1789562756164414E-2</v>
      </c>
      <c r="BP4" s="59">
        <f t="shared" si="0"/>
        <v>-2.2081073985086627E-2</v>
      </c>
      <c r="BQ4" s="59">
        <f t="shared" si="0"/>
        <v>-1.7978689915961382E-2</v>
      </c>
      <c r="BR4" s="59">
        <f t="shared" ref="BR4:CJ4" si="1">BR2/BR3</f>
        <v>-3.3237032463591262E-2</v>
      </c>
      <c r="BS4" s="59">
        <f t="shared" si="1"/>
        <v>-1.4481811470685712E-2</v>
      </c>
      <c r="BT4" s="59">
        <f t="shared" si="1"/>
        <v>-2.7289566091638264E-2</v>
      </c>
      <c r="BU4" s="59">
        <f t="shared" si="1"/>
        <v>-0.10101500205072166</v>
      </c>
      <c r="BV4" s="59">
        <f t="shared" si="1"/>
        <v>-0.10164574817137928</v>
      </c>
      <c r="BW4" s="59">
        <f t="shared" si="1"/>
        <v>-6.3440324753524999E-2</v>
      </c>
      <c r="BX4" s="59">
        <f t="shared" si="1"/>
        <v>-0.10246478253433879</v>
      </c>
      <c r="BY4" s="59" t="e">
        <f t="shared" si="1"/>
        <v>#DIV/0!</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-21322077.872000217</v>
      </c>
      <c r="F5" s="26">
        <f>股权价值增加表!F47</f>
        <v>-57025432.293999881</v>
      </c>
      <c r="G5" s="26">
        <f>股权价值增加表!G47</f>
        <v>-119565408.02400005</v>
      </c>
      <c r="H5" s="26">
        <f>股权价值增加表!H47</f>
        <v>-213386558.52320001</v>
      </c>
      <c r="I5" s="26">
        <f>股权价值增加表!I47</f>
        <v>61397944.999599814</v>
      </c>
      <c r="J5" s="26">
        <f>股权价值增加表!J47</f>
        <v>-36815521.438000083</v>
      </c>
      <c r="K5" s="26">
        <f>股权价值增加表!K47</f>
        <v>-16708896.290400028</v>
      </c>
      <c r="L5" s="26">
        <f>股权价值增加表!L47</f>
        <v>-128240966.40279999</v>
      </c>
      <c r="M5" s="26">
        <f>股权价值增加表!M47</f>
        <v>90199604.833999991</v>
      </c>
      <c r="N5" s="26">
        <f>股权价值增加表!N47</f>
        <v>-53057094.794800103</v>
      </c>
      <c r="O5" s="26">
        <f>股权价值增加表!O47</f>
        <v>-122807726.83119994</v>
      </c>
      <c r="P5" s="26">
        <f>股权价值增加表!P47</f>
        <v>-170358300.02960002</v>
      </c>
      <c r="Q5" s="26">
        <f>股权价值增加表!Q47</f>
        <v>-12071282.663999915</v>
      </c>
      <c r="R5" s="26">
        <f>股权价值增加表!R47</f>
        <v>-45537731.84040004</v>
      </c>
      <c r="S5" s="26">
        <f>股权价值增加表!S47</f>
        <v>-70021142.613999978</v>
      </c>
      <c r="T5" s="26">
        <f>股权价值增加表!T47</f>
        <v>-92316306.821999997</v>
      </c>
      <c r="U5" s="26">
        <f>股权价值增加表!U47</f>
        <v>3512852.35119991</v>
      </c>
      <c r="V5" s="26">
        <f>股权价值增加表!V47</f>
        <v>-14926891.088399902</v>
      </c>
      <c r="W5" s="26">
        <f>股权价值增加表!W47</f>
        <v>-40095582.8816</v>
      </c>
      <c r="X5" s="26">
        <f>股权价值增加表!X47</f>
        <v>-71480724.657199979</v>
      </c>
      <c r="Y5" s="26">
        <f>股权价值增加表!Y47</f>
        <v>4543344.2099999785</v>
      </c>
      <c r="Z5" s="26">
        <f>股权价值增加表!Z47</f>
        <v>-15612310.234400004</v>
      </c>
      <c r="AA5" s="26">
        <f>股权价值增加表!AA47</f>
        <v>-26944398.60680002</v>
      </c>
      <c r="AB5" s="26">
        <f>股权价值增加表!AB47</f>
        <v>-65209574.680399999</v>
      </c>
      <c r="AC5" s="26">
        <f>股权价值增加表!AC47</f>
        <v>18804299.503999934</v>
      </c>
      <c r="AD5" s="26">
        <f>股权价值增加表!AD47</f>
        <v>71466550.80279994</v>
      </c>
      <c r="AE5" s="26">
        <f>股权价值增加表!AE47</f>
        <v>48585274.884399995</v>
      </c>
      <c r="AF5" s="26">
        <f>股权价值增加表!AF47</f>
        <v>4302527.3171999939</v>
      </c>
      <c r="AG5" s="26">
        <f>股权价值增加表!AG47</f>
        <v>71089268.390800029</v>
      </c>
      <c r="AH5" s="26">
        <f>股权价值增加表!AH47</f>
        <v>55161655.682799995</v>
      </c>
      <c r="AI5" s="26">
        <f>股权价值增加表!AI47</f>
        <v>63399330.539999984</v>
      </c>
      <c r="AJ5" s="26">
        <f>股权价值增加表!AJ47</f>
        <v>93669269.390000015</v>
      </c>
      <c r="AK5" s="26">
        <f>股权价值增加表!AK47</f>
        <v>-9000550.8699999992</v>
      </c>
      <c r="AL5" s="26">
        <f>股权价值增加表!AL47</f>
        <v>-629468229.6724</v>
      </c>
      <c r="AM5" s="26">
        <f>股权价值增加表!AM47</f>
        <v>-517814074.93120003</v>
      </c>
      <c r="AN5" s="26">
        <f>股权价值增加表!AN47</f>
        <v>-427312716.9192</v>
      </c>
      <c r="AO5" s="26">
        <f>股权价值增加表!AO47</f>
        <v>-703493092.97239995</v>
      </c>
      <c r="AP5" s="26">
        <f>股权价值增加表!AP47</f>
        <v>-828633635.79999995</v>
      </c>
      <c r="AQ5" s="26">
        <f>股权价值增加表!AQ47</f>
        <v>-666442085.84039998</v>
      </c>
      <c r="AR5" s="26">
        <f>股权价值增加表!AR47</f>
        <v>-442002681.69799995</v>
      </c>
      <c r="AS5" s="26">
        <f>股权价值增加表!AS47</f>
        <v>-973661758.99760008</v>
      </c>
      <c r="AT5" s="26">
        <f>股权价值增加表!AT47</f>
        <v>-849646965.13240004</v>
      </c>
      <c r="AU5" s="26">
        <f>股权价值增加表!AU47</f>
        <v>-633828785.50600004</v>
      </c>
      <c r="AV5" s="26">
        <f>股权价值增加表!AV47</f>
        <v>-429651602.9648</v>
      </c>
      <c r="AW5" s="26">
        <f>股权价值增加表!AW47</f>
        <v>-590246188.43519998</v>
      </c>
      <c r="AX5" s="26">
        <f>股权价值增加表!AX47</f>
        <v>-518413041.75479996</v>
      </c>
      <c r="AY5" s="26">
        <f>股权价值增加表!AY47</f>
        <v>-364655313.09799999</v>
      </c>
      <c r="AZ5" s="26">
        <f>股权价值增加表!AZ47</f>
        <v>-269019296.514</v>
      </c>
      <c r="BA5" s="26">
        <f>股权价值增加表!BA47</f>
        <v>-398856586.50760001</v>
      </c>
      <c r="BB5" s="26">
        <f>股权价值增加表!BB47</f>
        <v>-382115626.56360006</v>
      </c>
      <c r="BC5" s="26">
        <f>股权价值增加表!BC47</f>
        <v>-293397715.94959998</v>
      </c>
      <c r="BD5" s="26">
        <f>股权价值增加表!BD47</f>
        <v>-201227910.11159998</v>
      </c>
      <c r="BE5" s="26">
        <f>股权价值增加表!BE47</f>
        <v>-226099379.49080002</v>
      </c>
      <c r="BF5" s="26">
        <f>股权价值增加表!BF47</f>
        <v>-264108967.88480002</v>
      </c>
      <c r="BG5" s="26">
        <f>股权价值增加表!BG47</f>
        <v>-202554416.47240001</v>
      </c>
      <c r="BH5" s="26">
        <f>股权价值增加表!BH47</f>
        <v>-138760668.02399999</v>
      </c>
      <c r="BI5" s="26">
        <f>股权价值增加表!BI47</f>
        <v>-151984669.30320001</v>
      </c>
      <c r="BJ5" s="26">
        <f>股权价值增加表!BJ47</f>
        <v>-162209365.23640001</v>
      </c>
      <c r="BK5" s="26">
        <f>股权价值增加表!BK47</f>
        <v>-132780821.25479999</v>
      </c>
      <c r="BL5" s="26">
        <f>股权价值增加表!BL47</f>
        <v>-90962533.297199994</v>
      </c>
      <c r="BM5" s="26">
        <f>股权价值增加表!BM47</f>
        <v>-97467461.189999998</v>
      </c>
      <c r="BN5" s="26">
        <f>股权价值增加表!BN47</f>
        <v>-93955368.17840001</v>
      </c>
      <c r="BO5" s="26">
        <f>股权价值增加表!BO47</f>
        <v>-76020503.647200003</v>
      </c>
      <c r="BP5" s="26">
        <f>股权价值增加表!BP47</f>
        <v>-70384055.829600006</v>
      </c>
      <c r="BQ5" s="26">
        <f>股权价值增加表!BQ47</f>
        <v>-64058296.961599998</v>
      </c>
      <c r="BR5" s="26">
        <f>股权价值增加表!BR47</f>
        <v>-22857300</v>
      </c>
      <c r="BS5" s="26">
        <f>股权价值增加表!BS47</f>
        <v>-62720929.903199993</v>
      </c>
      <c r="BT5" s="26">
        <f>股权价值增加表!BT47</f>
        <v>-64488525.177200004</v>
      </c>
      <c r="BU5" s="26">
        <f>股权价值增加表!BU47</f>
        <v>-28094013.710000001</v>
      </c>
      <c r="BV5" s="26">
        <f>股权价值增加表!BV47</f>
        <v>-23306340.038400002</v>
      </c>
      <c r="BW5" s="26">
        <f>股权价值增加表!BW47</f>
        <v>-17556641.577599999</v>
      </c>
      <c r="BX5" s="26">
        <f>股权价值增加表!BX47</f>
        <v>-12774053.8916</v>
      </c>
      <c r="BY5" s="26">
        <f>股权价值增加表!BY47</f>
        <v>0</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437</v>
      </c>
      <c r="E6" s="158">
        <f>股权价值增加表!E31/股权价值增加表!E4</f>
        <v>0.15823452082732622</v>
      </c>
      <c r="F6" s="158">
        <f>股权价值增加表!F31/股权价值增加表!F4</f>
        <v>0.1810331774478037</v>
      </c>
      <c r="G6" s="158">
        <f>股权价值增加表!G31/股权价值增加表!G4</f>
        <v>0.1897963652256219</v>
      </c>
      <c r="H6" s="158">
        <f>股权价值增加表!H31/股权价值增加表!H4</f>
        <v>0.18641961013903027</v>
      </c>
      <c r="I6" s="158">
        <f>股权价值增加表!I31/股权价值增加表!I4</f>
        <v>0.23339584668263716</v>
      </c>
      <c r="J6" s="158">
        <f>股权价值增加表!J31/股权价值增加表!J4</f>
        <v>0.24123673423351447</v>
      </c>
      <c r="K6" s="158">
        <f>股权价值增加表!K31/股权价值增加表!K4</f>
        <v>0.26154793147073435</v>
      </c>
      <c r="L6" s="158">
        <f>股权价值增加表!L31/股权价值增加表!L4</f>
        <v>0.26427052389100625</v>
      </c>
      <c r="M6" s="158">
        <f>股权价值增加表!M31/股权价值增加表!M4</f>
        <v>0.18281270010514011</v>
      </c>
      <c r="N6" s="158">
        <f>股权价值增加表!N31/股权价值增加表!N4</f>
        <v>0.14708085118345093</v>
      </c>
      <c r="O6" s="158">
        <f>股权价值增加表!O31/股权价值增加表!O4</f>
        <v>0.11167721874330641</v>
      </c>
      <c r="P6" s="158">
        <f>股权价值增加表!P31/股权价值增加表!P4</f>
        <v>9.9336724340629207E-2</v>
      </c>
      <c r="Q6" s="158">
        <f>股权价值增加表!Q31/股权价值增加表!Q4</f>
        <v>0.10572191212060428</v>
      </c>
      <c r="R6" s="158">
        <f>股权价值增加表!R31/股权价值增加表!R4</f>
        <v>9.8235889229832854E-2</v>
      </c>
      <c r="S6" s="158">
        <f>股权价值增加表!S31/股权价值增加表!S4</f>
        <v>8.7800136778710028E-2</v>
      </c>
      <c r="T6" s="158">
        <f>股权价值增加表!T31/股权价值增加表!T4</f>
        <v>9.8633941389267982E-2</v>
      </c>
      <c r="U6" s="158">
        <f>股权价值增加表!U31/股权价值增加表!U4</f>
        <v>0.15177747473061876</v>
      </c>
      <c r="V6" s="158">
        <f>股权价值增加表!V31/股权价值增加表!V4</f>
        <v>0.15873784636462834</v>
      </c>
      <c r="W6" s="158">
        <f>股权价值增加表!W31/股权价值增加表!W4</f>
        <v>0.16234947503549743</v>
      </c>
      <c r="X6" s="158">
        <f>股权价值增加表!X31/股权价值增加表!X4</f>
        <v>0.16610233316793699</v>
      </c>
      <c r="Y6" s="158">
        <f>股权价值增加表!Y31/股权价值增加表!Y4</f>
        <v>0.16379469386903164</v>
      </c>
      <c r="Z6" s="158">
        <f>股权价值增加表!Z31/股权价值增加表!Z4</f>
        <v>0.17261629237850332</v>
      </c>
      <c r="AA6" s="158">
        <f>股权价值增加表!AA31/股权价值增加表!AA4</f>
        <v>0.20318238236980468</v>
      </c>
      <c r="AB6" s="158">
        <f>股权价值增加表!AB31/股权价值增加表!AB4</f>
        <v>0.19136916997927475</v>
      </c>
      <c r="AC6" s="158">
        <f>股权价值增加表!AC31/股权价值增加表!AC4</f>
        <v>0.19111014699601828</v>
      </c>
      <c r="AD6" s="158">
        <f>股权价值增加表!AD31/股权价值增加表!AD4</f>
        <v>0.20581759129380695</v>
      </c>
      <c r="AE6" s="158">
        <f>股权价值增加表!AE31/股权价值增加表!AE4</f>
        <v>0.20953170224509479</v>
      </c>
      <c r="AF6" s="158">
        <f>股权价值增加表!AF31/股权价值增加表!AF4</f>
        <v>0.19022956269971913</v>
      </c>
      <c r="AG6" s="158">
        <f>股权价值增加表!AG31/股权价值增加表!AG4</f>
        <v>0.17171810880232746</v>
      </c>
      <c r="AH6" s="158">
        <f>股权价值增加表!AH31/股权价值增加表!AH4</f>
        <v>0.1739927480449408</v>
      </c>
      <c r="AI6" s="158">
        <f>股权价值增加表!AI31/股权价值增加表!AI4</f>
        <v>0.22126287577895692</v>
      </c>
      <c r="AJ6" s="158">
        <f>股权价值增加表!AJ31/股权价值增加表!AJ4</f>
        <v>0.20836586506086571</v>
      </c>
      <c r="AK6" s="158" t="e">
        <f>股权价值增加表!AK31/股权价值增加表!AK4</f>
        <v>#DIV/0!</v>
      </c>
      <c r="AL6" s="158" t="e">
        <f>股权价值增加表!AL31/股权价值增加表!AL4</f>
        <v>#DIV/0!</v>
      </c>
      <c r="AM6" s="158" t="e">
        <f>股权价值增加表!AM31/股权价值增加表!AM4</f>
        <v>#DIV/0!</v>
      </c>
      <c r="AN6" s="158" t="e">
        <f>股权价值增加表!AN31/股权价值增加表!AN4</f>
        <v>#DIV/0!</v>
      </c>
      <c r="AO6" s="158" t="e">
        <f>股权价值增加表!AO31/股权价值增加表!AO4</f>
        <v>#DIV/0!</v>
      </c>
      <c r="AP6" s="158" t="e">
        <f>股权价值增加表!AP31/股权价值增加表!AP4</f>
        <v>#DIV/0!</v>
      </c>
      <c r="AQ6" s="158" t="e">
        <f>股权价值增加表!AQ31/股权价值增加表!AQ4</f>
        <v>#DIV/0!</v>
      </c>
      <c r="AR6" s="158" t="e">
        <f>股权价值增加表!AR31/股权价值增加表!AR4</f>
        <v>#DIV/0!</v>
      </c>
      <c r="AS6" s="158" t="e">
        <f>股权价值增加表!AS31/股权价值增加表!AS4</f>
        <v>#DIV/0!</v>
      </c>
      <c r="AT6" s="158" t="e">
        <f>股权价值增加表!AT31/股权价值增加表!AT4</f>
        <v>#DIV/0!</v>
      </c>
      <c r="AU6" s="158" t="e">
        <f>股权价值增加表!AU31/股权价值增加表!AU4</f>
        <v>#DIV/0!</v>
      </c>
      <c r="AV6" s="158" t="e">
        <f>股权价值增加表!AV31/股权价值增加表!AV4</f>
        <v>#DIV/0!</v>
      </c>
      <c r="AW6" s="158" t="e">
        <f>股权价值增加表!AW31/股权价值增加表!AW4</f>
        <v>#DIV/0!</v>
      </c>
      <c r="AX6" s="158" t="e">
        <f>股权价值增加表!AX31/股权价值增加表!AX4</f>
        <v>#DIV/0!</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431</v>
      </c>
      <c r="E7" s="61">
        <f>股权价值增加表!E4/资产资本表!E70</f>
        <v>0.6014060795283358</v>
      </c>
      <c r="F7" s="61">
        <f>股权价值增加表!F4/资产资本表!F70</f>
        <v>0.44821695401297473</v>
      </c>
      <c r="G7" s="61">
        <f>股权价值增加表!G4/资产资本表!G70</f>
        <v>0.32022314077470698</v>
      </c>
      <c r="H7" s="61">
        <f>股权价值增加表!H4/资产资本表!H70</f>
        <v>0.15430560670901192</v>
      </c>
      <c r="I7" s="61">
        <f>股权价值增加表!I4/资产资本表!I70</f>
        <v>0.47694107876710029</v>
      </c>
      <c r="J7" s="61">
        <f>股权价值增加表!J4/资产资本表!J70</f>
        <v>0.31160820356527807</v>
      </c>
      <c r="K7" s="61">
        <f>股权价值增加表!K4/资产资本表!K70</f>
        <v>0.25385403608654006</v>
      </c>
      <c r="L7" s="61">
        <f>股权价值增加表!L4/资产资本表!L70</f>
        <v>0.1238923490168105</v>
      </c>
      <c r="M7" s="61">
        <f>股权价值增加表!M4/资产资本表!M70</f>
        <v>0.62749146963769908</v>
      </c>
      <c r="N7" s="61">
        <f>股权价值增加表!N4/资产资本表!N70</f>
        <v>0.41112942369920336</v>
      </c>
      <c r="O7" s="61">
        <f>股权价值增加表!O4/资产资本表!O70</f>
        <v>0.25511728166373365</v>
      </c>
      <c r="P7" s="61">
        <f>股权价值增加表!P4/资产资本表!P70</f>
        <v>0.1092764752692274</v>
      </c>
      <c r="Q7" s="61">
        <f>股权价值增加表!Q4/资产资本表!Q70</f>
        <v>0.75573779354385029</v>
      </c>
      <c r="R7" s="61">
        <f>股权价值增加表!R4/资产资本表!R70</f>
        <v>0.50775064927812252</v>
      </c>
      <c r="S7" s="61">
        <f>股权价值增加表!S4/资产资本表!S70</f>
        <v>0.31778136713465666</v>
      </c>
      <c r="T7" s="61">
        <f>股权价值增加表!T4/资产资本表!T70</f>
        <v>0.14113239202375411</v>
      </c>
      <c r="U7" s="61">
        <f>股权价值增加表!U4/资产资本表!U70</f>
        <v>0.70305035861277632</v>
      </c>
      <c r="V7" s="61">
        <f>股权价值增加表!V4/资产资本表!V70</f>
        <v>0.53008066032962831</v>
      </c>
      <c r="W7" s="61">
        <f>股权价值增加表!W4/资产资本表!W70</f>
        <v>0.37066363306660272</v>
      </c>
      <c r="X7" s="61">
        <f>股权价值增加表!X4/资产资本表!X70</f>
        <v>0.15960581009994332</v>
      </c>
      <c r="Y7" s="61">
        <f>股权价值增加表!Y4/资产资本表!Y70</f>
        <v>0.58806741852217392</v>
      </c>
      <c r="Z7" s="61">
        <f>股权价值增加表!Z4/资产资本表!Z70</f>
        <v>0.43951311304181351</v>
      </c>
      <c r="AA7" s="61">
        <f>股权价值增加表!AA4/资产资本表!AA70</f>
        <v>0.32479563615639734</v>
      </c>
      <c r="AB7" s="61">
        <f>股权价值增加表!AB4/资产资本表!AB70</f>
        <v>0.13879963610015866</v>
      </c>
      <c r="AC7" s="61">
        <f>股权价值增加表!AC4/资产资本表!AC70</f>
        <v>0.55827230047073373</v>
      </c>
      <c r="AD7" s="61">
        <f>股权价值增加表!AD4/资产资本表!AD70</f>
        <v>1.1259585011068611</v>
      </c>
      <c r="AE7" s="61">
        <f>股权价值增加表!AE4/资产资本表!AE70</f>
        <v>0.78073432309173596</v>
      </c>
      <c r="AF7" s="61">
        <f>股权价值增加表!AF4/资产资本表!AF70</f>
        <v>0.37110469000538876</v>
      </c>
      <c r="AG7" s="61">
        <f>股权价值增加表!AG4/资产资本表!AG70</f>
        <v>1.467723816246123</v>
      </c>
      <c r="AH7" s="61">
        <f>股权价值增加表!AH4/资产资本表!AH70</f>
        <v>1.2688371253776543</v>
      </c>
      <c r="AI7" s="61" t="e">
        <f>股权价值增加表!AI4/资产资本表!AI70</f>
        <v>#DIV/0!</v>
      </c>
      <c r="AJ7" s="61" t="e">
        <f>股权价值增加表!AJ4/资产资本表!AJ70</f>
        <v>#DIV/0!</v>
      </c>
      <c r="AK7" s="61" t="e">
        <f>股权价值增加表!AK4/资产资本表!AK70</f>
        <v>#DIV/0!</v>
      </c>
      <c r="AL7" s="61" t="e">
        <f>股权价值增加表!AL4/资产资本表!AL70</f>
        <v>#DIV/0!</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9.5163202816807083E-2</v>
      </c>
      <c r="F8" s="63">
        <f>股权价值增加表!F31/资产资本表!F70</f>
        <v>8.114213937094493E-2</v>
      </c>
      <c r="G8" s="63">
        <f>股权价值增加表!G31/资产资本表!G70</f>
        <v>6.0777188180172026E-2</v>
      </c>
      <c r="H8" s="63">
        <f>股权价值增加表!H31/资产资本表!H70</f>
        <v>2.8765591044960539E-2</v>
      </c>
      <c r="I8" s="63">
        <f>股权价值增加表!I31/资产资本表!I70</f>
        <v>0.11131606689657771</v>
      </c>
      <c r="J8" s="63">
        <f>股权价值增加表!J31/资产资本表!J70</f>
        <v>7.5171345388459862E-2</v>
      </c>
      <c r="K8" s="63">
        <f>股权价值增加表!K31/资产资本表!K70</f>
        <v>6.6394998033931701E-2</v>
      </c>
      <c r="L8" s="63">
        <f>股权价值增加表!L31/资产资本表!L70</f>
        <v>3.2741095980759902E-2</v>
      </c>
      <c r="M8" s="63">
        <f>股权价值增加表!M31/资产资本表!M70</f>
        <v>0.11471340985741031</v>
      </c>
      <c r="N8" s="63">
        <f>股权价值增加表!N31/资产资本表!N70</f>
        <v>6.046926558424047E-2</v>
      </c>
      <c r="O8" s="63">
        <f>股权价值增加表!O31/资产资本表!O70</f>
        <v>2.8490788469558496E-2</v>
      </c>
      <c r="P8" s="63">
        <f>股权价值增加表!P31/资产资本表!P70</f>
        <v>1.0855167100734827E-2</v>
      </c>
      <c r="Q8" s="63">
        <f>股权价值增加表!Q31/资产资本表!Q70</f>
        <v>7.9898044595262313E-2</v>
      </c>
      <c r="R8" s="63">
        <f>股权价值增加表!R31/资产资本表!R70</f>
        <v>4.9879336538861362E-2</v>
      </c>
      <c r="S8" s="63">
        <f>股权价值增加表!S31/资产资本表!S70</f>
        <v>2.7901247500148323E-2</v>
      </c>
      <c r="T8" s="63">
        <f>股权价值增加表!T31/资产资本表!T70</f>
        <v>1.3920444082998156E-2</v>
      </c>
      <c r="U8" s="63">
        <f>股权价值增加表!U31/资产资本表!U70</f>
        <v>0.10670720803870311</v>
      </c>
      <c r="V8" s="63">
        <f>股权价值增加表!V31/资产资本表!V70</f>
        <v>8.4143862420265267E-2</v>
      </c>
      <c r="W8" s="63">
        <f>股权价值增加表!W31/资产资本表!W70</f>
        <v>6.0177046243113194E-2</v>
      </c>
      <c r="X8" s="63">
        <f>股权价值增加表!X31/资产资本表!X70</f>
        <v>2.651089744475927E-2</v>
      </c>
      <c r="Y8" s="63">
        <f>股权价值增加表!Y31/资产资本表!Y70</f>
        <v>9.6322322791191184E-2</v>
      </c>
      <c r="Z8" s="63">
        <f>股权价值增加表!Z31/资产资本表!Z70</f>
        <v>7.5867124025011848E-2</v>
      </c>
      <c r="AA8" s="63">
        <f>股权价值增加表!AA31/资产资本表!AA70</f>
        <v>6.599275113757308E-2</v>
      </c>
      <c r="AB8" s="63">
        <f>股权价值增加表!AB31/资产资本表!AB70</f>
        <v>2.656197115391274E-2</v>
      </c>
      <c r="AC8" s="63">
        <f>股权价值增加表!AC31/资产资本表!AC70</f>
        <v>0.10669150140676721</v>
      </c>
      <c r="AD8" s="63">
        <f>股权价值增加表!AD31/资产资本表!AD70</f>
        <v>0.23174206659459942</v>
      </c>
      <c r="AE8" s="63">
        <f>股权价值增加表!AE31/资产资本表!AE70</f>
        <v>0.16358859171858325</v>
      </c>
      <c r="AF8" s="63">
        <f>股权价值增加表!AF31/资产资本表!AF70</f>
        <v>7.0595082895539937E-2</v>
      </c>
      <c r="AG8" s="63">
        <f>股权价值增加表!AG31/资产资本表!AG70</f>
        <v>0.25203475796991903</v>
      </c>
      <c r="AH8" s="63">
        <f>股权价值增加表!AH31/资产资本表!AH70</f>
        <v>0.22076845826590114</v>
      </c>
      <c r="AI8" s="63" t="e">
        <f>股权价值增加表!AI31/资产资本表!AI70</f>
        <v>#DIV/0!</v>
      </c>
      <c r="AJ8" s="63" t="e">
        <f>股权价值增加表!AJ31/资产资本表!AJ70</f>
        <v>#DIV/0!</v>
      </c>
      <c r="AK8" s="63" t="e">
        <f>股权价值增加表!AK31/资产资本表!AK70</f>
        <v>#DIV/0!</v>
      </c>
      <c r="AL8" s="63" t="e">
        <f>股权价值增加表!AL31/资产资本表!AL70</f>
        <v>#DIV/0!</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432</v>
      </c>
      <c r="E9" s="158">
        <f>股权价值增加表!E38/股权价值增加表!E31</f>
        <v>0.93331838033695369</v>
      </c>
      <c r="F9" s="158">
        <f>股权价值增加表!F38/股权价值增加表!F31</f>
        <v>0.96062443162685696</v>
      </c>
      <c r="G9" s="158">
        <f>股权价值增加表!G38/股权价值增加表!G31</f>
        <v>0.97353040887885978</v>
      </c>
      <c r="H9" s="158">
        <f>股权价值增加表!H38/股权价值增加表!H31</f>
        <v>0.9796424082022519</v>
      </c>
      <c r="I9" s="158">
        <f>股权价值增加表!I38/股权价值增加表!I31</f>
        <v>0.97306512459611105</v>
      </c>
      <c r="J9" s="158">
        <f>股权价值增加表!J38/股权价值增加表!J31</f>
        <v>0.96839401882861997</v>
      </c>
      <c r="K9" s="158">
        <f>股权价值增加表!K38/股权价值增加表!K31</f>
        <v>0.9918816511085361</v>
      </c>
      <c r="L9" s="158">
        <f>股权价值增加表!L38/股权价值增加表!L31</f>
        <v>0.92193843495841921</v>
      </c>
      <c r="M9" s="158">
        <f>股权价值增加表!M38/股权价值增加表!M31</f>
        <v>1.1338131633372381</v>
      </c>
      <c r="N9" s="158">
        <f>股权价值增加表!N38/股权价值增加表!N31</f>
        <v>1.1401416965112892</v>
      </c>
      <c r="O9" s="158">
        <f>股权价值增加表!O38/股权价值增加表!O31</f>
        <v>1.1819192392085534</v>
      </c>
      <c r="P9" s="158">
        <f>股权价值增加表!P38/股权价值增加表!P31</f>
        <v>1.071071176330614</v>
      </c>
      <c r="Q9" s="158">
        <f>股权价值增加表!Q38/股权价值增加表!Q31</f>
        <v>1.0098239569075329</v>
      </c>
      <c r="R9" s="158">
        <f>股权价值增加表!R38/股权价值增加表!R31</f>
        <v>1.069662705391023</v>
      </c>
      <c r="S9" s="158">
        <f>股权价值增加表!S38/股权价值增加表!S31</f>
        <v>1.1116073873860355</v>
      </c>
      <c r="T9" s="158">
        <f>股权价值增加表!T38/股权价值增加表!T31</f>
        <v>1.0294218023909578</v>
      </c>
      <c r="U9" s="158">
        <f>股权价值增加表!U38/股权价值增加表!U31</f>
        <v>0.9050606126088957</v>
      </c>
      <c r="V9" s="158">
        <f>股权价值增加表!V38/股权价值增加表!V31</f>
        <v>0.94417673609040509</v>
      </c>
      <c r="W9" s="158">
        <f>股权价值增加表!W38/股权价值增加表!W31</f>
        <v>0.93118656848439718</v>
      </c>
      <c r="X9" s="158">
        <f>股权价值增加表!X38/股权价值增加表!X31</f>
        <v>0.98783514671029793</v>
      </c>
      <c r="Y9" s="158">
        <f>股权价值增加表!Y38/股权价值增加表!Y31</f>
        <v>0.94084805812349548</v>
      </c>
      <c r="Z9" s="158">
        <f>股权价值增加表!Z38/股权价值增加表!Z31</f>
        <v>1.0261963381631063</v>
      </c>
      <c r="AA9" s="158">
        <f>股权价值增加表!AA38/股权价值增加表!AA31</f>
        <v>1.010309062170933</v>
      </c>
      <c r="AB9" s="158">
        <f>股权价值增加表!AB38/股权价值增加表!AB31</f>
        <v>0.96449412511580301</v>
      </c>
      <c r="AC9" s="158">
        <f>股权价值增加表!AC38/股权价值增加表!AC31</f>
        <v>0.86316240010512535</v>
      </c>
      <c r="AD9" s="158">
        <f>股权价值增加表!AD38/股权价值增加表!AD31</f>
        <v>0.90200638483605666</v>
      </c>
      <c r="AE9" s="158">
        <f>股权价值增加表!AE38/股权价值增加表!AE31</f>
        <v>0.90519455725605802</v>
      </c>
      <c r="AF9" s="158">
        <f>股权价值增加表!AF38/股权价值增加表!AF31</f>
        <v>0.90066306867351809</v>
      </c>
      <c r="AG9" s="158">
        <f>股权价值增加表!AG38/股权价值增加表!AG31</f>
        <v>0.85117685861503889</v>
      </c>
      <c r="AH9" s="158">
        <f>股权价值增加表!AH38/股权价值增加表!AH31</f>
        <v>0.92361167551978363</v>
      </c>
      <c r="AI9" s="158">
        <f>股权价值增加表!AI38/股权价值增加表!AI31</f>
        <v>0.83445639238868297</v>
      </c>
      <c r="AJ9" s="158">
        <f>股权价值增加表!AJ38/股权价值增加表!AJ31</f>
        <v>0.79753010193192775</v>
      </c>
      <c r="AK9" s="158">
        <f>股权价值增加表!AK38/股权价值增加表!AK31</f>
        <v>-1.5294286102809629</v>
      </c>
      <c r="AL9" s="158">
        <f>股权价值增加表!AL38/股权价值增加表!AL31</f>
        <v>-23.442474843426051</v>
      </c>
      <c r="AM9" s="158">
        <f>股权价值增加表!AM38/股权价值增加表!AM31</f>
        <v>-35.926585880000005</v>
      </c>
      <c r="AN9" s="158" t="e">
        <f>股权价值增加表!AN38/股权价值增加表!AN31</f>
        <v>#DIV/0!</v>
      </c>
      <c r="AO9" s="158">
        <f>股权价值增加表!AO38/股权价值增加表!AO31</f>
        <v>3.5503307255925433E-4</v>
      </c>
      <c r="AP9" s="158">
        <f>股权价值增加表!AP38/股权价值增加表!AP31</f>
        <v>29.722899689900022</v>
      </c>
      <c r="AQ9" s="158">
        <f>股权价值增加表!AQ38/股权价值增加表!AQ31</f>
        <v>-1.280798547798051</v>
      </c>
      <c r="AR9" s="158">
        <f>股权价值增加表!AR38/股权价值增加表!AR31</f>
        <v>3.9446418810177186</v>
      </c>
      <c r="AS9" s="158">
        <f>股权价值增加表!AS38/股权价值增加表!AS31</f>
        <v>0.73501781149107914</v>
      </c>
      <c r="AT9" s="158">
        <f>股权价值增加表!AT38/股权价值增加表!AT31</f>
        <v>1.9654365603310093E-2</v>
      </c>
      <c r="AU9" s="158">
        <f>股权价值增加表!AU38/股权价值增加表!AU31</f>
        <v>-5.239892032185999</v>
      </c>
      <c r="AV9" s="158">
        <f>股权价值增加表!AV38/股权价值增加表!AV31</f>
        <v>-3.5919284709684765</v>
      </c>
      <c r="AW9" s="158">
        <f>股权价值增加表!AW38/股权价值增加表!AW31</f>
        <v>0.68480994973202103</v>
      </c>
      <c r="AX9" s="158">
        <f>股权价值增加表!AX38/股权价值增加表!AX31</f>
        <v>-0.10389720263954901</v>
      </c>
      <c r="AY9" s="158">
        <f>股权价值增加表!AY38/股权价值增加表!AY31</f>
        <v>0.15766815771832896</v>
      </c>
      <c r="AZ9" s="158">
        <f>股权价值增加表!AZ38/股权价值增加表!AZ31</f>
        <v>0.26391668863077272</v>
      </c>
      <c r="BA9" s="158">
        <f>股权价值增加表!BA38/股权价值增加表!BA31</f>
        <v>-0.57049303660102635</v>
      </c>
      <c r="BB9" s="158">
        <f>股权价值增加表!BB38/股权价值增加表!BB31</f>
        <v>-2.6493435201584692</v>
      </c>
      <c r="BC9" s="158">
        <f>股权价值增加表!BC38/股权价值增加表!BC31</f>
        <v>4.9375139936685546</v>
      </c>
      <c r="BD9" s="158">
        <f>股权价值增加表!BD38/股权价值增加表!BD31</f>
        <v>15.052554804994061</v>
      </c>
      <c r="BE9" s="158">
        <f>股权价值增加表!BE38/股权价值增加表!BE31</f>
        <v>-1.7653892919345313</v>
      </c>
      <c r="BF9" s="158">
        <f>股权价值增加表!BF38/股权价值增加表!BF31</f>
        <v>24.864612075215696</v>
      </c>
      <c r="BG9" s="158">
        <f>股权价值增加表!BG38/股权价值增加表!BG31</f>
        <v>8.1834067366768029</v>
      </c>
      <c r="BH9" s="158">
        <f>股权价值增加表!BH38/股权价值增加表!BH31</f>
        <v>-0.60448259572235163</v>
      </c>
      <c r="BI9" s="158">
        <f>股权价值增加表!BI38/股权价值增加表!BI31</f>
        <v>0.3373236245401865</v>
      </c>
      <c r="BJ9" s="158">
        <f>股权价值增加表!BJ38/股权价值增加表!BJ31</f>
        <v>6.0240727137893382</v>
      </c>
      <c r="BK9" s="158">
        <f>股权价值增加表!BK38/股权价值增加表!BK31</f>
        <v>1.9980431561284842</v>
      </c>
      <c r="BL9" s="158">
        <f>股权价值增加表!BL38/股权价值增加表!BL31</f>
        <v>1.3716966134846356</v>
      </c>
      <c r="BM9" s="158">
        <f>股权价值增加表!BM38/股权价值增加表!BM31</f>
        <v>-9.6179604183672343</v>
      </c>
      <c r="BN9" s="158">
        <f>股权价值增加表!BN38/股权价值增加表!BN31</f>
        <v>12.349443164115307</v>
      </c>
      <c r="BO9" s="158">
        <f>股权价值增加表!BO38/股权价值增加表!BO31</f>
        <v>8.4843453480629734</v>
      </c>
      <c r="BP9" s="158">
        <f>股权价值增加表!BP38/股权价值增加表!BP31</f>
        <v>9.7147446712429595</v>
      </c>
      <c r="BQ9" s="158">
        <f>股权价值增加表!BQ38/股权价值增加表!BQ31</f>
        <v>5.9028303918995846</v>
      </c>
      <c r="BR9" s="158">
        <f>股权价值增加表!BR38/股权价值增加表!BR31</f>
        <v>1</v>
      </c>
      <c r="BS9" s="158">
        <f>股权价值增加表!BS38/股权价值增加表!BS31</f>
        <v>5.6086928399999998</v>
      </c>
      <c r="BT9" s="158" t="e">
        <f>股权价值增加表!BT38/股权价值增加表!BT31</f>
        <v>#DIV/0!</v>
      </c>
      <c r="BU9" s="158" t="e">
        <f>股权价值增加表!BU38/股权价值增加表!BU31</f>
        <v>#DIV/0!</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f>股权价值增加表!BZ38/股权价值增加表!BZ31</f>
        <v>1</v>
      </c>
      <c r="CA9" s="158">
        <f>股权价值增加表!CA38/股权价值增加表!CA31</f>
        <v>-8.4222826859939399</v>
      </c>
      <c r="CB9" s="158">
        <f>股权价值增加表!CB38/股权价值增加表!CB31</f>
        <v>1</v>
      </c>
      <c r="CC9" s="158">
        <f>股权价值增加表!CC38/股权价值增加表!CC31</f>
        <v>-1.2626486558086338</v>
      </c>
      <c r="CD9" s="158">
        <f>股权价值增加表!CD38/股权价值增加表!CD31</f>
        <v>1</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433</v>
      </c>
      <c r="E10" s="61">
        <f>资产资本表!E70/资产资本表!E107</f>
        <v>1.0034541931060514</v>
      </c>
      <c r="F10" s="61">
        <f>资产资本表!F70/资产资本表!F107</f>
        <v>1.0036512036523446</v>
      </c>
      <c r="G10" s="61">
        <f>资产资本表!G70/资产资本表!G107</f>
        <v>1.0038873792480458</v>
      </c>
      <c r="H10" s="61">
        <f>资产资本表!H70/资产资本表!H107</f>
        <v>1.0375161737571654</v>
      </c>
      <c r="I10" s="61">
        <f>资产资本表!I70/资产资本表!I107</f>
        <v>1.0040815189849834</v>
      </c>
      <c r="J10" s="61">
        <f>资产资本表!J70/资产资本表!J107</f>
        <v>1.1279497503873002</v>
      </c>
      <c r="K10" s="61">
        <f>资产资本表!K70/资产资本表!K107</f>
        <v>1.2971796327083611</v>
      </c>
      <c r="L10" s="61">
        <f>资产资本表!L70/资产资本表!L107</f>
        <v>1.2708032973063541</v>
      </c>
      <c r="M10" s="61">
        <f>资产资本表!M70/资产资本表!M107</f>
        <v>0.99999999999999978</v>
      </c>
      <c r="N10" s="61">
        <f>资产资本表!N70/资产资本表!N107</f>
        <v>1</v>
      </c>
      <c r="O10" s="61">
        <f>资产资本表!O70/资产资本表!O107</f>
        <v>1</v>
      </c>
      <c r="P10" s="61">
        <f>资产资本表!P70/资产资本表!P107</f>
        <v>1.0026386353743062</v>
      </c>
      <c r="Q10" s="61">
        <f>资产资本表!Q70/资产资本表!Q107</f>
        <v>1.0160937797964051</v>
      </c>
      <c r="R10" s="61">
        <f>资产资本表!R70/资产资本表!R107</f>
        <v>1.0221855571409648</v>
      </c>
      <c r="S10" s="61">
        <f>资产资本表!S70/资产资本表!S107</f>
        <v>1.0232202333790752</v>
      </c>
      <c r="T10" s="61">
        <f>资产资本表!T70/资产资本表!T107</f>
        <v>1.0253915594786165</v>
      </c>
      <c r="U10" s="61">
        <f>资产资本表!U70/资产资本表!U107</f>
        <v>1.0214549660885315</v>
      </c>
      <c r="V10" s="61">
        <f>资产资本表!V70/资产资本表!V107</f>
        <v>1.0155194005384551</v>
      </c>
      <c r="W10" s="61">
        <f>资产资本表!W70/资产资本表!W107</f>
        <v>1.0156279886989836</v>
      </c>
      <c r="X10" s="61">
        <f>资产资本表!X70/资产资本表!X107</f>
        <v>1.0862295094567249</v>
      </c>
      <c r="Y10" s="61">
        <f>资产资本表!Y70/资产资本表!Y107</f>
        <v>1.0789158699002137</v>
      </c>
      <c r="Z10" s="61">
        <f>资产资本表!Z70/资产资本表!Z107</f>
        <v>1.0084600425208927</v>
      </c>
      <c r="AA10" s="61">
        <f>资产资本表!AA70/资产资本表!AA107</f>
        <v>1.0088366624803378</v>
      </c>
      <c r="AB10" s="61">
        <f>资产资本表!AB70/资产资本表!AB107</f>
        <v>1.1001605539403949</v>
      </c>
      <c r="AC10" s="61">
        <f>资产资本表!AC70/资产资本表!AC107</f>
        <v>1.2200572266079164</v>
      </c>
      <c r="AD10" s="61">
        <f>资产资本表!AD70/资产资本表!AD107</f>
        <v>1.4889744538714325</v>
      </c>
      <c r="AE10" s="61">
        <f>资产资本表!AE70/资产资本表!AE107</f>
        <v>1.6836000974021041</v>
      </c>
      <c r="AF10" s="61">
        <f>资产资本表!AF70/资产资本表!AF107</f>
        <v>1.7531348955752144</v>
      </c>
      <c r="AG10" s="61">
        <f>资产资本表!AG70/资产资本表!AG107</f>
        <v>1.8358878091665991</v>
      </c>
      <c r="AH10" s="61">
        <f>资产资本表!AH70/资产资本表!AH107</f>
        <v>1.7371559133415968</v>
      </c>
      <c r="AI10" s="61" t="e">
        <f>资产资本表!AI70/资产资本表!AI107</f>
        <v>#DIV/0!</v>
      </c>
      <c r="AJ10" s="61">
        <f>资产资本表!AJ70/资产资本表!AJ107</f>
        <v>0</v>
      </c>
      <c r="AK10" s="61">
        <f>资产资本表!AK70/资产资本表!AK107</f>
        <v>0</v>
      </c>
      <c r="AL10" s="61">
        <f>资产资本表!AL70/资产资本表!AL107</f>
        <v>0</v>
      </c>
      <c r="AM10" s="61">
        <f>资产资本表!AM70/资产资本表!AM107</f>
        <v>0</v>
      </c>
      <c r="AN10" s="61">
        <f>资产资本表!AN70/资产资本表!AN107</f>
        <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t="e">
        <f>资产资本表!BY70/资产资本表!BY107</f>
        <v>#DIV/0!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0.93654224225206473</v>
      </c>
      <c r="F11" s="28">
        <f t="shared" ref="F11:BQ11" si="2">F9*F10</f>
        <v>0.96413186706014442</v>
      </c>
      <c r="G11" s="28">
        <f t="shared" si="2"/>
        <v>0.97731489078767708</v>
      </c>
      <c r="H11" s="28">
        <f t="shared" si="2"/>
        <v>1.0163948430082557</v>
      </c>
      <c r="I11" s="28">
        <f t="shared" si="2"/>
        <v>0.97703670837577539</v>
      </c>
      <c r="J11" s="28">
        <f t="shared" si="2"/>
        <v>1.0922997918142963</v>
      </c>
      <c r="K11" s="28">
        <f t="shared" si="2"/>
        <v>1.2866486758751337</v>
      </c>
      <c r="L11" s="28">
        <f t="shared" si="2"/>
        <v>1.1716024030586187</v>
      </c>
      <c r="M11" s="28">
        <f t="shared" si="2"/>
        <v>1.1338131633372379</v>
      </c>
      <c r="N11" s="28">
        <f t="shared" si="2"/>
        <v>1.1401416965112892</v>
      </c>
      <c r="O11" s="28">
        <f t="shared" si="2"/>
        <v>1.1819192392085534</v>
      </c>
      <c r="P11" s="28">
        <f t="shared" si="2"/>
        <v>1.0738973426248797</v>
      </c>
      <c r="Q11" s="28">
        <f t="shared" si="2"/>
        <v>1.0260758413031372</v>
      </c>
      <c r="R11" s="28">
        <f t="shared" si="2"/>
        <v>1.0933937684630346</v>
      </c>
      <c r="S11" s="28">
        <f t="shared" si="2"/>
        <v>1.1374191703470433</v>
      </c>
      <c r="T11" s="28">
        <f t="shared" si="2"/>
        <v>1.0555604273149524</v>
      </c>
      <c r="U11" s="28">
        <f t="shared" si="2"/>
        <v>0.92447865736048507</v>
      </c>
      <c r="V11" s="28">
        <f t="shared" si="2"/>
        <v>0.95882979303688332</v>
      </c>
      <c r="W11" s="28">
        <f t="shared" si="2"/>
        <v>0.94573914165331674</v>
      </c>
      <c r="X11" s="28">
        <f t="shared" si="2"/>
        <v>1.0730156868352387</v>
      </c>
      <c r="Y11" s="28">
        <f t="shared" si="2"/>
        <v>1.015095901074238</v>
      </c>
      <c r="Z11" s="28">
        <f t="shared" si="2"/>
        <v>1.0348780028187505</v>
      </c>
      <c r="AA11" s="28">
        <f t="shared" si="2"/>
        <v>1.0192368223541641</v>
      </c>
      <c r="AB11" s="28">
        <f t="shared" si="2"/>
        <v>1.0610983909596583</v>
      </c>
      <c r="AC11" s="28">
        <f t="shared" si="2"/>
        <v>1.0531075239844918</v>
      </c>
      <c r="AD11" s="28">
        <f t="shared" si="2"/>
        <v>1.3430644642498126</v>
      </c>
      <c r="AE11" s="28">
        <f t="shared" si="2"/>
        <v>1.5239856447641538</v>
      </c>
      <c r="AF11" s="28">
        <f t="shared" si="2"/>
        <v>1.5789838548474002</v>
      </c>
      <c r="AG11" s="28">
        <f t="shared" si="2"/>
        <v>1.5626652181760718</v>
      </c>
      <c r="AH11" s="28">
        <f t="shared" si="2"/>
        <v>1.6044574837605323</v>
      </c>
      <c r="AI11" s="28" t="e">
        <f t="shared" si="2"/>
        <v>#DIV/0!</v>
      </c>
      <c r="AJ11" s="28">
        <f t="shared" si="2"/>
        <v>0</v>
      </c>
      <c r="AK11" s="28">
        <f t="shared" si="2"/>
        <v>0</v>
      </c>
      <c r="AL11" s="28">
        <f t="shared" si="2"/>
        <v>0</v>
      </c>
      <c r="AM11" s="28">
        <f t="shared" si="2"/>
        <v>0</v>
      </c>
      <c r="AN11" s="28" t="e">
        <f t="shared" si="2"/>
        <v>#DIV/0!</v>
      </c>
      <c r="AO11" s="28">
        <f t="shared" si="2"/>
        <v>0</v>
      </c>
      <c r="AP11" s="28">
        <f t="shared" si="2"/>
        <v>0</v>
      </c>
      <c r="AQ11" s="28">
        <f t="shared" si="2"/>
        <v>0</v>
      </c>
      <c r="AR11" s="28">
        <f t="shared" si="2"/>
        <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t="e">
        <f t="shared" si="3"/>
        <v>#DIV/0!</v>
      </c>
      <c r="BU11" s="28" t="e">
        <f t="shared" si="3"/>
        <v>#DIV/0!</v>
      </c>
      <c r="BV11" s="28" t="e">
        <f t="shared" si="3"/>
        <v>#DIV/0!</v>
      </c>
      <c r="BW11" s="28" t="e">
        <f t="shared" si="3"/>
        <v>#DIV/0!</v>
      </c>
      <c r="BX11" s="28" t="e">
        <f t="shared" si="3"/>
        <v>#DIV/0!</v>
      </c>
      <c r="BY11" s="28" t="e">
        <f t="shared" si="3"/>
        <v>#DIV/0!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434</v>
      </c>
      <c r="E12" s="158">
        <f>E2/股权价值增加表!E38</f>
        <v>0.83884603783032796</v>
      </c>
      <c r="F12" s="158">
        <f>F2/股权价值增加表!F38</f>
        <v>0.84015666631240404</v>
      </c>
      <c r="G12" s="158">
        <f>G2/股权价值增加表!G38</f>
        <v>0.83419657031320005</v>
      </c>
      <c r="H12" s="158">
        <f>H2/股权价值增加表!H38</f>
        <v>0.82750648292896223</v>
      </c>
      <c r="I12" s="158">
        <f>I2/股权价值增加表!I38</f>
        <v>0.88190429228843648</v>
      </c>
      <c r="J12" s="158">
        <f>J2/股权价值增加表!J38</f>
        <v>0.85534911046052342</v>
      </c>
      <c r="K12" s="158">
        <f>K2/股权价值增加表!K38</f>
        <v>0.8639714158267725</v>
      </c>
      <c r="L12" s="158">
        <f>L2/股权价值增加表!L38</f>
        <v>0.84120390320783356</v>
      </c>
      <c r="M12" s="158">
        <f>M2/股权价值增加表!M38</f>
        <v>0.88188729598702043</v>
      </c>
      <c r="N12" s="158">
        <f>N2/股权价值增加表!N38</f>
        <v>0.85100196325641542</v>
      </c>
      <c r="O12" s="158">
        <f>O2/股权价值增加表!O38</f>
        <v>0.86321608870930344</v>
      </c>
      <c r="P12" s="158">
        <f>P2/股权价值增加表!P38</f>
        <v>0.83754352251587516</v>
      </c>
      <c r="Q12" s="158">
        <f>Q2/股权价值增加表!Q38</f>
        <v>0.87003968260202069</v>
      </c>
      <c r="R12" s="158">
        <f>R2/股权价值增加表!R38</f>
        <v>0.85225676109714477</v>
      </c>
      <c r="S12" s="158">
        <f>S2/股权价值增加表!S38</f>
        <v>0.86399207029159952</v>
      </c>
      <c r="T12" s="158">
        <f>T2/股权价值增加表!T38</f>
        <v>0.82879669677311207</v>
      </c>
      <c r="U12" s="158">
        <f>U2/股权价值增加表!U38</f>
        <v>0.83744943634992997</v>
      </c>
      <c r="V12" s="158">
        <f>V2/股权价值增加表!V38</f>
        <v>0.85043495046553652</v>
      </c>
      <c r="W12" s="158">
        <f>W2/股权价值增加表!W38</f>
        <v>0.85677363093183423</v>
      </c>
      <c r="X12" s="158">
        <f>X2/股权价值增加表!X38</f>
        <v>0.84386719581365965</v>
      </c>
      <c r="Y12" s="158">
        <f>Y2/股权价值增加表!Y38</f>
        <v>0.85553227679428556</v>
      </c>
      <c r="Z12" s="158">
        <f>Z2/股权价值增加表!Z38</f>
        <v>0.85552783302391688</v>
      </c>
      <c r="AA12" s="158">
        <f>AA2/股权价值增加表!AA38</f>
        <v>0.85688164306207215</v>
      </c>
      <c r="AB12" s="158">
        <f>AB2/股权价值增加表!AB38</f>
        <v>0.84947968989186551</v>
      </c>
      <c r="AC12" s="158">
        <f>AC2/股权价值增加表!AC38</f>
        <v>0.8510135869678368</v>
      </c>
      <c r="AD12" s="158">
        <f>AD2/股权价值增加表!AD38</f>
        <v>0.85763285392356547</v>
      </c>
      <c r="AE12" s="158">
        <f>AE2/股权价值增加表!AE38</f>
        <v>0.86683954421743015</v>
      </c>
      <c r="AF12" s="158">
        <f>AF2/股权价值增加表!AF38</f>
        <v>0.83961254357414816</v>
      </c>
      <c r="AG12" s="158">
        <f>AG2/股权价值增加表!AG38</f>
        <v>0.86787334264071925</v>
      </c>
      <c r="AH12" s="158">
        <f>AH2/股权价值增加表!AH38</f>
        <v>0.86361480901090071</v>
      </c>
      <c r="AI12" s="158">
        <f>AI2/股权价值增加表!AI38</f>
        <v>0.84810893133461351</v>
      </c>
      <c r="AJ12" s="158">
        <f>AJ2/股权价值增加表!AJ38</f>
        <v>0.88144955930540547</v>
      </c>
      <c r="AK12" s="158">
        <f>AK2/股权价值增加表!AK38</f>
        <v>1</v>
      </c>
      <c r="AL12" s="158">
        <f>AL2/股权价值增加表!AL38</f>
        <v>4.5529488447562017</v>
      </c>
      <c r="AM12" s="158">
        <f>AM2/股权价值增加表!AM38</f>
        <v>2.9730104952572241</v>
      </c>
      <c r="AN12" s="158">
        <f>AN2/股权价值增加表!AN38</f>
        <v>1.77312630116613</v>
      </c>
      <c r="AO12" s="158">
        <f>AO2/股权价值增加表!AO38</f>
        <v>-12216.335847924704</v>
      </c>
      <c r="AP12" s="158">
        <f>AP2/股权价值增加表!AP38</f>
        <v>15.364017128766116</v>
      </c>
      <c r="AQ12" s="158">
        <f>AQ2/股权价值增加表!AQ38</f>
        <v>-29.074615821333452</v>
      </c>
      <c r="AR12" s="158">
        <f>AR2/股权价值增加表!AR38</f>
        <v>-4.6740220572007249</v>
      </c>
      <c r="AS12" s="158">
        <f>AS2/股权价值增加表!AS38</f>
        <v>-3.7092378870689999</v>
      </c>
      <c r="AT12" s="158">
        <f>AT2/股权价值增加表!AT38</f>
        <v>-452.5602885021363</v>
      </c>
      <c r="AU12" s="158">
        <f>AU2/股权价值增加表!AU38</f>
        <v>11.69255851870855</v>
      </c>
      <c r="AV12" s="158">
        <f>AV2/股权价值增加表!AV38</f>
        <v>17.023087626800979</v>
      </c>
      <c r="AW12" s="158">
        <f>AW2/股权价值增加表!AW38</f>
        <v>-11.824533811172865</v>
      </c>
      <c r="AX12" s="158">
        <f>AX2/股权价值增加表!AX38</f>
        <v>215.86387507123285</v>
      </c>
      <c r="AY12" s="158">
        <f>AY2/股权价值增加表!AY38</f>
        <v>-83.752505141414815</v>
      </c>
      <c r="AZ12" s="158">
        <f>AZ2/股权价值增加表!AZ38</f>
        <v>-57.216622938777903</v>
      </c>
      <c r="BA12" s="158">
        <f>BA2/股权价值增加表!BA38</f>
        <v>78.707053100435957</v>
      </c>
      <c r="BB12" s="158">
        <f>BB2/股权价值增加表!BB38</f>
        <v>46.96742146360917</v>
      </c>
      <c r="BC12" s="158">
        <f>BC2/股权价值增加表!BC38</f>
        <v>38.191424750324082</v>
      </c>
      <c r="BD12" s="158">
        <f>BD2/股权价值增加表!BD38</f>
        <v>32.462557642924033</v>
      </c>
      <c r="BE12" s="158">
        <f>BE2/股权价值增加表!BE38</f>
        <v>17.263412448683692</v>
      </c>
      <c r="BF12" s="158">
        <f>BF2/股权价值增加表!BF38</f>
        <v>25.4625426728647</v>
      </c>
      <c r="BG12" s="158">
        <f>BG2/股权价值增加表!BG38</f>
        <v>52.865743062987342</v>
      </c>
      <c r="BH12" s="158">
        <f>BH2/股权价值增加表!BH38</f>
        <v>1621.3921040092712</v>
      </c>
      <c r="BI12" s="158">
        <f>BI2/股权价值增加表!BI38</f>
        <v>-78.857881263136633</v>
      </c>
      <c r="BJ12" s="158">
        <f>BJ2/股权价值增加表!BJ38</f>
        <v>-140.13268018937481</v>
      </c>
      <c r="BK12" s="158">
        <f>BK2/股权价值增加表!BK38</f>
        <v>-52.327596541223166</v>
      </c>
      <c r="BL12" s="158">
        <f>BL2/股权价值增加表!BL38</f>
        <v>-35.320705615434449</v>
      </c>
      <c r="BM12" s="158">
        <f>BM2/股权价值增加表!BM38</f>
        <v>-11.506972120264656</v>
      </c>
      <c r="BN12" s="158">
        <f>BN2/股权价值增加表!BN38</f>
        <v>-11.396842557518431</v>
      </c>
      <c r="BO12" s="158">
        <f>BO2/股权价值增加表!BO38</f>
        <v>-5.8502532683313593</v>
      </c>
      <c r="BP12" s="158">
        <f>BP2/股权价值增加表!BP38</f>
        <v>-6.4630758207432768</v>
      </c>
      <c r="BQ12" s="158">
        <f>BQ2/股权价值增加表!BQ38</f>
        <v>-6.1587618864435401</v>
      </c>
      <c r="BR12" s="158">
        <f>BR2/股权价值增加表!BR38</f>
        <v>-17.384621235168847</v>
      </c>
      <c r="BS12" s="158">
        <f>BS2/股权价值增加表!BS38</f>
        <v>-3.4281159743452809</v>
      </c>
      <c r="BT12" s="158">
        <f>BT2/股权价值增加表!BT38</f>
        <v>2.7566441635919343</v>
      </c>
      <c r="BU12" s="158">
        <f>BU2/股权价值增加表!BU38</f>
        <v>6.4505668867242774</v>
      </c>
      <c r="BV12" s="158">
        <f>BV2/股权价值增加表!BV38</f>
        <v>5.0369914160412286</v>
      </c>
      <c r="BW12" s="158">
        <f>BW2/股权价值增加表!BW38</f>
        <v>1.9204342463089219</v>
      </c>
      <c r="BX12" s="158">
        <f>BX2/股权价值增加表!BX38</f>
        <v>2.1271672992573945</v>
      </c>
      <c r="BY12" s="158" t="e">
        <f>BY2/股权价值增加表!BY38</f>
        <v>#DIV/0!</v>
      </c>
      <c r="BZ12" s="158">
        <f>BZ2/股权价值增加表!BZ38</f>
        <v>0.22637357142857142</v>
      </c>
      <c r="CA12" s="158">
        <f>CA2/股权价值增加表!CA38</f>
        <v>1.0403277752162126</v>
      </c>
      <c r="CB12" s="158">
        <f>CB2/股权价值增加表!CB38</f>
        <v>-2.1966168493593825</v>
      </c>
      <c r="CC12" s="158">
        <f>CC2/股权价值增加表!CC38</f>
        <v>3.1089259931778246</v>
      </c>
      <c r="CD12" s="158">
        <f>CD2/股权价值增加表!CD38</f>
        <v>-2.4075993091537131</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435</v>
      </c>
      <c r="E13" s="63">
        <f>1-E2/股权价值增加表!E38</f>
        <v>0.16115396216967204</v>
      </c>
      <c r="F13" s="63">
        <f>1-F2/股权价值增加表!F38</f>
        <v>0.15984333368759596</v>
      </c>
      <c r="G13" s="63">
        <f>1-G2/股权价值增加表!G38</f>
        <v>0.16580342968679995</v>
      </c>
      <c r="H13" s="63">
        <f>1-H2/股权价值增加表!H38</f>
        <v>0.17249351707103777</v>
      </c>
      <c r="I13" s="63">
        <f>1-I2/股权价值增加表!I38</f>
        <v>0.11809570771156352</v>
      </c>
      <c r="J13" s="63">
        <f>1-J2/股权价值增加表!J38</f>
        <v>0.14465088953947658</v>
      </c>
      <c r="K13" s="63">
        <f>1-K2/股权价值增加表!K38</f>
        <v>0.1360285841732275</v>
      </c>
      <c r="L13" s="63">
        <f>1-L2/股权价值增加表!L38</f>
        <v>0.15879609679216644</v>
      </c>
      <c r="M13" s="63">
        <f>1-M2/股权价值增加表!M38</f>
        <v>0.11811270401297957</v>
      </c>
      <c r="N13" s="63">
        <f>1-N2/股权价值增加表!N38</f>
        <v>0.14899803674358458</v>
      </c>
      <c r="O13" s="63">
        <f>1-O2/股权价值增加表!O38</f>
        <v>0.13678391129069656</v>
      </c>
      <c r="P13" s="63">
        <f>1-P2/股权价值增加表!P38</f>
        <v>0.16245647748412484</v>
      </c>
      <c r="Q13" s="63">
        <f>1-Q2/股权价值增加表!Q38</f>
        <v>0.12996031739797931</v>
      </c>
      <c r="R13" s="63">
        <f>1-R2/股权价值增加表!R38</f>
        <v>0.14774323890285523</v>
      </c>
      <c r="S13" s="63">
        <f>1-S2/股权价值增加表!S38</f>
        <v>0.13600792970840048</v>
      </c>
      <c r="T13" s="63">
        <f>1-T2/股权价值增加表!T38</f>
        <v>0.17120330322688793</v>
      </c>
      <c r="U13" s="63">
        <f>1-U2/股权价值增加表!U38</f>
        <v>0.16255056365007003</v>
      </c>
      <c r="V13" s="63">
        <f>1-V2/股权价值增加表!V38</f>
        <v>0.14956504953446348</v>
      </c>
      <c r="W13" s="63">
        <f>1-W2/股权价值增加表!W38</f>
        <v>0.14322636906816577</v>
      </c>
      <c r="X13" s="63">
        <f>1-X2/股权价值增加表!X38</f>
        <v>0.15613280418634035</v>
      </c>
      <c r="Y13" s="63">
        <f>1-Y2/股权价值增加表!Y38</f>
        <v>0.14446772320571444</v>
      </c>
      <c r="Z13" s="63">
        <f>1-Z2/股权价值增加表!Z38</f>
        <v>0.14447216697608312</v>
      </c>
      <c r="AA13" s="63">
        <f>1-AA2/股权价值增加表!AA38</f>
        <v>0.14311835693792785</v>
      </c>
      <c r="AB13" s="63">
        <f>1-AB2/股权价值增加表!AB38</f>
        <v>0.15052031010813449</v>
      </c>
      <c r="AC13" s="63">
        <f>1-AC2/股权价值增加表!AC38</f>
        <v>0.1489864130321632</v>
      </c>
      <c r="AD13" s="63">
        <f>1-AD2/股权价值增加表!AD38</f>
        <v>0.14236714607643453</v>
      </c>
      <c r="AE13" s="63">
        <f>1-AE2/股权价值增加表!AE38</f>
        <v>0.13316045578256985</v>
      </c>
      <c r="AF13" s="63">
        <f>1-AF2/股权价值增加表!AF38</f>
        <v>0.16038745642585184</v>
      </c>
      <c r="AG13" s="63">
        <f>1-AG2/股权价值增加表!AG38</f>
        <v>0.13212665735928075</v>
      </c>
      <c r="AH13" s="63">
        <f>1-AH2/股权价值增加表!AH38</f>
        <v>0.13638519098909929</v>
      </c>
      <c r="AI13" s="63">
        <f>1-AI2/股权价值增加表!AI38</f>
        <v>0.15189106866538649</v>
      </c>
      <c r="AJ13" s="63">
        <f>1-AJ2/股权价值增加表!AJ38</f>
        <v>0.11855044069459453</v>
      </c>
      <c r="AK13" s="63">
        <f>1-AK2/股权价值增加表!AK38</f>
        <v>0</v>
      </c>
      <c r="AL13" s="63">
        <f>1-AL2/股权价值增加表!AL38</f>
        <v>-3.5529488447562017</v>
      </c>
      <c r="AM13" s="63">
        <f>1-AM2/股权价值增加表!AM38</f>
        <v>-1.9730104952572241</v>
      </c>
      <c r="AN13" s="63">
        <f>1-AN2/股权价值增加表!AN38</f>
        <v>-0.77312630116613001</v>
      </c>
      <c r="AO13" s="63">
        <f>1-AO2/股权价值增加表!AO38</f>
        <v>12217.335847924704</v>
      </c>
      <c r="AP13" s="63">
        <f>1-AP2/股权价值增加表!AP38</f>
        <v>-14.364017128766116</v>
      </c>
      <c r="AQ13" s="63">
        <f>1-AQ2/股权价值增加表!AQ38</f>
        <v>30.074615821333452</v>
      </c>
      <c r="AR13" s="63">
        <f>1-AR2/股权价值增加表!AR38</f>
        <v>5.6740220572007249</v>
      </c>
      <c r="AS13" s="63">
        <f>1-AS2/股权价值增加表!AS38</f>
        <v>4.7092378870689995</v>
      </c>
      <c r="AT13" s="63">
        <f>1-AT2/股权价值增加表!AT38</f>
        <v>453.5602885021363</v>
      </c>
      <c r="AU13" s="63">
        <f>1-AU2/股权价值增加表!AU38</f>
        <v>-10.69255851870855</v>
      </c>
      <c r="AV13" s="63">
        <f>1-AV2/股权价值增加表!AV38</f>
        <v>-16.023087626800979</v>
      </c>
      <c r="AW13" s="63">
        <f>1-AW2/股权价值增加表!AW38</f>
        <v>12.824533811172865</v>
      </c>
      <c r="AX13" s="63">
        <f>1-AX2/股权价值增加表!AX38</f>
        <v>-214.86387507123285</v>
      </c>
      <c r="AY13" s="63">
        <f>1-AY2/股权价值增加表!AY38</f>
        <v>84.752505141414815</v>
      </c>
      <c r="AZ13" s="63">
        <f>1-AZ2/股权价值增加表!AZ38</f>
        <v>58.216622938777903</v>
      </c>
      <c r="BA13" s="63">
        <f>1-BA2/股权价值增加表!BA38</f>
        <v>-77.707053100435957</v>
      </c>
      <c r="BB13" s="63">
        <f>1-BB2/股权价值增加表!BB38</f>
        <v>-45.96742146360917</v>
      </c>
      <c r="BC13" s="63">
        <f>1-BC2/股权价值增加表!BC38</f>
        <v>-37.191424750324082</v>
      </c>
      <c r="BD13" s="63">
        <f>1-BD2/股权价值增加表!BD38</f>
        <v>-31.462557642924033</v>
      </c>
      <c r="BE13" s="63">
        <f>1-BE2/股权价值增加表!BE38</f>
        <v>-16.263412448683692</v>
      </c>
      <c r="BF13" s="63">
        <f>1-BF2/股权价值增加表!BF38</f>
        <v>-24.4625426728647</v>
      </c>
      <c r="BG13" s="63">
        <f>1-BG2/股权价值增加表!BG38</f>
        <v>-51.865743062987342</v>
      </c>
      <c r="BH13" s="63">
        <f>1-BH2/股权价值增加表!BH38</f>
        <v>-1620.3921040092712</v>
      </c>
      <c r="BI13" s="63">
        <f>1-BI2/股权价值增加表!BI38</f>
        <v>79.857881263136633</v>
      </c>
      <c r="BJ13" s="63">
        <f>1-BJ2/股权价值增加表!BJ38</f>
        <v>141.13268018937481</v>
      </c>
      <c r="BK13" s="63">
        <f>1-BK2/股权价值增加表!BK38</f>
        <v>53.327596541223166</v>
      </c>
      <c r="BL13" s="63">
        <f>1-BL2/股权价值增加表!BL38</f>
        <v>36.320705615434449</v>
      </c>
      <c r="BM13" s="63">
        <f>1-BM2/股权价值增加表!BM38</f>
        <v>12.506972120264656</v>
      </c>
      <c r="BN13" s="63">
        <f>1-BN2/股权价值增加表!BN38</f>
        <v>12.396842557518431</v>
      </c>
      <c r="BO13" s="63">
        <f>1-BO2/股权价值增加表!BO38</f>
        <v>6.8502532683313593</v>
      </c>
      <c r="BP13" s="63">
        <f>1-BP2/股权价值增加表!BP38</f>
        <v>7.4630758207432768</v>
      </c>
      <c r="BQ13" s="63">
        <f>1-BQ2/股权价值增加表!BQ38</f>
        <v>7.1587618864435401</v>
      </c>
      <c r="BR13" s="63">
        <f>1-BR2/股权价值增加表!BR38</f>
        <v>18.384621235168847</v>
      </c>
      <c r="BS13" s="63">
        <f>1-BS2/股权价值增加表!BS38</f>
        <v>4.4281159743452809</v>
      </c>
      <c r="BT13" s="63">
        <f>1-BT2/股权价值增加表!BT38</f>
        <v>-1.7566441635919343</v>
      </c>
      <c r="BU13" s="63">
        <f>1-BU2/股权价值增加表!BU38</f>
        <v>-5.4505668867242774</v>
      </c>
      <c r="BV13" s="63">
        <f>1-BV2/股权价值增加表!BV38</f>
        <v>-4.0369914160412286</v>
      </c>
      <c r="BW13" s="63">
        <f>1-BW2/股权价值增加表!BW38</f>
        <v>-0.9204342463089219</v>
      </c>
      <c r="BX13" s="63">
        <f>1-BX2/股权价值增加表!BX38</f>
        <v>-1.1271672992573945</v>
      </c>
      <c r="BY13" s="63" t="e">
        <f>1-BY2/股权价值增加表!BY38</f>
        <v>#DIV/0!</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436</v>
      </c>
      <c r="E14" s="59">
        <f>E6*E7*E9*E10*E12</f>
        <v>7.4761615711508536E-2</v>
      </c>
      <c r="F14" s="59">
        <f t="shared" ref="F14:BQ14" si="4">F6*F7*F9*F10*F12</f>
        <v>6.5726903031779721E-2</v>
      </c>
      <c r="G14" s="59">
        <f t="shared" si="4"/>
        <v>4.9549984130047194E-2</v>
      </c>
      <c r="H14" s="59">
        <f t="shared" si="4"/>
        <v>2.4193971213866135E-2</v>
      </c>
      <c r="I14" s="59">
        <f t="shared" si="4"/>
        <v>9.5915808166785133E-2</v>
      </c>
      <c r="J14" s="59">
        <f t="shared" si="4"/>
        <v>7.0232411741024875E-2</v>
      </c>
      <c r="K14" s="59">
        <f t="shared" si="4"/>
        <v>7.3806517506393984E-2</v>
      </c>
      <c r="L14" s="59">
        <f t="shared" si="4"/>
        <v>3.2268200434417277E-2</v>
      </c>
      <c r="M14" s="59">
        <f t="shared" si="4"/>
        <v>0.11470141367618657</v>
      </c>
      <c r="N14" s="59">
        <f t="shared" si="4"/>
        <v>5.8671080277386149E-2</v>
      </c>
      <c r="O14" s="59">
        <f t="shared" si="4"/>
        <v>2.9067775451317959E-2</v>
      </c>
      <c r="P14" s="59">
        <f t="shared" si="4"/>
        <v>9.7635255055056672E-3</v>
      </c>
      <c r="Q14" s="59">
        <f t="shared" si="4"/>
        <v>7.1327117631492062E-2</v>
      </c>
      <c r="R14" s="59">
        <f t="shared" si="4"/>
        <v>4.6480171070156971E-2</v>
      </c>
      <c r="S14" s="59">
        <f t="shared" si="4"/>
        <v>2.7419145856164746E-2</v>
      </c>
      <c r="T14" s="59">
        <f t="shared" si="4"/>
        <v>1.2178230839798895E-2</v>
      </c>
      <c r="U14" s="59">
        <f t="shared" si="4"/>
        <v>8.2613161220256082E-2</v>
      </c>
      <c r="V14" s="59">
        <f t="shared" si="4"/>
        <v>6.8612787509214651E-2</v>
      </c>
      <c r="W14" s="59">
        <f t="shared" si="4"/>
        <v>4.8760519300012045E-2</v>
      </c>
      <c r="X14" s="59">
        <f t="shared" si="4"/>
        <v>2.4005160024039206E-2</v>
      </c>
      <c r="Y14" s="59">
        <f t="shared" si="4"/>
        <v>8.3650861871543664E-2</v>
      </c>
      <c r="Z14" s="59">
        <f t="shared" si="4"/>
        <v>6.7170243080132613E-2</v>
      </c>
      <c r="AA14" s="59">
        <f t="shared" si="4"/>
        <v>5.763578041346637E-2</v>
      </c>
      <c r="AB14" s="59">
        <f t="shared" si="4"/>
        <v>2.3942470254234651E-2</v>
      </c>
      <c r="AC14" s="59">
        <f t="shared" si="4"/>
        <v>9.5617863667453173E-2</v>
      </c>
      <c r="AD14" s="59">
        <f t="shared" si="4"/>
        <v>0.26693353840422834</v>
      </c>
      <c r="AE14" s="59">
        <f t="shared" si="4"/>
        <v>0.21610887622850561</v>
      </c>
      <c r="AF14" s="59">
        <f t="shared" si="4"/>
        <v>9.3590347558780845E-2</v>
      </c>
      <c r="AG14" s="59">
        <f t="shared" si="4"/>
        <v>0.34180840115628586</v>
      </c>
      <c r="AH14" s="59">
        <f t="shared" si="4"/>
        <v>0.30590411486827296</v>
      </c>
      <c r="AI14" s="59" t="e">
        <f t="shared" si="4"/>
        <v>#DIV/0!</v>
      </c>
      <c r="AJ14" s="59" t="e">
        <f t="shared" si="4"/>
        <v>#DIV/0!</v>
      </c>
      <c r="AK14" s="59" t="e">
        <f t="shared" si="4"/>
        <v>#DIV/0!</v>
      </c>
      <c r="AL14" s="59" t="e">
        <f t="shared" si="4"/>
        <v>#DIV/0!</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6" t="s">
        <v>700</v>
      </c>
      <c r="B15" s="275"/>
      <c r="C15" s="275"/>
      <c r="D15" s="275"/>
      <c r="E15" s="275"/>
      <c r="F15" s="275"/>
      <c r="G15" s="275"/>
      <c r="H15" s="275"/>
      <c r="I15" s="275"/>
      <c r="J15" s="275"/>
      <c r="K15" s="275"/>
      <c r="L15" s="275"/>
      <c r="M15" s="275"/>
      <c r="N15" s="275"/>
      <c r="O15" s="275"/>
      <c r="P15" s="275"/>
      <c r="Q15" s="275"/>
      <c r="R15" s="275"/>
      <c r="S15" s="275"/>
      <c r="T15" s="275"/>
      <c r="U15" s="275"/>
      <c r="V15" s="275"/>
      <c r="W15" s="275"/>
      <c r="X15" s="275"/>
      <c r="Y15" s="275"/>
      <c r="Z15" s="275"/>
      <c r="AA15" s="275"/>
      <c r="AB15" s="275"/>
      <c r="AC15" s="275"/>
      <c r="AD15" s="275"/>
      <c r="AE15" s="275"/>
      <c r="AF15" s="275"/>
      <c r="AG15" s="275"/>
    </row>
    <row r="17" spans="1:89" ht="15" thickBot="1" x14ac:dyDescent="0.3"/>
    <row r="18" spans="1:89" s="250" customFormat="1" x14ac:dyDescent="0.25">
      <c r="A18" s="249"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40178</v>
      </c>
      <c r="AJ18" s="1">
        <v>39813</v>
      </c>
      <c r="AK18" s="1">
        <v>25569</v>
      </c>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7" customFormat="1" x14ac:dyDescent="0.25">
      <c r="A19" s="159" t="s">
        <v>446</v>
      </c>
      <c r="B19" s="76">
        <v>43373</v>
      </c>
      <c r="C19" s="76">
        <v>43281</v>
      </c>
      <c r="D19" s="76">
        <v>43190</v>
      </c>
      <c r="E19" s="76">
        <f>股权价值增加表!E4</f>
        <v>2456391218.1599998</v>
      </c>
      <c r="F19" s="76">
        <f>股权价值增加表!F4</f>
        <v>1797303663.71</v>
      </c>
      <c r="G19" s="76">
        <f>股权价值增加表!G4</f>
        <v>1262280095.75</v>
      </c>
      <c r="H19" s="76">
        <f>股权价值增加表!H4</f>
        <v>612156580.71000004</v>
      </c>
      <c r="I19" s="76">
        <f>股权价值增加表!I4</f>
        <v>1847391081.8399999</v>
      </c>
      <c r="J19" s="76">
        <f>股权价值增加表!J4</f>
        <v>1324775375.3399999</v>
      </c>
      <c r="K19" s="76">
        <f>股权价值增加表!K4</f>
        <v>888376461.49000001</v>
      </c>
      <c r="L19" s="76">
        <f>股权价值增加表!L4</f>
        <v>423001389.69</v>
      </c>
      <c r="M19" s="76">
        <f>股权价值增加表!M4</f>
        <v>1631042560</v>
      </c>
      <c r="N19" s="76">
        <f>股权价值增加表!N4</f>
        <v>1022711562.04</v>
      </c>
      <c r="O19" s="76">
        <f>股权价值增加表!O4</f>
        <v>615138524.07000005</v>
      </c>
      <c r="P19" s="76">
        <f>股权价值增加表!P4</f>
        <v>265749041.91</v>
      </c>
      <c r="Q19" s="76">
        <f>股权价值增加表!Q4</f>
        <v>1068796191.5700001</v>
      </c>
      <c r="R19" s="76">
        <f>股权价值增加表!R4</f>
        <v>705098562.99000001</v>
      </c>
      <c r="S19" s="76">
        <f>股权价值增加表!S4</f>
        <v>433011175.55000001</v>
      </c>
      <c r="T19" s="76">
        <f>股权价值增加表!T4</f>
        <v>196981639.65000001</v>
      </c>
      <c r="U19" s="76">
        <f>股权价值增加表!U4</f>
        <v>965382340.42999995</v>
      </c>
      <c r="V19" s="76">
        <f>股权价值增加表!V4</f>
        <v>705638264.82000005</v>
      </c>
      <c r="W19" s="76">
        <f>股权价值增加表!W4</f>
        <v>483178236.35000002</v>
      </c>
      <c r="X19" s="76">
        <f>股权价值增加表!X4</f>
        <v>221315195.03</v>
      </c>
      <c r="Y19" s="76">
        <f>股权价值增加表!Y4</f>
        <v>789577816.87</v>
      </c>
      <c r="Z19" s="76">
        <f>股权价值增加表!Z4</f>
        <v>539360672.49000001</v>
      </c>
      <c r="AA19" s="76">
        <f>股权价值增加表!AA4</f>
        <v>394771497.57999998</v>
      </c>
      <c r="AB19" s="76">
        <f>股权价值增加表!AB4</f>
        <v>177632246.53</v>
      </c>
      <c r="AC19" s="76">
        <f>股权价值增加表!AC4</f>
        <v>820090562.65999997</v>
      </c>
      <c r="AD19" s="76">
        <f>股权价值增加表!AD4</f>
        <v>640951585.91999996</v>
      </c>
      <c r="AE19" s="76">
        <f>股权价值增加表!AE4</f>
        <v>469202622.25999999</v>
      </c>
      <c r="AF19" s="76">
        <f>股权价值增加表!AF4</f>
        <v>205970417.91999999</v>
      </c>
      <c r="AG19" s="76">
        <f>股权价值增加表!AG4</f>
        <v>731662751.10000002</v>
      </c>
      <c r="AH19" s="76">
        <f>股权价值增加表!AH4</f>
        <v>538217516.25999999</v>
      </c>
      <c r="AI19" s="76">
        <f>股权价值增加表!AI4</f>
        <v>404874884.06999999</v>
      </c>
      <c r="AJ19" s="76">
        <f>股权价值增加表!AJ4</f>
        <v>639478592.48000002</v>
      </c>
      <c r="AK19" s="76">
        <f>股权价值增加表!AK4</f>
        <v>0</v>
      </c>
      <c r="AL19" s="76">
        <f>股权价值增加表!AL4</f>
        <v>0</v>
      </c>
      <c r="AM19" s="76">
        <f>股权价值增加表!AM4</f>
        <v>0</v>
      </c>
      <c r="AN19" s="76">
        <f>股权价值增加表!AN4</f>
        <v>0</v>
      </c>
      <c r="AO19" s="76">
        <f>股权价值增加表!AO4</f>
        <v>0</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447</v>
      </c>
      <c r="E20" s="76">
        <f>股权价值增加表!E15</f>
        <v>440501381.44999981</v>
      </c>
      <c r="F20" s="76">
        <f>股权价值增加表!F15</f>
        <v>358987436.42000014</v>
      </c>
      <c r="G20" s="76">
        <f>股权价值增加表!G15</f>
        <v>255752742.12</v>
      </c>
      <c r="H20" s="76">
        <f>股权价值增加表!H15</f>
        <v>118300567.28000003</v>
      </c>
      <c r="I20" s="76">
        <f>股权价值增加表!I15</f>
        <v>347457485.54999983</v>
      </c>
      <c r="J20" s="76">
        <f>股权价值增加表!J15</f>
        <v>286414772.5999999</v>
      </c>
      <c r="K20" s="76">
        <f>股权价值增加表!K15</f>
        <v>203356723.77000001</v>
      </c>
      <c r="L20" s="76">
        <f>股权价值增加表!L15</f>
        <v>105630403.89999999</v>
      </c>
      <c r="M20" s="76">
        <f>股权价值增加表!M15</f>
        <v>230119332.45999998</v>
      </c>
      <c r="N20" s="76">
        <f>股权价值增加表!N15</f>
        <v>149499656.80999988</v>
      </c>
      <c r="O20" s="76">
        <f>股权价值增加表!O15</f>
        <v>67733668.150000051</v>
      </c>
      <c r="P20" s="76">
        <f>股权价值增加表!P15</f>
        <v>26398639.319999989</v>
      </c>
      <c r="Q20" s="76">
        <f>股权价值增加表!Q15</f>
        <v>103489813.14000008</v>
      </c>
      <c r="R20" s="76">
        <f>股权价值增加表!R15</f>
        <v>68348034.949999973</v>
      </c>
      <c r="S20" s="76">
        <f>股权价值增加表!S15</f>
        <v>37100491.060000017</v>
      </c>
      <c r="T20" s="76">
        <f>股权价值增加表!T15</f>
        <v>19429075.500000007</v>
      </c>
      <c r="U20" s="76">
        <f>股权价值增加表!U15</f>
        <v>151201613.37999991</v>
      </c>
      <c r="V20" s="76">
        <f>股权价值增加表!V15</f>
        <v>111326030.67000009</v>
      </c>
      <c r="W20" s="76">
        <f>股权价值增加表!W15</f>
        <v>77758265.220000014</v>
      </c>
      <c r="X20" s="76">
        <f>股权价值增加表!X15</f>
        <v>36760970.260000013</v>
      </c>
      <c r="Y20" s="76">
        <f>股权价值增加表!Y15</f>
        <v>121806150.39999999</v>
      </c>
      <c r="Z20" s="76">
        <f>股权价值增加表!Z15</f>
        <v>93004767.850000009</v>
      </c>
      <c r="AA20" s="76">
        <f>股权价值增加表!AA15</f>
        <v>80112941.679999977</v>
      </c>
      <c r="AB20" s="76">
        <f>股权价值增加表!AB15</f>
        <v>33993335.580000006</v>
      </c>
      <c r="AC20" s="76">
        <f>股权价值增加表!AC15</f>
        <v>153586043.83999994</v>
      </c>
      <c r="AD20" s="76">
        <f>股权价值增加表!AD15</f>
        <v>130958412.03999993</v>
      </c>
      <c r="AE20" s="76">
        <f>股权价值增加表!AE15</f>
        <v>97352124.629999995</v>
      </c>
      <c r="AF20" s="76">
        <f>股权价值增加表!AF15</f>
        <v>39181662.529999994</v>
      </c>
      <c r="AG20" s="76">
        <f>股权价值增加表!AG15</f>
        <v>123050074.73000003</v>
      </c>
      <c r="AH20" s="76">
        <f>股权价值增加表!AH15</f>
        <v>93184227.620000005</v>
      </c>
      <c r="AI20" s="76">
        <f>股权价值增加表!AI15</f>
        <v>89053949.929999992</v>
      </c>
      <c r="AJ20" s="76">
        <f>股权价值增加表!AJ15</f>
        <v>130224549.81000002</v>
      </c>
      <c r="AK20" s="76">
        <f>股权价值增加表!AK15</f>
        <v>-10870060.949999999</v>
      </c>
      <c r="AL20" s="76">
        <f>股权价值增加表!AL15</f>
        <v>0</v>
      </c>
      <c r="AM20" s="76">
        <f>股权价值增加表!AM15</f>
        <v>0</v>
      </c>
      <c r="AN20" s="76">
        <f>股权价值增加表!AN15</f>
        <v>0</v>
      </c>
      <c r="AO20" s="76">
        <f>股权价值增加表!AO15</f>
        <v>-12110695.470000001</v>
      </c>
      <c r="AP20" s="76">
        <f>股权价值增加表!AP15</f>
        <v>0</v>
      </c>
      <c r="AQ20" s="76">
        <f>股权价值增加表!AQ15</f>
        <v>0</v>
      </c>
      <c r="AR20" s="76">
        <f>股权价值增加表!AR15</f>
        <v>0</v>
      </c>
      <c r="AS20" s="76">
        <f>股权价值增加表!AS15</f>
        <v>475235.25</v>
      </c>
      <c r="AT20" s="76">
        <f>股权价值增加表!AT15</f>
        <v>0</v>
      </c>
      <c r="AU20" s="76">
        <f>股权价值增加表!AU15</f>
        <v>0</v>
      </c>
      <c r="AV20" s="76">
        <f>股权价值增加表!AV15</f>
        <v>0</v>
      </c>
      <c r="AW20" s="76">
        <f>股权价值增加表!AW15</f>
        <v>-2970451.97</v>
      </c>
      <c r="AX20" s="76">
        <f>股权价值增加表!AX15</f>
        <v>0</v>
      </c>
      <c r="AY20" s="76">
        <f>股权价值增加表!AY15</f>
        <v>0</v>
      </c>
      <c r="AZ20" s="76">
        <f>股权价值增加表!AZ15</f>
        <v>0</v>
      </c>
      <c r="BA20" s="76">
        <f>股权价值增加表!BA15</f>
        <v>-1288210.29</v>
      </c>
      <c r="BB20" s="76">
        <f>股权价值增加表!BB15</f>
        <v>0</v>
      </c>
      <c r="BC20" s="76">
        <f>股权价值增加表!BC15</f>
        <v>0</v>
      </c>
      <c r="BD20" s="76">
        <f>股权价值增加表!BD15</f>
        <v>0</v>
      </c>
      <c r="BE20" s="76">
        <f>股权价值增加表!BE15</f>
        <v>-1282524.67</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448</v>
      </c>
      <c r="E21" s="244">
        <f>E20/E19</f>
        <v>0.17932867459930288</v>
      </c>
      <c r="F21" s="244">
        <f t="shared" ref="F21:BQ21" si="6">F20/F19</f>
        <v>0.19973666312957772</v>
      </c>
      <c r="G21" s="244">
        <f t="shared" si="6"/>
        <v>0.20261172063244903</v>
      </c>
      <c r="H21" s="244">
        <f t="shared" si="6"/>
        <v>0.19325213680263145</v>
      </c>
      <c r="I21" s="244">
        <f t="shared" si="6"/>
        <v>0.18808009249667509</v>
      </c>
      <c r="J21" s="244">
        <f t="shared" si="6"/>
        <v>0.21619874427881206</v>
      </c>
      <c r="K21" s="244">
        <f t="shared" si="6"/>
        <v>0.22890827547245757</v>
      </c>
      <c r="L21" s="244">
        <f t="shared" si="6"/>
        <v>0.24971644650484975</v>
      </c>
      <c r="M21" s="244">
        <f t="shared" si="6"/>
        <v>0.14108726412387423</v>
      </c>
      <c r="N21" s="244">
        <f t="shared" si="6"/>
        <v>0.1461796877623964</v>
      </c>
      <c r="O21" s="244">
        <f t="shared" si="6"/>
        <v>0.11011124405255467</v>
      </c>
      <c r="P21" s="244">
        <f t="shared" si="6"/>
        <v>9.9336724340629207E-2</v>
      </c>
      <c r="Q21" s="244">
        <f t="shared" si="6"/>
        <v>9.6828388757616637E-2</v>
      </c>
      <c r="R21" s="244">
        <f t="shared" si="6"/>
        <v>9.6934015381008959E-2</v>
      </c>
      <c r="S21" s="244">
        <f t="shared" si="6"/>
        <v>8.5680216019542441E-2</v>
      </c>
      <c r="T21" s="244">
        <f t="shared" si="6"/>
        <v>9.8633941389267982E-2</v>
      </c>
      <c r="U21" s="244">
        <f t="shared" si="6"/>
        <v>0.15662355426208832</v>
      </c>
      <c r="V21" s="244">
        <f t="shared" si="6"/>
        <v>0.15776643107413973</v>
      </c>
      <c r="W21" s="244">
        <f t="shared" si="6"/>
        <v>0.16093081055843381</v>
      </c>
      <c r="X21" s="244">
        <f t="shared" si="6"/>
        <v>0.16610233316793699</v>
      </c>
      <c r="Y21" s="244">
        <f t="shared" si="6"/>
        <v>0.15426744241987075</v>
      </c>
      <c r="Z21" s="244">
        <f t="shared" si="6"/>
        <v>0.17243520448132851</v>
      </c>
      <c r="AA21" s="244">
        <f t="shared" si="6"/>
        <v>0.20293496914316916</v>
      </c>
      <c r="AB21" s="244">
        <f t="shared" si="6"/>
        <v>0.19136916997927475</v>
      </c>
      <c r="AC21" s="244">
        <f t="shared" si="6"/>
        <v>0.18727936990499783</v>
      </c>
      <c r="AD21" s="244">
        <f t="shared" si="6"/>
        <v>0.2043187269004518</v>
      </c>
      <c r="AE21" s="244">
        <f t="shared" si="6"/>
        <v>0.20748418702582208</v>
      </c>
      <c r="AF21" s="244">
        <f t="shared" si="6"/>
        <v>0.19022956269971913</v>
      </c>
      <c r="AG21" s="244">
        <f t="shared" si="6"/>
        <v>0.16817867869452624</v>
      </c>
      <c r="AH21" s="244">
        <f t="shared" si="6"/>
        <v>0.17313488469777882</v>
      </c>
      <c r="AI21" s="244">
        <f t="shared" si="6"/>
        <v>0.21995424619770487</v>
      </c>
      <c r="AJ21" s="244">
        <f t="shared" si="6"/>
        <v>0.20364176587204966</v>
      </c>
      <c r="AK21" s="244" t="e">
        <f t="shared" si="6"/>
        <v>#DIV/0!</v>
      </c>
      <c r="AL21" s="244" t="e">
        <f t="shared" si="6"/>
        <v>#DIV/0!</v>
      </c>
      <c r="AM21" s="244" t="e">
        <f t="shared" si="6"/>
        <v>#DIV/0!</v>
      </c>
      <c r="AN21" s="244" t="e">
        <f t="shared" si="6"/>
        <v>#DIV/0!</v>
      </c>
      <c r="AO21" s="244" t="e">
        <f t="shared" si="6"/>
        <v>#DIV/0!</v>
      </c>
      <c r="AP21" s="244" t="e">
        <f t="shared" si="6"/>
        <v>#DIV/0!</v>
      </c>
      <c r="AQ21" s="244" t="e">
        <f t="shared" si="6"/>
        <v>#DIV/0!</v>
      </c>
      <c r="AR21" s="244" t="e">
        <f t="shared" si="6"/>
        <v>#DIV/0!</v>
      </c>
      <c r="AS21" s="244" t="e">
        <f t="shared" si="6"/>
        <v>#DIV/0!</v>
      </c>
      <c r="AT21" s="244" t="e">
        <f t="shared" si="6"/>
        <v>#DIV/0!</v>
      </c>
      <c r="AU21" s="244" t="e">
        <f t="shared" si="6"/>
        <v>#DIV/0!</v>
      </c>
      <c r="AV21" s="244" t="e">
        <f t="shared" si="6"/>
        <v>#DIV/0!</v>
      </c>
      <c r="AW21" s="244" t="e">
        <f t="shared" si="6"/>
        <v>#DIV/0!</v>
      </c>
      <c r="AX21" s="244" t="e">
        <f t="shared" si="6"/>
        <v>#DIV/0!</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687</v>
      </c>
      <c r="E22" s="26">
        <f>资产资本表!E69</f>
        <v>3437718031.4699998</v>
      </c>
      <c r="F22" s="193">
        <f>资产资本表!F69</f>
        <v>3345244398.8099995</v>
      </c>
      <c r="G22" s="193">
        <f>资产资本表!G69</f>
        <v>3283426806.96</v>
      </c>
      <c r="H22" s="193">
        <f>资产资本表!H69</f>
        <v>3196030545.1500001</v>
      </c>
      <c r="I22" s="193">
        <f>资产资本表!I69</f>
        <v>3353289318.3099995</v>
      </c>
      <c r="J22" s="193">
        <f>资产资本表!J69</f>
        <v>3181431787.5899997</v>
      </c>
      <c r="K22" s="193">
        <f>资产资本表!K69</f>
        <v>3082695032.9299994</v>
      </c>
      <c r="L22" s="193">
        <f>资产资本表!L69</f>
        <v>2706514478.6300001</v>
      </c>
      <c r="M22" s="193">
        <f>资产资本表!M69</f>
        <v>1875955782.2899997</v>
      </c>
      <c r="N22" s="193">
        <f>资产资本表!N69</f>
        <v>1779392152.1400001</v>
      </c>
      <c r="O22" s="193">
        <f>资产资本表!O69</f>
        <v>1759130054.1599998</v>
      </c>
      <c r="P22" s="193">
        <f>资产资本表!P69</f>
        <v>1165655921.5500002</v>
      </c>
      <c r="Q22" s="193">
        <f>资产资本表!Q69</f>
        <v>1168735508.48</v>
      </c>
      <c r="R22" s="193">
        <f>资产资本表!R69</f>
        <v>1102256820.9400001</v>
      </c>
      <c r="S22" s="193">
        <f>资产资本表!S69</f>
        <v>1103699084.74</v>
      </c>
      <c r="T22" s="193">
        <f>资产资本表!T69</f>
        <v>1075735744.6699998</v>
      </c>
      <c r="U22" s="193">
        <f>资产资本表!U69</f>
        <v>1040915709.79</v>
      </c>
      <c r="V22" s="193">
        <f>资产资本表!V69</f>
        <v>1014783275.9300001</v>
      </c>
      <c r="W22" s="193">
        <f>资产资本表!W69</f>
        <v>997786786.21000016</v>
      </c>
      <c r="X22" s="193">
        <f>资产资本表!X69</f>
        <v>957727275</v>
      </c>
      <c r="Y22" s="193">
        <f>资产资本表!Y69</f>
        <v>899676696.4000001</v>
      </c>
      <c r="Z22" s="193">
        <f>资产资本表!Z69</f>
        <v>805589193.66000009</v>
      </c>
      <c r="AA22" s="193">
        <f>资产资本表!AA69</f>
        <v>746864659.91999996</v>
      </c>
      <c r="AB22" s="193">
        <f>资产资本表!AB69</f>
        <v>674293256.69000006</v>
      </c>
      <c r="AC22" s="193">
        <f>资产资本表!AC69</f>
        <v>612642181.50999999</v>
      </c>
      <c r="AD22" s="193">
        <f>资产资本表!AD69</f>
        <v>530972045.5</v>
      </c>
      <c r="AE22" s="193">
        <f>资产资本表!AE69</f>
        <v>548181369.62</v>
      </c>
      <c r="AF22" s="193">
        <f>资产资本表!AF69</f>
        <v>497237630.01999998</v>
      </c>
      <c r="AG22" s="193">
        <f>资产资本表!AG69</f>
        <v>391627113.63</v>
      </c>
      <c r="AH22" s="193">
        <f>资产资本表!AH69</f>
        <v>368229972.41999996</v>
      </c>
      <c r="AI22" s="193">
        <f>资产资本表!AI69</f>
        <v>0</v>
      </c>
      <c r="AJ22" s="193">
        <f>资产资本表!AJ69</f>
        <v>0</v>
      </c>
      <c r="AK22" s="193">
        <f>资产资本表!AK69</f>
        <v>0</v>
      </c>
      <c r="AL22" s="193">
        <f>资产资本表!AL69</f>
        <v>0</v>
      </c>
      <c r="AM22" s="193">
        <f>资产资本表!AM69</f>
        <v>0</v>
      </c>
      <c r="AN22" s="193">
        <f>资产资本表!AN69</f>
        <v>0</v>
      </c>
      <c r="AO22" s="193">
        <f>资产资本表!AO69</f>
        <v>0</v>
      </c>
      <c r="AP22" s="193">
        <f>资产资本表!AP69</f>
        <v>0</v>
      </c>
      <c r="AQ22" s="193">
        <f>资产资本表!AQ69</f>
        <v>0</v>
      </c>
      <c r="AR22" s="193">
        <f>资产资本表!AR69</f>
        <v>0</v>
      </c>
      <c r="AS22" s="193">
        <f>资产资本表!AS69</f>
        <v>0</v>
      </c>
      <c r="AT22" s="193">
        <f>资产资本表!AT69</f>
        <v>0</v>
      </c>
      <c r="AU22" s="193">
        <f>资产资本表!AU69</f>
        <v>0</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688</v>
      </c>
      <c r="E23" s="246">
        <f>E19/E22</f>
        <v>0.71454121474576682</v>
      </c>
      <c r="F23" s="246">
        <f t="shared" ref="F23:BQ23" si="8">F19/F22</f>
        <v>0.53727125717611335</v>
      </c>
      <c r="G23" s="246">
        <f t="shared" si="8"/>
        <v>0.38443984591777669</v>
      </c>
      <c r="H23" s="246">
        <f t="shared" si="8"/>
        <v>0.19153652384172365</v>
      </c>
      <c r="I23" s="246">
        <f t="shared" si="8"/>
        <v>0.55091908465895612</v>
      </c>
      <c r="J23" s="246">
        <f t="shared" si="8"/>
        <v>0.41640854300495456</v>
      </c>
      <c r="K23" s="246">
        <f t="shared" si="8"/>
        <v>0.28818175395236151</v>
      </c>
      <c r="L23" s="246">
        <f t="shared" si="8"/>
        <v>0.1562900893492051</v>
      </c>
      <c r="M23" s="246">
        <f t="shared" si="8"/>
        <v>0.86944616466864078</v>
      </c>
      <c r="N23" s="246">
        <f t="shared" si="8"/>
        <v>0.57475332843860627</v>
      </c>
      <c r="O23" s="246">
        <f t="shared" si="8"/>
        <v>0.34968336912630038</v>
      </c>
      <c r="P23" s="246">
        <f t="shared" si="8"/>
        <v>0.2279824062975867</v>
      </c>
      <c r="Q23" s="246">
        <f t="shared" si="8"/>
        <v>0.91448936377403633</v>
      </c>
      <c r="R23" s="246">
        <f t="shared" si="8"/>
        <v>0.63968627782107523</v>
      </c>
      <c r="S23" s="246">
        <f t="shared" si="8"/>
        <v>0.39232720361637802</v>
      </c>
      <c r="T23" s="246">
        <f t="shared" si="8"/>
        <v>0.18311340924199507</v>
      </c>
      <c r="U23" s="246">
        <f t="shared" si="8"/>
        <v>0.92743565242642123</v>
      </c>
      <c r="V23" s="246">
        <f t="shared" si="8"/>
        <v>0.69535858695869468</v>
      </c>
      <c r="W23" s="246">
        <f t="shared" si="8"/>
        <v>0.48424998509481909</v>
      </c>
      <c r="X23" s="246">
        <f t="shared" si="8"/>
        <v>0.23108373417683026</v>
      </c>
      <c r="Y23" s="246">
        <f t="shared" si="8"/>
        <v>0.87762395094754164</v>
      </c>
      <c r="Z23" s="246">
        <f t="shared" si="8"/>
        <v>0.66952322192846825</v>
      </c>
      <c r="AA23" s="246">
        <f t="shared" si="8"/>
        <v>0.52857166601280314</v>
      </c>
      <c r="AB23" s="246">
        <f t="shared" si="8"/>
        <v>0.2634347070323213</v>
      </c>
      <c r="AC23" s="246">
        <f t="shared" si="8"/>
        <v>1.3386126313384019</v>
      </c>
      <c r="AD23" s="246">
        <f t="shared" si="8"/>
        <v>1.2071286828601977</v>
      </c>
      <c r="AE23" s="246">
        <f t="shared" si="8"/>
        <v>0.85592588194898311</v>
      </c>
      <c r="AF23" s="246">
        <f t="shared" si="8"/>
        <v>0.41422934525634236</v>
      </c>
      <c r="AG23" s="246">
        <f t="shared" si="8"/>
        <v>1.8682637785678384</v>
      </c>
      <c r="AH23" s="246">
        <f t="shared" si="8"/>
        <v>1.461634186709043</v>
      </c>
      <c r="AI23" s="246" t="e">
        <f t="shared" si="8"/>
        <v>#DIV/0!</v>
      </c>
      <c r="AJ23" s="246" t="e">
        <f t="shared" si="8"/>
        <v>#DIV/0!</v>
      </c>
      <c r="AK23" s="246" t="e">
        <f t="shared" si="8"/>
        <v>#DIV/0!</v>
      </c>
      <c r="AL23" s="246" t="e">
        <f t="shared" si="8"/>
        <v>#DIV/0!</v>
      </c>
      <c r="AM23" s="246" t="e">
        <f t="shared" si="8"/>
        <v>#DIV/0!</v>
      </c>
      <c r="AN23" s="246" t="e">
        <f t="shared" si="8"/>
        <v>#DIV/0!</v>
      </c>
      <c r="AO23" s="246" t="e">
        <f t="shared" si="8"/>
        <v>#DIV/0!</v>
      </c>
      <c r="AP23" s="246" t="e">
        <f t="shared" si="8"/>
        <v>#DIV/0!</v>
      </c>
      <c r="AQ23" s="246" t="e">
        <f t="shared" si="8"/>
        <v>#DIV/0!</v>
      </c>
      <c r="AR23" s="246" t="e">
        <f t="shared" si="8"/>
        <v>#DIV/0!</v>
      </c>
      <c r="AS23" s="246" t="e">
        <f t="shared" si="8"/>
        <v>#DIV/0!</v>
      </c>
      <c r="AT23" s="246" t="e">
        <f t="shared" si="8"/>
        <v>#DIV/0!</v>
      </c>
      <c r="AU23" s="246" t="e">
        <f t="shared" si="8"/>
        <v>#DIV/0!</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695</v>
      </c>
      <c r="E24" s="161">
        <f>E21*E23</f>
        <v>0.12813772898693421</v>
      </c>
      <c r="F24" s="161">
        <f t="shared" ref="F24:BQ24" si="10">F21*F23</f>
        <v>0.10731276810379006</v>
      </c>
      <c r="G24" s="161">
        <f t="shared" si="10"/>
        <v>7.7892018661074328E-2</v>
      </c>
      <c r="H24" s="161">
        <f t="shared" si="10"/>
        <v>3.7014842508161262E-2</v>
      </c>
      <c r="I24" s="161">
        <f t="shared" si="10"/>
        <v>0.10361691240084005</v>
      </c>
      <c r="J24" s="161">
        <f t="shared" si="10"/>
        <v>9.0027004104640887E-2</v>
      </c>
      <c r="K24" s="161">
        <f t="shared" si="10"/>
        <v>6.596718831986316E-2</v>
      </c>
      <c r="L24" s="161">
        <f t="shared" si="10"/>
        <v>3.9028205736208965E-2</v>
      </c>
      <c r="M24" s="161">
        <f t="shared" si="10"/>
        <v>0.12266778067609398</v>
      </c>
      <c r="N24" s="161">
        <f t="shared" si="10"/>
        <v>8.4017262091553538E-2</v>
      </c>
      <c r="O24" s="161">
        <f t="shared" si="10"/>
        <v>3.8504070798985622E-2</v>
      </c>
      <c r="P24" s="161">
        <f t="shared" si="10"/>
        <v>2.2647025448896699E-2</v>
      </c>
      <c r="Q24" s="161">
        <f t="shared" si="10"/>
        <v>8.8548531630217892E-2</v>
      </c>
      <c r="R24" s="161">
        <f t="shared" si="10"/>
        <v>6.2007359493328473E-2</v>
      </c>
      <c r="S24" s="161">
        <f t="shared" si="10"/>
        <v>3.361467955619428E-2</v>
      </c>
      <c r="T24" s="161">
        <f t="shared" si="10"/>
        <v>1.8061197274763983E-2</v>
      </c>
      <c r="U24" s="161">
        <f t="shared" si="10"/>
        <v>0.14525826823240487</v>
      </c>
      <c r="V24" s="161">
        <f t="shared" si="10"/>
        <v>0.1097042425812301</v>
      </c>
      <c r="W24" s="161">
        <f t="shared" si="10"/>
        <v>7.7930742614218729E-2</v>
      </c>
      <c r="X24" s="161">
        <f t="shared" si="10"/>
        <v>3.8383547403930844E-2</v>
      </c>
      <c r="Y24" s="161">
        <f t="shared" si="10"/>
        <v>0.13538880231909936</v>
      </c>
      <c r="Z24" s="161">
        <f t="shared" si="10"/>
        <v>0.11544937367823331</v>
      </c>
      <c r="AA24" s="161">
        <f t="shared" si="10"/>
        <v>0.10726567473226173</v>
      </c>
      <c r="AB24" s="161">
        <f t="shared" si="10"/>
        <v>5.0413281228508744E-2</v>
      </c>
      <c r="AC24" s="161">
        <f t="shared" si="10"/>
        <v>0.25069453014392706</v>
      </c>
      <c r="AD24" s="161">
        <f t="shared" si="10"/>
        <v>0.24663899568701483</v>
      </c>
      <c r="AE24" s="161">
        <f t="shared" si="10"/>
        <v>0.17759108577054453</v>
      </c>
      <c r="AF24" s="161">
        <f t="shared" si="10"/>
        <v>7.8798667205504991E-2</v>
      </c>
      <c r="AG24" s="161">
        <f t="shared" si="10"/>
        <v>0.31420213373238204</v>
      </c>
      <c r="AH24" s="161">
        <f t="shared" si="10"/>
        <v>0.25305986638620187</v>
      </c>
      <c r="AI24" s="161" t="e">
        <f t="shared" si="10"/>
        <v>#DIV/0!</v>
      </c>
      <c r="AJ24" s="161" t="e">
        <f t="shared" si="10"/>
        <v>#DIV/0!</v>
      </c>
      <c r="AK24" s="161" t="e">
        <f t="shared" si="10"/>
        <v>#DIV/0!</v>
      </c>
      <c r="AL24" s="161" t="e">
        <f t="shared" si="10"/>
        <v>#DIV/0!</v>
      </c>
      <c r="AM24" s="161" t="e">
        <f t="shared" si="10"/>
        <v>#DIV/0!</v>
      </c>
      <c r="AN24" s="161" t="e">
        <f t="shared" si="10"/>
        <v>#DIV/0!</v>
      </c>
      <c r="AO24" s="161" t="e">
        <f t="shared" si="10"/>
        <v>#DIV/0!</v>
      </c>
      <c r="AP24" s="161" t="e">
        <f t="shared" si="10"/>
        <v>#DIV/0!</v>
      </c>
      <c r="AQ24" s="161" t="e">
        <f t="shared" si="10"/>
        <v>#DIV/0!</v>
      </c>
      <c r="AR24" s="161" t="e">
        <f t="shared" si="10"/>
        <v>#DIV/0!</v>
      </c>
      <c r="AS24" s="161" t="e">
        <f t="shared" si="10"/>
        <v>#DIV/0!</v>
      </c>
      <c r="AT24" s="161" t="e">
        <f t="shared" si="10"/>
        <v>#DIV/0!</v>
      </c>
      <c r="AU24" s="161" t="e">
        <f t="shared" si="10"/>
        <v>#DIV/0!</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40178</v>
      </c>
      <c r="AJ25" s="1">
        <v>39813</v>
      </c>
      <c r="AK25" s="1">
        <v>25569</v>
      </c>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442</v>
      </c>
      <c r="E26" s="76">
        <f>利润表!E14</f>
        <v>-734614.85</v>
      </c>
      <c r="F26" s="76">
        <f>利润表!F14</f>
        <v>-2437995.12</v>
      </c>
      <c r="G26" s="76">
        <f>利润表!G14</f>
        <v>-2437995.12</v>
      </c>
      <c r="H26" s="76">
        <f>利润表!H14</f>
        <v>0</v>
      </c>
      <c r="I26" s="76">
        <f>利润表!I14</f>
        <v>-2525890.17</v>
      </c>
      <c r="J26" s="76">
        <f>利润表!J14</f>
        <v>3168252.93</v>
      </c>
      <c r="K26" s="76">
        <f>利润表!K14</f>
        <v>3168252.93</v>
      </c>
      <c r="L26" s="76">
        <f>利润表!L14</f>
        <v>0</v>
      </c>
      <c r="M26" s="76">
        <f>利润表!M14</f>
        <v>10697542</v>
      </c>
      <c r="N26" s="76">
        <f>利润表!N14</f>
        <v>921630.25</v>
      </c>
      <c r="O26" s="76">
        <f>利润表!O14</f>
        <v>963291.36</v>
      </c>
      <c r="P26" s="76">
        <f>利润表!P14</f>
        <v>0</v>
      </c>
      <c r="Q26" s="76">
        <f>利润表!Q14</f>
        <v>2084177.5</v>
      </c>
      <c r="R26" s="76">
        <f>利润表!R14</f>
        <v>917949.38</v>
      </c>
      <c r="S26" s="76">
        <f>利润表!S14</f>
        <v>917949.38</v>
      </c>
      <c r="T26" s="76">
        <f>利润表!T14</f>
        <v>0</v>
      </c>
      <c r="U26" s="76">
        <f>利润表!U14</f>
        <v>1109427.94</v>
      </c>
      <c r="V26" s="76">
        <f>利润表!V14</f>
        <v>685467.8</v>
      </c>
      <c r="W26" s="76">
        <f>利润表!W14</f>
        <v>685467.8</v>
      </c>
      <c r="X26" s="76">
        <f>利润表!X14</f>
        <v>0</v>
      </c>
      <c r="Y26" s="76">
        <f>利润表!Y14</f>
        <v>1641093.94</v>
      </c>
      <c r="Z26" s="76">
        <f>利润表!Z14</f>
        <v>0</v>
      </c>
      <c r="AA26" s="76">
        <f>利润表!AA14</f>
        <v>97671.69</v>
      </c>
      <c r="AB26" s="76">
        <f>利润表!AB14</f>
        <v>0</v>
      </c>
      <c r="AC26" s="76">
        <f>利润表!AC14</f>
        <v>1854065.85</v>
      </c>
      <c r="AD26" s="76">
        <f>利润表!AD14</f>
        <v>0</v>
      </c>
      <c r="AE26" s="76">
        <f>利润表!AE14</f>
        <v>960699.51</v>
      </c>
      <c r="AF26" s="76">
        <f>利润表!AF14</f>
        <v>0</v>
      </c>
      <c r="AG26" s="76">
        <f>利润表!AG14</f>
        <v>1618437.56</v>
      </c>
      <c r="AH26" s="76">
        <f>利润表!AH14</f>
        <v>0</v>
      </c>
      <c r="AI26" s="76">
        <f>利润表!AI14</f>
        <v>529831.25</v>
      </c>
      <c r="AJ26" s="76">
        <f>利润表!AJ14</f>
        <v>2975960.3</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443</v>
      </c>
      <c r="E27" s="76">
        <f>资产资本表!E19</f>
        <v>19416080.27</v>
      </c>
      <c r="F27" s="76">
        <f>资产资本表!F19</f>
        <v>17743024.609999999</v>
      </c>
      <c r="G27" s="76">
        <f>资产资本表!G19</f>
        <v>17743024.609999999</v>
      </c>
      <c r="H27" s="76">
        <f>资产资本表!H19</f>
        <v>22731749.920000002</v>
      </c>
      <c r="I27" s="76">
        <f>资产资本表!I19</f>
        <v>22731749.920000002</v>
      </c>
      <c r="J27" s="76">
        <f>资产资本表!J19</f>
        <v>28084982.890000001</v>
      </c>
      <c r="K27" s="76">
        <f>资产资本表!K19</f>
        <v>28084982.890000001</v>
      </c>
      <c r="L27" s="76">
        <f>资产资本表!L19</f>
        <v>27152779.940000001</v>
      </c>
      <c r="M27" s="76">
        <f>资产资本表!M19</f>
        <v>27152779.940000001</v>
      </c>
      <c r="N27" s="76">
        <f>资产资本表!N19</f>
        <v>17383078.079999998</v>
      </c>
      <c r="O27" s="76">
        <f>资产资本表!O19</f>
        <v>10543582.140000001</v>
      </c>
      <c r="P27" s="76">
        <f>资产资本表!P19</f>
        <v>10874322.380000001</v>
      </c>
      <c r="Q27" s="76">
        <f>资产资本表!Q19</f>
        <v>10874322.380000001</v>
      </c>
      <c r="R27" s="76">
        <f>资产资本表!R19</f>
        <v>9729124.8499999996</v>
      </c>
      <c r="S27" s="76">
        <f>资产资本表!S19</f>
        <v>9729124.8499999996</v>
      </c>
      <c r="T27" s="76">
        <f>资产资本表!T19</f>
        <v>9757413.4000000004</v>
      </c>
      <c r="U27" s="76">
        <f>资产资本表!U19</f>
        <v>9757413.4000000004</v>
      </c>
      <c r="V27" s="76">
        <f>资产资本表!V19</f>
        <v>9452578.0399999991</v>
      </c>
      <c r="W27" s="76">
        <f>资产资本表!W19</f>
        <v>9452578.0399999991</v>
      </c>
      <c r="X27" s="76">
        <f>资产资本表!X19</f>
        <v>9569252.8100000005</v>
      </c>
      <c r="Y27" s="76">
        <f>资产资本表!Y19</f>
        <v>9569252.8100000005</v>
      </c>
      <c r="Z27" s="76">
        <f>资产资本表!Z19</f>
        <v>7757046</v>
      </c>
      <c r="AA27" s="76">
        <f>资产资本表!AA19</f>
        <v>7757046</v>
      </c>
      <c r="AB27" s="76">
        <f>资产资本表!AB19</f>
        <v>8770793.0600000005</v>
      </c>
      <c r="AC27" s="76">
        <f>资产资本表!AC19</f>
        <v>8770793.0600000005</v>
      </c>
      <c r="AD27" s="76">
        <f>资产资本表!AD19</f>
        <v>8652923.2200000007</v>
      </c>
      <c r="AE27" s="76">
        <f>资产资本表!AE19</f>
        <v>8652923.2200000007</v>
      </c>
      <c r="AF27" s="76">
        <f>资产资本表!AF19</f>
        <v>8086976.54</v>
      </c>
      <c r="AG27" s="76">
        <f>资产资本表!AG19</f>
        <v>7235745.2300000004</v>
      </c>
      <c r="AH27" s="76">
        <f>资产资本表!AH19</f>
        <v>8140066.6500000004</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1" customFormat="1" x14ac:dyDescent="0.25">
      <c r="A28" s="145" t="s">
        <v>444</v>
      </c>
      <c r="E28" s="111">
        <f>E26/E27</f>
        <v>-3.783538385629058E-2</v>
      </c>
      <c r="F28" s="111">
        <f t="shared" ref="F28:BQ28" si="12">F26/F27</f>
        <v>-0.13740583545298934</v>
      </c>
      <c r="G28" s="111">
        <f t="shared" si="12"/>
        <v>-0.13740583545298934</v>
      </c>
      <c r="H28" s="111">
        <f t="shared" si="12"/>
        <v>0</v>
      </c>
      <c r="I28" s="111">
        <f t="shared" si="12"/>
        <v>-0.11111727776741262</v>
      </c>
      <c r="J28" s="111">
        <f t="shared" si="12"/>
        <v>0.11280950187539887</v>
      </c>
      <c r="K28" s="111">
        <f t="shared" si="12"/>
        <v>0.11280950187539887</v>
      </c>
      <c r="L28" s="111">
        <f t="shared" si="12"/>
        <v>0</v>
      </c>
      <c r="M28" s="111">
        <f t="shared" si="12"/>
        <v>0.39397593998251951</v>
      </c>
      <c r="N28" s="111">
        <f t="shared" si="12"/>
        <v>5.301881782722799E-2</v>
      </c>
      <c r="O28" s="111">
        <f t="shared" si="12"/>
        <v>9.1362816470645897E-2</v>
      </c>
      <c r="P28" s="111">
        <f t="shared" si="12"/>
        <v>0</v>
      </c>
      <c r="Q28" s="111">
        <f t="shared" si="12"/>
        <v>0.19166044808761681</v>
      </c>
      <c r="R28" s="111">
        <f t="shared" si="12"/>
        <v>9.4350662999252197E-2</v>
      </c>
      <c r="S28" s="111">
        <f t="shared" si="12"/>
        <v>9.4350662999252197E-2</v>
      </c>
      <c r="T28" s="111">
        <f t="shared" si="12"/>
        <v>0</v>
      </c>
      <c r="U28" s="111">
        <f t="shared" si="12"/>
        <v>0.11370102859431988</v>
      </c>
      <c r="V28" s="111">
        <f t="shared" si="12"/>
        <v>7.2516492019356033E-2</v>
      </c>
      <c r="W28" s="111">
        <f t="shared" si="12"/>
        <v>7.2516492019356033E-2</v>
      </c>
      <c r="X28" s="111">
        <f t="shared" si="12"/>
        <v>0</v>
      </c>
      <c r="Y28" s="111">
        <f t="shared" si="12"/>
        <v>0.17149656013738443</v>
      </c>
      <c r="Z28" s="111">
        <f t="shared" si="12"/>
        <v>0</v>
      </c>
      <c r="AA28" s="111">
        <f t="shared" si="12"/>
        <v>1.2591351140627502E-2</v>
      </c>
      <c r="AB28" s="111">
        <f t="shared" si="12"/>
        <v>0</v>
      </c>
      <c r="AC28" s="111">
        <f t="shared" si="12"/>
        <v>0.21139090129211188</v>
      </c>
      <c r="AD28" s="111">
        <f t="shared" si="12"/>
        <v>0</v>
      </c>
      <c r="AE28" s="111">
        <f t="shared" si="12"/>
        <v>0.11102600653840078</v>
      </c>
      <c r="AF28" s="111">
        <f t="shared" si="12"/>
        <v>0</v>
      </c>
      <c r="AG28" s="111">
        <f t="shared" si="12"/>
        <v>0.22367254630384492</v>
      </c>
      <c r="AH28" s="111">
        <f t="shared" si="12"/>
        <v>0</v>
      </c>
      <c r="AI28" s="111" t="e">
        <f t="shared" si="12"/>
        <v>#DIV/0!</v>
      </c>
      <c r="AJ28" s="111" t="e">
        <f t="shared" si="12"/>
        <v>#DIV/0!</v>
      </c>
      <c r="AK28" s="111" t="e">
        <f t="shared" si="12"/>
        <v>#DIV/0!</v>
      </c>
      <c r="AL28" s="111" t="e">
        <f t="shared" si="12"/>
        <v>#DIV/0!</v>
      </c>
      <c r="AM28" s="111" t="e">
        <f t="shared" si="12"/>
        <v>#DIV/0!</v>
      </c>
      <c r="AN28" s="111" t="e">
        <f t="shared" si="12"/>
        <v>#DIV/0!</v>
      </c>
      <c r="AO28" s="111" t="e">
        <f t="shared" si="12"/>
        <v>#DIV/0!</v>
      </c>
      <c r="AP28" s="111" t="e">
        <f t="shared" si="12"/>
        <v>#DIV/0!</v>
      </c>
      <c r="AQ28" s="111" t="e">
        <f t="shared" si="12"/>
        <v>#DIV/0!</v>
      </c>
      <c r="AR28" s="111" t="e">
        <f t="shared" si="12"/>
        <v>#DIV/0!</v>
      </c>
      <c r="AS28" s="111" t="e">
        <f t="shared" si="12"/>
        <v>#DIV/0!</v>
      </c>
      <c r="AT28" s="111" t="e">
        <f t="shared" si="12"/>
        <v>#DIV/0!</v>
      </c>
      <c r="AU28" s="111" t="e">
        <f t="shared" si="12"/>
        <v>#DIV/0!</v>
      </c>
      <c r="AV28" s="111" t="e">
        <f t="shared" si="12"/>
        <v>#DIV/0!</v>
      </c>
      <c r="AW28" s="111" t="e">
        <f t="shared" si="12"/>
        <v>#DIV/0!</v>
      </c>
      <c r="AX28" s="111" t="e">
        <f t="shared" si="12"/>
        <v>#DIV/0!</v>
      </c>
      <c r="AY28" s="111" t="e">
        <f t="shared" si="12"/>
        <v>#DIV/0!</v>
      </c>
      <c r="AZ28" s="111" t="e">
        <f t="shared" si="12"/>
        <v>#DIV/0!</v>
      </c>
      <c r="BA28" s="111" t="e">
        <f t="shared" si="12"/>
        <v>#DIV/0!</v>
      </c>
      <c r="BB28" s="111" t="e">
        <f t="shared" si="12"/>
        <v>#DIV/0!</v>
      </c>
      <c r="BC28" s="111" t="e">
        <f t="shared" si="12"/>
        <v>#DIV/0!</v>
      </c>
      <c r="BD28" s="111" t="e">
        <f t="shared" si="12"/>
        <v>#DIV/0!</v>
      </c>
      <c r="BE28" s="111" t="e">
        <f t="shared" si="12"/>
        <v>#DIV/0!</v>
      </c>
      <c r="BF28" s="111" t="e">
        <f t="shared" si="12"/>
        <v>#DIV/0!</v>
      </c>
      <c r="BG28" s="111" t="e">
        <f t="shared" si="12"/>
        <v>#DIV/0!</v>
      </c>
      <c r="BH28" s="111" t="e">
        <f t="shared" si="12"/>
        <v>#DIV/0!</v>
      </c>
      <c r="BI28" s="111" t="e">
        <f t="shared" si="12"/>
        <v>#DIV/0!</v>
      </c>
      <c r="BJ28" s="111" t="e">
        <f t="shared" si="12"/>
        <v>#DIV/0!</v>
      </c>
      <c r="BK28" s="111" t="e">
        <f t="shared" si="12"/>
        <v>#DIV/0!</v>
      </c>
      <c r="BL28" s="111" t="e">
        <f t="shared" si="12"/>
        <v>#DIV/0!</v>
      </c>
      <c r="BM28" s="111" t="e">
        <f t="shared" si="12"/>
        <v>#DIV/0!</v>
      </c>
      <c r="BN28" s="111" t="e">
        <f t="shared" si="12"/>
        <v>#DIV/0!</v>
      </c>
      <c r="BO28" s="111" t="e">
        <f t="shared" si="12"/>
        <v>#DIV/0!</v>
      </c>
      <c r="BP28" s="111" t="e">
        <f t="shared" si="12"/>
        <v>#DIV/0!</v>
      </c>
      <c r="BQ28" s="111" t="e">
        <f t="shared" si="12"/>
        <v>#DIV/0!</v>
      </c>
      <c r="BR28" s="111" t="e">
        <f t="shared" ref="BR28:CJ28" si="13">BR26/BR27</f>
        <v>#DIV/0!</v>
      </c>
      <c r="BS28" s="111" t="e">
        <f t="shared" si="13"/>
        <v>#DIV/0!</v>
      </c>
      <c r="BT28" s="111" t="e">
        <f t="shared" si="13"/>
        <v>#DIV/0!</v>
      </c>
      <c r="BU28" s="111" t="e">
        <f t="shared" si="13"/>
        <v>#DIV/0!</v>
      </c>
      <c r="BV28" s="111" t="e">
        <f t="shared" si="13"/>
        <v>#DIV/0!</v>
      </c>
      <c r="BW28" s="111" t="e">
        <f t="shared" si="13"/>
        <v>#DIV/0!</v>
      </c>
      <c r="BX28" s="111" t="e">
        <f t="shared" si="13"/>
        <v>#DIV/0!</v>
      </c>
      <c r="BY28" s="111" t="e">
        <f t="shared" si="13"/>
        <v>#DIV/0!</v>
      </c>
      <c r="BZ28" s="111" t="e">
        <f t="shared" si="13"/>
        <v>#DIV/0!</v>
      </c>
      <c r="CA28" s="111" t="e">
        <f t="shared" si="13"/>
        <v>#DIV/0!</v>
      </c>
      <c r="CB28" s="111" t="e">
        <f t="shared" si="13"/>
        <v>#DIV/0!</v>
      </c>
      <c r="CC28" s="111" t="e">
        <f t="shared" si="13"/>
        <v>#DIV/0!</v>
      </c>
      <c r="CD28" s="111" t="e">
        <f t="shared" si="13"/>
        <v>#DIV/0!</v>
      </c>
      <c r="CE28" s="111" t="e">
        <f t="shared" si="13"/>
        <v>#DIV/0!</v>
      </c>
      <c r="CF28" s="111" t="e">
        <f t="shared" si="13"/>
        <v>#DIV/0!</v>
      </c>
      <c r="CG28" s="111" t="e">
        <f t="shared" si="13"/>
        <v>#DIV/0!</v>
      </c>
      <c r="CH28" s="111" t="e">
        <f t="shared" si="13"/>
        <v>#DIV/0!</v>
      </c>
      <c r="CI28" s="111" t="e">
        <f t="shared" si="13"/>
        <v>#DIV/0!</v>
      </c>
      <c r="CJ28" s="111" t="e">
        <f t="shared" si="13"/>
        <v>#DIV/0!</v>
      </c>
    </row>
    <row r="29" spans="1:89" s="26" customFormat="1" ht="159.6" customHeight="1" x14ac:dyDescent="0.25">
      <c r="A29" s="287" t="s">
        <v>697</v>
      </c>
      <c r="B29" s="278"/>
      <c r="C29" s="278"/>
      <c r="D29" s="278"/>
      <c r="E29" s="278"/>
      <c r="F29" s="278"/>
      <c r="G29" s="278"/>
      <c r="H29" s="278"/>
      <c r="I29" s="278"/>
      <c r="J29" s="278"/>
      <c r="K29" s="278"/>
      <c r="L29" s="278"/>
      <c r="M29" s="278"/>
      <c r="N29" s="278"/>
      <c r="O29" s="278"/>
      <c r="P29" s="278"/>
      <c r="Q29" s="278"/>
      <c r="R29" s="278"/>
      <c r="S29" s="278"/>
      <c r="T29" s="278"/>
      <c r="U29" s="278"/>
    </row>
    <row r="30" spans="1:89" s="26" customFormat="1" x14ac:dyDescent="0.25">
      <c r="A30" s="17"/>
    </row>
    <row r="31" spans="1:89" s="117" customFormat="1" x14ac:dyDescent="0.25">
      <c r="A31" s="119"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40178</v>
      </c>
      <c r="AJ31" s="1">
        <v>39813</v>
      </c>
      <c r="AK31" s="1">
        <v>25569</v>
      </c>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449</v>
      </c>
      <c r="E32" s="76">
        <f>股权价值增加表!E29</f>
        <v>-50596362.650435552</v>
      </c>
      <c r="F32" s="76">
        <f>股权价值增加表!F29</f>
        <v>-32519999.412396323</v>
      </c>
      <c r="G32" s="76">
        <f>股权价值增加表!G29</f>
        <v>-14631700.738465576</v>
      </c>
      <c r="H32" s="76">
        <f>股权价值增加表!H29</f>
        <v>-4664983.0299836472</v>
      </c>
      <c r="I32" s="76">
        <f>股权价值增加表!I29</f>
        <v>80049538.383819789</v>
      </c>
      <c r="J32" s="76">
        <f>股权价值增加表!J29</f>
        <v>27706211.620232355</v>
      </c>
      <c r="K32" s="76">
        <f>股权价值增加表!K29</f>
        <v>24196726.37430257</v>
      </c>
      <c r="L32" s="76">
        <f>股权价值增加表!L29</f>
        <v>4707380.576771481</v>
      </c>
      <c r="M32" s="76">
        <f>股权价值增加表!M29</f>
        <v>50583661.845336847</v>
      </c>
      <c r="N32" s="76">
        <f>股权价值增加表!N29</f>
        <v>0</v>
      </c>
      <c r="O32" s="76">
        <f>股权价值增加表!O29</f>
        <v>0</v>
      </c>
      <c r="P32" s="76">
        <f>股权价值增加表!P29</f>
        <v>0</v>
      </c>
      <c r="Q32" s="76">
        <f>股权价值增加表!Q29</f>
        <v>6456726.6599864326</v>
      </c>
      <c r="R32" s="76">
        <f>股权价值增加表!R29</f>
        <v>0</v>
      </c>
      <c r="S32" s="76">
        <f>股权价值增加表!S29</f>
        <v>0</v>
      </c>
      <c r="T32" s="76">
        <f>股权价值增加表!T29</f>
        <v>0</v>
      </c>
      <c r="U32" s="76">
        <f>股权价值增加表!U29</f>
        <v>-4846945.9151086938</v>
      </c>
      <c r="V32" s="76">
        <f>股权价值增加表!V29</f>
        <v>0</v>
      </c>
      <c r="W32" s="76">
        <f>股权价值增加表!W29</f>
        <v>0</v>
      </c>
      <c r="X32" s="76">
        <f>股权价值增加表!X29</f>
        <v>0</v>
      </c>
      <c r="Y32" s="76">
        <f>股权价值增加表!Y29</f>
        <v>5031738.1926700799</v>
      </c>
      <c r="Z32" s="76">
        <f>股权价值增加表!Z29</f>
        <v>83560.84929348377</v>
      </c>
      <c r="AA32" s="76">
        <f>股权价值增加表!AA29</f>
        <v>0</v>
      </c>
      <c r="AB32" s="76">
        <f>股权价值增加表!AB29</f>
        <v>0</v>
      </c>
      <c r="AC32" s="76">
        <f>股权价值增加表!AC29</f>
        <v>1095695.5582595957</v>
      </c>
      <c r="AD32" s="76">
        <f>股权价值增加表!AD29</f>
        <v>823927.46252427087</v>
      </c>
      <c r="AE32" s="76">
        <f>股权价值增加表!AE29</f>
        <v>0</v>
      </c>
      <c r="AF32" s="76">
        <f>股权价值增加表!AF29</f>
        <v>0</v>
      </c>
      <c r="AG32" s="76">
        <f>股权价值增加表!AG29</f>
        <v>842906.0238490277</v>
      </c>
      <c r="AH32" s="76">
        <f>股权价值增加表!AH29</f>
        <v>398745.70786127081</v>
      </c>
      <c r="AI32" s="76">
        <f>股权价值增加表!AI29</f>
        <v>0</v>
      </c>
      <c r="AJ32" s="76">
        <f>股权价值增加表!AJ29</f>
        <v>45000</v>
      </c>
      <c r="AK32" s="76">
        <f>股权价值增加表!AK29</f>
        <v>16754971.699999999</v>
      </c>
      <c r="AL32" s="76">
        <f>股权价值增加表!AL29</f>
        <v>7821084.8920422504</v>
      </c>
      <c r="AM32" s="76">
        <f>股权价值增加表!AM29</f>
        <v>2973010.495257224</v>
      </c>
      <c r="AN32" s="76">
        <f>股权价值增加表!AN29</f>
        <v>0</v>
      </c>
      <c r="AO32" s="76">
        <f>股权价值增加表!AO29</f>
        <v>-901511792896.55042</v>
      </c>
      <c r="AP32" s="76">
        <f>股权价值增加表!AP29</f>
        <v>-14294383.321031526</v>
      </c>
      <c r="AQ32" s="76">
        <f>股权价值增加表!AQ29</f>
        <v>229001633.71847188</v>
      </c>
      <c r="AR32" s="76">
        <f>股权价值增加表!AR29</f>
        <v>-30483532.63921041</v>
      </c>
      <c r="AS32" s="76">
        <f>股权价值增加表!AS29</f>
        <v>-839827200.09648085</v>
      </c>
      <c r="AT32" s="76">
        <f>股权价值增加表!AT29</f>
        <v>-27178902645.427296</v>
      </c>
      <c r="AU32" s="76">
        <f>股权价值增加表!AU29</f>
        <v>69034471.116591066</v>
      </c>
      <c r="AV32" s="76">
        <f>股权价值增加表!AV29</f>
        <v>47094251.56631539</v>
      </c>
      <c r="AW32" s="76">
        <f>股权价值增加表!AW29</f>
        <v>-567629685.64919615</v>
      </c>
      <c r="AX32" s="76">
        <f>股权价值增加表!AX29</f>
        <v>3026290336.0433035</v>
      </c>
      <c r="AY32" s="76">
        <f>股权价值增加表!AY29</f>
        <v>-1173325575.8622603</v>
      </c>
      <c r="AZ32" s="76">
        <f>股权价值增加表!AZ29</f>
        <v>-345360810.27265632</v>
      </c>
      <c r="BA32" s="76">
        <f>股权价值增加表!BA29</f>
        <v>540352439.8222543</v>
      </c>
      <c r="BB32" s="76">
        <f>股权价值增加表!BB29</f>
        <v>92436226.169474512</v>
      </c>
      <c r="BC32" s="76">
        <f>股权价值增加表!BC29</f>
        <v>-34094445.770861022</v>
      </c>
      <c r="BD32" s="76">
        <f>股权价值增加表!BD29</f>
        <v>-5282296.342387001</v>
      </c>
      <c r="BE32" s="76">
        <f>股权价值增加表!BE29</f>
        <v>88368543.461515978</v>
      </c>
      <c r="BF32" s="76">
        <f>股权价值增加表!BF29</f>
        <v>-6516468.3868728504</v>
      </c>
      <c r="BG32" s="76">
        <f>股权价值增加表!BG29</f>
        <v>-13251724.177898811</v>
      </c>
      <c r="BH32" s="76">
        <f>股权价值增加表!BH29</f>
        <v>79318290.947160035</v>
      </c>
      <c r="BI32" s="76">
        <f>股权价值增加表!BI29</f>
        <v>-204411390.67561933</v>
      </c>
      <c r="BJ32" s="76">
        <f>股权价值增加表!BJ29</f>
        <v>-13748976.382773519</v>
      </c>
      <c r="BK32" s="76">
        <f>股权价值增加表!BK29</f>
        <v>-31615663.513695333</v>
      </c>
      <c r="BL32" s="76">
        <f>股权价值增加表!BL29</f>
        <v>-20248502.589389171</v>
      </c>
      <c r="BM32" s="76">
        <f>股权价值增加表!BM29</f>
        <v>3407661.7208166793</v>
      </c>
      <c r="BN32" s="76">
        <f>股权价值增加表!BN29</f>
        <v>-2567092.0590265407</v>
      </c>
      <c r="BO32" s="76">
        <f>股权价值增加表!BO29</f>
        <v>-1918040.0505167195</v>
      </c>
      <c r="BP32" s="76">
        <f>股权价值增加表!BP29</f>
        <v>-1567176.3196275609</v>
      </c>
      <c r="BQ32" s="76">
        <f>股权价值增加表!BQ29</f>
        <v>-1991322.0268247135</v>
      </c>
      <c r="BR32" s="76">
        <f>股权价值增加表!BR29</f>
        <v>-22857300</v>
      </c>
      <c r="BS32" s="76">
        <f>股权价值增加表!BS29</f>
        <v>-1714057.9871726404</v>
      </c>
      <c r="BT32" s="76">
        <f>股权价值增加表!BT29</f>
        <v>0</v>
      </c>
      <c r="BU32" s="76">
        <f>股权价值增加表!BU29</f>
        <v>0</v>
      </c>
      <c r="BV32" s="76">
        <f>股权价值增加表!BV29</f>
        <v>0</v>
      </c>
      <c r="BW32" s="76">
        <f>股权价值增加表!BW29</f>
        <v>0</v>
      </c>
      <c r="BX32" s="76">
        <f>股权价值增加表!BX29</f>
        <v>0</v>
      </c>
      <c r="BY32" s="76" t="e">
        <f>股权价值增加表!BY29</f>
        <v>#DIV/0!</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450</v>
      </c>
    </row>
    <row r="34" spans="1:89" s="76" customFormat="1" x14ac:dyDescent="0.25">
      <c r="A34" s="147" t="s">
        <v>451</v>
      </c>
      <c r="E34" s="76">
        <f>资产资本表!E4</f>
        <v>627279567.75999999</v>
      </c>
      <c r="F34" s="76">
        <f>资产资本表!F4</f>
        <v>646898398.60000002</v>
      </c>
      <c r="G34" s="76">
        <f>资产资本表!G4</f>
        <v>640706738.29999995</v>
      </c>
      <c r="H34" s="76">
        <f>资产资本表!H4</f>
        <v>748407749.91999996</v>
      </c>
      <c r="I34" s="76">
        <f>资产资本表!I4</f>
        <v>497200922.38</v>
      </c>
      <c r="J34" s="76">
        <f>资产资本表!J4</f>
        <v>1041896896.37</v>
      </c>
      <c r="K34" s="76">
        <f>资产资本表!K4</f>
        <v>388776166.88</v>
      </c>
      <c r="L34" s="76">
        <f>资产资本表!L4</f>
        <v>675753014.13</v>
      </c>
      <c r="M34" s="76">
        <f>资产资本表!M4</f>
        <v>696067859.69000006</v>
      </c>
      <c r="N34" s="76">
        <f>资产资本表!N4</f>
        <v>690771780.01999998</v>
      </c>
      <c r="O34" s="76">
        <f>资产资本表!O4</f>
        <v>641442723.11000001</v>
      </c>
      <c r="P34" s="76">
        <f>资产资本表!P4</f>
        <v>1255365928.1900001</v>
      </c>
      <c r="Q34" s="76">
        <f>资产资本表!Q4</f>
        <v>234501204.41999999</v>
      </c>
      <c r="R34" s="76">
        <f>资产资本表!R4</f>
        <v>276684977.61000001</v>
      </c>
      <c r="S34" s="76">
        <f>资产资本表!S4</f>
        <v>248656253.59</v>
      </c>
      <c r="T34" s="76">
        <f>资产资本表!T4</f>
        <v>310229232.98000002</v>
      </c>
      <c r="U34" s="76">
        <f>资产资本表!U4</f>
        <v>321851231.97000003</v>
      </c>
      <c r="V34" s="76">
        <f>资产资本表!V4</f>
        <v>306954505.58999997</v>
      </c>
      <c r="W34" s="76">
        <f>资产资本表!W4</f>
        <v>295593122.75999999</v>
      </c>
      <c r="X34" s="76">
        <f>资产资本表!X4</f>
        <v>419339678.55000001</v>
      </c>
      <c r="Y34" s="76">
        <f>资产资本表!Y4</f>
        <v>429298270.75</v>
      </c>
      <c r="Z34" s="76">
        <f>资产资本表!Z4</f>
        <v>413831417.81</v>
      </c>
      <c r="AA34" s="76">
        <f>资产资本表!AA4</f>
        <v>460824111.80000001</v>
      </c>
      <c r="AB34" s="76">
        <f>资产资本表!AB4</f>
        <v>596710534.11000001</v>
      </c>
      <c r="AC34" s="76">
        <f>资产资本表!AC4</f>
        <v>847566521.58000004</v>
      </c>
      <c r="AD34" s="76">
        <f>资产资本表!AD4</f>
        <v>29624772.98</v>
      </c>
      <c r="AE34" s="76">
        <f>资产资本表!AE4</f>
        <v>44141747.770000003</v>
      </c>
      <c r="AF34" s="76">
        <f>资产资本表!AF4</f>
        <v>49695104.770000003</v>
      </c>
      <c r="AG34" s="76">
        <f>资产资本表!AG4</f>
        <v>99638795.879999995</v>
      </c>
      <c r="AH34" s="76">
        <f>资产资本表!AH4</f>
        <v>45384825.549999997</v>
      </c>
      <c r="AI34" s="76">
        <f>资产资本表!AI4</f>
        <v>0</v>
      </c>
      <c r="AJ34" s="76">
        <f>资产资本表!AJ4</f>
        <v>0</v>
      </c>
      <c r="AK34" s="76">
        <f>资产资本表!AK4</f>
        <v>0</v>
      </c>
      <c r="AL34" s="76">
        <f>资产资本表!AL4</f>
        <v>0</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453</v>
      </c>
      <c r="E36" s="76">
        <f>资产资本表!E13</f>
        <v>0</v>
      </c>
      <c r="F36" s="76">
        <f>资产资本表!F13</f>
        <v>10830.97</v>
      </c>
      <c r="G36" s="76">
        <f>资产资本表!G13</f>
        <v>0</v>
      </c>
      <c r="H36" s="76">
        <f>资产资本表!H13</f>
        <v>0</v>
      </c>
      <c r="I36" s="76">
        <f>资产资本表!I13</f>
        <v>193750</v>
      </c>
      <c r="J36" s="76">
        <f>资产资本表!J13</f>
        <v>0</v>
      </c>
      <c r="K36" s="76">
        <f>资产资本表!K13</f>
        <v>0</v>
      </c>
      <c r="L36" s="76">
        <f>资产资本表!L13</f>
        <v>8306.99</v>
      </c>
      <c r="M36" s="76">
        <f>资产资本表!M13</f>
        <v>129925.53</v>
      </c>
      <c r="N36" s="76">
        <f>资产资本表!N13</f>
        <v>18955.82</v>
      </c>
      <c r="O36" s="76">
        <f>资产资本表!O13</f>
        <v>82599.98</v>
      </c>
      <c r="P36" s="76">
        <f>资产资本表!P13</f>
        <v>0</v>
      </c>
      <c r="Q36" s="76">
        <f>资产资本表!Q13</f>
        <v>131048.02</v>
      </c>
      <c r="R36" s="76">
        <f>资产资本表!R13</f>
        <v>0</v>
      </c>
      <c r="S36" s="76">
        <f>资产资本表!S13</f>
        <v>522726.33</v>
      </c>
      <c r="T36" s="76">
        <f>资产资本表!T13</f>
        <v>0</v>
      </c>
      <c r="U36" s="76">
        <f>资产资本表!U13</f>
        <v>609629.63</v>
      </c>
      <c r="V36" s="76">
        <f>资产资本表!V13</f>
        <v>0</v>
      </c>
      <c r="W36" s="76">
        <f>资产资本表!W13</f>
        <v>716588.88</v>
      </c>
      <c r="X36" s="76">
        <f>资产资本表!X13</f>
        <v>0</v>
      </c>
      <c r="Y36" s="76">
        <f>资产资本表!Y13</f>
        <v>4121250.02</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455</v>
      </c>
      <c r="E38" s="76">
        <f>资产资本表!E8</f>
        <v>0</v>
      </c>
      <c r="F38" s="76">
        <f>资产资本表!F8</f>
        <v>0</v>
      </c>
      <c r="G38" s="76">
        <f>资产资本表!G8</f>
        <v>0</v>
      </c>
      <c r="H38" s="76">
        <f>资产资本表!H8</f>
        <v>0</v>
      </c>
      <c r="I38" s="76">
        <f>资产资本表!I8</f>
        <v>0</v>
      </c>
      <c r="J38" s="76">
        <f>资产资本表!J8</f>
        <v>0</v>
      </c>
      <c r="K38" s="76">
        <f>资产资本表!K8</f>
        <v>0</v>
      </c>
      <c r="L38" s="76">
        <f>资产资本表!L8</f>
        <v>0</v>
      </c>
      <c r="M38" s="76">
        <f>资产资本表!M8</f>
        <v>0</v>
      </c>
      <c r="N38" s="76">
        <f>资产资本表!N8</f>
        <v>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4837055.33</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2426856.9700000002</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460</v>
      </c>
      <c r="E43" s="76">
        <f>SUM(E34:E42)</f>
        <v>627279567.75999999</v>
      </c>
      <c r="F43" s="76">
        <f t="shared" ref="F43:BQ43" si="14">SUM(F34:F42)</f>
        <v>646909229.57000005</v>
      </c>
      <c r="G43" s="76">
        <f t="shared" si="14"/>
        <v>640706738.29999995</v>
      </c>
      <c r="H43" s="76">
        <f t="shared" si="14"/>
        <v>748407749.91999996</v>
      </c>
      <c r="I43" s="76">
        <f t="shared" si="14"/>
        <v>497394672.38</v>
      </c>
      <c r="J43" s="76">
        <f t="shared" si="14"/>
        <v>1041896896.37</v>
      </c>
      <c r="K43" s="76">
        <f t="shared" si="14"/>
        <v>388776166.88</v>
      </c>
      <c r="L43" s="76">
        <f t="shared" si="14"/>
        <v>680598376.45000005</v>
      </c>
      <c r="M43" s="76">
        <f t="shared" si="14"/>
        <v>696197785.22000003</v>
      </c>
      <c r="N43" s="76">
        <f t="shared" si="14"/>
        <v>690790735.84000003</v>
      </c>
      <c r="O43" s="76">
        <f t="shared" si="14"/>
        <v>641525323.09000003</v>
      </c>
      <c r="P43" s="76">
        <f t="shared" si="14"/>
        <v>1255365928.1900001</v>
      </c>
      <c r="Q43" s="76">
        <f t="shared" si="14"/>
        <v>234632252.44</v>
      </c>
      <c r="R43" s="76">
        <f t="shared" si="14"/>
        <v>276684977.61000001</v>
      </c>
      <c r="S43" s="76">
        <f t="shared" si="14"/>
        <v>249178979.92000002</v>
      </c>
      <c r="T43" s="76">
        <f t="shared" si="14"/>
        <v>310229232.98000002</v>
      </c>
      <c r="U43" s="76">
        <f t="shared" si="14"/>
        <v>322460861.60000002</v>
      </c>
      <c r="V43" s="76">
        <f t="shared" si="14"/>
        <v>306954505.58999997</v>
      </c>
      <c r="W43" s="76">
        <f t="shared" si="14"/>
        <v>296309711.63999999</v>
      </c>
      <c r="X43" s="76">
        <f t="shared" si="14"/>
        <v>419339678.55000001</v>
      </c>
      <c r="Y43" s="76">
        <f t="shared" si="14"/>
        <v>433419520.76999998</v>
      </c>
      <c r="Z43" s="76">
        <f t="shared" si="14"/>
        <v>413831417.81</v>
      </c>
      <c r="AA43" s="76">
        <f t="shared" si="14"/>
        <v>460824111.80000001</v>
      </c>
      <c r="AB43" s="76">
        <f t="shared" si="14"/>
        <v>596710534.11000001</v>
      </c>
      <c r="AC43" s="76">
        <f t="shared" si="14"/>
        <v>847566521.58000004</v>
      </c>
      <c r="AD43" s="76">
        <f t="shared" si="14"/>
        <v>29624772.98</v>
      </c>
      <c r="AE43" s="76">
        <f t="shared" si="14"/>
        <v>44141747.770000003</v>
      </c>
      <c r="AF43" s="76">
        <f t="shared" si="14"/>
        <v>49695104.770000003</v>
      </c>
      <c r="AG43" s="76">
        <f t="shared" si="14"/>
        <v>99638795.879999995</v>
      </c>
      <c r="AH43" s="76">
        <f t="shared" si="14"/>
        <v>47811682.519999996</v>
      </c>
      <c r="AI43" s="76">
        <f t="shared" si="14"/>
        <v>0</v>
      </c>
      <c r="AJ43" s="76">
        <f t="shared" si="14"/>
        <v>0</v>
      </c>
      <c r="AK43" s="76">
        <f t="shared" si="14"/>
        <v>0</v>
      </c>
      <c r="AL43" s="76">
        <f t="shared" si="14"/>
        <v>0</v>
      </c>
      <c r="AM43" s="76">
        <f t="shared" si="14"/>
        <v>0</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1" customFormat="1" x14ac:dyDescent="0.25">
      <c r="A44" s="145" t="s">
        <v>461</v>
      </c>
      <c r="E44" s="111">
        <f>E32/E43</f>
        <v>-8.0659988386221362E-2</v>
      </c>
      <c r="F44" s="111">
        <f t="shared" ref="F44:BQ44" si="16">F32/F43</f>
        <v>-5.026980281918738E-2</v>
      </c>
      <c r="G44" s="111">
        <f t="shared" si="16"/>
        <v>-2.2836814198783299E-2</v>
      </c>
      <c r="H44" s="111">
        <f t="shared" si="16"/>
        <v>-6.2332104798250741E-3</v>
      </c>
      <c r="I44" s="111">
        <f t="shared" si="16"/>
        <v>0.1609376674679448</v>
      </c>
      <c r="J44" s="111">
        <f t="shared" si="16"/>
        <v>2.659208575892838E-2</v>
      </c>
      <c r="K44" s="111">
        <f t="shared" si="16"/>
        <v>6.2238193684776857E-2</v>
      </c>
      <c r="L44" s="111">
        <f t="shared" si="16"/>
        <v>6.9165321864638734E-3</v>
      </c>
      <c r="M44" s="111">
        <f t="shared" si="16"/>
        <v>7.2657027814807401E-2</v>
      </c>
      <c r="N44" s="111">
        <f t="shared" si="16"/>
        <v>0</v>
      </c>
      <c r="O44" s="111">
        <f t="shared" si="16"/>
        <v>0</v>
      </c>
      <c r="P44" s="111">
        <f t="shared" si="16"/>
        <v>0</v>
      </c>
      <c r="Q44" s="111">
        <f t="shared" si="16"/>
        <v>2.7518495828434936E-2</v>
      </c>
      <c r="R44" s="111">
        <f t="shared" si="16"/>
        <v>0</v>
      </c>
      <c r="S44" s="111">
        <f t="shared" si="16"/>
        <v>0</v>
      </c>
      <c r="T44" s="111">
        <f t="shared" si="16"/>
        <v>0</v>
      </c>
      <c r="U44" s="111">
        <f t="shared" si="16"/>
        <v>-1.5031113825904054E-2</v>
      </c>
      <c r="V44" s="111">
        <f t="shared" si="16"/>
        <v>0</v>
      </c>
      <c r="W44" s="111">
        <f t="shared" si="16"/>
        <v>0</v>
      </c>
      <c r="X44" s="111">
        <f t="shared" si="16"/>
        <v>0</v>
      </c>
      <c r="Y44" s="111">
        <f t="shared" si="16"/>
        <v>1.1609394481657971E-2</v>
      </c>
      <c r="Z44" s="111">
        <f t="shared" si="16"/>
        <v>2.0192002273700875E-4</v>
      </c>
      <c r="AA44" s="111">
        <f t="shared" si="16"/>
        <v>0</v>
      </c>
      <c r="AB44" s="111">
        <f t="shared" si="16"/>
        <v>0</v>
      </c>
      <c r="AC44" s="111">
        <f t="shared" si="16"/>
        <v>1.2927546456377762E-3</v>
      </c>
      <c r="AD44" s="111">
        <f t="shared" si="16"/>
        <v>2.7812110596780373E-2</v>
      </c>
      <c r="AE44" s="111">
        <f t="shared" si="16"/>
        <v>0</v>
      </c>
      <c r="AF44" s="111">
        <f t="shared" si="16"/>
        <v>0</v>
      </c>
      <c r="AG44" s="111">
        <f t="shared" si="16"/>
        <v>8.4596167226286215E-3</v>
      </c>
      <c r="AH44" s="111">
        <f t="shared" si="16"/>
        <v>8.3399221036505548E-3</v>
      </c>
      <c r="AI44" s="111" t="e">
        <f t="shared" si="16"/>
        <v>#DIV/0!</v>
      </c>
      <c r="AJ44" s="111" t="e">
        <f t="shared" si="16"/>
        <v>#DIV/0!</v>
      </c>
      <c r="AK44" s="111" t="e">
        <f t="shared" si="16"/>
        <v>#DIV/0!</v>
      </c>
      <c r="AL44" s="111" t="e">
        <f t="shared" si="16"/>
        <v>#DIV/0!</v>
      </c>
      <c r="AM44" s="111" t="e">
        <f t="shared" si="16"/>
        <v>#DIV/0!</v>
      </c>
      <c r="AN44" s="111" t="e">
        <f t="shared" si="16"/>
        <v>#DIV/0!</v>
      </c>
      <c r="AO44" s="111" t="e">
        <f t="shared" si="16"/>
        <v>#DIV/0!</v>
      </c>
      <c r="AP44" s="111" t="e">
        <f t="shared" si="16"/>
        <v>#DIV/0!</v>
      </c>
      <c r="AQ44" s="111" t="e">
        <f t="shared" si="16"/>
        <v>#DIV/0!</v>
      </c>
      <c r="AR44" s="111" t="e">
        <f t="shared" si="16"/>
        <v>#DIV/0!</v>
      </c>
      <c r="AS44" s="111" t="e">
        <f t="shared" si="16"/>
        <v>#DIV/0!</v>
      </c>
      <c r="AT44" s="111" t="e">
        <f t="shared" si="16"/>
        <v>#DIV/0!</v>
      </c>
      <c r="AU44" s="111" t="e">
        <f t="shared" si="16"/>
        <v>#DIV/0!</v>
      </c>
      <c r="AV44" s="111" t="e">
        <f t="shared" si="16"/>
        <v>#DIV/0!</v>
      </c>
      <c r="AW44" s="111" t="e">
        <f t="shared" si="16"/>
        <v>#DIV/0!</v>
      </c>
      <c r="AX44" s="111" t="e">
        <f t="shared" si="16"/>
        <v>#DIV/0!</v>
      </c>
      <c r="AY44" s="111" t="e">
        <f t="shared" si="16"/>
        <v>#DIV/0!</v>
      </c>
      <c r="AZ44" s="111" t="e">
        <f t="shared" si="16"/>
        <v>#DIV/0!</v>
      </c>
      <c r="BA44" s="111" t="e">
        <f t="shared" si="16"/>
        <v>#DIV/0!</v>
      </c>
      <c r="BB44" s="111" t="e">
        <f t="shared" si="16"/>
        <v>#DIV/0!</v>
      </c>
      <c r="BC44" s="111" t="e">
        <f t="shared" si="16"/>
        <v>#DIV/0!</v>
      </c>
      <c r="BD44" s="111" t="e">
        <f t="shared" si="16"/>
        <v>#DIV/0!</v>
      </c>
      <c r="BE44" s="111" t="e">
        <f t="shared" si="16"/>
        <v>#DIV/0!</v>
      </c>
      <c r="BF44" s="111" t="e">
        <f t="shared" si="16"/>
        <v>#DIV/0!</v>
      </c>
      <c r="BG44" s="111" t="e">
        <f t="shared" si="16"/>
        <v>#DIV/0!</v>
      </c>
      <c r="BH44" s="111" t="e">
        <f t="shared" si="16"/>
        <v>#DIV/0!</v>
      </c>
      <c r="BI44" s="111" t="e">
        <f t="shared" si="16"/>
        <v>#DIV/0!</v>
      </c>
      <c r="BJ44" s="111" t="e">
        <f t="shared" si="16"/>
        <v>#DIV/0!</v>
      </c>
      <c r="BK44" s="111" t="e">
        <f t="shared" si="16"/>
        <v>#DIV/0!</v>
      </c>
      <c r="BL44" s="111" t="e">
        <f t="shared" si="16"/>
        <v>#DIV/0!</v>
      </c>
      <c r="BM44" s="111" t="e">
        <f t="shared" si="16"/>
        <v>#DIV/0!</v>
      </c>
      <c r="BN44" s="111" t="e">
        <f t="shared" si="16"/>
        <v>#DIV/0!</v>
      </c>
      <c r="BO44" s="111" t="e">
        <f t="shared" si="16"/>
        <v>#DIV/0!</v>
      </c>
      <c r="BP44" s="111" t="e">
        <f t="shared" si="16"/>
        <v>#DIV/0!</v>
      </c>
      <c r="BQ44" s="111" t="e">
        <f t="shared" si="16"/>
        <v>#DIV/0!</v>
      </c>
      <c r="BR44" s="111" t="e">
        <f t="shared" ref="BR44:CK44" si="17">BR32/BR43</f>
        <v>#DIV/0!</v>
      </c>
      <c r="BS44" s="111" t="e">
        <f t="shared" si="17"/>
        <v>#DIV/0!</v>
      </c>
      <c r="BT44" s="111" t="e">
        <f t="shared" si="17"/>
        <v>#DIV/0!</v>
      </c>
      <c r="BU44" s="111" t="e">
        <f t="shared" si="17"/>
        <v>#DIV/0!</v>
      </c>
      <c r="BV44" s="111" t="e">
        <f t="shared" si="17"/>
        <v>#DIV/0!</v>
      </c>
      <c r="BW44" s="111" t="e">
        <f t="shared" si="17"/>
        <v>#DIV/0!</v>
      </c>
      <c r="BX44" s="111" t="e">
        <f t="shared" si="17"/>
        <v>#DIV/0!</v>
      </c>
      <c r="BY44" s="111" t="e">
        <f t="shared" si="17"/>
        <v>#DIV/0!</v>
      </c>
      <c r="BZ44" s="111" t="e">
        <f t="shared" si="17"/>
        <v>#DIV/0!</v>
      </c>
      <c r="CA44" s="111" t="e">
        <f t="shared" si="17"/>
        <v>#DIV/0!</v>
      </c>
      <c r="CB44" s="111" t="e">
        <f t="shared" si="17"/>
        <v>#DIV/0!</v>
      </c>
      <c r="CC44" s="111" t="e">
        <f t="shared" si="17"/>
        <v>#DIV/0!</v>
      </c>
      <c r="CD44" s="111" t="e">
        <f t="shared" si="17"/>
        <v>#DIV/0!</v>
      </c>
      <c r="CE44" s="111" t="e">
        <f t="shared" si="17"/>
        <v>#DIV/0!</v>
      </c>
      <c r="CF44" s="111" t="e">
        <f t="shared" si="17"/>
        <v>#DIV/0!</v>
      </c>
      <c r="CG44" s="111" t="e">
        <f t="shared" si="17"/>
        <v>#DIV/0!</v>
      </c>
      <c r="CH44" s="111" t="e">
        <f t="shared" si="17"/>
        <v>#DIV/0!</v>
      </c>
      <c r="CI44" s="111" t="e">
        <f t="shared" si="17"/>
        <v>#DIV/0!</v>
      </c>
      <c r="CJ44" s="111" t="e">
        <f t="shared" si="17"/>
        <v>#DIV/0!</v>
      </c>
      <c r="CK44" s="111" t="e">
        <f t="shared" si="17"/>
        <v>#DIV/0!</v>
      </c>
    </row>
    <row r="45" spans="1:89" s="16" customFormat="1" ht="81.599999999999994" customHeight="1" x14ac:dyDescent="0.25">
      <c r="A45" s="276" t="s">
        <v>698</v>
      </c>
      <c r="B45" s="275"/>
      <c r="C45" s="275"/>
      <c r="D45" s="275"/>
      <c r="E45" s="275"/>
      <c r="F45" s="275"/>
      <c r="G45" s="275"/>
      <c r="H45" s="275"/>
      <c r="I45" s="275"/>
      <c r="J45" s="275"/>
      <c r="K45" s="275"/>
      <c r="L45" s="275"/>
      <c r="M45" s="275"/>
      <c r="N45" s="275"/>
      <c r="O45" s="275"/>
      <c r="P45" s="275"/>
      <c r="Q45" s="275"/>
      <c r="R45" s="275"/>
      <c r="S45" s="275"/>
      <c r="T45" s="275"/>
      <c r="U45" s="275"/>
      <c r="V45" s="275"/>
      <c r="W45" s="275"/>
      <c r="X45" s="275"/>
      <c r="Y45" s="275"/>
      <c r="Z45" s="275"/>
      <c r="AA45" s="275"/>
      <c r="AB45" s="275"/>
      <c r="AC45" s="275"/>
      <c r="AD45" s="275"/>
      <c r="AE45" s="275"/>
      <c r="AF45" s="275"/>
      <c r="AG45" s="275"/>
    </row>
    <row r="46" spans="1:89" s="57" customFormat="1" x14ac:dyDescent="0.25">
      <c r="A46" s="57" t="s">
        <v>699</v>
      </c>
      <c r="E46" s="57">
        <f>E43/资产资本表!E70</f>
        <v>0.15357885292284826</v>
      </c>
      <c r="F46" s="57">
        <f>F43/资产资本表!F70</f>
        <v>0.16132815520011692</v>
      </c>
      <c r="G46" s="57">
        <f>G43/资产资本表!G70</f>
        <v>0.1625385084853456</v>
      </c>
      <c r="H46" s="57">
        <f>H43/资产资本表!H70</f>
        <v>0.18865028255220315</v>
      </c>
      <c r="I46" s="57">
        <f>I43/资产资本表!I70</f>
        <v>0.1284124157304293</v>
      </c>
      <c r="J46" s="57">
        <f>J43/资产资本表!J70</f>
        <v>0.24507069365987452</v>
      </c>
      <c r="K46" s="57">
        <f>K43/资产资本表!K70</f>
        <v>0.11109299196335491</v>
      </c>
      <c r="L46" s="57">
        <f>L43/资产资本表!L70</f>
        <v>0.19933960892472069</v>
      </c>
      <c r="M46" s="57">
        <f>M43/资产资本表!M70</f>
        <v>0.26783983577118242</v>
      </c>
      <c r="N46" s="57">
        <f>N43/资产资本表!N70</f>
        <v>0.27769745416405095</v>
      </c>
      <c r="O46" s="57">
        <f>O43/资产资本表!O70</f>
        <v>0.26606071663712771</v>
      </c>
      <c r="P46" s="57">
        <f>P43/资产资本表!P70</f>
        <v>0.51620868628434802</v>
      </c>
      <c r="Q46" s="57">
        <f>Q43/资产资本表!Q70</f>
        <v>0.16590671088821501</v>
      </c>
      <c r="R46" s="57">
        <f>R43/资产资本表!R70</f>
        <v>0.19924445233761276</v>
      </c>
      <c r="S46" s="57">
        <f>S43/资产资本表!S70</f>
        <v>0.18286926844236451</v>
      </c>
      <c r="T46" s="57">
        <f>T43/资产资本表!T70</f>
        <v>0.22227144521670608</v>
      </c>
      <c r="U46" s="57">
        <f>U43/资产资本表!U70</f>
        <v>0.23483568622716416</v>
      </c>
      <c r="V46" s="57">
        <f>V43/资产资本表!V70</f>
        <v>0.23058648478453378</v>
      </c>
      <c r="W46" s="57">
        <f>W43/资产资本表!W70</f>
        <v>0.22730997790604399</v>
      </c>
      <c r="X46" s="57">
        <f>X43/资产资本表!X70</f>
        <v>0.30241506505213128</v>
      </c>
      <c r="Y46" s="57">
        <f>Y43/资产资本表!Y70</f>
        <v>0.32280529324736124</v>
      </c>
      <c r="Z46" s="57">
        <f>Z43/资产资本表!Z70</f>
        <v>0.33722209273527021</v>
      </c>
      <c r="AA46" s="57">
        <f>AA43/资产资本表!AA70</f>
        <v>0.37913998722249848</v>
      </c>
      <c r="AB46" s="57">
        <f>AB43/资产资本表!AB70</f>
        <v>0.46626221651490202</v>
      </c>
      <c r="AC46" s="57">
        <f>AC43/资产资本表!AC70</f>
        <v>0.57697641376299613</v>
      </c>
      <c r="AD46" s="57">
        <f>AD43/资产资本表!AD70</f>
        <v>5.2041785546584458E-2</v>
      </c>
      <c r="AE46" s="57">
        <f>AE43/资产资本表!AE70</f>
        <v>7.3450095822780961E-2</v>
      </c>
      <c r="AF46" s="57">
        <f>AF43/资产资本表!AF70</f>
        <v>8.9537549307780559E-2</v>
      </c>
      <c r="AG46" s="57">
        <f>AG43/资产资本表!AG70</f>
        <v>0.19987655995237949</v>
      </c>
      <c r="AH46" s="57">
        <f>AH43/资产资本表!AH70</f>
        <v>0.11271509375930439</v>
      </c>
      <c r="AI46" s="57" t="e">
        <f>AI43/资产资本表!AI70</f>
        <v>#DIV/0!</v>
      </c>
      <c r="AJ46" s="57" t="e">
        <f>AJ43/资产资本表!AJ70</f>
        <v>#DIV/0!</v>
      </c>
      <c r="AK46" s="57" t="e">
        <f>AK43/资产资本表!AK70</f>
        <v>#DIV/0!</v>
      </c>
      <c r="AL46" s="57" t="e">
        <f>AL43/资产资本表!AL70</f>
        <v>#DIV/0!</v>
      </c>
      <c r="AM46" s="57" t="e">
        <f>AM43/资产资本表!AM70</f>
        <v>#DIV/0!</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7" customFormat="1" x14ac:dyDescent="0.25">
      <c r="A48" s="119"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40178</v>
      </c>
      <c r="AJ48" s="1">
        <v>39813</v>
      </c>
      <c r="AK48" s="1">
        <v>25569</v>
      </c>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463</v>
      </c>
      <c r="E49" s="76">
        <f>利润表!E4</f>
        <v>2456391218.1599998</v>
      </c>
      <c r="F49" s="76">
        <f>利润表!F4</f>
        <v>1797303663.71</v>
      </c>
      <c r="G49" s="76">
        <f>利润表!G4</f>
        <v>1262280095.75</v>
      </c>
      <c r="H49" s="76">
        <f>利润表!H4</f>
        <v>612156580.71000004</v>
      </c>
      <c r="I49" s="76">
        <f>利润表!I4</f>
        <v>1847391081.8399999</v>
      </c>
      <c r="J49" s="76">
        <f>利润表!J4</f>
        <v>1324775375.3399999</v>
      </c>
      <c r="K49" s="76">
        <f>利润表!K4</f>
        <v>888376461.49000001</v>
      </c>
      <c r="L49" s="76">
        <f>利润表!L4</f>
        <v>423001389.69</v>
      </c>
      <c r="M49" s="76">
        <f>利润表!M4</f>
        <v>1631042560</v>
      </c>
      <c r="N49" s="76">
        <f>利润表!N4</f>
        <v>1022711562.04</v>
      </c>
      <c r="O49" s="76">
        <f>利润表!O4</f>
        <v>615138524.07000005</v>
      </c>
      <c r="P49" s="76">
        <f>利润表!P4</f>
        <v>265749041.91</v>
      </c>
      <c r="Q49" s="76">
        <f>利润表!Q4</f>
        <v>1068796191.5700001</v>
      </c>
      <c r="R49" s="76">
        <f>利润表!R4</f>
        <v>705098562.99000001</v>
      </c>
      <c r="S49" s="76">
        <f>利润表!S4</f>
        <v>433011175.55000001</v>
      </c>
      <c r="T49" s="76">
        <f>利润表!T4</f>
        <v>196981639.65000001</v>
      </c>
      <c r="U49" s="76">
        <f>利润表!U4</f>
        <v>965382340.42999995</v>
      </c>
      <c r="V49" s="76">
        <f>利润表!V4</f>
        <v>705638264.82000005</v>
      </c>
      <c r="W49" s="76">
        <f>利润表!W4</f>
        <v>483178236.35000002</v>
      </c>
      <c r="X49" s="76">
        <f>利润表!X4</f>
        <v>221315195.03</v>
      </c>
      <c r="Y49" s="76">
        <f>利润表!Y4</f>
        <v>789577816.87</v>
      </c>
      <c r="Z49" s="76">
        <f>利润表!Z4</f>
        <v>539360672.49000001</v>
      </c>
      <c r="AA49" s="76">
        <f>利润表!AA4</f>
        <v>394771497.57999998</v>
      </c>
      <c r="AB49" s="76">
        <f>利润表!AB4</f>
        <v>177632246.53</v>
      </c>
      <c r="AC49" s="76">
        <f>利润表!AC4</f>
        <v>820090562.65999997</v>
      </c>
      <c r="AD49" s="76">
        <f>利润表!AD4</f>
        <v>640951585.91999996</v>
      </c>
      <c r="AE49" s="76">
        <f>利润表!AE4</f>
        <v>469202622.25999999</v>
      </c>
      <c r="AF49" s="76">
        <f>利润表!AF4</f>
        <v>205970417.91999999</v>
      </c>
      <c r="AG49" s="76">
        <f>利润表!AG4</f>
        <v>731662751.10000002</v>
      </c>
      <c r="AH49" s="76">
        <f>利润表!AH4</f>
        <v>538217516.25999999</v>
      </c>
      <c r="AI49" s="76">
        <f>利润表!AI4</f>
        <v>404874884.06999999</v>
      </c>
      <c r="AJ49" s="76">
        <f>利润表!AJ4</f>
        <v>639478592.48000002</v>
      </c>
      <c r="AK49" s="76">
        <f>利润表!AK4</f>
        <v>0</v>
      </c>
      <c r="AL49" s="76">
        <f>利润表!AL4</f>
        <v>0</v>
      </c>
      <c r="AM49" s="76">
        <f>利润表!AM4</f>
        <v>0</v>
      </c>
      <c r="AN49" s="76">
        <f>利润表!AN4</f>
        <v>0</v>
      </c>
      <c r="AO49" s="76">
        <f>利润表!AO4</f>
        <v>0</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464</v>
      </c>
      <c r="E50" s="76">
        <f>资产资本表!E50</f>
        <v>1016237237.1300002</v>
      </c>
      <c r="F50" s="76">
        <f>资产资本表!F50</f>
        <v>930917699.83999991</v>
      </c>
      <c r="G50" s="76">
        <f>资产资本表!G50</f>
        <v>867283047.8599999</v>
      </c>
      <c r="H50" s="76">
        <f>资产资本表!H50</f>
        <v>847732425.17000008</v>
      </c>
      <c r="I50" s="76">
        <f>资产资本表!I50</f>
        <v>1035090214.8399999</v>
      </c>
      <c r="J50" s="76">
        <f>资产资本表!J50</f>
        <v>980009357.85000002</v>
      </c>
      <c r="K50" s="76">
        <f>资产资本表!K50</f>
        <v>996294863.14999986</v>
      </c>
      <c r="L50" s="76">
        <f>资产资本表!L50</f>
        <v>770992443.69000006</v>
      </c>
      <c r="M50" s="76">
        <f>资产资本表!M50</f>
        <v>718900126.37999988</v>
      </c>
      <c r="N50" s="76">
        <f>资产资本表!N50</f>
        <v>690374205.51999998</v>
      </c>
      <c r="O50" s="76">
        <f>资产资本表!O50</f>
        <v>728918041.4799999</v>
      </c>
      <c r="P50" s="76">
        <f>资产资本表!P50</f>
        <v>232125661.74000001</v>
      </c>
      <c r="Q50" s="76">
        <f>资产资本表!Q50</f>
        <v>309220989.75999999</v>
      </c>
      <c r="R50" s="76">
        <f>资产资本表!R50</f>
        <v>294581644.54000008</v>
      </c>
      <c r="S50" s="76">
        <f>资产资本表!S50</f>
        <v>306683458.70999998</v>
      </c>
      <c r="T50" s="76">
        <f>资产资本表!T50</f>
        <v>296243310.56</v>
      </c>
      <c r="U50" s="76">
        <f>资产资本表!U50</f>
        <v>272028063.8499999</v>
      </c>
      <c r="V50" s="76">
        <f>资产资本表!V50</f>
        <v>281445759.76999998</v>
      </c>
      <c r="W50" s="76">
        <f>资产资本表!W50</f>
        <v>295907744.71000004</v>
      </c>
      <c r="X50" s="76">
        <f>资产资本表!X50</f>
        <v>278806645.78999996</v>
      </c>
      <c r="Y50" s="76">
        <f>资产资本表!Y50</f>
        <v>255649010.45999998</v>
      </c>
      <c r="Z50" s="76">
        <f>资产资本表!Z50</f>
        <v>256356149.47000003</v>
      </c>
      <c r="AA50" s="76">
        <f>资产资本表!AA50</f>
        <v>290254282.63999999</v>
      </c>
      <c r="AB50" s="76">
        <f>资产资本表!AB50</f>
        <v>253985209.07999998</v>
      </c>
      <c r="AC50" s="76">
        <f>资产资本表!AC50</f>
        <v>204051704.15000004</v>
      </c>
      <c r="AD50" s="76">
        <f>资产资本表!AD50</f>
        <v>141930807.67999998</v>
      </c>
      <c r="AE50" s="76">
        <f>资产资本表!AE50</f>
        <v>170747670.38000003</v>
      </c>
      <c r="AF50" s="76">
        <f>资产资本表!AF50</f>
        <v>162702244.26000002</v>
      </c>
      <c r="AG50" s="76">
        <f>资产资本表!AG50</f>
        <v>196144531.33000001</v>
      </c>
      <c r="AH50" s="76">
        <f>资产资本表!AH50</f>
        <v>197195328.69</v>
      </c>
      <c r="AI50" s="76">
        <f>资产资本表!AI50</f>
        <v>0</v>
      </c>
      <c r="AJ50" s="76">
        <f>资产资本表!AJ50</f>
        <v>0</v>
      </c>
      <c r="AK50" s="76">
        <f>资产资本表!AK50</f>
        <v>0</v>
      </c>
      <c r="AL50" s="76">
        <f>资产资本表!AL50</f>
        <v>0</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465</v>
      </c>
      <c r="E51" s="44">
        <f>E49/E50</f>
        <v>2.4171434861973777</v>
      </c>
      <c r="F51" s="44">
        <f t="shared" ref="F51:BQ51" si="18">F49/F50</f>
        <v>1.9306794403188476</v>
      </c>
      <c r="G51" s="44">
        <f t="shared" si="18"/>
        <v>1.455441910071511</v>
      </c>
      <c r="H51" s="44">
        <f t="shared" si="18"/>
        <v>0.72211061242259456</v>
      </c>
      <c r="I51" s="44">
        <f t="shared" si="18"/>
        <v>1.7847633523668873</v>
      </c>
      <c r="J51" s="44">
        <f t="shared" si="18"/>
        <v>1.3517986993985109</v>
      </c>
      <c r="K51" s="44">
        <f t="shared" si="18"/>
        <v>0.89168025887557756</v>
      </c>
      <c r="L51" s="44">
        <f t="shared" si="18"/>
        <v>0.54864531183405474</v>
      </c>
      <c r="M51" s="44">
        <f t="shared" si="18"/>
        <v>2.2688027170242218</v>
      </c>
      <c r="N51" s="44">
        <f t="shared" si="18"/>
        <v>1.4813872735434526</v>
      </c>
      <c r="O51" s="44">
        <f t="shared" si="18"/>
        <v>0.84390629544717921</v>
      </c>
      <c r="P51" s="44">
        <f t="shared" si="18"/>
        <v>1.1448499055122177</v>
      </c>
      <c r="Q51" s="44">
        <f t="shared" si="18"/>
        <v>3.4564154018119528</v>
      </c>
      <c r="R51" s="44">
        <f t="shared" si="18"/>
        <v>2.3935590558978546</v>
      </c>
      <c r="S51" s="44">
        <f t="shared" si="18"/>
        <v>1.4119156519603999</v>
      </c>
      <c r="T51" s="44">
        <f t="shared" si="18"/>
        <v>0.66493194150996393</v>
      </c>
      <c r="U51" s="44">
        <f t="shared" si="18"/>
        <v>3.5488336268214051</v>
      </c>
      <c r="V51" s="44">
        <f t="shared" si="18"/>
        <v>2.5071909606904508</v>
      </c>
      <c r="W51" s="44">
        <f t="shared" si="18"/>
        <v>1.6328678278546971</v>
      </c>
      <c r="X51" s="44">
        <f t="shared" si="18"/>
        <v>0.79379454676520478</v>
      </c>
      <c r="Y51" s="44">
        <f t="shared" si="18"/>
        <v>3.0885228753644678</v>
      </c>
      <c r="Z51" s="44">
        <f t="shared" si="18"/>
        <v>2.1039505921940775</v>
      </c>
      <c r="AA51" s="44">
        <f t="shared" si="18"/>
        <v>1.3600884506831958</v>
      </c>
      <c r="AB51" s="44">
        <f t="shared" si="18"/>
        <v>0.69938027955812809</v>
      </c>
      <c r="AC51" s="44">
        <f t="shared" si="18"/>
        <v>4.0190331468986153</v>
      </c>
      <c r="AD51" s="44">
        <f t="shared" si="18"/>
        <v>4.515944046236263</v>
      </c>
      <c r="AE51" s="44">
        <f t="shared" si="18"/>
        <v>2.7479298617415195</v>
      </c>
      <c r="AF51" s="44">
        <f t="shared" si="18"/>
        <v>1.2659347070275007</v>
      </c>
      <c r="AG51" s="44">
        <f t="shared" si="18"/>
        <v>3.7302225361003134</v>
      </c>
      <c r="AH51" s="44">
        <f t="shared" si="18"/>
        <v>2.7293624034375701</v>
      </c>
      <c r="AI51" s="44" t="e">
        <f t="shared" si="18"/>
        <v>#DIV/0!</v>
      </c>
      <c r="AJ51" s="44" t="e">
        <f t="shared" si="18"/>
        <v>#DIV/0!</v>
      </c>
      <c r="AK51" s="44" t="e">
        <f t="shared" si="18"/>
        <v>#DIV/0!</v>
      </c>
      <c r="AL51" s="44" t="e">
        <f t="shared" si="18"/>
        <v>#DIV/0!</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466</v>
      </c>
      <c r="E52" s="76">
        <f>资产资本表!E68</f>
        <v>2421480794.3399997</v>
      </c>
      <c r="F52" s="76">
        <f>资产资本表!F68</f>
        <v>2414326698.9699998</v>
      </c>
      <c r="G52" s="76">
        <f>资产资本表!G68</f>
        <v>2416143759.0999999</v>
      </c>
      <c r="H52" s="76">
        <f>资产资本表!H68</f>
        <v>2348298119.98</v>
      </c>
      <c r="I52" s="76">
        <f>资产资本表!I68</f>
        <v>2318199103.4699993</v>
      </c>
      <c r="J52" s="76">
        <f>资产资本表!J68</f>
        <v>2201422429.7399998</v>
      </c>
      <c r="K52" s="76">
        <f>资产资本表!K68</f>
        <v>2086400169.7799997</v>
      </c>
      <c r="L52" s="76">
        <f>资产资本表!L68</f>
        <v>1935522034.9400001</v>
      </c>
      <c r="M52" s="76">
        <f>资产资本表!M68</f>
        <v>1157055655.9099998</v>
      </c>
      <c r="N52" s="76">
        <f>资产资本表!N68</f>
        <v>1089017946.6200001</v>
      </c>
      <c r="O52" s="76">
        <f>资产资本表!O68</f>
        <v>1030212012.6799998</v>
      </c>
      <c r="P52" s="76">
        <f>资产资本表!P68</f>
        <v>933530259.81000006</v>
      </c>
      <c r="Q52" s="76">
        <f>资产资本表!Q68</f>
        <v>859514518.72000015</v>
      </c>
      <c r="R52" s="76">
        <f>资产资本表!R68</f>
        <v>807675176.39999998</v>
      </c>
      <c r="S52" s="76">
        <f>资产资本表!S68</f>
        <v>797015626.02999997</v>
      </c>
      <c r="T52" s="76">
        <f>资产资本表!T68</f>
        <v>779492434.1099999</v>
      </c>
      <c r="U52" s="76">
        <f>资产资本表!U68</f>
        <v>768887645.94000006</v>
      </c>
      <c r="V52" s="76">
        <f>资产资本表!V68</f>
        <v>733337516.16000009</v>
      </c>
      <c r="W52" s="76">
        <f>资产资本表!W68</f>
        <v>701879041.50000012</v>
      </c>
      <c r="X52" s="76">
        <f>资产资本表!X68</f>
        <v>678920629.21000004</v>
      </c>
      <c r="Y52" s="76">
        <f>资产资本表!Y68</f>
        <v>644027685.94000018</v>
      </c>
      <c r="Z52" s="76">
        <f>资产资本表!Z68</f>
        <v>549233044.19000006</v>
      </c>
      <c r="AA52" s="76">
        <f>资产资本表!AA68</f>
        <v>456610377.27999997</v>
      </c>
      <c r="AB52" s="76">
        <f>资产资本表!AB68</f>
        <v>420308047.61000001</v>
      </c>
      <c r="AC52" s="76">
        <f>资产资本表!AC68</f>
        <v>408590477.35999995</v>
      </c>
      <c r="AD52" s="76">
        <f>资产资本表!AD68</f>
        <v>389041237.82000005</v>
      </c>
      <c r="AE52" s="76">
        <f>资产资本表!AE68</f>
        <v>377433699.24000001</v>
      </c>
      <c r="AF52" s="76">
        <f>资产资本表!AF68</f>
        <v>334535385.75999999</v>
      </c>
      <c r="AG52" s="76">
        <f>资产资本表!AG68</f>
        <v>195482582.29999998</v>
      </c>
      <c r="AH52" s="76">
        <f>资产资本表!AH68</f>
        <v>171034643.72999999</v>
      </c>
      <c r="AI52" s="76">
        <f>资产资本表!AI68</f>
        <v>0</v>
      </c>
      <c r="AJ52" s="76">
        <f>资产资本表!AJ68</f>
        <v>0</v>
      </c>
      <c r="AK52" s="76">
        <f>资产资本表!AK68</f>
        <v>0</v>
      </c>
      <c r="AL52" s="76">
        <f>资产资本表!AL68</f>
        <v>0</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467</v>
      </c>
      <c r="E53" s="44">
        <f>E49/E52</f>
        <v>1.0144169732428192</v>
      </c>
      <c r="F53" s="44">
        <f t="shared" ref="F53:BQ53" si="20">F49/F52</f>
        <v>0.74443266707722933</v>
      </c>
      <c r="G53" s="44">
        <f t="shared" si="20"/>
        <v>0.52243584058102255</v>
      </c>
      <c r="H53" s="44">
        <f t="shared" si="20"/>
        <v>0.26068094825848331</v>
      </c>
      <c r="I53" s="44">
        <f t="shared" si="20"/>
        <v>0.79690785794659746</v>
      </c>
      <c r="J53" s="44">
        <f t="shared" si="20"/>
        <v>0.60178153790159361</v>
      </c>
      <c r="K53" s="44">
        <f t="shared" si="20"/>
        <v>0.42579389819723545</v>
      </c>
      <c r="L53" s="44">
        <f t="shared" si="20"/>
        <v>0.21854640869697603</v>
      </c>
      <c r="M53" s="44">
        <f t="shared" si="20"/>
        <v>1.4096491829662416</v>
      </c>
      <c r="N53" s="44">
        <f t="shared" si="20"/>
        <v>0.93911359791103888</v>
      </c>
      <c r="O53" s="44">
        <f t="shared" si="20"/>
        <v>0.59709896263952011</v>
      </c>
      <c r="P53" s="44">
        <f t="shared" si="20"/>
        <v>0.284671052831311</v>
      </c>
      <c r="Q53" s="44">
        <f t="shared" si="20"/>
        <v>1.2434882346858607</v>
      </c>
      <c r="R53" s="44">
        <f t="shared" si="20"/>
        <v>0.8729976896563687</v>
      </c>
      <c r="S53" s="44">
        <f t="shared" si="20"/>
        <v>0.54329069770797855</v>
      </c>
      <c r="T53" s="44">
        <f t="shared" si="20"/>
        <v>0.2527050052447366</v>
      </c>
      <c r="U53" s="44">
        <f t="shared" si="20"/>
        <v>1.2555570967066016</v>
      </c>
      <c r="V53" s="44">
        <f t="shared" si="20"/>
        <v>0.96222850907036295</v>
      </c>
      <c r="W53" s="44">
        <f t="shared" si="20"/>
        <v>0.68840670226794332</v>
      </c>
      <c r="X53" s="44">
        <f t="shared" si="20"/>
        <v>0.32598095492771362</v>
      </c>
      <c r="Y53" s="44">
        <f t="shared" si="20"/>
        <v>1.2259998042127025</v>
      </c>
      <c r="Z53" s="44">
        <f t="shared" si="20"/>
        <v>0.98202516799665673</v>
      </c>
      <c r="AA53" s="44">
        <f t="shared" si="20"/>
        <v>0.86456970148516898</v>
      </c>
      <c r="AB53" s="44">
        <f t="shared" si="20"/>
        <v>0.42262394817342003</v>
      </c>
      <c r="AC53" s="44">
        <f t="shared" si="20"/>
        <v>2.0071210860292186</v>
      </c>
      <c r="AD53" s="44">
        <f t="shared" si="20"/>
        <v>1.6475157993830791</v>
      </c>
      <c r="AE53" s="44">
        <f t="shared" si="20"/>
        <v>1.2431391876368902</v>
      </c>
      <c r="AF53" s="44">
        <f t="shared" si="20"/>
        <v>0.61569097526730943</v>
      </c>
      <c r="AG53" s="44">
        <f t="shared" si="20"/>
        <v>3.7428539284238833</v>
      </c>
      <c r="AH53" s="44">
        <f t="shared" si="20"/>
        <v>3.1468333229006227</v>
      </c>
      <c r="AI53" s="44" t="e">
        <f t="shared" si="20"/>
        <v>#DIV/0!</v>
      </c>
      <c r="AJ53" s="44" t="e">
        <f t="shared" si="20"/>
        <v>#DIV/0!</v>
      </c>
      <c r="AK53" s="44" t="e">
        <f t="shared" si="20"/>
        <v>#DIV/0!</v>
      </c>
      <c r="AL53" s="44" t="e">
        <f t="shared" si="20"/>
        <v>#DIV/0!</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468</v>
      </c>
      <c r="E54" s="76">
        <f>资产资本表!E17</f>
        <v>627279567.75999999</v>
      </c>
      <c r="F54" s="76">
        <f>资产资本表!F17</f>
        <v>646909229.57000005</v>
      </c>
      <c r="G54" s="76">
        <f>资产资本表!G17</f>
        <v>640706738.29999995</v>
      </c>
      <c r="H54" s="76">
        <f>资产资本表!H17</f>
        <v>748407749.91999996</v>
      </c>
      <c r="I54" s="76">
        <f>资产资本表!I17</f>
        <v>497394672.38</v>
      </c>
      <c r="J54" s="76">
        <f>资产资本表!J17</f>
        <v>1041896896.37</v>
      </c>
      <c r="K54" s="76">
        <f>资产资本表!K17</f>
        <v>388776166.88</v>
      </c>
      <c r="L54" s="76">
        <f>资产资本表!L17</f>
        <v>680598376.45000005</v>
      </c>
      <c r="M54" s="76">
        <f>资产资本表!M17</f>
        <v>696197785.22000003</v>
      </c>
      <c r="N54" s="76">
        <f>资产资本表!N17</f>
        <v>690790735.84000003</v>
      </c>
      <c r="O54" s="76">
        <f>资产资本表!O17</f>
        <v>641525323.09000003</v>
      </c>
      <c r="P54" s="76">
        <f>资产资本表!P17</f>
        <v>1255365928.1900001</v>
      </c>
      <c r="Q54" s="76">
        <f>资产资本表!Q17</f>
        <v>234632252.44</v>
      </c>
      <c r="R54" s="76">
        <f>资产资本表!R17</f>
        <v>276684977.61000001</v>
      </c>
      <c r="S54" s="76">
        <f>资产资本表!S17</f>
        <v>249178979.92000002</v>
      </c>
      <c r="T54" s="76">
        <f>资产资本表!T17</f>
        <v>310229232.98000002</v>
      </c>
      <c r="U54" s="76">
        <f>资产资本表!U17</f>
        <v>322460861.60000002</v>
      </c>
      <c r="V54" s="76">
        <f>资产资本表!V17</f>
        <v>306954505.58999997</v>
      </c>
      <c r="W54" s="76">
        <f>资产资本表!W17</f>
        <v>296309711.63999999</v>
      </c>
      <c r="X54" s="76">
        <f>资产资本表!X17</f>
        <v>419339678.55000001</v>
      </c>
      <c r="Y54" s="76">
        <f>资产资本表!Y17</f>
        <v>433419520.76999998</v>
      </c>
      <c r="Z54" s="76">
        <f>资产资本表!Z17</f>
        <v>413831417.81</v>
      </c>
      <c r="AA54" s="76">
        <f>资产资本表!AA17</f>
        <v>460824111.80000001</v>
      </c>
      <c r="AB54" s="76">
        <f>资产资本表!AB17</f>
        <v>596710534.11000001</v>
      </c>
      <c r="AC54" s="76">
        <f>资产资本表!AC17</f>
        <v>847566521.58000004</v>
      </c>
      <c r="AD54" s="76">
        <f>资产资本表!AD17</f>
        <v>29624772.98</v>
      </c>
      <c r="AE54" s="76">
        <f>资产资本表!AE17</f>
        <v>44141747.770000003</v>
      </c>
      <c r="AF54" s="76">
        <f>资产资本表!AF17</f>
        <v>49695104.770000003</v>
      </c>
      <c r="AG54" s="76">
        <f>资产资本表!AG17</f>
        <v>99638795.879999995</v>
      </c>
      <c r="AH54" s="76">
        <f>资产资本表!AH17</f>
        <v>47811682.519999996</v>
      </c>
      <c r="AI54" s="76">
        <f>资产资本表!AI17</f>
        <v>0</v>
      </c>
      <c r="AJ54" s="76">
        <f>资产资本表!AJ17</f>
        <v>0</v>
      </c>
      <c r="AK54" s="76">
        <f>资产资本表!AK17</f>
        <v>0</v>
      </c>
      <c r="AL54" s="76">
        <f>资产资本表!AL17</f>
        <v>0</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469</v>
      </c>
      <c r="E55" s="44">
        <f>E49/E54</f>
        <v>3.9159432961154992</v>
      </c>
      <c r="F55" s="44">
        <f t="shared" ref="F55:BQ55" si="22">F49/F54</f>
        <v>2.7782934321476076</v>
      </c>
      <c r="G55" s="44">
        <f t="shared" si="22"/>
        <v>1.9701370694168647</v>
      </c>
      <c r="H55" s="44">
        <f t="shared" si="22"/>
        <v>0.81794527218008595</v>
      </c>
      <c r="I55" s="44">
        <f t="shared" si="22"/>
        <v>3.7141352419404856</v>
      </c>
      <c r="J55" s="44">
        <f t="shared" si="22"/>
        <v>1.2715033320048816</v>
      </c>
      <c r="K55" s="44">
        <f t="shared" si="22"/>
        <v>2.2850589546663418</v>
      </c>
      <c r="L55" s="44">
        <f t="shared" si="22"/>
        <v>0.6215139564340052</v>
      </c>
      <c r="M55" s="44">
        <f t="shared" si="22"/>
        <v>2.3427861947084287</v>
      </c>
      <c r="N55" s="44">
        <f t="shared" si="22"/>
        <v>1.4804940323879487</v>
      </c>
      <c r="O55" s="44">
        <f t="shared" si="22"/>
        <v>0.95886865557714207</v>
      </c>
      <c r="P55" s="44">
        <f t="shared" si="22"/>
        <v>0.21169050070775761</v>
      </c>
      <c r="Q55" s="44">
        <f t="shared" si="22"/>
        <v>4.5551972521054491</v>
      </c>
      <c r="R55" s="44">
        <f t="shared" si="22"/>
        <v>2.5483803605119042</v>
      </c>
      <c r="S55" s="44">
        <f t="shared" si="22"/>
        <v>1.7377516180900174</v>
      </c>
      <c r="T55" s="44">
        <f t="shared" si="22"/>
        <v>0.63495511934137783</v>
      </c>
      <c r="U55" s="44">
        <f t="shared" si="22"/>
        <v>2.9937969390763417</v>
      </c>
      <c r="V55" s="44">
        <f t="shared" si="22"/>
        <v>2.2988366418133741</v>
      </c>
      <c r="W55" s="44">
        <f t="shared" si="22"/>
        <v>1.6306527169687743</v>
      </c>
      <c r="X55" s="44">
        <f t="shared" si="22"/>
        <v>0.52777069843537705</v>
      </c>
      <c r="Y55" s="44">
        <f t="shared" si="22"/>
        <v>1.8217403209418441</v>
      </c>
      <c r="Z55" s="44">
        <f t="shared" si="22"/>
        <v>1.3033342788334006</v>
      </c>
      <c r="AA55" s="44">
        <f t="shared" si="22"/>
        <v>0.85666415335344437</v>
      </c>
      <c r="AB55" s="44">
        <f t="shared" si="22"/>
        <v>0.29768578963490289</v>
      </c>
      <c r="AC55" s="44">
        <f t="shared" si="22"/>
        <v>0.96758253397175187</v>
      </c>
      <c r="AD55" s="44">
        <f t="shared" si="22"/>
        <v>21.635662367867365</v>
      </c>
      <c r="AE55" s="44">
        <f t="shared" si="22"/>
        <v>10.629452750823871</v>
      </c>
      <c r="AF55" s="44">
        <f t="shared" si="22"/>
        <v>4.144682235267978</v>
      </c>
      <c r="AG55" s="44">
        <f t="shared" si="22"/>
        <v>7.3431512759465525</v>
      </c>
      <c r="AH55" s="44">
        <f t="shared" si="22"/>
        <v>11.2570294098071</v>
      </c>
      <c r="AI55" s="44" t="e">
        <f t="shared" si="22"/>
        <v>#DIV/0!</v>
      </c>
      <c r="AJ55" s="44" t="e">
        <f t="shared" si="22"/>
        <v>#DIV/0!</v>
      </c>
      <c r="AK55" s="44" t="e">
        <f t="shared" si="22"/>
        <v>#DIV/0!</v>
      </c>
      <c r="AL55" s="44" t="e">
        <f t="shared" si="22"/>
        <v>#DIV/0!</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443</v>
      </c>
      <c r="E56" s="76">
        <f>资产资本表!E19</f>
        <v>19416080.27</v>
      </c>
      <c r="F56" s="76">
        <f>资产资本表!F19</f>
        <v>17743024.609999999</v>
      </c>
      <c r="G56" s="76">
        <f>资产资本表!G19</f>
        <v>17743024.609999999</v>
      </c>
      <c r="H56" s="76">
        <f>资产资本表!H19</f>
        <v>22731749.920000002</v>
      </c>
      <c r="I56" s="76">
        <f>资产资本表!I19</f>
        <v>22731749.920000002</v>
      </c>
      <c r="J56" s="76">
        <f>资产资本表!J19</f>
        <v>28084982.890000001</v>
      </c>
      <c r="K56" s="76">
        <f>资产资本表!K19</f>
        <v>28084982.890000001</v>
      </c>
      <c r="L56" s="76">
        <f>资产资本表!L19</f>
        <v>27152779.940000001</v>
      </c>
      <c r="M56" s="76">
        <f>资产资本表!M19</f>
        <v>27152779.940000001</v>
      </c>
      <c r="N56" s="76">
        <f>资产资本表!N19</f>
        <v>17383078.079999998</v>
      </c>
      <c r="O56" s="76">
        <f>资产资本表!O19</f>
        <v>10543582.140000001</v>
      </c>
      <c r="P56" s="76">
        <f>资产资本表!P19</f>
        <v>10874322.380000001</v>
      </c>
      <c r="Q56" s="76">
        <f>资产资本表!Q19</f>
        <v>10874322.380000001</v>
      </c>
      <c r="R56" s="76">
        <f>资产资本表!R19</f>
        <v>9729124.8499999996</v>
      </c>
      <c r="S56" s="76">
        <f>资产资本表!S19</f>
        <v>9729124.8499999996</v>
      </c>
      <c r="T56" s="76">
        <f>资产资本表!T19</f>
        <v>9757413.4000000004</v>
      </c>
      <c r="U56" s="76">
        <f>资产资本表!U19</f>
        <v>9757413.4000000004</v>
      </c>
      <c r="V56" s="76">
        <f>资产资本表!V19</f>
        <v>9452578.0399999991</v>
      </c>
      <c r="W56" s="76">
        <f>资产资本表!W19</f>
        <v>9452578.0399999991</v>
      </c>
      <c r="X56" s="76">
        <f>资产资本表!X19</f>
        <v>9569252.8100000005</v>
      </c>
      <c r="Y56" s="76">
        <f>资产资本表!Y19</f>
        <v>9569252.8100000005</v>
      </c>
      <c r="Z56" s="76">
        <f>资产资本表!Z19</f>
        <v>7757046</v>
      </c>
      <c r="AA56" s="76">
        <f>资产资本表!AA19</f>
        <v>7757046</v>
      </c>
      <c r="AB56" s="76">
        <f>资产资本表!AB19</f>
        <v>8770793.0600000005</v>
      </c>
      <c r="AC56" s="76">
        <f>资产资本表!AC19</f>
        <v>8770793.0600000005</v>
      </c>
      <c r="AD56" s="76">
        <f>资产资本表!AD19</f>
        <v>8652923.2200000007</v>
      </c>
      <c r="AE56" s="76">
        <f>资产资本表!AE19</f>
        <v>8652923.2200000007</v>
      </c>
      <c r="AF56" s="76">
        <f>资产资本表!AF19</f>
        <v>8086976.54</v>
      </c>
      <c r="AG56" s="76">
        <f>资产资本表!AG19</f>
        <v>7235745.2300000004</v>
      </c>
      <c r="AH56" s="76">
        <f>资产资本表!AH19</f>
        <v>8140066.6500000004</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8" customFormat="1" x14ac:dyDescent="0.25">
      <c r="A57" s="145" t="s">
        <v>470</v>
      </c>
      <c r="E57" s="118">
        <f>E49/E56</f>
        <v>126.51323974774647</v>
      </c>
      <c r="F57" s="118">
        <f t="shared" ref="F57:BQ57" si="24">F49/F56</f>
        <v>101.29635184618053</v>
      </c>
      <c r="G57" s="118">
        <f t="shared" si="24"/>
        <v>71.142329083992635</v>
      </c>
      <c r="H57" s="118">
        <f t="shared" si="24"/>
        <v>26.929584517882116</v>
      </c>
      <c r="I57" s="118">
        <f t="shared" si="24"/>
        <v>81.269197855050123</v>
      </c>
      <c r="J57" s="118">
        <f t="shared" si="24"/>
        <v>47.17023971596231</v>
      </c>
      <c r="K57" s="118">
        <f t="shared" si="24"/>
        <v>31.631725216621629</v>
      </c>
      <c r="L57" s="118">
        <f t="shared" si="24"/>
        <v>15.578566563891947</v>
      </c>
      <c r="M57" s="118">
        <f t="shared" si="24"/>
        <v>60.069081825291732</v>
      </c>
      <c r="N57" s="118">
        <f t="shared" si="24"/>
        <v>58.8337437899836</v>
      </c>
      <c r="O57" s="118">
        <f t="shared" si="24"/>
        <v>58.342460456233525</v>
      </c>
      <c r="P57" s="118">
        <f t="shared" si="24"/>
        <v>24.438216251411149</v>
      </c>
      <c r="Q57" s="118">
        <f t="shared" si="24"/>
        <v>98.286233773584328</v>
      </c>
      <c r="R57" s="118">
        <f t="shared" si="24"/>
        <v>72.472968932041198</v>
      </c>
      <c r="S57" s="118">
        <f t="shared" si="24"/>
        <v>44.506693276733934</v>
      </c>
      <c r="T57" s="118">
        <f t="shared" si="24"/>
        <v>20.187895252034725</v>
      </c>
      <c r="U57" s="118">
        <f t="shared" si="24"/>
        <v>98.938345733101755</v>
      </c>
      <c r="V57" s="118">
        <f t="shared" si="24"/>
        <v>74.65035060636221</v>
      </c>
      <c r="W57" s="118">
        <f t="shared" si="24"/>
        <v>51.116027215576423</v>
      </c>
      <c r="X57" s="118">
        <f t="shared" si="24"/>
        <v>23.127740422817819</v>
      </c>
      <c r="Y57" s="118">
        <f t="shared" si="24"/>
        <v>82.511961231171611</v>
      </c>
      <c r="Z57" s="118">
        <f t="shared" si="24"/>
        <v>69.531709943450124</v>
      </c>
      <c r="AA57" s="118">
        <f t="shared" si="24"/>
        <v>50.891988726120744</v>
      </c>
      <c r="AB57" s="118">
        <f t="shared" si="24"/>
        <v>20.252700675393655</v>
      </c>
      <c r="AC57" s="118">
        <f t="shared" si="24"/>
        <v>93.502441233062214</v>
      </c>
      <c r="AD57" s="118">
        <f t="shared" si="24"/>
        <v>74.073416534949899</v>
      </c>
      <c r="AE57" s="118">
        <f t="shared" si="24"/>
        <v>54.224752760489643</v>
      </c>
      <c r="AF57" s="118">
        <f t="shared" si="24"/>
        <v>25.469397234086696</v>
      </c>
      <c r="AG57" s="118">
        <f t="shared" si="24"/>
        <v>101.11781549002934</v>
      </c>
      <c r="AH57" s="118">
        <f t="shared" si="24"/>
        <v>66.119546608380659</v>
      </c>
      <c r="AI57" s="118" t="e">
        <f t="shared" si="24"/>
        <v>#DIV/0!</v>
      </c>
      <c r="AJ57" s="118" t="e">
        <f t="shared" si="24"/>
        <v>#DIV/0!</v>
      </c>
      <c r="AK57" s="118" t="e">
        <f t="shared" si="24"/>
        <v>#DIV/0!</v>
      </c>
      <c r="AL57" s="118" t="e">
        <f t="shared" si="24"/>
        <v>#DIV/0!</v>
      </c>
      <c r="AM57" s="118" t="e">
        <f t="shared" si="24"/>
        <v>#DIV/0!</v>
      </c>
      <c r="AN57" s="118" t="e">
        <f t="shared" si="24"/>
        <v>#DIV/0!</v>
      </c>
      <c r="AO57" s="118" t="e">
        <f t="shared" si="24"/>
        <v>#DIV/0!</v>
      </c>
      <c r="AP57" s="118" t="e">
        <f t="shared" si="24"/>
        <v>#DIV/0!</v>
      </c>
      <c r="AQ57" s="118" t="e">
        <f t="shared" si="24"/>
        <v>#DIV/0!</v>
      </c>
      <c r="AR57" s="118" t="e">
        <f t="shared" si="24"/>
        <v>#DIV/0!</v>
      </c>
      <c r="AS57" s="118" t="e">
        <f t="shared" si="24"/>
        <v>#DIV/0!</v>
      </c>
      <c r="AT57" s="118" t="e">
        <f t="shared" si="24"/>
        <v>#DIV/0!</v>
      </c>
      <c r="AU57" s="118" t="e">
        <f t="shared" si="24"/>
        <v>#DIV/0!</v>
      </c>
      <c r="AV57" s="118" t="e">
        <f t="shared" si="24"/>
        <v>#DIV/0!</v>
      </c>
      <c r="AW57" s="118" t="e">
        <f t="shared" si="24"/>
        <v>#DIV/0!</v>
      </c>
      <c r="AX57" s="118" t="e">
        <f t="shared" si="24"/>
        <v>#DIV/0!</v>
      </c>
      <c r="AY57" s="118" t="e">
        <f t="shared" si="24"/>
        <v>#DIV/0!</v>
      </c>
      <c r="AZ57" s="118" t="e">
        <f t="shared" si="24"/>
        <v>#DIV/0!</v>
      </c>
      <c r="BA57" s="118" t="e">
        <f t="shared" si="24"/>
        <v>#DIV/0!</v>
      </c>
      <c r="BB57" s="118" t="e">
        <f t="shared" si="24"/>
        <v>#DIV/0!</v>
      </c>
      <c r="BC57" s="118" t="e">
        <f t="shared" si="24"/>
        <v>#DIV/0!</v>
      </c>
      <c r="BD57" s="118" t="e">
        <f t="shared" si="24"/>
        <v>#DIV/0!</v>
      </c>
      <c r="BE57" s="118" t="e">
        <f t="shared" si="24"/>
        <v>#DIV/0!</v>
      </c>
      <c r="BF57" s="118" t="e">
        <f t="shared" si="24"/>
        <v>#DIV/0!</v>
      </c>
      <c r="BG57" s="118" t="e">
        <f t="shared" si="24"/>
        <v>#DIV/0!</v>
      </c>
      <c r="BH57" s="118" t="e">
        <f t="shared" si="24"/>
        <v>#DIV/0!</v>
      </c>
      <c r="BI57" s="118" t="e">
        <f t="shared" si="24"/>
        <v>#DIV/0!</v>
      </c>
      <c r="BJ57" s="118" t="e">
        <f t="shared" si="24"/>
        <v>#DIV/0!</v>
      </c>
      <c r="BK57" s="118" t="e">
        <f t="shared" si="24"/>
        <v>#DIV/0!</v>
      </c>
      <c r="BL57" s="118" t="e">
        <f t="shared" si="24"/>
        <v>#DIV/0!</v>
      </c>
      <c r="BM57" s="118" t="e">
        <f t="shared" si="24"/>
        <v>#DIV/0!</v>
      </c>
      <c r="BN57" s="118" t="e">
        <f t="shared" si="24"/>
        <v>#DIV/0!</v>
      </c>
      <c r="BO57" s="118" t="e">
        <f t="shared" si="24"/>
        <v>#DIV/0!</v>
      </c>
      <c r="BP57" s="118" t="e">
        <f t="shared" si="24"/>
        <v>#DIV/0!</v>
      </c>
      <c r="BQ57" s="118" t="e">
        <f t="shared" si="24"/>
        <v>#DIV/0!</v>
      </c>
      <c r="BR57" s="118" t="e">
        <f t="shared" ref="BR57:CK57" si="25">BR49/BR56</f>
        <v>#DIV/0!</v>
      </c>
      <c r="BS57" s="118" t="e">
        <f t="shared" si="25"/>
        <v>#DIV/0!</v>
      </c>
      <c r="BT57" s="118" t="e">
        <f t="shared" si="25"/>
        <v>#DIV/0!</v>
      </c>
      <c r="BU57" s="118" t="e">
        <f t="shared" si="25"/>
        <v>#DIV/0!</v>
      </c>
      <c r="BV57" s="118" t="e">
        <f t="shared" si="25"/>
        <v>#DIV/0!</v>
      </c>
      <c r="BW57" s="118" t="e">
        <f t="shared" si="25"/>
        <v>#DIV/0!</v>
      </c>
      <c r="BX57" s="118" t="e">
        <f t="shared" si="25"/>
        <v>#DIV/0!</v>
      </c>
      <c r="BY57" s="118" t="e">
        <f t="shared" si="25"/>
        <v>#DIV/0!</v>
      </c>
      <c r="BZ57" s="118" t="e">
        <f t="shared" si="25"/>
        <v>#DIV/0!</v>
      </c>
      <c r="CA57" s="118" t="e">
        <f t="shared" si="25"/>
        <v>#DIV/0!</v>
      </c>
      <c r="CB57" s="118" t="e">
        <f t="shared" si="25"/>
        <v>#DIV/0!</v>
      </c>
      <c r="CC57" s="118" t="e">
        <f t="shared" si="25"/>
        <v>#DIV/0!</v>
      </c>
      <c r="CD57" s="118" t="e">
        <f t="shared" si="25"/>
        <v>#DIV/0!</v>
      </c>
      <c r="CE57" s="118" t="e">
        <f t="shared" si="25"/>
        <v>#DIV/0!</v>
      </c>
      <c r="CF57" s="118" t="e">
        <f t="shared" si="25"/>
        <v>#DIV/0!</v>
      </c>
      <c r="CG57" s="118" t="e">
        <f t="shared" si="25"/>
        <v>#DIV/0!</v>
      </c>
      <c r="CH57" s="118" t="e">
        <f t="shared" si="25"/>
        <v>#DIV/0!</v>
      </c>
      <c r="CI57" s="118" t="e">
        <f t="shared" si="25"/>
        <v>#DIV/0!</v>
      </c>
      <c r="CJ57" s="118" t="e">
        <f t="shared" si="25"/>
        <v>#DIV/0!</v>
      </c>
      <c r="CK57" s="118" t="e">
        <f t="shared" si="25"/>
        <v>#DIV/0!</v>
      </c>
    </row>
    <row r="58" spans="1:89" s="16" customFormat="1" ht="44.4" customHeight="1" x14ac:dyDescent="0.25">
      <c r="A58" s="276" t="s">
        <v>696</v>
      </c>
      <c r="B58" s="275"/>
      <c r="C58" s="275"/>
      <c r="D58" s="275"/>
      <c r="E58" s="275"/>
      <c r="F58" s="275"/>
      <c r="G58" s="275"/>
      <c r="H58" s="275"/>
      <c r="I58" s="275"/>
      <c r="J58" s="275"/>
      <c r="K58" s="275"/>
      <c r="L58" s="275"/>
      <c r="M58" s="275"/>
      <c r="N58" s="275"/>
      <c r="O58" s="275"/>
      <c r="P58" s="275"/>
      <c r="Q58" s="275"/>
      <c r="R58" s="275"/>
      <c r="S58" s="275"/>
      <c r="T58" s="275"/>
      <c r="U58" s="275"/>
      <c r="V58" s="275"/>
      <c r="W58" s="275"/>
      <c r="X58" s="275"/>
      <c r="Y58" s="275"/>
      <c r="Z58" s="275"/>
      <c r="AA58" s="275"/>
      <c r="AB58" s="275"/>
      <c r="AC58" s="275"/>
      <c r="AD58" s="275"/>
      <c r="AE58" s="275"/>
      <c r="AF58" s="275"/>
      <c r="AG58" s="275"/>
    </row>
    <row r="61" spans="1:89" s="120" customFormat="1" x14ac:dyDescent="0.25">
      <c r="A61" s="119"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40178</v>
      </c>
      <c r="AJ61" s="1">
        <v>39813</v>
      </c>
      <c r="AK61" s="1">
        <v>25569</v>
      </c>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463</v>
      </c>
      <c r="E63" s="76">
        <f>E49</f>
        <v>2456391218.1599998</v>
      </c>
      <c r="F63" s="76">
        <f t="shared" ref="F63:BQ63" si="26">F49</f>
        <v>1797303663.71</v>
      </c>
      <c r="G63" s="76">
        <f t="shared" si="26"/>
        <v>1262280095.75</v>
      </c>
      <c r="H63" s="76">
        <f t="shared" si="26"/>
        <v>612156580.71000004</v>
      </c>
      <c r="I63" s="76">
        <f t="shared" si="26"/>
        <v>1847391081.8399999</v>
      </c>
      <c r="J63" s="76">
        <f t="shared" si="26"/>
        <v>1324775375.3399999</v>
      </c>
      <c r="K63" s="76">
        <f t="shared" si="26"/>
        <v>888376461.49000001</v>
      </c>
      <c r="L63" s="76">
        <f t="shared" si="26"/>
        <v>423001389.69</v>
      </c>
      <c r="M63" s="76">
        <f t="shared" si="26"/>
        <v>1631042560</v>
      </c>
      <c r="N63" s="76">
        <f t="shared" si="26"/>
        <v>1022711562.04</v>
      </c>
      <c r="O63" s="76">
        <f t="shared" si="26"/>
        <v>615138524.07000005</v>
      </c>
      <c r="P63" s="76">
        <f t="shared" si="26"/>
        <v>265749041.91</v>
      </c>
      <c r="Q63" s="76">
        <f t="shared" si="26"/>
        <v>1068796191.5700001</v>
      </c>
      <c r="R63" s="76">
        <f t="shared" si="26"/>
        <v>705098562.99000001</v>
      </c>
      <c r="S63" s="76">
        <f t="shared" si="26"/>
        <v>433011175.55000001</v>
      </c>
      <c r="T63" s="76">
        <f t="shared" si="26"/>
        <v>196981639.65000001</v>
      </c>
      <c r="U63" s="76">
        <f t="shared" si="26"/>
        <v>965382340.42999995</v>
      </c>
      <c r="V63" s="76">
        <f t="shared" si="26"/>
        <v>705638264.82000005</v>
      </c>
      <c r="W63" s="76">
        <f t="shared" si="26"/>
        <v>483178236.35000002</v>
      </c>
      <c r="X63" s="76">
        <f t="shared" si="26"/>
        <v>221315195.03</v>
      </c>
      <c r="Y63" s="76">
        <f t="shared" si="26"/>
        <v>789577816.87</v>
      </c>
      <c r="Z63" s="76">
        <f t="shared" si="26"/>
        <v>539360672.49000001</v>
      </c>
      <c r="AA63" s="76">
        <f t="shared" si="26"/>
        <v>394771497.57999998</v>
      </c>
      <c r="AB63" s="76">
        <f t="shared" si="26"/>
        <v>177632246.53</v>
      </c>
      <c r="AC63" s="76">
        <f t="shared" si="26"/>
        <v>820090562.65999997</v>
      </c>
      <c r="AD63" s="76">
        <f t="shared" si="26"/>
        <v>640951585.91999996</v>
      </c>
      <c r="AE63" s="76">
        <f t="shared" si="26"/>
        <v>469202622.25999999</v>
      </c>
      <c r="AF63" s="76">
        <f t="shared" si="26"/>
        <v>205970417.91999999</v>
      </c>
      <c r="AG63" s="76">
        <f t="shared" si="26"/>
        <v>731662751.10000002</v>
      </c>
      <c r="AH63" s="76">
        <f t="shared" si="26"/>
        <v>538217516.25999999</v>
      </c>
      <c r="AI63" s="76">
        <f t="shared" si="26"/>
        <v>404874884.06999999</v>
      </c>
      <c r="AJ63" s="76">
        <f t="shared" si="26"/>
        <v>639478592.48000002</v>
      </c>
      <c r="AK63" s="76">
        <f t="shared" si="26"/>
        <v>0</v>
      </c>
      <c r="AL63" s="76">
        <f t="shared" si="26"/>
        <v>0</v>
      </c>
      <c r="AM63" s="76">
        <f t="shared" si="26"/>
        <v>0</v>
      </c>
      <c r="AN63" s="76">
        <f t="shared" si="26"/>
        <v>0</v>
      </c>
      <c r="AO63" s="76">
        <f t="shared" si="26"/>
        <v>0</v>
      </c>
      <c r="AP63" s="76">
        <f t="shared" si="26"/>
        <v>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473</v>
      </c>
      <c r="E64" s="76">
        <f>资产资本表!E22+资产资本表!E23-资产资本表!E37</f>
        <v>371394714.30000001</v>
      </c>
      <c r="F64" s="76">
        <f>资产资本表!F22+资产资本表!F23-资产资本表!F37</f>
        <v>329320658.27999997</v>
      </c>
      <c r="G64" s="76">
        <f>资产资本表!G22+资产资本表!G23-资产资本表!G37</f>
        <v>385794847.06999999</v>
      </c>
      <c r="H64" s="76">
        <f>资产资本表!H22+资产资本表!H23-资产资本表!H37</f>
        <v>294539349.90999997</v>
      </c>
      <c r="I64" s="76">
        <f>资产资本表!I22+资产资本表!I23-资产资本表!I37</f>
        <v>305983690.97000003</v>
      </c>
      <c r="J64" s="76">
        <f>资产资本表!J22+资产资本表!J23-资产资本表!J37</f>
        <v>249929933.97</v>
      </c>
      <c r="K64" s="76">
        <f>资产资本表!K22+资产资本表!K23-资产资本表!K37</f>
        <v>287528587.44999999</v>
      </c>
      <c r="L64" s="76">
        <f>资产资本表!L22+资产资本表!L23-资产资本表!L37</f>
        <v>269503533.81999999</v>
      </c>
      <c r="M64" s="76">
        <f>资产资本表!M22+资产资本表!M23-资产资本表!M37</f>
        <v>222390706.94999999</v>
      </c>
      <c r="N64" s="76">
        <f>资产资本表!N22+资产资本表!N23-资产资本表!N37</f>
        <v>81934237.700000003</v>
      </c>
      <c r="O64" s="76">
        <f>资产资本表!O22+资产资本表!O23-资产资本表!O37</f>
        <v>102579534.47999999</v>
      </c>
      <c r="P64" s="76">
        <f>资产资本表!P22+资产资本表!P23-资产资本表!P37</f>
        <v>63217373.149999999</v>
      </c>
      <c r="Q64" s="76">
        <f>资产资本表!Q22+资产资本表!Q23-资产资本表!Q37</f>
        <v>186806922.90000001</v>
      </c>
      <c r="R64" s="76">
        <f>资产资本表!R22+资产资本表!R23-资产资本表!R37</f>
        <v>133622877.49000001</v>
      </c>
      <c r="S64" s="76">
        <f>资产资本表!S22+资产资本表!S23-资产资本表!S37</f>
        <v>149996863.02000001</v>
      </c>
      <c r="T64" s="76">
        <f>资产资本表!T22+资产资本表!T23-资产资本表!T37</f>
        <v>128677231.78</v>
      </c>
      <c r="U64" s="76">
        <f>资产资本表!U22+资产资本表!U23-资产资本表!U37</f>
        <v>139281861.75</v>
      </c>
      <c r="V64" s="76">
        <f>资产资本表!V22+资产资本表!V23-资产资本表!V37</f>
        <v>139071788.97</v>
      </c>
      <c r="W64" s="76">
        <f>资产资本表!W22+资产资本表!W23-资产资本表!W37</f>
        <v>142366273.10999998</v>
      </c>
      <c r="X64" s="76">
        <f>资产资本表!X22+资产资本表!X23-资产资本表!X37</f>
        <v>137184558.49000001</v>
      </c>
      <c r="Y64" s="76">
        <f>资产资本表!Y22+资产资本表!Y23-资产资本表!Y37</f>
        <v>129721022.86999999</v>
      </c>
      <c r="Z64" s="76">
        <f>资产资本表!Z22+资产资本表!Z23-资产资本表!Z37</f>
        <v>93515291.86999999</v>
      </c>
      <c r="AA64" s="76">
        <f>资产资本表!AA22+资产资本表!AA23-资产资本表!AA37</f>
        <v>132208119.46000001</v>
      </c>
      <c r="AB64" s="76">
        <f>资产资本表!AB22+资产资本表!AB23-资产资本表!AB37</f>
        <v>111228239.81</v>
      </c>
      <c r="AC64" s="76">
        <f>资产资本表!AC22+资产资本表!AC23-资产资本表!AC37</f>
        <v>69328434.230000004</v>
      </c>
      <c r="AD64" s="76">
        <f>资产资本表!AD22+资产资本表!AD23-资产资本表!AD37</f>
        <v>26615243.48</v>
      </c>
      <c r="AE64" s="76">
        <f>资产资本表!AE22+资产资本表!AE23-资产资本表!AE37</f>
        <v>73808193.350000009</v>
      </c>
      <c r="AF64" s="76">
        <f>资产资本表!AF22+资产资本表!AF23-资产资本表!AF37</f>
        <v>57369531.619999997</v>
      </c>
      <c r="AG64" s="76">
        <f>资产资本表!AG22+资产资本表!AG23-资产资本表!AG37</f>
        <v>63736418.079999998</v>
      </c>
      <c r="AH64" s="76">
        <f>资产资本表!AH22+资产资本表!AH23-资产资本表!AH37</f>
        <v>28634309.720000003</v>
      </c>
      <c r="AI64" s="76">
        <f>资产资本表!AI22+资产资本表!AI23-资产资本表!AI37</f>
        <v>0</v>
      </c>
      <c r="AJ64" s="76">
        <f>资产资本表!AJ22+资产资本表!AJ23-资产资本表!AJ37</f>
        <v>0</v>
      </c>
      <c r="AK64" s="76">
        <f>资产资本表!AK22+资产资本表!AK23-资产资本表!AK37</f>
        <v>0</v>
      </c>
      <c r="AL64" s="76">
        <f>资产资本表!AL22+资产资本表!AL23-资产资本表!AL37</f>
        <v>0</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694</v>
      </c>
      <c r="E65" s="155">
        <f>E63/(E64+I64)*2</f>
        <v>7.2526410616260888</v>
      </c>
      <c r="F65" s="155">
        <f t="shared" ref="F65:BQ65" si="28">F63/(F64+J64)*2</f>
        <v>6.2056170084476943</v>
      </c>
      <c r="G65" s="155">
        <f t="shared" si="28"/>
        <v>3.7494019397969018</v>
      </c>
      <c r="H65" s="155">
        <f t="shared" si="28"/>
        <v>2.1706029749434137</v>
      </c>
      <c r="I65" s="155">
        <f t="shared" si="28"/>
        <v>6.9927350345226573</v>
      </c>
      <c r="J65" s="155">
        <f t="shared" si="28"/>
        <v>7.9838409110178583</v>
      </c>
      <c r="K65" s="155">
        <f t="shared" si="28"/>
        <v>4.5545140516167368</v>
      </c>
      <c r="L65" s="155">
        <f t="shared" si="28"/>
        <v>2.5426799508462521</v>
      </c>
      <c r="M65" s="155">
        <f t="shared" si="28"/>
        <v>7.9719061940700531</v>
      </c>
      <c r="N65" s="155">
        <f t="shared" si="28"/>
        <v>9.4890076918921853</v>
      </c>
      <c r="O65" s="155">
        <f t="shared" si="28"/>
        <v>4.870910585142858</v>
      </c>
      <c r="P65" s="155">
        <f t="shared" si="28"/>
        <v>2.7697395870711516</v>
      </c>
      <c r="Q65" s="155">
        <f t="shared" si="28"/>
        <v>6.5552465578794337</v>
      </c>
      <c r="R65" s="155">
        <f t="shared" si="28"/>
        <v>5.1713410617323294</v>
      </c>
      <c r="S65" s="155">
        <f t="shared" si="28"/>
        <v>2.962146194501488</v>
      </c>
      <c r="T65" s="155">
        <f t="shared" si="28"/>
        <v>1.481834899629257</v>
      </c>
      <c r="U65" s="155">
        <f t="shared" si="28"/>
        <v>7.1774869016272627</v>
      </c>
      <c r="V65" s="155">
        <f t="shared" si="28"/>
        <v>6.0677339624501228</v>
      </c>
      <c r="W65" s="155">
        <f t="shared" si="28"/>
        <v>3.5194704926958442</v>
      </c>
      <c r="X65" s="155">
        <f t="shared" si="28"/>
        <v>1.7818340805671766</v>
      </c>
      <c r="Y65" s="155">
        <f t="shared" si="28"/>
        <v>7.9334837519634718</v>
      </c>
      <c r="Z65" s="155">
        <f t="shared" si="28"/>
        <v>8.9795766067065976</v>
      </c>
      <c r="AA65" s="155">
        <f t="shared" si="28"/>
        <v>3.8324295022606369</v>
      </c>
      <c r="AB65" s="155">
        <f t="shared" si="28"/>
        <v>2.1071719397400339</v>
      </c>
      <c r="AC65" s="155">
        <f t="shared" si="28"/>
        <v>12.326178527586567</v>
      </c>
      <c r="AD65" s="155">
        <f t="shared" si="28"/>
        <v>23.202054995804019</v>
      </c>
      <c r="AE65" s="155">
        <f t="shared" si="28"/>
        <v>12.714106685555389</v>
      </c>
      <c r="AF65" s="155">
        <f t="shared" si="28"/>
        <v>7.180481070833606</v>
      </c>
      <c r="AG65" s="155">
        <f t="shared" si="28"/>
        <v>22.959016936961827</v>
      </c>
      <c r="AH65" s="155">
        <f t="shared" si="28"/>
        <v>37.592491072629215</v>
      </c>
      <c r="AI65" s="155" t="e">
        <f t="shared" si="28"/>
        <v>#DIV/0!</v>
      </c>
      <c r="AJ65" s="155" t="e">
        <f t="shared" si="28"/>
        <v>#DIV/0!</v>
      </c>
      <c r="AK65" s="155" t="e">
        <f t="shared" si="28"/>
        <v>#DIV/0!</v>
      </c>
      <c r="AL65" s="155" t="e">
        <f t="shared" si="28"/>
        <v>#DIV/0!</v>
      </c>
      <c r="AM65" s="155" t="e">
        <f t="shared" si="28"/>
        <v>#DIV/0!</v>
      </c>
      <c r="AN65" s="155" t="e">
        <f t="shared" si="28"/>
        <v>#DIV/0!</v>
      </c>
      <c r="AO65" s="155" t="e">
        <f t="shared" si="28"/>
        <v>#DIV/0!</v>
      </c>
      <c r="AP65" s="155" t="e">
        <f t="shared" si="28"/>
        <v>#DIV/0!</v>
      </c>
      <c r="AQ65" s="155" t="e">
        <f t="shared" si="28"/>
        <v>#DIV/0!</v>
      </c>
      <c r="AR65" s="155" t="e">
        <f t="shared" si="28"/>
        <v>#DIV/0!</v>
      </c>
      <c r="AS65" s="155" t="e">
        <f t="shared" si="28"/>
        <v>#DIV/0!</v>
      </c>
      <c r="AT65" s="155" t="e">
        <f t="shared" si="28"/>
        <v>#DIV/0!</v>
      </c>
      <c r="AU65" s="155" t="e">
        <f t="shared" si="28"/>
        <v>#DIV/0!</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474</v>
      </c>
      <c r="E66" s="83">
        <f>E62/E65</f>
        <v>50.326494431280274</v>
      </c>
      <c r="F66" s="83">
        <f t="shared" ref="F66:BQ66" si="30">F62/F65</f>
        <v>58.817680740388298</v>
      </c>
      <c r="G66" s="83">
        <f t="shared" si="30"/>
        <v>97.348858794203153</v>
      </c>
      <c r="H66" s="83">
        <f t="shared" si="30"/>
        <v>168.1560396873202</v>
      </c>
      <c r="I66" s="83">
        <f t="shared" si="30"/>
        <v>52.197029945796579</v>
      </c>
      <c r="J66" s="83">
        <f t="shared" si="30"/>
        <v>45.717343828368719</v>
      </c>
      <c r="K66" s="83">
        <f t="shared" si="30"/>
        <v>80.14027311441366</v>
      </c>
      <c r="L66" s="83">
        <f t="shared" si="30"/>
        <v>143.54932868311684</v>
      </c>
      <c r="M66" s="83">
        <f t="shared" si="30"/>
        <v>45.785787127237811</v>
      </c>
      <c r="N66" s="83">
        <f t="shared" si="30"/>
        <v>38.465560557177291</v>
      </c>
      <c r="O66" s="83">
        <f t="shared" si="30"/>
        <v>74.934654130854881</v>
      </c>
      <c r="P66" s="83">
        <f t="shared" si="30"/>
        <v>131.78134208132093</v>
      </c>
      <c r="Q66" s="83">
        <f t="shared" si="30"/>
        <v>55.680590619626422</v>
      </c>
      <c r="R66" s="83">
        <f t="shared" si="30"/>
        <v>70.581304857454114</v>
      </c>
      <c r="S66" s="83">
        <f t="shared" si="30"/>
        <v>123.22146715024894</v>
      </c>
      <c r="T66" s="83">
        <f t="shared" si="30"/>
        <v>246.31623947534237</v>
      </c>
      <c r="U66" s="83">
        <f t="shared" si="30"/>
        <v>50.853454001740928</v>
      </c>
      <c r="V66" s="83">
        <f t="shared" si="30"/>
        <v>60.154252354962296</v>
      </c>
      <c r="W66" s="83">
        <f t="shared" si="30"/>
        <v>103.70878254484732</v>
      </c>
      <c r="X66" s="83">
        <f t="shared" si="30"/>
        <v>204.84511099025372</v>
      </c>
      <c r="Y66" s="83">
        <f t="shared" si="30"/>
        <v>46.007531043303075</v>
      </c>
      <c r="Z66" s="83">
        <f t="shared" si="30"/>
        <v>40.647796214288277</v>
      </c>
      <c r="AA66" s="83">
        <f t="shared" si="30"/>
        <v>95.23984714779418</v>
      </c>
      <c r="AB66" s="83">
        <f t="shared" si="30"/>
        <v>173.21794824442793</v>
      </c>
      <c r="AC66" s="83">
        <f t="shared" si="30"/>
        <v>29.611772958108048</v>
      </c>
      <c r="AD66" s="83">
        <f t="shared" si="30"/>
        <v>15.731365177179715</v>
      </c>
      <c r="AE66" s="83">
        <f t="shared" si="30"/>
        <v>28.708269407136545</v>
      </c>
      <c r="AF66" s="83">
        <f t="shared" si="30"/>
        <v>50.832248758734757</v>
      </c>
      <c r="AG66" s="83">
        <f t="shared" si="30"/>
        <v>15.897893233067171</v>
      </c>
      <c r="AH66" s="83">
        <f t="shared" si="30"/>
        <v>9.7093858264091875</v>
      </c>
      <c r="AI66" s="83" t="e">
        <f t="shared" si="30"/>
        <v>#DIV/0!</v>
      </c>
      <c r="AJ66" s="83" t="e">
        <f t="shared" si="30"/>
        <v>#DIV/0!</v>
      </c>
      <c r="AK66" s="83" t="e">
        <f t="shared" si="30"/>
        <v>#DIV/0!</v>
      </c>
      <c r="AL66" s="83" t="e">
        <f t="shared" si="30"/>
        <v>#DIV/0!</v>
      </c>
      <c r="AM66" s="83" t="e">
        <f t="shared" si="30"/>
        <v>#DIV/0!</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475</v>
      </c>
      <c r="E67" s="76">
        <f>股权价值增加表!E5</f>
        <v>1483217632.6600001</v>
      </c>
      <c r="F67" s="76">
        <f>股权价值增加表!F5</f>
        <v>1076327673.26</v>
      </c>
      <c r="G67" s="76">
        <f>股权价值增加表!G5</f>
        <v>763209419.25999999</v>
      </c>
      <c r="H67" s="76">
        <f>股权价值增加表!H5</f>
        <v>379066624.18000001</v>
      </c>
      <c r="I67" s="76">
        <f>股权价值增加表!I5</f>
        <v>1093192340.75</v>
      </c>
      <c r="J67" s="76">
        <f>股权价值增加表!J5</f>
        <v>774816435.69000006</v>
      </c>
      <c r="K67" s="76">
        <f>股权价值增加表!K5</f>
        <v>523069803.54000002</v>
      </c>
      <c r="L67" s="76">
        <f>股权价值增加表!L5</f>
        <v>261347307.03</v>
      </c>
      <c r="M67" s="76">
        <f>股权价值增加表!M5</f>
        <v>1072076772.12</v>
      </c>
      <c r="N67" s="76">
        <f>股权价值增加表!N5</f>
        <v>666132747.07000005</v>
      </c>
      <c r="O67" s="76">
        <f>股权价值增加表!O5</f>
        <v>408201899.26999998</v>
      </c>
      <c r="P67" s="76">
        <f>股权价值增加表!P5</f>
        <v>177861626.05000001</v>
      </c>
      <c r="Q67" s="76">
        <f>股权价值增加表!Q5</f>
        <v>768038724.02999997</v>
      </c>
      <c r="R67" s="76">
        <f>股权价值增加表!R5</f>
        <v>507051456.85000002</v>
      </c>
      <c r="S67" s="76">
        <f>股权价值增加表!S5</f>
        <v>315018885.75999999</v>
      </c>
      <c r="T67" s="76">
        <f>股权价值增加表!T5</f>
        <v>139161166.72</v>
      </c>
      <c r="U67" s="76">
        <f>股权价值增加表!U5</f>
        <v>670813034.48000002</v>
      </c>
      <c r="V67" s="76">
        <f>股权价值增加表!V5</f>
        <v>496650507.01999998</v>
      </c>
      <c r="W67" s="76">
        <f>股权价值增加表!W5</f>
        <v>341931917.73000002</v>
      </c>
      <c r="X67" s="76">
        <f>股权价值增加表!X5</f>
        <v>156289971.44999999</v>
      </c>
      <c r="Y67" s="76">
        <f>股权价值增加表!Y5</f>
        <v>521890826.97000003</v>
      </c>
      <c r="Z67" s="76">
        <f>股权价值增加表!Z5</f>
        <v>355153963.38</v>
      </c>
      <c r="AA67" s="76">
        <f>股权价值增加表!AA5</f>
        <v>254538342.21000001</v>
      </c>
      <c r="AB67" s="76">
        <f>股权价值增加表!AB5</f>
        <v>119441195.91</v>
      </c>
      <c r="AC67" s="76">
        <f>股权价值增加表!AC5</f>
        <v>531176597.10000002</v>
      </c>
      <c r="AD67" s="76">
        <f>股权价值增加表!AD5</f>
        <v>402979000.42000002</v>
      </c>
      <c r="AE67" s="76">
        <f>股权价值增加表!AE5</f>
        <v>294317658.50999999</v>
      </c>
      <c r="AF67" s="76">
        <f>股权价值增加表!AF5</f>
        <v>134954397.66</v>
      </c>
      <c r="AG67" s="76">
        <f>股权价值增加表!AG5</f>
        <v>498840802.37</v>
      </c>
      <c r="AH67" s="76">
        <f>股权价值增加表!AH5</f>
        <v>366482751.81999999</v>
      </c>
      <c r="AI67" s="76">
        <f>股权价值增加表!AI5</f>
        <v>249155678</v>
      </c>
      <c r="AJ67" s="76">
        <f>股权价值增加表!AJ5</f>
        <v>447889209.37</v>
      </c>
      <c r="AK67" s="76">
        <f>股权价值增加表!AK5</f>
        <v>0</v>
      </c>
      <c r="AL67" s="76">
        <f>股权价值增加表!AL5</f>
        <v>0</v>
      </c>
      <c r="AM67" s="76">
        <f>股权价值增加表!AM5</f>
        <v>0</v>
      </c>
      <c r="AN67" s="76">
        <f>股权价值增加表!AN5</f>
        <v>0</v>
      </c>
      <c r="AO67" s="76">
        <f>股权价值增加表!AO5</f>
        <v>0</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476</v>
      </c>
      <c r="E68" s="76">
        <f>资产资本表!E26</f>
        <v>693441799.19000006</v>
      </c>
      <c r="F68" s="76">
        <f>资产资本表!F26</f>
        <v>664605855.32000005</v>
      </c>
      <c r="G68" s="76">
        <f>资产资本表!G26</f>
        <v>638743101.07000005</v>
      </c>
      <c r="H68" s="76">
        <f>资产资本表!H26</f>
        <v>644547802.22000003</v>
      </c>
      <c r="I68" s="76">
        <f>资产资本表!I26</f>
        <v>697079591.05999994</v>
      </c>
      <c r="J68" s="76">
        <f>资产资本表!J26</f>
        <v>681821488.59000003</v>
      </c>
      <c r="K68" s="76">
        <f>资产资本表!K26</f>
        <v>592297432.84000003</v>
      </c>
      <c r="L68" s="76">
        <f>资产资本表!L26</f>
        <v>521266645.61000001</v>
      </c>
      <c r="M68" s="76">
        <f>资产资本表!M26</f>
        <v>390328020.83999997</v>
      </c>
      <c r="N68" s="76">
        <f>资产资本表!N26</f>
        <v>441613151.01999998</v>
      </c>
      <c r="O68" s="76">
        <f>资产资本表!O26</f>
        <v>387700988.93000001</v>
      </c>
      <c r="P68" s="76">
        <f>资产资本表!P26</f>
        <v>342844806.60000002</v>
      </c>
      <c r="Q68" s="76">
        <f>资产资本表!Q26</f>
        <v>289896370.81999999</v>
      </c>
      <c r="R68" s="76">
        <f>资产资本表!R26</f>
        <v>312193074.07999998</v>
      </c>
      <c r="S68" s="76">
        <f>资产资本表!S26</f>
        <v>288874923.70999998</v>
      </c>
      <c r="T68" s="76">
        <f>资产资本表!T26</f>
        <v>306601886.50999999</v>
      </c>
      <c r="U68" s="76">
        <f>资产资本表!U26</f>
        <v>285245447.89999998</v>
      </c>
      <c r="V68" s="76">
        <f>资产资本表!V26</f>
        <v>272899559.27999997</v>
      </c>
      <c r="W68" s="76">
        <f>资产资本表!W26</f>
        <v>272276630.54000002</v>
      </c>
      <c r="X68" s="76">
        <f>资产资本表!X26</f>
        <v>273104736.24000001</v>
      </c>
      <c r="Y68" s="76">
        <f>资产资本表!Y26</f>
        <v>256470646.41</v>
      </c>
      <c r="Z68" s="76">
        <f>资产资本表!Z26</f>
        <v>234456271.97</v>
      </c>
      <c r="AA68" s="76">
        <f>资产资本表!AA26</f>
        <v>215824597.50999999</v>
      </c>
      <c r="AB68" s="76">
        <f>资产资本表!AB26</f>
        <v>224156467.27000001</v>
      </c>
      <c r="AC68" s="76">
        <f>资产资本表!AC26</f>
        <v>224490389.49000001</v>
      </c>
      <c r="AD68" s="76">
        <f>资产资本表!AD26</f>
        <v>227799281.63</v>
      </c>
      <c r="AE68" s="76">
        <f>资产资本表!AE26</f>
        <v>213187752.13</v>
      </c>
      <c r="AF68" s="76">
        <f>资产资本表!AF26</f>
        <v>227794263.31</v>
      </c>
      <c r="AG68" s="76">
        <f>资产资本表!AG26</f>
        <v>196151344.22</v>
      </c>
      <c r="AH68" s="76">
        <f>资产资本表!AH26</f>
        <v>223636319.30000001</v>
      </c>
      <c r="AI68" s="76">
        <f>资产资本表!AI26</f>
        <v>0</v>
      </c>
      <c r="AJ68" s="76">
        <f>资产资本表!AJ26</f>
        <v>0</v>
      </c>
      <c r="AK68" s="76">
        <f>资产资本表!AK26</f>
        <v>0</v>
      </c>
      <c r="AL68" s="76">
        <f>资产资本表!AL26</f>
        <v>0</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477</v>
      </c>
      <c r="E69" s="155">
        <f>E67/(E68+I68)*2</f>
        <v>2.1333258777030886</v>
      </c>
      <c r="F69" s="155">
        <f t="shared" ref="F69:BQ69" si="32">F67/(F68+J68)*2</f>
        <v>1.5987905743719737</v>
      </c>
      <c r="G69" s="155">
        <f t="shared" si="32"/>
        <v>1.2399419811724857</v>
      </c>
      <c r="H69" s="155">
        <f t="shared" si="32"/>
        <v>0.65030352795091773</v>
      </c>
      <c r="I69" s="155">
        <f t="shared" si="32"/>
        <v>2.0106394856660836</v>
      </c>
      <c r="J69" s="155">
        <f t="shared" si="32"/>
        <v>1.3793707410677265</v>
      </c>
      <c r="K69" s="155">
        <f t="shared" si="32"/>
        <v>1.0674911141086745</v>
      </c>
      <c r="L69" s="155">
        <f t="shared" si="32"/>
        <v>0.60489258963434334</v>
      </c>
      <c r="M69" s="155">
        <f t="shared" si="32"/>
        <v>3.1521268136349385</v>
      </c>
      <c r="N69" s="155">
        <f t="shared" si="32"/>
        <v>1.7673845741500236</v>
      </c>
      <c r="O69" s="155">
        <f t="shared" si="32"/>
        <v>1.2066699143254915</v>
      </c>
      <c r="P69" s="155">
        <f t="shared" si="32"/>
        <v>0.54773279450627588</v>
      </c>
      <c r="Q69" s="155">
        <f t="shared" si="32"/>
        <v>2.6707803155030505</v>
      </c>
      <c r="R69" s="155">
        <f t="shared" si="32"/>
        <v>1.7332348005756477</v>
      </c>
      <c r="S69" s="155">
        <f t="shared" si="32"/>
        <v>1.122758667864814</v>
      </c>
      <c r="T69" s="155">
        <f t="shared" si="32"/>
        <v>0.48010894220890632</v>
      </c>
      <c r="U69" s="155">
        <f t="shared" si="32"/>
        <v>2.476622132980689</v>
      </c>
      <c r="V69" s="155">
        <f t="shared" si="32"/>
        <v>1.9577995419757974</v>
      </c>
      <c r="W69" s="155">
        <f t="shared" si="32"/>
        <v>1.4010696883351141</v>
      </c>
      <c r="X69" s="155">
        <f t="shared" si="32"/>
        <v>0.62860311782540657</v>
      </c>
      <c r="Y69" s="155">
        <f t="shared" si="32"/>
        <v>2.1702000287545542</v>
      </c>
      <c r="Z69" s="155">
        <f t="shared" si="32"/>
        <v>1.5366130730679013</v>
      </c>
      <c r="AA69" s="155">
        <f t="shared" si="32"/>
        <v>1.1866247786274333</v>
      </c>
      <c r="AB69" s="155">
        <f t="shared" si="32"/>
        <v>0.52855848139339445</v>
      </c>
      <c r="AC69" s="155">
        <f t="shared" si="32"/>
        <v>2.5255534795137815</v>
      </c>
      <c r="AD69" s="155">
        <f t="shared" si="32"/>
        <v>1.7853222013940646</v>
      </c>
      <c r="AE69" s="155">
        <f t="shared" si="32"/>
        <v>2.7611122643718078</v>
      </c>
      <c r="AF69" s="155">
        <f t="shared" si="32"/>
        <v>1.1848796865998652</v>
      </c>
      <c r="AG69" s="155">
        <f t="shared" si="32"/>
        <v>5.0862848210768181</v>
      </c>
      <c r="AH69" s="155">
        <f t="shared" si="32"/>
        <v>3.2774886741752951</v>
      </c>
      <c r="AI69" s="155" t="e">
        <f t="shared" si="32"/>
        <v>#DIV/0!</v>
      </c>
      <c r="AJ69" s="155" t="e">
        <f t="shared" si="32"/>
        <v>#DIV/0!</v>
      </c>
      <c r="AK69" s="155" t="e">
        <f t="shared" si="32"/>
        <v>#DIV/0!</v>
      </c>
      <c r="AL69" s="155" t="e">
        <f t="shared" si="32"/>
        <v>#DIV/0!</v>
      </c>
      <c r="AM69" s="155" t="e">
        <f t="shared" si="32"/>
        <v>#DIV/0!</v>
      </c>
      <c r="AN69" s="155" t="e">
        <f t="shared" si="32"/>
        <v>#DIV/0!</v>
      </c>
      <c r="AO69" s="155" t="e">
        <f t="shared" si="32"/>
        <v>#DIV/0!</v>
      </c>
      <c r="AP69" s="155" t="e">
        <f t="shared" si="32"/>
        <v>#DIV/0!</v>
      </c>
      <c r="AQ69" s="155" t="e">
        <f t="shared" si="32"/>
        <v>#DIV/0!</v>
      </c>
      <c r="AR69" s="155" t="e">
        <f t="shared" si="32"/>
        <v>#DIV/0!</v>
      </c>
      <c r="AS69" s="155" t="e">
        <f t="shared" si="32"/>
        <v>#DIV/0!</v>
      </c>
      <c r="AT69" s="155" t="e">
        <f t="shared" si="32"/>
        <v>#DIV/0!</v>
      </c>
      <c r="AU69" s="155" t="e">
        <f t="shared" si="32"/>
        <v>#DIV/0!</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478</v>
      </c>
      <c r="E70" s="83">
        <f>E62/E69</f>
        <v>171.09434794509153</v>
      </c>
      <c r="F70" s="83">
        <f t="shared" ref="F70:BQ70" si="34">F62/F69</f>
        <v>228.29756808103329</v>
      </c>
      <c r="G70" s="83">
        <f t="shared" si="34"/>
        <v>294.368612033651</v>
      </c>
      <c r="H70" s="83">
        <f t="shared" si="34"/>
        <v>561.2763645156615</v>
      </c>
      <c r="I70" s="83">
        <f t="shared" si="34"/>
        <v>181.53428429218528</v>
      </c>
      <c r="J70" s="83">
        <f t="shared" si="34"/>
        <v>264.61341329994087</v>
      </c>
      <c r="K70" s="83">
        <f t="shared" si="34"/>
        <v>341.92322088298118</v>
      </c>
      <c r="L70" s="83">
        <f t="shared" si="34"/>
        <v>603.41291372182616</v>
      </c>
      <c r="M70" s="83">
        <f t="shared" si="34"/>
        <v>115.79483364093873</v>
      </c>
      <c r="N70" s="83">
        <f t="shared" si="34"/>
        <v>206.51985161494181</v>
      </c>
      <c r="O70" s="83">
        <f t="shared" si="34"/>
        <v>302.48537372710496</v>
      </c>
      <c r="P70" s="83">
        <f t="shared" si="34"/>
        <v>666.38332351271663</v>
      </c>
      <c r="Q70" s="83">
        <f t="shared" si="34"/>
        <v>136.66417933414004</v>
      </c>
      <c r="R70" s="83">
        <f t="shared" si="34"/>
        <v>210.58889417566218</v>
      </c>
      <c r="S70" s="83">
        <f t="shared" si="34"/>
        <v>325.09212393268103</v>
      </c>
      <c r="T70" s="83">
        <f t="shared" si="34"/>
        <v>760.24411942983602</v>
      </c>
      <c r="U70" s="83">
        <f t="shared" si="34"/>
        <v>147.37815476142561</v>
      </c>
      <c r="V70" s="83">
        <f t="shared" si="34"/>
        <v>186.43379578669459</v>
      </c>
      <c r="W70" s="83">
        <f t="shared" si="34"/>
        <v>260.51523563665711</v>
      </c>
      <c r="X70" s="83">
        <f t="shared" si="34"/>
        <v>580.65254474505821</v>
      </c>
      <c r="Y70" s="83">
        <f t="shared" si="34"/>
        <v>168.18726161821505</v>
      </c>
      <c r="Z70" s="83">
        <f t="shared" si="34"/>
        <v>237.53539937758362</v>
      </c>
      <c r="AA70" s="83">
        <f t="shared" si="34"/>
        <v>307.59512743547697</v>
      </c>
      <c r="AB70" s="83">
        <f t="shared" si="34"/>
        <v>690.5574555114149</v>
      </c>
      <c r="AC70" s="83">
        <f t="shared" si="34"/>
        <v>144.5227760808572</v>
      </c>
      <c r="AD70" s="83">
        <f t="shared" si="34"/>
        <v>204.44488939586961</v>
      </c>
      <c r="AE70" s="83">
        <f t="shared" si="34"/>
        <v>132.19310373931597</v>
      </c>
      <c r="AF70" s="83">
        <f t="shared" si="34"/>
        <v>308.04815385721167</v>
      </c>
      <c r="AG70" s="83">
        <f t="shared" si="34"/>
        <v>71.761612422390016</v>
      </c>
      <c r="AH70" s="83">
        <f t="shared" si="34"/>
        <v>111.36575478535983</v>
      </c>
      <c r="AI70" s="83" t="e">
        <f t="shared" si="34"/>
        <v>#DIV/0!</v>
      </c>
      <c r="AJ70" s="83" t="e">
        <f t="shared" si="34"/>
        <v>#DIV/0!</v>
      </c>
      <c r="AK70" s="83" t="e">
        <f t="shared" si="34"/>
        <v>#DIV/0!</v>
      </c>
      <c r="AL70" s="83" t="e">
        <f t="shared" si="34"/>
        <v>#DIV/0!</v>
      </c>
      <c r="AM70" s="83" t="e">
        <f t="shared" si="34"/>
        <v>#DIV/0!</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479</v>
      </c>
      <c r="E71" s="76">
        <f>资产资本表!E35+资产资本表!E36-资产资本表!E24</f>
        <v>242811786.76999998</v>
      </c>
      <c r="F71" s="76">
        <f>资产资本表!F35+资产资本表!F36-资产资本表!F24</f>
        <v>225254618.09999999</v>
      </c>
      <c r="G71" s="76">
        <f>资产资本表!G35+资产资本表!G36-资产资本表!G24</f>
        <v>252024714.24999997</v>
      </c>
      <c r="H71" s="76">
        <f>资产资本表!H35+资产资本表!H36-资产资本表!H24</f>
        <v>215298077.72000003</v>
      </c>
      <c r="I71" s="76">
        <f>资产资本表!I35+资产资本表!I36-资产资本表!I24</f>
        <v>250565805.46000001</v>
      </c>
      <c r="J71" s="76">
        <f>资产资本表!J35+资产资本表!J36-资产资本表!J24</f>
        <v>223223145.68000001</v>
      </c>
      <c r="K71" s="76">
        <f>资产资本表!K35+资产资本表!K36-资产资本表!K24</f>
        <v>244987823.11999997</v>
      </c>
      <c r="L71" s="76">
        <f>资产资本表!L35+资产资本表!L36-资产资本表!L24</f>
        <v>266640036.97000003</v>
      </c>
      <c r="M71" s="76">
        <f>资产资本表!M35+资产资本表!M36-资产资本表!M24</f>
        <v>311425948.54999995</v>
      </c>
      <c r="N71" s="76">
        <f>资产资本表!N35+资产资本表!N36-资产资本表!N24</f>
        <v>208410837.31999999</v>
      </c>
      <c r="O71" s="76">
        <f>资产资本表!O35+资产资本表!O36-资产资本表!O24</f>
        <v>169401096.90000001</v>
      </c>
      <c r="P71" s="76">
        <f>资产资本表!P35+资产资本表!P36-资产资本表!P24</f>
        <v>131824905.86000001</v>
      </c>
      <c r="Q71" s="76">
        <f>资产资本表!Q35+资产资本表!Q36-资产资本表!Q24</f>
        <v>140378907.96000001</v>
      </c>
      <c r="R71" s="76">
        <f>资产资本表!R35+资产资本表!R36-资产资本表!R24</f>
        <v>122948530.01999998</v>
      </c>
      <c r="S71" s="76">
        <f>资产资本表!S35+资产资本表!S36-资产资本表!S24</f>
        <v>118832582.84999999</v>
      </c>
      <c r="T71" s="76">
        <f>资产资本表!T35+资产资本表!T36-资产资本表!T24</f>
        <v>122980799.89999999</v>
      </c>
      <c r="U71" s="76">
        <f>资产资本表!U35+资产资本表!U36-资产资本表!U24</f>
        <v>137221235.92000002</v>
      </c>
      <c r="V71" s="76">
        <f>资产资本表!V35+资产资本表!V36-资产资本表!V24</f>
        <v>111671409.85000001</v>
      </c>
      <c r="W71" s="76">
        <f>资产资本表!W35+资产资本表!W36-资产资本表!W24</f>
        <v>109614662.57000001</v>
      </c>
      <c r="X71" s="76">
        <f>资产资本表!X35+资产资本表!X36-资产资本表!X24</f>
        <v>119449875.70999999</v>
      </c>
      <c r="Y71" s="76">
        <f>资产资本表!Y35+资产资本表!Y36-资产资本表!Y24</f>
        <v>125196277.11999999</v>
      </c>
      <c r="Z71" s="76">
        <f>资产资本表!Z35+资产资本表!Z36-资产资本表!Z24</f>
        <v>68391014.75</v>
      </c>
      <c r="AA71" s="76">
        <f>资产资本表!AA35+资产资本表!AA36-资产资本表!AA24</f>
        <v>47128244.079999998</v>
      </c>
      <c r="AB71" s="76">
        <f>资产资本表!AB35+资产资本表!AB36-资产资本表!AB24</f>
        <v>67758671.620000005</v>
      </c>
      <c r="AC71" s="76">
        <f>资产资本表!AC35+资产资本表!AC36-资产资本表!AC24</f>
        <v>75206950.069999993</v>
      </c>
      <c r="AD71" s="76">
        <f>资产资本表!AD35+资产资本表!AD36-资产资本表!AD24</f>
        <v>72658839.24000001</v>
      </c>
      <c r="AE71" s="76">
        <f>资产资本表!AE35+资产资本表!AE36-资产资本表!AE24</f>
        <v>78828730.849999994</v>
      </c>
      <c r="AF71" s="76">
        <f>资产资本表!AF35+资产资本表!AF36-资产资本表!AF24</f>
        <v>69505307.760000005</v>
      </c>
      <c r="AG71" s="76">
        <f>资产资本表!AG35+资产资本表!AG36-资产资本表!AG24</f>
        <v>21414261.150000002</v>
      </c>
      <c r="AH71" s="76">
        <f>资产资本表!AH35+资产资本表!AH36-资产资本表!AH24</f>
        <v>31260792.640000001</v>
      </c>
      <c r="AI71" s="76">
        <f>资产资本表!AI35+资产资本表!AI36-资产资本表!AI24</f>
        <v>0</v>
      </c>
      <c r="AJ71" s="76">
        <f>资产资本表!AJ35+资产资本表!AJ36-资产资本表!AJ24</f>
        <v>0</v>
      </c>
      <c r="AK71" s="76">
        <f>资产资本表!AK35+资产资本表!AK36-资产资本表!AK24</f>
        <v>0</v>
      </c>
      <c r="AL71" s="76">
        <f>资产资本表!AL35+资产资本表!AL36-资产资本表!AL24</f>
        <v>0</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480</v>
      </c>
      <c r="E72" s="155">
        <f>E67/(E71+I71)*2</f>
        <v>6.0125050509734619</v>
      </c>
      <c r="F72" s="155">
        <f t="shared" ref="F72:BQ72" si="36">F67/(F71+J71)*2</f>
        <v>4.7999154481513635</v>
      </c>
      <c r="G72" s="155">
        <f t="shared" si="36"/>
        <v>3.0711877945719923</v>
      </c>
      <c r="H72" s="155">
        <f t="shared" si="36"/>
        <v>1.5730925304541614</v>
      </c>
      <c r="I72" s="155">
        <f t="shared" si="36"/>
        <v>3.8904212844751025</v>
      </c>
      <c r="J72" s="155">
        <f t="shared" si="36"/>
        <v>3.5901549285103442</v>
      </c>
      <c r="K72" s="155">
        <f t="shared" si="36"/>
        <v>2.5245356633317062</v>
      </c>
      <c r="L72" s="155">
        <f t="shared" si="36"/>
        <v>1.3117706424753179</v>
      </c>
      <c r="M72" s="155">
        <f t="shared" si="36"/>
        <v>4.7457514308338178</v>
      </c>
      <c r="N72" s="155">
        <f t="shared" si="36"/>
        <v>4.0206061015712713</v>
      </c>
      <c r="O72" s="155">
        <f t="shared" si="36"/>
        <v>2.8324372059785285</v>
      </c>
      <c r="P72" s="155">
        <f t="shared" si="36"/>
        <v>1.396056854531561</v>
      </c>
      <c r="Q72" s="155">
        <f t="shared" si="36"/>
        <v>5.5334173339766357</v>
      </c>
      <c r="R72" s="155">
        <f t="shared" si="36"/>
        <v>4.3223219401637465</v>
      </c>
      <c r="S72" s="155">
        <f t="shared" si="36"/>
        <v>2.7579136284251371</v>
      </c>
      <c r="T72" s="155">
        <f t="shared" si="36"/>
        <v>1.1480491597842972</v>
      </c>
      <c r="U72" s="155">
        <f t="shared" si="36"/>
        <v>5.1125630047240689</v>
      </c>
      <c r="V72" s="155">
        <f t="shared" si="36"/>
        <v>5.5164258520153231</v>
      </c>
      <c r="W72" s="155">
        <f t="shared" si="36"/>
        <v>4.3629651259883664</v>
      </c>
      <c r="X72" s="155">
        <f t="shared" si="36"/>
        <v>1.669688416250583</v>
      </c>
      <c r="Y72" s="155">
        <f t="shared" si="36"/>
        <v>5.2084074122738686</v>
      </c>
      <c r="Z72" s="155">
        <f t="shared" si="36"/>
        <v>5.0358643179478841</v>
      </c>
      <c r="AA72" s="155">
        <f t="shared" si="36"/>
        <v>4.0416712508609951</v>
      </c>
      <c r="AB72" s="155">
        <f t="shared" si="36"/>
        <v>1.7403137581978501</v>
      </c>
      <c r="AC72" s="155">
        <f t="shared" si="36"/>
        <v>10.995030809343646</v>
      </c>
      <c r="AD72" s="155">
        <f t="shared" si="36"/>
        <v>7.7555894517666371</v>
      </c>
      <c r="AE72" s="155">
        <f t="shared" si="36"/>
        <v>7.4672687314995638</v>
      </c>
      <c r="AF72" s="155">
        <f t="shared" si="36"/>
        <v>3.8832832199231166</v>
      </c>
      <c r="AG72" s="155">
        <f t="shared" si="36"/>
        <v>46.589588020411334</v>
      </c>
      <c r="AH72" s="155">
        <f t="shared" si="36"/>
        <v>23.446798425134237</v>
      </c>
      <c r="AI72" s="155" t="e">
        <f t="shared" si="36"/>
        <v>#DIV/0!</v>
      </c>
      <c r="AJ72" s="155" t="e">
        <f t="shared" si="36"/>
        <v>#DIV/0!</v>
      </c>
      <c r="AK72" s="155" t="e">
        <f t="shared" si="36"/>
        <v>#DIV/0!</v>
      </c>
      <c r="AL72" s="155" t="e">
        <f t="shared" si="36"/>
        <v>#DIV/0!</v>
      </c>
      <c r="AM72" s="155" t="e">
        <f t="shared" si="36"/>
        <v>#DIV/0!</v>
      </c>
      <c r="AN72" s="155" t="e">
        <f t="shared" si="36"/>
        <v>#DIV/0!</v>
      </c>
      <c r="AO72" s="155" t="e">
        <f t="shared" si="36"/>
        <v>#DIV/0!</v>
      </c>
      <c r="AP72" s="155" t="e">
        <f t="shared" si="36"/>
        <v>#DIV/0!</v>
      </c>
      <c r="AQ72" s="155" t="e">
        <f t="shared" si="36"/>
        <v>#DIV/0!</v>
      </c>
      <c r="AR72" s="155" t="e">
        <f t="shared" si="36"/>
        <v>#DIV/0!</v>
      </c>
      <c r="AS72" s="155" t="e">
        <f t="shared" si="36"/>
        <v>#DIV/0!</v>
      </c>
      <c r="AT72" s="155" t="e">
        <f t="shared" si="36"/>
        <v>#DIV/0!</v>
      </c>
      <c r="AU72" s="155" t="e">
        <f t="shared" si="36"/>
        <v>#DIV/0!</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481</v>
      </c>
      <c r="E73" s="83">
        <f>E62/E72</f>
        <v>60.706809708360119</v>
      </c>
      <c r="F73" s="83">
        <f t="shared" ref="F73:BQ73" si="38">F62/F72</f>
        <v>76.043006161822262</v>
      </c>
      <c r="G73" s="83">
        <f t="shared" si="38"/>
        <v>118.84652597444541</v>
      </c>
      <c r="H73" s="83">
        <f t="shared" si="38"/>
        <v>232.02703778309993</v>
      </c>
      <c r="I73" s="83">
        <f t="shared" si="38"/>
        <v>93.820173526334685</v>
      </c>
      <c r="J73" s="83">
        <f t="shared" si="38"/>
        <v>101.66692169784682</v>
      </c>
      <c r="K73" s="83">
        <f t="shared" si="38"/>
        <v>144.58104327918207</v>
      </c>
      <c r="L73" s="83">
        <f t="shared" si="38"/>
        <v>278.24986181368041</v>
      </c>
      <c r="M73" s="83">
        <f t="shared" si="38"/>
        <v>76.910897108631403</v>
      </c>
      <c r="N73" s="83">
        <f t="shared" si="38"/>
        <v>90.782332508861373</v>
      </c>
      <c r="O73" s="83">
        <f t="shared" si="38"/>
        <v>128.86428663964065</v>
      </c>
      <c r="P73" s="83">
        <f t="shared" si="38"/>
        <v>261.45067001764312</v>
      </c>
      <c r="Q73" s="83">
        <f t="shared" si="38"/>
        <v>65.962854050209472</v>
      </c>
      <c r="R73" s="83">
        <f t="shared" si="38"/>
        <v>84.445352533405313</v>
      </c>
      <c r="S73" s="83">
        <f t="shared" si="38"/>
        <v>132.34642167109035</v>
      </c>
      <c r="T73" s="83">
        <f t="shared" si="38"/>
        <v>317.93063640983678</v>
      </c>
      <c r="U73" s="83">
        <f t="shared" si="38"/>
        <v>71.392763211472541</v>
      </c>
      <c r="V73" s="83">
        <f t="shared" si="38"/>
        <v>66.166030286921028</v>
      </c>
      <c r="W73" s="83">
        <f t="shared" si="38"/>
        <v>83.658702157816251</v>
      </c>
      <c r="X73" s="83">
        <f t="shared" si="38"/>
        <v>218.60366068756485</v>
      </c>
      <c r="Y73" s="83">
        <f t="shared" si="38"/>
        <v>70.079003255363531</v>
      </c>
      <c r="Z73" s="83">
        <f t="shared" si="38"/>
        <v>72.480110057599319</v>
      </c>
      <c r="AA73" s="83">
        <f t="shared" si="38"/>
        <v>90.309175918809387</v>
      </c>
      <c r="AB73" s="83">
        <f t="shared" si="38"/>
        <v>209.73229584645074</v>
      </c>
      <c r="AC73" s="83">
        <f t="shared" si="38"/>
        <v>33.196814663749798</v>
      </c>
      <c r="AD73" s="83">
        <f t="shared" si="38"/>
        <v>47.062831557807264</v>
      </c>
      <c r="AE73" s="83">
        <f t="shared" si="38"/>
        <v>48.879987198036908</v>
      </c>
      <c r="AF73" s="83">
        <f t="shared" si="38"/>
        <v>93.992629259533246</v>
      </c>
      <c r="AG73" s="83">
        <f t="shared" si="38"/>
        <v>7.8343684825049342</v>
      </c>
      <c r="AH73" s="83">
        <f t="shared" si="38"/>
        <v>15.567157331328076</v>
      </c>
      <c r="AI73" s="83" t="e">
        <f t="shared" si="38"/>
        <v>#DIV/0!</v>
      </c>
      <c r="AJ73" s="83" t="e">
        <f t="shared" si="38"/>
        <v>#DIV/0!</v>
      </c>
      <c r="AK73" s="83" t="e">
        <f t="shared" si="38"/>
        <v>#DIV/0!</v>
      </c>
      <c r="AL73" s="83" t="e">
        <f t="shared" si="38"/>
        <v>#DIV/0!</v>
      </c>
      <c r="AM73" s="83" t="e">
        <f t="shared" si="38"/>
        <v>#DIV/0!</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482</v>
      </c>
      <c r="E74" s="256">
        <f>E66+E70</f>
        <v>221.42084237637181</v>
      </c>
      <c r="F74" s="256">
        <f t="shared" ref="F74:BQ74" si="40">F66+F70</f>
        <v>287.11524882142157</v>
      </c>
      <c r="G74" s="256">
        <f t="shared" si="40"/>
        <v>391.71747082785419</v>
      </c>
      <c r="H74" s="256">
        <f t="shared" si="40"/>
        <v>729.43240420298173</v>
      </c>
      <c r="I74" s="256">
        <f t="shared" si="40"/>
        <v>233.73131423798185</v>
      </c>
      <c r="J74" s="256">
        <f t="shared" si="40"/>
        <v>310.33075712830959</v>
      </c>
      <c r="K74" s="256">
        <f t="shared" si="40"/>
        <v>422.06349399739486</v>
      </c>
      <c r="L74" s="256">
        <f t="shared" si="40"/>
        <v>746.96224240494303</v>
      </c>
      <c r="M74" s="256">
        <f t="shared" si="40"/>
        <v>161.58062076817654</v>
      </c>
      <c r="N74" s="256">
        <f t="shared" si="40"/>
        <v>244.98541217211911</v>
      </c>
      <c r="O74" s="256">
        <f t="shared" si="40"/>
        <v>377.42002785795984</v>
      </c>
      <c r="P74" s="256">
        <f t="shared" si="40"/>
        <v>798.16466559403761</v>
      </c>
      <c r="Q74" s="256">
        <f t="shared" si="40"/>
        <v>192.34476995376647</v>
      </c>
      <c r="R74" s="256">
        <f t="shared" si="40"/>
        <v>281.17019903311632</v>
      </c>
      <c r="S74" s="256">
        <f t="shared" si="40"/>
        <v>448.31359108292997</v>
      </c>
      <c r="T74" s="256">
        <f t="shared" si="40"/>
        <v>1006.5603589051784</v>
      </c>
      <c r="U74" s="256">
        <f t="shared" si="40"/>
        <v>198.23160876316655</v>
      </c>
      <c r="V74" s="256">
        <f t="shared" si="40"/>
        <v>246.58804814165688</v>
      </c>
      <c r="W74" s="256">
        <f t="shared" si="40"/>
        <v>364.22401818150445</v>
      </c>
      <c r="X74" s="256">
        <f t="shared" si="40"/>
        <v>785.49765573531192</v>
      </c>
      <c r="Y74" s="256">
        <f t="shared" si="40"/>
        <v>214.19479266151814</v>
      </c>
      <c r="Z74" s="256">
        <f t="shared" si="40"/>
        <v>278.18319559187188</v>
      </c>
      <c r="AA74" s="256">
        <f t="shared" si="40"/>
        <v>402.83497458327116</v>
      </c>
      <c r="AB74" s="256">
        <f t="shared" si="40"/>
        <v>863.77540375584283</v>
      </c>
      <c r="AC74" s="256">
        <f t="shared" si="40"/>
        <v>174.13454903896525</v>
      </c>
      <c r="AD74" s="256">
        <f t="shared" si="40"/>
        <v>220.17625457304933</v>
      </c>
      <c r="AE74" s="256">
        <f t="shared" si="40"/>
        <v>160.90137314645253</v>
      </c>
      <c r="AF74" s="256">
        <f t="shared" si="40"/>
        <v>358.88040261594642</v>
      </c>
      <c r="AG74" s="256">
        <f t="shared" si="40"/>
        <v>87.659505655457181</v>
      </c>
      <c r="AH74" s="256">
        <f t="shared" si="40"/>
        <v>121.07514061176902</v>
      </c>
      <c r="AI74" s="256" t="e">
        <f t="shared" si="40"/>
        <v>#DIV/0!</v>
      </c>
      <c r="AJ74" s="256" t="e">
        <f t="shared" si="40"/>
        <v>#DIV/0!</v>
      </c>
      <c r="AK74" s="256" t="e">
        <f t="shared" si="40"/>
        <v>#DIV/0!</v>
      </c>
      <c r="AL74" s="256" t="e">
        <f t="shared" si="40"/>
        <v>#DIV/0!</v>
      </c>
      <c r="AM74" s="256" t="e">
        <f t="shared" si="40"/>
        <v>#DIV/0!</v>
      </c>
      <c r="AN74" s="256" t="e">
        <f t="shared" si="40"/>
        <v>#DIV/0!</v>
      </c>
      <c r="AO74" s="256" t="e">
        <f t="shared" si="40"/>
        <v>#DIV/0!</v>
      </c>
      <c r="AP74" s="256" t="e">
        <f t="shared" si="40"/>
        <v>#DIV/0!</v>
      </c>
      <c r="AQ74" s="256" t="e">
        <f t="shared" si="40"/>
        <v>#DIV/0!</v>
      </c>
      <c r="AR74" s="256" t="e">
        <f t="shared" si="40"/>
        <v>#DIV/0!</v>
      </c>
      <c r="AS74" s="256" t="e">
        <f t="shared" si="40"/>
        <v>#DIV/0!</v>
      </c>
      <c r="AT74" s="256" t="e">
        <f t="shared" si="40"/>
        <v>#DIV/0!</v>
      </c>
      <c r="AU74" s="256" t="e">
        <f t="shared" si="40"/>
        <v>#DIV/0!</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483</v>
      </c>
      <c r="E75" s="256">
        <f>E74-E73</f>
        <v>160.7140326680117</v>
      </c>
      <c r="F75" s="256">
        <f t="shared" ref="F75:BQ75" si="42">F74-F73</f>
        <v>211.07224265959931</v>
      </c>
      <c r="G75" s="256">
        <f t="shared" si="42"/>
        <v>272.87094485340879</v>
      </c>
      <c r="H75" s="256">
        <f t="shared" si="42"/>
        <v>497.40536641988183</v>
      </c>
      <c r="I75" s="256">
        <f t="shared" si="42"/>
        <v>139.91114071164716</v>
      </c>
      <c r="J75" s="256">
        <f t="shared" si="42"/>
        <v>208.66383543046277</v>
      </c>
      <c r="K75" s="256">
        <f t="shared" si="42"/>
        <v>277.48245071821282</v>
      </c>
      <c r="L75" s="256">
        <f t="shared" si="42"/>
        <v>468.71238059126262</v>
      </c>
      <c r="M75" s="256">
        <f t="shared" si="42"/>
        <v>84.669723659545141</v>
      </c>
      <c r="N75" s="256">
        <f t="shared" si="42"/>
        <v>154.20307966325774</v>
      </c>
      <c r="O75" s="256">
        <f t="shared" si="42"/>
        <v>248.55574121831918</v>
      </c>
      <c r="P75" s="256">
        <f t="shared" si="42"/>
        <v>536.7139955763945</v>
      </c>
      <c r="Q75" s="256">
        <f t="shared" si="42"/>
        <v>126.381915903557</v>
      </c>
      <c r="R75" s="256">
        <f t="shared" si="42"/>
        <v>196.72484649971102</v>
      </c>
      <c r="S75" s="256">
        <f t="shared" si="42"/>
        <v>315.96716941183962</v>
      </c>
      <c r="T75" s="256">
        <f t="shared" si="42"/>
        <v>688.62972249534164</v>
      </c>
      <c r="U75" s="256">
        <f t="shared" si="42"/>
        <v>126.83884555169401</v>
      </c>
      <c r="V75" s="256">
        <f t="shared" si="42"/>
        <v>180.42201785473586</v>
      </c>
      <c r="W75" s="256">
        <f t="shared" si="42"/>
        <v>280.56531602368818</v>
      </c>
      <c r="X75" s="256">
        <f t="shared" si="42"/>
        <v>566.89399504774701</v>
      </c>
      <c r="Y75" s="256">
        <f t="shared" si="42"/>
        <v>144.11578940615459</v>
      </c>
      <c r="Z75" s="256">
        <f t="shared" si="42"/>
        <v>205.70308553427256</v>
      </c>
      <c r="AA75" s="256">
        <f t="shared" si="42"/>
        <v>312.52579866446177</v>
      </c>
      <c r="AB75" s="256">
        <f t="shared" si="42"/>
        <v>654.04310790939212</v>
      </c>
      <c r="AC75" s="256">
        <f t="shared" si="42"/>
        <v>140.93773437521546</v>
      </c>
      <c r="AD75" s="256">
        <f t="shared" si="42"/>
        <v>173.11342301524206</v>
      </c>
      <c r="AE75" s="256">
        <f t="shared" si="42"/>
        <v>112.02138594841563</v>
      </c>
      <c r="AF75" s="256">
        <f t="shared" si="42"/>
        <v>264.88777335641316</v>
      </c>
      <c r="AG75" s="256">
        <f t="shared" si="42"/>
        <v>79.825137172952253</v>
      </c>
      <c r="AH75" s="256">
        <f t="shared" si="42"/>
        <v>105.50798328044094</v>
      </c>
      <c r="AI75" s="256" t="e">
        <f t="shared" si="42"/>
        <v>#DIV/0!</v>
      </c>
      <c r="AJ75" s="256" t="e">
        <f t="shared" si="42"/>
        <v>#DIV/0!</v>
      </c>
      <c r="AK75" s="256" t="e">
        <f t="shared" si="42"/>
        <v>#DIV/0!</v>
      </c>
      <c r="AL75" s="256" t="e">
        <f t="shared" si="42"/>
        <v>#DIV/0!</v>
      </c>
      <c r="AM75" s="256" t="e">
        <f t="shared" si="42"/>
        <v>#DIV/0!</v>
      </c>
      <c r="AN75" s="256" t="e">
        <f t="shared" si="42"/>
        <v>#DIV/0!</v>
      </c>
      <c r="AO75" s="256" t="e">
        <f t="shared" si="42"/>
        <v>#DIV/0!</v>
      </c>
      <c r="AP75" s="256" t="e">
        <f t="shared" si="42"/>
        <v>#DIV/0!</v>
      </c>
      <c r="AQ75" s="256" t="e">
        <f t="shared" si="42"/>
        <v>#DIV/0!</v>
      </c>
      <c r="AR75" s="256" t="e">
        <f t="shared" si="42"/>
        <v>#DIV/0!</v>
      </c>
      <c r="AS75" s="256" t="e">
        <f t="shared" si="42"/>
        <v>#DIV/0!</v>
      </c>
      <c r="AT75" s="256" t="e">
        <f t="shared" si="42"/>
        <v>#DIV/0!</v>
      </c>
      <c r="AU75" s="256" t="e">
        <f t="shared" si="42"/>
        <v>#DIV/0!</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1" customFormat="1" x14ac:dyDescent="0.25">
      <c r="A76" s="149" t="s">
        <v>484</v>
      </c>
      <c r="E76" s="121">
        <f>E71-E64-E68</f>
        <v>-822024726.72000003</v>
      </c>
      <c r="F76" s="121">
        <f t="shared" ref="F76:BQ76" si="44">F71-F64-F68</f>
        <v>-768671895.5</v>
      </c>
      <c r="G76" s="121">
        <f t="shared" si="44"/>
        <v>-772513233.8900001</v>
      </c>
      <c r="H76" s="121">
        <f t="shared" si="44"/>
        <v>-723789074.40999997</v>
      </c>
      <c r="I76" s="121">
        <f t="shared" si="44"/>
        <v>-752497476.56999993</v>
      </c>
      <c r="J76" s="121">
        <f t="shared" si="44"/>
        <v>-708528276.88</v>
      </c>
      <c r="K76" s="121">
        <f t="shared" si="44"/>
        <v>-634838197.17000008</v>
      </c>
      <c r="L76" s="121">
        <f t="shared" si="44"/>
        <v>-524130142.45999998</v>
      </c>
      <c r="M76" s="121">
        <f t="shared" si="44"/>
        <v>-301292779.24000001</v>
      </c>
      <c r="N76" s="121">
        <f t="shared" si="44"/>
        <v>-315136551.39999998</v>
      </c>
      <c r="O76" s="121">
        <f t="shared" si="44"/>
        <v>-320879426.50999999</v>
      </c>
      <c r="P76" s="121">
        <f t="shared" si="44"/>
        <v>-274237273.88999999</v>
      </c>
      <c r="Q76" s="121">
        <f t="shared" si="44"/>
        <v>-336324385.75999999</v>
      </c>
      <c r="R76" s="121">
        <f t="shared" si="44"/>
        <v>-322867421.55000001</v>
      </c>
      <c r="S76" s="121">
        <f t="shared" si="44"/>
        <v>-320039203.88</v>
      </c>
      <c r="T76" s="121">
        <f t="shared" si="44"/>
        <v>-312298318.38999999</v>
      </c>
      <c r="U76" s="121">
        <f t="shared" si="44"/>
        <v>-287306073.72999996</v>
      </c>
      <c r="V76" s="121">
        <f t="shared" si="44"/>
        <v>-300299938.39999998</v>
      </c>
      <c r="W76" s="121">
        <f t="shared" si="44"/>
        <v>-305028241.07999998</v>
      </c>
      <c r="X76" s="121">
        <f t="shared" si="44"/>
        <v>-290839419.02000004</v>
      </c>
      <c r="Y76" s="121">
        <f t="shared" si="44"/>
        <v>-260995392.16</v>
      </c>
      <c r="Z76" s="121">
        <f t="shared" si="44"/>
        <v>-259580549.08999997</v>
      </c>
      <c r="AA76" s="121">
        <f t="shared" si="44"/>
        <v>-300904472.88999999</v>
      </c>
      <c r="AB76" s="121">
        <f t="shared" si="44"/>
        <v>-267626035.46000001</v>
      </c>
      <c r="AC76" s="121">
        <f t="shared" si="44"/>
        <v>-218611873.65000004</v>
      </c>
      <c r="AD76" s="121">
        <f t="shared" si="44"/>
        <v>-181755685.87</v>
      </c>
      <c r="AE76" s="121">
        <f t="shared" si="44"/>
        <v>-208167214.63</v>
      </c>
      <c r="AF76" s="121">
        <f t="shared" si="44"/>
        <v>-215658487.16999999</v>
      </c>
      <c r="AG76" s="121">
        <f t="shared" si="44"/>
        <v>-238473501.14999998</v>
      </c>
      <c r="AH76" s="121">
        <f t="shared" si="44"/>
        <v>-221009836.38000003</v>
      </c>
      <c r="AI76" s="121">
        <f t="shared" si="44"/>
        <v>0</v>
      </c>
      <c r="AJ76" s="121">
        <f t="shared" si="44"/>
        <v>0</v>
      </c>
      <c r="AK76" s="121">
        <f t="shared" si="44"/>
        <v>0</v>
      </c>
      <c r="AL76" s="121">
        <f t="shared" si="44"/>
        <v>0</v>
      </c>
      <c r="AM76" s="121">
        <f t="shared" si="44"/>
        <v>0</v>
      </c>
      <c r="AN76" s="121">
        <f t="shared" si="44"/>
        <v>0</v>
      </c>
      <c r="AO76" s="121">
        <f t="shared" si="44"/>
        <v>0</v>
      </c>
      <c r="AP76" s="121">
        <f t="shared" si="44"/>
        <v>0</v>
      </c>
      <c r="AQ76" s="121">
        <f t="shared" si="44"/>
        <v>0</v>
      </c>
      <c r="AR76" s="121">
        <f t="shared" si="44"/>
        <v>0</v>
      </c>
      <c r="AS76" s="121">
        <f t="shared" si="44"/>
        <v>0</v>
      </c>
      <c r="AT76" s="121">
        <f t="shared" si="44"/>
        <v>0</v>
      </c>
      <c r="AU76" s="121">
        <f t="shared" si="44"/>
        <v>0</v>
      </c>
      <c r="AV76" s="121">
        <f t="shared" si="44"/>
        <v>0</v>
      </c>
      <c r="AW76" s="121">
        <f t="shared" si="44"/>
        <v>0</v>
      </c>
      <c r="AX76" s="121">
        <f t="shared" si="44"/>
        <v>0</v>
      </c>
      <c r="AY76" s="121">
        <f t="shared" si="44"/>
        <v>0</v>
      </c>
      <c r="AZ76" s="121">
        <f t="shared" si="44"/>
        <v>0</v>
      </c>
      <c r="BA76" s="121">
        <f t="shared" si="44"/>
        <v>0</v>
      </c>
      <c r="BB76" s="121">
        <f t="shared" si="44"/>
        <v>0</v>
      </c>
      <c r="BC76" s="121">
        <f t="shared" si="44"/>
        <v>0</v>
      </c>
      <c r="BD76" s="121">
        <f t="shared" si="44"/>
        <v>0</v>
      </c>
      <c r="BE76" s="121">
        <f t="shared" si="44"/>
        <v>0</v>
      </c>
      <c r="BF76" s="121">
        <f t="shared" si="44"/>
        <v>0</v>
      </c>
      <c r="BG76" s="121">
        <f t="shared" si="44"/>
        <v>0</v>
      </c>
      <c r="BH76" s="121">
        <f t="shared" si="44"/>
        <v>0</v>
      </c>
      <c r="BI76" s="121">
        <f t="shared" si="44"/>
        <v>0</v>
      </c>
      <c r="BJ76" s="121">
        <f t="shared" si="44"/>
        <v>0</v>
      </c>
      <c r="BK76" s="121">
        <f t="shared" si="44"/>
        <v>0</v>
      </c>
      <c r="BL76" s="121">
        <f t="shared" si="44"/>
        <v>0</v>
      </c>
      <c r="BM76" s="121">
        <f t="shared" si="44"/>
        <v>0</v>
      </c>
      <c r="BN76" s="121">
        <f t="shared" si="44"/>
        <v>0</v>
      </c>
      <c r="BO76" s="121">
        <f t="shared" si="44"/>
        <v>0</v>
      </c>
      <c r="BP76" s="121">
        <f t="shared" si="44"/>
        <v>0</v>
      </c>
      <c r="BQ76" s="121">
        <f t="shared" si="44"/>
        <v>0</v>
      </c>
      <c r="BR76" s="121">
        <f t="shared" ref="BR76:CJ76" si="45">BR71-BR64-BR68</f>
        <v>0</v>
      </c>
      <c r="BS76" s="121">
        <f t="shared" si="45"/>
        <v>0</v>
      </c>
      <c r="BT76" s="121">
        <f t="shared" si="45"/>
        <v>0</v>
      </c>
      <c r="BU76" s="121">
        <f t="shared" si="45"/>
        <v>0</v>
      </c>
      <c r="BV76" s="121">
        <f t="shared" si="45"/>
        <v>0</v>
      </c>
      <c r="BW76" s="121">
        <f t="shared" si="45"/>
        <v>0</v>
      </c>
      <c r="BX76" s="121">
        <f t="shared" si="45"/>
        <v>0</v>
      </c>
      <c r="BY76" s="121">
        <f t="shared" si="45"/>
        <v>0</v>
      </c>
      <c r="BZ76" s="121">
        <f t="shared" si="45"/>
        <v>0</v>
      </c>
      <c r="CA76" s="121">
        <f t="shared" si="45"/>
        <v>0</v>
      </c>
      <c r="CB76" s="121">
        <f t="shared" si="45"/>
        <v>0</v>
      </c>
      <c r="CC76" s="121">
        <f t="shared" si="45"/>
        <v>0</v>
      </c>
      <c r="CD76" s="121">
        <f t="shared" si="45"/>
        <v>0</v>
      </c>
      <c r="CE76" s="121">
        <f t="shared" si="45"/>
        <v>0</v>
      </c>
      <c r="CF76" s="121">
        <f t="shared" si="45"/>
        <v>0</v>
      </c>
      <c r="CG76" s="121">
        <f t="shared" si="45"/>
        <v>0</v>
      </c>
      <c r="CH76" s="121">
        <f t="shared" si="45"/>
        <v>0</v>
      </c>
      <c r="CI76" s="121">
        <f t="shared" si="45"/>
        <v>0</v>
      </c>
      <c r="CJ76" s="121">
        <f t="shared" si="45"/>
        <v>0</v>
      </c>
    </row>
    <row r="77" spans="1:89" s="16" customFormat="1" ht="262.2" customHeight="1" x14ac:dyDescent="0.25">
      <c r="A77" s="276" t="s">
        <v>693</v>
      </c>
      <c r="B77" s="275"/>
      <c r="C77" s="275"/>
      <c r="D77" s="275"/>
      <c r="E77" s="275"/>
      <c r="F77" s="275"/>
      <c r="G77" s="275"/>
      <c r="H77" s="275"/>
      <c r="I77" s="275"/>
      <c r="J77" s="275"/>
      <c r="K77" s="275"/>
      <c r="L77" s="275"/>
      <c r="M77" s="275"/>
      <c r="N77" s="275"/>
      <c r="O77" s="275"/>
      <c r="P77" s="275"/>
      <c r="Q77" s="275"/>
      <c r="R77" s="275"/>
      <c r="S77" s="275"/>
      <c r="T77" s="275"/>
      <c r="U77" s="275"/>
      <c r="V77" s="275"/>
      <c r="W77" s="275"/>
      <c r="X77" s="275"/>
      <c r="Y77" s="275"/>
      <c r="Z77" s="275"/>
      <c r="AA77" s="275"/>
      <c r="AB77" s="275"/>
      <c r="AC77" s="275"/>
      <c r="AD77" s="275"/>
      <c r="AE77" s="275"/>
      <c r="AF77" s="275"/>
      <c r="AG77" s="275"/>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578</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40178</v>
      </c>
      <c r="AJ80" s="1">
        <v>39813</v>
      </c>
      <c r="AK80" s="1">
        <v>25569</v>
      </c>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579</v>
      </c>
      <c r="E81" s="76">
        <f>股权价值增加表!E4</f>
        <v>2456391218.1599998</v>
      </c>
      <c r="F81" s="76">
        <f>股权价值增加表!F4</f>
        <v>1797303663.71</v>
      </c>
      <c r="G81" s="76">
        <f>股权价值增加表!G4</f>
        <v>1262280095.75</v>
      </c>
      <c r="H81" s="76">
        <f>股权价值增加表!H4</f>
        <v>612156580.71000004</v>
      </c>
      <c r="I81" s="76">
        <f>股权价值增加表!I4</f>
        <v>1847391081.8399999</v>
      </c>
      <c r="J81" s="76">
        <f>股权价值增加表!J4</f>
        <v>1324775375.3399999</v>
      </c>
      <c r="K81" s="76">
        <f>股权价值增加表!K4</f>
        <v>888376461.49000001</v>
      </c>
      <c r="L81" s="76">
        <f>股权价值增加表!L4</f>
        <v>423001389.69</v>
      </c>
      <c r="M81" s="76">
        <f>股权价值增加表!M4</f>
        <v>1631042560</v>
      </c>
      <c r="N81" s="76">
        <f>股权价值增加表!N4</f>
        <v>1022711562.04</v>
      </c>
      <c r="O81" s="76">
        <f>股权价值增加表!O4</f>
        <v>615138524.07000005</v>
      </c>
      <c r="P81" s="76">
        <f>股权价值增加表!P4</f>
        <v>265749041.91</v>
      </c>
      <c r="Q81" s="76">
        <f>股权价值增加表!Q4</f>
        <v>1068796191.5700001</v>
      </c>
      <c r="R81" s="76">
        <f>股权价值增加表!R4</f>
        <v>705098562.99000001</v>
      </c>
      <c r="S81" s="76">
        <f>股权价值增加表!S4</f>
        <v>433011175.55000001</v>
      </c>
      <c r="T81" s="76">
        <f>股权价值增加表!T4</f>
        <v>196981639.65000001</v>
      </c>
      <c r="U81" s="76">
        <f>股权价值增加表!U4</f>
        <v>965382340.42999995</v>
      </c>
      <c r="V81" s="76">
        <f>股权价值增加表!V4</f>
        <v>705638264.82000005</v>
      </c>
      <c r="W81" s="76">
        <f>股权价值增加表!W4</f>
        <v>483178236.35000002</v>
      </c>
      <c r="X81" s="76">
        <f>股权价值增加表!X4</f>
        <v>221315195.03</v>
      </c>
      <c r="Y81" s="76">
        <f>股权价值增加表!Y4</f>
        <v>789577816.87</v>
      </c>
      <c r="Z81" s="76">
        <f>股权价值增加表!Z4</f>
        <v>539360672.49000001</v>
      </c>
      <c r="AA81" s="76">
        <f>股权价值增加表!AA4</f>
        <v>394771497.57999998</v>
      </c>
      <c r="AB81" s="76">
        <f>股权价值增加表!AB4</f>
        <v>177632246.53</v>
      </c>
      <c r="AC81" s="76">
        <f>股权价值增加表!AC4</f>
        <v>820090562.65999997</v>
      </c>
      <c r="AD81" s="76">
        <f>股权价值增加表!AD4</f>
        <v>640951585.91999996</v>
      </c>
      <c r="AE81" s="76">
        <f>股权价值增加表!AE4</f>
        <v>469202622.25999999</v>
      </c>
      <c r="AF81" s="76">
        <f>股权价值增加表!AF4</f>
        <v>205970417.91999999</v>
      </c>
      <c r="AG81" s="76">
        <f>股权价值增加表!AG4</f>
        <v>731662751.10000002</v>
      </c>
      <c r="AH81" s="76">
        <f>股权价值增加表!AH4</f>
        <v>538217516.25999999</v>
      </c>
      <c r="AI81" s="76">
        <f>股权价值增加表!AI4</f>
        <v>404874884.06999999</v>
      </c>
      <c r="AJ81" s="76">
        <f>股权价值增加表!AJ4</f>
        <v>639478592.48000002</v>
      </c>
      <c r="AK81" s="76">
        <f>股权价值增加表!AK4</f>
        <v>0</v>
      </c>
      <c r="AL81" s="76">
        <f>股权价值增加表!AL4</f>
        <v>0</v>
      </c>
      <c r="AM81" s="76">
        <f>股权价值增加表!AM4</f>
        <v>0</v>
      </c>
      <c r="AN81" s="76">
        <f>股权价值增加表!AN4</f>
        <v>0</v>
      </c>
      <c r="AO81" s="76">
        <f>股权价值增加表!AO4</f>
        <v>0</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580</v>
      </c>
      <c r="E82" s="76">
        <f>投资和筹资活动现金流表!E34</f>
        <v>1763740398.4000001</v>
      </c>
      <c r="F82" s="76">
        <f>投资和筹资活动现金流表!F34</f>
        <v>1746594326.76</v>
      </c>
      <c r="G82" s="76">
        <f>投资和筹资活动现金流表!G34</f>
        <v>1733846113</v>
      </c>
      <c r="H82" s="76">
        <f>投资和筹资活动现金流表!H34</f>
        <v>1659812046.54</v>
      </c>
      <c r="I82" s="76">
        <f>投资和筹资活动现金流表!I34</f>
        <v>1625401353.2800002</v>
      </c>
      <c r="J82" s="76">
        <f>投资和筹资活动现金流表!J34</f>
        <v>1428558424.5599999</v>
      </c>
      <c r="K82" s="76">
        <f>投资和筹资活动现金流表!K34</f>
        <v>1313326374.5100002</v>
      </c>
      <c r="L82" s="76">
        <f>投资和筹资活动现金流表!L34</f>
        <v>1243536858.22</v>
      </c>
      <c r="M82" s="76">
        <f>投资和筹资活动现金流表!M34</f>
        <v>1182271222.8300002</v>
      </c>
      <c r="N82" s="76">
        <f>投资和筹资活动现金流表!N34</f>
        <v>1104031410.0500002</v>
      </c>
      <c r="O82" s="76">
        <f>投资和筹资活动现金流表!O34</f>
        <v>1038385980.17</v>
      </c>
      <c r="P82" s="76">
        <f>投资和筹资活动现金流表!P34</f>
        <v>942542143.56999993</v>
      </c>
      <c r="Q82" s="76">
        <f>投资和筹资活动现金流表!Q34</f>
        <v>868526402.4799999</v>
      </c>
      <c r="R82" s="76">
        <f>投资和筹资活动现金流表!R34</f>
        <v>815761221.2299999</v>
      </c>
      <c r="S82" s="76">
        <f>投资和筹资活动现金流表!S34</f>
        <v>805101670.86000001</v>
      </c>
      <c r="T82" s="76">
        <f>投资和筹资活动现金流表!T34</f>
        <v>787817201.11000001</v>
      </c>
      <c r="U82" s="76">
        <f>投资和筹资活动现金流表!U34</f>
        <v>777212412.93999994</v>
      </c>
      <c r="V82" s="76">
        <f>投资和筹资活动现金流表!V34</f>
        <v>741506549.51999998</v>
      </c>
      <c r="W82" s="76">
        <f>投资和筹资活动现金流表!W34</f>
        <v>710048074.86000001</v>
      </c>
      <c r="X82" s="76">
        <f>投资和筹资活动现金流表!X34</f>
        <v>687250589.18999994</v>
      </c>
      <c r="Y82" s="76">
        <f>投资和筹资活动现金流表!AZ34</f>
        <v>3387405050.9299998</v>
      </c>
      <c r="Z82" s="76">
        <f>投资和筹资活动现金流表!BA34</f>
        <v>3315377610.9499998</v>
      </c>
      <c r="AA82" s="76">
        <f>投资和筹资活动现金流表!BB34</f>
        <v>2977168063.4000001</v>
      </c>
      <c r="AB82" s="76">
        <f>投资和筹资活动现金流表!BC34</f>
        <v>2730481853.6799998</v>
      </c>
      <c r="AC82" s="76">
        <f>投资和筹资活动现金流表!BD34</f>
        <v>2255325807.1500001</v>
      </c>
      <c r="AD82" s="76">
        <f>投资和筹资活动现金流表!BE34</f>
        <v>1916581818.3599999</v>
      </c>
      <c r="AE82" s="76">
        <f>投资和筹资活动现金流表!BF34</f>
        <v>1419531129.03</v>
      </c>
      <c r="AF82" s="76">
        <f>投资和筹资活动现金流表!BG34</f>
        <v>1069835224.3900001</v>
      </c>
      <c r="AG82" s="76">
        <f>投资和筹资活动现金流表!BH34</f>
        <v>843918677.71000004</v>
      </c>
      <c r="AH82" s="76">
        <f>投资和筹资活动现金流表!BI34</f>
        <v>736163016.33000004</v>
      </c>
      <c r="AI82" s="76">
        <f>投资和筹资活动现金流表!BJ34</f>
        <v>557671110.63999999</v>
      </c>
      <c r="AJ82" s="76">
        <f>投资和筹资活动现金流表!BK34</f>
        <v>467974029.53999996</v>
      </c>
      <c r="AK82" s="76">
        <f>投资和筹资活动现金流表!BL34</f>
        <v>432786363.17999995</v>
      </c>
      <c r="AL82" s="76">
        <f>投资和筹资活动现金流表!BM34</f>
        <v>405881649.25</v>
      </c>
      <c r="AM82" s="76">
        <f>投资和筹资活动现金流表!BN34</f>
        <v>341778130.64999998</v>
      </c>
      <c r="AN82" s="76">
        <f>投资和筹资活动现金流表!BO34</f>
        <v>298253766.31999999</v>
      </c>
      <c r="AO82" s="76">
        <f>投资和筹资活动现金流表!BP34</f>
        <v>279440792.93000001</v>
      </c>
      <c r="AP82" s="76">
        <f>投资和筹资活动现金流表!BQ34</f>
        <v>3677296943.1199999</v>
      </c>
      <c r="AQ82" s="76">
        <f>投资和筹资活动现金流表!BR34</f>
        <v>3375696340.1199999</v>
      </c>
      <c r="AR82" s="76">
        <f>投资和筹资活动现金流表!BS34</f>
        <v>3400082080.6599998</v>
      </c>
      <c r="AS82" s="76">
        <f>投资和筹资活动现金流表!AS34</f>
        <v>3358536216.3299999</v>
      </c>
      <c r="AT82" s="76">
        <f>投资和筹资活动现金流表!AT34</f>
        <v>3307763208.5799999</v>
      </c>
      <c r="AU82" s="76">
        <f>投资和筹资活动现金流表!AU34</f>
        <v>3300541529.6399999</v>
      </c>
      <c r="AV82" s="76">
        <f>投资和筹资活动现金流表!AV34</f>
        <v>3282300476.4299998</v>
      </c>
      <c r="AW82" s="76">
        <f>投资和筹资活动现金流表!AW34</f>
        <v>3561990867.2600002</v>
      </c>
      <c r="AX82" s="76">
        <f>投资和筹资活动现金流表!AX34</f>
        <v>3393306519.4499998</v>
      </c>
      <c r="AY82" s="76">
        <f>投资和筹资活动现金流表!AY34</f>
        <v>3380614536.4499998</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581</v>
      </c>
      <c r="E83" s="155">
        <f>E81/E82</f>
        <v>1.3927169896365399</v>
      </c>
      <c r="F83" s="155">
        <f t="shared" ref="F83:BQ83" si="46">F81/F82</f>
        <v>1.0290332655803753</v>
      </c>
      <c r="G83" s="155">
        <f t="shared" si="46"/>
        <v>0.7280231424725061</v>
      </c>
      <c r="H83" s="155">
        <f t="shared" si="46"/>
        <v>0.36881078311612775</v>
      </c>
      <c r="I83" s="155">
        <f t="shared" si="46"/>
        <v>1.1365753314478499</v>
      </c>
      <c r="J83" s="155">
        <f t="shared" si="46"/>
        <v>0.92735120423796069</v>
      </c>
      <c r="K83" s="155">
        <f t="shared" si="46"/>
        <v>0.67643236192637324</v>
      </c>
      <c r="L83" s="155">
        <f t="shared" si="46"/>
        <v>0.34015991314924482</v>
      </c>
      <c r="M83" s="155">
        <f t="shared" si="46"/>
        <v>1.3795840823189258</v>
      </c>
      <c r="N83" s="155">
        <f t="shared" si="46"/>
        <v>0.92634281301261401</v>
      </c>
      <c r="O83" s="155">
        <f t="shared" si="46"/>
        <v>0.59239871860489901</v>
      </c>
      <c r="P83" s="155">
        <f t="shared" si="46"/>
        <v>0.28194924091504409</v>
      </c>
      <c r="Q83" s="155">
        <f t="shared" si="46"/>
        <v>1.2305857237248603</v>
      </c>
      <c r="R83" s="155">
        <f t="shared" si="46"/>
        <v>0.86434430154311159</v>
      </c>
      <c r="S83" s="155">
        <f t="shared" si="46"/>
        <v>0.53783415340259155</v>
      </c>
      <c r="T83" s="155">
        <f t="shared" si="46"/>
        <v>0.25003470268542177</v>
      </c>
      <c r="U83" s="155">
        <f t="shared" si="46"/>
        <v>1.2421087521983858</v>
      </c>
      <c r="V83" s="155">
        <f t="shared" si="46"/>
        <v>0.95162782483415886</v>
      </c>
      <c r="W83" s="155">
        <f t="shared" si="46"/>
        <v>0.68048665077398895</v>
      </c>
      <c r="X83" s="155">
        <f t="shared" si="46"/>
        <v>0.32202983673079738</v>
      </c>
      <c r="Y83" s="155">
        <f t="shared" si="46"/>
        <v>0.23309223579660904</v>
      </c>
      <c r="Z83" s="155">
        <f t="shared" si="46"/>
        <v>0.16268453726314744</v>
      </c>
      <c r="AA83" s="155">
        <f t="shared" si="46"/>
        <v>0.13259966826634606</v>
      </c>
      <c r="AB83" s="155">
        <f t="shared" si="46"/>
        <v>6.5055274507902924E-2</v>
      </c>
      <c r="AC83" s="155">
        <f t="shared" si="46"/>
        <v>0.36362398730156342</v>
      </c>
      <c r="AD83" s="155">
        <f t="shared" si="46"/>
        <v>0.33442432761282054</v>
      </c>
      <c r="AE83" s="155">
        <f t="shared" si="46"/>
        <v>0.33053352100888234</v>
      </c>
      <c r="AF83" s="155">
        <f t="shared" si="46"/>
        <v>0.19252536579868218</v>
      </c>
      <c r="AG83" s="155">
        <f t="shared" si="46"/>
        <v>0.86698253092986399</v>
      </c>
      <c r="AH83" s="155">
        <f t="shared" si="46"/>
        <v>0.73111186560713215</v>
      </c>
      <c r="AI83" s="155">
        <f t="shared" si="46"/>
        <v>0.72601014530832253</v>
      </c>
      <c r="AJ83" s="155">
        <f t="shared" si="46"/>
        <v>1.36648307836352</v>
      </c>
      <c r="AK83" s="155">
        <f t="shared" si="46"/>
        <v>0</v>
      </c>
      <c r="AL83" s="155">
        <f t="shared" si="46"/>
        <v>0</v>
      </c>
      <c r="AM83" s="155">
        <f t="shared" si="46"/>
        <v>0</v>
      </c>
      <c r="AN83" s="155">
        <f t="shared" si="46"/>
        <v>0</v>
      </c>
      <c r="AO83" s="155">
        <f t="shared" si="46"/>
        <v>0</v>
      </c>
      <c r="AP83" s="155">
        <f t="shared" si="46"/>
        <v>0</v>
      </c>
      <c r="AQ83" s="155">
        <f t="shared" si="46"/>
        <v>0</v>
      </c>
      <c r="AR83" s="155">
        <f t="shared" si="46"/>
        <v>0</v>
      </c>
      <c r="AS83" s="155">
        <f t="shared" si="46"/>
        <v>0</v>
      </c>
      <c r="AT83" s="155">
        <f t="shared" si="46"/>
        <v>0</v>
      </c>
      <c r="AU83" s="155">
        <f t="shared" si="46"/>
        <v>0</v>
      </c>
      <c r="AV83" s="155">
        <f t="shared" si="46"/>
        <v>0</v>
      </c>
      <c r="AW83" s="155">
        <f t="shared" si="46"/>
        <v>0</v>
      </c>
      <c r="AX83" s="155">
        <f t="shared" si="46"/>
        <v>0</v>
      </c>
      <c r="AY83" s="155">
        <f t="shared" si="46"/>
        <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582</v>
      </c>
      <c r="E84" s="76">
        <f>资产资本表!E52</f>
        <v>1407808329.28</v>
      </c>
      <c r="F84" s="76">
        <f>资产资本表!F52</f>
        <v>1327994325.1099999</v>
      </c>
      <c r="G84" s="76">
        <f>资产资本表!G52</f>
        <v>1090765616.02</v>
      </c>
      <c r="H84" s="76">
        <f>资产资本表!H52</f>
        <v>1096346620.8399999</v>
      </c>
      <c r="I84" s="76">
        <f>资产资本表!I52</f>
        <v>1147109480.9400001</v>
      </c>
      <c r="J84" s="76">
        <f>资产资本表!J52</f>
        <v>1028537189.73</v>
      </c>
      <c r="K84" s="76">
        <f>资产资本表!K52</f>
        <v>1032903264.25</v>
      </c>
      <c r="L84" s="76">
        <f>资产资本表!L52</f>
        <v>999829416.71000004</v>
      </c>
      <c r="M84" s="76">
        <f>资产资本表!M52</f>
        <v>971427872.14999998</v>
      </c>
      <c r="N84" s="76">
        <f>资产资本表!N52</f>
        <v>765150815.38999999</v>
      </c>
      <c r="O84" s="76">
        <f>资产资本表!O52</f>
        <v>605585717.96000004</v>
      </c>
      <c r="P84" s="76">
        <f>资产资本表!P52</f>
        <v>611232503.77999997</v>
      </c>
      <c r="Q84" s="76">
        <f>资产资本表!Q52</f>
        <v>626050201.67999995</v>
      </c>
      <c r="R84" s="76">
        <f>资产资本表!R52</f>
        <v>492930704.68000001</v>
      </c>
      <c r="S84" s="76">
        <f>资产资本表!S52</f>
        <v>495337929.56999999</v>
      </c>
      <c r="T84" s="76">
        <f>资产资本表!T52</f>
        <v>505294519.75999999</v>
      </c>
      <c r="U84" s="76">
        <f>资产资本表!U52</f>
        <v>518069504.48000002</v>
      </c>
      <c r="V84" s="76">
        <f>资产资本表!V52</f>
        <v>498491588.25</v>
      </c>
      <c r="W84" s="76">
        <f>资产资本表!W52</f>
        <v>462358764.74000001</v>
      </c>
      <c r="X84" s="76">
        <f>资产资本表!X52</f>
        <v>361594285.97000003</v>
      </c>
      <c r="Y84" s="76">
        <f>资产资本表!Y52</f>
        <v>368967236.35000002</v>
      </c>
      <c r="Z84" s="76">
        <f>资产资本表!Z52</f>
        <v>371912158.13999999</v>
      </c>
      <c r="AA84" s="76">
        <f>资产资本表!AA52</f>
        <v>286541051.58999997</v>
      </c>
      <c r="AB84" s="76">
        <f>资产资本表!AB52</f>
        <v>286771606.66000003</v>
      </c>
      <c r="AC84" s="76">
        <f>资产资本表!AC52</f>
        <v>289698829.98000002</v>
      </c>
      <c r="AD84" s="76">
        <f>资产资本表!AD52</f>
        <v>267423996.31999999</v>
      </c>
      <c r="AE84" s="76">
        <f>资产资本表!AE52</f>
        <v>262304981.87</v>
      </c>
      <c r="AF84" s="76">
        <f>资产资本表!AF52</f>
        <v>262306611.97999999</v>
      </c>
      <c r="AG84" s="76">
        <f>资产资本表!AG52</f>
        <v>150708089.31999999</v>
      </c>
      <c r="AH84" s="76">
        <f>资产资本表!AH52</f>
        <v>146235755.78999999</v>
      </c>
      <c r="AI84" s="76">
        <f>资产资本表!AI52</f>
        <v>0</v>
      </c>
      <c r="AJ84" s="76">
        <f>资产资本表!AJ52</f>
        <v>0</v>
      </c>
      <c r="AK84" s="76">
        <f>资产资本表!AK52</f>
        <v>0</v>
      </c>
      <c r="AL84" s="76">
        <f>资产资本表!AL52</f>
        <v>0</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583</v>
      </c>
      <c r="E85" s="155">
        <f>E81/E84</f>
        <v>1.7448335594208908</v>
      </c>
      <c r="F85" s="155">
        <f t="shared" ref="F85:BQ85" si="48">F81/F84</f>
        <v>1.3533970964530488</v>
      </c>
      <c r="G85" s="155">
        <f t="shared" si="48"/>
        <v>1.1572422867121759</v>
      </c>
      <c r="H85" s="155">
        <f t="shared" si="48"/>
        <v>0.55836043918389366</v>
      </c>
      <c r="I85" s="155">
        <f t="shared" si="48"/>
        <v>1.6104749481506799</v>
      </c>
      <c r="J85" s="155">
        <f t="shared" si="48"/>
        <v>1.2880189346267246</v>
      </c>
      <c r="K85" s="155">
        <f t="shared" si="48"/>
        <v>0.86007711683925969</v>
      </c>
      <c r="L85" s="155">
        <f t="shared" si="48"/>
        <v>0.42307355896960103</v>
      </c>
      <c r="M85" s="155">
        <f t="shared" si="48"/>
        <v>1.6790156086319785</v>
      </c>
      <c r="N85" s="155">
        <f t="shared" si="48"/>
        <v>1.3366143529739563</v>
      </c>
      <c r="O85" s="155">
        <f t="shared" si="48"/>
        <v>1.0157744904258641</v>
      </c>
      <c r="P85" s="155">
        <f t="shared" si="48"/>
        <v>0.43477570362594897</v>
      </c>
      <c r="Q85" s="155">
        <f t="shared" si="48"/>
        <v>1.7072052507960149</v>
      </c>
      <c r="R85" s="155">
        <f t="shared" si="48"/>
        <v>1.4304212667128027</v>
      </c>
      <c r="S85" s="155">
        <f t="shared" si="48"/>
        <v>0.87417326576604892</v>
      </c>
      <c r="T85" s="155">
        <f t="shared" si="48"/>
        <v>0.38983529792399191</v>
      </c>
      <c r="U85" s="155">
        <f t="shared" si="48"/>
        <v>1.863422440583488</v>
      </c>
      <c r="V85" s="155">
        <f t="shared" si="48"/>
        <v>1.4155469850498525</v>
      </c>
      <c r="W85" s="155">
        <f t="shared" si="48"/>
        <v>1.04502882436263</v>
      </c>
      <c r="X85" s="155">
        <f t="shared" si="48"/>
        <v>0.61205390576432284</v>
      </c>
      <c r="Y85" s="155">
        <f t="shared" si="48"/>
        <v>2.1399672899981055</v>
      </c>
      <c r="Z85" s="155">
        <f t="shared" si="48"/>
        <v>1.4502367311341484</v>
      </c>
      <c r="AA85" s="155">
        <f t="shared" si="48"/>
        <v>1.3777135785236894</v>
      </c>
      <c r="AB85" s="155">
        <f t="shared" si="48"/>
        <v>0.61942062046820068</v>
      </c>
      <c r="AC85" s="155">
        <f t="shared" si="48"/>
        <v>2.8308383665775132</v>
      </c>
      <c r="AD85" s="155">
        <f t="shared" si="48"/>
        <v>2.3967616771123121</v>
      </c>
      <c r="AE85" s="155">
        <f t="shared" si="48"/>
        <v>1.7887674832365166</v>
      </c>
      <c r="AF85" s="155">
        <f t="shared" si="48"/>
        <v>0.78522770114427975</v>
      </c>
      <c r="AG85" s="155">
        <f t="shared" si="48"/>
        <v>4.8548339667849758</v>
      </c>
      <c r="AH85" s="155">
        <f t="shared" si="48"/>
        <v>3.6804782342897071</v>
      </c>
      <c r="AI85" s="155" t="e">
        <f t="shared" si="48"/>
        <v>#DIV/0!</v>
      </c>
      <c r="AJ85" s="155" t="e">
        <f t="shared" si="48"/>
        <v>#DIV/0!</v>
      </c>
      <c r="AK85" s="155" t="e">
        <f t="shared" si="48"/>
        <v>#DIV/0!</v>
      </c>
      <c r="AL85" s="155" t="e">
        <f t="shared" si="48"/>
        <v>#DIV/0!</v>
      </c>
      <c r="AM85" s="155" t="e">
        <f t="shared" si="48"/>
        <v>#DIV/0!</v>
      </c>
      <c r="AN85" s="155" t="e">
        <f t="shared" si="48"/>
        <v>#DIV/0!</v>
      </c>
      <c r="AO85" s="155" t="e">
        <f t="shared" si="48"/>
        <v>#DIV/0!</v>
      </c>
      <c r="AP85" s="155" t="e">
        <f t="shared" si="48"/>
        <v>#DIV/0!</v>
      </c>
      <c r="AQ85" s="155" t="e">
        <f t="shared" si="48"/>
        <v>#DIV/0!</v>
      </c>
      <c r="AR85" s="155" t="e">
        <f t="shared" si="48"/>
        <v>#DIV/0!</v>
      </c>
      <c r="AS85" s="155" t="e">
        <f t="shared" si="48"/>
        <v>#DIV/0!</v>
      </c>
      <c r="AT85" s="155" t="e">
        <f t="shared" si="48"/>
        <v>#DIV/0!</v>
      </c>
      <c r="AU85" s="155" t="e">
        <f t="shared" si="48"/>
        <v>#DIV/0!</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584</v>
      </c>
      <c r="E86" s="76">
        <f>资产资本表!E53</f>
        <v>113091733.05</v>
      </c>
      <c r="F86" s="76">
        <f>资产资本表!F53</f>
        <v>169915391.47</v>
      </c>
      <c r="G86" s="76">
        <f>资产资本表!G53</f>
        <v>390738533.88</v>
      </c>
      <c r="H86" s="76">
        <f>资产资本表!H53</f>
        <v>333097545.00999999</v>
      </c>
      <c r="I86" s="76">
        <f>资产资本表!I53</f>
        <v>279409961.33999997</v>
      </c>
      <c r="J86" s="76">
        <f>资产资本表!J53</f>
        <v>204331825.59</v>
      </c>
      <c r="K86" s="76">
        <f>资产资本表!K53</f>
        <v>102336399.09999999</v>
      </c>
      <c r="L86" s="76">
        <f>资产资本表!L53</f>
        <v>73660922.420000002</v>
      </c>
      <c r="M86" s="76">
        <f>资产资本表!M53</f>
        <v>48434821.799999997</v>
      </c>
      <c r="N86" s="76">
        <f>资产资本表!N53</f>
        <v>178745125.09</v>
      </c>
      <c r="O86" s="76">
        <f>资产资本表!O53</f>
        <v>287680029.07999998</v>
      </c>
      <c r="P86" s="76">
        <f>资产资本表!P53</f>
        <v>188489303.34</v>
      </c>
      <c r="Q86" s="76">
        <f>资产资本表!Q53</f>
        <v>127767775.13</v>
      </c>
      <c r="R86" s="76">
        <f>资产资本表!R53</f>
        <v>231456132.97999999</v>
      </c>
      <c r="S86" s="76">
        <f>资产资本表!S53</f>
        <v>220190018.83000001</v>
      </c>
      <c r="T86" s="76">
        <f>资产资本表!T53</f>
        <v>193467042.68000001</v>
      </c>
      <c r="U86" s="76">
        <f>资产资本表!U53</f>
        <v>169380379.22</v>
      </c>
      <c r="V86" s="76">
        <f>资产资本表!V53</f>
        <v>153432736.44999999</v>
      </c>
      <c r="W86" s="76">
        <f>资产资本表!W53</f>
        <v>161499658.41</v>
      </c>
      <c r="X86" s="76">
        <f>资产资本表!X53</f>
        <v>253325619.31</v>
      </c>
      <c r="Y86" s="76">
        <f>资产资本表!Y53</f>
        <v>210487489.62</v>
      </c>
      <c r="Z86" s="76">
        <f>资产资本表!Z53</f>
        <v>113785816.63</v>
      </c>
      <c r="AA86" s="76">
        <f>资产资本表!AA53</f>
        <v>132100748.42</v>
      </c>
      <c r="AB86" s="76">
        <f>资产资本表!AB53</f>
        <v>94106720.329999998</v>
      </c>
      <c r="AC86" s="76">
        <f>资产资本表!AC53</f>
        <v>79082365.659999996</v>
      </c>
      <c r="AD86" s="76">
        <f>资产资本表!AD53</f>
        <v>82365259.859999999</v>
      </c>
      <c r="AE86" s="76">
        <f>资产资本表!AE53</f>
        <v>75953231.200000003</v>
      </c>
      <c r="AF86" s="76">
        <f>资产资本表!AF53</f>
        <v>36679712.399999999</v>
      </c>
      <c r="AG86" s="76">
        <f>资产资本表!AG53</f>
        <v>23729794.98</v>
      </c>
      <c r="AH86" s="76">
        <f>资产资本表!AH53</f>
        <v>5634372.7300000004</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585</v>
      </c>
      <c r="E87" s="54">
        <f>E81/E86</f>
        <v>21.720342874876476</v>
      </c>
      <c r="F87" s="54">
        <f t="shared" ref="F87:BQ87" si="50">F81/F86</f>
        <v>10.577638954075148</v>
      </c>
      <c r="G87" s="54">
        <f t="shared" si="50"/>
        <v>3.2304981113986053</v>
      </c>
      <c r="H87" s="54">
        <f t="shared" si="50"/>
        <v>1.8377697160500608</v>
      </c>
      <c r="I87" s="54">
        <f t="shared" si="50"/>
        <v>6.6117581240849264</v>
      </c>
      <c r="J87" s="54">
        <f t="shared" si="50"/>
        <v>6.4834509823164543</v>
      </c>
      <c r="K87" s="54">
        <f t="shared" si="50"/>
        <v>8.6809431375624797</v>
      </c>
      <c r="L87" s="54">
        <f t="shared" si="50"/>
        <v>5.7425480946074741</v>
      </c>
      <c r="M87" s="54">
        <f t="shared" si="50"/>
        <v>33.674998676262291</v>
      </c>
      <c r="N87" s="54">
        <f t="shared" si="50"/>
        <v>5.7216193254224654</v>
      </c>
      <c r="O87" s="54">
        <f t="shared" si="50"/>
        <v>2.1382732963327746</v>
      </c>
      <c r="P87" s="54">
        <f t="shared" si="50"/>
        <v>1.4098892467687552</v>
      </c>
      <c r="Q87" s="54">
        <f t="shared" si="50"/>
        <v>8.3651467710268186</v>
      </c>
      <c r="R87" s="54">
        <f t="shared" si="50"/>
        <v>3.0463593853048914</v>
      </c>
      <c r="S87" s="54">
        <f t="shared" si="50"/>
        <v>1.966534077479283</v>
      </c>
      <c r="T87" s="54">
        <f t="shared" si="50"/>
        <v>1.0181663859710373</v>
      </c>
      <c r="U87" s="54">
        <f t="shared" si="50"/>
        <v>5.6994933231086433</v>
      </c>
      <c r="V87" s="54">
        <f t="shared" si="50"/>
        <v>4.5990072337004202</v>
      </c>
      <c r="W87" s="54">
        <f t="shared" si="50"/>
        <v>2.9918220329813514</v>
      </c>
      <c r="X87" s="54">
        <f t="shared" si="50"/>
        <v>0.87363921435507019</v>
      </c>
      <c r="Y87" s="54">
        <f t="shared" si="50"/>
        <v>3.7511864400846378</v>
      </c>
      <c r="Z87" s="54">
        <f t="shared" si="50"/>
        <v>4.7401397508430403</v>
      </c>
      <c r="AA87" s="54">
        <f t="shared" si="50"/>
        <v>2.9884122709499481</v>
      </c>
      <c r="AB87" s="54">
        <f t="shared" si="50"/>
        <v>1.8875617586831697</v>
      </c>
      <c r="AC87" s="54">
        <f t="shared" si="50"/>
        <v>10.370081317317032</v>
      </c>
      <c r="AD87" s="54">
        <f t="shared" si="50"/>
        <v>7.7818195075139043</v>
      </c>
      <c r="AE87" s="54">
        <f t="shared" si="50"/>
        <v>6.1775202298437568</v>
      </c>
      <c r="AF87" s="54">
        <f t="shared" si="50"/>
        <v>5.6153771238402621</v>
      </c>
      <c r="AG87" s="54">
        <f t="shared" si="50"/>
        <v>30.833083543986017</v>
      </c>
      <c r="AH87" s="54">
        <f t="shared" si="50"/>
        <v>95.523945974372907</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586</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587</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588</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589</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590</v>
      </c>
      <c r="E92" s="76">
        <f>资产资本表!E58</f>
        <v>165162064.53</v>
      </c>
      <c r="F92" s="76">
        <f>资产资本表!F58</f>
        <v>168385646.59</v>
      </c>
      <c r="G92" s="76">
        <f>资产资本表!G58</f>
        <v>171513331.06999999</v>
      </c>
      <c r="H92" s="76">
        <f>资产资本表!H58</f>
        <v>109591307.73999999</v>
      </c>
      <c r="I92" s="76">
        <f>资产资本表!I58</f>
        <v>111793887.12</v>
      </c>
      <c r="J92" s="76">
        <f>资产资本表!J58</f>
        <v>94067777.439999998</v>
      </c>
      <c r="K92" s="76">
        <f>资产资本表!K58</f>
        <v>95582655.099999994</v>
      </c>
      <c r="L92" s="76">
        <f>资产资本表!L58</f>
        <v>95745261.209999993</v>
      </c>
      <c r="M92" s="76">
        <f>资产资本表!M58</f>
        <v>91038152.359999999</v>
      </c>
      <c r="N92" s="76">
        <f>资产资本表!N58</f>
        <v>68400431.640000001</v>
      </c>
      <c r="O92" s="76">
        <f>资产资本表!O58</f>
        <v>69035022.489999995</v>
      </c>
      <c r="P92" s="76">
        <f>资产资本表!P58</f>
        <v>69762489.5</v>
      </c>
      <c r="Q92" s="76">
        <f>资产资本表!Q58</f>
        <v>70515173.469999999</v>
      </c>
      <c r="R92" s="76">
        <f>资产资本表!R58</f>
        <v>71258656.549999997</v>
      </c>
      <c r="S92" s="76">
        <f>资产资本表!S58</f>
        <v>72043936.469999999</v>
      </c>
      <c r="T92" s="76">
        <f>资产资本表!T58</f>
        <v>71935028.560000002</v>
      </c>
      <c r="U92" s="76">
        <f>资产资本表!U58</f>
        <v>72591405.75</v>
      </c>
      <c r="V92" s="76">
        <f>资产资本表!V58</f>
        <v>73342903.370000005</v>
      </c>
      <c r="W92" s="76">
        <f>资产资本表!W58</f>
        <v>69982986.569999993</v>
      </c>
      <c r="X92" s="76">
        <f>资产资本表!X58</f>
        <v>55853402.700000003</v>
      </c>
      <c r="Y92" s="76">
        <f>资产资本表!Y58</f>
        <v>56236552.57</v>
      </c>
      <c r="Z92" s="76">
        <f>资产资本表!Z58</f>
        <v>56140966</v>
      </c>
      <c r="AA92" s="76">
        <f>资产资本表!AA58</f>
        <v>30553867.210000001</v>
      </c>
      <c r="AB92" s="76">
        <f>资产资本表!AB58</f>
        <v>30784611.100000001</v>
      </c>
      <c r="AC92" s="76">
        <f>资产资本表!AC58</f>
        <v>30883998.02</v>
      </c>
      <c r="AD92" s="76">
        <f>资产资本表!AD58</f>
        <v>31327306.539999999</v>
      </c>
      <c r="AE92" s="76">
        <f>资产资本表!AE58</f>
        <v>31520155.059999999</v>
      </c>
      <c r="AF92" s="76">
        <f>资产资本表!AF58</f>
        <v>31275028.030000001</v>
      </c>
      <c r="AG92" s="76">
        <f>资产资本表!AG58</f>
        <v>17688197.780000001</v>
      </c>
      <c r="AH92" s="76">
        <f>资产资本表!AH58</f>
        <v>17250697.210000001</v>
      </c>
      <c r="AI92" s="76">
        <f>资产资本表!AI58</f>
        <v>0</v>
      </c>
      <c r="AJ92" s="76">
        <f>资产资本表!AJ58</f>
        <v>0</v>
      </c>
      <c r="AK92" s="76">
        <f>资产资本表!AK58</f>
        <v>0</v>
      </c>
      <c r="AL92" s="76">
        <f>资产资本表!AL58</f>
        <v>0</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692</v>
      </c>
      <c r="E93" s="155">
        <f>E81/E92</f>
        <v>14.872611487087712</v>
      </c>
      <c r="F93" s="155">
        <f t="shared" ref="F93:BQ93" si="52">F81/F92</f>
        <v>10.673734371708244</v>
      </c>
      <c r="G93" s="155">
        <f t="shared" si="52"/>
        <v>7.3596617118632235</v>
      </c>
      <c r="H93" s="155">
        <f t="shared" si="52"/>
        <v>5.5858132668907601</v>
      </c>
      <c r="I93" s="155">
        <f t="shared" si="52"/>
        <v>16.524974034197442</v>
      </c>
      <c r="J93" s="155">
        <f t="shared" si="52"/>
        <v>14.083200553823991</v>
      </c>
      <c r="K93" s="155">
        <f t="shared" si="52"/>
        <v>9.2943270989968561</v>
      </c>
      <c r="L93" s="155">
        <f t="shared" si="52"/>
        <v>4.4179877347895324</v>
      </c>
      <c r="M93" s="155">
        <f t="shared" si="52"/>
        <v>17.916033198369714</v>
      </c>
      <c r="N93" s="155">
        <f t="shared" si="52"/>
        <v>14.951829067726624</v>
      </c>
      <c r="O93" s="155">
        <f t="shared" si="52"/>
        <v>8.9105283359486904</v>
      </c>
      <c r="P93" s="155">
        <f t="shared" si="52"/>
        <v>3.8093400022658308</v>
      </c>
      <c r="Q93" s="155">
        <f t="shared" si="52"/>
        <v>15.156967486220665</v>
      </c>
      <c r="R93" s="155">
        <f t="shared" si="52"/>
        <v>9.8949179949141222</v>
      </c>
      <c r="S93" s="155">
        <f t="shared" si="52"/>
        <v>6.0103764003832758</v>
      </c>
      <c r="T93" s="155">
        <f t="shared" si="52"/>
        <v>2.7383271209199616</v>
      </c>
      <c r="U93" s="155">
        <f t="shared" si="52"/>
        <v>13.298851709177708</v>
      </c>
      <c r="V93" s="155">
        <f t="shared" si="52"/>
        <v>9.6210844184910265</v>
      </c>
      <c r="W93" s="155">
        <f t="shared" si="52"/>
        <v>6.9042242983829274</v>
      </c>
      <c r="X93" s="155">
        <f t="shared" si="52"/>
        <v>3.9624299385791941</v>
      </c>
      <c r="Y93" s="155">
        <f t="shared" si="52"/>
        <v>14.040295515753376</v>
      </c>
      <c r="Z93" s="155">
        <f t="shared" si="52"/>
        <v>9.6072567132172253</v>
      </c>
      <c r="AA93" s="155">
        <f t="shared" si="52"/>
        <v>12.920508388240782</v>
      </c>
      <c r="AB93" s="155">
        <f t="shared" si="52"/>
        <v>5.7701637338533729</v>
      </c>
      <c r="AC93" s="155">
        <f t="shared" si="52"/>
        <v>26.553898952102056</v>
      </c>
      <c r="AD93" s="155">
        <f t="shared" si="52"/>
        <v>20.459837014765586</v>
      </c>
      <c r="AE93" s="155">
        <f t="shared" si="52"/>
        <v>14.885796766127966</v>
      </c>
      <c r="AF93" s="155">
        <f t="shared" si="52"/>
        <v>6.5857788431852597</v>
      </c>
      <c r="AG93" s="155">
        <f t="shared" si="52"/>
        <v>41.364460088030519</v>
      </c>
      <c r="AH93" s="155">
        <f t="shared" si="52"/>
        <v>31.199754404593133</v>
      </c>
      <c r="AI93" s="155" t="e">
        <f t="shared" si="52"/>
        <v>#DIV/0!</v>
      </c>
      <c r="AJ93" s="155" t="e">
        <f t="shared" si="52"/>
        <v>#DIV/0!</v>
      </c>
      <c r="AK93" s="155" t="e">
        <f t="shared" si="52"/>
        <v>#DIV/0!</v>
      </c>
      <c r="AL93" s="155" t="e">
        <f t="shared" si="52"/>
        <v>#DIV/0!</v>
      </c>
      <c r="AM93" s="155" t="e">
        <f t="shared" si="52"/>
        <v>#DIV/0!</v>
      </c>
      <c r="AN93" s="155" t="e">
        <f t="shared" si="52"/>
        <v>#DIV/0!</v>
      </c>
      <c r="AO93" s="155" t="e">
        <f t="shared" si="52"/>
        <v>#DIV/0!</v>
      </c>
      <c r="AP93" s="155" t="e">
        <f t="shared" si="52"/>
        <v>#DIV/0!</v>
      </c>
      <c r="AQ93" s="155" t="e">
        <f t="shared" si="52"/>
        <v>#DIV/0!</v>
      </c>
      <c r="AR93" s="155" t="e">
        <f t="shared" si="52"/>
        <v>#DIV/0!</v>
      </c>
      <c r="AS93" s="155" t="e">
        <f t="shared" si="52"/>
        <v>#DIV/0!</v>
      </c>
      <c r="AT93" s="155" t="e">
        <f t="shared" si="52"/>
        <v>#DIV/0!</v>
      </c>
      <c r="AU93" s="155" t="e">
        <f t="shared" si="52"/>
        <v>#DIV/0!</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591</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409921.75</v>
      </c>
      <c r="M94" s="76">
        <f>资产资本表!M59</f>
        <v>447143.41</v>
      </c>
      <c r="N94" s="76">
        <f>资产资本表!N59</f>
        <v>995781.95</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592</v>
      </c>
      <c r="E95" s="76">
        <f>资产资本表!E60</f>
        <v>695294849.13</v>
      </c>
      <c r="F95" s="76">
        <f>资产资本表!F60</f>
        <v>705286965.25999999</v>
      </c>
      <c r="G95" s="76">
        <f>资产资本表!G60</f>
        <v>720746665.62</v>
      </c>
      <c r="H95" s="76">
        <f>资产资本表!H60</f>
        <v>732879192.63</v>
      </c>
      <c r="I95" s="76">
        <f>资产资本表!I60</f>
        <v>737975913.58000004</v>
      </c>
      <c r="J95" s="76">
        <f>资产资本表!J60</f>
        <v>802931740.98000002</v>
      </c>
      <c r="K95" s="76">
        <f>资产资本表!K60</f>
        <v>803665866.40999997</v>
      </c>
      <c r="L95" s="76">
        <f>资产资本表!L60</f>
        <v>726580468.24000001</v>
      </c>
      <c r="M95" s="76">
        <f>资产资本表!M60</f>
        <v>2924910.33</v>
      </c>
      <c r="N95" s="76">
        <f>资产资本表!N60</f>
        <v>2924910.33</v>
      </c>
      <c r="O95" s="76">
        <f>资产资本表!O60</f>
        <v>2924910.33</v>
      </c>
      <c r="P95" s="76">
        <f>资产资本表!P60</f>
        <v>2924910.33</v>
      </c>
      <c r="Q95" s="76">
        <f>资产资本表!Q60</f>
        <v>2924910.33</v>
      </c>
      <c r="R95" s="76">
        <f>资产资本表!R60</f>
        <v>2924910.33</v>
      </c>
      <c r="S95" s="76">
        <f>资产资本表!S60</f>
        <v>2924910.33</v>
      </c>
      <c r="T95" s="76">
        <f>资产资本表!T60</f>
        <v>2924910.33</v>
      </c>
      <c r="U95" s="76">
        <f>资产资本表!U60</f>
        <v>2924910.33</v>
      </c>
      <c r="V95" s="76">
        <f>资产资本表!V60</f>
        <v>2924910.33</v>
      </c>
      <c r="W95" s="76">
        <f>资产资本表!W60</f>
        <v>2924910.33</v>
      </c>
      <c r="X95" s="76">
        <f>资产资本表!X60</f>
        <v>2924910.33</v>
      </c>
      <c r="Y95" s="76">
        <f>资产资本表!Y60</f>
        <v>2924910.33</v>
      </c>
      <c r="Z95" s="76">
        <f>资产资本表!Z60</f>
        <v>2924910.33</v>
      </c>
      <c r="AA95" s="76">
        <f>资产资本表!AA60</f>
        <v>2924910.33</v>
      </c>
      <c r="AB95" s="76">
        <f>资产资本表!AB60</f>
        <v>2924910.33</v>
      </c>
      <c r="AC95" s="76">
        <f>资产资本表!AC60</f>
        <v>2924910.33</v>
      </c>
      <c r="AD95" s="76">
        <f>资产资本表!AD60</f>
        <v>2924910.33</v>
      </c>
      <c r="AE95" s="76">
        <f>资产资本表!AE60</f>
        <v>2924910.33</v>
      </c>
      <c r="AF95" s="76">
        <f>资产资本表!AF60</f>
        <v>2924910.33</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593</v>
      </c>
      <c r="E96" s="76">
        <f>资产资本表!E61</f>
        <v>8245160.0999999996</v>
      </c>
      <c r="F96" s="76">
        <f>资产资本表!F61</f>
        <v>8651767.6300000008</v>
      </c>
      <c r="G96" s="76">
        <f>资产资本表!G61</f>
        <v>9058375.1500000004</v>
      </c>
      <c r="H96" s="76">
        <f>资产资本表!H61</f>
        <v>9464982.6699999999</v>
      </c>
      <c r="I96" s="76">
        <f>资产资本表!I61</f>
        <v>8673391.9900000002</v>
      </c>
      <c r="J96" s="76">
        <f>资产资本表!J61</f>
        <v>8071096.2000000002</v>
      </c>
      <c r="K96" s="76">
        <f>资产资本表!K61</f>
        <v>8377229.4000000004</v>
      </c>
      <c r="L96" s="76">
        <f>资产资本表!L61</f>
        <v>8583029.2699999996</v>
      </c>
      <c r="M96" s="76">
        <f>资产资本表!M61</f>
        <v>9202457.9900000002</v>
      </c>
      <c r="N96" s="76">
        <f>资产资本表!N61</f>
        <v>6822996.5199999996</v>
      </c>
      <c r="O96" s="76">
        <f>资产资本表!O61</f>
        <v>7323084.8899999997</v>
      </c>
      <c r="P96" s="76">
        <f>资产资本表!P61</f>
        <v>7966314.2400000002</v>
      </c>
      <c r="Q96" s="76">
        <f>资产资本表!Q61</f>
        <v>8653543.5899999999</v>
      </c>
      <c r="R96" s="76">
        <f>资产资本表!R61</f>
        <v>2902453.48</v>
      </c>
      <c r="S96" s="76">
        <f>资产资本表!S61</f>
        <v>516232.29</v>
      </c>
      <c r="T96" s="76">
        <f>资产资本表!T61</f>
        <v>503394.42</v>
      </c>
      <c r="U96" s="76">
        <f>资产资本表!U61</f>
        <v>556011.09</v>
      </c>
      <c r="V96" s="76">
        <f>资产资本表!V61</f>
        <v>390000</v>
      </c>
      <c r="W96" s="76">
        <f>资产资本表!W61</f>
        <v>420000</v>
      </c>
      <c r="X96" s="76">
        <f>资产资本表!X61</f>
        <v>450000</v>
      </c>
      <c r="Y96" s="76">
        <f>资产资本表!Y61</f>
        <v>480000</v>
      </c>
      <c r="Z96" s="76">
        <f>资产资本表!Z61</f>
        <v>510660</v>
      </c>
      <c r="AA96" s="76">
        <f>资产资本表!AA61</f>
        <v>540000</v>
      </c>
      <c r="AB96" s="76">
        <f>资产资本表!AB61</f>
        <v>0</v>
      </c>
      <c r="AC96" s="76">
        <f>资产资本表!AC61</f>
        <v>0</v>
      </c>
      <c r="AD96" s="76">
        <f>资产资本表!AD61</f>
        <v>0</v>
      </c>
      <c r="AE96" s="76">
        <f>资产资本表!AE61</f>
        <v>0</v>
      </c>
      <c r="AF96" s="76">
        <f>资产资本表!AF61</f>
        <v>5168.66</v>
      </c>
      <c r="AG96" s="76">
        <f>资产资本表!AG61</f>
        <v>20675.419999999998</v>
      </c>
      <c r="AH96" s="76">
        <f>资产资本表!AH61</f>
        <v>36182.18</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594</v>
      </c>
      <c r="E97" s="76">
        <f>资产资本表!E62</f>
        <v>28037801.629999999</v>
      </c>
      <c r="F97" s="76">
        <f>资产资本表!F62</f>
        <v>32173124.289999999</v>
      </c>
      <c r="G97" s="76">
        <f>资产资本表!G62</f>
        <v>31366998.219999999</v>
      </c>
      <c r="H97" s="76">
        <f>资产资本表!H62</f>
        <v>25533525.23</v>
      </c>
      <c r="I97" s="76">
        <f>资产资本表!I62</f>
        <v>24413957.199999999</v>
      </c>
      <c r="J97" s="76">
        <f>资产资本表!J62</f>
        <v>26745370.379999999</v>
      </c>
      <c r="K97" s="76">
        <f>资产资本表!K62</f>
        <v>27100437.719999999</v>
      </c>
      <c r="L97" s="76">
        <f>资产资本表!L62</f>
        <v>18620868.879999999</v>
      </c>
      <c r="M97" s="76">
        <f>资产资本表!M62</f>
        <v>17811897.559999999</v>
      </c>
      <c r="N97" s="76">
        <f>资产资本表!N62</f>
        <v>20198829.399999999</v>
      </c>
      <c r="O97" s="76">
        <f>资产资本表!O62</f>
        <v>20406023.93</v>
      </c>
      <c r="P97" s="76">
        <f>资产资本表!P62</f>
        <v>10097838.279999999</v>
      </c>
      <c r="Q97" s="76">
        <f>资产资本表!Q62</f>
        <v>9061522.2599999998</v>
      </c>
      <c r="R97" s="76">
        <f>资产资本表!R62</f>
        <v>7484148.6900000004</v>
      </c>
      <c r="S97" s="76">
        <f>资产资本表!S62</f>
        <v>7284428.8499999996</v>
      </c>
      <c r="T97" s="76">
        <f>资产资本表!T62</f>
        <v>6859802.29</v>
      </c>
      <c r="U97" s="76">
        <f>资产资本表!U62</f>
        <v>6857699</v>
      </c>
      <c r="V97" s="76">
        <f>资产资本表!V62</f>
        <v>6396743.4100000001</v>
      </c>
      <c r="W97" s="76">
        <f>资产资本表!W62</f>
        <v>6334087.0999999996</v>
      </c>
      <c r="X97" s="76">
        <f>资产资本表!X62</f>
        <v>6458028.4000000004</v>
      </c>
      <c r="Y97" s="76">
        <f>资产资本表!Y62</f>
        <v>6617114.5700000003</v>
      </c>
      <c r="Z97" s="76">
        <f>资产资本表!Z62</f>
        <v>5636416.8300000001</v>
      </c>
      <c r="AA97" s="76">
        <f>资产资本表!AA62</f>
        <v>5627683.4699999997</v>
      </c>
      <c r="AB97" s="76">
        <f>资产资本表!AB62</f>
        <v>7381636.0599999996</v>
      </c>
      <c r="AC97" s="76">
        <f>资产资本表!AC62</f>
        <v>7661810.2400000002</v>
      </c>
      <c r="AD97" s="76">
        <f>资产资本表!AD62</f>
        <v>6784044.75</v>
      </c>
      <c r="AE97" s="76">
        <f>资产资本表!AE62</f>
        <v>6514700.7599999998</v>
      </c>
      <c r="AF97" s="76">
        <f>资产资本表!AF62</f>
        <v>3170786.84</v>
      </c>
      <c r="AG97" s="76">
        <f>资产资本表!AG62</f>
        <v>3335824.8</v>
      </c>
      <c r="AH97" s="76">
        <f>资产资本表!AH62</f>
        <v>1877635.82</v>
      </c>
      <c r="AI97" s="76">
        <f>资产资本表!AI62</f>
        <v>0</v>
      </c>
      <c r="AJ97" s="76">
        <f>资产资本表!AJ62</f>
        <v>0</v>
      </c>
      <c r="AK97" s="76">
        <f>资产资本表!AK62</f>
        <v>0</v>
      </c>
      <c r="AL97" s="76">
        <f>资产资本表!AL62</f>
        <v>0</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595</v>
      </c>
      <c r="E98" s="76">
        <f>资产资本表!E63</f>
        <v>18138372.920000002</v>
      </c>
      <c r="F98" s="76">
        <f>资产资本表!F63</f>
        <v>19811568.440000001</v>
      </c>
      <c r="G98" s="76">
        <f>资产资本表!G63</f>
        <v>20705994.91</v>
      </c>
      <c r="H98" s="76">
        <f>资产资本表!H63</f>
        <v>21661369.27</v>
      </c>
      <c r="I98" s="76">
        <f>资产资本表!I63</f>
        <v>22446413.469999999</v>
      </c>
      <c r="J98" s="76">
        <f>资产资本表!J63</f>
        <v>1982752.91</v>
      </c>
      <c r="K98" s="76">
        <f>资产资本表!K63</f>
        <v>2507088.25</v>
      </c>
      <c r="L98" s="76">
        <f>资产资本表!L63</f>
        <v>2605456.25</v>
      </c>
      <c r="M98" s="76">
        <f>资产资本表!M63</f>
        <v>987697.31</v>
      </c>
      <c r="N98" s="76">
        <f>资产资本表!N63</f>
        <v>555295.68000000005</v>
      </c>
      <c r="O98" s="76">
        <f>资产资本表!O63</f>
        <v>555295.68000000005</v>
      </c>
      <c r="P98" s="76">
        <f>资产资本表!P63</f>
        <v>1062471.71</v>
      </c>
      <c r="Q98" s="76">
        <f>资产资本表!Q63</f>
        <v>1062471.71</v>
      </c>
      <c r="R98" s="76">
        <f>资产资本表!R63</f>
        <v>1281830.31</v>
      </c>
      <c r="S98" s="76">
        <f>资产资本表!S63</f>
        <v>1281830.31</v>
      </c>
      <c r="T98" s="76">
        <f>资产资本表!T63</f>
        <v>1492263.93</v>
      </c>
      <c r="U98" s="76">
        <f>资产资本表!U63</f>
        <v>1492263.93</v>
      </c>
      <c r="V98" s="76">
        <f>资产资本表!V63</f>
        <v>1641365.65</v>
      </c>
      <c r="W98" s="76">
        <f>资产资本表!W63</f>
        <v>1641365.65</v>
      </c>
      <c r="X98" s="76">
        <f>资产资本表!X63</f>
        <v>1685617.5</v>
      </c>
      <c r="Y98" s="76">
        <f>资产资本表!Y63</f>
        <v>1685617.5</v>
      </c>
      <c r="Z98" s="76">
        <f>资产资本表!Z63</f>
        <v>1677883.74</v>
      </c>
      <c r="AA98" s="76">
        <f>资产资本表!AA63</f>
        <v>1677883.74</v>
      </c>
      <c r="AB98" s="76">
        <f>资产资本表!AB63</f>
        <v>1661436.87</v>
      </c>
      <c r="AC98" s="76">
        <f>资产资本表!AC63</f>
        <v>1661436.87</v>
      </c>
      <c r="AD98" s="76">
        <f>资产资本表!AD63</f>
        <v>1784279.98</v>
      </c>
      <c r="AE98" s="76">
        <f>资产资本表!AE63</f>
        <v>1784279.98</v>
      </c>
      <c r="AF98" s="76">
        <f>资产资本表!AF63</f>
        <v>1826832.48</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596</v>
      </c>
      <c r="E99" s="93">
        <f>资产资本表!E64</f>
        <v>21979229.539999999</v>
      </c>
      <c r="F99" s="93">
        <f>资产资本表!F64</f>
        <v>21731047.059999999</v>
      </c>
      <c r="G99" s="93">
        <f>资产资本表!G64</f>
        <v>22660234.050000001</v>
      </c>
      <c r="H99" s="93">
        <f>资产资本表!H64</f>
        <v>63046315.130000003</v>
      </c>
      <c r="I99" s="93">
        <f>资产资本表!I64</f>
        <v>31268924.77</v>
      </c>
      <c r="J99" s="93">
        <f>资产资本表!J64</f>
        <v>38720182.329999998</v>
      </c>
      <c r="K99" s="93">
        <f>资产资本表!K64</f>
        <v>18941406.050000001</v>
      </c>
      <c r="L99" s="93">
        <f>资产资本表!L64</f>
        <v>14697602.710000001</v>
      </c>
      <c r="M99" s="93">
        <f>资产资本表!M64</f>
        <v>16756097.619999999</v>
      </c>
      <c r="N99" s="93">
        <f>资产资本表!N64</f>
        <v>46334351.979999997</v>
      </c>
      <c r="O99" s="93">
        <f>资产资本表!O64</f>
        <v>37812519.68</v>
      </c>
      <c r="P99" s="93">
        <f>资产资本表!P64</f>
        <v>44119372.049999997</v>
      </c>
      <c r="Q99" s="93">
        <f>资产资本表!Q64</f>
        <v>15603863.970000001</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689</v>
      </c>
      <c r="E100" s="197">
        <f>(E84+I84)/2</f>
        <v>1277458905.1100001</v>
      </c>
      <c r="F100" s="197">
        <f t="shared" ref="F100:BQ100" si="54">(F84+J84)/2</f>
        <v>1178265757.4200001</v>
      </c>
      <c r="G100" s="197">
        <f t="shared" si="54"/>
        <v>1061834440.135</v>
      </c>
      <c r="H100" s="197">
        <f t="shared" si="54"/>
        <v>1048088018.775</v>
      </c>
      <c r="I100" s="197">
        <f t="shared" si="54"/>
        <v>1059268676.5450001</v>
      </c>
      <c r="J100" s="197">
        <f t="shared" si="54"/>
        <v>896844002.55999994</v>
      </c>
      <c r="K100" s="197">
        <f t="shared" si="54"/>
        <v>819244491.10500002</v>
      </c>
      <c r="L100" s="197">
        <f t="shared" si="54"/>
        <v>805530960.245</v>
      </c>
      <c r="M100" s="197">
        <f t="shared" si="54"/>
        <v>798739036.91499996</v>
      </c>
      <c r="N100" s="197">
        <f t="shared" si="54"/>
        <v>629040760.03499997</v>
      </c>
      <c r="O100" s="197">
        <f t="shared" si="54"/>
        <v>550461823.76499999</v>
      </c>
      <c r="P100" s="197">
        <f t="shared" si="54"/>
        <v>558263511.76999998</v>
      </c>
      <c r="Q100" s="197">
        <f t="shared" si="54"/>
        <v>572059853.07999992</v>
      </c>
      <c r="R100" s="197">
        <f t="shared" si="54"/>
        <v>495711146.46500003</v>
      </c>
      <c r="S100" s="197">
        <f t="shared" si="54"/>
        <v>478848347.15499997</v>
      </c>
      <c r="T100" s="197">
        <f t="shared" si="54"/>
        <v>433444402.86500001</v>
      </c>
      <c r="U100" s="197">
        <f t="shared" si="54"/>
        <v>443518370.41500002</v>
      </c>
      <c r="V100" s="197">
        <f t="shared" si="54"/>
        <v>435201873.19499999</v>
      </c>
      <c r="W100" s="197">
        <f t="shared" si="54"/>
        <v>374449908.16499996</v>
      </c>
      <c r="X100" s="197">
        <f t="shared" si="54"/>
        <v>324182946.31500006</v>
      </c>
      <c r="Y100" s="197">
        <f t="shared" si="54"/>
        <v>329333033.16500002</v>
      </c>
      <c r="Z100" s="197">
        <f t="shared" si="54"/>
        <v>319668077.23000002</v>
      </c>
      <c r="AA100" s="197">
        <f t="shared" si="54"/>
        <v>274423016.73000002</v>
      </c>
      <c r="AB100" s="197">
        <f t="shared" si="54"/>
        <v>274539109.31999999</v>
      </c>
      <c r="AC100" s="197">
        <f t="shared" si="54"/>
        <v>220203459.65000001</v>
      </c>
      <c r="AD100" s="197">
        <f t="shared" si="54"/>
        <v>206829876.05500001</v>
      </c>
      <c r="AE100" s="197">
        <f t="shared" si="54"/>
        <v>131152490.935</v>
      </c>
      <c r="AF100" s="197">
        <f t="shared" si="54"/>
        <v>131153305.98999999</v>
      </c>
      <c r="AG100" s="197">
        <f t="shared" si="54"/>
        <v>75354044.659999996</v>
      </c>
      <c r="AH100" s="197">
        <f t="shared" si="54"/>
        <v>73117877.894999996</v>
      </c>
      <c r="AI100" s="197">
        <f t="shared" si="54"/>
        <v>0</v>
      </c>
      <c r="AJ100" s="197">
        <f t="shared" si="54"/>
        <v>0</v>
      </c>
      <c r="AK100" s="197">
        <f t="shared" si="54"/>
        <v>0</v>
      </c>
      <c r="AL100" s="197">
        <f t="shared" si="54"/>
        <v>0</v>
      </c>
      <c r="AM100" s="197">
        <f t="shared" si="54"/>
        <v>0</v>
      </c>
      <c r="AN100" s="197">
        <f t="shared" si="54"/>
        <v>0</v>
      </c>
      <c r="AO100" s="197">
        <f t="shared" si="54"/>
        <v>0</v>
      </c>
      <c r="AP100" s="197">
        <f t="shared" si="54"/>
        <v>0</v>
      </c>
      <c r="AQ100" s="197">
        <f t="shared" si="54"/>
        <v>0</v>
      </c>
      <c r="AR100" s="197">
        <f t="shared" si="54"/>
        <v>0</v>
      </c>
      <c r="AS100" s="197">
        <f t="shared" si="54"/>
        <v>0</v>
      </c>
      <c r="AT100" s="197">
        <f t="shared" si="54"/>
        <v>0</v>
      </c>
      <c r="AU100" s="197">
        <f t="shared" si="54"/>
        <v>0</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690</v>
      </c>
      <c r="E101" s="252">
        <f>E100/E84</f>
        <v>0.90740967967090747</v>
      </c>
      <c r="F101" s="252">
        <f t="shared" ref="F101:BQ101" si="56">F100/F84</f>
        <v>0.88725210276964284</v>
      </c>
      <c r="G101" s="252">
        <f t="shared" si="56"/>
        <v>0.97347626707324675</v>
      </c>
      <c r="H101" s="252">
        <f t="shared" si="56"/>
        <v>0.95598234979004626</v>
      </c>
      <c r="I101" s="252">
        <f t="shared" si="56"/>
        <v>0.92342421900042293</v>
      </c>
      <c r="J101" s="252">
        <f t="shared" si="56"/>
        <v>0.87196069477607252</v>
      </c>
      <c r="K101" s="252">
        <f t="shared" si="56"/>
        <v>0.79314735412309934</v>
      </c>
      <c r="L101" s="252">
        <f t="shared" si="56"/>
        <v>0.80566839381026512</v>
      </c>
      <c r="M101" s="252">
        <f t="shared" si="56"/>
        <v>0.82223195341019117</v>
      </c>
      <c r="N101" s="252">
        <f t="shared" si="56"/>
        <v>0.82211342833683809</v>
      </c>
      <c r="O101" s="252">
        <f t="shared" si="56"/>
        <v>0.90897424995309895</v>
      </c>
      <c r="P101" s="252">
        <f t="shared" si="56"/>
        <v>0.91334068184786021</v>
      </c>
      <c r="Q101" s="252">
        <f t="shared" si="56"/>
        <v>0.91376035267600353</v>
      </c>
      <c r="R101" s="252">
        <f t="shared" si="56"/>
        <v>1.0056406341877304</v>
      </c>
      <c r="S101" s="252">
        <f t="shared" si="56"/>
        <v>0.96671043861043604</v>
      </c>
      <c r="T101" s="252">
        <f t="shared" si="56"/>
        <v>0.85780546971076066</v>
      </c>
      <c r="U101" s="252">
        <f t="shared" si="56"/>
        <v>0.85609820029876316</v>
      </c>
      <c r="V101" s="252">
        <f t="shared" si="56"/>
        <v>0.87303754657689547</v>
      </c>
      <c r="W101" s="252">
        <f t="shared" si="56"/>
        <v>0.80986873553822614</v>
      </c>
      <c r="X101" s="252">
        <f t="shared" si="56"/>
        <v>0.89653780187747811</v>
      </c>
      <c r="Y101" s="252">
        <f t="shared" si="56"/>
        <v>0.89258069747037583</v>
      </c>
      <c r="Z101" s="252">
        <f t="shared" si="56"/>
        <v>0.85952575153422772</v>
      </c>
      <c r="AA101" s="252">
        <f t="shared" si="56"/>
        <v>0.95770925390006889</v>
      </c>
      <c r="AB101" s="252">
        <f t="shared" si="56"/>
        <v>0.95734411268092157</v>
      </c>
      <c r="AC101" s="252">
        <f t="shared" si="56"/>
        <v>0.76011166377579853</v>
      </c>
      <c r="AD101" s="252">
        <f t="shared" si="56"/>
        <v>0.77341554572951277</v>
      </c>
      <c r="AE101" s="252">
        <f t="shared" si="56"/>
        <v>0.5</v>
      </c>
      <c r="AF101" s="252">
        <f t="shared" si="56"/>
        <v>0.5</v>
      </c>
      <c r="AG101" s="252">
        <f t="shared" si="56"/>
        <v>0.5</v>
      </c>
      <c r="AH101" s="252">
        <f t="shared" si="56"/>
        <v>0.5</v>
      </c>
      <c r="AI101" s="252" t="e">
        <f t="shared" si="56"/>
        <v>#DIV/0!</v>
      </c>
      <c r="AJ101" s="252" t="e">
        <f t="shared" si="56"/>
        <v>#DIV/0!</v>
      </c>
      <c r="AK101" s="252" t="e">
        <f t="shared" si="56"/>
        <v>#DIV/0!</v>
      </c>
      <c r="AL101" s="252" t="e">
        <f t="shared" si="56"/>
        <v>#DIV/0!</v>
      </c>
      <c r="AM101" s="252" t="e">
        <f t="shared" si="56"/>
        <v>#DIV/0!</v>
      </c>
      <c r="AN101" s="252" t="e">
        <f t="shared" si="56"/>
        <v>#DIV/0!</v>
      </c>
      <c r="AO101" s="252" t="e">
        <f t="shared" si="56"/>
        <v>#DIV/0!</v>
      </c>
      <c r="AP101" s="252" t="e">
        <f t="shared" si="56"/>
        <v>#DIV/0!</v>
      </c>
      <c r="AQ101" s="252" t="e">
        <f t="shared" si="56"/>
        <v>#DIV/0!</v>
      </c>
      <c r="AR101" s="252" t="e">
        <f t="shared" si="56"/>
        <v>#DIV/0!</v>
      </c>
      <c r="AS101" s="252" t="e">
        <f t="shared" si="56"/>
        <v>#DIV/0!</v>
      </c>
      <c r="AT101" s="252" t="e">
        <f t="shared" si="56"/>
        <v>#DIV/0!</v>
      </c>
      <c r="AU101" s="252" t="e">
        <f t="shared" si="56"/>
        <v>#DIV/0!</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5" t="s">
        <v>691</v>
      </c>
      <c r="B102" s="286"/>
      <c r="C102" s="286"/>
      <c r="D102" s="286"/>
      <c r="E102" s="286"/>
      <c r="F102" s="286"/>
      <c r="G102" s="286"/>
      <c r="H102" s="286"/>
      <c r="I102" s="286"/>
      <c r="J102" s="286"/>
      <c r="K102" s="286"/>
      <c r="L102" s="286"/>
      <c r="M102" s="286"/>
      <c r="N102" s="286"/>
      <c r="O102" s="286"/>
      <c r="P102" s="286"/>
      <c r="Q102" s="286"/>
      <c r="R102" s="286"/>
      <c r="S102" s="286"/>
      <c r="T102" s="286"/>
      <c r="U102" s="286"/>
      <c r="V102" s="286"/>
      <c r="W102" s="286"/>
      <c r="X102" s="286"/>
      <c r="Y102" s="286"/>
      <c r="Z102" s="286"/>
      <c r="AA102" s="286"/>
      <c r="AB102" s="286"/>
      <c r="AC102" s="286"/>
      <c r="AD102" s="286"/>
      <c r="AE102" s="286"/>
      <c r="AF102" s="286"/>
      <c r="AG102" s="286"/>
      <c r="AH102" s="286"/>
      <c r="AI102" s="286"/>
      <c r="AJ102" s="286"/>
      <c r="AK102" s="286"/>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abSelected="1" topLeftCell="A21" workbookViewId="0">
      <selection activeCell="I14" sqref="I14"/>
    </sheetView>
  </sheetViews>
  <sheetFormatPr defaultRowHeight="14.4" x14ac:dyDescent="0.25"/>
  <cols>
    <col min="1" max="1" width="63.21875" style="17" bestFit="1" customWidth="1"/>
    <col min="2" max="4" width="9.5546875" hidden="1" customWidth="1"/>
    <col min="5" max="5" width="19.33203125" bestFit="1" customWidth="1"/>
    <col min="6" max="7" width="19.33203125" hidden="1" customWidth="1"/>
    <col min="8" max="8" width="19" hidden="1" customWidth="1"/>
    <col min="9" max="9" width="19.33203125" bestFit="1" customWidth="1"/>
    <col min="10" max="10" width="19.33203125" hidden="1" customWidth="1"/>
    <col min="11" max="11" width="17.77734375" hidden="1" customWidth="1"/>
    <col min="12" max="12" width="19" hidden="1" customWidth="1"/>
    <col min="13" max="13" width="19.33203125" bestFit="1" customWidth="1"/>
    <col min="14" max="14" width="19.33203125" hidden="1" customWidth="1"/>
    <col min="15" max="16" width="19" hidden="1" customWidth="1"/>
    <col min="17" max="17" width="19.33203125" bestFit="1" customWidth="1"/>
    <col min="18" max="18" width="19" hidden="1" customWidth="1"/>
    <col min="19" max="20" width="17.77734375" hidden="1" customWidth="1"/>
    <col min="21" max="21" width="19" bestFit="1" customWidth="1"/>
    <col min="22" max="22" width="19" hidden="1" customWidth="1"/>
    <col min="23" max="24" width="17.77734375" hidden="1" customWidth="1"/>
    <col min="25" max="25" width="17.77734375" bestFit="1" customWidth="1"/>
    <col min="26" max="27" width="17.77734375" hidden="1" customWidth="1"/>
    <col min="28" max="28" width="17.21875" hidden="1" customWidth="1"/>
    <col min="29" max="29" width="19" bestFit="1" customWidth="1"/>
    <col min="30" max="31" width="19" hidden="1" customWidth="1"/>
    <col min="32" max="32" width="17.77734375" hidden="1" customWidth="1"/>
    <col min="33" max="33" width="19" bestFit="1" customWidth="1"/>
    <col min="34" max="34" width="19" hidden="1" customWidth="1"/>
    <col min="35" max="36" width="17.77734375" bestFit="1" customWidth="1"/>
    <col min="37" max="37" width="17.21875" hidden="1" customWidth="1"/>
    <col min="38" max="39" width="18.33203125" hidden="1" customWidth="1"/>
    <col min="40" max="40" width="17.21875" hidden="1" customWidth="1"/>
    <col min="41" max="41" width="21.5546875" bestFit="1" customWidth="1"/>
    <col min="42" max="44" width="18.33203125" hidden="1" customWidth="1"/>
    <col min="45" max="45" width="18.33203125" bestFit="1" customWidth="1"/>
    <col min="46" max="48" width="18.33203125" hidden="1" customWidth="1"/>
    <col min="49" max="49" width="18.33203125" bestFit="1" customWidth="1"/>
    <col min="50" max="51" width="18.33203125" hidden="1" customWidth="1"/>
    <col min="52" max="52" width="17.21875" hidden="1" customWidth="1"/>
    <col min="53" max="53" width="18.33203125" bestFit="1" customWidth="1"/>
    <col min="54" max="55" width="18.33203125" hidden="1" customWidth="1"/>
    <col min="56" max="56" width="17.21875" hidden="1" customWidth="1"/>
    <col min="57" max="57" width="18.33203125" bestFit="1" customWidth="1"/>
    <col min="58" max="59" width="18.33203125" hidden="1" customWidth="1"/>
    <col min="60" max="60" width="17.21875" hidden="1" customWidth="1"/>
    <col min="61" max="61" width="17.21875" bestFit="1" customWidth="1"/>
    <col min="62"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6.109375" bestFit="1" customWidth="1"/>
    <col min="72" max="72" width="17.21875" hidden="1" customWidth="1"/>
    <col min="73" max="74" width="17.21875" bestFit="1" customWidth="1"/>
    <col min="75" max="76" width="16.109375" bestFit="1" customWidth="1"/>
    <col min="77" max="77" width="9.3320312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25569</v>
      </c>
      <c r="BU1" s="1"/>
      <c r="BV1" s="1"/>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2489562200.3600001</v>
      </c>
      <c r="F2" s="26">
        <f>现金流量表!F4</f>
        <v>1838587599.73</v>
      </c>
      <c r="G2" s="26">
        <f>现金流量表!G4</f>
        <v>1227179259.3599999</v>
      </c>
      <c r="H2" s="26">
        <f>现金流量表!H4</f>
        <v>633299706.84000003</v>
      </c>
      <c r="I2" s="26">
        <f>现金流量表!I4</f>
        <v>1892641802.0599999</v>
      </c>
      <c r="J2" s="26">
        <f>现金流量表!J4</f>
        <v>1423140723.1199999</v>
      </c>
      <c r="K2" s="26">
        <f>现金流量表!K4</f>
        <v>915875965.85000002</v>
      </c>
      <c r="L2" s="26">
        <f>现金流量表!L4</f>
        <v>455359540.66000003</v>
      </c>
      <c r="M2" s="26">
        <f>现金流量表!M4</f>
        <v>1674998666.6600001</v>
      </c>
      <c r="N2" s="26">
        <f>现金流量表!N4</f>
        <v>1190075144.3099999</v>
      </c>
      <c r="O2" s="26">
        <f>现金流量表!O4</f>
        <v>734399973.87</v>
      </c>
      <c r="P2" s="26">
        <f>现金流量表!P4</f>
        <v>403182544.54000002</v>
      </c>
      <c r="Q2" s="26">
        <f>现金流量表!Q4</f>
        <v>1048135260.59</v>
      </c>
      <c r="R2" s="26">
        <f>现金流量表!R4</f>
        <v>731066760.69000006</v>
      </c>
      <c r="S2" s="26">
        <f>现金流量表!S4</f>
        <v>435723810.61000001</v>
      </c>
      <c r="T2" s="26">
        <f>现金流量表!T4</f>
        <v>215608725.69999999</v>
      </c>
      <c r="U2" s="26">
        <f>现金流量表!U4</f>
        <v>983713246.05999994</v>
      </c>
      <c r="V2" s="26">
        <f>现金流量表!V4</f>
        <v>721943336.62</v>
      </c>
      <c r="W2" s="26">
        <f>现金流量表!W4</f>
        <v>488581898.77999997</v>
      </c>
      <c r="X2" s="26">
        <f>现金流量表!X4</f>
        <v>225880062.72999999</v>
      </c>
      <c r="Y2" s="26">
        <f>现金流量表!Y4</f>
        <v>759883190.20000005</v>
      </c>
      <c r="Z2" s="26">
        <f>现金流量表!Z4</f>
        <v>526886508.75</v>
      </c>
      <c r="AA2" s="26">
        <f>现金流量表!AA4</f>
        <v>343834032.43000001</v>
      </c>
      <c r="AB2" s="26">
        <f>现金流量表!AB4</f>
        <v>137433502.61000001</v>
      </c>
      <c r="AC2" s="26">
        <f>现金流量表!AC4</f>
        <v>838331857.85000002</v>
      </c>
      <c r="AD2" s="26">
        <f>现金流量表!AD4</f>
        <v>675453758.52999997</v>
      </c>
      <c r="AE2" s="26">
        <f>现金流量表!AE4</f>
        <v>455254637.06</v>
      </c>
      <c r="AF2" s="26">
        <f>现金流量表!AF4</f>
        <v>196764019.13</v>
      </c>
      <c r="AG2" s="26">
        <f>现金流量表!AG4</f>
        <v>727807694.75999999</v>
      </c>
      <c r="AH2" s="26">
        <f>现金流量表!AH4</f>
        <v>538178721.91999996</v>
      </c>
      <c r="AI2" s="26">
        <f>现金流量表!AI4</f>
        <v>370270549.44999999</v>
      </c>
      <c r="AJ2" s="26">
        <f>现金流量表!AJ4</f>
        <v>541440474.25</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2456391218.1599998</v>
      </c>
      <c r="F3" s="26">
        <f>利润表!F3</f>
        <v>1797303663.71</v>
      </c>
      <c r="G3" s="26">
        <f>利润表!G3</f>
        <v>1262280095.75</v>
      </c>
      <c r="H3" s="26">
        <f>利润表!H3</f>
        <v>612156580.71000004</v>
      </c>
      <c r="I3" s="26">
        <f>利润表!I3</f>
        <v>1847391081.8399999</v>
      </c>
      <c r="J3" s="26">
        <f>利润表!J3</f>
        <v>1324775375.3399999</v>
      </c>
      <c r="K3" s="26">
        <f>利润表!K3</f>
        <v>888376461.49000001</v>
      </c>
      <c r="L3" s="26">
        <f>利润表!L3</f>
        <v>423001389.69</v>
      </c>
      <c r="M3" s="26">
        <f>利润表!M3</f>
        <v>1631042560</v>
      </c>
      <c r="N3" s="26">
        <f>利润表!N3</f>
        <v>1022711562.04</v>
      </c>
      <c r="O3" s="26">
        <f>利润表!O3</f>
        <v>615138524.07000005</v>
      </c>
      <c r="P3" s="26">
        <f>利润表!P3</f>
        <v>265749041.91</v>
      </c>
      <c r="Q3" s="26">
        <f>利润表!Q3</f>
        <v>1068796191.5700001</v>
      </c>
      <c r="R3" s="26">
        <f>利润表!R3</f>
        <v>705098562.99000001</v>
      </c>
      <c r="S3" s="26">
        <f>利润表!S3</f>
        <v>433011175.55000001</v>
      </c>
      <c r="T3" s="26">
        <f>利润表!T3</f>
        <v>196981639.65000001</v>
      </c>
      <c r="U3" s="26">
        <f>利润表!U3</f>
        <v>965382340.42999995</v>
      </c>
      <c r="V3" s="26">
        <f>利润表!V3</f>
        <v>705638264.82000005</v>
      </c>
      <c r="W3" s="26">
        <f>利润表!W3</f>
        <v>483178236.35000002</v>
      </c>
      <c r="X3" s="26">
        <f>利润表!X3</f>
        <v>221315195.03</v>
      </c>
      <c r="Y3" s="26">
        <f>利润表!Y3</f>
        <v>789577816.87</v>
      </c>
      <c r="Z3" s="26">
        <f>利润表!Z3</f>
        <v>539360672.49000001</v>
      </c>
      <c r="AA3" s="26">
        <f>利润表!AA3</f>
        <v>394771497.57999998</v>
      </c>
      <c r="AB3" s="26">
        <f>利润表!AB3</f>
        <v>177632246.53</v>
      </c>
      <c r="AC3" s="26">
        <f>利润表!AC3</f>
        <v>820090562.65999997</v>
      </c>
      <c r="AD3" s="26">
        <f>利润表!AD3</f>
        <v>640951585.91999996</v>
      </c>
      <c r="AE3" s="26">
        <f>利润表!AE3</f>
        <v>469202622.25999999</v>
      </c>
      <c r="AF3" s="26">
        <f>利润表!AF3</f>
        <v>205970417.91999999</v>
      </c>
      <c r="AG3" s="26">
        <f>利润表!AG3</f>
        <v>731662751.10000002</v>
      </c>
      <c r="AH3" s="26">
        <f>利润表!AH3</f>
        <v>538217516.25999999</v>
      </c>
      <c r="AI3" s="26">
        <f>利润表!AI3</f>
        <v>404874884.06999999</v>
      </c>
      <c r="AJ3" s="26">
        <f>利润表!AJ3</f>
        <v>639478592.48000002</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510</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0.86624269161510814</v>
      </c>
      <c r="F5" s="28">
        <f t="shared" ref="F5:BQ5" si="2">(F2/(1+F4))/F3</f>
        <v>0.87433327192348087</v>
      </c>
      <c r="G5" s="28">
        <f t="shared" si="2"/>
        <v>0.83093377244687794</v>
      </c>
      <c r="H5" s="28">
        <f t="shared" si="2"/>
        <v>0.88422115807388979</v>
      </c>
      <c r="I5" s="28">
        <f t="shared" si="2"/>
        <v>0.8756362319623614</v>
      </c>
      <c r="J5" s="28">
        <f t="shared" si="2"/>
        <v>0.91816289391556749</v>
      </c>
      <c r="K5" s="28">
        <f t="shared" si="2"/>
        <v>0.88115793781730833</v>
      </c>
      <c r="L5" s="28">
        <f t="shared" si="2"/>
        <v>0.92008252947706914</v>
      </c>
      <c r="M5" s="28">
        <f t="shared" si="2"/>
        <v>0.8777347857906872</v>
      </c>
      <c r="N5" s="28">
        <f t="shared" si="2"/>
        <v>0.99457000463657341</v>
      </c>
      <c r="O5" s="28">
        <f t="shared" si="2"/>
        <v>1.0204080232301398</v>
      </c>
      <c r="P5" s="28">
        <f t="shared" si="2"/>
        <v>1.2967138580898729</v>
      </c>
      <c r="Q5" s="28">
        <f t="shared" si="2"/>
        <v>0.83817860704802449</v>
      </c>
      <c r="R5" s="28">
        <f t="shared" si="2"/>
        <v>0.88617878124081506</v>
      </c>
      <c r="S5" s="28">
        <f t="shared" si="2"/>
        <v>0.86005520035100713</v>
      </c>
      <c r="T5" s="28">
        <f t="shared" si="2"/>
        <v>0.93552354658122128</v>
      </c>
      <c r="U5" s="28">
        <f t="shared" si="2"/>
        <v>0.87093011439750834</v>
      </c>
      <c r="V5" s="28">
        <f t="shared" si="2"/>
        <v>0.87445029219341153</v>
      </c>
      <c r="W5" s="28">
        <f t="shared" si="2"/>
        <v>0.86425947003155501</v>
      </c>
      <c r="X5" s="28">
        <f t="shared" si="2"/>
        <v>0.87232999365020447</v>
      </c>
      <c r="Y5" s="28">
        <f t="shared" si="2"/>
        <v>0.82255706563712216</v>
      </c>
      <c r="Z5" s="28">
        <f t="shared" si="2"/>
        <v>0.83493360255576243</v>
      </c>
      <c r="AA5" s="28">
        <f t="shared" si="2"/>
        <v>0.74441858947430462</v>
      </c>
      <c r="AB5" s="28">
        <f t="shared" si="2"/>
        <v>0.6612793253473872</v>
      </c>
      <c r="AC5" s="28">
        <f t="shared" si="2"/>
        <v>0.87371198749474288</v>
      </c>
      <c r="AD5" s="28">
        <f t="shared" si="2"/>
        <v>0.90070906665726314</v>
      </c>
      <c r="AE5" s="28">
        <f t="shared" si="2"/>
        <v>0.82929316449150881</v>
      </c>
      <c r="AF5" s="28">
        <f t="shared" si="2"/>
        <v>0.81649771371588986</v>
      </c>
      <c r="AG5" s="28">
        <f t="shared" si="2"/>
        <v>0.85019752315395791</v>
      </c>
      <c r="AH5" s="28">
        <f t="shared" si="2"/>
        <v>0.85463924846442818</v>
      </c>
      <c r="AI5" s="28">
        <f t="shared" si="2"/>
        <v>0.78165025181150671</v>
      </c>
      <c r="AJ5" s="28">
        <f t="shared" si="2"/>
        <v>0.72366712748962658</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1046759094.41</v>
      </c>
      <c r="F6" s="26">
        <f>现金流量表!F8</f>
        <v>771127965.14999998</v>
      </c>
      <c r="G6" s="26">
        <f>现金流量表!G8</f>
        <v>501812262.50999999</v>
      </c>
      <c r="H6" s="26">
        <f>现金流量表!H8</f>
        <v>240075390.88999999</v>
      </c>
      <c r="I6" s="26">
        <f>现金流量表!I8</f>
        <v>1080398728.6600001</v>
      </c>
      <c r="J6" s="26">
        <f>现金流量表!J8</f>
        <v>827331652.34000003</v>
      </c>
      <c r="K6" s="26">
        <f>现金流量表!K8</f>
        <v>571192503.84000003</v>
      </c>
      <c r="L6" s="26">
        <f>现金流量表!L8</f>
        <v>273597225.42000002</v>
      </c>
      <c r="M6" s="26">
        <f>现金流量表!M8</f>
        <v>868983590.24000001</v>
      </c>
      <c r="N6" s="26">
        <f>现金流量表!N8</f>
        <v>620991183.94000006</v>
      </c>
      <c r="O6" s="26">
        <f>现金流量表!O8</f>
        <v>389469548.67000002</v>
      </c>
      <c r="P6" s="26">
        <f>现金流量表!P8</f>
        <v>184052871.40000001</v>
      </c>
      <c r="Q6" s="26">
        <f>现金流量表!Q8</f>
        <v>616488817.42999995</v>
      </c>
      <c r="R6" s="26">
        <f>现金流量表!R8</f>
        <v>404166157.33999997</v>
      </c>
      <c r="S6" s="26">
        <f>现金流量表!S8</f>
        <v>254757898.31999999</v>
      </c>
      <c r="T6" s="26">
        <f>现金流量表!T8</f>
        <v>122442118.84</v>
      </c>
      <c r="U6" s="26">
        <f>现金流量表!U8</f>
        <v>557865131.52999997</v>
      </c>
      <c r="V6" s="26">
        <f>现金流量表!V8</f>
        <v>448603807.57999998</v>
      </c>
      <c r="W6" s="26">
        <f>现金流量表!W8</f>
        <v>326353073.56</v>
      </c>
      <c r="X6" s="26">
        <f>现金流量表!X8</f>
        <v>159682846.5</v>
      </c>
      <c r="Y6" s="26">
        <f>现金流量表!Y8</f>
        <v>479195758.54000002</v>
      </c>
      <c r="Z6" s="26">
        <f>现金流量表!Z8</f>
        <v>301155917.61000001</v>
      </c>
      <c r="AA6" s="26">
        <f>现金流量表!AA8</f>
        <v>205883625.25</v>
      </c>
      <c r="AB6" s="26">
        <f>现金流量表!AB8</f>
        <v>87800254.319999993</v>
      </c>
      <c r="AC6" s="26">
        <f>现金流量表!AC8</f>
        <v>442559102.07999998</v>
      </c>
      <c r="AD6" s="26">
        <f>现金流量表!AD8</f>
        <v>308902899.94999999</v>
      </c>
      <c r="AE6" s="26">
        <f>现金流量表!AE8</f>
        <v>211258065.16</v>
      </c>
      <c r="AF6" s="26">
        <f>现金流量表!AF8</f>
        <v>105168769.86</v>
      </c>
      <c r="AG6" s="26">
        <f>现金流量表!AG8</f>
        <v>437170485.63999999</v>
      </c>
      <c r="AH6" s="26">
        <f>现金流量表!AH8</f>
        <v>336271096.13999999</v>
      </c>
      <c r="AI6" s="26">
        <f>现金流量表!AI8</f>
        <v>197307762.19999999</v>
      </c>
      <c r="AJ6" s="26">
        <f>现金流量表!AJ8</f>
        <v>343892052.47000003</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584602969.13999999</v>
      </c>
      <c r="F7" s="26">
        <f>现金流量表!F9</f>
        <v>351153722.91000003</v>
      </c>
      <c r="G7" s="26">
        <f>现金流量表!G9</f>
        <v>227990666.15000001</v>
      </c>
      <c r="H7" s="26">
        <f>现金流量表!H9</f>
        <v>104858704.03</v>
      </c>
      <c r="I7" s="26">
        <f>现金流量表!I9</f>
        <v>458392878.60000002</v>
      </c>
      <c r="J7" s="26">
        <f>现金流量表!J9</f>
        <v>276703592.47000003</v>
      </c>
      <c r="K7" s="26">
        <f>现金流量表!K9</f>
        <v>162898403.28999999</v>
      </c>
      <c r="L7" s="26">
        <f>现金流量表!L9</f>
        <v>59049377.810000002</v>
      </c>
      <c r="M7" s="26">
        <f>现金流量表!M9</f>
        <v>302493403.18000001</v>
      </c>
      <c r="N7" s="26">
        <f>现金流量表!N9</f>
        <v>165962481.62</v>
      </c>
      <c r="O7" s="26">
        <f>现金流量表!O9</f>
        <v>108924806.89</v>
      </c>
      <c r="P7" s="26">
        <f>现金流量表!P9</f>
        <v>57275289.619999997</v>
      </c>
      <c r="Q7" s="26">
        <f>现金流量表!Q9</f>
        <v>209530674.25999999</v>
      </c>
      <c r="R7" s="26">
        <f>现金流量表!R9</f>
        <v>128613183.97</v>
      </c>
      <c r="S7" s="26">
        <f>现金流量表!S9</f>
        <v>87086253.810000002</v>
      </c>
      <c r="T7" s="26">
        <f>现金流量表!T9</f>
        <v>50911026.490000002</v>
      </c>
      <c r="U7" s="26">
        <f>现金流量表!U9</f>
        <v>188038844.43000001</v>
      </c>
      <c r="V7" s="26">
        <f>现金流量表!V9</f>
        <v>120754294.19</v>
      </c>
      <c r="W7" s="26">
        <f>现金流量表!W9</f>
        <v>80928091.840000004</v>
      </c>
      <c r="X7" s="26">
        <f>现金流量表!X9</f>
        <v>45955424.100000001</v>
      </c>
      <c r="Y7" s="26">
        <f>现金流量表!Y9</f>
        <v>169029470.63999999</v>
      </c>
      <c r="Z7" s="26">
        <f>现金流量表!Z9</f>
        <v>109662200.76000001</v>
      </c>
      <c r="AA7" s="26">
        <f>现金流量表!AA9</f>
        <v>74656945.480000004</v>
      </c>
      <c r="AB7" s="26">
        <f>现金流量表!AB9</f>
        <v>41627579.07</v>
      </c>
      <c r="AC7" s="26">
        <f>现金流量表!AC9</f>
        <v>144541341.15000001</v>
      </c>
      <c r="AD7" s="26">
        <f>现金流量表!AD9</f>
        <v>91804107.409999996</v>
      </c>
      <c r="AE7" s="26">
        <f>现金流量表!AE9</f>
        <v>59743370.229999997</v>
      </c>
      <c r="AF7" s="26">
        <f>现金流量表!AF9</f>
        <v>29303456.59</v>
      </c>
      <c r="AG7" s="26">
        <f>现金流量表!AG9</f>
        <v>82039052.959999993</v>
      </c>
      <c r="AH7" s="26">
        <f>现金流量表!AH9</f>
        <v>47018674.25</v>
      </c>
      <c r="AI7" s="26">
        <f>现金流量表!AI9</f>
        <v>57164739.579999998</v>
      </c>
      <c r="AJ7" s="26">
        <f>现金流量表!AJ9</f>
        <v>61967595.829999998</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490</v>
      </c>
      <c r="E8" s="58">
        <f>利润表!E6</f>
        <v>1483217632.6600001</v>
      </c>
      <c r="F8" s="58">
        <f>利润表!F6</f>
        <v>1076327673.26</v>
      </c>
      <c r="G8" s="58">
        <f>利润表!G6</f>
        <v>763209419.25999999</v>
      </c>
      <c r="H8" s="58">
        <f>利润表!H6</f>
        <v>379066624.18000001</v>
      </c>
      <c r="I8" s="58">
        <f>利润表!I6</f>
        <v>1093192340.75</v>
      </c>
      <c r="J8" s="58">
        <f>利润表!J6</f>
        <v>774816435.69000006</v>
      </c>
      <c r="K8" s="58">
        <f>利润表!K6</f>
        <v>523069803.54000002</v>
      </c>
      <c r="L8" s="58">
        <f>利润表!L6</f>
        <v>261347307.03</v>
      </c>
      <c r="M8" s="58">
        <f>利润表!M6</f>
        <v>1072076772.12</v>
      </c>
      <c r="N8" s="58">
        <f>利润表!N6</f>
        <v>666132747.07000005</v>
      </c>
      <c r="O8" s="58">
        <f>利润表!O6</f>
        <v>408201899.26999998</v>
      </c>
      <c r="P8" s="58">
        <f>利润表!P6</f>
        <v>177861626.05000001</v>
      </c>
      <c r="Q8" s="58">
        <f>利润表!Q6</f>
        <v>768038724.02999997</v>
      </c>
      <c r="R8" s="58">
        <f>利润表!R6</f>
        <v>507051456.85000002</v>
      </c>
      <c r="S8" s="58">
        <f>利润表!S6</f>
        <v>315018885.75999999</v>
      </c>
      <c r="T8" s="58">
        <f>利润表!T6</f>
        <v>139161166.72</v>
      </c>
      <c r="U8" s="58">
        <f>利润表!U6</f>
        <v>670813034.48000002</v>
      </c>
      <c r="V8" s="58">
        <f>利润表!V6</f>
        <v>496650507.01999998</v>
      </c>
      <c r="W8" s="58">
        <f>利润表!W6</f>
        <v>341931917.73000002</v>
      </c>
      <c r="X8" s="58">
        <f>利润表!X6</f>
        <v>156289971.44999999</v>
      </c>
      <c r="Y8" s="58">
        <f>利润表!Y6</f>
        <v>521890826.97000003</v>
      </c>
      <c r="Z8" s="58">
        <f>利润表!Z6</f>
        <v>355153963.38</v>
      </c>
      <c r="AA8" s="58">
        <f>利润表!AA6</f>
        <v>254538342.21000001</v>
      </c>
      <c r="AB8" s="58">
        <f>利润表!AB6</f>
        <v>119441195.91</v>
      </c>
      <c r="AC8" s="58">
        <f>利润表!AC6</f>
        <v>531176597.10000002</v>
      </c>
      <c r="AD8" s="58">
        <f>利润表!AD6</f>
        <v>402979000.42000002</v>
      </c>
      <c r="AE8" s="58">
        <f>利润表!AE6</f>
        <v>294317658.50999999</v>
      </c>
      <c r="AF8" s="58">
        <f>利润表!AF6</f>
        <v>134954397.66</v>
      </c>
      <c r="AG8" s="58">
        <f>利润表!AG6</f>
        <v>498840802.37</v>
      </c>
      <c r="AH8" s="58">
        <f>利润表!AH6</f>
        <v>366482751.81999999</v>
      </c>
      <c r="AI8" s="58">
        <f>利润表!AI6</f>
        <v>249155678</v>
      </c>
      <c r="AJ8" s="58">
        <f>利润表!AJ6</f>
        <v>447889209.37</v>
      </c>
      <c r="AK8" s="58">
        <f>利润表!AK6</f>
        <v>0</v>
      </c>
      <c r="AL8" s="58">
        <f>利润表!AL6</f>
        <v>0</v>
      </c>
      <c r="AM8" s="58">
        <f>利润表!AM6</f>
        <v>0</v>
      </c>
      <c r="AN8" s="58">
        <f>利润表!AN6</f>
        <v>0</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491</v>
      </c>
      <c r="E9" s="58">
        <f>利润表!E7</f>
        <v>29290483.289999999</v>
      </c>
      <c r="F9" s="58">
        <f>利润表!F7</f>
        <v>20515098.809999999</v>
      </c>
      <c r="G9" s="58">
        <f>利润表!G7</f>
        <v>14190798.9</v>
      </c>
      <c r="H9" s="58">
        <f>利润表!H7</f>
        <v>7259068.7199999997</v>
      </c>
      <c r="I9" s="58">
        <f>利润表!I7</f>
        <v>19407331.18</v>
      </c>
      <c r="J9" s="58">
        <f>利润表!J7</f>
        <v>7888050.0099999998</v>
      </c>
      <c r="K9" s="58">
        <f>利润表!K7</f>
        <v>5589750.1100000003</v>
      </c>
      <c r="L9" s="58">
        <f>利润表!L7</f>
        <v>1931265.36</v>
      </c>
      <c r="M9" s="58">
        <f>利润表!M7</f>
        <v>13891686.960000001</v>
      </c>
      <c r="N9" s="58">
        <f>利润表!N7</f>
        <v>11091047.01</v>
      </c>
      <c r="O9" s="58">
        <f>利润表!O7</f>
        <v>7469738.3899999997</v>
      </c>
      <c r="P9" s="58">
        <f>利润表!P7</f>
        <v>3557840.46</v>
      </c>
      <c r="Q9" s="58">
        <f>利润表!Q7</f>
        <v>9556522.0099999998</v>
      </c>
      <c r="R9" s="58">
        <f>利润表!R7</f>
        <v>6871760.4199999999</v>
      </c>
      <c r="S9" s="58">
        <f>利润表!S7</f>
        <v>4342226.78</v>
      </c>
      <c r="T9" s="58">
        <f>利润表!T7</f>
        <v>2075024.7</v>
      </c>
      <c r="U9" s="58">
        <f>利润表!U7</f>
        <v>7449893.2199999997</v>
      </c>
      <c r="V9" s="58">
        <f>利润表!V7</f>
        <v>4833119.1500000004</v>
      </c>
      <c r="W9" s="58">
        <f>利润表!W7</f>
        <v>2868816.48</v>
      </c>
      <c r="X9" s="58">
        <f>利润表!X7</f>
        <v>591991.57999999996</v>
      </c>
      <c r="Y9" s="58">
        <f>利润表!Y7</f>
        <v>6498688.8600000003</v>
      </c>
      <c r="Z9" s="58">
        <f>利润表!Z7</f>
        <v>5460486.7300000004</v>
      </c>
      <c r="AA9" s="58">
        <f>利润表!AA7</f>
        <v>3884074.67</v>
      </c>
      <c r="AB9" s="58">
        <f>利润表!AB7</f>
        <v>1261607.6399999999</v>
      </c>
      <c r="AC9" s="58">
        <f>利润表!AC7</f>
        <v>7563965.7599999998</v>
      </c>
      <c r="AD9" s="58">
        <f>利润表!AD7</f>
        <v>6183916.9900000002</v>
      </c>
      <c r="AE9" s="58">
        <f>利润表!AE7</f>
        <v>3394963.58</v>
      </c>
      <c r="AF9" s="58">
        <f>利润表!AF7</f>
        <v>1168668.52</v>
      </c>
      <c r="AG9" s="58">
        <f>利润表!AG7</f>
        <v>5622497.25</v>
      </c>
      <c r="AH9" s="58">
        <f>利润表!AH7</f>
        <v>4295612.0999999996</v>
      </c>
      <c r="AI9" s="58">
        <f>利润表!AI7</f>
        <v>4126801.4</v>
      </c>
      <c r="AJ9" s="58">
        <f>利润表!AJ7</f>
        <v>4576691.03</v>
      </c>
      <c r="AK9" s="58">
        <f>利润表!AK7</f>
        <v>0</v>
      </c>
      <c r="AL9" s="58">
        <f>利润表!AL7</f>
        <v>0</v>
      </c>
      <c r="AM9" s="58">
        <f>利润表!AM7</f>
        <v>0</v>
      </c>
      <c r="AN9" s="58">
        <f>利润表!AN7</f>
        <v>0</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492</v>
      </c>
      <c r="E10" s="58">
        <f>利润表!E8</f>
        <v>161946615.94</v>
      </c>
      <c r="F10" s="58">
        <f>利润表!F8</f>
        <v>115835567.73999999</v>
      </c>
      <c r="G10" s="58">
        <f>利润表!G8</f>
        <v>79063494.579999998</v>
      </c>
      <c r="H10" s="58">
        <f>利润表!H8</f>
        <v>38085936.170000002</v>
      </c>
      <c r="I10" s="58">
        <f>利润表!I8</f>
        <v>127782137.45999999</v>
      </c>
      <c r="J10" s="58">
        <f>利润表!J8</f>
        <v>79823343.730000004</v>
      </c>
      <c r="K10" s="58">
        <f>利润表!K8</f>
        <v>44739353.159999996</v>
      </c>
      <c r="L10" s="58">
        <f>利润表!L8</f>
        <v>4311945.47</v>
      </c>
      <c r="M10" s="58">
        <f>利润表!M8</f>
        <v>38193258.799999997</v>
      </c>
      <c r="N10" s="58">
        <f>利润表!N8</f>
        <v>30523308.300000001</v>
      </c>
      <c r="O10" s="58">
        <f>利润表!O8</f>
        <v>16053033.359999999</v>
      </c>
      <c r="P10" s="58">
        <f>利润表!P8</f>
        <v>7590713.0899999999</v>
      </c>
      <c r="Q10" s="58">
        <f>利润表!Q8</f>
        <v>24163207.609999999</v>
      </c>
      <c r="R10" s="58">
        <f>利润表!R8</f>
        <v>15881130.720000001</v>
      </c>
      <c r="S10" s="58">
        <f>利润表!S8</f>
        <v>11730498.82</v>
      </c>
      <c r="T10" s="58">
        <f>利润表!T8</f>
        <v>5135968.8099999996</v>
      </c>
      <c r="U10" s="58">
        <f>利润表!U8</f>
        <v>16340221.83</v>
      </c>
      <c r="V10" s="58">
        <f>利润表!V8</f>
        <v>12802972.93</v>
      </c>
      <c r="W10" s="58">
        <f>利润表!W8</f>
        <v>7576609.4900000002</v>
      </c>
      <c r="X10" s="58">
        <f>利润表!X8</f>
        <v>2902536.7</v>
      </c>
      <c r="Y10" s="58">
        <f>利润表!Y8</f>
        <v>17382391.079999998</v>
      </c>
      <c r="Z10" s="58">
        <f>利润表!Z8</f>
        <v>10896233.470000001</v>
      </c>
      <c r="AA10" s="58">
        <f>利润表!AA8</f>
        <v>7025899.1500000004</v>
      </c>
      <c r="AB10" s="58">
        <f>利润表!AB8</f>
        <v>4075108.68</v>
      </c>
      <c r="AC10" s="58">
        <f>利润表!AC8</f>
        <v>18337717.219999999</v>
      </c>
      <c r="AD10" s="58">
        <f>利润表!AD8</f>
        <v>16095605.960000001</v>
      </c>
      <c r="AE10" s="58">
        <f>利润表!AE8</f>
        <v>11738887.710000001</v>
      </c>
      <c r="AF10" s="58">
        <f>利润表!AF8</f>
        <v>3767219.08</v>
      </c>
      <c r="AG10" s="58">
        <f>利润表!AG8</f>
        <v>10156455.640000001</v>
      </c>
      <c r="AH10" s="58">
        <f>利润表!AH8</f>
        <v>7771348.21</v>
      </c>
      <c r="AI10" s="58">
        <f>利润表!AI8</f>
        <v>6459453.6500000004</v>
      </c>
      <c r="AJ10" s="58">
        <f>利润表!AJ8</f>
        <v>6710158.71</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493</v>
      </c>
      <c r="E11" s="58">
        <f>利润表!E9</f>
        <v>322376512.32999998</v>
      </c>
      <c r="F11" s="58">
        <f>利润表!F9</f>
        <v>227571290.36000001</v>
      </c>
      <c r="G11" s="58">
        <f>利润表!G9</f>
        <v>149051947.09</v>
      </c>
      <c r="H11" s="58">
        <f>利润表!H9</f>
        <v>70210928.969999999</v>
      </c>
      <c r="I11" s="58">
        <f>利润表!I9</f>
        <v>248517248.97</v>
      </c>
      <c r="J11" s="58">
        <f>利润表!J9</f>
        <v>179481284.69999999</v>
      </c>
      <c r="K11" s="58">
        <f>利润表!K9</f>
        <v>114411910.42</v>
      </c>
      <c r="L11" s="58">
        <f>利润表!L9</f>
        <v>50658210.920000002</v>
      </c>
      <c r="M11" s="58">
        <f>利润表!M9</f>
        <v>251304890.34999999</v>
      </c>
      <c r="N11" s="58">
        <f>利润表!N9</f>
        <v>172162246.28</v>
      </c>
      <c r="O11" s="58">
        <f>利润表!O9</f>
        <v>121462995.86</v>
      </c>
      <c r="P11" s="58">
        <f>利润表!P9</f>
        <v>51106501.609999999</v>
      </c>
      <c r="Q11" s="58">
        <f>利润表!Q9</f>
        <v>159983783.44</v>
      </c>
      <c r="R11" s="58">
        <f>利润表!R9</f>
        <v>111377146.03</v>
      </c>
      <c r="S11" s="58">
        <f>利润表!S9</f>
        <v>65725165.530000001</v>
      </c>
      <c r="T11" s="58">
        <f>利润表!T9</f>
        <v>31816342.18</v>
      </c>
      <c r="U11" s="58">
        <f>利润表!U9</f>
        <v>122575848.34999999</v>
      </c>
      <c r="V11" s="58">
        <f>利润表!V9</f>
        <v>86828470.189999998</v>
      </c>
      <c r="W11" s="58">
        <f>利润表!W9</f>
        <v>53964969.229999997</v>
      </c>
      <c r="X11" s="58">
        <f>利润表!X9</f>
        <v>25488351.719999999</v>
      </c>
      <c r="Y11" s="58">
        <f>利润表!Y9</f>
        <v>116980991.06999999</v>
      </c>
      <c r="Z11" s="58">
        <f>利润表!Z9</f>
        <v>78100978.640000001</v>
      </c>
      <c r="AA11" s="58">
        <f>利润表!AA9</f>
        <v>49409278.43</v>
      </c>
      <c r="AB11" s="58">
        <f>利润表!AB9</f>
        <v>23011740.16</v>
      </c>
      <c r="AC11" s="58">
        <f>利润表!AC9</f>
        <v>102116537.31</v>
      </c>
      <c r="AD11" s="58">
        <f>利润表!AD9</f>
        <v>82818317.629999995</v>
      </c>
      <c r="AE11" s="58">
        <f>利润表!AE9</f>
        <v>57192219.799999997</v>
      </c>
      <c r="AF11" s="58">
        <f>利润表!AF9</f>
        <v>26394348.949999999</v>
      </c>
      <c r="AG11" s="58">
        <f>利润表!AG9</f>
        <v>80905786.969999999</v>
      </c>
      <c r="AH11" s="58">
        <f>利润表!AH9</f>
        <v>58116124.539999999</v>
      </c>
      <c r="AI11" s="58">
        <f>利润表!AI9</f>
        <v>49034496.270000003</v>
      </c>
      <c r="AJ11" s="58">
        <f>利润表!AJ9</f>
        <v>47734088.259999998</v>
      </c>
      <c r="AK11" s="58">
        <f>利润表!AK9</f>
        <v>0</v>
      </c>
      <c r="AL11" s="58">
        <f>利润表!AL9</f>
        <v>0</v>
      </c>
      <c r="AM11" s="58">
        <f>利润表!AM9</f>
        <v>0</v>
      </c>
      <c r="AN11" s="58">
        <f>利润表!AN9</f>
        <v>0</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494</v>
      </c>
      <c r="E12" s="58">
        <f>SUM(E8:E11)</f>
        <v>1996831244.22</v>
      </c>
      <c r="F12" s="58">
        <f t="shared" ref="F12:BQ12" si="4">SUM(F8:F11)</f>
        <v>1440249630.1700001</v>
      </c>
      <c r="G12" s="58">
        <f t="shared" si="4"/>
        <v>1005515659.83</v>
      </c>
      <c r="H12" s="58">
        <f t="shared" si="4"/>
        <v>494622558.04000008</v>
      </c>
      <c r="I12" s="58">
        <f t="shared" si="4"/>
        <v>1488899058.3600001</v>
      </c>
      <c r="J12" s="58">
        <f t="shared" si="4"/>
        <v>1042009114.1300001</v>
      </c>
      <c r="K12" s="58">
        <f t="shared" si="4"/>
        <v>687810817.23000002</v>
      </c>
      <c r="L12" s="58">
        <f t="shared" si="4"/>
        <v>318248728.78000003</v>
      </c>
      <c r="M12" s="58">
        <f t="shared" si="4"/>
        <v>1375466608.2299998</v>
      </c>
      <c r="N12" s="58">
        <f t="shared" si="4"/>
        <v>879909348.65999997</v>
      </c>
      <c r="O12" s="58">
        <f t="shared" si="4"/>
        <v>553187666.88</v>
      </c>
      <c r="P12" s="58">
        <f t="shared" si="4"/>
        <v>240116681.21000004</v>
      </c>
      <c r="Q12" s="58">
        <f t="shared" si="4"/>
        <v>961742237.08999991</v>
      </c>
      <c r="R12" s="58">
        <f t="shared" si="4"/>
        <v>641181494.0200001</v>
      </c>
      <c r="S12" s="58">
        <f t="shared" si="4"/>
        <v>396816776.88999999</v>
      </c>
      <c r="T12" s="58">
        <f t="shared" si="4"/>
        <v>178188502.41</v>
      </c>
      <c r="U12" s="58">
        <f t="shared" si="4"/>
        <v>817178997.88000011</v>
      </c>
      <c r="V12" s="58">
        <f t="shared" si="4"/>
        <v>601115069.28999996</v>
      </c>
      <c r="W12" s="58">
        <f t="shared" si="4"/>
        <v>406342312.93000007</v>
      </c>
      <c r="X12" s="58">
        <f t="shared" si="4"/>
        <v>185272851.44999999</v>
      </c>
      <c r="Y12" s="58">
        <f t="shared" si="4"/>
        <v>662752897.98000002</v>
      </c>
      <c r="Z12" s="58">
        <f t="shared" si="4"/>
        <v>449611662.22000003</v>
      </c>
      <c r="AA12" s="58">
        <f t="shared" si="4"/>
        <v>314857594.45999998</v>
      </c>
      <c r="AB12" s="58">
        <f t="shared" si="4"/>
        <v>147789652.39000002</v>
      </c>
      <c r="AC12" s="58">
        <f t="shared" si="4"/>
        <v>659194817.3900001</v>
      </c>
      <c r="AD12" s="58">
        <f t="shared" si="4"/>
        <v>508076841</v>
      </c>
      <c r="AE12" s="58">
        <f t="shared" si="4"/>
        <v>366643729.59999996</v>
      </c>
      <c r="AF12" s="58">
        <f t="shared" si="4"/>
        <v>166284634.21000001</v>
      </c>
      <c r="AG12" s="58">
        <f t="shared" si="4"/>
        <v>595525542.23000002</v>
      </c>
      <c r="AH12" s="58">
        <f t="shared" si="4"/>
        <v>436665836.67000002</v>
      </c>
      <c r="AI12" s="58">
        <f t="shared" si="4"/>
        <v>308776429.31999999</v>
      </c>
      <c r="AJ12" s="58">
        <f t="shared" si="4"/>
        <v>506910147.36999995</v>
      </c>
      <c r="AK12" s="58">
        <f t="shared" si="4"/>
        <v>0</v>
      </c>
      <c r="AL12" s="58">
        <f t="shared" si="4"/>
        <v>0</v>
      </c>
      <c r="AM12" s="58">
        <f t="shared" si="4"/>
        <v>0</v>
      </c>
      <c r="AN12" s="58">
        <f t="shared" si="4"/>
        <v>0</v>
      </c>
      <c r="AO12" s="58">
        <f t="shared" si="4"/>
        <v>0</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0.7408081509541633</v>
      </c>
      <c r="F13" s="28">
        <f t="shared" ref="F13:BQ13" si="6">(F6/(1+F4)+F7)/F12</f>
        <v>0.70143219109050736</v>
      </c>
      <c r="G13" s="28">
        <f t="shared" si="6"/>
        <v>0.65328672845107694</v>
      </c>
      <c r="H13" s="28">
        <f t="shared" si="6"/>
        <v>0.62684432963377101</v>
      </c>
      <c r="I13" s="28">
        <f t="shared" si="6"/>
        <v>0.92807540420198975</v>
      </c>
      <c r="J13" s="28">
        <f t="shared" si="6"/>
        <v>0.94416128372110131</v>
      </c>
      <c r="K13" s="28">
        <f t="shared" si="6"/>
        <v>0.94662239704649198</v>
      </c>
      <c r="L13" s="28">
        <f t="shared" si="6"/>
        <v>0.92032782453855</v>
      </c>
      <c r="M13" s="28">
        <f t="shared" si="6"/>
        <v>0.7598980696624581</v>
      </c>
      <c r="N13" s="28">
        <f t="shared" si="6"/>
        <v>0.79181358665667545</v>
      </c>
      <c r="O13" s="28">
        <f t="shared" si="6"/>
        <v>0.7986525901960202</v>
      </c>
      <c r="P13" s="28">
        <f t="shared" si="6"/>
        <v>0.89367150601275991</v>
      </c>
      <c r="Q13" s="28">
        <f t="shared" si="6"/>
        <v>0.76573968058140263</v>
      </c>
      <c r="R13" s="28">
        <f t="shared" si="6"/>
        <v>0.73934501932906871</v>
      </c>
      <c r="S13" s="28">
        <f t="shared" si="6"/>
        <v>0.76818336572094481</v>
      </c>
      <c r="T13" s="28">
        <f t="shared" si="6"/>
        <v>0.87302159235837096</v>
      </c>
      <c r="U13" s="28">
        <f t="shared" si="6"/>
        <v>0.81358753820313701</v>
      </c>
      <c r="V13" s="28">
        <f t="shared" si="6"/>
        <v>0.83873517352706828</v>
      </c>
      <c r="W13" s="28">
        <f t="shared" si="6"/>
        <v>0.88561375789573704</v>
      </c>
      <c r="X13" s="28">
        <f t="shared" si="6"/>
        <v>0.98469089268510523</v>
      </c>
      <c r="Y13" s="28">
        <f t="shared" si="6"/>
        <v>0.87302295741998071</v>
      </c>
      <c r="Z13" s="28">
        <f t="shared" si="6"/>
        <v>0.81639435046478048</v>
      </c>
      <c r="AA13" s="28">
        <f t="shared" si="6"/>
        <v>0.79599749334274161</v>
      </c>
      <c r="AB13" s="28">
        <f t="shared" si="6"/>
        <v>0.7894364023022139</v>
      </c>
      <c r="AC13" s="28">
        <f t="shared" si="6"/>
        <v>0.79308418416177551</v>
      </c>
      <c r="AD13" s="28">
        <f t="shared" si="6"/>
        <v>0.70033438114696045</v>
      </c>
      <c r="AE13" s="28">
        <f t="shared" si="6"/>
        <v>0.65542050684152997</v>
      </c>
      <c r="AF13" s="28">
        <f t="shared" si="6"/>
        <v>0.71679078853824474</v>
      </c>
      <c r="AG13" s="28">
        <f t="shared" si="6"/>
        <v>0.76518807065793737</v>
      </c>
      <c r="AH13" s="28">
        <f t="shared" si="6"/>
        <v>0.76587138138033184</v>
      </c>
      <c r="AI13" s="28">
        <f t="shared" si="6"/>
        <v>0.73128591152092604</v>
      </c>
      <c r="AJ13" s="28">
        <f t="shared" si="6"/>
        <v>0.70208187555016521</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8" customFormat="1" x14ac:dyDescent="0.25">
      <c r="A14" s="270" t="s">
        <v>496</v>
      </c>
      <c r="E14" s="28">
        <f>现金流量表!E13</f>
        <v>612280415.13</v>
      </c>
      <c r="F14" s="28">
        <f>现金流量表!F13</f>
        <v>524013685.56</v>
      </c>
      <c r="G14" s="28">
        <f>现金流量表!G13</f>
        <v>388747462.31999999</v>
      </c>
      <c r="H14" s="28">
        <f>现金流量表!H13</f>
        <v>257293820.97999999</v>
      </c>
      <c r="I14" s="28">
        <f>现金流量表!I13</f>
        <v>152654463.16999999</v>
      </c>
      <c r="J14" s="28">
        <f>现金流量表!J13</f>
        <v>145353901.49000001</v>
      </c>
      <c r="K14" s="28">
        <f>现金流量表!K13</f>
        <v>86112662.510000005</v>
      </c>
      <c r="L14" s="28">
        <f>现金流量表!L13</f>
        <v>102339094.16</v>
      </c>
      <c r="M14" s="28">
        <f>现金流量表!M13</f>
        <v>366599551.26999998</v>
      </c>
      <c r="N14" s="28">
        <f>现金流量表!N13</f>
        <v>301398516.12</v>
      </c>
      <c r="O14" s="28">
        <f>现金流量表!O13</f>
        <v>176387130.99000001</v>
      </c>
      <c r="P14" s="28">
        <f>现金流量表!P13</f>
        <v>133686240.64</v>
      </c>
      <c r="Q14" s="28">
        <f>现金流量表!Q13</f>
        <v>143375664.33000001</v>
      </c>
      <c r="R14" s="28">
        <f>现金流量表!R13</f>
        <v>129319731.53</v>
      </c>
      <c r="S14" s="28">
        <f>现金流量表!S13</f>
        <v>56104951.130000003</v>
      </c>
      <c r="T14" s="28">
        <f>现金流量表!T13</f>
        <v>25001014.359999999</v>
      </c>
      <c r="U14" s="28">
        <f>现金流量表!U13</f>
        <v>198143305.22999999</v>
      </c>
      <c r="V14" s="28">
        <f>现金流量表!V13</f>
        <v>128871538</v>
      </c>
      <c r="W14" s="28">
        <f>现金流量表!W13</f>
        <v>65391736.07</v>
      </c>
      <c r="X14" s="28">
        <f>现金流量表!X13</f>
        <v>28403041.719999999</v>
      </c>
      <c r="Y14" s="28">
        <f>现金流量表!Y13</f>
        <v>66414783.799999997</v>
      </c>
      <c r="Z14" s="28">
        <f>现金流量表!Z13</f>
        <v>63801535.789999999</v>
      </c>
      <c r="AA14" s="28">
        <f>现金流量表!AA13</f>
        <v>31337114.91</v>
      </c>
      <c r="AB14" s="28">
        <f>现金流量表!AB13</f>
        <v>59383.69</v>
      </c>
      <c r="AC14" s="28">
        <f>现金流量表!AC13</f>
        <v>189079188.53</v>
      </c>
      <c r="AD14" s="28">
        <f>现金流量表!AD13</f>
        <v>216560178.52000001</v>
      </c>
      <c r="AE14" s="28">
        <f>现金流量表!AE13</f>
        <v>144211016.88</v>
      </c>
      <c r="AF14" s="28">
        <f>现金流量表!AF13</f>
        <v>52098792.939999998</v>
      </c>
      <c r="AG14" s="28">
        <f>现金流量表!AG13</f>
        <v>156068852.72</v>
      </c>
      <c r="AH14" s="28">
        <f>现金流量表!AH13</f>
        <v>117420567.38</v>
      </c>
      <c r="AI14" s="28">
        <f>现金流量表!AI13</f>
        <v>94704915.730000004</v>
      </c>
      <c r="AJ14" s="28">
        <f>现金流量表!AJ13</f>
        <v>64957959.640000001</v>
      </c>
      <c r="AK14" s="28">
        <f>现金流量表!AK13</f>
        <v>0</v>
      </c>
      <c r="AL14" s="28">
        <f>现金流量表!AL13</f>
        <v>0</v>
      </c>
      <c r="AM14" s="28">
        <f>现金流量表!AM13</f>
        <v>0</v>
      </c>
      <c r="AN14" s="28">
        <f>现金流量表!AN13</f>
        <v>0</v>
      </c>
      <c r="AO14" s="28">
        <f>现金流量表!AO13</f>
        <v>0</v>
      </c>
      <c r="AP14" s="28">
        <f>现金流量表!AP13</f>
        <v>0</v>
      </c>
      <c r="AQ14" s="28">
        <f>现金流量表!AQ13</f>
        <v>0</v>
      </c>
      <c r="AR14" s="28">
        <f>现金流量表!AR13</f>
        <v>0</v>
      </c>
      <c r="AS14" s="28">
        <f>现金流量表!AS13</f>
        <v>0</v>
      </c>
      <c r="AT14" s="28">
        <f>现金流量表!AT13</f>
        <v>0</v>
      </c>
      <c r="AU14" s="28">
        <f>现金流量表!AU13</f>
        <v>0</v>
      </c>
      <c r="AV14" s="28">
        <f>现金流量表!AV13</f>
        <v>0</v>
      </c>
      <c r="AW14" s="28">
        <f>现金流量表!AW13</f>
        <v>0</v>
      </c>
      <c r="AX14" s="28">
        <f>现金流量表!AX13</f>
        <v>0</v>
      </c>
      <c r="AY14" s="28">
        <f>现金流量表!AY13</f>
        <v>0</v>
      </c>
      <c r="AZ14" s="28">
        <f>现金流量表!AZ13</f>
        <v>0</v>
      </c>
      <c r="BA14" s="28">
        <f>现金流量表!BA13</f>
        <v>0</v>
      </c>
      <c r="BB14" s="28">
        <f>现金流量表!BB13</f>
        <v>0</v>
      </c>
      <c r="BC14" s="28">
        <f>现金流量表!BC13</f>
        <v>0</v>
      </c>
      <c r="BD14" s="28">
        <f>现金流量表!BD13</f>
        <v>0</v>
      </c>
      <c r="BE14" s="28">
        <f>现金流量表!BE13</f>
        <v>0</v>
      </c>
      <c r="BF14" s="28">
        <f>现金流量表!BF13</f>
        <v>0</v>
      </c>
      <c r="BG14" s="28">
        <f>现金流量表!BG13</f>
        <v>0</v>
      </c>
      <c r="BH14" s="28">
        <f>现金流量表!BH13</f>
        <v>0</v>
      </c>
      <c r="BI14" s="28">
        <f>现金流量表!BI13</f>
        <v>0</v>
      </c>
      <c r="BJ14" s="28">
        <f>现金流量表!BJ13</f>
        <v>0</v>
      </c>
      <c r="BK14" s="28">
        <f>现金流量表!BK13</f>
        <v>0</v>
      </c>
      <c r="BL14" s="28">
        <f>现金流量表!BL13</f>
        <v>0</v>
      </c>
      <c r="BM14" s="28">
        <f>现金流量表!BM13</f>
        <v>0</v>
      </c>
      <c r="BN14" s="28">
        <f>现金流量表!BN13</f>
        <v>0</v>
      </c>
      <c r="BO14" s="28">
        <f>现金流量表!BO13</f>
        <v>0</v>
      </c>
      <c r="BP14" s="28">
        <f>现金流量表!BP13</f>
        <v>0</v>
      </c>
      <c r="BQ14" s="28">
        <f>现金流量表!BQ13</f>
        <v>0</v>
      </c>
      <c r="BR14" s="28">
        <f>现金流量表!BR13</f>
        <v>0</v>
      </c>
      <c r="BS14" s="28">
        <f>现金流量表!BS13</f>
        <v>0</v>
      </c>
      <c r="BT14" s="28">
        <f>现金流量表!BT13</f>
        <v>0</v>
      </c>
      <c r="BU14" s="28">
        <f>现金流量表!BU13</f>
        <v>0</v>
      </c>
      <c r="BV14" s="28">
        <f>现金流量表!BV13</f>
        <v>0</v>
      </c>
      <c r="BW14" s="28">
        <f>现金流量表!BW13</f>
        <v>0</v>
      </c>
      <c r="BX14" s="28">
        <f>现金流量表!BX13</f>
        <v>0</v>
      </c>
      <c r="BY14" s="28">
        <f>现金流量表!BY13</f>
        <v>0</v>
      </c>
      <c r="BZ14" s="28">
        <f>现金流量表!BZ13</f>
        <v>0</v>
      </c>
      <c r="CA14" s="28">
        <f>现金流量表!CA13</f>
        <v>0</v>
      </c>
      <c r="CB14" s="28">
        <f>现金流量表!CB13</f>
        <v>0</v>
      </c>
      <c r="CC14" s="28">
        <f>现金流量表!CC13</f>
        <v>0</v>
      </c>
      <c r="CD14" s="28">
        <f>现金流量表!CD13</f>
        <v>0</v>
      </c>
      <c r="CE14" s="28">
        <f>现金流量表!CE13</f>
        <v>0</v>
      </c>
      <c r="CF14" s="28">
        <f>现金流量表!CF13</f>
        <v>0</v>
      </c>
      <c r="CG14" s="28">
        <f>现金流量表!CG13</f>
        <v>0</v>
      </c>
      <c r="CH14" s="28">
        <f>现金流量表!CH13</f>
        <v>0</v>
      </c>
      <c r="CI14" s="28">
        <f>现金流量表!CI13</f>
        <v>0</v>
      </c>
      <c r="CJ14" s="28">
        <f>现金流量表!CJ13</f>
        <v>0</v>
      </c>
      <c r="CK14" s="28">
        <f>现金流量表!CK13</f>
        <v>0</v>
      </c>
    </row>
    <row r="15" spans="1:90" s="26" customFormat="1" x14ac:dyDescent="0.25">
      <c r="A15" s="17" t="s">
        <v>497</v>
      </c>
      <c r="E15" s="26">
        <f>股权价值增加表!E17</f>
        <v>369512838.48811829</v>
      </c>
      <c r="F15" s="26">
        <f>股权价值增加表!F17</f>
        <v>301605687.83066344</v>
      </c>
      <c r="G15" s="26">
        <f>股权价值增加表!G17</f>
        <v>213348060.3247003</v>
      </c>
      <c r="H15" s="26">
        <f>股权价值增加表!H17</f>
        <v>97894486.358373895</v>
      </c>
      <c r="I15" s="26">
        <f>股权价值增加表!I17</f>
        <v>306424247.89429224</v>
      </c>
      <c r="J15" s="26">
        <f>股权价值增加表!J17</f>
        <v>244984620.96616301</v>
      </c>
      <c r="K15" s="26">
        <f>股权价值增加表!K17</f>
        <v>175694396.55346081</v>
      </c>
      <c r="L15" s="26">
        <f>股权价值增加表!L17</f>
        <v>88856708.058099955</v>
      </c>
      <c r="M15" s="26">
        <f>股权价值增加表!M17</f>
        <v>202939315.85748756</v>
      </c>
      <c r="N15" s="26">
        <f>股权价值增加表!N17</f>
        <v>127224501.45147024</v>
      </c>
      <c r="O15" s="26">
        <f>股权价值增加表!O17</f>
        <v>58468792.094376966</v>
      </c>
      <c r="P15" s="26">
        <f>股权价值增加表!P17</f>
        <v>22110009.365698878</v>
      </c>
      <c r="Q15" s="26">
        <f>股权价值增加表!Q17</f>
        <v>90040244.176868096</v>
      </c>
      <c r="R15" s="26">
        <f>股权价值增加表!R17</f>
        <v>58250074.893841423</v>
      </c>
      <c r="S15" s="26">
        <f>股权价值增加表!S17</f>
        <v>32054530.079764392</v>
      </c>
      <c r="T15" s="26">
        <f>股权价值增加表!T17</f>
        <v>16102753.595755408</v>
      </c>
      <c r="U15" s="26">
        <f>股权价值增加表!U17</f>
        <v>126623705.90028095</v>
      </c>
      <c r="V15" s="26">
        <f>股权价值增加表!V17</f>
        <v>94675547.378366321</v>
      </c>
      <c r="W15" s="26">
        <f>股权价值增加表!W17</f>
        <v>66621231.227499977</v>
      </c>
      <c r="X15" s="26">
        <f>股权价值增加表!X17</f>
        <v>31021376.888695545</v>
      </c>
      <c r="Y15" s="26">
        <f>股权价值增加表!Y17</f>
        <v>104209093.17925918</v>
      </c>
      <c r="Z15" s="26">
        <f>股权价值增加表!Z17</f>
        <v>79568167.499602944</v>
      </c>
      <c r="AA15" s="26">
        <f>股权价值增加表!AA17</f>
        <v>68647309.097294345</v>
      </c>
      <c r="AB15" s="26">
        <f>股权价值增加表!AB17</f>
        <v>28876648.166888524</v>
      </c>
      <c r="AC15" s="26">
        <f>股权价值增加表!AC17</f>
        <v>130703810.0764778</v>
      </c>
      <c r="AD15" s="26">
        <f>股权价值增加表!AD17</f>
        <v>112314236.66316335</v>
      </c>
      <c r="AE15" s="26">
        <f>股权价值增加表!AE17</f>
        <v>84388671.342867658</v>
      </c>
      <c r="AF15" s="26">
        <f>股权价值增加表!AF17</f>
        <v>32897415.338277187</v>
      </c>
      <c r="AG15" s="26">
        <f>股权价值增加表!AG17</f>
        <v>106791879.66811542</v>
      </c>
      <c r="AH15" s="26">
        <f>股权价值增加表!AH17</f>
        <v>80475278.938874602</v>
      </c>
      <c r="AI15" s="26">
        <f>股权价值增加表!AI17</f>
        <v>75527450.30625847</v>
      </c>
      <c r="AJ15" s="26">
        <f>股权价值增加表!AJ17</f>
        <v>114786372.04076934</v>
      </c>
      <c r="AK15" s="26">
        <f>股权价值增加表!AK17</f>
        <v>-10870060.949999999</v>
      </c>
      <c r="AL15" s="26">
        <f>股权价值增加表!AL17</f>
        <v>0</v>
      </c>
      <c r="AM15" s="26">
        <f>股权价值增加表!AM17</f>
        <v>0</v>
      </c>
      <c r="AN15" s="26">
        <f>股权价值增加表!AN17</f>
        <v>0</v>
      </c>
      <c r="AO15" s="26">
        <f>股权价值增加表!AO17</f>
        <v>147948323213.46033</v>
      </c>
      <c r="AP15" s="26">
        <f>股权价值增加表!AP17</f>
        <v>0</v>
      </c>
      <c r="AQ15" s="26">
        <f>股权价值增加表!AQ17</f>
        <v>0</v>
      </c>
      <c r="AR15" s="26">
        <f>股权价值增加表!AR17</f>
        <v>0</v>
      </c>
      <c r="AS15" s="26">
        <f>股权价值增加表!AS17</f>
        <v>-1762760.594570708</v>
      </c>
      <c r="AT15" s="26">
        <f>股权价值增加表!AT17</f>
        <v>0</v>
      </c>
      <c r="AU15" s="26">
        <f>股权价值增加表!AU17</f>
        <v>0</v>
      </c>
      <c r="AV15" s="26">
        <f>股权价值增加表!AV17</f>
        <v>0</v>
      </c>
      <c r="AW15" s="26">
        <f>股权价值增加表!AW17</f>
        <v>35124209.753730051</v>
      </c>
      <c r="AX15" s="26">
        <f>股权价值增加表!AX17</f>
        <v>0</v>
      </c>
      <c r="AY15" s="26">
        <f>股权价值增加表!AY17</f>
        <v>0</v>
      </c>
      <c r="AZ15" s="26">
        <f>股权价值增加表!AZ17</f>
        <v>0</v>
      </c>
      <c r="BA15" s="26">
        <f>股权价值增加表!BA17</f>
        <v>-101391235.69955802</v>
      </c>
      <c r="BB15" s="26">
        <f>股权价值增加表!BB17</f>
        <v>0</v>
      </c>
      <c r="BC15" s="26">
        <f>股权价值增加表!BC17</f>
        <v>0</v>
      </c>
      <c r="BD15" s="26">
        <f>股权价值增加表!BD17</f>
        <v>0</v>
      </c>
      <c r="BE15" s="26">
        <f>股权价值增加表!BE17</f>
        <v>-22140752.353821948</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t="e">
        <f>股权价值增加表!BY17</f>
        <v>#DIV/0!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1.6569936179624458</v>
      </c>
      <c r="F16" s="28">
        <f t="shared" ref="F16:BQ16" si="8">F14/F15</f>
        <v>1.7374131414066951</v>
      </c>
      <c r="G16" s="28">
        <f t="shared" si="8"/>
        <v>1.8221279430820909</v>
      </c>
      <c r="H16" s="28">
        <f t="shared" si="8"/>
        <v>2.6282769392966028</v>
      </c>
      <c r="I16" s="28">
        <f t="shared" si="8"/>
        <v>0.49818010232225973</v>
      </c>
      <c r="J16" s="28">
        <f t="shared" si="8"/>
        <v>0.59331847410158911</v>
      </c>
      <c r="K16" s="28">
        <f t="shared" si="8"/>
        <v>0.49012754077104215</v>
      </c>
      <c r="L16" s="28">
        <f t="shared" si="8"/>
        <v>1.1517317757606373</v>
      </c>
      <c r="M16" s="28">
        <f t="shared" si="8"/>
        <v>1.8064491334317963</v>
      </c>
      <c r="N16" s="28">
        <f t="shared" si="8"/>
        <v>2.3690288637913697</v>
      </c>
      <c r="O16" s="28">
        <f t="shared" si="8"/>
        <v>3.0167739861170046</v>
      </c>
      <c r="P16" s="28">
        <f t="shared" si="8"/>
        <v>6.0464126644558887</v>
      </c>
      <c r="Q16" s="28">
        <f t="shared" si="8"/>
        <v>1.592350905317004</v>
      </c>
      <c r="R16" s="28">
        <f t="shared" si="8"/>
        <v>2.2200783735588385</v>
      </c>
      <c r="S16" s="28">
        <f t="shared" si="8"/>
        <v>1.7502971027929162</v>
      </c>
      <c r="T16" s="28">
        <f t="shared" si="8"/>
        <v>1.5525924936583593</v>
      </c>
      <c r="U16" s="28">
        <f t="shared" si="8"/>
        <v>1.5648199823344482</v>
      </c>
      <c r="V16" s="28">
        <f t="shared" si="8"/>
        <v>1.3611913695621007</v>
      </c>
      <c r="W16" s="28">
        <f t="shared" si="8"/>
        <v>0.98154499496862402</v>
      </c>
      <c r="X16" s="28">
        <f t="shared" si="8"/>
        <v>0.91559577841789186</v>
      </c>
      <c r="Y16" s="28">
        <f t="shared" si="8"/>
        <v>0.63732234658019826</v>
      </c>
      <c r="Z16" s="28">
        <f t="shared" si="8"/>
        <v>0.80184749498369912</v>
      </c>
      <c r="AA16" s="28">
        <f t="shared" si="8"/>
        <v>0.45649443979786114</v>
      </c>
      <c r="AB16" s="28">
        <f t="shared" si="8"/>
        <v>2.0564606271752982E-3</v>
      </c>
      <c r="AC16" s="28">
        <f t="shared" si="8"/>
        <v>1.446623387790803</v>
      </c>
      <c r="AD16" s="28">
        <f t="shared" si="8"/>
        <v>1.9281632048969539</v>
      </c>
      <c r="AE16" s="28">
        <f t="shared" si="8"/>
        <v>1.7088907146561965</v>
      </c>
      <c r="AF16" s="28">
        <f t="shared" si="8"/>
        <v>1.5836743526589883</v>
      </c>
      <c r="AG16" s="28">
        <f t="shared" si="8"/>
        <v>1.4614299626996552</v>
      </c>
      <c r="AH16" s="28">
        <f t="shared" si="8"/>
        <v>1.4590886658396969</v>
      </c>
      <c r="AI16" s="28">
        <f t="shared" si="8"/>
        <v>1.253913846501878</v>
      </c>
      <c r="AJ16" s="28">
        <f t="shared" si="8"/>
        <v>0.56590306397111767</v>
      </c>
      <c r="AK16" s="28">
        <f t="shared" si="8"/>
        <v>0</v>
      </c>
      <c r="AL16" s="28" t="e">
        <f t="shared" si="8"/>
        <v>#DIV/0!</v>
      </c>
      <c r="AM16" s="28" t="e">
        <f t="shared" si="8"/>
        <v>#DIV/0!</v>
      </c>
      <c r="AN16" s="28" t="e">
        <f t="shared" si="8"/>
        <v>#DIV/0!</v>
      </c>
      <c r="AO16" s="28">
        <f t="shared" si="8"/>
        <v>0</v>
      </c>
      <c r="AP16" s="28" t="e">
        <f t="shared" si="8"/>
        <v>#DIV/0!</v>
      </c>
      <c r="AQ16" s="28" t="e">
        <f t="shared" si="8"/>
        <v>#DIV/0!</v>
      </c>
      <c r="AR16" s="28" t="e">
        <f t="shared" si="8"/>
        <v>#DIV/0!</v>
      </c>
      <c r="AS16" s="28">
        <f t="shared" si="8"/>
        <v>0</v>
      </c>
      <c r="AT16" s="28" t="e">
        <f t="shared" si="8"/>
        <v>#DIV/0!</v>
      </c>
      <c r="AU16" s="28" t="e">
        <f t="shared" si="8"/>
        <v>#DIV/0!</v>
      </c>
      <c r="AV16" s="28" t="e">
        <f t="shared" si="8"/>
        <v>#DIV/0!</v>
      </c>
      <c r="AW16" s="28">
        <f t="shared" si="8"/>
        <v>0</v>
      </c>
      <c r="AX16" s="28" t="e">
        <f t="shared" si="8"/>
        <v>#DIV/0!</v>
      </c>
      <c r="AY16" s="28" t="e">
        <f t="shared" si="8"/>
        <v>#DIV/0!</v>
      </c>
      <c r="AZ16" s="28" t="e">
        <f t="shared" si="8"/>
        <v>#DIV/0!</v>
      </c>
      <c r="BA16" s="28">
        <f t="shared" si="8"/>
        <v>0</v>
      </c>
      <c r="BB16" s="28" t="e">
        <f t="shared" si="8"/>
        <v>#DIV/0!</v>
      </c>
      <c r="BC16" s="28" t="e">
        <f t="shared" si="8"/>
        <v>#DIV/0!</v>
      </c>
      <c r="BD16" s="28" t="e">
        <f t="shared" si="8"/>
        <v>#DIV/0!</v>
      </c>
      <c r="BE16" s="28">
        <f t="shared" si="8"/>
        <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8" customFormat="1" x14ac:dyDescent="0.25">
      <c r="A17" s="270" t="s">
        <v>499</v>
      </c>
      <c r="E17" s="28">
        <f>股权价值增加表!E42</f>
        <v>304306233.41999978</v>
      </c>
      <c r="F17" s="28">
        <f>股权价值增加表!F42</f>
        <v>262599285.01000014</v>
      </c>
      <c r="G17" s="28">
        <f>股权价值增加表!G42</f>
        <v>194563579.06</v>
      </c>
      <c r="H17" s="28">
        <f>股权价值增加表!H42</f>
        <v>92510941.320000023</v>
      </c>
      <c r="I17" s="28">
        <f>股权价值增加表!I42</f>
        <v>370011591.78999984</v>
      </c>
      <c r="J17" s="28">
        <f>股权价值增加表!J42</f>
        <v>264716610.8499999</v>
      </c>
      <c r="K17" s="28">
        <f>股权价值增加表!K42</f>
        <v>199116643.63999999</v>
      </c>
      <c r="L17" s="28">
        <f>股权价值增加表!L42</f>
        <v>86694933.889999986</v>
      </c>
      <c r="M17" s="28">
        <f>股权价值增加表!M42</f>
        <v>298144112.63</v>
      </c>
      <c r="N17" s="28">
        <f>股权价值增加表!N42</f>
        <v>145948182.48999989</v>
      </c>
      <c r="O17" s="28">
        <f>股权价值增加表!O42</f>
        <v>70088189.920000046</v>
      </c>
      <c r="P17" s="28">
        <f>股权价值增加表!P42</f>
        <v>23681393.739999991</v>
      </c>
      <c r="Q17" s="28">
        <f>股权价值增加表!Q42</f>
        <v>99276084.000000089</v>
      </c>
      <c r="R17" s="28">
        <f>股权价值增加表!R42</f>
        <v>63144760.389999971</v>
      </c>
      <c r="S17" s="28">
        <f>股权价值增加表!S42</f>
        <v>36513669.350000024</v>
      </c>
      <c r="T17" s="28">
        <f>股权价值增加表!T42</f>
        <v>16576525.63000001</v>
      </c>
      <c r="U17" s="28">
        <f>股权价值增加表!U42</f>
        <v>111056231.57999991</v>
      </c>
      <c r="V17" s="28">
        <f>股权价值增加表!V42</f>
        <v>89940853.150000095</v>
      </c>
      <c r="W17" s="28">
        <f>股权价值增加表!W42</f>
        <v>62583672.940000005</v>
      </c>
      <c r="X17" s="28">
        <f>股权价值增加表!X42</f>
        <v>30644006.390000012</v>
      </c>
      <c r="Y17" s="28">
        <f>股权价值增加表!Y42</f>
        <v>104099983.04999998</v>
      </c>
      <c r="Z17" s="28">
        <f>股权价值增加表!Z42</f>
        <v>81738311.960000008</v>
      </c>
      <c r="AA17" s="28">
        <f>股权价值增加表!AA42</f>
        <v>69439554.349999979</v>
      </c>
      <c r="AB17" s="28">
        <f>股权价值增加表!AB42</f>
        <v>27851357.510000005</v>
      </c>
      <c r="AC17" s="28">
        <f>股权价值增加表!AC42</f>
        <v>115126305.65999994</v>
      </c>
      <c r="AD17" s="28">
        <f>股权价值增加表!AD42</f>
        <v>102051346.40999994</v>
      </c>
      <c r="AE17" s="28">
        <f>股权价值增加表!AE42</f>
        <v>77141986.969999999</v>
      </c>
      <c r="AF17" s="28">
        <f>股权价值增加表!AF42</f>
        <v>29629487.049999997</v>
      </c>
      <c r="AG17" s="28">
        <f>股权价值增加表!AG42</f>
        <v>92811800.770000026</v>
      </c>
      <c r="AH17" s="28">
        <f>股权价值增加表!AH42</f>
        <v>74696193.409999996</v>
      </c>
      <c r="AI17" s="28">
        <f>股权价值增加表!AI42</f>
        <v>63399330.539999984</v>
      </c>
      <c r="AJ17" s="28">
        <f>股权价值增加表!AJ42</f>
        <v>93669269.390000015</v>
      </c>
      <c r="AK17" s="28">
        <f>股权价值增加表!AK42</f>
        <v>-9000550.8699999992</v>
      </c>
      <c r="AL17" s="28">
        <f>股权价值增加表!AL42</f>
        <v>-183345585.82999998</v>
      </c>
      <c r="AM17" s="28">
        <f>股权价值增加表!AM42</f>
        <v>-106810116.88</v>
      </c>
      <c r="AN17" s="28">
        <f>股权价值增加表!AN42</f>
        <v>-49783959.600000001</v>
      </c>
      <c r="AO17" s="28">
        <f>股权价值增加表!AO42</f>
        <v>-267539954.00999999</v>
      </c>
      <c r="AP17" s="28">
        <f>股权价值增加表!AP42</f>
        <v>-424870521.57999998</v>
      </c>
      <c r="AQ17" s="28">
        <f>股权价值增加表!AQ42</f>
        <v>-293304959.90999997</v>
      </c>
      <c r="AR17" s="28">
        <f>股权价值增加表!AR42</f>
        <v>-120246619.52999999</v>
      </c>
      <c r="AS17" s="28">
        <f>股权价值增加表!AS42</f>
        <v>-618583611.08000004</v>
      </c>
      <c r="AT17" s="28">
        <f>股权价值增加表!AT42</f>
        <v>-534184089.29000002</v>
      </c>
      <c r="AU17" s="28">
        <f>股权价值增加表!AU42</f>
        <v>-361733175.15000004</v>
      </c>
      <c r="AV17" s="28">
        <f>股权价值增加表!AV42</f>
        <v>-169159183.02000001</v>
      </c>
      <c r="AW17" s="28">
        <f>股权价值增加表!AW42</f>
        <v>-364665048.18000001</v>
      </c>
      <c r="AX17" s="28">
        <f>股权价值增加表!AX42</f>
        <v>-314423100.28999996</v>
      </c>
      <c r="AY17" s="28">
        <f>股权价值增加表!AY42</f>
        <v>-184996081.94999999</v>
      </c>
      <c r="AZ17" s="28">
        <f>股权价值增加表!AZ42</f>
        <v>-91146481.429999992</v>
      </c>
      <c r="BA17" s="28">
        <f>股权价值增加表!BA42</f>
        <v>-250424310.28999999</v>
      </c>
      <c r="BB17" s="28">
        <f>股权价值增加表!BB42</f>
        <v>-244895316.83000001</v>
      </c>
      <c r="BC17" s="28">
        <f>股权价值增加表!BC42</f>
        <v>-168341803.09999999</v>
      </c>
      <c r="BD17" s="28">
        <f>股权价值增加表!BD42</f>
        <v>-79512055.189999998</v>
      </c>
      <c r="BE17" s="28">
        <f>股权价值增加表!BE42</f>
        <v>-116917833.25</v>
      </c>
      <c r="BF17" s="28">
        <f>股权价值增加表!BF42</f>
        <v>-162029458.54000002</v>
      </c>
      <c r="BG17" s="28">
        <f>股权价值增加表!BG42</f>
        <v>-108444248.91</v>
      </c>
      <c r="BH17" s="28">
        <f>股权价值增加表!BH42</f>
        <v>-47946526.399999999</v>
      </c>
      <c r="BI17" s="28">
        <f>股权价值增加表!BI42</f>
        <v>-68952791.199999988</v>
      </c>
      <c r="BJ17" s="28">
        <f>股权价值增加表!BJ42</f>
        <v>-82824833.469999999</v>
      </c>
      <c r="BK17" s="28">
        <f>股权价值增加表!BK42</f>
        <v>-63169460.109999999</v>
      </c>
      <c r="BL17" s="28">
        <f>股权价值增加表!BL42</f>
        <v>-27774802.43</v>
      </c>
      <c r="BM17" s="28">
        <f>股权价值增加表!BM42</f>
        <v>-32774755.549999997</v>
      </c>
      <c r="BN17" s="28">
        <f>股权价值增加表!BN42</f>
        <v>-31702157.48</v>
      </c>
      <c r="BO17" s="28">
        <f>股权价值增加表!BO42</f>
        <v>-16273314.18</v>
      </c>
      <c r="BP17" s="28">
        <f>股权价值增加表!BP42</f>
        <v>-15224717.800000001</v>
      </c>
      <c r="BQ17" s="28">
        <f>股权价值增加表!BQ42</f>
        <v>-11754436.18</v>
      </c>
      <c r="BR17" s="28">
        <f>股权价值增加表!BR42</f>
        <v>-22857300</v>
      </c>
      <c r="BS17" s="28">
        <f>股权价值增加表!BS42</f>
        <v>-9613624.7599999998</v>
      </c>
      <c r="BT17" s="28">
        <f>股权价值增加表!BT42</f>
        <v>-16402935.85</v>
      </c>
      <c r="BU17" s="28">
        <f>股权价值增加表!BU42</f>
        <v>-15677799.189999999</v>
      </c>
      <c r="BV17" s="28">
        <f>股权价值增加表!BV42</f>
        <v>-13041815.699999999</v>
      </c>
      <c r="BW17" s="28">
        <f>股权价值增加表!BW42</f>
        <v>-7764894.8799999999</v>
      </c>
      <c r="BX17" s="28">
        <f>股权价值增加表!BX42</f>
        <v>-7173387.8499999996</v>
      </c>
      <c r="BY17" s="28">
        <f>股权价值增加表!BY42</f>
        <v>0</v>
      </c>
      <c r="BZ17" s="28">
        <f>股权价值增加表!BZ42</f>
        <v>475384.5</v>
      </c>
      <c r="CA17" s="28">
        <f>股权价值增加表!CA42</f>
        <v>-46431299.080000006</v>
      </c>
      <c r="CB17" s="28">
        <f>股权价值增加表!CB42</f>
        <v>-6664176.4400000013</v>
      </c>
      <c r="CC17" s="28">
        <f>股权价值增加表!CC42</f>
        <v>-41772410.030000001</v>
      </c>
      <c r="CD17" s="28">
        <f>股权价值增加表!CD42</f>
        <v>-13940000</v>
      </c>
      <c r="CE17" s="28">
        <f>股权价值增加表!CE42</f>
        <v>-20081000</v>
      </c>
      <c r="CF17" s="28">
        <f>股权价值增加表!CF42</f>
        <v>-14354563.84</v>
      </c>
      <c r="CG17" s="28">
        <f>股权价值增加表!CG42</f>
        <v>-4330000</v>
      </c>
      <c r="CH17" s="28">
        <f>股权价值增加表!CH42</f>
        <v>-4220000</v>
      </c>
      <c r="CI17" s="28">
        <f>股权价值增加表!CI42</f>
        <v>-12510000</v>
      </c>
      <c r="CJ17" s="28">
        <f>股权价值增加表!CJ42</f>
        <v>-3630000</v>
      </c>
      <c r="CK17" s="28">
        <f>股权价值增加表!CK42</f>
        <v>0</v>
      </c>
      <c r="CL17" s="28">
        <f>股权价值增加表!CL42</f>
        <v>0</v>
      </c>
    </row>
    <row r="18" spans="1:90" s="28" customFormat="1" x14ac:dyDescent="0.25">
      <c r="A18" s="20" t="s">
        <v>500</v>
      </c>
      <c r="E18" s="28">
        <f>E14/E17</f>
        <v>2.0120534773434562</v>
      </c>
      <c r="F18" s="28">
        <f t="shared" ref="F18:BQ18" si="10">F14/F17</f>
        <v>1.9954878610581321</v>
      </c>
      <c r="G18" s="28">
        <f t="shared" si="10"/>
        <v>1.9980484744275653</v>
      </c>
      <c r="H18" s="28">
        <f t="shared" si="10"/>
        <v>2.7812258453841441</v>
      </c>
      <c r="I18" s="28">
        <f t="shared" si="10"/>
        <v>0.4125667048199913</v>
      </c>
      <c r="J18" s="28">
        <f t="shared" si="10"/>
        <v>0.5490924843109446</v>
      </c>
      <c r="K18" s="28">
        <f t="shared" si="10"/>
        <v>0.43247345342808435</v>
      </c>
      <c r="L18" s="28">
        <f t="shared" si="10"/>
        <v>1.1804506857326817</v>
      </c>
      <c r="M18" s="28">
        <f t="shared" si="10"/>
        <v>1.2296052001031927</v>
      </c>
      <c r="N18" s="28">
        <f t="shared" si="10"/>
        <v>2.0651063341652187</v>
      </c>
      <c r="O18" s="28">
        <f t="shared" si="10"/>
        <v>2.5166455460089856</v>
      </c>
      <c r="P18" s="28">
        <f t="shared" si="10"/>
        <v>5.6452015496956154</v>
      </c>
      <c r="Q18" s="28">
        <f t="shared" si="10"/>
        <v>1.4442115215785494</v>
      </c>
      <c r="R18" s="28">
        <f t="shared" si="10"/>
        <v>2.0479883165489046</v>
      </c>
      <c r="S18" s="28">
        <f t="shared" si="10"/>
        <v>1.536546507890201</v>
      </c>
      <c r="T18" s="28">
        <f t="shared" si="10"/>
        <v>1.5082180016512896</v>
      </c>
      <c r="U18" s="28">
        <f t="shared" si="10"/>
        <v>1.784170977269893</v>
      </c>
      <c r="V18" s="28">
        <f t="shared" si="10"/>
        <v>1.4328476269295858</v>
      </c>
      <c r="W18" s="28">
        <f t="shared" si="10"/>
        <v>1.0448689410206418</v>
      </c>
      <c r="X18" s="28">
        <f t="shared" si="10"/>
        <v>0.92687102849804581</v>
      </c>
      <c r="Y18" s="28">
        <f t="shared" si="10"/>
        <v>0.63799034211274075</v>
      </c>
      <c r="Z18" s="28">
        <f t="shared" si="10"/>
        <v>0.78055851974557944</v>
      </c>
      <c r="AA18" s="28">
        <f t="shared" si="10"/>
        <v>0.45128623308913862</v>
      </c>
      <c r="AB18" s="28">
        <f t="shared" si="10"/>
        <v>2.1321650112989411E-3</v>
      </c>
      <c r="AC18" s="28">
        <f t="shared" si="10"/>
        <v>1.6423630328971341</v>
      </c>
      <c r="AD18" s="28">
        <f t="shared" si="10"/>
        <v>2.1220707627898521</v>
      </c>
      <c r="AE18" s="28">
        <f t="shared" si="10"/>
        <v>1.8694231577945055</v>
      </c>
      <c r="AF18" s="28">
        <f t="shared" si="10"/>
        <v>1.7583427229800794</v>
      </c>
      <c r="AG18" s="28">
        <f t="shared" si="10"/>
        <v>1.6815625968378671</v>
      </c>
      <c r="AH18" s="28">
        <f t="shared" si="10"/>
        <v>1.5719752509407026</v>
      </c>
      <c r="AI18" s="28">
        <f t="shared" si="10"/>
        <v>1.4937841602325541</v>
      </c>
      <c r="AJ18" s="28">
        <f t="shared" si="10"/>
        <v>0.69348207862647016</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t="e">
        <f t="shared" si="11"/>
        <v>#DIV/0!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18676311.399999999</v>
      </c>
      <c r="F19" s="26">
        <f>现金流量表!F48</f>
        <v>0</v>
      </c>
      <c r="G19" s="26">
        <f>现金流量表!G48</f>
        <v>3804468.86</v>
      </c>
      <c r="H19" s="26">
        <f>现金流量表!H48</f>
        <v>0</v>
      </c>
      <c r="I19" s="26">
        <f>现金流量表!I48</f>
        <v>16123802.359999999</v>
      </c>
      <c r="J19" s="26">
        <f>现金流量表!J48</f>
        <v>0</v>
      </c>
      <c r="K19" s="26">
        <f>现金流量表!K48</f>
        <v>1581627.7</v>
      </c>
      <c r="L19" s="26">
        <f>现金流量表!L48</f>
        <v>0</v>
      </c>
      <c r="M19" s="26">
        <f>现金流量表!M48</f>
        <v>29378762.280000001</v>
      </c>
      <c r="N19" s="26">
        <f>现金流量表!N48</f>
        <v>0</v>
      </c>
      <c r="O19" s="26">
        <f>现金流量表!O48</f>
        <v>-4028430.7</v>
      </c>
      <c r="P19" s="26">
        <f>现金流量表!P48</f>
        <v>0</v>
      </c>
      <c r="Q19" s="26">
        <f>现金流量表!Q48</f>
        <v>15117518.52</v>
      </c>
      <c r="R19" s="26">
        <f>现金流量表!R48</f>
        <v>0</v>
      </c>
      <c r="S19" s="26">
        <f>现金流量表!S48</f>
        <v>676735.04</v>
      </c>
      <c r="T19" s="26">
        <f>现金流量表!T48</f>
        <v>0</v>
      </c>
      <c r="U19" s="26">
        <f>现金流量表!U48</f>
        <v>5455016.3399999999</v>
      </c>
      <c r="V19" s="26">
        <f>现金流量表!V48</f>
        <v>0</v>
      </c>
      <c r="W19" s="26">
        <f>现金流量表!W48</f>
        <v>878118.94</v>
      </c>
      <c r="X19" s="26">
        <f>现金流量表!X48</f>
        <v>0</v>
      </c>
      <c r="Y19" s="26">
        <f>现金流量表!Y48</f>
        <v>14104415.439999999</v>
      </c>
      <c r="Z19" s="26">
        <f>现金流量表!Z48</f>
        <v>0</v>
      </c>
      <c r="AA19" s="26">
        <f>现金流量表!AA48</f>
        <v>4612662.8600000003</v>
      </c>
      <c r="AB19" s="26">
        <f>现金流量表!AB48</f>
        <v>0</v>
      </c>
      <c r="AC19" s="26">
        <f>现金流量表!AC48</f>
        <v>16632824.51</v>
      </c>
      <c r="AD19" s="26">
        <f>现金流量表!AD48</f>
        <v>0</v>
      </c>
      <c r="AE19" s="26">
        <f>现金流量表!AE48</f>
        <v>9905317.9499999993</v>
      </c>
      <c r="AF19" s="26">
        <f>现金流量表!AF48</f>
        <v>0</v>
      </c>
      <c r="AG19" s="26">
        <f>现金流量表!AG48</f>
        <v>10951177.859999999</v>
      </c>
      <c r="AH19" s="26">
        <f>现金流量表!AH48</f>
        <v>0</v>
      </c>
      <c r="AI19" s="26">
        <f>现金流量表!AI48</f>
        <v>7466337.8700000001</v>
      </c>
      <c r="AJ19" s="26">
        <f>现金流量表!AJ48</f>
        <v>2619604.33</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173230418.30000001</v>
      </c>
      <c r="F20" s="26">
        <f>现金流量表!F49</f>
        <v>0</v>
      </c>
      <c r="G20" s="26">
        <f>现金流量表!G49</f>
        <v>79854733.640000001</v>
      </c>
      <c r="H20" s="26">
        <f>现金流量表!H49</f>
        <v>0</v>
      </c>
      <c r="I20" s="26">
        <f>现金流量表!I49</f>
        <v>150031056.47999999</v>
      </c>
      <c r="J20" s="26">
        <f>现金流量表!J49</f>
        <v>0</v>
      </c>
      <c r="K20" s="26">
        <f>现金流量表!K49</f>
        <v>67914415.5</v>
      </c>
      <c r="L20" s="26">
        <f>现金流量表!L49</f>
        <v>0</v>
      </c>
      <c r="M20" s="26">
        <f>现金流量表!M49</f>
        <v>96675925.170000002</v>
      </c>
      <c r="N20" s="26">
        <f>现金流量表!N49</f>
        <v>0</v>
      </c>
      <c r="O20" s="26">
        <f>现金流量表!O49</f>
        <v>44409696.719999999</v>
      </c>
      <c r="P20" s="26">
        <f>现金流量表!P49</f>
        <v>0</v>
      </c>
      <c r="Q20" s="26">
        <f>现金流量表!Q49</f>
        <v>76072722.219999999</v>
      </c>
      <c r="R20" s="26">
        <f>现金流量表!R49</f>
        <v>0</v>
      </c>
      <c r="S20" s="26">
        <f>现金流量表!S49</f>
        <v>36401626.950000003</v>
      </c>
      <c r="T20" s="26">
        <f>现金流量表!T49</f>
        <v>0</v>
      </c>
      <c r="U20" s="26">
        <f>现金流量表!U49</f>
        <v>62226272.899999999</v>
      </c>
      <c r="V20" s="26">
        <f>现金流量表!V49</f>
        <v>0</v>
      </c>
      <c r="W20" s="26">
        <f>现金流量表!W49</f>
        <v>27338084.989999998</v>
      </c>
      <c r="X20" s="26">
        <f>现金流量表!X49</f>
        <v>0</v>
      </c>
      <c r="Y20" s="26">
        <f>现金流量表!Y49</f>
        <v>45232711.859999999</v>
      </c>
      <c r="Z20" s="26">
        <f>现金流量表!Z49</f>
        <v>0</v>
      </c>
      <c r="AA20" s="26">
        <f>现金流量表!AA49</f>
        <v>20451241.800000001</v>
      </c>
      <c r="AB20" s="26">
        <f>现金流量表!AB49</f>
        <v>0</v>
      </c>
      <c r="AC20" s="26">
        <f>现金流量表!AC49</f>
        <v>35284248.549999997</v>
      </c>
      <c r="AD20" s="26">
        <f>现金流量表!AD49</f>
        <v>0</v>
      </c>
      <c r="AE20" s="26">
        <f>现金流量表!AE49</f>
        <v>16920517.710000001</v>
      </c>
      <c r="AF20" s="26">
        <f>现金流量表!AF49</f>
        <v>0</v>
      </c>
      <c r="AG20" s="26">
        <f>现金流量表!AG49</f>
        <v>22557386.629999999</v>
      </c>
      <c r="AH20" s="26">
        <f>现金流量表!AH49</f>
        <v>0</v>
      </c>
      <c r="AI20" s="26">
        <f>现金流量表!AI49</f>
        <v>18490294.390000001</v>
      </c>
      <c r="AJ20" s="26">
        <f>现金流量表!AJ49</f>
        <v>16791841.57</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11700805.390000001</v>
      </c>
      <c r="F21" s="26">
        <f>现金流量表!F50</f>
        <v>0</v>
      </c>
      <c r="G21" s="26">
        <f>现金流量表!G50</f>
        <v>5321577.1900000004</v>
      </c>
      <c r="H21" s="26">
        <f>现金流量表!H50</f>
        <v>0</v>
      </c>
      <c r="I21" s="26">
        <f>现金流量表!I50</f>
        <v>8666877.9299999997</v>
      </c>
      <c r="J21" s="26">
        <f>现金流量表!J50</f>
        <v>0</v>
      </c>
      <c r="K21" s="26">
        <f>现金流量表!K50</f>
        <v>3284233.46</v>
      </c>
      <c r="L21" s="26">
        <f>现金流量表!L50</f>
        <v>0</v>
      </c>
      <c r="M21" s="26">
        <f>现金流量表!M50</f>
        <v>3584346.75</v>
      </c>
      <c r="N21" s="26">
        <f>现金流量表!N50</f>
        <v>0</v>
      </c>
      <c r="O21" s="26">
        <f>现金流量表!O50</f>
        <v>1593132.18</v>
      </c>
      <c r="P21" s="26">
        <f>现金流量表!P50</f>
        <v>0</v>
      </c>
      <c r="Q21" s="26">
        <f>现金流量表!Q50</f>
        <v>3129421</v>
      </c>
      <c r="R21" s="26">
        <f>现金流量表!R50</f>
        <v>0</v>
      </c>
      <c r="S21" s="26">
        <f>现金流量表!S50</f>
        <v>1598201.93</v>
      </c>
      <c r="T21" s="26">
        <f>现金流量表!T50</f>
        <v>0</v>
      </c>
      <c r="U21" s="26">
        <f>现金流量表!U50</f>
        <v>2483597.77</v>
      </c>
      <c r="V21" s="26">
        <f>现金流量表!V50</f>
        <v>0</v>
      </c>
      <c r="W21" s="26">
        <f>现金流量表!W50</f>
        <v>914265.14</v>
      </c>
      <c r="X21" s="26">
        <f>现金流量表!X50</f>
        <v>0</v>
      </c>
      <c r="Y21" s="26">
        <f>现金流量表!Y50</f>
        <v>1348313.89</v>
      </c>
      <c r="Z21" s="26">
        <f>现金流量表!Z50</f>
        <v>0</v>
      </c>
      <c r="AA21" s="26">
        <f>现金流量表!AA50</f>
        <v>535823.12</v>
      </c>
      <c r="AB21" s="26">
        <f>现金流量表!AB50</f>
        <v>0</v>
      </c>
      <c r="AC21" s="26">
        <f>现金流量表!AC50</f>
        <v>970913.64</v>
      </c>
      <c r="AD21" s="26">
        <f>现金流量表!AD50</f>
        <v>0</v>
      </c>
      <c r="AE21" s="26">
        <f>现金流量表!AE50</f>
        <v>466446.08000000002</v>
      </c>
      <c r="AF21" s="26">
        <f>现金流量表!AF50</f>
        <v>0</v>
      </c>
      <c r="AG21" s="26">
        <f>现金流量表!AG50</f>
        <v>570064.04</v>
      </c>
      <c r="AH21" s="26">
        <f>现金流量表!AH50</f>
        <v>0</v>
      </c>
      <c r="AI21" s="26">
        <f>现金流量表!AI50</f>
        <v>535006.5</v>
      </c>
      <c r="AJ21" s="26">
        <f>现金流量表!AJ50</f>
        <v>548148.18999999994</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1626430.09</v>
      </c>
      <c r="F22" s="26">
        <f>现金流量表!F51</f>
        <v>0</v>
      </c>
      <c r="G22" s="26">
        <f>现金流量表!G51</f>
        <v>813215.04</v>
      </c>
      <c r="H22" s="26">
        <f>现金流量表!H51</f>
        <v>0</v>
      </c>
      <c r="I22" s="26">
        <f>现金流量表!I51</f>
        <v>1549161.68</v>
      </c>
      <c r="J22" s="26">
        <f>现金流量表!J51</f>
        <v>0</v>
      </c>
      <c r="K22" s="26">
        <f>现金流量表!K51</f>
        <v>937228.59</v>
      </c>
      <c r="L22" s="26">
        <f>现金流量表!L51</f>
        <v>0</v>
      </c>
      <c r="M22" s="26">
        <f>现金流量表!M51</f>
        <v>2792414.15</v>
      </c>
      <c r="N22" s="26">
        <f>现金流量表!N51</f>
        <v>0</v>
      </c>
      <c r="O22" s="26">
        <f>现金流量表!O51</f>
        <v>1379958.7</v>
      </c>
      <c r="P22" s="26">
        <f>现金流量表!P51</f>
        <v>0</v>
      </c>
      <c r="Q22" s="26">
        <f>现金流量表!Q51</f>
        <v>762424.54</v>
      </c>
      <c r="R22" s="26">
        <f>现金流量表!R51</f>
        <v>0</v>
      </c>
      <c r="S22" s="26">
        <f>现金流量表!S51</f>
        <v>111778.8</v>
      </c>
      <c r="T22" s="26">
        <f>现金流量表!T51</f>
        <v>0</v>
      </c>
      <c r="U22" s="26">
        <f>现金流量表!U51</f>
        <v>195388.91</v>
      </c>
      <c r="V22" s="26">
        <f>现金流量表!V51</f>
        <v>0</v>
      </c>
      <c r="W22" s="26">
        <f>现金流量表!W51</f>
        <v>60000</v>
      </c>
      <c r="X22" s="26">
        <f>现金流量表!X51</f>
        <v>0</v>
      </c>
      <c r="Y22" s="26">
        <f>现金流量表!Y51</f>
        <v>120000</v>
      </c>
      <c r="Z22" s="26">
        <f>现金流量表!Z51</f>
        <v>0</v>
      </c>
      <c r="AA22" s="26">
        <f>现金流量表!AA51</f>
        <v>60000</v>
      </c>
      <c r="AB22" s="26">
        <f>现金流量表!AB51</f>
        <v>0</v>
      </c>
      <c r="AC22" s="26">
        <f>现金流量表!AC51</f>
        <v>5168.66</v>
      </c>
      <c r="AD22" s="26">
        <f>现金流量表!AD51</f>
        <v>0</v>
      </c>
      <c r="AE22" s="26">
        <f>现金流量表!AE51</f>
        <v>5168.66</v>
      </c>
      <c r="AF22" s="26">
        <f>现金流量表!AF51</f>
        <v>0</v>
      </c>
      <c r="AG22" s="26">
        <f>现金流量表!AG51</f>
        <v>15506.76</v>
      </c>
      <c r="AH22" s="26">
        <f>现金流量表!AH51</f>
        <v>0</v>
      </c>
      <c r="AI22" s="26">
        <f>现金流量表!AI51</f>
        <v>15506.76</v>
      </c>
      <c r="AJ22" s="26">
        <f>现金流量表!AJ51</f>
        <v>15506.76</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-327151.37</v>
      </c>
      <c r="F23" s="26">
        <f>现金流量表!F54</f>
        <v>0</v>
      </c>
      <c r="G23" s="26">
        <f>现金流量表!G54</f>
        <v>388967.5</v>
      </c>
      <c r="H23" s="26">
        <f>现金流量表!H54</f>
        <v>0</v>
      </c>
      <c r="I23" s="26">
        <f>现金流量表!I54</f>
        <v>2556655.06</v>
      </c>
      <c r="J23" s="26">
        <f>现金流量表!J54</f>
        <v>0</v>
      </c>
      <c r="K23" s="26">
        <f>现金流量表!K54</f>
        <v>583822.57999999996</v>
      </c>
      <c r="L23" s="26">
        <f>现金流量表!L54</f>
        <v>0</v>
      </c>
      <c r="M23" s="26">
        <f>现金流量表!M54</f>
        <v>1641970.2</v>
      </c>
      <c r="N23" s="26">
        <f>现金流量表!N54</f>
        <v>0</v>
      </c>
      <c r="O23" s="26">
        <f>现金流量表!O54</f>
        <v>362534.43</v>
      </c>
      <c r="P23" s="26">
        <f>现金流量表!P54</f>
        <v>0</v>
      </c>
      <c r="Q23" s="26">
        <f>现金流量表!Q54</f>
        <v>2632793.41</v>
      </c>
      <c r="R23" s="26">
        <f>现金流量表!R54</f>
        <v>0</v>
      </c>
      <c r="S23" s="26">
        <f>现金流量表!S54</f>
        <v>521158.62</v>
      </c>
      <c r="T23" s="26">
        <f>现金流量表!T54</f>
        <v>0</v>
      </c>
      <c r="U23" s="26">
        <f>现金流量表!U54</f>
        <v>738515.9</v>
      </c>
      <c r="V23" s="26">
        <f>现金流量表!V54</f>
        <v>0</v>
      </c>
      <c r="W23" s="26">
        <f>现金流量表!W54</f>
        <v>47657.3</v>
      </c>
      <c r="X23" s="26">
        <f>现金流量表!X54</f>
        <v>0</v>
      </c>
      <c r="Y23" s="26">
        <f>现金流量表!Y54</f>
        <v>231372.54</v>
      </c>
      <c r="Z23" s="26">
        <f>现金流量表!Z54</f>
        <v>0</v>
      </c>
      <c r="AA23" s="26">
        <f>现金流量表!AA54</f>
        <v>148114.17000000001</v>
      </c>
      <c r="AB23" s="26">
        <f>现金流量表!AB54</f>
        <v>0</v>
      </c>
      <c r="AC23" s="26">
        <f>现金流量表!AC54</f>
        <v>458098.69</v>
      </c>
      <c r="AD23" s="26">
        <f>现金流量表!AD54</f>
        <v>0</v>
      </c>
      <c r="AE23" s="26">
        <f>现金流量表!AE54</f>
        <v>465390.72</v>
      </c>
      <c r="AF23" s="26">
        <f>现金流量表!AF54</f>
        <v>0</v>
      </c>
      <c r="AG23" s="26">
        <f>现金流量表!AG54</f>
        <v>319153.53000000003</v>
      </c>
      <c r="AH23" s="26">
        <f>现金流量表!AH54</f>
        <v>0</v>
      </c>
      <c r="AI23" s="26">
        <f>现金流量表!AI54</f>
        <v>3732.64</v>
      </c>
      <c r="AJ23" s="26">
        <f>现金流量表!AJ54</f>
        <v>144334.32999999999</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1421535.04</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206328348.85000002</v>
      </c>
      <c r="F25" s="28">
        <f t="shared" ref="F25:BQ25" si="12">SUM(F19:F24)</f>
        <v>0</v>
      </c>
      <c r="G25" s="28">
        <f t="shared" si="12"/>
        <v>90182962.230000004</v>
      </c>
      <c r="H25" s="28">
        <f t="shared" si="12"/>
        <v>0</v>
      </c>
      <c r="I25" s="28">
        <f t="shared" si="12"/>
        <v>178927553.50999999</v>
      </c>
      <c r="J25" s="28">
        <f t="shared" si="12"/>
        <v>0</v>
      </c>
      <c r="K25" s="28">
        <f t="shared" si="12"/>
        <v>74301327.829999998</v>
      </c>
      <c r="L25" s="28">
        <f t="shared" si="12"/>
        <v>0</v>
      </c>
      <c r="M25" s="28">
        <f t="shared" si="12"/>
        <v>134073418.55000001</v>
      </c>
      <c r="N25" s="28">
        <f t="shared" si="12"/>
        <v>0</v>
      </c>
      <c r="O25" s="28">
        <f t="shared" si="12"/>
        <v>43716891.329999998</v>
      </c>
      <c r="P25" s="28">
        <f t="shared" si="12"/>
        <v>0</v>
      </c>
      <c r="Q25" s="28">
        <f t="shared" si="12"/>
        <v>97714879.689999998</v>
      </c>
      <c r="R25" s="28">
        <f t="shared" si="12"/>
        <v>0</v>
      </c>
      <c r="S25" s="28">
        <f t="shared" si="12"/>
        <v>39309501.339999996</v>
      </c>
      <c r="T25" s="28">
        <f t="shared" si="12"/>
        <v>0</v>
      </c>
      <c r="U25" s="28">
        <f t="shared" si="12"/>
        <v>71098791.819999993</v>
      </c>
      <c r="V25" s="28">
        <f t="shared" si="12"/>
        <v>0</v>
      </c>
      <c r="W25" s="28">
        <f t="shared" si="12"/>
        <v>29238126.370000001</v>
      </c>
      <c r="X25" s="28">
        <f t="shared" si="12"/>
        <v>0</v>
      </c>
      <c r="Y25" s="28">
        <f t="shared" si="12"/>
        <v>61036813.729999997</v>
      </c>
      <c r="Z25" s="28">
        <f t="shared" si="12"/>
        <v>0</v>
      </c>
      <c r="AA25" s="28">
        <f t="shared" si="12"/>
        <v>25807841.950000003</v>
      </c>
      <c r="AB25" s="28">
        <f t="shared" si="12"/>
        <v>0</v>
      </c>
      <c r="AC25" s="28">
        <f t="shared" si="12"/>
        <v>53351254.04999999</v>
      </c>
      <c r="AD25" s="28">
        <f t="shared" si="12"/>
        <v>0</v>
      </c>
      <c r="AE25" s="28">
        <f t="shared" si="12"/>
        <v>27762841.119999997</v>
      </c>
      <c r="AF25" s="28">
        <f t="shared" si="12"/>
        <v>0</v>
      </c>
      <c r="AG25" s="28">
        <f t="shared" si="12"/>
        <v>34413288.82</v>
      </c>
      <c r="AH25" s="28">
        <f t="shared" si="12"/>
        <v>0</v>
      </c>
      <c r="AI25" s="28">
        <f t="shared" si="12"/>
        <v>26510878.160000004</v>
      </c>
      <c r="AJ25" s="28">
        <f t="shared" si="12"/>
        <v>20119435.18</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405952066.27999997</v>
      </c>
      <c r="F26" s="28">
        <f t="shared" ref="F26:BQ26" si="14">F14-F25</f>
        <v>524013685.56</v>
      </c>
      <c r="G26" s="28">
        <f t="shared" si="14"/>
        <v>298564500.08999997</v>
      </c>
      <c r="H26" s="28">
        <f t="shared" si="14"/>
        <v>257293820.97999999</v>
      </c>
      <c r="I26" s="28">
        <f t="shared" si="14"/>
        <v>-26273090.340000004</v>
      </c>
      <c r="J26" s="28">
        <f t="shared" si="14"/>
        <v>145353901.49000001</v>
      </c>
      <c r="K26" s="28">
        <f t="shared" si="14"/>
        <v>11811334.680000007</v>
      </c>
      <c r="L26" s="28">
        <f t="shared" si="14"/>
        <v>102339094.16</v>
      </c>
      <c r="M26" s="28">
        <f t="shared" si="14"/>
        <v>232526132.71999997</v>
      </c>
      <c r="N26" s="28">
        <f t="shared" si="14"/>
        <v>301398516.12</v>
      </c>
      <c r="O26" s="28">
        <f t="shared" si="14"/>
        <v>132670239.66000001</v>
      </c>
      <c r="P26" s="28">
        <f t="shared" si="14"/>
        <v>133686240.64</v>
      </c>
      <c r="Q26" s="28">
        <f t="shared" si="14"/>
        <v>45660784.640000015</v>
      </c>
      <c r="R26" s="28">
        <f t="shared" si="14"/>
        <v>129319731.53</v>
      </c>
      <c r="S26" s="28">
        <f t="shared" si="14"/>
        <v>16795449.790000007</v>
      </c>
      <c r="T26" s="28">
        <f t="shared" si="14"/>
        <v>25001014.359999999</v>
      </c>
      <c r="U26" s="28">
        <f t="shared" si="14"/>
        <v>127044513.41</v>
      </c>
      <c r="V26" s="28">
        <f t="shared" si="14"/>
        <v>128871538</v>
      </c>
      <c r="W26" s="28">
        <f t="shared" si="14"/>
        <v>36153609.700000003</v>
      </c>
      <c r="X26" s="28">
        <f t="shared" si="14"/>
        <v>28403041.719999999</v>
      </c>
      <c r="Y26" s="28">
        <f t="shared" si="14"/>
        <v>5377970.0700000003</v>
      </c>
      <c r="Z26" s="28">
        <f t="shared" si="14"/>
        <v>63801535.789999999</v>
      </c>
      <c r="AA26" s="28">
        <f t="shared" si="14"/>
        <v>5529272.9599999972</v>
      </c>
      <c r="AB26" s="28">
        <f t="shared" si="14"/>
        <v>59383.69</v>
      </c>
      <c r="AC26" s="28">
        <f t="shared" si="14"/>
        <v>135727934.48000002</v>
      </c>
      <c r="AD26" s="28">
        <f t="shared" si="14"/>
        <v>216560178.52000001</v>
      </c>
      <c r="AE26" s="28">
        <f t="shared" si="14"/>
        <v>116448175.75999999</v>
      </c>
      <c r="AF26" s="28">
        <f t="shared" si="14"/>
        <v>52098792.939999998</v>
      </c>
      <c r="AG26" s="28">
        <f t="shared" si="14"/>
        <v>121655563.90000001</v>
      </c>
      <c r="AH26" s="28">
        <f t="shared" si="14"/>
        <v>117420567.38</v>
      </c>
      <c r="AI26" s="28">
        <f t="shared" si="14"/>
        <v>68194037.569999993</v>
      </c>
      <c r="AJ26" s="28">
        <f t="shared" si="14"/>
        <v>44838524.460000001</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ht="72" x14ac:dyDescent="0.25">
      <c r="A27" s="314" t="s">
        <v>749</v>
      </c>
      <c r="E27" s="26">
        <f>E26</f>
        <v>405952066.27999997</v>
      </c>
      <c r="F27" s="193">
        <f t="shared" ref="F27:BQ27" si="16">F26</f>
        <v>524013685.56</v>
      </c>
      <c r="G27" s="193">
        <f t="shared" si="16"/>
        <v>298564500.08999997</v>
      </c>
      <c r="H27" s="193">
        <f t="shared" si="16"/>
        <v>257293820.97999999</v>
      </c>
      <c r="I27" s="193">
        <f t="shared" si="16"/>
        <v>-26273090.340000004</v>
      </c>
      <c r="J27" s="193">
        <f t="shared" si="16"/>
        <v>145353901.49000001</v>
      </c>
      <c r="K27" s="193">
        <f t="shared" si="16"/>
        <v>11811334.680000007</v>
      </c>
      <c r="L27" s="193">
        <f t="shared" si="16"/>
        <v>102339094.16</v>
      </c>
      <c r="M27" s="193">
        <f t="shared" si="16"/>
        <v>232526132.71999997</v>
      </c>
      <c r="N27" s="193">
        <f t="shared" si="16"/>
        <v>301398516.12</v>
      </c>
      <c r="O27" s="193">
        <f t="shared" si="16"/>
        <v>132670239.66000001</v>
      </c>
      <c r="P27" s="193">
        <f t="shared" si="16"/>
        <v>133686240.64</v>
      </c>
      <c r="Q27" s="193">
        <f t="shared" si="16"/>
        <v>45660784.640000015</v>
      </c>
      <c r="R27" s="193">
        <f t="shared" si="16"/>
        <v>129319731.53</v>
      </c>
      <c r="S27" s="193">
        <f t="shared" si="16"/>
        <v>16795449.790000007</v>
      </c>
      <c r="T27" s="193">
        <f t="shared" si="16"/>
        <v>25001014.359999999</v>
      </c>
      <c r="U27" s="193">
        <f t="shared" si="16"/>
        <v>127044513.41</v>
      </c>
      <c r="V27" s="193">
        <f t="shared" si="16"/>
        <v>128871538</v>
      </c>
      <c r="W27" s="193">
        <f t="shared" si="16"/>
        <v>36153609.700000003</v>
      </c>
      <c r="X27" s="193">
        <f t="shared" si="16"/>
        <v>28403041.719999999</v>
      </c>
      <c r="Y27" s="193">
        <f t="shared" si="16"/>
        <v>5377970.0700000003</v>
      </c>
      <c r="Z27" s="193">
        <f t="shared" si="16"/>
        <v>63801535.789999999</v>
      </c>
      <c r="AA27" s="193">
        <f t="shared" si="16"/>
        <v>5529272.9599999972</v>
      </c>
      <c r="AB27" s="193">
        <f t="shared" si="16"/>
        <v>59383.69</v>
      </c>
      <c r="AC27" s="193">
        <f t="shared" si="16"/>
        <v>135727934.48000002</v>
      </c>
      <c r="AD27" s="193">
        <f t="shared" si="16"/>
        <v>216560178.52000001</v>
      </c>
      <c r="AE27" s="193">
        <f t="shared" si="16"/>
        <v>116448175.75999999</v>
      </c>
      <c r="AF27" s="193">
        <f t="shared" si="16"/>
        <v>52098792.939999998</v>
      </c>
      <c r="AG27" s="193">
        <f t="shared" si="16"/>
        <v>121655563.90000001</v>
      </c>
      <c r="AH27" s="193">
        <f t="shared" si="16"/>
        <v>117420567.38</v>
      </c>
      <c r="AI27" s="193">
        <f t="shared" si="16"/>
        <v>68194037.569999993</v>
      </c>
      <c r="AJ27" s="193">
        <f t="shared" si="16"/>
        <v>44838524.460000001</v>
      </c>
      <c r="AK27" s="193">
        <f t="shared" si="16"/>
        <v>0</v>
      </c>
      <c r="AL27" s="193">
        <f t="shared" si="16"/>
        <v>0</v>
      </c>
      <c r="AM27" s="193">
        <f t="shared" si="16"/>
        <v>0</v>
      </c>
      <c r="AN27" s="193">
        <f t="shared" si="16"/>
        <v>0</v>
      </c>
      <c r="AO27" s="193">
        <f t="shared" si="16"/>
        <v>0</v>
      </c>
      <c r="AP27" s="193">
        <f t="shared" si="16"/>
        <v>0</v>
      </c>
      <c r="AQ27" s="193">
        <f t="shared" si="16"/>
        <v>0</v>
      </c>
      <c r="AR27" s="193">
        <f t="shared" si="16"/>
        <v>0</v>
      </c>
      <c r="AS27" s="193">
        <f t="shared" si="16"/>
        <v>0</v>
      </c>
      <c r="AT27" s="193">
        <f t="shared" si="16"/>
        <v>0</v>
      </c>
      <c r="AU27" s="193">
        <f t="shared" si="16"/>
        <v>0</v>
      </c>
      <c r="AV27" s="193">
        <f t="shared" si="16"/>
        <v>0</v>
      </c>
      <c r="AW27" s="193">
        <f t="shared" si="16"/>
        <v>0</v>
      </c>
      <c r="AX27" s="193">
        <f t="shared" si="16"/>
        <v>0</v>
      </c>
      <c r="AY27" s="193">
        <f t="shared" si="16"/>
        <v>0</v>
      </c>
      <c r="AZ27" s="193">
        <f t="shared" si="16"/>
        <v>0</v>
      </c>
      <c r="BA27" s="193">
        <f t="shared" si="16"/>
        <v>0</v>
      </c>
      <c r="BB27" s="193">
        <f t="shared" si="16"/>
        <v>0</v>
      </c>
      <c r="BC27" s="193">
        <f t="shared" si="16"/>
        <v>0</v>
      </c>
      <c r="BD27" s="193">
        <f t="shared" si="16"/>
        <v>0</v>
      </c>
      <c r="BE27" s="193">
        <f t="shared" si="16"/>
        <v>0</v>
      </c>
      <c r="BF27" s="193">
        <f t="shared" si="16"/>
        <v>0</v>
      </c>
      <c r="BG27" s="193">
        <f t="shared" si="16"/>
        <v>0</v>
      </c>
      <c r="BH27" s="193">
        <f t="shared" si="16"/>
        <v>0</v>
      </c>
      <c r="BI27" s="193">
        <f t="shared" si="16"/>
        <v>0</v>
      </c>
      <c r="BJ27" s="193">
        <f t="shared" si="16"/>
        <v>0</v>
      </c>
      <c r="BK27" s="193">
        <f t="shared" si="16"/>
        <v>0</v>
      </c>
      <c r="BL27" s="193">
        <f t="shared" si="16"/>
        <v>0</v>
      </c>
      <c r="BM27" s="193">
        <f t="shared" si="16"/>
        <v>0</v>
      </c>
      <c r="BN27" s="193">
        <f t="shared" si="16"/>
        <v>0</v>
      </c>
      <c r="BO27" s="193">
        <f t="shared" si="16"/>
        <v>0</v>
      </c>
      <c r="BP27" s="193">
        <f t="shared" si="16"/>
        <v>0</v>
      </c>
      <c r="BQ27" s="193">
        <f t="shared" si="16"/>
        <v>0</v>
      </c>
      <c r="BR27" s="193">
        <f t="shared" ref="BR27:CL27" si="17">BR26</f>
        <v>0</v>
      </c>
      <c r="BS27" s="193">
        <f t="shared" si="17"/>
        <v>0</v>
      </c>
      <c r="BT27" s="193">
        <f t="shared" si="17"/>
        <v>0</v>
      </c>
      <c r="BU27" s="193">
        <f t="shared" si="17"/>
        <v>0</v>
      </c>
      <c r="BV27" s="193">
        <f t="shared" si="17"/>
        <v>0</v>
      </c>
      <c r="BW27" s="193">
        <f t="shared" si="17"/>
        <v>0</v>
      </c>
      <c r="BX27" s="193">
        <f t="shared" si="17"/>
        <v>0</v>
      </c>
      <c r="BY27" s="193">
        <f t="shared" si="17"/>
        <v>0</v>
      </c>
      <c r="BZ27" s="193">
        <f t="shared" si="17"/>
        <v>0</v>
      </c>
      <c r="CA27" s="193">
        <f t="shared" si="17"/>
        <v>0</v>
      </c>
      <c r="CB27" s="193">
        <f t="shared" si="17"/>
        <v>0</v>
      </c>
      <c r="CC27" s="193">
        <f t="shared" si="17"/>
        <v>0</v>
      </c>
      <c r="CD27" s="193">
        <f t="shared" si="17"/>
        <v>0</v>
      </c>
      <c r="CE27" s="193">
        <f t="shared" si="17"/>
        <v>0</v>
      </c>
      <c r="CF27" s="193">
        <f t="shared" si="17"/>
        <v>0</v>
      </c>
      <c r="CG27" s="193">
        <f t="shared" si="17"/>
        <v>0</v>
      </c>
      <c r="CH27" s="193">
        <f t="shared" si="17"/>
        <v>0</v>
      </c>
      <c r="CI27" s="193">
        <f t="shared" si="17"/>
        <v>0</v>
      </c>
      <c r="CJ27" s="193">
        <f t="shared" si="17"/>
        <v>0</v>
      </c>
      <c r="CK27" s="193">
        <f t="shared" si="17"/>
        <v>0</v>
      </c>
      <c r="CL27" s="193">
        <f t="shared" si="17"/>
        <v>0</v>
      </c>
    </row>
    <row r="28" spans="1:90" s="63" customFormat="1" x14ac:dyDescent="0.25">
      <c r="A28" s="17" t="s">
        <v>509</v>
      </c>
      <c r="E28" s="63">
        <f>(E27-I27)/I27</f>
        <v>-16.451249206948066</v>
      </c>
      <c r="F28" s="63">
        <f t="shared" ref="F28:BQ28" si="18">(F27-J27)/J27</f>
        <v>2.6050885472520382</v>
      </c>
      <c r="G28" s="63">
        <f t="shared" si="18"/>
        <v>24.277795285536673</v>
      </c>
      <c r="H28" s="63">
        <f t="shared" si="18"/>
        <v>1.5141303339830148</v>
      </c>
      <c r="I28" s="63">
        <f t="shared" si="18"/>
        <v>-1.1129898391749247</v>
      </c>
      <c r="J28" s="63">
        <f t="shared" si="18"/>
        <v>-0.517735178788577</v>
      </c>
      <c r="K28" s="63">
        <f t="shared" si="18"/>
        <v>-0.91097223680103812</v>
      </c>
      <c r="L28" s="63">
        <f t="shared" si="18"/>
        <v>-0.23448296795489876</v>
      </c>
      <c r="M28" s="63">
        <f t="shared" si="18"/>
        <v>4.0924690531117403</v>
      </c>
      <c r="N28" s="63">
        <f t="shared" si="18"/>
        <v>1.3306460085720222</v>
      </c>
      <c r="O28" s="63">
        <f t="shared" si="18"/>
        <v>6.8991775343219288</v>
      </c>
      <c r="P28" s="63">
        <f t="shared" si="18"/>
        <v>4.3472326648429638</v>
      </c>
      <c r="Q28" s="63">
        <f t="shared" si="18"/>
        <v>-0.64059223484415395</v>
      </c>
      <c r="R28" s="63">
        <f t="shared" si="18"/>
        <v>3.4778317769436507E-3</v>
      </c>
      <c r="S28" s="63">
        <f t="shared" si="18"/>
        <v>-0.53544196750013584</v>
      </c>
      <c r="T28" s="63">
        <f t="shared" si="18"/>
        <v>-0.11977686733475669</v>
      </c>
      <c r="U28" s="63">
        <f t="shared" si="18"/>
        <v>22.623135078176439</v>
      </c>
      <c r="V28" s="63">
        <f t="shared" si="18"/>
        <v>1.0198814402238703</v>
      </c>
      <c r="W28" s="63">
        <f t="shared" si="18"/>
        <v>5.5385829134396758</v>
      </c>
      <c r="X28" s="63">
        <f t="shared" si="18"/>
        <v>477.2970158977995</v>
      </c>
      <c r="Y28" s="63">
        <f t="shared" si="18"/>
        <v>-0.96037683701145204</v>
      </c>
      <c r="Z28" s="63">
        <f t="shared" si="18"/>
        <v>-0.70538657556514839</v>
      </c>
      <c r="AA28" s="63">
        <f t="shared" si="18"/>
        <v>-0.95251730717194028</v>
      </c>
      <c r="AB28" s="63">
        <f t="shared" si="18"/>
        <v>-0.99886017148097106</v>
      </c>
      <c r="AC28" s="63">
        <f t="shared" si="18"/>
        <v>0.11567387572645177</v>
      </c>
      <c r="AD28" s="63">
        <f t="shared" si="18"/>
        <v>0.84431214524080267</v>
      </c>
      <c r="AE28" s="63">
        <f t="shared" si="18"/>
        <v>0.70760054558241936</v>
      </c>
      <c r="AF28" s="63">
        <f t="shared" si="18"/>
        <v>0.16192032560029512</v>
      </c>
      <c r="AG28" s="63" t="e">
        <f t="shared" si="18"/>
        <v>#DIV/0!</v>
      </c>
      <c r="AH28" s="63" t="e">
        <f t="shared" si="18"/>
        <v>#DIV/0!</v>
      </c>
      <c r="AI28" s="63" t="e">
        <f t="shared" si="18"/>
        <v>#DIV/0!</v>
      </c>
      <c r="AJ28" s="63" t="e">
        <f t="shared" si="18"/>
        <v>#DIV/0!</v>
      </c>
      <c r="AK28" s="63" t="e">
        <f t="shared" si="18"/>
        <v>#DIV/0!</v>
      </c>
      <c r="AL28" s="63" t="e">
        <f t="shared" si="18"/>
        <v>#DIV/0!</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6" t="s">
        <v>739</v>
      </c>
      <c r="B29" s="275"/>
      <c r="C29" s="275"/>
      <c r="D29" s="275"/>
      <c r="E29" s="275"/>
      <c r="F29" s="275"/>
      <c r="G29" s="275"/>
      <c r="H29" s="275"/>
      <c r="I29" s="275"/>
      <c r="J29" s="275"/>
      <c r="K29" s="275"/>
      <c r="L29" s="275"/>
      <c r="M29" s="275"/>
      <c r="N29" s="275"/>
      <c r="O29" s="275"/>
      <c r="P29" s="275"/>
      <c r="Q29" s="275"/>
      <c r="R29" s="275"/>
      <c r="S29" s="275"/>
      <c r="T29" s="275"/>
      <c r="U29" s="275"/>
      <c r="V29" s="275"/>
      <c r="W29" s="275"/>
      <c r="X29" s="275"/>
      <c r="Y29" s="275"/>
      <c r="Z29" s="275"/>
      <c r="AA29" s="275"/>
      <c r="AB29" s="275"/>
      <c r="AC29" s="275"/>
    </row>
    <row r="30" spans="1:90" x14ac:dyDescent="0.25">
      <c r="A30" s="112" t="s">
        <v>567</v>
      </c>
      <c r="B30" s="96"/>
      <c r="C30" s="96"/>
      <c r="D30" s="96"/>
      <c r="E30" s="96" t="s">
        <v>566</v>
      </c>
      <c r="F30" s="96"/>
      <c r="G30" s="96"/>
      <c r="H30" s="96"/>
      <c r="I30" s="96" t="s">
        <v>600</v>
      </c>
      <c r="M30" s="96" t="s">
        <v>568</v>
      </c>
      <c r="Q30" s="115" t="s">
        <v>606</v>
      </c>
      <c r="R30" s="115"/>
      <c r="S30" s="115"/>
      <c r="T30" s="115"/>
      <c r="U30" s="115" t="s">
        <v>603</v>
      </c>
      <c r="V30" s="115"/>
      <c r="W30" s="115"/>
      <c r="X30" s="115"/>
      <c r="Y30" s="115" t="s">
        <v>604</v>
      </c>
      <c r="Z30" s="115"/>
      <c r="AA30" s="115"/>
      <c r="AB30" s="115"/>
      <c r="AC30" s="115" t="s">
        <v>605</v>
      </c>
    </row>
    <row r="31" spans="1:90" s="63" customFormat="1" x14ac:dyDescent="0.25">
      <c r="A31" s="112" t="s">
        <v>569</v>
      </c>
      <c r="B31" s="113"/>
      <c r="C31" s="113"/>
      <c r="D31" s="113"/>
      <c r="E31" s="113">
        <f>POWER(E27/U27,1/5)-1</f>
        <v>0.26154796804860814</v>
      </c>
      <c r="F31" s="113"/>
      <c r="G31" s="113"/>
      <c r="H31" s="113"/>
      <c r="I31" s="113">
        <f>POWER(E27/Y27,1/6)-1</f>
        <v>1.0557772825544083</v>
      </c>
      <c r="M31" s="113">
        <f>POWER(E27/AC27,1/7)-1</f>
        <v>0.16942457630697305</v>
      </c>
      <c r="Q31" s="116" t="s">
        <v>602</v>
      </c>
      <c r="R31" s="116"/>
      <c r="S31" s="116"/>
      <c r="T31" s="116"/>
      <c r="U31" s="116">
        <f>POWER(E14/U14,1/5)-1</f>
        <v>0.25312441904496197</v>
      </c>
      <c r="V31" s="116"/>
      <c r="W31" s="116"/>
      <c r="X31" s="116"/>
      <c r="Y31" s="116">
        <f>POWER(E14/Y14,1/6)-1</f>
        <v>0.44804125149116492</v>
      </c>
      <c r="Z31" s="116"/>
      <c r="AA31" s="116"/>
      <c r="AB31" s="116"/>
      <c r="AC31" s="116">
        <f>POWER(E14/AC14,1/7)-1</f>
        <v>0.1827717643692286</v>
      </c>
    </row>
    <row r="32" spans="1:90" s="66" customFormat="1" x14ac:dyDescent="0.25">
      <c r="A32" s="46" t="s">
        <v>511</v>
      </c>
      <c r="E32" s="66">
        <v>0.17</v>
      </c>
    </row>
    <row r="39" spans="1:13" ht="43.2" x14ac:dyDescent="0.25">
      <c r="A39" s="67" t="s">
        <v>512</v>
      </c>
    </row>
    <row r="41" spans="1:13" ht="111" customHeight="1" x14ac:dyDescent="0.25">
      <c r="A41" s="276" t="s">
        <v>738</v>
      </c>
      <c r="B41" s="275"/>
      <c r="C41" s="275"/>
      <c r="D41" s="275"/>
      <c r="E41" s="275"/>
      <c r="F41" s="275"/>
      <c r="G41" s="275"/>
      <c r="H41" s="275"/>
      <c r="I41" s="275"/>
      <c r="J41" s="275"/>
      <c r="K41" s="275"/>
      <c r="L41" s="275"/>
      <c r="M41" s="275"/>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opLeftCell="A41" zoomScale="90" zoomScaleNormal="90" workbookViewId="0">
      <selection activeCell="D38" sqref="D38"/>
    </sheetView>
  </sheetViews>
  <sheetFormatPr defaultRowHeight="14.4" x14ac:dyDescent="0.25"/>
  <cols>
    <col min="1" max="1" width="43.5546875" style="17" bestFit="1" customWidth="1"/>
    <col min="2" max="2" width="23.77734375" style="26" bestFit="1" customWidth="1"/>
    <col min="3" max="3" width="38.109375" bestFit="1" customWidth="1"/>
    <col min="4" max="4" width="17.6640625" customWidth="1"/>
    <col min="5" max="5" width="18.44140625" bestFit="1" customWidth="1"/>
    <col min="6" max="6" width="18.44140625" customWidth="1"/>
    <col min="7" max="7" width="18" customWidth="1"/>
    <col min="8" max="8" width="19.109375" bestFit="1" customWidth="1"/>
    <col min="9" max="9" width="19.77734375" customWidth="1"/>
    <col min="10" max="11" width="17.21875" bestFit="1" customWidth="1"/>
    <col min="12" max="12" width="40.33203125" bestFit="1" customWidth="1"/>
    <col min="13" max="18" width="17.21875" bestFit="1" customWidth="1"/>
    <col min="19" max="19" width="20.5546875" bestFit="1" customWidth="1"/>
    <col min="20" max="74" width="9.44140625" bestFit="1" customWidth="1"/>
  </cols>
  <sheetData>
    <row r="1" spans="1:10" ht="16.2" customHeight="1" x14ac:dyDescent="0.25">
      <c r="A1" s="68" t="s">
        <v>513</v>
      </c>
      <c r="B1" s="69">
        <f>自由现金流分析表!E1</f>
        <v>43100</v>
      </c>
      <c r="C1" t="s">
        <v>747</v>
      </c>
      <c r="D1" s="271">
        <v>0.08</v>
      </c>
      <c r="E1" s="262" t="s">
        <v>748</v>
      </c>
      <c r="F1" s="63">
        <f>平均资本成本表!E13</f>
        <v>7.9831530450049371E-2</v>
      </c>
    </row>
    <row r="2" spans="1:10" x14ac:dyDescent="0.25">
      <c r="A2" s="70" t="s">
        <v>514</v>
      </c>
      <c r="B2" s="71">
        <f>(自由现金流分析表!E27+自由现金流分析表!I27+自由现金流分析表!M27)/3</f>
        <v>204068369.55333328</v>
      </c>
      <c r="C2" t="s">
        <v>547</v>
      </c>
      <c r="D2" s="63"/>
      <c r="E2" s="63"/>
      <c r="F2" s="56"/>
    </row>
    <row r="3" spans="1:10" s="63" customFormat="1" x14ac:dyDescent="0.25">
      <c r="A3" s="72" t="s">
        <v>515</v>
      </c>
      <c r="B3" s="98">
        <v>0</v>
      </c>
      <c r="D3" s="190"/>
      <c r="E3" s="190"/>
      <c r="F3" s="260"/>
    </row>
    <row r="4" spans="1:10" s="63" customFormat="1" x14ac:dyDescent="0.25">
      <c r="A4" s="72" t="s">
        <v>516</v>
      </c>
      <c r="B4" s="98">
        <f>F1</f>
        <v>7.9831530450049371E-2</v>
      </c>
      <c r="D4" s="190"/>
      <c r="E4" s="190"/>
      <c r="F4" s="261"/>
    </row>
    <row r="5" spans="1:10" x14ac:dyDescent="0.25">
      <c r="A5" s="70" t="s">
        <v>517</v>
      </c>
      <c r="B5" s="71">
        <f>B2*(1+B3)/(B4-B3)</f>
        <v>2556237722.1493826</v>
      </c>
      <c r="D5" s="63"/>
      <c r="E5" s="63"/>
    </row>
    <row r="6" spans="1:10" x14ac:dyDescent="0.25">
      <c r="A6" s="70" t="s">
        <v>518</v>
      </c>
      <c r="B6" s="71">
        <f>资产资本表!E17</f>
        <v>627279567.75999999</v>
      </c>
      <c r="D6" s="190"/>
      <c r="E6" s="190"/>
      <c r="F6" s="190"/>
      <c r="G6" s="190"/>
    </row>
    <row r="7" spans="1:10" x14ac:dyDescent="0.25">
      <c r="A7" s="70" t="s">
        <v>519</v>
      </c>
      <c r="B7" s="71">
        <f>资产资本表!E19</f>
        <v>19416080.27</v>
      </c>
      <c r="D7" s="190"/>
      <c r="E7" s="190"/>
      <c r="F7" s="190"/>
      <c r="G7" s="190"/>
    </row>
    <row r="8" spans="1:10" x14ac:dyDescent="0.25">
      <c r="A8" s="70" t="s">
        <v>520</v>
      </c>
      <c r="B8" s="71">
        <f>资产资本表!E89</f>
        <v>9814499.0099999998</v>
      </c>
      <c r="D8" s="63"/>
      <c r="E8" s="63"/>
      <c r="F8" s="190"/>
      <c r="G8" s="190"/>
    </row>
    <row r="9" spans="1:10" x14ac:dyDescent="0.25">
      <c r="A9" s="70" t="s">
        <v>521</v>
      </c>
      <c r="B9" s="71">
        <f>B5+B6+B7-B8</f>
        <v>3193118871.1693826</v>
      </c>
      <c r="D9" s="190"/>
      <c r="E9" s="190"/>
      <c r="F9" s="190"/>
      <c r="G9" s="190"/>
    </row>
    <row r="10" spans="1:10" x14ac:dyDescent="0.25">
      <c r="A10" s="70" t="s">
        <v>522</v>
      </c>
      <c r="B10" s="73">
        <f>资产资本表!E103/资产资本表!E107</f>
        <v>1.9886987191949043E-3</v>
      </c>
      <c r="D10" s="190"/>
      <c r="E10" s="190"/>
      <c r="F10" s="190"/>
      <c r="G10" s="190"/>
    </row>
    <row r="11" spans="1:10" x14ac:dyDescent="0.25">
      <c r="A11" s="70" t="s">
        <v>548</v>
      </c>
      <c r="B11" s="71">
        <f>B9*(1-B10)</f>
        <v>3186768719.7600508</v>
      </c>
      <c r="D11" s="63"/>
      <c r="E11" s="63"/>
      <c r="F11" s="190"/>
      <c r="G11" s="190"/>
    </row>
    <row r="12" spans="1:10" x14ac:dyDescent="0.25">
      <c r="A12" s="70" t="s">
        <v>523</v>
      </c>
      <c r="B12" s="102">
        <f>B55</f>
        <v>909133215</v>
      </c>
      <c r="D12" s="190"/>
      <c r="E12" s="190"/>
      <c r="F12" s="190"/>
      <c r="G12" s="190"/>
    </row>
    <row r="13" spans="1:10" ht="15" thickBot="1" x14ac:dyDescent="0.3">
      <c r="A13" s="74" t="s">
        <v>524</v>
      </c>
      <c r="B13" s="75">
        <f>B11/B12</f>
        <v>3.5052824681584762</v>
      </c>
      <c r="D13" s="190"/>
      <c r="E13" s="190"/>
    </row>
    <row r="14" spans="1:10" s="16" customFormat="1" ht="53.25" customHeight="1" x14ac:dyDescent="0.25">
      <c r="A14" s="276" t="s">
        <v>740</v>
      </c>
      <c r="B14" s="275"/>
      <c r="C14" s="275"/>
      <c r="D14" s="275"/>
      <c r="E14" s="275"/>
      <c r="F14" s="275"/>
      <c r="G14" s="275"/>
      <c r="H14" s="275"/>
      <c r="I14" s="275"/>
    </row>
    <row r="16" spans="1:10" x14ac:dyDescent="0.25">
      <c r="A16" s="88"/>
      <c r="B16" s="76"/>
      <c r="C16" s="77"/>
      <c r="D16" s="77"/>
      <c r="E16" s="77"/>
      <c r="F16" s="77"/>
      <c r="G16" s="77"/>
      <c r="H16" s="77"/>
      <c r="I16" s="78"/>
      <c r="J16" s="77"/>
    </row>
    <row r="17" spans="1:10" s="63" customFormat="1" x14ac:dyDescent="0.25">
      <c r="A17" s="90"/>
      <c r="B17" s="90"/>
      <c r="C17" s="90" t="s">
        <v>540</v>
      </c>
      <c r="D17" s="90">
        <v>0.15</v>
      </c>
      <c r="E17" s="90"/>
      <c r="F17" s="90"/>
      <c r="G17" s="90"/>
      <c r="H17" s="90" t="s">
        <v>541</v>
      </c>
      <c r="I17" s="90">
        <v>0.04</v>
      </c>
      <c r="J17" s="78"/>
    </row>
    <row r="18" spans="1:10" s="2" customFormat="1" x14ac:dyDescent="0.25">
      <c r="A18" s="297" t="s">
        <v>525</v>
      </c>
      <c r="B18" s="297"/>
      <c r="C18" s="65" t="s">
        <v>539</v>
      </c>
      <c r="D18" s="97">
        <v>1</v>
      </c>
      <c r="E18" s="97">
        <v>2</v>
      </c>
      <c r="F18" s="97">
        <v>3</v>
      </c>
      <c r="G18" s="97">
        <v>4</v>
      </c>
      <c r="H18" s="97">
        <v>5</v>
      </c>
      <c r="I18" s="96">
        <v>6</v>
      </c>
      <c r="J18" s="80"/>
    </row>
    <row r="19" spans="1:10" s="26" customFormat="1" x14ac:dyDescent="0.25">
      <c r="A19" s="99" t="s">
        <v>526</v>
      </c>
      <c r="B19" s="94"/>
      <c r="C19" s="89">
        <f>B2</f>
        <v>204068369.55333328</v>
      </c>
      <c r="D19" s="89">
        <f>C19*(1+$D$17)</f>
        <v>234678624.98633325</v>
      </c>
      <c r="E19" s="89">
        <f>D19*(1+$D$17)</f>
        <v>269880418.73428321</v>
      </c>
      <c r="F19" s="89">
        <f>E19*(1+$D$17)</f>
        <v>310362481.54442567</v>
      </c>
      <c r="G19" s="89">
        <f>F19*(1+$D$17)</f>
        <v>356916853.77608949</v>
      </c>
      <c r="H19" s="89">
        <f>G19*(1+$D$17)</f>
        <v>410454381.84250289</v>
      </c>
      <c r="I19" s="89">
        <f>H19*(1+I17)</f>
        <v>426872557.11620301</v>
      </c>
      <c r="J19" s="76"/>
    </row>
    <row r="20" spans="1:10" s="26" customFormat="1" x14ac:dyDescent="0.25">
      <c r="A20" s="99" t="s">
        <v>527</v>
      </c>
      <c r="B20" s="95">
        <f>B4</f>
        <v>7.9831530450049371E-2</v>
      </c>
      <c r="C20" s="89"/>
      <c r="D20" s="89">
        <f t="shared" ref="D20:I20" si="0">(1+$B$20)^D18</f>
        <v>1.0798315304500494</v>
      </c>
      <c r="E20" s="89">
        <f t="shared" si="0"/>
        <v>1.1660361341540961</v>
      </c>
      <c r="F20" s="89">
        <f t="shared" si="0"/>
        <v>1.2591225833036768</v>
      </c>
      <c r="G20" s="89">
        <f t="shared" si="0"/>
        <v>1.3596402661530294</v>
      </c>
      <c r="H20" s="89">
        <f t="shared" si="0"/>
        <v>1.4681824294615382</v>
      </c>
      <c r="I20" s="89">
        <f t="shared" si="0"/>
        <v>1.5853896797853246</v>
      </c>
      <c r="J20" s="76"/>
    </row>
    <row r="21" spans="1:10" s="26" customFormat="1" x14ac:dyDescent="0.25">
      <c r="A21" s="298" t="s">
        <v>528</v>
      </c>
      <c r="B21" s="298"/>
      <c r="C21" s="89"/>
      <c r="D21" s="89">
        <f>D19/D20</f>
        <v>217328924.34482303</v>
      </c>
      <c r="E21" s="89">
        <f>E19/E20</f>
        <v>231451162.47196633</v>
      </c>
      <c r="F21" s="89">
        <f>F19/F20</f>
        <v>246491076.92922068</v>
      </c>
      <c r="G21" s="89">
        <f>G19/G20</f>
        <v>262508299.18854287</v>
      </c>
      <c r="H21" s="89">
        <f>H19/H20</f>
        <v>279566335.63108277</v>
      </c>
      <c r="I21" s="89">
        <f>I19/((B20-I17)*I20)</f>
        <v>6759821299.4784422</v>
      </c>
      <c r="J21" s="76"/>
    </row>
    <row r="22" spans="1:10" s="26" customFormat="1" x14ac:dyDescent="0.25">
      <c r="A22" s="298" t="s">
        <v>546</v>
      </c>
      <c r="B22" s="298"/>
      <c r="C22" s="89"/>
      <c r="D22" s="294">
        <f>SUM(D21:H21)</f>
        <v>1237345798.5656357</v>
      </c>
      <c r="E22" s="295"/>
      <c r="F22" s="295"/>
      <c r="G22" s="295"/>
      <c r="H22" s="296"/>
      <c r="I22" s="89">
        <f>I21</f>
        <v>6759821299.4784422</v>
      </c>
      <c r="J22" s="76"/>
    </row>
    <row r="23" spans="1:10" x14ac:dyDescent="0.25">
      <c r="A23" s="92" t="s">
        <v>529</v>
      </c>
      <c r="B23" s="76">
        <f>D22+I22</f>
        <v>7997167098.0440779</v>
      </c>
      <c r="C23" s="77"/>
      <c r="D23" s="77"/>
      <c r="E23" s="77"/>
      <c r="F23" s="77"/>
      <c r="G23" s="77"/>
      <c r="H23" s="77"/>
      <c r="I23" s="79"/>
      <c r="J23" s="77"/>
    </row>
    <row r="24" spans="1:10" x14ac:dyDescent="0.25">
      <c r="A24" s="92" t="s">
        <v>530</v>
      </c>
      <c r="B24" s="76">
        <f>B23</f>
        <v>7997167098.0440779</v>
      </c>
      <c r="C24" s="77"/>
      <c r="D24" s="77"/>
      <c r="E24" s="77"/>
      <c r="F24" s="77"/>
      <c r="G24" s="77"/>
      <c r="H24" s="77"/>
      <c r="I24" s="79"/>
      <c r="J24" s="77"/>
    </row>
    <row r="25" spans="1:10" x14ac:dyDescent="0.25">
      <c r="A25" s="70" t="s">
        <v>531</v>
      </c>
      <c r="B25" s="71">
        <f>资产资本表!E17</f>
        <v>627279567.75999999</v>
      </c>
      <c r="C25" s="77"/>
      <c r="D25" s="77"/>
      <c r="E25" s="77"/>
      <c r="F25" s="77"/>
      <c r="G25" s="77"/>
      <c r="H25" s="77"/>
      <c r="I25" s="79"/>
      <c r="J25" s="77"/>
    </row>
    <row r="26" spans="1:10" x14ac:dyDescent="0.25">
      <c r="A26" s="70" t="s">
        <v>532</v>
      </c>
      <c r="B26" s="71">
        <f>资产资本表!E19</f>
        <v>19416080.27</v>
      </c>
      <c r="C26" s="77"/>
      <c r="D26" s="77"/>
      <c r="E26" s="77"/>
      <c r="F26" s="77"/>
      <c r="G26" s="77"/>
      <c r="H26" s="77"/>
      <c r="I26" s="79"/>
      <c r="J26" s="77"/>
    </row>
    <row r="27" spans="1:10" x14ac:dyDescent="0.25">
      <c r="A27" s="70" t="s">
        <v>533</v>
      </c>
      <c r="B27" s="71">
        <f>资产资本表!E89</f>
        <v>9814499.0099999998</v>
      </c>
      <c r="C27" s="77"/>
      <c r="D27" s="77"/>
      <c r="E27" s="77"/>
      <c r="F27" s="77"/>
      <c r="G27" s="77"/>
      <c r="H27" s="77"/>
      <c r="I27" s="79"/>
      <c r="J27" s="77"/>
    </row>
    <row r="28" spans="1:10" s="2" customFormat="1" x14ac:dyDescent="0.25">
      <c r="A28" s="82" t="s">
        <v>534</v>
      </c>
      <c r="B28" s="83">
        <f>B24+B25+B26-B27</f>
        <v>8634048247.0640774</v>
      </c>
      <c r="C28" s="80"/>
      <c r="D28" s="80"/>
      <c r="E28" s="80"/>
      <c r="F28" s="80"/>
      <c r="G28" s="80"/>
      <c r="H28" s="80"/>
      <c r="I28" s="81"/>
      <c r="J28" s="80"/>
    </row>
    <row r="29" spans="1:10" x14ac:dyDescent="0.25">
      <c r="A29" s="70" t="s">
        <v>535</v>
      </c>
      <c r="B29" s="78">
        <f>资产资本表!E103/资产资本表!E107</f>
        <v>1.9886987191949043E-3</v>
      </c>
      <c r="C29" s="299" t="s">
        <v>542</v>
      </c>
      <c r="D29" s="299"/>
      <c r="E29" s="299"/>
      <c r="F29" s="77"/>
      <c r="G29" s="77"/>
      <c r="H29" s="77"/>
      <c r="I29" s="79"/>
      <c r="J29" s="77"/>
    </row>
    <row r="30" spans="1:10" s="2" customFormat="1" x14ac:dyDescent="0.25">
      <c r="A30" s="82" t="s">
        <v>536</v>
      </c>
      <c r="B30" s="83">
        <f>B28*(1-B29)</f>
        <v>8616877726.3736744</v>
      </c>
      <c r="C30" s="91">
        <v>0.4</v>
      </c>
      <c r="D30" s="91">
        <v>0.3</v>
      </c>
      <c r="E30" s="91">
        <v>0.2</v>
      </c>
      <c r="F30" s="80"/>
      <c r="G30" s="80"/>
      <c r="H30" s="80"/>
      <c r="I30" s="81"/>
      <c r="J30" s="80"/>
    </row>
    <row r="31" spans="1:10" x14ac:dyDescent="0.25">
      <c r="A31" s="70" t="s">
        <v>538</v>
      </c>
      <c r="B31" s="101">
        <f>B55</f>
        <v>909133215</v>
      </c>
      <c r="C31" s="215">
        <f>$B$32*(1-C30)</f>
        <v>5.6868746521643745</v>
      </c>
      <c r="D31" s="215">
        <f>$B$32*(1-D30)</f>
        <v>6.6346870941917695</v>
      </c>
      <c r="E31" s="215">
        <f>$B$32*(1-E30)</f>
        <v>7.5824995362191663</v>
      </c>
      <c r="F31" s="77"/>
      <c r="G31" s="77"/>
      <c r="H31" s="77"/>
      <c r="I31" s="79"/>
      <c r="J31" s="77"/>
    </row>
    <row r="32" spans="1:10" s="2" customFormat="1" ht="15" thickBot="1" x14ac:dyDescent="0.3">
      <c r="A32" s="84" t="s">
        <v>537</v>
      </c>
      <c r="B32" s="85">
        <f>B30/B31</f>
        <v>9.4781244202739572</v>
      </c>
      <c r="C32" s="86"/>
      <c r="D32" s="86"/>
      <c r="E32" s="86"/>
      <c r="F32" s="86"/>
      <c r="G32" s="86"/>
      <c r="H32" s="86"/>
      <c r="I32" s="87"/>
      <c r="J32" s="80"/>
    </row>
    <row r="33" spans="1:19" ht="63" customHeight="1" x14ac:dyDescent="0.25">
      <c r="A33" s="300" t="s">
        <v>741</v>
      </c>
      <c r="B33" s="301"/>
      <c r="C33" s="301"/>
      <c r="D33" s="301"/>
      <c r="E33" s="301"/>
      <c r="F33" s="301"/>
      <c r="G33" s="301"/>
      <c r="H33" s="301"/>
      <c r="I33" s="301"/>
    </row>
    <row r="37" spans="1:19" s="63" customFormat="1" x14ac:dyDescent="0.25">
      <c r="A37" s="204"/>
      <c r="B37" s="204"/>
      <c r="C37" s="214" t="s">
        <v>540</v>
      </c>
      <c r="D37" s="214">
        <v>0.15</v>
      </c>
      <c r="E37" s="214"/>
      <c r="F37" s="214"/>
      <c r="G37" s="214"/>
      <c r="H37" s="214" t="s">
        <v>635</v>
      </c>
      <c r="I37" s="214">
        <v>0.09</v>
      </c>
      <c r="J37" s="214"/>
      <c r="K37" s="214"/>
      <c r="L37" s="214"/>
      <c r="M37" s="214"/>
      <c r="N37" s="214"/>
      <c r="O37" s="214"/>
      <c r="P37" s="214"/>
      <c r="Q37" s="214"/>
      <c r="R37" s="214" t="s">
        <v>545</v>
      </c>
      <c r="S37" s="214">
        <v>0.02</v>
      </c>
    </row>
    <row r="38" spans="1:19" s="24" customFormat="1" x14ac:dyDescent="0.25">
      <c r="A38" s="308" t="s">
        <v>543</v>
      </c>
      <c r="B38" s="309"/>
      <c r="C38" s="216" t="s">
        <v>539</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526</v>
      </c>
      <c r="B39" s="94"/>
      <c r="C39" s="89">
        <f>B2</f>
        <v>204068369.55333328</v>
      </c>
      <c r="D39" s="89">
        <f>$C$39*(1+$D$37)^D38</f>
        <v>234678624.98633325</v>
      </c>
      <c r="E39" s="89">
        <f>$C$39*(1+$D$37)^E38</f>
        <v>269880418.73428321</v>
      </c>
      <c r="F39" s="89">
        <f>$C$39*(1+$D$37)^F38</f>
        <v>310362481.54442567</v>
      </c>
      <c r="G39" s="89">
        <f>$C$39*(1+$D$37)^G38</f>
        <v>356916853.77608949</v>
      </c>
      <c r="H39" s="89">
        <f>$C$39*(1+$D$37)^H38</f>
        <v>410454381.84250295</v>
      </c>
      <c r="I39" s="89">
        <f>H39*(1+$I$37)</f>
        <v>447395276.20832825</v>
      </c>
      <c r="J39" s="89">
        <f t="shared" ref="J39:N39" si="1">I39*(1+$I$37)</f>
        <v>487660851.06707782</v>
      </c>
      <c r="K39" s="89">
        <f t="shared" si="1"/>
        <v>531550327.66311485</v>
      </c>
      <c r="L39" s="89">
        <f t="shared" si="1"/>
        <v>579389857.1527952</v>
      </c>
      <c r="M39" s="89">
        <f t="shared" si="1"/>
        <v>631534944.29654682</v>
      </c>
      <c r="N39" s="89">
        <f t="shared" si="1"/>
        <v>688373089.28323603</v>
      </c>
      <c r="O39" s="89">
        <f t="shared" ref="O39" si="2">N39*(1+$I$37)</f>
        <v>750326667.31872737</v>
      </c>
      <c r="P39" s="89">
        <f t="shared" ref="P39" si="3">O39*(1+$I$37)</f>
        <v>817856067.37741292</v>
      </c>
      <c r="Q39" s="89">
        <f t="shared" ref="Q39" si="4">P39*(1+$I$37)</f>
        <v>891463113.44138014</v>
      </c>
      <c r="R39" s="89">
        <f t="shared" ref="R39" si="5">Q39*(1+$I$37)</f>
        <v>971694793.65110445</v>
      </c>
      <c r="S39" s="89">
        <f>R39*(1+S37)</f>
        <v>991128689.52412653</v>
      </c>
    </row>
    <row r="40" spans="1:19" s="23" customFormat="1" x14ac:dyDescent="0.25">
      <c r="A40" s="210" t="s">
        <v>527</v>
      </c>
      <c r="B40" s="209">
        <f>B4</f>
        <v>7.9831530450049371E-2</v>
      </c>
      <c r="C40" s="215"/>
      <c r="D40" s="215">
        <f>(1+$B$40)^D38</f>
        <v>1.0798315304500494</v>
      </c>
      <c r="E40" s="215">
        <f t="shared" ref="E40:R40" si="6">(1+$B$40)^E38</f>
        <v>1.1660361341540961</v>
      </c>
      <c r="F40" s="215">
        <f t="shared" si="6"/>
        <v>1.2591225833036768</v>
      </c>
      <c r="G40" s="215">
        <f t="shared" si="6"/>
        <v>1.3596402661530294</v>
      </c>
      <c r="H40" s="215">
        <f t="shared" si="6"/>
        <v>1.4681824294615382</v>
      </c>
      <c r="I40" s="215">
        <f t="shared" si="6"/>
        <v>1.5853896797853246</v>
      </c>
      <c r="J40" s="215">
        <f t="shared" si="6"/>
        <v>1.7119537642823011</v>
      </c>
      <c r="K40" s="215">
        <f t="shared" si="6"/>
        <v>1.8486216533446804</v>
      </c>
      <c r="L40" s="215">
        <f t="shared" si="6"/>
        <v>1.996199949154287</v>
      </c>
      <c r="M40" s="215">
        <f t="shared" si="6"/>
        <v>2.1555596461795847</v>
      </c>
      <c r="N40" s="215">
        <f t="shared" si="6"/>
        <v>2.3276412717104682</v>
      </c>
      <c r="O40" s="215">
        <f t="shared" si="6"/>
        <v>2.5134604367698143</v>
      </c>
      <c r="P40" s="215">
        <f t="shared" si="6"/>
        <v>2.7141138301627983</v>
      </c>
      <c r="Q40" s="215">
        <f t="shared" si="6"/>
        <v>2.9307856910403403</v>
      </c>
      <c r="R40" s="215">
        <f t="shared" si="6"/>
        <v>3.1647547981771966</v>
      </c>
      <c r="S40" s="183">
        <f>(1+$B$40)^S38</f>
        <v>3.4174020172148198</v>
      </c>
    </row>
    <row r="41" spans="1:19" s="193" customFormat="1" x14ac:dyDescent="0.25">
      <c r="A41" s="310" t="s">
        <v>528</v>
      </c>
      <c r="B41" s="311"/>
      <c r="C41" s="89"/>
      <c r="D41" s="89">
        <f t="shared" ref="D41:R41" si="7">D39/D40</f>
        <v>217328924.34482303</v>
      </c>
      <c r="E41" s="89">
        <f t="shared" si="7"/>
        <v>231451162.47196633</v>
      </c>
      <c r="F41" s="89">
        <f t="shared" si="7"/>
        <v>246491076.92922068</v>
      </c>
      <c r="G41" s="89">
        <f t="shared" si="7"/>
        <v>262508299.18854287</v>
      </c>
      <c r="H41" s="89">
        <f t="shared" si="7"/>
        <v>279566335.63108283</v>
      </c>
      <c r="I41" s="89">
        <f t="shared" si="7"/>
        <v>282198933.11586928</v>
      </c>
      <c r="J41" s="89">
        <f t="shared" si="7"/>
        <v>284856321.03009444</v>
      </c>
      <c r="K41" s="89">
        <f t="shared" si="7"/>
        <v>287538732.81825387</v>
      </c>
      <c r="L41" s="89">
        <f t="shared" si="7"/>
        <v>290246404.12312424</v>
      </c>
      <c r="M41" s="89">
        <f t="shared" si="7"/>
        <v>292979572.80646372</v>
      </c>
      <c r="N41" s="89">
        <f t="shared" si="7"/>
        <v>295738478.96990794</v>
      </c>
      <c r="O41" s="89">
        <f t="shared" si="7"/>
        <v>298523364.97606194</v>
      </c>
      <c r="P41" s="89">
        <f t="shared" si="7"/>
        <v>301334475.46979123</v>
      </c>
      <c r="Q41" s="89">
        <f t="shared" si="7"/>
        <v>304172057.3997131</v>
      </c>
      <c r="R41" s="89">
        <f t="shared" si="7"/>
        <v>307036360.03989041</v>
      </c>
      <c r="S41" s="89">
        <f>S39/((B40-S37)*S40)</f>
        <v>4847344255.4832935</v>
      </c>
    </row>
    <row r="42" spans="1:19" s="23" customFormat="1" x14ac:dyDescent="0.25">
      <c r="A42" s="312" t="s">
        <v>546</v>
      </c>
      <c r="B42" s="313"/>
      <c r="C42" s="215"/>
      <c r="D42" s="305">
        <f>SUM(D41:H41)</f>
        <v>1237345798.5656357</v>
      </c>
      <c r="E42" s="306"/>
      <c r="F42" s="306"/>
      <c r="G42" s="306"/>
      <c r="H42" s="307"/>
      <c r="I42" s="305">
        <f>SUM(I41:R41)</f>
        <v>2944624700.7491703</v>
      </c>
      <c r="J42" s="306"/>
      <c r="K42" s="306"/>
      <c r="L42" s="306"/>
      <c r="M42" s="306"/>
      <c r="N42" s="306"/>
      <c r="O42" s="306"/>
      <c r="P42" s="306"/>
      <c r="Q42" s="306"/>
      <c r="R42" s="307"/>
      <c r="S42" s="215">
        <f>S41</f>
        <v>4847344255.4832935</v>
      </c>
    </row>
    <row r="43" spans="1:19" x14ac:dyDescent="0.25">
      <c r="A43" s="206" t="s">
        <v>544</v>
      </c>
      <c r="B43" s="197">
        <f>D42+I42+S42</f>
        <v>9029314754.7980995</v>
      </c>
      <c r="C43" s="198"/>
      <c r="D43" s="198"/>
      <c r="E43" s="198"/>
      <c r="F43" s="198"/>
      <c r="G43" s="198"/>
      <c r="H43" s="198"/>
      <c r="I43" s="198"/>
      <c r="J43" s="198"/>
      <c r="K43" s="198"/>
      <c r="L43" s="198"/>
      <c r="M43" s="198"/>
      <c r="N43" s="198"/>
      <c r="O43" s="198"/>
      <c r="P43" s="198"/>
      <c r="Q43" s="198"/>
      <c r="R43" s="198"/>
      <c r="S43" s="200"/>
    </row>
    <row r="44" spans="1:19" x14ac:dyDescent="0.25">
      <c r="A44" s="206" t="s">
        <v>530</v>
      </c>
      <c r="B44" s="197">
        <f>B43</f>
        <v>9029314754.7980995</v>
      </c>
      <c r="C44" s="198"/>
      <c r="D44" s="198"/>
      <c r="E44" s="198"/>
      <c r="F44" s="198"/>
      <c r="G44" s="198"/>
      <c r="H44" s="198"/>
      <c r="I44" s="198"/>
      <c r="J44" s="198"/>
      <c r="K44" s="198"/>
      <c r="L44" s="198"/>
      <c r="M44" s="198"/>
      <c r="N44" s="198"/>
      <c r="O44" s="198"/>
      <c r="P44" s="198"/>
      <c r="Q44" s="198"/>
      <c r="R44" s="198"/>
      <c r="S44" s="200"/>
    </row>
    <row r="45" spans="1:19" x14ac:dyDescent="0.25">
      <c r="A45" s="196" t="s">
        <v>531</v>
      </c>
      <c r="B45" s="197">
        <f>资产资本表!E17</f>
        <v>627279567.75999999</v>
      </c>
      <c r="C45" s="198"/>
      <c r="D45" s="198"/>
      <c r="E45" s="198"/>
      <c r="F45" s="198"/>
      <c r="G45" s="198"/>
      <c r="H45" s="198"/>
      <c r="I45" s="198"/>
      <c r="J45" s="198"/>
      <c r="K45" s="198"/>
      <c r="L45" s="198"/>
      <c r="M45" s="198"/>
      <c r="N45" s="198"/>
      <c r="O45" s="198"/>
      <c r="P45" s="198"/>
      <c r="Q45" s="198"/>
      <c r="R45" s="198"/>
      <c r="S45" s="200"/>
    </row>
    <row r="46" spans="1:19" x14ac:dyDescent="0.25">
      <c r="A46" s="196" t="s">
        <v>532</v>
      </c>
      <c r="B46" s="197">
        <f>资产资本表!E19</f>
        <v>19416080.27</v>
      </c>
      <c r="C46" s="198"/>
      <c r="D46" s="198"/>
      <c r="E46" s="198"/>
      <c r="F46" s="198"/>
      <c r="G46" s="198"/>
      <c r="H46" s="198"/>
      <c r="I46" s="198"/>
      <c r="J46" s="198"/>
      <c r="K46" s="198"/>
      <c r="L46" s="198"/>
      <c r="M46" s="198"/>
      <c r="N46" s="198"/>
      <c r="O46" s="198"/>
      <c r="P46" s="198"/>
      <c r="Q46" s="198"/>
      <c r="R46" s="198"/>
      <c r="S46" s="200"/>
    </row>
    <row r="47" spans="1:19" x14ac:dyDescent="0.25">
      <c r="A47" s="196" t="s">
        <v>533</v>
      </c>
      <c r="B47" s="197">
        <f>资产资本表!E89</f>
        <v>9814499.0099999998</v>
      </c>
      <c r="C47" s="198"/>
      <c r="D47" s="198"/>
      <c r="E47" s="198"/>
      <c r="F47" s="198"/>
      <c r="G47" s="198"/>
      <c r="H47" s="198"/>
      <c r="I47" s="198"/>
      <c r="J47" s="198"/>
      <c r="K47" s="198"/>
      <c r="L47" s="198"/>
      <c r="M47" s="198"/>
      <c r="N47" s="198"/>
      <c r="O47" s="198"/>
      <c r="P47" s="198"/>
      <c r="Q47" s="198"/>
      <c r="R47" s="198"/>
      <c r="S47" s="200"/>
    </row>
    <row r="48" spans="1:19" x14ac:dyDescent="0.25">
      <c r="A48" s="201" t="s">
        <v>534</v>
      </c>
      <c r="B48" s="197">
        <f>B44+B45+B46-B47</f>
        <v>9666195903.8181</v>
      </c>
      <c r="C48" s="198"/>
      <c r="D48" s="198"/>
      <c r="E48" s="198"/>
      <c r="F48" s="198"/>
      <c r="G48" s="198"/>
      <c r="H48" s="198"/>
      <c r="I48" s="198"/>
      <c r="J48" s="198"/>
      <c r="K48" s="198"/>
      <c r="L48" s="198"/>
      <c r="M48" s="198"/>
      <c r="N48" s="198"/>
      <c r="O48" s="198"/>
      <c r="P48" s="198"/>
      <c r="Q48" s="198"/>
      <c r="R48" s="198"/>
      <c r="S48" s="200"/>
    </row>
    <row r="49" spans="1:74" x14ac:dyDescent="0.25">
      <c r="A49" s="196" t="s">
        <v>535</v>
      </c>
      <c r="B49" s="199">
        <f>资产资本表!E103/资产资本表!E107</f>
        <v>1.9886987191949043E-3</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536</v>
      </c>
      <c r="B50" s="197">
        <f>B48*(1-B49)</f>
        <v>9646972752.4046898</v>
      </c>
      <c r="C50" s="302" t="s">
        <v>542</v>
      </c>
      <c r="D50" s="303"/>
      <c r="E50" s="304"/>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538</v>
      </c>
      <c r="B51" s="211">
        <f>B55</f>
        <v>909133215</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537</v>
      </c>
      <c r="B52" s="207">
        <f>B50/B51</f>
        <v>10.611176220642967</v>
      </c>
      <c r="C52" s="208">
        <f>$B$52*(1-C51)</f>
        <v>6.3667057323857801</v>
      </c>
      <c r="D52" s="208">
        <f>$B$52*(1-D51)</f>
        <v>7.4278233544500765</v>
      </c>
      <c r="E52" s="208">
        <f>$B$52*(1-E51)</f>
        <v>8.4889409765143746</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4" customFormat="1" x14ac:dyDescent="0.25">
      <c r="A54" s="195">
        <v>2643</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3" customFormat="1" x14ac:dyDescent="0.25">
      <c r="A55" s="212" t="s">
        <v>549</v>
      </c>
      <c r="B55" s="100">
        <v>909133215</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2" t="s">
        <v>742</v>
      </c>
      <c r="B57" s="293"/>
      <c r="C57" s="293"/>
      <c r="D57" s="293"/>
      <c r="E57" s="293"/>
      <c r="F57" s="293"/>
      <c r="G57" s="293"/>
      <c r="H57" s="293"/>
      <c r="I57" s="293"/>
    </row>
    <row r="60" spans="1:74" s="156" customFormat="1" ht="51" customHeight="1" x14ac:dyDescent="0.25">
      <c r="A60" s="290" t="s">
        <v>607</v>
      </c>
      <c r="B60" s="291"/>
      <c r="C60" s="291"/>
      <c r="D60" s="291"/>
      <c r="E60" s="291"/>
      <c r="F60" s="291"/>
      <c r="G60" s="291"/>
      <c r="H60" s="291"/>
      <c r="I60" s="291"/>
    </row>
    <row r="63" spans="1:74" s="4" customFormat="1" x14ac:dyDescent="0.25">
      <c r="A63" s="178" t="s">
        <v>609</v>
      </c>
      <c r="B63" s="177" t="s">
        <v>610</v>
      </c>
      <c r="C63" s="96" t="s">
        <v>611</v>
      </c>
      <c r="D63" s="96" t="s">
        <v>612</v>
      </c>
      <c r="E63" s="96" t="s">
        <v>627</v>
      </c>
      <c r="F63" s="96" t="s">
        <v>613</v>
      </c>
      <c r="G63" s="96" t="s">
        <v>614</v>
      </c>
      <c r="H63" s="96" t="s">
        <v>623</v>
      </c>
      <c r="I63" s="96" t="s">
        <v>616</v>
      </c>
      <c r="J63" s="96" t="s">
        <v>622</v>
      </c>
      <c r="K63" s="96" t="s">
        <v>618</v>
      </c>
      <c r="L63" s="96" t="s">
        <v>624</v>
      </c>
    </row>
    <row r="64" spans="1:74" s="26" customFormat="1" x14ac:dyDescent="0.25">
      <c r="A64" s="179">
        <f>股权价值增加表!M1</f>
        <v>42369</v>
      </c>
      <c r="B64" s="167">
        <v>42366</v>
      </c>
      <c r="C64" s="166">
        <v>17.39</v>
      </c>
      <c r="D64" s="166">
        <v>3.4</v>
      </c>
      <c r="E64" s="168">
        <f>股权价值增加表!M42/100000000</f>
        <v>2.9814411263</v>
      </c>
      <c r="F64" s="168">
        <v>0</v>
      </c>
      <c r="G64" s="166">
        <v>16.47</v>
      </c>
      <c r="H64" s="168">
        <f>G64*D64</f>
        <v>55.997999999999998</v>
      </c>
      <c r="I64" s="168">
        <f>C64*D64</f>
        <v>59.125999999999998</v>
      </c>
      <c r="J64" s="168">
        <f>H64/E64</f>
        <v>18.782192110395322</v>
      </c>
      <c r="K64" s="168">
        <f>I64/E64</f>
        <v>19.831349168170895</v>
      </c>
      <c r="L64" s="264">
        <v>0</v>
      </c>
    </row>
    <row r="65" spans="1:12" s="26" customFormat="1" x14ac:dyDescent="0.25">
      <c r="A65" s="179">
        <f>股权价值增加表!I1</f>
        <v>42735</v>
      </c>
      <c r="B65" s="167">
        <v>42543</v>
      </c>
      <c r="C65" s="166">
        <v>23.13</v>
      </c>
      <c r="D65" s="166">
        <v>3.64</v>
      </c>
      <c r="E65" s="168">
        <f>股权价值增加表!I42/100000000</f>
        <v>3.7001159178999985</v>
      </c>
      <c r="F65" s="168">
        <f>(E65-E64)/E64*100</f>
        <v>24.104946606538611</v>
      </c>
      <c r="G65" s="166">
        <v>23.11</v>
      </c>
      <c r="H65" s="168">
        <f t="shared" ref="H65:H66" si="8">G65*D65</f>
        <v>84.120400000000004</v>
      </c>
      <c r="I65" s="168">
        <f t="shared" ref="I65:I66" si="9">C65*D65</f>
        <v>84.193200000000004</v>
      </c>
      <c r="J65" s="168">
        <f t="shared" ref="J65:J66" si="10">H65/E65</f>
        <v>22.734530989435203</v>
      </c>
      <c r="K65" s="168">
        <f t="shared" ref="K65:K66" si="11">I65/E65</f>
        <v>22.754206048707758</v>
      </c>
      <c r="L65" s="264">
        <f>K65/F65</f>
        <v>0.94396417549149614</v>
      </c>
    </row>
    <row r="66" spans="1:12" s="26" customFormat="1" x14ac:dyDescent="0.25">
      <c r="A66" s="179">
        <f>股权价值增加表!E1</f>
        <v>43100</v>
      </c>
      <c r="B66" s="167">
        <v>42872</v>
      </c>
      <c r="C66" s="166">
        <v>16.399999999999999</v>
      </c>
      <c r="D66" s="166">
        <v>9.09</v>
      </c>
      <c r="E66" s="168">
        <f>股权价值增加表!E42/100000000</f>
        <v>3.0430623341999978</v>
      </c>
      <c r="F66" s="168">
        <f t="shared" ref="F66" si="12">(E66-E65)/E65*100</f>
        <v>-17.757648632611261</v>
      </c>
      <c r="G66" s="166">
        <v>15.76</v>
      </c>
      <c r="H66" s="168">
        <f t="shared" si="8"/>
        <v>143.25839999999999</v>
      </c>
      <c r="I66" s="168">
        <f t="shared" si="9"/>
        <v>149.07599999999999</v>
      </c>
      <c r="J66" s="168">
        <f t="shared" si="10"/>
        <v>47.077050768880071</v>
      </c>
      <c r="K66" s="168">
        <f t="shared" si="11"/>
        <v>48.988809175738147</v>
      </c>
      <c r="L66" s="264">
        <f t="shared" ref="L66" si="13">K66/F66</f>
        <v>-2.7587441439612688</v>
      </c>
    </row>
    <row r="67" spans="1:12" s="26" customFormat="1" x14ac:dyDescent="0.25">
      <c r="A67" s="162"/>
      <c r="B67" s="163"/>
      <c r="C67" s="83"/>
      <c r="D67" s="83"/>
      <c r="E67" s="83"/>
      <c r="F67" s="165"/>
      <c r="G67" s="83"/>
      <c r="H67" s="165"/>
      <c r="I67" s="165"/>
      <c r="J67" s="165"/>
      <c r="K67" s="165"/>
      <c r="L67" s="265"/>
    </row>
    <row r="68" spans="1:12" s="157" customFormat="1" ht="15" thickBot="1" x14ac:dyDescent="0.3">
      <c r="A68" s="164" t="s">
        <v>621</v>
      </c>
      <c r="B68" s="44" t="s">
        <v>610</v>
      </c>
      <c r="C68" s="44" t="s">
        <v>611</v>
      </c>
      <c r="D68" s="44" t="s">
        <v>612</v>
      </c>
      <c r="E68" s="44" t="s">
        <v>620</v>
      </c>
      <c r="F68" s="44" t="s">
        <v>613</v>
      </c>
      <c r="G68" s="44" t="s">
        <v>614</v>
      </c>
      <c r="H68" s="44" t="s">
        <v>615</v>
      </c>
      <c r="I68" s="44" t="s">
        <v>616</v>
      </c>
      <c r="J68" s="44" t="s">
        <v>617</v>
      </c>
      <c r="K68" s="44" t="s">
        <v>618</v>
      </c>
      <c r="L68" s="266" t="s">
        <v>619</v>
      </c>
    </row>
    <row r="69" spans="1:12" s="26" customFormat="1" ht="15" thickBot="1" x14ac:dyDescent="0.3">
      <c r="A69" s="169" t="s">
        <v>626</v>
      </c>
      <c r="B69" s="170">
        <v>43305</v>
      </c>
      <c r="C69" s="171">
        <v>11.65</v>
      </c>
      <c r="D69" s="171">
        <v>9.09</v>
      </c>
      <c r="E69" s="171">
        <v>4.33</v>
      </c>
      <c r="F69" s="172">
        <f>(E69-E66)/E66*100</f>
        <v>42.290874272818016</v>
      </c>
      <c r="G69" s="171">
        <v>10.119999999999999</v>
      </c>
      <c r="H69" s="172">
        <f>G69*D69</f>
        <v>91.990799999999993</v>
      </c>
      <c r="I69" s="172">
        <f>C69*D69</f>
        <v>105.8985</v>
      </c>
      <c r="J69" s="172">
        <f>H69/E69</f>
        <v>21.244988452655885</v>
      </c>
      <c r="K69" s="172">
        <f>I69/E69</f>
        <v>24.456928406466513</v>
      </c>
      <c r="L69" s="267">
        <f>K69/F69</f>
        <v>0.57830273852214797</v>
      </c>
    </row>
    <row r="70" spans="1:12" s="26" customFormat="1" ht="15" thickBot="1" x14ac:dyDescent="0.3">
      <c r="A70" s="173" t="s">
        <v>625</v>
      </c>
      <c r="B70" s="174">
        <v>43305</v>
      </c>
      <c r="C70" s="175">
        <v>11.65</v>
      </c>
      <c r="D70" s="175">
        <v>9.09</v>
      </c>
      <c r="E70" s="175">
        <v>3.86</v>
      </c>
      <c r="F70" s="176">
        <f>(E70-E66)/E66*100</f>
        <v>26.84590639562991</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8">
        <f t="shared" ref="L70" si="18">K70/F70</f>
        <v>1.0219377269396817</v>
      </c>
    </row>
    <row r="71" spans="1:12" s="88" customFormat="1" ht="138" customHeight="1" x14ac:dyDescent="0.25">
      <c r="A71" s="288" t="s">
        <v>628</v>
      </c>
      <c r="B71" s="289"/>
      <c r="C71" s="289"/>
      <c r="D71" s="289"/>
      <c r="E71" s="289"/>
      <c r="F71" s="289"/>
      <c r="G71" s="289"/>
      <c r="H71" s="289"/>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2019-02-14T01:05:50Z</dcterms:modified>
</cp:coreProperties>
</file>