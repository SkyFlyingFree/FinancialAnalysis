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2.xml" ContentType="application/vnd.openxmlformats-officedocument.drawing+xml"/>
  <Override PartName="/xl/charts/chart7.xml" ContentType="application/vnd.openxmlformats-officedocument.drawingml.chart+xml"/>
  <Override PartName="/xl/drawings/drawing3.xml" ContentType="application/vnd.openxmlformats-officedocument.drawingml.chartshapes+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4.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6.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7.xml" ContentType="application/vnd.openxmlformats-officedocument.drawing+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drawings/drawing8.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126" codeName="{22E68647-3C60-695B-3CA0-4895CD717B8A}"/>
  <workbookPr codeName="ThisWorkbook" defaultThemeVersion="124226"/>
  <mc:AlternateContent xmlns:mc="http://schemas.openxmlformats.org/markup-compatibility/2006">
    <mc:Choice Requires="x15">
      <x15ac:absPath xmlns:x15ac="http://schemas.microsoft.com/office/spreadsheetml/2010/11/ac" url="D:\doc\FinancialAnalysis\上市公司\"/>
    </mc:Choice>
  </mc:AlternateContent>
  <xr:revisionPtr revIDLastSave="0" documentId="13_ncr:1_{513F041D-B407-474E-A532-8FEE19F1C7F7}" xr6:coauthVersionLast="40" xr6:coauthVersionMax="40" xr10:uidLastSave="{00000000-0000-0000-0000-000000000000}"/>
  <bookViews>
    <workbookView xWindow="480" yWindow="48" windowWidth="24792" windowHeight="11676" tabRatio="898" firstSheet="3" activeTab="11" xr2:uid="{00000000-000D-0000-FFFF-FFFF00000000}"/>
  </bookViews>
  <sheets>
    <sheet name="资产负债表" sheetId="1" r:id="rId1"/>
    <sheet name="利润表" sheetId="2" r:id="rId2"/>
    <sheet name="现金流量表" sheetId="3" r:id="rId3"/>
    <sheet name="资产资本表" sheetId="5" r:id="rId4"/>
    <sheet name="股权价值增加表" sheetId="6" r:id="rId5"/>
    <sheet name="投资和筹资活动现金流表" sheetId="7" r:id="rId6"/>
    <sheet name="平均资本成本表" sheetId="8" r:id="rId7"/>
    <sheet name="资产资本结构分析表" sheetId="9" r:id="rId8"/>
    <sheet name="股权价值增加分析表" sheetId="10" r:id="rId9"/>
    <sheet name="股东权益回报率分析表" sheetId="11" r:id="rId10"/>
    <sheet name="自由现金流分析表" sheetId="12" r:id="rId11"/>
    <sheet name="根据DCF测算价值表" sheetId="13" r:id="rId12"/>
  </sheets>
  <functionGroups builtInGroupCount="19"/>
  <calcPr calcId="181029"/>
</workbook>
</file>

<file path=xl/calcChain.xml><?xml version="1.0" encoding="utf-8"?>
<calcChain xmlns="http://schemas.openxmlformats.org/spreadsheetml/2006/main">
  <c r="Q29" i="12" l="1"/>
  <c r="P29" i="12"/>
  <c r="O29" i="12"/>
  <c r="M29" i="12"/>
  <c r="I29" i="12"/>
  <c r="F29" i="12"/>
  <c r="G29" i="12"/>
  <c r="H29" i="12"/>
  <c r="J29" i="12"/>
  <c r="K29" i="12"/>
  <c r="L29" i="12"/>
  <c r="N29" i="12"/>
  <c r="E29" i="12"/>
  <c r="B2" i="13"/>
  <c r="F75" i="10"/>
  <c r="G75" i="10"/>
  <c r="H75" i="10"/>
  <c r="I75" i="10"/>
  <c r="J75" i="10"/>
  <c r="K75" i="10"/>
  <c r="L75" i="10"/>
  <c r="M75" i="10"/>
  <c r="N75" i="10"/>
  <c r="O75" i="10"/>
  <c r="P75" i="10"/>
  <c r="Q75" i="10"/>
  <c r="R75" i="10"/>
  <c r="S75" i="10"/>
  <c r="T75" i="10"/>
  <c r="U75" i="10"/>
  <c r="V75" i="10"/>
  <c r="W75" i="10"/>
  <c r="X75" i="10"/>
  <c r="Y75" i="10"/>
  <c r="Z75" i="10"/>
  <c r="AA75" i="10"/>
  <c r="AB75" i="10"/>
  <c r="AC75" i="10"/>
  <c r="F74" i="10"/>
  <c r="G74" i="10"/>
  <c r="H74" i="10"/>
  <c r="I74" i="10"/>
  <c r="J74" i="10"/>
  <c r="K74" i="10"/>
  <c r="L74" i="10"/>
  <c r="M74" i="10"/>
  <c r="N74" i="10"/>
  <c r="O74" i="10"/>
  <c r="P74" i="10"/>
  <c r="Q74" i="10"/>
  <c r="R74" i="10"/>
  <c r="S74" i="10"/>
  <c r="T74" i="10"/>
  <c r="U74" i="10"/>
  <c r="V74" i="10"/>
  <c r="W74" i="10"/>
  <c r="X74" i="10"/>
  <c r="Y74" i="10"/>
  <c r="Z74" i="10"/>
  <c r="AA74" i="10"/>
  <c r="AB74" i="10"/>
  <c r="AC74" i="10"/>
  <c r="E75" i="10"/>
  <c r="E74" i="10"/>
  <c r="F76" i="10"/>
  <c r="G76" i="10"/>
  <c r="H76" i="10"/>
  <c r="I76" i="10"/>
  <c r="J76" i="10"/>
  <c r="K76" i="10"/>
  <c r="L76" i="10"/>
  <c r="M76" i="10"/>
  <c r="N76" i="10"/>
  <c r="O76" i="10"/>
  <c r="P76" i="10"/>
  <c r="Q76" i="10"/>
  <c r="R76" i="10"/>
  <c r="S76" i="10"/>
  <c r="T76" i="10"/>
  <c r="U76" i="10"/>
  <c r="V76" i="10"/>
  <c r="W76" i="10"/>
  <c r="X76" i="10"/>
  <c r="Y76" i="10"/>
  <c r="Z76" i="10"/>
  <c r="AA76" i="10"/>
  <c r="AB76" i="10"/>
  <c r="AC76" i="10"/>
  <c r="E76" i="10"/>
  <c r="Q71" i="10"/>
  <c r="R71" i="10"/>
  <c r="P71" i="10"/>
  <c r="N71" i="10"/>
  <c r="O71" i="10"/>
  <c r="M71" i="10"/>
  <c r="N69" i="10"/>
  <c r="O69" i="10"/>
  <c r="F71" i="10"/>
  <c r="G71" i="10"/>
  <c r="H71" i="10"/>
  <c r="I71" i="10"/>
  <c r="J71" i="10"/>
  <c r="K71" i="10"/>
  <c r="L71" i="10"/>
  <c r="S71" i="10"/>
  <c r="T71" i="10"/>
  <c r="U71" i="10"/>
  <c r="V71" i="10"/>
  <c r="W71" i="10"/>
  <c r="X71" i="10"/>
  <c r="Y71" i="10"/>
  <c r="Z71" i="10"/>
  <c r="AA71" i="10"/>
  <c r="AB71" i="10"/>
  <c r="AC71" i="10"/>
  <c r="E71" i="10"/>
  <c r="F70" i="10"/>
  <c r="G70" i="10"/>
  <c r="H70" i="10"/>
  <c r="I70" i="10"/>
  <c r="J70" i="10"/>
  <c r="K70" i="10"/>
  <c r="L70" i="10"/>
  <c r="M70" i="10"/>
  <c r="N70" i="10"/>
  <c r="O70" i="10"/>
  <c r="P70" i="10"/>
  <c r="Q70" i="10"/>
  <c r="R70" i="10"/>
  <c r="S70" i="10"/>
  <c r="T70" i="10"/>
  <c r="U70" i="10"/>
  <c r="V70" i="10"/>
  <c r="W70" i="10"/>
  <c r="X70" i="10"/>
  <c r="Y70" i="10"/>
  <c r="Z70" i="10"/>
  <c r="AA70" i="10"/>
  <c r="AB70" i="10"/>
  <c r="AC70" i="10"/>
  <c r="E70" i="10"/>
  <c r="F69" i="10"/>
  <c r="G69" i="10"/>
  <c r="H69" i="10"/>
  <c r="I69" i="10"/>
  <c r="J69" i="10"/>
  <c r="K69" i="10"/>
  <c r="L69" i="10"/>
  <c r="M69" i="10"/>
  <c r="P69" i="10"/>
  <c r="Q69" i="10"/>
  <c r="R69" i="10"/>
  <c r="S69" i="10"/>
  <c r="T69" i="10"/>
  <c r="U69" i="10"/>
  <c r="V69" i="10"/>
  <c r="W69" i="10"/>
  <c r="X69" i="10"/>
  <c r="Y69" i="10"/>
  <c r="Z69" i="10"/>
  <c r="AA69" i="10"/>
  <c r="AB69" i="10"/>
  <c r="AC69" i="10"/>
  <c r="E69" i="10"/>
  <c r="F68" i="10"/>
  <c r="G68" i="10"/>
  <c r="H68" i="10"/>
  <c r="I68" i="10"/>
  <c r="J68" i="10"/>
  <c r="K68" i="10"/>
  <c r="L68" i="10"/>
  <c r="M68" i="10"/>
  <c r="N68" i="10"/>
  <c r="O68" i="10"/>
  <c r="P68" i="10"/>
  <c r="Q68" i="10"/>
  <c r="R68" i="10"/>
  <c r="S68" i="10"/>
  <c r="T68" i="10"/>
  <c r="U68" i="10"/>
  <c r="V68" i="10"/>
  <c r="W68" i="10"/>
  <c r="X68" i="10"/>
  <c r="Y68" i="10"/>
  <c r="Z68" i="10"/>
  <c r="AA68" i="10"/>
  <c r="AB68" i="10"/>
  <c r="AC68" i="10"/>
  <c r="E68" i="10"/>
  <c r="F73" i="10"/>
  <c r="G73" i="10"/>
  <c r="H73" i="10"/>
  <c r="I73" i="10"/>
  <c r="J73" i="10"/>
  <c r="K73" i="10"/>
  <c r="L73" i="10"/>
  <c r="M73" i="10"/>
  <c r="N73" i="10"/>
  <c r="O73" i="10"/>
  <c r="P73" i="10"/>
  <c r="Q73" i="10"/>
  <c r="R73" i="10"/>
  <c r="S73" i="10"/>
  <c r="T73" i="10"/>
  <c r="U73" i="10"/>
  <c r="V73" i="10"/>
  <c r="W73" i="10"/>
  <c r="X73" i="10"/>
  <c r="Y73" i="10"/>
  <c r="Z73" i="10"/>
  <c r="AA73" i="10"/>
  <c r="AB73" i="10"/>
  <c r="AC73" i="10"/>
  <c r="E73" i="10"/>
  <c r="F67" i="10"/>
  <c r="G67" i="10"/>
  <c r="H67" i="10"/>
  <c r="I67" i="10"/>
  <c r="J67" i="10"/>
  <c r="K67" i="10"/>
  <c r="L67" i="10"/>
  <c r="M67" i="10"/>
  <c r="N67" i="10"/>
  <c r="O67" i="10"/>
  <c r="P67" i="10"/>
  <c r="Q67" i="10"/>
  <c r="R67" i="10"/>
  <c r="S67" i="10"/>
  <c r="T67" i="10"/>
  <c r="U67" i="10"/>
  <c r="V67" i="10"/>
  <c r="W67" i="10"/>
  <c r="X67" i="10"/>
  <c r="Y67" i="10"/>
  <c r="Z67" i="10"/>
  <c r="AA67" i="10"/>
  <c r="AB67" i="10"/>
  <c r="AC67" i="10"/>
  <c r="E67" i="10"/>
  <c r="E24" i="9"/>
  <c r="E23" i="9"/>
  <c r="E22" i="9"/>
  <c r="E21" i="9"/>
  <c r="E20" i="9"/>
  <c r="CL27" i="12" l="1"/>
  <c r="F9" i="8" l="1"/>
  <c r="G9" i="8"/>
  <c r="H9" i="8"/>
  <c r="I9" i="8"/>
  <c r="J9" i="8"/>
  <c r="K9" i="8"/>
  <c r="L9" i="8"/>
  <c r="M9" i="8"/>
  <c r="N9" i="8"/>
  <c r="O9" i="8"/>
  <c r="P9" i="8"/>
  <c r="Q9" i="8"/>
  <c r="R9" i="8"/>
  <c r="S9" i="8"/>
  <c r="T9" i="8"/>
  <c r="U9" i="8"/>
  <c r="V9" i="8"/>
  <c r="W9" i="8"/>
  <c r="X9" i="8"/>
  <c r="Y9" i="8"/>
  <c r="Z9" i="8"/>
  <c r="AA9" i="8"/>
  <c r="AB9" i="8"/>
  <c r="AC9" i="8"/>
  <c r="AD9" i="8"/>
  <c r="AE9" i="8"/>
  <c r="AF9" i="8"/>
  <c r="AG9" i="8"/>
  <c r="AH9" i="8"/>
  <c r="AI9" i="8"/>
  <c r="AJ9" i="8"/>
  <c r="AK9" i="8"/>
  <c r="AL9" i="8"/>
  <c r="AM9" i="8"/>
  <c r="AN9" i="8"/>
  <c r="AO9" i="8"/>
  <c r="AP9" i="8"/>
  <c r="AQ9" i="8"/>
  <c r="AR9" i="8"/>
  <c r="AS9" i="8"/>
  <c r="AT9" i="8"/>
  <c r="AU9" i="8"/>
  <c r="AV9" i="8"/>
  <c r="AW9" i="8"/>
  <c r="AX9" i="8"/>
  <c r="AY9" i="8"/>
  <c r="AZ9" i="8"/>
  <c r="BA9" i="8"/>
  <c r="BB9" i="8"/>
  <c r="BC9" i="8"/>
  <c r="BD9" i="8"/>
  <c r="BE9" i="8"/>
  <c r="BF9" i="8"/>
  <c r="BG9" i="8"/>
  <c r="BH9" i="8"/>
  <c r="BI9" i="8"/>
  <c r="BJ9" i="8"/>
  <c r="BK9" i="8"/>
  <c r="BL9" i="8"/>
  <c r="BM9" i="8"/>
  <c r="BN9" i="8"/>
  <c r="BO9" i="8"/>
  <c r="BP9" i="8"/>
  <c r="BQ9" i="8"/>
  <c r="BR9" i="8"/>
  <c r="BS9" i="8"/>
  <c r="BT9" i="8"/>
  <c r="BU9" i="8"/>
  <c r="E9" i="8"/>
  <c r="H60" i="10" l="1"/>
  <c r="F53" i="10"/>
  <c r="F60" i="10" s="1"/>
  <c r="G53" i="10"/>
  <c r="G60" i="10" s="1"/>
  <c r="H53" i="10"/>
  <c r="I53" i="10"/>
  <c r="I60" i="10" s="1"/>
  <c r="J53" i="10"/>
  <c r="J60" i="10" s="1"/>
  <c r="K53" i="10"/>
  <c r="K60" i="10" s="1"/>
  <c r="L53" i="10"/>
  <c r="L60" i="10" s="1"/>
  <c r="M53" i="10"/>
  <c r="M60" i="10" s="1"/>
  <c r="N53" i="10"/>
  <c r="N60" i="10" s="1"/>
  <c r="O53" i="10"/>
  <c r="O60" i="10" s="1"/>
  <c r="P53" i="10"/>
  <c r="P60" i="10" s="1"/>
  <c r="Q53" i="10"/>
  <c r="Q60" i="10" s="1"/>
  <c r="R53" i="10"/>
  <c r="R60" i="10" s="1"/>
  <c r="S53" i="10"/>
  <c r="S60" i="10" s="1"/>
  <c r="T53" i="10"/>
  <c r="T60" i="10" s="1"/>
  <c r="U53" i="10"/>
  <c r="U60" i="10" s="1"/>
  <c r="V53" i="10"/>
  <c r="V60" i="10" s="1"/>
  <c r="W53" i="10"/>
  <c r="W60" i="10" s="1"/>
  <c r="X53" i="10"/>
  <c r="X60" i="10" s="1"/>
  <c r="Y53" i="10"/>
  <c r="Y60" i="10" s="1"/>
  <c r="Z53" i="10"/>
  <c r="Z60" i="10" s="1"/>
  <c r="AA53" i="10"/>
  <c r="AA60" i="10" s="1"/>
  <c r="AB53" i="10"/>
  <c r="AB60" i="10" s="1"/>
  <c r="AC53" i="10"/>
  <c r="AC60" i="10" s="1"/>
  <c r="E53" i="10"/>
  <c r="E60" i="10" s="1"/>
  <c r="F77" i="9"/>
  <c r="G77" i="9"/>
  <c r="H77" i="9"/>
  <c r="I77" i="9"/>
  <c r="J77" i="9"/>
  <c r="K77" i="9"/>
  <c r="L77" i="9"/>
  <c r="M77" i="9"/>
  <c r="N77" i="9"/>
  <c r="O77" i="9"/>
  <c r="P77" i="9"/>
  <c r="Q77" i="9"/>
  <c r="R77" i="9"/>
  <c r="S77" i="9"/>
  <c r="T77" i="9"/>
  <c r="U77" i="9"/>
  <c r="E77" i="9"/>
  <c r="N38" i="9"/>
  <c r="O38" i="9"/>
  <c r="P38" i="9"/>
  <c r="Q38" i="9"/>
  <c r="R38" i="9"/>
  <c r="S38" i="9"/>
  <c r="T38" i="9"/>
  <c r="U38" i="9"/>
  <c r="N54" i="9"/>
  <c r="O54" i="9"/>
  <c r="P54" i="9"/>
  <c r="Q54" i="9"/>
  <c r="R54" i="9"/>
  <c r="S54" i="9"/>
  <c r="T54" i="9"/>
  <c r="U54" i="9"/>
  <c r="F66" i="9"/>
  <c r="G66" i="9"/>
  <c r="H66" i="9"/>
  <c r="I66" i="9"/>
  <c r="J66" i="9"/>
  <c r="K66" i="9"/>
  <c r="L66" i="9"/>
  <c r="M66" i="9"/>
  <c r="N66" i="9"/>
  <c r="O66" i="9"/>
  <c r="P66" i="9"/>
  <c r="Q66" i="9"/>
  <c r="R66" i="9"/>
  <c r="S66" i="9"/>
  <c r="T66" i="9"/>
  <c r="U66" i="9"/>
  <c r="E66" i="9"/>
  <c r="F54" i="9"/>
  <c r="G54" i="9"/>
  <c r="H54" i="9"/>
  <c r="I54" i="9"/>
  <c r="J54" i="9"/>
  <c r="K54" i="9"/>
  <c r="L54" i="9"/>
  <c r="M54" i="9"/>
  <c r="E54" i="9"/>
  <c r="Z17" i="7" l="1"/>
  <c r="AA17" i="7"/>
  <c r="AB17" i="7"/>
  <c r="AC17" i="7"/>
  <c r="AD17" i="7"/>
  <c r="AE17" i="7"/>
  <c r="AF17" i="7"/>
  <c r="AG17" i="7"/>
  <c r="AH17" i="7"/>
  <c r="AI17" i="7"/>
  <c r="AJ17" i="7"/>
  <c r="AK17" i="7"/>
  <c r="AL17" i="7"/>
  <c r="AM17" i="7"/>
  <c r="AN17" i="7"/>
  <c r="AO17" i="7"/>
  <c r="AP17" i="7"/>
  <c r="AQ17" i="7"/>
  <c r="AR17" i="7"/>
  <c r="AS17" i="7"/>
  <c r="AS19" i="7" s="1"/>
  <c r="AS21" i="7" s="1"/>
  <c r="AT17" i="7"/>
  <c r="AU17" i="7"/>
  <c r="AV17" i="7"/>
  <c r="V34" i="7"/>
  <c r="R12" i="7" s="1"/>
  <c r="W34" i="7"/>
  <c r="S12" i="7" s="1"/>
  <c r="X34" i="7"/>
  <c r="T12" i="7" s="1"/>
  <c r="Y34" i="7"/>
  <c r="U12" i="7" s="1"/>
  <c r="Z34" i="7"/>
  <c r="V12" i="7" s="1"/>
  <c r="AA34" i="7"/>
  <c r="W12" i="7" s="1"/>
  <c r="AB34" i="7"/>
  <c r="X12" i="7" s="1"/>
  <c r="AC34" i="7"/>
  <c r="Y12" i="7" s="1"/>
  <c r="AD34" i="7"/>
  <c r="Z12" i="7" s="1"/>
  <c r="AE34" i="7"/>
  <c r="AA12" i="7" s="1"/>
  <c r="AF34" i="7"/>
  <c r="AB12" i="7" s="1"/>
  <c r="AG34" i="7"/>
  <c r="AC12" i="7" s="1"/>
  <c r="AH34" i="7"/>
  <c r="AD12" i="7" s="1"/>
  <c r="AI34" i="7"/>
  <c r="AE12" i="7" s="1"/>
  <c r="AJ34" i="7"/>
  <c r="AF12" i="7" s="1"/>
  <c r="AK34" i="7"/>
  <c r="AG12" i="7" s="1"/>
  <c r="AL34" i="7"/>
  <c r="AH12" i="7" s="1"/>
  <c r="AM34" i="7"/>
  <c r="AI12" i="7" s="1"/>
  <c r="AN34" i="7"/>
  <c r="AJ12" i="7" s="1"/>
  <c r="AO34" i="7"/>
  <c r="AK12" i="7" s="1"/>
  <c r="AP34" i="7"/>
  <c r="AL12" i="7" s="1"/>
  <c r="AQ34" i="7"/>
  <c r="AM12" i="7" s="1"/>
  <c r="AR34" i="7"/>
  <c r="AN12" i="7" s="1"/>
  <c r="AS34" i="7"/>
  <c r="AO12" i="7" s="1"/>
  <c r="AT34" i="7"/>
  <c r="AP12" i="7" s="1"/>
  <c r="AU34" i="7"/>
  <c r="AQ12" i="7" s="1"/>
  <c r="AV34" i="7"/>
  <c r="AR12" i="7" s="1"/>
  <c r="AW34" i="7"/>
  <c r="AS12" i="7" s="1"/>
  <c r="AX34" i="7"/>
  <c r="AT12" i="7" s="1"/>
  <c r="AY34" i="7"/>
  <c r="AU12" i="7" s="1"/>
  <c r="AZ34" i="7"/>
  <c r="AV12" i="7" s="1"/>
  <c r="BA34" i="7"/>
  <c r="AW12" i="7" s="1"/>
  <c r="BB34" i="7"/>
  <c r="AX12" i="7" s="1"/>
  <c r="BC34" i="7"/>
  <c r="AY12" i="7" s="1"/>
  <c r="BD34" i="7"/>
  <c r="AZ12" i="7" s="1"/>
  <c r="BE34" i="7"/>
  <c r="BA12" i="7" s="1"/>
  <c r="BF34" i="7"/>
  <c r="BB12" i="7" s="1"/>
  <c r="BG34" i="7"/>
  <c r="BC12" i="7" s="1"/>
  <c r="BH34" i="7"/>
  <c r="BD12" i="7" s="1"/>
  <c r="BI34" i="7"/>
  <c r="BE12" i="7" s="1"/>
  <c r="BJ34" i="7"/>
  <c r="BF12" i="7" s="1"/>
  <c r="BK34" i="7"/>
  <c r="BG12" i="7" s="1"/>
  <c r="BL34" i="7"/>
  <c r="BH12" i="7" s="1"/>
  <c r="BM34" i="7"/>
  <c r="BI12" i="7" s="1"/>
  <c r="BN34" i="7"/>
  <c r="BJ12" i="7" s="1"/>
  <c r="BO34" i="7"/>
  <c r="BK12" i="7" s="1"/>
  <c r="BP34" i="7"/>
  <c r="BL12" i="7" s="1"/>
  <c r="AL42" i="7"/>
  <c r="AM42" i="7"/>
  <c r="AN42" i="7"/>
  <c r="AO42" i="7"/>
  <c r="AP42" i="7"/>
  <c r="AQ42" i="7"/>
  <c r="AR42" i="7"/>
  <c r="AS42" i="7"/>
  <c r="AT42" i="7"/>
  <c r="AU42" i="7"/>
  <c r="AV42" i="7"/>
  <c r="AW42" i="7"/>
  <c r="AX42" i="7"/>
  <c r="AY42" i="7"/>
  <c r="AZ42" i="7"/>
  <c r="BQ34" i="7"/>
  <c r="BM12" i="7" s="1"/>
  <c r="BR34" i="7"/>
  <c r="BN12" i="7" s="1"/>
  <c r="BS34" i="7"/>
  <c r="AS11" i="7"/>
  <c r="AT11" i="7"/>
  <c r="AU11" i="7"/>
  <c r="AV11" i="7"/>
  <c r="AW11" i="7"/>
  <c r="AX11" i="7"/>
  <c r="AY11" i="7"/>
  <c r="AZ11" i="7"/>
  <c r="BA11" i="7"/>
  <c r="BB11" i="7"/>
  <c r="BC11" i="7"/>
  <c r="BD11" i="7"/>
  <c r="BE11" i="7"/>
  <c r="BF11" i="7"/>
  <c r="BG11" i="7"/>
  <c r="BH11" i="7"/>
  <c r="BI11" i="7"/>
  <c r="BJ11" i="7"/>
  <c r="BK11" i="7"/>
  <c r="BL11" i="7"/>
  <c r="BM11" i="7"/>
  <c r="BN11" i="7"/>
  <c r="BO11" i="7"/>
  <c r="BP11" i="7"/>
  <c r="BQ11" i="7"/>
  <c r="BR11" i="7"/>
  <c r="BS11" i="7"/>
  <c r="AS56" i="6"/>
  <c r="B46" i="13" l="1"/>
  <c r="B51" i="13"/>
  <c r="B54" i="13"/>
  <c r="F38" i="9"/>
  <c r="G38" i="9"/>
  <c r="H38" i="9"/>
  <c r="I38" i="9"/>
  <c r="J38" i="9"/>
  <c r="K38" i="9"/>
  <c r="L38" i="9"/>
  <c r="M38" i="9"/>
  <c r="E38" i="9"/>
  <c r="Z45" i="7" l="1"/>
  <c r="Z49" i="7" s="1"/>
  <c r="AA45" i="7"/>
  <c r="AA49" i="7" s="1"/>
  <c r="AB45" i="7"/>
  <c r="AB49" i="7" s="1"/>
  <c r="AC45" i="7"/>
  <c r="AC49" i="7" s="1"/>
  <c r="AD45" i="7"/>
  <c r="AD49" i="7" s="1"/>
  <c r="AE45" i="7"/>
  <c r="AE49" i="7" s="1"/>
  <c r="AF45" i="7"/>
  <c r="AF49" i="7" s="1"/>
  <c r="AG45" i="7"/>
  <c r="AG49" i="7" s="1"/>
  <c r="AH45" i="7"/>
  <c r="AH49" i="7" s="1"/>
  <c r="AI45" i="7"/>
  <c r="AI49" i="7" s="1"/>
  <c r="AJ45" i="7"/>
  <c r="AJ49" i="7" s="1"/>
  <c r="AK45" i="7"/>
  <c r="AK49" i="7" s="1"/>
  <c r="AL45" i="7"/>
  <c r="AL49" i="7" s="1"/>
  <c r="AM45" i="7"/>
  <c r="AM49" i="7" s="1"/>
  <c r="AN45" i="7"/>
  <c r="AN49" i="7" s="1"/>
  <c r="AO45" i="7"/>
  <c r="AO49" i="7" s="1"/>
  <c r="AP45" i="7"/>
  <c r="AP49" i="7" s="1"/>
  <c r="AQ45" i="7"/>
  <c r="AQ49" i="7" s="1"/>
  <c r="AR45" i="7"/>
  <c r="AR49" i="7" s="1"/>
  <c r="AS45" i="7"/>
  <c r="AS49" i="7" s="1"/>
  <c r="AT45" i="7"/>
  <c r="AT49" i="7" s="1"/>
  <c r="AU45" i="7"/>
  <c r="AU49" i="7" s="1"/>
  <c r="AV45" i="7"/>
  <c r="AV49" i="7" s="1"/>
  <c r="AW45" i="7"/>
  <c r="AW49" i="7" s="1"/>
  <c r="AX45" i="7"/>
  <c r="AX49" i="7" s="1"/>
  <c r="AY45" i="7"/>
  <c r="AY49" i="7" s="1"/>
  <c r="AZ45" i="7"/>
  <c r="AZ49" i="7" s="1"/>
  <c r="BA45" i="7"/>
  <c r="BA49" i="7" s="1"/>
  <c r="BB45" i="7"/>
  <c r="BB49" i="7" s="1"/>
  <c r="BC45" i="7"/>
  <c r="BC49" i="7" s="1"/>
  <c r="BD45" i="7"/>
  <c r="BD49" i="7" s="1"/>
  <c r="BE45" i="7"/>
  <c r="BE49" i="7" s="1"/>
  <c r="BF45" i="7"/>
  <c r="BF49" i="7" s="1"/>
  <c r="BG45" i="7"/>
  <c r="BG49" i="7" s="1"/>
  <c r="BH45" i="7"/>
  <c r="BH49" i="7" s="1"/>
  <c r="BI45" i="7"/>
  <c r="BI49" i="7" s="1"/>
  <c r="BJ45" i="7"/>
  <c r="BJ49" i="7" s="1"/>
  <c r="BK45" i="7"/>
  <c r="BK49" i="7" s="1"/>
  <c r="BL45" i="7"/>
  <c r="BL49" i="7" s="1"/>
  <c r="BM45" i="7"/>
  <c r="BM49" i="7" s="1"/>
  <c r="BN45" i="7"/>
  <c r="BN49" i="7" s="1"/>
  <c r="BO45" i="7"/>
  <c r="BO49" i="7" s="1"/>
  <c r="BP45" i="7"/>
  <c r="BP49" i="7" s="1"/>
  <c r="BQ45" i="7"/>
  <c r="BQ49" i="7" s="1"/>
  <c r="BR45" i="7"/>
  <c r="BR49" i="7" s="1"/>
  <c r="BS45" i="7"/>
  <c r="BS49" i="7" s="1"/>
  <c r="BT45" i="7"/>
  <c r="BT49" i="7" s="1"/>
  <c r="BU45" i="7"/>
  <c r="BU49" i="7" s="1"/>
  <c r="BV45" i="7"/>
  <c r="BV49" i="7" s="1"/>
  <c r="Z42" i="7"/>
  <c r="AA42" i="7"/>
  <c r="AB42" i="7"/>
  <c r="AC42" i="7"/>
  <c r="AD42" i="7"/>
  <c r="AE42" i="7"/>
  <c r="AF42" i="7"/>
  <c r="AG42" i="7"/>
  <c r="AH42" i="7"/>
  <c r="AI42" i="7"/>
  <c r="AJ42" i="7"/>
  <c r="AK42" i="7"/>
  <c r="BA42" i="7"/>
  <c r="BB42" i="7"/>
  <c r="BC42" i="7"/>
  <c r="BD42" i="7"/>
  <c r="BE42" i="7"/>
  <c r="BF42" i="7"/>
  <c r="BG42" i="7"/>
  <c r="BH42" i="7"/>
  <c r="BI42" i="7"/>
  <c r="BJ42" i="7"/>
  <c r="BK42" i="7"/>
  <c r="BL42" i="7"/>
  <c r="BM42" i="7"/>
  <c r="BN42" i="7"/>
  <c r="BO42" i="7"/>
  <c r="BP42" i="7"/>
  <c r="BQ42" i="7"/>
  <c r="BR42" i="7"/>
  <c r="BS42" i="7"/>
  <c r="BT42" i="7"/>
  <c r="BU42" i="7"/>
  <c r="BV42" i="7"/>
  <c r="F27" i="7"/>
  <c r="G27" i="7"/>
  <c r="H27" i="7"/>
  <c r="I27" i="7"/>
  <c r="J27" i="7"/>
  <c r="K27" i="7"/>
  <c r="L27" i="7"/>
  <c r="M27" i="7"/>
  <c r="N27" i="7"/>
  <c r="O27" i="7"/>
  <c r="P27" i="7"/>
  <c r="Q27" i="7"/>
  <c r="R27" i="7"/>
  <c r="S27" i="7"/>
  <c r="T27" i="7"/>
  <c r="U27" i="7"/>
  <c r="V27" i="7"/>
  <c r="W27" i="7"/>
  <c r="X27" i="7"/>
  <c r="Y27" i="7"/>
  <c r="Z27" i="7"/>
  <c r="AA27" i="7"/>
  <c r="AB27" i="7"/>
  <c r="AC27" i="7"/>
  <c r="AD27" i="7"/>
  <c r="AE27" i="7"/>
  <c r="AF27" i="7"/>
  <c r="AG27" i="7"/>
  <c r="AH27" i="7"/>
  <c r="AI27" i="7"/>
  <c r="AJ27" i="7"/>
  <c r="AK27" i="7"/>
  <c r="AL27" i="7"/>
  <c r="AM27" i="7"/>
  <c r="AN27" i="7"/>
  <c r="AO27" i="7"/>
  <c r="AP27" i="7"/>
  <c r="AQ27" i="7"/>
  <c r="AR27" i="7"/>
  <c r="AS27" i="7"/>
  <c r="AT27" i="7"/>
  <c r="AU27" i="7"/>
  <c r="AV27" i="7"/>
  <c r="AW27" i="7"/>
  <c r="AX27" i="7"/>
  <c r="AY27" i="7"/>
  <c r="AZ27" i="7"/>
  <c r="BA27" i="7"/>
  <c r="BB27" i="7"/>
  <c r="BC27" i="7"/>
  <c r="BD27" i="7"/>
  <c r="BE27" i="7"/>
  <c r="BF27" i="7"/>
  <c r="BG27" i="7"/>
  <c r="BH27" i="7"/>
  <c r="BI27" i="7"/>
  <c r="BJ27" i="7"/>
  <c r="BK27" i="7"/>
  <c r="BL27" i="7"/>
  <c r="BM27" i="7"/>
  <c r="BN27" i="7"/>
  <c r="BO27" i="7"/>
  <c r="BP27" i="7"/>
  <c r="BQ27" i="7"/>
  <c r="BR27" i="7"/>
  <c r="BS27" i="7"/>
  <c r="BT27" i="7"/>
  <c r="BU27" i="7"/>
  <c r="BV27" i="7"/>
  <c r="F26" i="7"/>
  <c r="G26" i="7"/>
  <c r="H26" i="7"/>
  <c r="I26" i="7"/>
  <c r="J26" i="7"/>
  <c r="K26" i="7"/>
  <c r="L26" i="7"/>
  <c r="M26" i="7"/>
  <c r="N26" i="7"/>
  <c r="O26" i="7"/>
  <c r="P26" i="7"/>
  <c r="Q26" i="7"/>
  <c r="R26" i="7"/>
  <c r="S26" i="7"/>
  <c r="T26" i="7"/>
  <c r="U26" i="7"/>
  <c r="V26" i="7"/>
  <c r="W26" i="7"/>
  <c r="X26" i="7"/>
  <c r="Y26" i="7"/>
  <c r="Z26" i="7"/>
  <c r="AA26" i="7"/>
  <c r="AB26" i="7"/>
  <c r="AC26" i="7"/>
  <c r="AD26" i="7"/>
  <c r="AE26" i="7"/>
  <c r="AF26" i="7"/>
  <c r="AG26" i="7"/>
  <c r="AH26" i="7"/>
  <c r="AI26" i="7"/>
  <c r="AJ26" i="7"/>
  <c r="AK26" i="7"/>
  <c r="AL26" i="7"/>
  <c r="AM26" i="7"/>
  <c r="AN26" i="7"/>
  <c r="AO26" i="7"/>
  <c r="AP26" i="7"/>
  <c r="AQ26" i="7"/>
  <c r="AR26" i="7"/>
  <c r="AS26" i="7"/>
  <c r="AT26" i="7"/>
  <c r="AU26" i="7"/>
  <c r="AV26" i="7"/>
  <c r="AW26" i="7"/>
  <c r="AX26" i="7"/>
  <c r="AY26" i="7"/>
  <c r="AZ26" i="7"/>
  <c r="BA26" i="7"/>
  <c r="BB26" i="7"/>
  <c r="BC26" i="7"/>
  <c r="BD26" i="7"/>
  <c r="BE26" i="7"/>
  <c r="BF26" i="7"/>
  <c r="BG26" i="7"/>
  <c r="BH26" i="7"/>
  <c r="BI26" i="7"/>
  <c r="BJ26" i="7"/>
  <c r="BK26" i="7"/>
  <c r="BL26" i="7"/>
  <c r="BM26" i="7"/>
  <c r="BN26" i="7"/>
  <c r="BO26" i="7"/>
  <c r="BP26" i="7"/>
  <c r="BQ26" i="7"/>
  <c r="BR26" i="7"/>
  <c r="BS26" i="7"/>
  <c r="BT26" i="7"/>
  <c r="BU26" i="7"/>
  <c r="BV26" i="7"/>
  <c r="E27" i="7"/>
  <c r="E26" i="7"/>
  <c r="V5" i="7"/>
  <c r="W5" i="7"/>
  <c r="X5" i="7"/>
  <c r="Y5" i="7"/>
  <c r="Z5" i="7"/>
  <c r="AA5" i="7"/>
  <c r="AB5" i="7"/>
  <c r="AC5" i="7"/>
  <c r="AD5" i="7"/>
  <c r="AE5" i="7"/>
  <c r="AF5" i="7"/>
  <c r="AG5" i="7"/>
  <c r="AH5" i="7"/>
  <c r="AI5" i="7"/>
  <c r="AJ5" i="7"/>
  <c r="AK5" i="7"/>
  <c r="AL5" i="7"/>
  <c r="AM5" i="7"/>
  <c r="AN5" i="7"/>
  <c r="AO5" i="7"/>
  <c r="AP5" i="7"/>
  <c r="AQ5" i="7"/>
  <c r="AR5" i="7"/>
  <c r="AK56" i="6"/>
  <c r="Z56" i="6"/>
  <c r="AA56" i="6"/>
  <c r="AB56" i="6"/>
  <c r="AC56" i="6"/>
  <c r="AD56" i="6"/>
  <c r="AE56" i="6"/>
  <c r="AF56" i="6"/>
  <c r="AG56" i="6"/>
  <c r="AH56" i="6"/>
  <c r="AI56" i="6"/>
  <c r="AJ56" i="6"/>
  <c r="AL56" i="6"/>
  <c r="AM56" i="6"/>
  <c r="AN56" i="6"/>
  <c r="AO56" i="6"/>
  <c r="AP56" i="6"/>
  <c r="AQ56" i="6"/>
  <c r="AR56" i="6"/>
  <c r="AT56" i="6"/>
  <c r="AU56" i="6"/>
  <c r="U56" i="6"/>
  <c r="AQ11" i="7" l="1"/>
  <c r="AQ13" i="7" s="1"/>
  <c r="AQ19" i="7"/>
  <c r="AQ21" i="7" s="1"/>
  <c r="AO19" i="7"/>
  <c r="AO21" i="7" s="1"/>
  <c r="AO11" i="7"/>
  <c r="AO13" i="7" s="1"/>
  <c r="AL19" i="7"/>
  <c r="AL21" i="7" s="1"/>
  <c r="AL11" i="7"/>
  <c r="AL13" i="7" s="1"/>
  <c r="AR11" i="7"/>
  <c r="AR13" i="7" s="1"/>
  <c r="AR19" i="7"/>
  <c r="AR21" i="7" s="1"/>
  <c r="AN19" i="7"/>
  <c r="AN21" i="7" s="1"/>
  <c r="AN11" i="7"/>
  <c r="AN13" i="7" s="1"/>
  <c r="AP11" i="7"/>
  <c r="AP13" i="7" s="1"/>
  <c r="AP19" i="7"/>
  <c r="AP21" i="7" s="1"/>
  <c r="AM19" i="7"/>
  <c r="AM21" i="7" s="1"/>
  <c r="AM11" i="7"/>
  <c r="AM13" i="7" s="1"/>
  <c r="AD11" i="7"/>
  <c r="AD13" i="7" s="1"/>
  <c r="AD19" i="7"/>
  <c r="AD21" i="7" s="1"/>
  <c r="AB19" i="7"/>
  <c r="AB21" i="7" s="1"/>
  <c r="AB11" i="7"/>
  <c r="AB13" i="7" s="1"/>
  <c r="Z19" i="7"/>
  <c r="Z21" i="7" s="1"/>
  <c r="Z11" i="7"/>
  <c r="Z13" i="7" s="1"/>
  <c r="AC19" i="7"/>
  <c r="AC21" i="7" s="1"/>
  <c r="AC11" i="7"/>
  <c r="AC13" i="7" s="1"/>
  <c r="AJ11" i="7"/>
  <c r="AJ13" i="7" s="1"/>
  <c r="AJ19" i="7"/>
  <c r="AJ21" i="7" s="1"/>
  <c r="AI19" i="7"/>
  <c r="AI21" i="7" s="1"/>
  <c r="AI11" i="7"/>
  <c r="AI13" i="7" s="1"/>
  <c r="AA19" i="7"/>
  <c r="AA21" i="7" s="1"/>
  <c r="AA11" i="7"/>
  <c r="AA13" i="7" s="1"/>
  <c r="AG11" i="7"/>
  <c r="AG13" i="7" s="1"/>
  <c r="AG19" i="7"/>
  <c r="AG21" i="7" s="1"/>
  <c r="AF11" i="7"/>
  <c r="AF13" i="7" s="1"/>
  <c r="AF19" i="7"/>
  <c r="AF21" i="7" s="1"/>
  <c r="AK19" i="7"/>
  <c r="AK21" i="7" s="1"/>
  <c r="AK11" i="7"/>
  <c r="AK13" i="7" s="1"/>
  <c r="AH11" i="7"/>
  <c r="AH13" i="7" s="1"/>
  <c r="AH19" i="7"/>
  <c r="AH21" i="7" s="1"/>
  <c r="AE11" i="7"/>
  <c r="AE13" i="7" s="1"/>
  <c r="AE19" i="7"/>
  <c r="AE21" i="7" s="1"/>
  <c r="BV28" i="7"/>
  <c r="BU28" i="7"/>
  <c r="BM28" i="7"/>
  <c r="BE28" i="7"/>
  <c r="AW28" i="7"/>
  <c r="AO28" i="7"/>
  <c r="AG28" i="7"/>
  <c r="Y28" i="7"/>
  <c r="Q28" i="7"/>
  <c r="I28" i="7"/>
  <c r="E28" i="7"/>
  <c r="BN28" i="7"/>
  <c r="BF28" i="7"/>
  <c r="AX28" i="7"/>
  <c r="AP28" i="7"/>
  <c r="AH28" i="7"/>
  <c r="Z28" i="7"/>
  <c r="R28" i="7"/>
  <c r="J28" i="7"/>
  <c r="BT28" i="7"/>
  <c r="BL28" i="7"/>
  <c r="BD28" i="7"/>
  <c r="AV28" i="7"/>
  <c r="AN28" i="7"/>
  <c r="AF28" i="7"/>
  <c r="X28" i="7"/>
  <c r="P28" i="7"/>
  <c r="H28" i="7"/>
  <c r="BS28" i="7"/>
  <c r="BK28" i="7"/>
  <c r="BC28" i="7"/>
  <c r="AU28" i="7"/>
  <c r="AM28" i="7"/>
  <c r="AE28" i="7"/>
  <c r="W28" i="7"/>
  <c r="O28" i="7"/>
  <c r="G28" i="7"/>
  <c r="BR28" i="7"/>
  <c r="BJ28" i="7"/>
  <c r="BB28" i="7"/>
  <c r="AT28" i="7"/>
  <c r="AL28" i="7"/>
  <c r="AD28" i="7"/>
  <c r="V28" i="7"/>
  <c r="N28" i="7"/>
  <c r="F28" i="7"/>
  <c r="BQ28" i="7"/>
  <c r="BI28" i="7"/>
  <c r="BA28" i="7"/>
  <c r="AS28" i="7"/>
  <c r="AK28" i="7"/>
  <c r="AC28" i="7"/>
  <c r="U28" i="7"/>
  <c r="M28" i="7"/>
  <c r="BP28" i="7"/>
  <c r="BH28" i="7"/>
  <c r="AZ28" i="7"/>
  <c r="AR28" i="7"/>
  <c r="AJ28" i="7"/>
  <c r="AB28" i="7"/>
  <c r="T28" i="7"/>
  <c r="L28" i="7"/>
  <c r="BO28" i="7"/>
  <c r="BG28" i="7"/>
  <c r="AY28" i="7"/>
  <c r="AQ28" i="7"/>
  <c r="AI28" i="7"/>
  <c r="AA28" i="7"/>
  <c r="S28" i="7"/>
  <c r="K28" i="7"/>
  <c r="A64" i="13"/>
  <c r="A65" i="13"/>
  <c r="A66" i="13"/>
  <c r="E29" i="7" l="1"/>
  <c r="I70" i="13"/>
  <c r="K70" i="13" s="1"/>
  <c r="H70" i="13"/>
  <c r="J70" i="13" s="1"/>
  <c r="I69" i="13"/>
  <c r="K69" i="13" s="1"/>
  <c r="H69" i="13"/>
  <c r="J69" i="13" s="1"/>
  <c r="I65" i="13"/>
  <c r="I66" i="13"/>
  <c r="I64" i="13"/>
  <c r="H64" i="13"/>
  <c r="H65" i="13"/>
  <c r="H66" i="13"/>
  <c r="CK20" i="11" l="1"/>
  <c r="F19" i="11"/>
  <c r="G19" i="11"/>
  <c r="H19" i="11"/>
  <c r="I19" i="11"/>
  <c r="J19" i="11"/>
  <c r="K19" i="11"/>
  <c r="L19" i="11"/>
  <c r="M19" i="11"/>
  <c r="N19" i="11"/>
  <c r="O19" i="11"/>
  <c r="P19" i="11"/>
  <c r="Q19" i="11"/>
  <c r="R19" i="11"/>
  <c r="S19" i="11"/>
  <c r="T19" i="11"/>
  <c r="U19" i="11"/>
  <c r="V19" i="11"/>
  <c r="W19" i="11"/>
  <c r="X19" i="11"/>
  <c r="Y19" i="11"/>
  <c r="Z19" i="11"/>
  <c r="AA19" i="11"/>
  <c r="AB19" i="11"/>
  <c r="AC19" i="11"/>
  <c r="AD19" i="11"/>
  <c r="AE19" i="11"/>
  <c r="AF19" i="11"/>
  <c r="AG19" i="11"/>
  <c r="AH19" i="11"/>
  <c r="AI19" i="11"/>
  <c r="AJ19" i="11"/>
  <c r="AK19" i="11"/>
  <c r="AL19" i="11"/>
  <c r="AM19" i="11"/>
  <c r="AN19" i="11"/>
  <c r="AO19" i="11"/>
  <c r="AP19" i="11"/>
  <c r="AQ19" i="11"/>
  <c r="AR19" i="11"/>
  <c r="AS19" i="11"/>
  <c r="AT19" i="11"/>
  <c r="AU19" i="11"/>
  <c r="AV19" i="11"/>
  <c r="AW19" i="11"/>
  <c r="AX19" i="11"/>
  <c r="AY19" i="11"/>
  <c r="AZ19" i="11"/>
  <c r="BA19" i="11"/>
  <c r="BB19" i="11"/>
  <c r="BC19" i="11"/>
  <c r="BD19" i="11"/>
  <c r="BE19" i="11"/>
  <c r="BF19" i="11"/>
  <c r="BG19" i="11"/>
  <c r="BH19" i="11"/>
  <c r="BI19" i="11"/>
  <c r="BJ19" i="11"/>
  <c r="BK19" i="11"/>
  <c r="BL19" i="11"/>
  <c r="BM19" i="11"/>
  <c r="BN19" i="11"/>
  <c r="BO19" i="11"/>
  <c r="BP19" i="11"/>
  <c r="BQ19" i="11"/>
  <c r="BR19" i="11"/>
  <c r="BS19" i="11"/>
  <c r="BT19" i="11"/>
  <c r="BU19" i="11"/>
  <c r="BV19" i="11"/>
  <c r="BW19" i="11"/>
  <c r="BX19" i="11"/>
  <c r="BY19" i="11"/>
  <c r="BZ19" i="11"/>
  <c r="CA19" i="11"/>
  <c r="CB19" i="11"/>
  <c r="CC19" i="11"/>
  <c r="CD19" i="11"/>
  <c r="CE19" i="11"/>
  <c r="CF19" i="11"/>
  <c r="CG19" i="11"/>
  <c r="CH19" i="11"/>
  <c r="CI19" i="11"/>
  <c r="CJ19" i="11"/>
  <c r="CK19" i="11"/>
  <c r="E19" i="11"/>
  <c r="CK21" i="11" l="1"/>
  <c r="CK39" i="6"/>
  <c r="CK34" i="6"/>
  <c r="CK32" i="6"/>
  <c r="CK18" i="6"/>
  <c r="V56" i="6" l="1"/>
  <c r="W56" i="6"/>
  <c r="X56" i="6"/>
  <c r="Y56" i="6"/>
  <c r="F99" i="11" l="1"/>
  <c r="G99" i="11"/>
  <c r="H99" i="11"/>
  <c r="I99" i="11"/>
  <c r="J99" i="11"/>
  <c r="K99" i="11"/>
  <c r="L99" i="11"/>
  <c r="M99" i="11"/>
  <c r="N99" i="11"/>
  <c r="O99" i="11"/>
  <c r="P99" i="11"/>
  <c r="Q99" i="11"/>
  <c r="R99" i="11"/>
  <c r="S99" i="11"/>
  <c r="T99" i="11"/>
  <c r="U99" i="11"/>
  <c r="V99" i="11"/>
  <c r="W99" i="11"/>
  <c r="X99" i="11"/>
  <c r="Y99" i="11"/>
  <c r="Z99" i="11"/>
  <c r="AA99" i="11"/>
  <c r="AB99" i="11"/>
  <c r="AC99" i="11"/>
  <c r="AD99" i="11"/>
  <c r="AE99" i="11"/>
  <c r="AF99" i="11"/>
  <c r="AG99" i="11"/>
  <c r="AH99" i="11"/>
  <c r="AI99" i="11"/>
  <c r="AJ99" i="11"/>
  <c r="AK99" i="11"/>
  <c r="AL99" i="11"/>
  <c r="AM99" i="11"/>
  <c r="AN99" i="11"/>
  <c r="AO99" i="11"/>
  <c r="AP99" i="11"/>
  <c r="AQ99" i="11"/>
  <c r="AR99" i="11"/>
  <c r="AS99" i="11"/>
  <c r="AT99" i="11"/>
  <c r="AU99" i="11"/>
  <c r="AV99" i="11"/>
  <c r="AW99" i="11"/>
  <c r="AX99" i="11"/>
  <c r="AY99" i="11"/>
  <c r="AZ99" i="11"/>
  <c r="BA99" i="11"/>
  <c r="BB99" i="11"/>
  <c r="BC99" i="11"/>
  <c r="BD99" i="11"/>
  <c r="BE99" i="11"/>
  <c r="BF99" i="11"/>
  <c r="BG99" i="11"/>
  <c r="BH99" i="11"/>
  <c r="BI99" i="11"/>
  <c r="BJ99" i="11"/>
  <c r="BK99" i="11"/>
  <c r="BL99" i="11"/>
  <c r="BM99" i="11"/>
  <c r="BN99" i="11"/>
  <c r="BO99" i="11"/>
  <c r="BP99" i="11"/>
  <c r="BQ99" i="11"/>
  <c r="BR99" i="11"/>
  <c r="BS99" i="11"/>
  <c r="BT99" i="11"/>
  <c r="BU99" i="11"/>
  <c r="BV99" i="11"/>
  <c r="BW99" i="11"/>
  <c r="BX99" i="11"/>
  <c r="BY99" i="11"/>
  <c r="BZ99" i="11"/>
  <c r="CA99" i="11"/>
  <c r="CB99" i="11"/>
  <c r="CC99" i="11"/>
  <c r="CD99" i="11"/>
  <c r="CE99" i="11"/>
  <c r="CF99" i="11"/>
  <c r="CG99" i="11"/>
  <c r="CH99" i="11"/>
  <c r="CI99" i="11"/>
  <c r="CJ99" i="11"/>
  <c r="CK99" i="11"/>
  <c r="F98" i="11"/>
  <c r="G98" i="11"/>
  <c r="H98" i="11"/>
  <c r="I98" i="11"/>
  <c r="J98" i="11"/>
  <c r="K98" i="11"/>
  <c r="L98" i="11"/>
  <c r="M98" i="11"/>
  <c r="N98" i="11"/>
  <c r="O98" i="11"/>
  <c r="P98" i="11"/>
  <c r="Q98" i="11"/>
  <c r="R98" i="11"/>
  <c r="S98" i="11"/>
  <c r="T98" i="11"/>
  <c r="U98" i="11"/>
  <c r="V98" i="11"/>
  <c r="W98" i="11"/>
  <c r="X98" i="11"/>
  <c r="Y98" i="11"/>
  <c r="Z98" i="11"/>
  <c r="AA98" i="11"/>
  <c r="AB98" i="11"/>
  <c r="AC98" i="11"/>
  <c r="AD98" i="11"/>
  <c r="AE98" i="11"/>
  <c r="AF98" i="11"/>
  <c r="AG98" i="11"/>
  <c r="AH98" i="11"/>
  <c r="AI98" i="11"/>
  <c r="AJ98" i="11"/>
  <c r="AK98" i="11"/>
  <c r="AL98" i="11"/>
  <c r="AM98" i="11"/>
  <c r="AN98" i="11"/>
  <c r="AO98" i="11"/>
  <c r="AP98" i="11"/>
  <c r="AQ98" i="11"/>
  <c r="AR98" i="11"/>
  <c r="AS98" i="11"/>
  <c r="AT98" i="11"/>
  <c r="AU98" i="11"/>
  <c r="AV98" i="11"/>
  <c r="AW98" i="11"/>
  <c r="AX98" i="11"/>
  <c r="AY98" i="11"/>
  <c r="AZ98" i="11"/>
  <c r="BA98" i="11"/>
  <c r="BB98" i="11"/>
  <c r="BC98" i="11"/>
  <c r="BD98" i="11"/>
  <c r="BE98" i="11"/>
  <c r="BF98" i="11"/>
  <c r="BG98" i="11"/>
  <c r="BH98" i="11"/>
  <c r="BI98" i="11"/>
  <c r="BJ98" i="11"/>
  <c r="BK98" i="11"/>
  <c r="BL98" i="11"/>
  <c r="BM98" i="11"/>
  <c r="BN98" i="11"/>
  <c r="BO98" i="11"/>
  <c r="BP98" i="11"/>
  <c r="BQ98" i="11"/>
  <c r="BR98" i="11"/>
  <c r="BS98" i="11"/>
  <c r="BT98" i="11"/>
  <c r="BU98" i="11"/>
  <c r="BV98" i="11"/>
  <c r="BW98" i="11"/>
  <c r="BX98" i="11"/>
  <c r="BY98" i="11"/>
  <c r="BZ98" i="11"/>
  <c r="CA98" i="11"/>
  <c r="CB98" i="11"/>
  <c r="CC98" i="11"/>
  <c r="CD98" i="11"/>
  <c r="CE98" i="11"/>
  <c r="CF98" i="11"/>
  <c r="CG98" i="11"/>
  <c r="CH98" i="11"/>
  <c r="CI98" i="11"/>
  <c r="CJ98" i="11"/>
  <c r="CK98" i="11"/>
  <c r="E99" i="11"/>
  <c r="E98" i="11"/>
  <c r="F97" i="11"/>
  <c r="G97" i="11"/>
  <c r="H97" i="11"/>
  <c r="I97" i="11"/>
  <c r="J97" i="11"/>
  <c r="K97" i="11"/>
  <c r="L97" i="11"/>
  <c r="M97" i="11"/>
  <c r="N97" i="11"/>
  <c r="O97" i="11"/>
  <c r="P97" i="11"/>
  <c r="Q97" i="11"/>
  <c r="R97" i="11"/>
  <c r="S97" i="11"/>
  <c r="T97" i="11"/>
  <c r="U97" i="11"/>
  <c r="V97" i="11"/>
  <c r="W97" i="11"/>
  <c r="X97" i="11"/>
  <c r="Y97" i="11"/>
  <c r="Z97" i="11"/>
  <c r="AA97" i="11"/>
  <c r="AB97" i="11"/>
  <c r="AC97" i="11"/>
  <c r="AD97" i="11"/>
  <c r="AE97" i="11"/>
  <c r="AF97" i="11"/>
  <c r="AG97" i="11"/>
  <c r="AH97" i="11"/>
  <c r="AI97" i="11"/>
  <c r="AJ97" i="11"/>
  <c r="AK97" i="11"/>
  <c r="AL97" i="11"/>
  <c r="AM97" i="11"/>
  <c r="AN97" i="11"/>
  <c r="AO97" i="11"/>
  <c r="AP97" i="11"/>
  <c r="AQ97" i="11"/>
  <c r="AR97" i="11"/>
  <c r="AS97" i="11"/>
  <c r="AT97" i="11"/>
  <c r="AU97" i="11"/>
  <c r="AV97" i="11"/>
  <c r="AW97" i="11"/>
  <c r="AX97" i="11"/>
  <c r="AY97" i="11"/>
  <c r="AZ97" i="11"/>
  <c r="BA97" i="11"/>
  <c r="BB97" i="11"/>
  <c r="BC97" i="11"/>
  <c r="BD97" i="11"/>
  <c r="BE97" i="11"/>
  <c r="BF97" i="11"/>
  <c r="BG97" i="11"/>
  <c r="BH97" i="11"/>
  <c r="BI97" i="11"/>
  <c r="BJ97" i="11"/>
  <c r="BK97" i="11"/>
  <c r="BL97" i="11"/>
  <c r="BM97" i="11"/>
  <c r="BN97" i="11"/>
  <c r="BO97" i="11"/>
  <c r="BP97" i="11"/>
  <c r="BQ97" i="11"/>
  <c r="BR97" i="11"/>
  <c r="BS97" i="11"/>
  <c r="BT97" i="11"/>
  <c r="BU97" i="11"/>
  <c r="BV97" i="11"/>
  <c r="BW97" i="11"/>
  <c r="BX97" i="11"/>
  <c r="BY97" i="11"/>
  <c r="BZ97" i="11"/>
  <c r="CA97" i="11"/>
  <c r="CB97" i="11"/>
  <c r="CC97" i="11"/>
  <c r="CD97" i="11"/>
  <c r="CE97" i="11"/>
  <c r="CF97" i="11"/>
  <c r="CG97" i="11"/>
  <c r="CH97" i="11"/>
  <c r="CI97" i="11"/>
  <c r="CJ97" i="11"/>
  <c r="CK97" i="11"/>
  <c r="E97" i="11"/>
  <c r="F96" i="11"/>
  <c r="G96" i="11"/>
  <c r="H96" i="11"/>
  <c r="I96" i="11"/>
  <c r="J96" i="11"/>
  <c r="K96" i="11"/>
  <c r="L96" i="11"/>
  <c r="M96" i="11"/>
  <c r="N96" i="11"/>
  <c r="O96" i="11"/>
  <c r="P96" i="11"/>
  <c r="Q96" i="11"/>
  <c r="R96" i="11"/>
  <c r="S96" i="11"/>
  <c r="T96" i="11"/>
  <c r="U96" i="11"/>
  <c r="V96" i="11"/>
  <c r="W96" i="11"/>
  <c r="X96" i="11"/>
  <c r="Y96" i="11"/>
  <c r="Z96" i="11"/>
  <c r="AA96" i="11"/>
  <c r="AB96" i="11"/>
  <c r="AC96" i="11"/>
  <c r="AD96" i="11"/>
  <c r="AE96" i="11"/>
  <c r="AF96" i="11"/>
  <c r="AG96" i="11"/>
  <c r="AH96" i="11"/>
  <c r="AI96" i="11"/>
  <c r="AJ96" i="11"/>
  <c r="AK96" i="11"/>
  <c r="AL96" i="11"/>
  <c r="AM96" i="11"/>
  <c r="AN96" i="11"/>
  <c r="AO96" i="11"/>
  <c r="AP96" i="11"/>
  <c r="AQ96" i="11"/>
  <c r="AR96" i="11"/>
  <c r="AS96" i="11"/>
  <c r="AT96" i="11"/>
  <c r="AU96" i="11"/>
  <c r="AV96" i="11"/>
  <c r="AW96" i="11"/>
  <c r="AX96" i="11"/>
  <c r="AY96" i="11"/>
  <c r="AZ96" i="11"/>
  <c r="BA96" i="11"/>
  <c r="BB96" i="11"/>
  <c r="BC96" i="11"/>
  <c r="BD96" i="11"/>
  <c r="BE96" i="11"/>
  <c r="BF96" i="11"/>
  <c r="BG96" i="11"/>
  <c r="BH96" i="11"/>
  <c r="BI96" i="11"/>
  <c r="BJ96" i="11"/>
  <c r="BK96" i="11"/>
  <c r="BL96" i="11"/>
  <c r="BM96" i="11"/>
  <c r="BN96" i="11"/>
  <c r="BO96" i="11"/>
  <c r="BP96" i="11"/>
  <c r="BQ96" i="11"/>
  <c r="BR96" i="11"/>
  <c r="BS96" i="11"/>
  <c r="BT96" i="11"/>
  <c r="BU96" i="11"/>
  <c r="BV96" i="11"/>
  <c r="BW96" i="11"/>
  <c r="BX96" i="11"/>
  <c r="BY96" i="11"/>
  <c r="BZ96" i="11"/>
  <c r="CA96" i="11"/>
  <c r="CB96" i="11"/>
  <c r="CC96" i="11"/>
  <c r="CD96" i="11"/>
  <c r="CE96" i="11"/>
  <c r="CF96" i="11"/>
  <c r="CG96" i="11"/>
  <c r="CH96" i="11"/>
  <c r="CI96" i="11"/>
  <c r="CJ96" i="11"/>
  <c r="CK96" i="11"/>
  <c r="E96" i="11"/>
  <c r="F95" i="11"/>
  <c r="G95" i="11"/>
  <c r="H95" i="11"/>
  <c r="I95" i="11"/>
  <c r="J95" i="11"/>
  <c r="K95" i="11"/>
  <c r="L95" i="11"/>
  <c r="M95" i="11"/>
  <c r="N95" i="11"/>
  <c r="O95" i="11"/>
  <c r="P95" i="11"/>
  <c r="Q95" i="11"/>
  <c r="R95" i="11"/>
  <c r="S95" i="11"/>
  <c r="T95" i="11"/>
  <c r="U95" i="11"/>
  <c r="V95" i="11"/>
  <c r="W95" i="11"/>
  <c r="X95" i="11"/>
  <c r="Y95" i="11"/>
  <c r="Z95" i="11"/>
  <c r="AA95" i="11"/>
  <c r="AB95" i="11"/>
  <c r="AC95" i="11"/>
  <c r="AD95" i="11"/>
  <c r="AE95" i="11"/>
  <c r="AF95" i="11"/>
  <c r="AG95" i="11"/>
  <c r="AH95" i="11"/>
  <c r="AI95" i="11"/>
  <c r="AJ95" i="11"/>
  <c r="AK95" i="11"/>
  <c r="AL95" i="11"/>
  <c r="AM95" i="11"/>
  <c r="AN95" i="11"/>
  <c r="AO95" i="11"/>
  <c r="AP95" i="11"/>
  <c r="AQ95" i="11"/>
  <c r="AR95" i="11"/>
  <c r="AS95" i="11"/>
  <c r="AT95" i="11"/>
  <c r="AU95" i="11"/>
  <c r="AV95" i="11"/>
  <c r="AW95" i="11"/>
  <c r="AX95" i="11"/>
  <c r="AY95" i="11"/>
  <c r="AZ95" i="11"/>
  <c r="BA95" i="11"/>
  <c r="BB95" i="11"/>
  <c r="BC95" i="11"/>
  <c r="BD95" i="11"/>
  <c r="BE95" i="11"/>
  <c r="BF95" i="11"/>
  <c r="BG95" i="11"/>
  <c r="BH95" i="11"/>
  <c r="BI95" i="11"/>
  <c r="BJ95" i="11"/>
  <c r="BK95" i="11"/>
  <c r="BL95" i="11"/>
  <c r="BM95" i="11"/>
  <c r="BN95" i="11"/>
  <c r="BO95" i="11"/>
  <c r="BP95" i="11"/>
  <c r="BQ95" i="11"/>
  <c r="BR95" i="11"/>
  <c r="BS95" i="11"/>
  <c r="BT95" i="11"/>
  <c r="BU95" i="11"/>
  <c r="BV95" i="11"/>
  <c r="BW95" i="11"/>
  <c r="BX95" i="11"/>
  <c r="BY95" i="11"/>
  <c r="BZ95" i="11"/>
  <c r="CA95" i="11"/>
  <c r="CB95" i="11"/>
  <c r="CC95" i="11"/>
  <c r="CD95" i="11"/>
  <c r="CE95" i="11"/>
  <c r="CF95" i="11"/>
  <c r="CG95" i="11"/>
  <c r="CH95" i="11"/>
  <c r="CI95" i="11"/>
  <c r="CJ95" i="11"/>
  <c r="CK95" i="11"/>
  <c r="E95" i="11"/>
  <c r="F94" i="11"/>
  <c r="G94" i="11"/>
  <c r="H94" i="11"/>
  <c r="I94" i="11"/>
  <c r="J94" i="11"/>
  <c r="K94" i="11"/>
  <c r="L94" i="11"/>
  <c r="M94" i="11"/>
  <c r="N94" i="11"/>
  <c r="O94" i="11"/>
  <c r="P94" i="11"/>
  <c r="Q94" i="11"/>
  <c r="R94" i="11"/>
  <c r="S94" i="11"/>
  <c r="T94" i="11"/>
  <c r="U94" i="11"/>
  <c r="V94" i="11"/>
  <c r="W94" i="11"/>
  <c r="X94" i="11"/>
  <c r="Y94" i="11"/>
  <c r="Z94" i="11"/>
  <c r="AA94" i="11"/>
  <c r="AB94" i="11"/>
  <c r="AC94" i="11"/>
  <c r="AD94" i="11"/>
  <c r="AE94" i="11"/>
  <c r="AF94" i="11"/>
  <c r="AG94" i="11"/>
  <c r="AH94" i="11"/>
  <c r="AI94" i="11"/>
  <c r="AJ94" i="11"/>
  <c r="AK94" i="11"/>
  <c r="AL94" i="11"/>
  <c r="AM94" i="11"/>
  <c r="AN94" i="11"/>
  <c r="AO94" i="11"/>
  <c r="AP94" i="11"/>
  <c r="AQ94" i="11"/>
  <c r="AR94" i="11"/>
  <c r="AS94" i="11"/>
  <c r="AT94" i="11"/>
  <c r="AU94" i="11"/>
  <c r="AV94" i="11"/>
  <c r="AW94" i="11"/>
  <c r="AX94" i="11"/>
  <c r="AY94" i="11"/>
  <c r="AZ94" i="11"/>
  <c r="BA94" i="11"/>
  <c r="BB94" i="11"/>
  <c r="BC94" i="11"/>
  <c r="BD94" i="11"/>
  <c r="BE94" i="11"/>
  <c r="BF94" i="11"/>
  <c r="BG94" i="11"/>
  <c r="BH94" i="11"/>
  <c r="BI94" i="11"/>
  <c r="BJ94" i="11"/>
  <c r="BK94" i="11"/>
  <c r="BL94" i="11"/>
  <c r="BM94" i="11"/>
  <c r="BN94" i="11"/>
  <c r="BO94" i="11"/>
  <c r="BP94" i="11"/>
  <c r="BQ94" i="11"/>
  <c r="BR94" i="11"/>
  <c r="BS94" i="11"/>
  <c r="BT94" i="11"/>
  <c r="BU94" i="11"/>
  <c r="BV94" i="11"/>
  <c r="BW94" i="11"/>
  <c r="BX94" i="11"/>
  <c r="BY94" i="11"/>
  <c r="BZ94" i="11"/>
  <c r="CA94" i="11"/>
  <c r="CB94" i="11"/>
  <c r="CC94" i="11"/>
  <c r="CD94" i="11"/>
  <c r="CE94" i="11"/>
  <c r="CF94" i="11"/>
  <c r="CG94" i="11"/>
  <c r="CH94" i="11"/>
  <c r="CI94" i="11"/>
  <c r="CJ94" i="11"/>
  <c r="CK94" i="11"/>
  <c r="E94" i="11"/>
  <c r="F92" i="11"/>
  <c r="G92" i="11"/>
  <c r="H92" i="11"/>
  <c r="I92" i="11"/>
  <c r="J92" i="11"/>
  <c r="K92" i="11"/>
  <c r="L92" i="11"/>
  <c r="M92" i="11"/>
  <c r="N92" i="11"/>
  <c r="O92" i="11"/>
  <c r="P92" i="11"/>
  <c r="Q92" i="11"/>
  <c r="R92" i="11"/>
  <c r="S92" i="11"/>
  <c r="T92" i="11"/>
  <c r="U92" i="11"/>
  <c r="V92" i="11"/>
  <c r="W92" i="11"/>
  <c r="X92" i="11"/>
  <c r="Y92" i="11"/>
  <c r="Z92" i="11"/>
  <c r="AA92" i="11"/>
  <c r="AB92" i="11"/>
  <c r="AC92" i="11"/>
  <c r="AD92" i="11"/>
  <c r="AE92" i="11"/>
  <c r="AF92" i="11"/>
  <c r="AG92" i="11"/>
  <c r="AH92" i="11"/>
  <c r="AI92" i="11"/>
  <c r="AJ92" i="11"/>
  <c r="AK92" i="11"/>
  <c r="AL92" i="11"/>
  <c r="AM92" i="11"/>
  <c r="AN92" i="11"/>
  <c r="AO92" i="11"/>
  <c r="AP92" i="11"/>
  <c r="AQ92" i="11"/>
  <c r="AR92" i="11"/>
  <c r="AS92" i="11"/>
  <c r="AT92" i="11"/>
  <c r="AU92" i="11"/>
  <c r="AV92" i="11"/>
  <c r="AW92" i="11"/>
  <c r="AX92" i="11"/>
  <c r="AY92" i="11"/>
  <c r="AZ92" i="11"/>
  <c r="BA92" i="11"/>
  <c r="BB92" i="11"/>
  <c r="BC92" i="11"/>
  <c r="BD92" i="11"/>
  <c r="BE92" i="11"/>
  <c r="BF92" i="11"/>
  <c r="BG92" i="11"/>
  <c r="BH92" i="11"/>
  <c r="BI92" i="11"/>
  <c r="BJ92" i="11"/>
  <c r="BK92" i="11"/>
  <c r="BL92" i="11"/>
  <c r="BM92" i="11"/>
  <c r="BN92" i="11"/>
  <c r="BO92" i="11"/>
  <c r="BP92" i="11"/>
  <c r="BQ92" i="11"/>
  <c r="BR92" i="11"/>
  <c r="BS92" i="11"/>
  <c r="BT92" i="11"/>
  <c r="BU92" i="11"/>
  <c r="BV92" i="11"/>
  <c r="BW92" i="11"/>
  <c r="BX92" i="11"/>
  <c r="BY92" i="11"/>
  <c r="BZ92" i="11"/>
  <c r="CA92" i="11"/>
  <c r="CB92" i="11"/>
  <c r="CC92" i="11"/>
  <c r="CD92" i="11"/>
  <c r="CE92" i="11"/>
  <c r="CF92" i="11"/>
  <c r="CG92" i="11"/>
  <c r="CH92" i="11"/>
  <c r="CI92" i="11"/>
  <c r="CJ92" i="11"/>
  <c r="CK92" i="11"/>
  <c r="E92" i="11"/>
  <c r="F91" i="11"/>
  <c r="G91" i="11"/>
  <c r="H91" i="11"/>
  <c r="I91" i="11"/>
  <c r="J91" i="11"/>
  <c r="K91" i="11"/>
  <c r="L91" i="11"/>
  <c r="M91" i="11"/>
  <c r="N91" i="11"/>
  <c r="O91" i="11"/>
  <c r="P91" i="11"/>
  <c r="Q91" i="11"/>
  <c r="R91" i="11"/>
  <c r="S91" i="11"/>
  <c r="T91" i="11"/>
  <c r="U91" i="11"/>
  <c r="V91" i="11"/>
  <c r="W91" i="11"/>
  <c r="X91" i="11"/>
  <c r="Y91" i="11"/>
  <c r="Z91" i="11"/>
  <c r="AA91" i="11"/>
  <c r="AB91" i="11"/>
  <c r="AC91" i="11"/>
  <c r="AD91" i="11"/>
  <c r="AE91" i="11"/>
  <c r="AF91" i="11"/>
  <c r="AG91" i="11"/>
  <c r="AH91" i="11"/>
  <c r="AI91" i="11"/>
  <c r="AJ91" i="11"/>
  <c r="AK91" i="11"/>
  <c r="AL91" i="11"/>
  <c r="AM91" i="11"/>
  <c r="AN91" i="11"/>
  <c r="AO91" i="11"/>
  <c r="AP91" i="11"/>
  <c r="AQ91" i="11"/>
  <c r="AR91" i="11"/>
  <c r="AS91" i="11"/>
  <c r="AT91" i="11"/>
  <c r="AU91" i="11"/>
  <c r="AV91" i="11"/>
  <c r="AW91" i="11"/>
  <c r="AX91" i="11"/>
  <c r="AY91" i="11"/>
  <c r="AZ91" i="11"/>
  <c r="BA91" i="11"/>
  <c r="BB91" i="11"/>
  <c r="BC91" i="11"/>
  <c r="BD91" i="11"/>
  <c r="BE91" i="11"/>
  <c r="BF91" i="11"/>
  <c r="BG91" i="11"/>
  <c r="BH91" i="11"/>
  <c r="BI91" i="11"/>
  <c r="BJ91" i="11"/>
  <c r="BK91" i="11"/>
  <c r="BL91" i="11"/>
  <c r="BM91" i="11"/>
  <c r="BN91" i="11"/>
  <c r="BO91" i="11"/>
  <c r="BP91" i="11"/>
  <c r="BQ91" i="11"/>
  <c r="BR91" i="11"/>
  <c r="BS91" i="11"/>
  <c r="BT91" i="11"/>
  <c r="BU91" i="11"/>
  <c r="BV91" i="11"/>
  <c r="BW91" i="11"/>
  <c r="BX91" i="11"/>
  <c r="BY91" i="11"/>
  <c r="BZ91" i="11"/>
  <c r="CA91" i="11"/>
  <c r="CB91" i="11"/>
  <c r="CC91" i="11"/>
  <c r="CD91" i="11"/>
  <c r="CE91" i="11"/>
  <c r="CF91" i="11"/>
  <c r="CG91" i="11"/>
  <c r="CH91" i="11"/>
  <c r="CI91" i="11"/>
  <c r="CJ91" i="11"/>
  <c r="CK91" i="11"/>
  <c r="E91" i="11"/>
  <c r="F90" i="11"/>
  <c r="G90" i="11"/>
  <c r="H90" i="11"/>
  <c r="I90" i="11"/>
  <c r="J90" i="11"/>
  <c r="K90" i="11"/>
  <c r="L90" i="11"/>
  <c r="M90" i="11"/>
  <c r="N90" i="11"/>
  <c r="O90" i="11"/>
  <c r="P90" i="11"/>
  <c r="Q90" i="11"/>
  <c r="R90" i="11"/>
  <c r="S90" i="11"/>
  <c r="T90" i="11"/>
  <c r="U90" i="11"/>
  <c r="V90" i="11"/>
  <c r="W90" i="11"/>
  <c r="X90" i="11"/>
  <c r="Y90" i="11"/>
  <c r="Z90" i="11"/>
  <c r="AA90" i="11"/>
  <c r="AB90" i="11"/>
  <c r="AC90" i="11"/>
  <c r="AD90" i="11"/>
  <c r="AE90" i="11"/>
  <c r="AF90" i="11"/>
  <c r="AG90" i="11"/>
  <c r="AH90" i="11"/>
  <c r="AI90" i="11"/>
  <c r="AJ90" i="11"/>
  <c r="AK90" i="11"/>
  <c r="AL90" i="11"/>
  <c r="AM90" i="11"/>
  <c r="AN90" i="11"/>
  <c r="AO90" i="11"/>
  <c r="AP90" i="11"/>
  <c r="AQ90" i="11"/>
  <c r="AR90" i="11"/>
  <c r="AS90" i="11"/>
  <c r="AT90" i="11"/>
  <c r="AU90" i="11"/>
  <c r="AV90" i="11"/>
  <c r="AW90" i="11"/>
  <c r="AX90" i="11"/>
  <c r="AY90" i="11"/>
  <c r="AZ90" i="11"/>
  <c r="BA90" i="11"/>
  <c r="BB90" i="11"/>
  <c r="BC90" i="11"/>
  <c r="BD90" i="11"/>
  <c r="BE90" i="11"/>
  <c r="BF90" i="11"/>
  <c r="BG90" i="11"/>
  <c r="BH90" i="11"/>
  <c r="BI90" i="11"/>
  <c r="BJ90" i="11"/>
  <c r="BK90" i="11"/>
  <c r="BL90" i="11"/>
  <c r="BM90" i="11"/>
  <c r="BN90" i="11"/>
  <c r="BO90" i="11"/>
  <c r="BP90" i="11"/>
  <c r="BQ90" i="11"/>
  <c r="BR90" i="11"/>
  <c r="BS90" i="11"/>
  <c r="BT90" i="11"/>
  <c r="BU90" i="11"/>
  <c r="BV90" i="11"/>
  <c r="BW90" i="11"/>
  <c r="BX90" i="11"/>
  <c r="BY90" i="11"/>
  <c r="BZ90" i="11"/>
  <c r="CA90" i="11"/>
  <c r="CB90" i="11"/>
  <c r="CC90" i="11"/>
  <c r="CD90" i="11"/>
  <c r="CE90" i="11"/>
  <c r="CF90" i="11"/>
  <c r="CG90" i="11"/>
  <c r="CH90" i="11"/>
  <c r="CI90" i="11"/>
  <c r="CJ90" i="11"/>
  <c r="CK90" i="11"/>
  <c r="E90" i="11"/>
  <c r="F89" i="11"/>
  <c r="G89" i="11"/>
  <c r="H89" i="11"/>
  <c r="I89" i="11"/>
  <c r="J89" i="11"/>
  <c r="K89" i="11"/>
  <c r="L89" i="11"/>
  <c r="M89" i="11"/>
  <c r="N89" i="11"/>
  <c r="O89" i="11"/>
  <c r="P89" i="11"/>
  <c r="Q89" i="11"/>
  <c r="R89" i="11"/>
  <c r="S89" i="11"/>
  <c r="T89" i="11"/>
  <c r="U89" i="11"/>
  <c r="V89" i="11"/>
  <c r="W89" i="11"/>
  <c r="X89" i="11"/>
  <c r="Y89" i="11"/>
  <c r="Z89" i="11"/>
  <c r="AA89" i="11"/>
  <c r="AB89" i="11"/>
  <c r="AC89" i="11"/>
  <c r="AD89" i="11"/>
  <c r="AE89" i="11"/>
  <c r="AF89" i="11"/>
  <c r="AG89" i="11"/>
  <c r="AH89" i="11"/>
  <c r="AI89" i="11"/>
  <c r="AJ89" i="11"/>
  <c r="AK89" i="11"/>
  <c r="AL89" i="11"/>
  <c r="AM89" i="11"/>
  <c r="AN89" i="11"/>
  <c r="AO89" i="11"/>
  <c r="AP89" i="11"/>
  <c r="AQ89" i="11"/>
  <c r="AR89" i="11"/>
  <c r="AS89" i="11"/>
  <c r="AT89" i="11"/>
  <c r="AU89" i="11"/>
  <c r="AV89" i="11"/>
  <c r="AW89" i="11"/>
  <c r="AX89" i="11"/>
  <c r="AY89" i="11"/>
  <c r="AZ89" i="11"/>
  <c r="BA89" i="11"/>
  <c r="BB89" i="11"/>
  <c r="BC89" i="11"/>
  <c r="BD89" i="11"/>
  <c r="BE89" i="11"/>
  <c r="BF89" i="11"/>
  <c r="BG89" i="11"/>
  <c r="BH89" i="11"/>
  <c r="BI89" i="11"/>
  <c r="BJ89" i="11"/>
  <c r="BK89" i="11"/>
  <c r="BL89" i="11"/>
  <c r="BM89" i="11"/>
  <c r="BN89" i="11"/>
  <c r="BO89" i="11"/>
  <c r="BP89" i="11"/>
  <c r="BQ89" i="11"/>
  <c r="BR89" i="11"/>
  <c r="BS89" i="11"/>
  <c r="BT89" i="11"/>
  <c r="BU89" i="11"/>
  <c r="BV89" i="11"/>
  <c r="BW89" i="11"/>
  <c r="BX89" i="11"/>
  <c r="BY89" i="11"/>
  <c r="BZ89" i="11"/>
  <c r="CA89" i="11"/>
  <c r="CB89" i="11"/>
  <c r="CC89" i="11"/>
  <c r="CD89" i="11"/>
  <c r="CE89" i="11"/>
  <c r="CF89" i="11"/>
  <c r="CG89" i="11"/>
  <c r="CH89" i="11"/>
  <c r="CI89" i="11"/>
  <c r="CJ89" i="11"/>
  <c r="CK89" i="11"/>
  <c r="E89" i="11"/>
  <c r="F88" i="11"/>
  <c r="G88" i="11"/>
  <c r="H88" i="11"/>
  <c r="I88" i="11"/>
  <c r="J88" i="11"/>
  <c r="K88" i="11"/>
  <c r="L88" i="11"/>
  <c r="M88" i="11"/>
  <c r="N88" i="11"/>
  <c r="O88" i="11"/>
  <c r="P88" i="11"/>
  <c r="Q88" i="11"/>
  <c r="R88" i="11"/>
  <c r="S88" i="11"/>
  <c r="T88" i="11"/>
  <c r="U88" i="11"/>
  <c r="V88" i="11"/>
  <c r="W88" i="11"/>
  <c r="X88" i="11"/>
  <c r="Y88" i="11"/>
  <c r="Z88" i="11"/>
  <c r="AA88" i="11"/>
  <c r="AB88" i="11"/>
  <c r="AC88" i="11"/>
  <c r="AD88" i="11"/>
  <c r="AE88" i="11"/>
  <c r="AF88" i="11"/>
  <c r="AG88" i="11"/>
  <c r="AH88" i="11"/>
  <c r="AI88" i="11"/>
  <c r="AJ88" i="11"/>
  <c r="AK88" i="11"/>
  <c r="AL88" i="11"/>
  <c r="AM88" i="11"/>
  <c r="AN88" i="11"/>
  <c r="AO88" i="11"/>
  <c r="AP88" i="11"/>
  <c r="AQ88" i="11"/>
  <c r="AR88" i="11"/>
  <c r="AS88" i="11"/>
  <c r="AT88" i="11"/>
  <c r="AU88" i="11"/>
  <c r="AV88" i="11"/>
  <c r="AW88" i="11"/>
  <c r="AX88" i="11"/>
  <c r="AY88" i="11"/>
  <c r="AZ88" i="11"/>
  <c r="BA88" i="11"/>
  <c r="BB88" i="11"/>
  <c r="BC88" i="11"/>
  <c r="BD88" i="11"/>
  <c r="BE88" i="11"/>
  <c r="BF88" i="11"/>
  <c r="BG88" i="11"/>
  <c r="BH88" i="11"/>
  <c r="BI88" i="11"/>
  <c r="BJ88" i="11"/>
  <c r="BK88" i="11"/>
  <c r="BL88" i="11"/>
  <c r="BM88" i="11"/>
  <c r="BN88" i="11"/>
  <c r="BO88" i="11"/>
  <c r="BP88" i="11"/>
  <c r="BQ88" i="11"/>
  <c r="BR88" i="11"/>
  <c r="BS88" i="11"/>
  <c r="BT88" i="11"/>
  <c r="BU88" i="11"/>
  <c r="BV88" i="11"/>
  <c r="BW88" i="11"/>
  <c r="BX88" i="11"/>
  <c r="BY88" i="11"/>
  <c r="BZ88" i="11"/>
  <c r="CA88" i="11"/>
  <c r="CB88" i="11"/>
  <c r="CC88" i="11"/>
  <c r="CD88" i="11"/>
  <c r="CE88" i="11"/>
  <c r="CF88" i="11"/>
  <c r="CG88" i="11"/>
  <c r="CH88" i="11"/>
  <c r="CI88" i="11"/>
  <c r="CJ88" i="11"/>
  <c r="CK88" i="11"/>
  <c r="E88" i="11"/>
  <c r="F86" i="11"/>
  <c r="G86" i="11"/>
  <c r="H86" i="11"/>
  <c r="I86" i="11"/>
  <c r="J86" i="11"/>
  <c r="K86" i="11"/>
  <c r="L86" i="11"/>
  <c r="M86" i="11"/>
  <c r="N86" i="11"/>
  <c r="O86" i="11"/>
  <c r="P86" i="11"/>
  <c r="Q86" i="11"/>
  <c r="R86" i="11"/>
  <c r="S86" i="11"/>
  <c r="T86" i="11"/>
  <c r="U86" i="11"/>
  <c r="V86" i="11"/>
  <c r="W86" i="11"/>
  <c r="X86" i="11"/>
  <c r="Y86" i="11"/>
  <c r="Z86" i="11"/>
  <c r="AA86" i="11"/>
  <c r="AB86" i="11"/>
  <c r="AC86" i="11"/>
  <c r="AD86" i="11"/>
  <c r="AE86" i="11"/>
  <c r="AF86" i="11"/>
  <c r="AG86" i="11"/>
  <c r="AH86" i="11"/>
  <c r="AI86" i="11"/>
  <c r="AJ86" i="11"/>
  <c r="AK86" i="11"/>
  <c r="AL86" i="11"/>
  <c r="AM86" i="11"/>
  <c r="AN86" i="11"/>
  <c r="AO86" i="11"/>
  <c r="AP86" i="11"/>
  <c r="AQ86" i="11"/>
  <c r="AR86" i="11"/>
  <c r="AS86" i="11"/>
  <c r="AT86" i="11"/>
  <c r="AU86" i="11"/>
  <c r="AV86" i="11"/>
  <c r="AW86" i="11"/>
  <c r="AX86" i="11"/>
  <c r="AY86" i="11"/>
  <c r="AZ86" i="11"/>
  <c r="BA86" i="11"/>
  <c r="BB86" i="11"/>
  <c r="BC86" i="11"/>
  <c r="BD86" i="11"/>
  <c r="BE86" i="11"/>
  <c r="BF86" i="11"/>
  <c r="BG86" i="11"/>
  <c r="BH86" i="11"/>
  <c r="BI86" i="11"/>
  <c r="BJ86" i="11"/>
  <c r="BK86" i="11"/>
  <c r="BL86" i="11"/>
  <c r="BM86" i="11"/>
  <c r="BN86" i="11"/>
  <c r="BO86" i="11"/>
  <c r="BP86" i="11"/>
  <c r="BQ86" i="11"/>
  <c r="BR86" i="11"/>
  <c r="BS86" i="11"/>
  <c r="BT86" i="11"/>
  <c r="BU86" i="11"/>
  <c r="BV86" i="11"/>
  <c r="BW86" i="11"/>
  <c r="BX86" i="11"/>
  <c r="BY86" i="11"/>
  <c r="BZ86" i="11"/>
  <c r="CA86" i="11"/>
  <c r="CB86" i="11"/>
  <c r="CC86" i="11"/>
  <c r="CD86" i="11"/>
  <c r="CE86" i="11"/>
  <c r="CF86" i="11"/>
  <c r="CG86" i="11"/>
  <c r="CH86" i="11"/>
  <c r="CI86" i="11"/>
  <c r="CJ86" i="11"/>
  <c r="CK86" i="11"/>
  <c r="E86" i="11"/>
  <c r="F84" i="11"/>
  <c r="G84" i="11"/>
  <c r="H84" i="11"/>
  <c r="I84" i="11"/>
  <c r="J84" i="11"/>
  <c r="K84" i="11"/>
  <c r="L84" i="11"/>
  <c r="M84" i="11"/>
  <c r="N84" i="11"/>
  <c r="O84" i="11"/>
  <c r="P84" i="11"/>
  <c r="Q84" i="11"/>
  <c r="R84" i="11"/>
  <c r="S84" i="11"/>
  <c r="T84" i="11"/>
  <c r="U84" i="11"/>
  <c r="V84" i="11"/>
  <c r="W84" i="11"/>
  <c r="X84" i="11"/>
  <c r="Y84" i="11"/>
  <c r="Z84" i="11"/>
  <c r="AA84" i="11"/>
  <c r="AB84" i="11"/>
  <c r="AC84" i="11"/>
  <c r="AD84" i="11"/>
  <c r="AE84" i="11"/>
  <c r="AF84" i="11"/>
  <c r="AG84" i="11"/>
  <c r="AG100" i="11" s="1"/>
  <c r="AG101" i="11" s="1"/>
  <c r="AH84" i="11"/>
  <c r="AI84" i="11"/>
  <c r="AJ84" i="11"/>
  <c r="AK84" i="11"/>
  <c r="AL84" i="11"/>
  <c r="AM84" i="11"/>
  <c r="AN84" i="11"/>
  <c r="AO84" i="11"/>
  <c r="AO100" i="11" s="1"/>
  <c r="AO101" i="11" s="1"/>
  <c r="AP84" i="11"/>
  <c r="AQ84" i="11"/>
  <c r="AR84" i="11"/>
  <c r="AS84" i="11"/>
  <c r="AT84" i="11"/>
  <c r="AU84" i="11"/>
  <c r="AV84" i="11"/>
  <c r="AW84" i="11"/>
  <c r="AW100" i="11" s="1"/>
  <c r="AW101" i="11" s="1"/>
  <c r="AX84" i="11"/>
  <c r="AY84" i="11"/>
  <c r="AZ84" i="11"/>
  <c r="BA84" i="11"/>
  <c r="BB84" i="11"/>
  <c r="BC84" i="11"/>
  <c r="BD84" i="11"/>
  <c r="BE84" i="11"/>
  <c r="BE100" i="11" s="1"/>
  <c r="BE101" i="11" s="1"/>
  <c r="BF84" i="11"/>
  <c r="BG84" i="11"/>
  <c r="BH84" i="11"/>
  <c r="BI84" i="11"/>
  <c r="BJ84" i="11"/>
  <c r="BK84" i="11"/>
  <c r="BL84" i="11"/>
  <c r="BM84" i="11"/>
  <c r="BM100" i="11" s="1"/>
  <c r="BM101" i="11" s="1"/>
  <c r="BN84" i="11"/>
  <c r="BO84" i="11"/>
  <c r="BP84" i="11"/>
  <c r="BQ84" i="11"/>
  <c r="BR84" i="11"/>
  <c r="BS84" i="11"/>
  <c r="BT84" i="11"/>
  <c r="BU84" i="11"/>
  <c r="BU100" i="11" s="1"/>
  <c r="BU101" i="11" s="1"/>
  <c r="BV84" i="11"/>
  <c r="BW84" i="11"/>
  <c r="BX84" i="11"/>
  <c r="BY84" i="11"/>
  <c r="BZ84" i="11"/>
  <c r="BZ100" i="11" s="1"/>
  <c r="BZ101" i="11" s="1"/>
  <c r="CA84" i="11"/>
  <c r="CB84" i="11"/>
  <c r="CB100" i="11" s="1"/>
  <c r="CB101" i="11" s="1"/>
  <c r="CC84" i="11"/>
  <c r="CC100" i="11" s="1"/>
  <c r="CC101" i="11" s="1"/>
  <c r="CD84" i="11"/>
  <c r="CE84" i="11"/>
  <c r="CF84" i="11"/>
  <c r="CG84" i="11"/>
  <c r="CH84" i="11"/>
  <c r="CI84" i="11"/>
  <c r="CI100" i="11" s="1"/>
  <c r="CI101" i="11" s="1"/>
  <c r="CJ84" i="11"/>
  <c r="CJ100" i="11" s="1"/>
  <c r="CJ101" i="11" s="1"/>
  <c r="CK84" i="11"/>
  <c r="CK100" i="11" s="1"/>
  <c r="CK101" i="11" s="1"/>
  <c r="E84" i="11"/>
  <c r="AK82" i="11"/>
  <c r="AL82" i="11"/>
  <c r="AM82" i="11"/>
  <c r="AN82" i="11"/>
  <c r="AO82" i="11"/>
  <c r="AP82" i="11"/>
  <c r="AQ82" i="11"/>
  <c r="AR82" i="11"/>
  <c r="AS82" i="11"/>
  <c r="AT82" i="11"/>
  <c r="AU82" i="11"/>
  <c r="AV82" i="11"/>
  <c r="AW82" i="11"/>
  <c r="AX82" i="11"/>
  <c r="AY82" i="11"/>
  <c r="AZ82" i="11"/>
  <c r="BA82" i="11"/>
  <c r="BB82" i="11"/>
  <c r="BC82" i="11"/>
  <c r="BD82" i="11"/>
  <c r="BE82" i="11"/>
  <c r="BF82" i="11"/>
  <c r="BG82" i="11"/>
  <c r="BH82" i="11"/>
  <c r="BI82" i="11"/>
  <c r="BJ82" i="11"/>
  <c r="BK82" i="11"/>
  <c r="BL82" i="11"/>
  <c r="BM82" i="11"/>
  <c r="BN82" i="11"/>
  <c r="BO82" i="11"/>
  <c r="BP82" i="11"/>
  <c r="BQ82" i="11"/>
  <c r="BR82" i="11"/>
  <c r="BS82" i="11"/>
  <c r="BT82" i="11"/>
  <c r="BU82" i="11"/>
  <c r="BV82" i="11"/>
  <c r="BW82" i="11"/>
  <c r="BX82" i="11"/>
  <c r="BY82" i="11"/>
  <c r="BZ82" i="11"/>
  <c r="CA82" i="11"/>
  <c r="CB82" i="11"/>
  <c r="CC82" i="11"/>
  <c r="CD82" i="11"/>
  <c r="CE82" i="11"/>
  <c r="CF82" i="11"/>
  <c r="CG82" i="11"/>
  <c r="CH82" i="11"/>
  <c r="CI82" i="11"/>
  <c r="CJ82" i="11"/>
  <c r="CK82" i="11"/>
  <c r="F81" i="11"/>
  <c r="G81" i="11"/>
  <c r="H81" i="11"/>
  <c r="I81" i="11"/>
  <c r="J81" i="11"/>
  <c r="K81" i="11"/>
  <c r="L81" i="11"/>
  <c r="M81" i="11"/>
  <c r="N81" i="11"/>
  <c r="O81" i="11"/>
  <c r="P81" i="11"/>
  <c r="Q81" i="11"/>
  <c r="R81" i="11"/>
  <c r="S81" i="11"/>
  <c r="T81" i="11"/>
  <c r="U81" i="11"/>
  <c r="V81" i="11"/>
  <c r="W81" i="11"/>
  <c r="X81" i="11"/>
  <c r="Y81" i="11"/>
  <c r="Z81" i="11"/>
  <c r="AA81" i="11"/>
  <c r="AB81" i="11"/>
  <c r="AC81" i="11"/>
  <c r="AD81" i="11"/>
  <c r="AE81" i="11"/>
  <c r="AF81" i="11"/>
  <c r="AG81" i="11"/>
  <c r="AH81" i="11"/>
  <c r="AI81" i="11"/>
  <c r="AJ81" i="11"/>
  <c r="AK81" i="11"/>
  <c r="AL81" i="11"/>
  <c r="AM81" i="11"/>
  <c r="AN81" i="11"/>
  <c r="AO81" i="11"/>
  <c r="AP81" i="11"/>
  <c r="AQ81" i="11"/>
  <c r="AR81" i="11"/>
  <c r="AR93" i="11" s="1"/>
  <c r="AS81" i="11"/>
  <c r="AT81" i="11"/>
  <c r="AU81" i="11"/>
  <c r="AV81" i="11"/>
  <c r="AV93" i="11" s="1"/>
  <c r="AW81" i="11"/>
  <c r="AX81" i="11"/>
  <c r="AY81" i="11"/>
  <c r="AZ81" i="11"/>
  <c r="BA81" i="11"/>
  <c r="BB81" i="11"/>
  <c r="BC81" i="11"/>
  <c r="BD81" i="11"/>
  <c r="BD93" i="11" s="1"/>
  <c r="BE81" i="11"/>
  <c r="BE87" i="11" s="1"/>
  <c r="BF81" i="11"/>
  <c r="BG81" i="11"/>
  <c r="BH81" i="11"/>
  <c r="BH93" i="11" s="1"/>
  <c r="BI81" i="11"/>
  <c r="BJ81" i="11"/>
  <c r="BK81" i="11"/>
  <c r="BL81" i="11"/>
  <c r="BL93" i="11" s="1"/>
  <c r="BM81" i="11"/>
  <c r="BM87" i="11" s="1"/>
  <c r="BN81" i="11"/>
  <c r="BO81" i="11"/>
  <c r="BP81" i="11"/>
  <c r="BQ81" i="11"/>
  <c r="BR81" i="11"/>
  <c r="BS81" i="11"/>
  <c r="BT81" i="11"/>
  <c r="BT93" i="11" s="1"/>
  <c r="BU81" i="11"/>
  <c r="BU87" i="11" s="1"/>
  <c r="BV81" i="11"/>
  <c r="BW81" i="11"/>
  <c r="BX81" i="11"/>
  <c r="BX93" i="11" s="1"/>
  <c r="BY81" i="11"/>
  <c r="BZ81" i="11"/>
  <c r="CA81" i="11"/>
  <c r="CB81" i="11"/>
  <c r="CB93" i="11" s="1"/>
  <c r="CC81" i="11"/>
  <c r="CC87" i="11" s="1"/>
  <c r="CD81" i="11"/>
  <c r="CE81" i="11"/>
  <c r="CF81" i="11"/>
  <c r="CF93" i="11" s="1"/>
  <c r="CG81" i="11"/>
  <c r="CH81" i="11"/>
  <c r="CI81" i="11"/>
  <c r="CJ81" i="11"/>
  <c r="CJ93" i="11" s="1"/>
  <c r="CK81" i="11"/>
  <c r="CK87" i="11" s="1"/>
  <c r="E81" i="11"/>
  <c r="F56" i="6"/>
  <c r="G56" i="6"/>
  <c r="H56" i="6"/>
  <c r="I56" i="6"/>
  <c r="J56" i="6"/>
  <c r="K56" i="6"/>
  <c r="L56" i="6"/>
  <c r="M56" i="6"/>
  <c r="N56" i="6"/>
  <c r="O56" i="6"/>
  <c r="P56" i="6"/>
  <c r="Q56" i="6"/>
  <c r="R56" i="6"/>
  <c r="S56" i="6"/>
  <c r="T56" i="6"/>
  <c r="AV56" i="6"/>
  <c r="AW56" i="6"/>
  <c r="AX56" i="6"/>
  <c r="AY56" i="6"/>
  <c r="AZ56" i="6"/>
  <c r="BA56" i="6"/>
  <c r="BB56" i="6"/>
  <c r="BC56" i="6"/>
  <c r="BD56" i="6"/>
  <c r="BE56" i="6"/>
  <c r="BF56" i="6"/>
  <c r="BG56" i="6"/>
  <c r="BH56" i="6"/>
  <c r="BI56" i="6"/>
  <c r="BJ56" i="6"/>
  <c r="BK56" i="6"/>
  <c r="BL56" i="6"/>
  <c r="BM56" i="6"/>
  <c r="BN56" i="6"/>
  <c r="BO56" i="6"/>
  <c r="BP56" i="6"/>
  <c r="BQ56" i="6"/>
  <c r="BR56" i="6"/>
  <c r="BS56" i="6"/>
  <c r="BT56" i="6"/>
  <c r="BU56" i="6"/>
  <c r="BV56" i="6"/>
  <c r="BW56" i="6"/>
  <c r="BX56" i="6"/>
  <c r="BY56" i="6"/>
  <c r="BZ56" i="6"/>
  <c r="CA56" i="6"/>
  <c r="CB56" i="6"/>
  <c r="CC56" i="6"/>
  <c r="CD56" i="6"/>
  <c r="CE56" i="6"/>
  <c r="CF56" i="6"/>
  <c r="CG56" i="6"/>
  <c r="CH56" i="6"/>
  <c r="CI56" i="6"/>
  <c r="CJ56" i="6"/>
  <c r="CK56" i="6"/>
  <c r="E56" i="6"/>
  <c r="Y100" i="11" l="1"/>
  <c r="Y101" i="11" s="1"/>
  <c r="Q100" i="11"/>
  <c r="Q101" i="11" s="1"/>
  <c r="I100" i="11"/>
  <c r="I101" i="11" s="1"/>
  <c r="CE100" i="11"/>
  <c r="CE101" i="11" s="1"/>
  <c r="BW100" i="11"/>
  <c r="BW101" i="11" s="1"/>
  <c r="BO100" i="11"/>
  <c r="BO101" i="11" s="1"/>
  <c r="BG100" i="11"/>
  <c r="BG101" i="11" s="1"/>
  <c r="CA100" i="11"/>
  <c r="CA101" i="11" s="1"/>
  <c r="CH85" i="11"/>
  <c r="CH100" i="11"/>
  <c r="CH101" i="11" s="1"/>
  <c r="CG100" i="11"/>
  <c r="CG101" i="11" s="1"/>
  <c r="BY100" i="11"/>
  <c r="BY101" i="11" s="1"/>
  <c r="CF100" i="11"/>
  <c r="CF101" i="11" s="1"/>
  <c r="BX100" i="11"/>
  <c r="BX101" i="11" s="1"/>
  <c r="BP100" i="11"/>
  <c r="BP101" i="11" s="1"/>
  <c r="BH100" i="11"/>
  <c r="BH101" i="11" s="1"/>
  <c r="AZ100" i="11"/>
  <c r="AZ101" i="11" s="1"/>
  <c r="AR100" i="11"/>
  <c r="AR101" i="11" s="1"/>
  <c r="AJ100" i="11"/>
  <c r="AJ101" i="11" s="1"/>
  <c r="AB100" i="11"/>
  <c r="AB101" i="11" s="1"/>
  <c r="T100" i="11"/>
  <c r="T101" i="11" s="1"/>
  <c r="AY100" i="11"/>
  <c r="AY101" i="11" s="1"/>
  <c r="AQ100" i="11"/>
  <c r="AQ101" i="11" s="1"/>
  <c r="AI100" i="11"/>
  <c r="AI101" i="11" s="1"/>
  <c r="K100" i="11"/>
  <c r="K101" i="11" s="1"/>
  <c r="CD100" i="11"/>
  <c r="CD101" i="11" s="1"/>
  <c r="BV100" i="11"/>
  <c r="BV101" i="11" s="1"/>
  <c r="BN100" i="11"/>
  <c r="BN101" i="11" s="1"/>
  <c r="BF100" i="11"/>
  <c r="BF101" i="11" s="1"/>
  <c r="AX100" i="11"/>
  <c r="AX101" i="11" s="1"/>
  <c r="AP100" i="11"/>
  <c r="AP101" i="11" s="1"/>
  <c r="AH100" i="11"/>
  <c r="AH101" i="11" s="1"/>
  <c r="AA100" i="11"/>
  <c r="AA101" i="11" s="1"/>
  <c r="S100" i="11"/>
  <c r="S101" i="11" s="1"/>
  <c r="E100" i="11"/>
  <c r="E101" i="11" s="1"/>
  <c r="Z100" i="11"/>
  <c r="Z101" i="11" s="1"/>
  <c r="R100" i="11"/>
  <c r="R101" i="11" s="1"/>
  <c r="J100" i="11"/>
  <c r="J101" i="11" s="1"/>
  <c r="BT100" i="11"/>
  <c r="BT101" i="11" s="1"/>
  <c r="BL100" i="11"/>
  <c r="BL101" i="11" s="1"/>
  <c r="BD100" i="11"/>
  <c r="BD101" i="11" s="1"/>
  <c r="AV100" i="11"/>
  <c r="AV101" i="11" s="1"/>
  <c r="AN100" i="11"/>
  <c r="AN101" i="11" s="1"/>
  <c r="AF100" i="11"/>
  <c r="AF101" i="11" s="1"/>
  <c r="X100" i="11"/>
  <c r="X101" i="11" s="1"/>
  <c r="P100" i="11"/>
  <c r="P101" i="11" s="1"/>
  <c r="H100" i="11"/>
  <c r="H101" i="11" s="1"/>
  <c r="BS100" i="11"/>
  <c r="BS101" i="11" s="1"/>
  <c r="O100" i="11"/>
  <c r="O101" i="11" s="1"/>
  <c r="AU100" i="11"/>
  <c r="AU101" i="11" s="1"/>
  <c r="W100" i="11"/>
  <c r="W101" i="11" s="1"/>
  <c r="BR100" i="11"/>
  <c r="BR101" i="11" s="1"/>
  <c r="BJ100" i="11"/>
  <c r="BJ101" i="11" s="1"/>
  <c r="BB100" i="11"/>
  <c r="BB101" i="11" s="1"/>
  <c r="AT100" i="11"/>
  <c r="AT101" i="11" s="1"/>
  <c r="AL100" i="11"/>
  <c r="AL101" i="11" s="1"/>
  <c r="AD100" i="11"/>
  <c r="AD101" i="11" s="1"/>
  <c r="V100" i="11"/>
  <c r="V101" i="11" s="1"/>
  <c r="N100" i="11"/>
  <c r="N101" i="11" s="1"/>
  <c r="F100" i="11"/>
  <c r="F101" i="11" s="1"/>
  <c r="BK100" i="11"/>
  <c r="BK101" i="11" s="1"/>
  <c r="AM100" i="11"/>
  <c r="AM101" i="11" s="1"/>
  <c r="G100" i="11"/>
  <c r="G101" i="11" s="1"/>
  <c r="BQ100" i="11"/>
  <c r="BQ101" i="11" s="1"/>
  <c r="BI100" i="11"/>
  <c r="BI101" i="11" s="1"/>
  <c r="BA100" i="11"/>
  <c r="BA101" i="11" s="1"/>
  <c r="AS100" i="11"/>
  <c r="AS101" i="11" s="1"/>
  <c r="AK100" i="11"/>
  <c r="AK101" i="11" s="1"/>
  <c r="AC100" i="11"/>
  <c r="AC101" i="11" s="1"/>
  <c r="U100" i="11"/>
  <c r="U101" i="11" s="1"/>
  <c r="M100" i="11"/>
  <c r="M101" i="11" s="1"/>
  <c r="BC100" i="11"/>
  <c r="BC101" i="11" s="1"/>
  <c r="AE100" i="11"/>
  <c r="AE101" i="11" s="1"/>
  <c r="L100" i="11"/>
  <c r="L101" i="11" s="1"/>
  <c r="CF83" i="11"/>
  <c r="CI85" i="11"/>
  <c r="BS85" i="11"/>
  <c r="BC85" i="11"/>
  <c r="AU85" i="11"/>
  <c r="AN83" i="11"/>
  <c r="CA85" i="11"/>
  <c r="BK85" i="11"/>
  <c r="BZ85" i="11"/>
  <c r="CD85" i="11"/>
  <c r="BV85" i="11"/>
  <c r="BN85" i="11"/>
  <c r="BF85" i="11"/>
  <c r="CA93" i="11"/>
  <c r="CG87" i="11"/>
  <c r="BY87" i="11"/>
  <c r="BQ87" i="11"/>
  <c r="BI87" i="11"/>
  <c r="BA87" i="11"/>
  <c r="AS93" i="11"/>
  <c r="CK83" i="11"/>
  <c r="CC83" i="11"/>
  <c r="BU83" i="11"/>
  <c r="BM83" i="11"/>
  <c r="CF87" i="11"/>
  <c r="AK83" i="11"/>
  <c r="AP83" i="11"/>
  <c r="BP87" i="11"/>
  <c r="BK93" i="11"/>
  <c r="BX83" i="11"/>
  <c r="BP83" i="11"/>
  <c r="BE83" i="11"/>
  <c r="AW83" i="11"/>
  <c r="AX85" i="11"/>
  <c r="AW93" i="11"/>
  <c r="CC85" i="11"/>
  <c r="BS87" i="11"/>
  <c r="CC93" i="11"/>
  <c r="BU85" i="11"/>
  <c r="CI87" i="11"/>
  <c r="BN87" i="11"/>
  <c r="CH87" i="11"/>
  <c r="BZ87" i="11"/>
  <c r="BR87" i="11"/>
  <c r="BJ87" i="11"/>
  <c r="BB87" i="11"/>
  <c r="AT87" i="11"/>
  <c r="AL83" i="11"/>
  <c r="BR85" i="11"/>
  <c r="BK87" i="11"/>
  <c r="BU93" i="11"/>
  <c r="BM85" i="11"/>
  <c r="CD87" i="11"/>
  <c r="BS93" i="11"/>
  <c r="BV87" i="11"/>
  <c r="BX85" i="11"/>
  <c r="BP85" i="11"/>
  <c r="AZ85" i="11"/>
  <c r="CA87" i="11"/>
  <c r="CK93" i="11"/>
  <c r="BP93" i="11"/>
  <c r="CF85" i="11"/>
  <c r="BH85" i="11"/>
  <c r="CE87" i="11"/>
  <c r="BW87" i="11"/>
  <c r="BO87" i="11"/>
  <c r="BG87" i="11"/>
  <c r="AY87" i="11"/>
  <c r="CI83" i="11"/>
  <c r="CA83" i="11"/>
  <c r="BS83" i="11"/>
  <c r="BK83" i="11"/>
  <c r="CK85" i="11"/>
  <c r="BX87" i="11"/>
  <c r="CI93" i="11"/>
  <c r="BM93" i="11"/>
  <c r="BB85" i="11"/>
  <c r="AT85" i="11"/>
  <c r="BJ85" i="11"/>
  <c r="AZ87" i="11"/>
  <c r="BE93" i="11"/>
  <c r="BC83" i="11"/>
  <c r="AU83" i="11"/>
  <c r="BE85" i="11"/>
  <c r="BH87" i="11"/>
  <c r="BF87" i="11"/>
  <c r="AX87" i="11"/>
  <c r="AU87" i="11"/>
  <c r="BC93" i="11"/>
  <c r="AU93" i="11"/>
  <c r="BH83" i="11"/>
  <c r="AZ83" i="11"/>
  <c r="AW85" i="11"/>
  <c r="BC87" i="11"/>
  <c r="AZ93" i="11"/>
  <c r="CH83" i="11"/>
  <c r="BZ83" i="11"/>
  <c r="BR83" i="11"/>
  <c r="BJ83" i="11"/>
  <c r="BB83" i="11"/>
  <c r="AT83" i="11"/>
  <c r="CJ85" i="11"/>
  <c r="CB85" i="11"/>
  <c r="BT85" i="11"/>
  <c r="BL85" i="11"/>
  <c r="BD85" i="11"/>
  <c r="AV85" i="11"/>
  <c r="AW87" i="11"/>
  <c r="CH93" i="11"/>
  <c r="BZ93" i="11"/>
  <c r="BR93" i="11"/>
  <c r="BJ93" i="11"/>
  <c r="BB93" i="11"/>
  <c r="AT93" i="11"/>
  <c r="CG83" i="11"/>
  <c r="BY83" i="11"/>
  <c r="BQ83" i="11"/>
  <c r="BI83" i="11"/>
  <c r="BA83" i="11"/>
  <c r="CJ87" i="11"/>
  <c r="CB87" i="11"/>
  <c r="BT87" i="11"/>
  <c r="BL87" i="11"/>
  <c r="BD87" i="11"/>
  <c r="AV87" i="11"/>
  <c r="CG93" i="11"/>
  <c r="BY93" i="11"/>
  <c r="BQ93" i="11"/>
  <c r="BI93" i="11"/>
  <c r="BA93" i="11"/>
  <c r="CE83" i="11"/>
  <c r="BW83" i="11"/>
  <c r="BO83" i="11"/>
  <c r="BG83" i="11"/>
  <c r="AY83" i="11"/>
  <c r="CG85" i="11"/>
  <c r="BY85" i="11"/>
  <c r="BQ85" i="11"/>
  <c r="BI85" i="11"/>
  <c r="BA85" i="11"/>
  <c r="CE93" i="11"/>
  <c r="BW93" i="11"/>
  <c r="BO93" i="11"/>
  <c r="BG93" i="11"/>
  <c r="AY93" i="11"/>
  <c r="CD83" i="11"/>
  <c r="BV83" i="11"/>
  <c r="BN83" i="11"/>
  <c r="BF83" i="11"/>
  <c r="AX83" i="11"/>
  <c r="CD93" i="11"/>
  <c r="BV93" i="11"/>
  <c r="BN93" i="11"/>
  <c r="BF93" i="11"/>
  <c r="AX93" i="11"/>
  <c r="CE85" i="11"/>
  <c r="BO85" i="11"/>
  <c r="AY85" i="11"/>
  <c r="BW85" i="11"/>
  <c r="BG85" i="11"/>
  <c r="CJ83" i="11"/>
  <c r="CB83" i="11"/>
  <c r="BT83" i="11"/>
  <c r="BL83" i="11"/>
  <c r="BD83" i="11"/>
  <c r="AV83" i="11"/>
  <c r="AQ83" i="11"/>
  <c r="AM83" i="11"/>
  <c r="AO83" i="11"/>
  <c r="AQ85" i="11"/>
  <c r="AI85" i="11"/>
  <c r="AA85" i="11"/>
  <c r="S85" i="11"/>
  <c r="K85" i="11"/>
  <c r="AM87" i="11"/>
  <c r="AE87" i="11"/>
  <c r="W87" i="11"/>
  <c r="O87" i="11"/>
  <c r="G87" i="11"/>
  <c r="AO87" i="11"/>
  <c r="AE93" i="11"/>
  <c r="W93" i="11"/>
  <c r="G93" i="11"/>
  <c r="AM93" i="11"/>
  <c r="AS83" i="11"/>
  <c r="E85" i="11"/>
  <c r="AP85" i="11"/>
  <c r="AH85" i="11"/>
  <c r="Z85" i="11"/>
  <c r="R85" i="11"/>
  <c r="J85" i="11"/>
  <c r="AL87" i="11"/>
  <c r="AD87" i="11"/>
  <c r="V87" i="11"/>
  <c r="N87" i="11"/>
  <c r="F87" i="11"/>
  <c r="AL93" i="11"/>
  <c r="AD93" i="11"/>
  <c r="V93" i="11"/>
  <c r="N93" i="11"/>
  <c r="F93" i="11"/>
  <c r="O93" i="11"/>
  <c r="AR83" i="11"/>
  <c r="AO85" i="11"/>
  <c r="AG85" i="11"/>
  <c r="Y85" i="11"/>
  <c r="Q85" i="11"/>
  <c r="I85" i="11"/>
  <c r="AS85" i="11"/>
  <c r="AK87" i="11"/>
  <c r="AC87" i="11"/>
  <c r="U87" i="11"/>
  <c r="M87" i="11"/>
  <c r="AK93" i="11"/>
  <c r="AC93" i="11"/>
  <c r="U93" i="11"/>
  <c r="M93" i="11"/>
  <c r="AN85" i="11"/>
  <c r="AF85" i="11"/>
  <c r="X85" i="11"/>
  <c r="P85" i="11"/>
  <c r="H85" i="11"/>
  <c r="AR85" i="11"/>
  <c r="AJ87" i="11"/>
  <c r="AB87" i="11"/>
  <c r="T87" i="11"/>
  <c r="L87" i="11"/>
  <c r="AJ93" i="11"/>
  <c r="AB93" i="11"/>
  <c r="T93" i="11"/>
  <c r="L93" i="11"/>
  <c r="AE85" i="11"/>
  <c r="W85" i="11"/>
  <c r="O85" i="11"/>
  <c r="G85" i="11"/>
  <c r="AM85" i="11"/>
  <c r="AQ87" i="11"/>
  <c r="AI87" i="11"/>
  <c r="AA87" i="11"/>
  <c r="S87" i="11"/>
  <c r="K87" i="11"/>
  <c r="AQ93" i="11"/>
  <c r="AI93" i="11"/>
  <c r="AA93" i="11"/>
  <c r="S93" i="11"/>
  <c r="K93" i="11"/>
  <c r="AL85" i="11"/>
  <c r="AD85" i="11"/>
  <c r="V85" i="11"/>
  <c r="N85" i="11"/>
  <c r="F85" i="11"/>
  <c r="E87" i="11"/>
  <c r="AP87" i="11"/>
  <c r="AH87" i="11"/>
  <c r="Z87" i="11"/>
  <c r="R87" i="11"/>
  <c r="J87" i="11"/>
  <c r="E93" i="11"/>
  <c r="AP93" i="11"/>
  <c r="AH93" i="11"/>
  <c r="Z93" i="11"/>
  <c r="R93" i="11"/>
  <c r="J93" i="11"/>
  <c r="AK85" i="11"/>
  <c r="AC85" i="11"/>
  <c r="U85" i="11"/>
  <c r="M85" i="11"/>
  <c r="AG87" i="11"/>
  <c r="Y87" i="11"/>
  <c r="Q87" i="11"/>
  <c r="I87" i="11"/>
  <c r="AS87" i="11"/>
  <c r="AO93" i="11"/>
  <c r="AG93" i="11"/>
  <c r="Y93" i="11"/>
  <c r="Q93" i="11"/>
  <c r="I93" i="11"/>
  <c r="AJ85" i="11"/>
  <c r="AB85" i="11"/>
  <c r="T85" i="11"/>
  <c r="L85" i="11"/>
  <c r="AN87" i="11"/>
  <c r="AF87" i="11"/>
  <c r="X87" i="11"/>
  <c r="P87" i="11"/>
  <c r="H87" i="11"/>
  <c r="AR87" i="11"/>
  <c r="AN93" i="11"/>
  <c r="AF93" i="11"/>
  <c r="X93" i="11"/>
  <c r="P93" i="11"/>
  <c r="H93" i="11"/>
  <c r="CK44" i="11"/>
  <c r="CL27" i="9"/>
  <c r="B31" i="13" l="1"/>
  <c r="B26" i="13"/>
  <c r="B12" i="13"/>
  <c r="B7" i="13"/>
  <c r="B1" i="13"/>
  <c r="CK24" i="12"/>
  <c r="CJ24" i="12"/>
  <c r="CI24" i="12"/>
  <c r="CH24" i="12"/>
  <c r="CG24" i="12"/>
  <c r="CF24" i="12"/>
  <c r="CE24" i="12"/>
  <c r="CD24" i="12"/>
  <c r="CC24" i="12"/>
  <c r="CB24" i="12"/>
  <c r="CA24" i="12"/>
  <c r="BZ24" i="12"/>
  <c r="BY24" i="12"/>
  <c r="BX24" i="12"/>
  <c r="BW24" i="12"/>
  <c r="BV24" i="12"/>
  <c r="BU24" i="12"/>
  <c r="BT24" i="12"/>
  <c r="BS24" i="12"/>
  <c r="BR24" i="12"/>
  <c r="BQ24" i="12"/>
  <c r="BP24" i="12"/>
  <c r="BO24" i="12"/>
  <c r="BN24" i="12"/>
  <c r="BM24" i="12"/>
  <c r="BL24" i="12"/>
  <c r="BK24" i="12"/>
  <c r="BJ24" i="12"/>
  <c r="BI24" i="12"/>
  <c r="BH24" i="12"/>
  <c r="BG24" i="12"/>
  <c r="BF24" i="12"/>
  <c r="BE24" i="12"/>
  <c r="BD24" i="12"/>
  <c r="BC24" i="12"/>
  <c r="BB24" i="12"/>
  <c r="BA24" i="12"/>
  <c r="AZ24" i="12"/>
  <c r="AY24" i="12"/>
  <c r="AX24" i="12"/>
  <c r="AW24" i="12"/>
  <c r="AV24" i="12"/>
  <c r="AU24" i="12"/>
  <c r="AT24" i="12"/>
  <c r="AS24" i="12"/>
  <c r="AR24" i="12"/>
  <c r="AQ24" i="12"/>
  <c r="AP24" i="12"/>
  <c r="AO24" i="12"/>
  <c r="AN24" i="12"/>
  <c r="AM24" i="12"/>
  <c r="AL24" i="12"/>
  <c r="AK24" i="12"/>
  <c r="AJ24" i="12"/>
  <c r="AI24" i="12"/>
  <c r="AH24" i="12"/>
  <c r="AG24" i="12"/>
  <c r="AF24" i="12"/>
  <c r="AE24" i="12"/>
  <c r="AD24" i="12"/>
  <c r="AC24" i="12"/>
  <c r="AB24" i="12"/>
  <c r="AA24" i="12"/>
  <c r="Z24" i="12"/>
  <c r="Y24" i="12"/>
  <c r="X24" i="12"/>
  <c r="W24" i="12"/>
  <c r="V24" i="12"/>
  <c r="U24" i="12"/>
  <c r="T24" i="12"/>
  <c r="S24" i="12"/>
  <c r="R24" i="12"/>
  <c r="Q24" i="12"/>
  <c r="P24" i="12"/>
  <c r="O24" i="12"/>
  <c r="N24" i="12"/>
  <c r="M24" i="12"/>
  <c r="L24" i="12"/>
  <c r="K24" i="12"/>
  <c r="J24" i="12"/>
  <c r="I24" i="12"/>
  <c r="H24" i="12"/>
  <c r="G24" i="12"/>
  <c r="F24" i="12"/>
  <c r="E24" i="12"/>
  <c r="CK23" i="12"/>
  <c r="CJ23" i="12"/>
  <c r="CI23" i="12"/>
  <c r="CH23" i="12"/>
  <c r="CG23" i="12"/>
  <c r="CF23" i="12"/>
  <c r="CE23" i="12"/>
  <c r="CD23" i="12"/>
  <c r="CC23" i="12"/>
  <c r="CB23" i="12"/>
  <c r="CA23" i="12"/>
  <c r="BZ23" i="12"/>
  <c r="BY23" i="12"/>
  <c r="BX23" i="12"/>
  <c r="BW23" i="12"/>
  <c r="BV23" i="12"/>
  <c r="BU23" i="12"/>
  <c r="BT23" i="12"/>
  <c r="BS23" i="12"/>
  <c r="BR23" i="12"/>
  <c r="BQ23" i="12"/>
  <c r="BP23" i="12"/>
  <c r="BO23" i="12"/>
  <c r="BN23" i="12"/>
  <c r="BM23" i="12"/>
  <c r="BL23" i="12"/>
  <c r="BK23" i="12"/>
  <c r="BJ23" i="12"/>
  <c r="BI23" i="12"/>
  <c r="BH23" i="12"/>
  <c r="BG23" i="12"/>
  <c r="BF23" i="12"/>
  <c r="BE23" i="12"/>
  <c r="BD23" i="12"/>
  <c r="BC23" i="12"/>
  <c r="BB23" i="12"/>
  <c r="BA23" i="12"/>
  <c r="AZ23" i="12"/>
  <c r="AY23" i="12"/>
  <c r="AX23" i="12"/>
  <c r="AW23" i="12"/>
  <c r="AV23" i="12"/>
  <c r="AU23" i="12"/>
  <c r="AT23" i="12"/>
  <c r="AS23" i="12"/>
  <c r="AR23" i="12"/>
  <c r="AQ23" i="12"/>
  <c r="AP23" i="12"/>
  <c r="AO23" i="12"/>
  <c r="AN23" i="12"/>
  <c r="AM23" i="12"/>
  <c r="AL23" i="12"/>
  <c r="AK23" i="12"/>
  <c r="AJ23" i="12"/>
  <c r="AI23" i="12"/>
  <c r="AH23" i="12"/>
  <c r="AG23" i="12"/>
  <c r="AF23" i="12"/>
  <c r="AE23" i="12"/>
  <c r="AD23" i="12"/>
  <c r="AC23" i="12"/>
  <c r="AB23" i="12"/>
  <c r="AA23" i="12"/>
  <c r="Z23" i="12"/>
  <c r="Y23" i="12"/>
  <c r="X23" i="12"/>
  <c r="W23" i="12"/>
  <c r="V23" i="12"/>
  <c r="U23" i="12"/>
  <c r="T23" i="12"/>
  <c r="S23" i="12"/>
  <c r="R23" i="12"/>
  <c r="Q23" i="12"/>
  <c r="P23" i="12"/>
  <c r="O23" i="12"/>
  <c r="N23" i="12"/>
  <c r="M23" i="12"/>
  <c r="L23" i="12"/>
  <c r="K23" i="12"/>
  <c r="J23" i="12"/>
  <c r="I23" i="12"/>
  <c r="H23" i="12"/>
  <c r="G23" i="12"/>
  <c r="F23" i="12"/>
  <c r="E23" i="12"/>
  <c r="CK22" i="12"/>
  <c r="CJ22" i="12"/>
  <c r="CI22" i="12"/>
  <c r="CH22" i="12"/>
  <c r="CG22" i="12"/>
  <c r="CF22" i="12"/>
  <c r="CE22" i="12"/>
  <c r="CD22" i="12"/>
  <c r="CC22" i="12"/>
  <c r="CB22" i="12"/>
  <c r="CA22" i="12"/>
  <c r="BZ22" i="12"/>
  <c r="BY22" i="12"/>
  <c r="BX22" i="12"/>
  <c r="BW22" i="12"/>
  <c r="BV22" i="12"/>
  <c r="BU22" i="12"/>
  <c r="BT22" i="12"/>
  <c r="BS22" i="12"/>
  <c r="BR22" i="12"/>
  <c r="BQ22" i="12"/>
  <c r="BP22" i="12"/>
  <c r="BO22" i="12"/>
  <c r="BN22" i="12"/>
  <c r="BM22" i="12"/>
  <c r="BL22" i="12"/>
  <c r="BK22" i="12"/>
  <c r="BJ22" i="12"/>
  <c r="BI22" i="12"/>
  <c r="BH22" i="12"/>
  <c r="BG22" i="12"/>
  <c r="BF22" i="12"/>
  <c r="BE22" i="12"/>
  <c r="BD22" i="12"/>
  <c r="BC22" i="12"/>
  <c r="BB22" i="12"/>
  <c r="BA22" i="12"/>
  <c r="AZ22" i="12"/>
  <c r="AY22" i="12"/>
  <c r="AX22" i="12"/>
  <c r="AW22" i="12"/>
  <c r="AV22" i="12"/>
  <c r="AU22" i="12"/>
  <c r="AT22" i="12"/>
  <c r="AS22" i="12"/>
  <c r="AR22" i="12"/>
  <c r="AQ22" i="12"/>
  <c r="AP22" i="12"/>
  <c r="AO22" i="12"/>
  <c r="AN22" i="12"/>
  <c r="AM22" i="12"/>
  <c r="AL22" i="12"/>
  <c r="AK22" i="12"/>
  <c r="AJ22" i="12"/>
  <c r="AI22" i="12"/>
  <c r="AH22" i="12"/>
  <c r="AG22" i="12"/>
  <c r="AF22" i="12"/>
  <c r="AE22" i="12"/>
  <c r="AD22" i="12"/>
  <c r="AC22" i="12"/>
  <c r="AB22" i="12"/>
  <c r="AA22" i="12"/>
  <c r="Z22" i="12"/>
  <c r="Y22" i="12"/>
  <c r="X22" i="12"/>
  <c r="W22" i="12"/>
  <c r="V22" i="12"/>
  <c r="U22" i="12"/>
  <c r="T22" i="12"/>
  <c r="S22" i="12"/>
  <c r="R22" i="12"/>
  <c r="Q22" i="12"/>
  <c r="P22" i="12"/>
  <c r="O22" i="12"/>
  <c r="N22" i="12"/>
  <c r="M22" i="12"/>
  <c r="L22" i="12"/>
  <c r="K22" i="12"/>
  <c r="J22" i="12"/>
  <c r="I22" i="12"/>
  <c r="H22" i="12"/>
  <c r="G22" i="12"/>
  <c r="F22" i="12"/>
  <c r="E22" i="12"/>
  <c r="CL21" i="12"/>
  <c r="CK21" i="12"/>
  <c r="CJ21" i="12"/>
  <c r="CI21" i="12"/>
  <c r="CH21" i="12"/>
  <c r="CG21" i="12"/>
  <c r="CF21" i="12"/>
  <c r="CE21" i="12"/>
  <c r="CD21" i="12"/>
  <c r="CC21" i="12"/>
  <c r="CB21" i="12"/>
  <c r="CA21" i="12"/>
  <c r="BZ21" i="12"/>
  <c r="BY21" i="12"/>
  <c r="BX21" i="12"/>
  <c r="BW21" i="12"/>
  <c r="BV21" i="12"/>
  <c r="BU21" i="12"/>
  <c r="BT21" i="12"/>
  <c r="BS21" i="12"/>
  <c r="BR21" i="12"/>
  <c r="BQ21" i="12"/>
  <c r="BP21" i="12"/>
  <c r="BO21" i="12"/>
  <c r="BN21" i="12"/>
  <c r="BM21" i="12"/>
  <c r="BL21" i="12"/>
  <c r="BK21" i="12"/>
  <c r="BJ21" i="12"/>
  <c r="BI21" i="12"/>
  <c r="BH21" i="12"/>
  <c r="BG21" i="12"/>
  <c r="BF21" i="12"/>
  <c r="BE21" i="12"/>
  <c r="BD21" i="12"/>
  <c r="BC21" i="12"/>
  <c r="BB21" i="12"/>
  <c r="BA21" i="12"/>
  <c r="AZ21" i="12"/>
  <c r="AY21" i="12"/>
  <c r="AX21" i="12"/>
  <c r="AW21" i="12"/>
  <c r="AV21" i="12"/>
  <c r="AU21" i="12"/>
  <c r="AT21" i="12"/>
  <c r="AS21" i="12"/>
  <c r="AR21" i="12"/>
  <c r="AQ21" i="12"/>
  <c r="AP21" i="12"/>
  <c r="AO21" i="12"/>
  <c r="AN21" i="12"/>
  <c r="AM21" i="12"/>
  <c r="AL21" i="12"/>
  <c r="AK21" i="12"/>
  <c r="AJ21" i="12"/>
  <c r="AI21" i="12"/>
  <c r="AH21" i="12"/>
  <c r="AG21" i="12"/>
  <c r="AF21" i="12"/>
  <c r="AE21" i="12"/>
  <c r="AD21" i="12"/>
  <c r="AC21" i="12"/>
  <c r="AB21" i="12"/>
  <c r="AA21" i="12"/>
  <c r="Z21" i="12"/>
  <c r="Y21" i="12"/>
  <c r="X21" i="12"/>
  <c r="W21" i="12"/>
  <c r="V21" i="12"/>
  <c r="U21" i="12"/>
  <c r="T21" i="12"/>
  <c r="S21" i="12"/>
  <c r="R21" i="12"/>
  <c r="Q21" i="12"/>
  <c r="P21" i="12"/>
  <c r="O21" i="12"/>
  <c r="N21" i="12"/>
  <c r="M21" i="12"/>
  <c r="L21" i="12"/>
  <c r="K21" i="12"/>
  <c r="J21" i="12"/>
  <c r="I21" i="12"/>
  <c r="H21" i="12"/>
  <c r="G21" i="12"/>
  <c r="F21" i="12"/>
  <c r="E21" i="12"/>
  <c r="CL20" i="12"/>
  <c r="CK20" i="12"/>
  <c r="CJ20" i="12"/>
  <c r="CI20" i="12"/>
  <c r="CH20" i="12"/>
  <c r="CG20" i="12"/>
  <c r="CF20" i="12"/>
  <c r="CE20" i="12"/>
  <c r="CD20" i="12"/>
  <c r="CC20" i="12"/>
  <c r="CB20" i="12"/>
  <c r="CA20" i="12"/>
  <c r="BZ20" i="12"/>
  <c r="BY20" i="12"/>
  <c r="BX20" i="12"/>
  <c r="BW20" i="12"/>
  <c r="BV20" i="12"/>
  <c r="BU20" i="12"/>
  <c r="BT20" i="12"/>
  <c r="BS20" i="12"/>
  <c r="BR20" i="12"/>
  <c r="BQ20" i="12"/>
  <c r="BP20" i="12"/>
  <c r="BO20" i="12"/>
  <c r="BN20" i="12"/>
  <c r="BM20" i="12"/>
  <c r="BL20" i="12"/>
  <c r="BK20" i="12"/>
  <c r="BJ20" i="12"/>
  <c r="BI20" i="12"/>
  <c r="BH20" i="12"/>
  <c r="BG20" i="12"/>
  <c r="BF20" i="12"/>
  <c r="BE20" i="12"/>
  <c r="BD20" i="12"/>
  <c r="BC20" i="12"/>
  <c r="BB20" i="12"/>
  <c r="BA20" i="12"/>
  <c r="AZ20" i="12"/>
  <c r="AY20" i="12"/>
  <c r="AX20" i="12"/>
  <c r="AW20" i="12"/>
  <c r="AV20" i="12"/>
  <c r="AU20" i="12"/>
  <c r="AT20" i="12"/>
  <c r="AS20" i="12"/>
  <c r="AR20" i="12"/>
  <c r="AQ20" i="12"/>
  <c r="AP20" i="12"/>
  <c r="AO20" i="12"/>
  <c r="AN20" i="12"/>
  <c r="AM20" i="12"/>
  <c r="AL20" i="12"/>
  <c r="AK20" i="12"/>
  <c r="AJ20" i="12"/>
  <c r="AI20" i="12"/>
  <c r="AH20" i="12"/>
  <c r="AG20" i="12"/>
  <c r="AF20" i="12"/>
  <c r="AE20" i="12"/>
  <c r="AD20" i="12"/>
  <c r="AC20" i="12"/>
  <c r="AB20" i="12"/>
  <c r="AA20" i="12"/>
  <c r="Z20" i="12"/>
  <c r="Y20" i="12"/>
  <c r="X20" i="12"/>
  <c r="W20" i="12"/>
  <c r="V20" i="12"/>
  <c r="U20" i="12"/>
  <c r="T20" i="12"/>
  <c r="S20" i="12"/>
  <c r="R20" i="12"/>
  <c r="Q20" i="12"/>
  <c r="P20" i="12"/>
  <c r="O20" i="12"/>
  <c r="N20" i="12"/>
  <c r="M20" i="12"/>
  <c r="L20" i="12"/>
  <c r="K20" i="12"/>
  <c r="J20" i="12"/>
  <c r="I20" i="12"/>
  <c r="H20" i="12"/>
  <c r="G20" i="12"/>
  <c r="F20" i="12"/>
  <c r="E20" i="12"/>
  <c r="CK19" i="12"/>
  <c r="CJ19" i="12"/>
  <c r="CI19" i="12"/>
  <c r="CH19" i="12"/>
  <c r="CG19" i="12"/>
  <c r="CF19" i="12"/>
  <c r="CE19" i="12"/>
  <c r="CD19" i="12"/>
  <c r="CC19" i="12"/>
  <c r="CB19" i="12"/>
  <c r="CA19" i="12"/>
  <c r="BZ19" i="12"/>
  <c r="BY19" i="12"/>
  <c r="BX19" i="12"/>
  <c r="BW19" i="12"/>
  <c r="BV19" i="12"/>
  <c r="BU19" i="12"/>
  <c r="BT19" i="12"/>
  <c r="BS19" i="12"/>
  <c r="BR19" i="12"/>
  <c r="BQ19" i="12"/>
  <c r="BP19" i="12"/>
  <c r="BO19" i="12"/>
  <c r="BN19" i="12"/>
  <c r="BM19" i="12"/>
  <c r="BL19" i="12"/>
  <c r="BK19" i="12"/>
  <c r="BJ19" i="12"/>
  <c r="BI19" i="12"/>
  <c r="BH19" i="12"/>
  <c r="BG19" i="12"/>
  <c r="BF19" i="12"/>
  <c r="BE19" i="12"/>
  <c r="BD19" i="12"/>
  <c r="BC19" i="12"/>
  <c r="BB19" i="12"/>
  <c r="BA19" i="12"/>
  <c r="AZ19" i="12"/>
  <c r="AY19" i="12"/>
  <c r="AX19" i="12"/>
  <c r="AW19" i="12"/>
  <c r="AV19" i="12"/>
  <c r="AU19" i="12"/>
  <c r="AT19" i="12"/>
  <c r="AS19" i="12"/>
  <c r="AR19" i="12"/>
  <c r="AQ19" i="12"/>
  <c r="AP19" i="12"/>
  <c r="AO19" i="12"/>
  <c r="AN19" i="12"/>
  <c r="AM19" i="12"/>
  <c r="AL19" i="12"/>
  <c r="AK19" i="12"/>
  <c r="AJ19" i="12"/>
  <c r="AI19" i="12"/>
  <c r="AH19" i="12"/>
  <c r="AG19" i="12"/>
  <c r="AF19" i="12"/>
  <c r="AE19" i="12"/>
  <c r="AD19" i="12"/>
  <c r="AC19" i="12"/>
  <c r="AB19" i="12"/>
  <c r="AA19" i="12"/>
  <c r="Z19" i="12"/>
  <c r="Y19" i="12"/>
  <c r="X19" i="12"/>
  <c r="W19" i="12"/>
  <c r="V19" i="12"/>
  <c r="U19" i="12"/>
  <c r="T19" i="12"/>
  <c r="S19" i="12"/>
  <c r="R19" i="12"/>
  <c r="Q19" i="12"/>
  <c r="P19" i="12"/>
  <c r="O19" i="12"/>
  <c r="N19" i="12"/>
  <c r="M19" i="12"/>
  <c r="L19" i="12"/>
  <c r="K19" i="12"/>
  <c r="J19" i="12"/>
  <c r="I19" i="12"/>
  <c r="H19" i="12"/>
  <c r="G19" i="12"/>
  <c r="F19" i="12"/>
  <c r="E19" i="12"/>
  <c r="CL17" i="12"/>
  <c r="CL16" i="12"/>
  <c r="CK15" i="12"/>
  <c r="CK14" i="12"/>
  <c r="CJ14" i="12"/>
  <c r="CI14" i="12"/>
  <c r="CH14" i="12"/>
  <c r="CG14" i="12"/>
  <c r="CF14" i="12"/>
  <c r="CE14" i="12"/>
  <c r="CD14" i="12"/>
  <c r="CC14" i="12"/>
  <c r="CB14" i="12"/>
  <c r="CA14" i="12"/>
  <c r="BZ14" i="12"/>
  <c r="BY14" i="12"/>
  <c r="BX14" i="12"/>
  <c r="BW14" i="12"/>
  <c r="BV14" i="12"/>
  <c r="BU14" i="12"/>
  <c r="BT14" i="12"/>
  <c r="BS14" i="12"/>
  <c r="BR14" i="12"/>
  <c r="BQ14" i="12"/>
  <c r="BP14" i="12"/>
  <c r="BO14" i="12"/>
  <c r="BN14" i="12"/>
  <c r="BM14" i="12"/>
  <c r="BL14" i="12"/>
  <c r="BK14" i="12"/>
  <c r="BJ14" i="12"/>
  <c r="BI14" i="12"/>
  <c r="BH14" i="12"/>
  <c r="BG14" i="12"/>
  <c r="BF14" i="12"/>
  <c r="BE14" i="12"/>
  <c r="BD14" i="12"/>
  <c r="BC14" i="12"/>
  <c r="BB14" i="12"/>
  <c r="BA14" i="12"/>
  <c r="AZ14" i="12"/>
  <c r="AY14" i="12"/>
  <c r="AX14" i="12"/>
  <c r="AW14" i="12"/>
  <c r="AV14" i="12"/>
  <c r="AU14" i="12"/>
  <c r="AT14" i="12"/>
  <c r="AS14" i="12"/>
  <c r="AR14" i="12"/>
  <c r="AQ14" i="12"/>
  <c r="AP14" i="12"/>
  <c r="AO14" i="12"/>
  <c r="AN14" i="12"/>
  <c r="AM14" i="12"/>
  <c r="AL14" i="12"/>
  <c r="AK14" i="12"/>
  <c r="AJ14" i="12"/>
  <c r="AI14" i="12"/>
  <c r="AH14" i="12"/>
  <c r="AG14" i="12"/>
  <c r="AF14" i="12"/>
  <c r="AE14" i="12"/>
  <c r="AD14" i="12"/>
  <c r="AC14" i="12"/>
  <c r="AB14" i="12"/>
  <c r="AA14" i="12"/>
  <c r="Z14" i="12"/>
  <c r="Y14" i="12"/>
  <c r="X14" i="12"/>
  <c r="W14" i="12"/>
  <c r="V14" i="12"/>
  <c r="U14" i="12"/>
  <c r="T14" i="12"/>
  <c r="S14" i="12"/>
  <c r="R14" i="12"/>
  <c r="Q14" i="12"/>
  <c r="P14" i="12"/>
  <c r="O14" i="12"/>
  <c r="N14" i="12"/>
  <c r="M14" i="12"/>
  <c r="L14" i="12"/>
  <c r="K14" i="12"/>
  <c r="J14" i="12"/>
  <c r="I14" i="12"/>
  <c r="H14" i="12"/>
  <c r="G14" i="12"/>
  <c r="F14" i="12"/>
  <c r="E14" i="12"/>
  <c r="CK11" i="12"/>
  <c r="CJ11" i="12"/>
  <c r="CI11" i="12"/>
  <c r="CH11" i="12"/>
  <c r="CG11" i="12"/>
  <c r="CF11" i="12"/>
  <c r="CE11" i="12"/>
  <c r="CD11" i="12"/>
  <c r="CC11" i="12"/>
  <c r="CB11" i="12"/>
  <c r="CA11" i="12"/>
  <c r="BZ11" i="12"/>
  <c r="BY11" i="12"/>
  <c r="BX11" i="12"/>
  <c r="BW11" i="12"/>
  <c r="BV11" i="12"/>
  <c r="BU11" i="12"/>
  <c r="BT11" i="12"/>
  <c r="BS11" i="12"/>
  <c r="BR11" i="12"/>
  <c r="BQ11" i="12"/>
  <c r="BP11" i="12"/>
  <c r="BO11" i="12"/>
  <c r="BN11" i="12"/>
  <c r="BM11" i="12"/>
  <c r="BL11" i="12"/>
  <c r="BK11" i="12"/>
  <c r="BJ11" i="12"/>
  <c r="BI11" i="12"/>
  <c r="BH11" i="12"/>
  <c r="BG11" i="12"/>
  <c r="BF11" i="12"/>
  <c r="BE11" i="12"/>
  <c r="BD11" i="12"/>
  <c r="BC11" i="12"/>
  <c r="BB11" i="12"/>
  <c r="BA11" i="12"/>
  <c r="AZ11" i="12"/>
  <c r="AY11" i="12"/>
  <c r="AX11" i="12"/>
  <c r="AW11" i="12"/>
  <c r="AV11" i="12"/>
  <c r="AU11" i="12"/>
  <c r="AT11" i="12"/>
  <c r="AS11" i="12"/>
  <c r="AR11" i="12"/>
  <c r="AQ11" i="12"/>
  <c r="AP11" i="12"/>
  <c r="AO11" i="12"/>
  <c r="AN11" i="12"/>
  <c r="AM11" i="12"/>
  <c r="AL11" i="12"/>
  <c r="AK11" i="12"/>
  <c r="AJ11" i="12"/>
  <c r="AI11" i="12"/>
  <c r="AH11" i="12"/>
  <c r="AG11" i="12"/>
  <c r="AF11" i="12"/>
  <c r="AE11" i="12"/>
  <c r="AD11" i="12"/>
  <c r="AC11" i="12"/>
  <c r="AB11" i="12"/>
  <c r="AA11" i="12"/>
  <c r="Z11" i="12"/>
  <c r="Y11" i="12"/>
  <c r="X11" i="12"/>
  <c r="W11" i="12"/>
  <c r="V11" i="12"/>
  <c r="U11" i="12"/>
  <c r="T11" i="12"/>
  <c r="S11" i="12"/>
  <c r="R11" i="12"/>
  <c r="Q11" i="12"/>
  <c r="P11" i="12"/>
  <c r="O11" i="12"/>
  <c r="N11" i="12"/>
  <c r="M11" i="12"/>
  <c r="L11" i="12"/>
  <c r="K11" i="12"/>
  <c r="J11" i="12"/>
  <c r="I11" i="12"/>
  <c r="H11" i="12"/>
  <c r="G11" i="12"/>
  <c r="F11" i="12"/>
  <c r="E11" i="12"/>
  <c r="CK10" i="12"/>
  <c r="CJ10" i="12"/>
  <c r="CI10" i="12"/>
  <c r="CH10" i="12"/>
  <c r="CG10" i="12"/>
  <c r="CF10" i="12"/>
  <c r="CE10" i="12"/>
  <c r="CD10" i="12"/>
  <c r="CC10" i="12"/>
  <c r="CB10" i="12"/>
  <c r="CA10" i="12"/>
  <c r="BZ10" i="12"/>
  <c r="BY10" i="12"/>
  <c r="BX10" i="12"/>
  <c r="BW10" i="12"/>
  <c r="BV10" i="12"/>
  <c r="BU10" i="12"/>
  <c r="BT10" i="12"/>
  <c r="BS10" i="12"/>
  <c r="BR10" i="12"/>
  <c r="BQ10" i="12"/>
  <c r="BP10" i="12"/>
  <c r="BO10" i="12"/>
  <c r="BN10" i="12"/>
  <c r="BM10" i="12"/>
  <c r="BL10" i="12"/>
  <c r="BK10" i="12"/>
  <c r="BJ10" i="12"/>
  <c r="BI10" i="12"/>
  <c r="BH10" i="12"/>
  <c r="BG10" i="12"/>
  <c r="BF10" i="12"/>
  <c r="BE10" i="12"/>
  <c r="BD10" i="12"/>
  <c r="BC10" i="12"/>
  <c r="BB10" i="12"/>
  <c r="BA10" i="12"/>
  <c r="AZ10" i="12"/>
  <c r="AY10" i="12"/>
  <c r="AX10" i="12"/>
  <c r="AW10" i="12"/>
  <c r="AV10" i="12"/>
  <c r="AU10" i="12"/>
  <c r="AT10" i="12"/>
  <c r="AS10" i="12"/>
  <c r="AR10" i="12"/>
  <c r="AQ10" i="12"/>
  <c r="AP10" i="12"/>
  <c r="AO10" i="12"/>
  <c r="AN10" i="12"/>
  <c r="AM10" i="12"/>
  <c r="AL10" i="12"/>
  <c r="AK10" i="12"/>
  <c r="AJ10" i="12"/>
  <c r="AI10" i="12"/>
  <c r="AH10" i="12"/>
  <c r="AG10" i="12"/>
  <c r="AF10" i="12"/>
  <c r="AE10" i="12"/>
  <c r="AD10" i="12"/>
  <c r="AC10" i="12"/>
  <c r="AB10" i="12"/>
  <c r="AA10" i="12"/>
  <c r="Z10" i="12"/>
  <c r="Y10" i="12"/>
  <c r="X10" i="12"/>
  <c r="W10" i="12"/>
  <c r="V10" i="12"/>
  <c r="U10" i="12"/>
  <c r="T10" i="12"/>
  <c r="S10" i="12"/>
  <c r="R10" i="12"/>
  <c r="Q10" i="12"/>
  <c r="P10" i="12"/>
  <c r="O10" i="12"/>
  <c r="N10" i="12"/>
  <c r="M10" i="12"/>
  <c r="L10" i="12"/>
  <c r="K10" i="12"/>
  <c r="J10" i="12"/>
  <c r="I10" i="12"/>
  <c r="H10" i="12"/>
  <c r="G10" i="12"/>
  <c r="F10" i="12"/>
  <c r="E10" i="12"/>
  <c r="CK9" i="12"/>
  <c r="CJ9" i="12"/>
  <c r="CI9" i="12"/>
  <c r="CH9" i="12"/>
  <c r="CG9" i="12"/>
  <c r="CF9" i="12"/>
  <c r="CE9" i="12"/>
  <c r="CD9" i="12"/>
  <c r="CC9" i="12"/>
  <c r="CB9" i="12"/>
  <c r="CA9" i="12"/>
  <c r="BZ9" i="12"/>
  <c r="BY9" i="12"/>
  <c r="BX9" i="12"/>
  <c r="BW9" i="12"/>
  <c r="BV9" i="12"/>
  <c r="BU9" i="12"/>
  <c r="BT9" i="12"/>
  <c r="BS9" i="12"/>
  <c r="BR9" i="12"/>
  <c r="BQ9" i="12"/>
  <c r="BP9" i="12"/>
  <c r="BO9" i="12"/>
  <c r="BN9" i="12"/>
  <c r="BM9" i="12"/>
  <c r="BL9" i="12"/>
  <c r="BK9" i="12"/>
  <c r="BJ9" i="12"/>
  <c r="BI9" i="12"/>
  <c r="BH9" i="12"/>
  <c r="BG9" i="12"/>
  <c r="BF9" i="12"/>
  <c r="BE9" i="12"/>
  <c r="BD9" i="12"/>
  <c r="BC9" i="12"/>
  <c r="BB9" i="12"/>
  <c r="BA9" i="12"/>
  <c r="AZ9" i="12"/>
  <c r="AY9" i="12"/>
  <c r="AX9" i="12"/>
  <c r="AW9" i="12"/>
  <c r="AV9" i="12"/>
  <c r="AU9" i="12"/>
  <c r="AT9" i="12"/>
  <c r="AS9" i="12"/>
  <c r="AR9" i="12"/>
  <c r="AQ9" i="12"/>
  <c r="AP9" i="12"/>
  <c r="AO9" i="12"/>
  <c r="AN9" i="12"/>
  <c r="AM9" i="12"/>
  <c r="AL9" i="12"/>
  <c r="AK9" i="12"/>
  <c r="AJ9" i="12"/>
  <c r="AI9" i="12"/>
  <c r="AH9" i="12"/>
  <c r="AG9" i="12"/>
  <c r="AF9" i="12"/>
  <c r="AE9" i="12"/>
  <c r="AD9" i="12"/>
  <c r="AC9" i="12"/>
  <c r="AB9" i="12"/>
  <c r="AA9" i="12"/>
  <c r="Z9" i="12"/>
  <c r="Y9" i="12"/>
  <c r="X9" i="12"/>
  <c r="W9" i="12"/>
  <c r="V9" i="12"/>
  <c r="U9" i="12"/>
  <c r="T9" i="12"/>
  <c r="S9" i="12"/>
  <c r="R9" i="12"/>
  <c r="Q9" i="12"/>
  <c r="P9" i="12"/>
  <c r="O9" i="12"/>
  <c r="N9" i="12"/>
  <c r="M9" i="12"/>
  <c r="L9" i="12"/>
  <c r="K9" i="12"/>
  <c r="J9" i="12"/>
  <c r="I9" i="12"/>
  <c r="H9" i="12"/>
  <c r="G9" i="12"/>
  <c r="F9" i="12"/>
  <c r="E9" i="12"/>
  <c r="CL8" i="12"/>
  <c r="CL12" i="12" s="1"/>
  <c r="CK8" i="12"/>
  <c r="CJ8" i="12"/>
  <c r="CI8" i="12"/>
  <c r="CH8" i="12"/>
  <c r="CG8" i="12"/>
  <c r="CF8" i="12"/>
  <c r="CE8" i="12"/>
  <c r="CD8" i="12"/>
  <c r="CC8" i="12"/>
  <c r="CB8" i="12"/>
  <c r="CA8" i="12"/>
  <c r="BZ8" i="12"/>
  <c r="BY8" i="12"/>
  <c r="BX8" i="12"/>
  <c r="BW8" i="12"/>
  <c r="BV8" i="12"/>
  <c r="BU8" i="12"/>
  <c r="BT8" i="12"/>
  <c r="BS8" i="12"/>
  <c r="BR8" i="12"/>
  <c r="BQ8" i="12"/>
  <c r="BP8" i="12"/>
  <c r="BO8" i="12"/>
  <c r="BN8" i="12"/>
  <c r="BM8" i="12"/>
  <c r="BL8" i="12"/>
  <c r="BK8" i="12"/>
  <c r="BJ8" i="12"/>
  <c r="BI8" i="12"/>
  <c r="BH8" i="12"/>
  <c r="BG8" i="12"/>
  <c r="BF8" i="12"/>
  <c r="BE8" i="12"/>
  <c r="BD8" i="12"/>
  <c r="BC8" i="12"/>
  <c r="BB8" i="12"/>
  <c r="BA8" i="12"/>
  <c r="AZ8" i="12"/>
  <c r="AY8" i="12"/>
  <c r="AX8" i="12"/>
  <c r="AW8" i="12"/>
  <c r="AV8" i="12"/>
  <c r="AU8" i="12"/>
  <c r="AT8" i="12"/>
  <c r="AS8" i="12"/>
  <c r="AR8" i="12"/>
  <c r="AQ8" i="12"/>
  <c r="AP8" i="12"/>
  <c r="AO8" i="12"/>
  <c r="AN8" i="12"/>
  <c r="AM8" i="12"/>
  <c r="AL8" i="12"/>
  <c r="AK8" i="12"/>
  <c r="AJ8" i="12"/>
  <c r="AI8" i="12"/>
  <c r="AH8" i="12"/>
  <c r="AG8" i="12"/>
  <c r="AF8" i="12"/>
  <c r="AE8" i="12"/>
  <c r="AD8" i="12"/>
  <c r="AC8" i="12"/>
  <c r="AB8" i="12"/>
  <c r="AA8" i="12"/>
  <c r="Z8" i="12"/>
  <c r="Y8" i="12"/>
  <c r="X8" i="12"/>
  <c r="W8" i="12"/>
  <c r="V8" i="12"/>
  <c r="U8" i="12"/>
  <c r="T8" i="12"/>
  <c r="S8" i="12"/>
  <c r="R8" i="12"/>
  <c r="Q8" i="12"/>
  <c r="P8" i="12"/>
  <c r="O8" i="12"/>
  <c r="N8" i="12"/>
  <c r="M8" i="12"/>
  <c r="L8" i="12"/>
  <c r="K8" i="12"/>
  <c r="J8" i="12"/>
  <c r="I8" i="12"/>
  <c r="H8" i="12"/>
  <c r="G8" i="12"/>
  <c r="F8" i="12"/>
  <c r="E8" i="12"/>
  <c r="CL7" i="12"/>
  <c r="CK7" i="12"/>
  <c r="CJ7" i="12"/>
  <c r="CI7" i="12"/>
  <c r="CH7" i="12"/>
  <c r="CG7" i="12"/>
  <c r="CF7" i="12"/>
  <c r="CE7" i="12"/>
  <c r="CD7" i="12"/>
  <c r="CC7" i="12"/>
  <c r="CB7" i="12"/>
  <c r="CA7" i="12"/>
  <c r="BZ7" i="12"/>
  <c r="BY7" i="12"/>
  <c r="BX7" i="12"/>
  <c r="BW7" i="12"/>
  <c r="BV7" i="12"/>
  <c r="BU7" i="12"/>
  <c r="BT7" i="12"/>
  <c r="BS7" i="12"/>
  <c r="BR7" i="12"/>
  <c r="BQ7" i="12"/>
  <c r="BP7" i="12"/>
  <c r="BO7" i="12"/>
  <c r="BN7" i="12"/>
  <c r="BM7" i="12"/>
  <c r="BL7" i="12"/>
  <c r="BK7" i="12"/>
  <c r="BJ7" i="12"/>
  <c r="BI7" i="12"/>
  <c r="BH7" i="12"/>
  <c r="BG7" i="12"/>
  <c r="BF7" i="12"/>
  <c r="BE7" i="12"/>
  <c r="BD7" i="12"/>
  <c r="BC7" i="12"/>
  <c r="BB7" i="12"/>
  <c r="BA7" i="12"/>
  <c r="AZ7" i="12"/>
  <c r="AY7" i="12"/>
  <c r="AX7" i="12"/>
  <c r="AW7" i="12"/>
  <c r="AV7" i="12"/>
  <c r="AU7" i="12"/>
  <c r="AT7" i="12"/>
  <c r="AS7" i="12"/>
  <c r="AR7" i="12"/>
  <c r="AQ7" i="12"/>
  <c r="AP7" i="12"/>
  <c r="AO7" i="12"/>
  <c r="AN7" i="12"/>
  <c r="AM7" i="12"/>
  <c r="AL7" i="12"/>
  <c r="AK7" i="12"/>
  <c r="AJ7" i="12"/>
  <c r="AI7" i="12"/>
  <c r="AH7" i="12"/>
  <c r="AG7" i="12"/>
  <c r="AF7" i="12"/>
  <c r="AE7" i="12"/>
  <c r="AD7" i="12"/>
  <c r="AC7" i="12"/>
  <c r="AB7" i="12"/>
  <c r="AA7" i="12"/>
  <c r="Z7" i="12"/>
  <c r="Y7" i="12"/>
  <c r="X7" i="12"/>
  <c r="W7" i="12"/>
  <c r="V7" i="12"/>
  <c r="U7" i="12"/>
  <c r="T7" i="12"/>
  <c r="S7" i="12"/>
  <c r="R7" i="12"/>
  <c r="Q7" i="12"/>
  <c r="P7" i="12"/>
  <c r="O7" i="12"/>
  <c r="N7" i="12"/>
  <c r="M7" i="12"/>
  <c r="L7" i="12"/>
  <c r="K7" i="12"/>
  <c r="J7" i="12"/>
  <c r="I7" i="12"/>
  <c r="H7" i="12"/>
  <c r="G7" i="12"/>
  <c r="F7" i="12"/>
  <c r="E7" i="12"/>
  <c r="CK6" i="12"/>
  <c r="CJ6" i="12"/>
  <c r="CI6" i="12"/>
  <c r="CH6" i="12"/>
  <c r="CG6" i="12"/>
  <c r="CF6" i="12"/>
  <c r="CE6" i="12"/>
  <c r="CD6" i="12"/>
  <c r="CC6" i="12"/>
  <c r="CB6" i="12"/>
  <c r="CA6" i="12"/>
  <c r="BZ6" i="12"/>
  <c r="BY6" i="12"/>
  <c r="BX6" i="12"/>
  <c r="BW6" i="12"/>
  <c r="BV6" i="12"/>
  <c r="BU6" i="12"/>
  <c r="BT6" i="12"/>
  <c r="BS6" i="12"/>
  <c r="BR6" i="12"/>
  <c r="BQ6" i="12"/>
  <c r="BP6" i="12"/>
  <c r="BO6" i="12"/>
  <c r="BN6" i="12"/>
  <c r="BM6" i="12"/>
  <c r="BL6" i="12"/>
  <c r="BK6" i="12"/>
  <c r="BJ6" i="12"/>
  <c r="BI6" i="12"/>
  <c r="BH6" i="12"/>
  <c r="BG6" i="12"/>
  <c r="BF6" i="12"/>
  <c r="BE6" i="12"/>
  <c r="BD6" i="12"/>
  <c r="BC6" i="12"/>
  <c r="BB6" i="12"/>
  <c r="BA6" i="12"/>
  <c r="AZ6" i="12"/>
  <c r="AY6" i="12"/>
  <c r="AX6" i="12"/>
  <c r="AW6" i="12"/>
  <c r="AV6" i="12"/>
  <c r="AU6" i="12"/>
  <c r="AT6" i="12"/>
  <c r="AS6" i="12"/>
  <c r="AR6" i="12"/>
  <c r="AQ6" i="12"/>
  <c r="AP6" i="12"/>
  <c r="AO6" i="12"/>
  <c r="AN6" i="12"/>
  <c r="AM6" i="12"/>
  <c r="AL6" i="12"/>
  <c r="AK6" i="12"/>
  <c r="AJ6" i="12"/>
  <c r="AI6" i="12"/>
  <c r="AH6" i="12"/>
  <c r="AG6" i="12"/>
  <c r="AF6" i="12"/>
  <c r="AE6" i="12"/>
  <c r="AD6" i="12"/>
  <c r="AC6" i="12"/>
  <c r="AB6" i="12"/>
  <c r="AA6" i="12"/>
  <c r="Z6" i="12"/>
  <c r="Y6" i="12"/>
  <c r="X6" i="12"/>
  <c r="W6" i="12"/>
  <c r="V6" i="12"/>
  <c r="U6" i="12"/>
  <c r="T6" i="12"/>
  <c r="S6" i="12"/>
  <c r="R6" i="12"/>
  <c r="Q6" i="12"/>
  <c r="P6" i="12"/>
  <c r="O6" i="12"/>
  <c r="N6" i="12"/>
  <c r="M6" i="12"/>
  <c r="L6" i="12"/>
  <c r="K6" i="12"/>
  <c r="J6" i="12"/>
  <c r="I6" i="12"/>
  <c r="H6" i="12"/>
  <c r="G6" i="12"/>
  <c r="F6" i="12"/>
  <c r="E6" i="12"/>
  <c r="CK4" i="12"/>
  <c r="CJ4" i="12"/>
  <c r="CI4" i="12"/>
  <c r="CH4" i="12"/>
  <c r="CG4" i="12"/>
  <c r="CF4" i="12"/>
  <c r="CE4" i="12"/>
  <c r="CD4" i="12"/>
  <c r="CC4" i="12"/>
  <c r="CB4" i="12"/>
  <c r="CA4" i="12"/>
  <c r="BZ4" i="12"/>
  <c r="BY4" i="12"/>
  <c r="BX4" i="12"/>
  <c r="BW4" i="12"/>
  <c r="BV4" i="12"/>
  <c r="BU4" i="12"/>
  <c r="BT4" i="12"/>
  <c r="BS4" i="12"/>
  <c r="BR4" i="12"/>
  <c r="BQ4" i="12"/>
  <c r="BP4" i="12"/>
  <c r="BO4" i="12"/>
  <c r="BN4" i="12"/>
  <c r="BM4" i="12"/>
  <c r="BL4" i="12"/>
  <c r="BK4" i="12"/>
  <c r="BJ4" i="12"/>
  <c r="BI4" i="12"/>
  <c r="BH4" i="12"/>
  <c r="BG4" i="12"/>
  <c r="BF4" i="12"/>
  <c r="BE4" i="12"/>
  <c r="BD4" i="12"/>
  <c r="BC4" i="12"/>
  <c r="BB4" i="12"/>
  <c r="BA4" i="12"/>
  <c r="AZ4" i="12"/>
  <c r="AY4" i="12"/>
  <c r="AX4" i="12"/>
  <c r="AW4" i="12"/>
  <c r="AV4" i="12"/>
  <c r="AU4" i="12"/>
  <c r="AT4" i="12"/>
  <c r="AS4" i="12"/>
  <c r="AR4" i="12"/>
  <c r="AQ4" i="12"/>
  <c r="AP4" i="12"/>
  <c r="AO4" i="12"/>
  <c r="AN4" i="12"/>
  <c r="AM4" i="12"/>
  <c r="AL4" i="12"/>
  <c r="AK4" i="12"/>
  <c r="AJ4" i="12"/>
  <c r="AI4" i="12"/>
  <c r="AH4" i="12"/>
  <c r="AG4" i="12"/>
  <c r="AF4" i="12"/>
  <c r="AE4" i="12"/>
  <c r="AD4" i="12"/>
  <c r="AC4" i="12"/>
  <c r="AB4" i="12"/>
  <c r="AA4" i="12"/>
  <c r="Z4" i="12"/>
  <c r="Y4" i="12"/>
  <c r="X4" i="12"/>
  <c r="W4" i="12"/>
  <c r="V4" i="12"/>
  <c r="U4" i="12"/>
  <c r="T4" i="12"/>
  <c r="S4" i="12"/>
  <c r="R4" i="12"/>
  <c r="Q4" i="12"/>
  <c r="P4" i="12"/>
  <c r="O4" i="12"/>
  <c r="N4" i="12"/>
  <c r="M4" i="12"/>
  <c r="L4" i="12"/>
  <c r="K4" i="12"/>
  <c r="J4" i="12"/>
  <c r="I4" i="12"/>
  <c r="H4" i="12"/>
  <c r="G4" i="12"/>
  <c r="F4" i="12"/>
  <c r="E4" i="12"/>
  <c r="CK3" i="12"/>
  <c r="CJ3" i="12"/>
  <c r="CI3" i="12"/>
  <c r="CH3" i="12"/>
  <c r="CG3" i="12"/>
  <c r="CF3" i="12"/>
  <c r="CE3" i="12"/>
  <c r="CD3" i="12"/>
  <c r="CC3" i="12"/>
  <c r="CB3" i="12"/>
  <c r="CA3" i="12"/>
  <c r="BZ3" i="12"/>
  <c r="BY3" i="12"/>
  <c r="BX3" i="12"/>
  <c r="BW3" i="12"/>
  <c r="BV3" i="12"/>
  <c r="BU3" i="12"/>
  <c r="BT3" i="12"/>
  <c r="BS3" i="12"/>
  <c r="BR3" i="12"/>
  <c r="BQ3" i="12"/>
  <c r="BP3" i="12"/>
  <c r="BO3" i="12"/>
  <c r="BN3" i="12"/>
  <c r="BM3" i="12"/>
  <c r="BL3" i="12"/>
  <c r="BK3" i="12"/>
  <c r="BJ3" i="12"/>
  <c r="BI3" i="12"/>
  <c r="BH3" i="12"/>
  <c r="BG3" i="12"/>
  <c r="BF3" i="12"/>
  <c r="BE3" i="12"/>
  <c r="BD3" i="12"/>
  <c r="BC3" i="12"/>
  <c r="BB3" i="12"/>
  <c r="BA3" i="12"/>
  <c r="AZ3" i="12"/>
  <c r="AY3" i="12"/>
  <c r="AX3" i="12"/>
  <c r="AW3" i="12"/>
  <c r="AV3" i="12"/>
  <c r="AU3" i="12"/>
  <c r="AT3" i="12"/>
  <c r="AS3" i="12"/>
  <c r="AR3" i="12"/>
  <c r="AQ3" i="12"/>
  <c r="AP3" i="12"/>
  <c r="AO3" i="12"/>
  <c r="AN3" i="12"/>
  <c r="AM3" i="12"/>
  <c r="AL3" i="12"/>
  <c r="AK3" i="12"/>
  <c r="AJ3" i="12"/>
  <c r="AI3" i="12"/>
  <c r="AH3" i="12"/>
  <c r="AG3" i="12"/>
  <c r="AF3" i="12"/>
  <c r="AE3" i="12"/>
  <c r="AD3" i="12"/>
  <c r="AC3" i="12"/>
  <c r="AB3" i="12"/>
  <c r="AA3" i="12"/>
  <c r="Z3" i="12"/>
  <c r="Y3" i="12"/>
  <c r="X3" i="12"/>
  <c r="W3" i="12"/>
  <c r="V3" i="12"/>
  <c r="U3" i="12"/>
  <c r="T3" i="12"/>
  <c r="S3" i="12"/>
  <c r="R3" i="12"/>
  <c r="Q3" i="12"/>
  <c r="P3" i="12"/>
  <c r="O3" i="12"/>
  <c r="N3" i="12"/>
  <c r="M3" i="12"/>
  <c r="L3" i="12"/>
  <c r="K3" i="12"/>
  <c r="J3" i="12"/>
  <c r="I3" i="12"/>
  <c r="H3" i="12"/>
  <c r="G3" i="12"/>
  <c r="F3" i="12"/>
  <c r="E3" i="12"/>
  <c r="CL2" i="12"/>
  <c r="CL5" i="12" s="1"/>
  <c r="CK2" i="12"/>
  <c r="CJ2" i="12"/>
  <c r="CI2" i="12"/>
  <c r="CH2" i="12"/>
  <c r="CG2" i="12"/>
  <c r="CF2" i="12"/>
  <c r="CE2" i="12"/>
  <c r="CD2" i="12"/>
  <c r="CC2" i="12"/>
  <c r="CB2" i="12"/>
  <c r="CA2" i="12"/>
  <c r="BZ2" i="12"/>
  <c r="BY2" i="12"/>
  <c r="BX2" i="12"/>
  <c r="BW2" i="12"/>
  <c r="BV2" i="12"/>
  <c r="BU2" i="12"/>
  <c r="BT2" i="12"/>
  <c r="BS2" i="12"/>
  <c r="BR2" i="12"/>
  <c r="BQ2" i="12"/>
  <c r="BP2" i="12"/>
  <c r="BO2" i="12"/>
  <c r="BN2" i="12"/>
  <c r="BM2" i="12"/>
  <c r="BL2" i="12"/>
  <c r="BK2" i="12"/>
  <c r="BJ2" i="12"/>
  <c r="BI2" i="12"/>
  <c r="BH2" i="12"/>
  <c r="BG2" i="12"/>
  <c r="BF2" i="12"/>
  <c r="BE2" i="12"/>
  <c r="BD2" i="12"/>
  <c r="BC2" i="12"/>
  <c r="BB2" i="12"/>
  <c r="BA2" i="12"/>
  <c r="AZ2" i="12"/>
  <c r="AY2" i="12"/>
  <c r="AX2" i="12"/>
  <c r="AW2" i="12"/>
  <c r="AV2" i="12"/>
  <c r="AU2" i="12"/>
  <c r="AT2" i="12"/>
  <c r="AS2" i="12"/>
  <c r="AR2" i="12"/>
  <c r="AQ2" i="12"/>
  <c r="AP2" i="12"/>
  <c r="AO2" i="12"/>
  <c r="AN2" i="12"/>
  <c r="AM2" i="12"/>
  <c r="AL2" i="12"/>
  <c r="AK2" i="12"/>
  <c r="AJ2" i="12"/>
  <c r="AI2" i="12"/>
  <c r="AH2" i="12"/>
  <c r="AG2" i="12"/>
  <c r="AF2" i="12"/>
  <c r="AE2" i="12"/>
  <c r="AD2" i="12"/>
  <c r="AC2" i="12"/>
  <c r="AB2" i="12"/>
  <c r="AA2" i="12"/>
  <c r="Z2" i="12"/>
  <c r="Y2" i="12"/>
  <c r="X2" i="12"/>
  <c r="W2" i="12"/>
  <c r="V2" i="12"/>
  <c r="U2" i="12"/>
  <c r="T2" i="12"/>
  <c r="S2" i="12"/>
  <c r="R2" i="12"/>
  <c r="Q2" i="12"/>
  <c r="P2" i="12"/>
  <c r="O2" i="12"/>
  <c r="N2" i="12"/>
  <c r="M2" i="12"/>
  <c r="L2" i="12"/>
  <c r="K2" i="12"/>
  <c r="J2" i="12"/>
  <c r="I2" i="12"/>
  <c r="H2" i="12"/>
  <c r="G2" i="12"/>
  <c r="F2" i="12"/>
  <c r="E2" i="12"/>
  <c r="CK74" i="11"/>
  <c r="CK71" i="11"/>
  <c r="CJ71" i="11"/>
  <c r="CI71" i="11"/>
  <c r="CH71" i="11"/>
  <c r="CG71" i="11"/>
  <c r="CF71" i="11"/>
  <c r="CE71" i="11"/>
  <c r="CD71" i="11"/>
  <c r="CC71" i="11"/>
  <c r="CB71" i="11"/>
  <c r="CA71" i="11"/>
  <c r="BZ71" i="11"/>
  <c r="BY71" i="11"/>
  <c r="BX71" i="11"/>
  <c r="BW71" i="11"/>
  <c r="BV71" i="11"/>
  <c r="BU71" i="11"/>
  <c r="BT71" i="11"/>
  <c r="BS71" i="11"/>
  <c r="BR71" i="11"/>
  <c r="BQ71" i="11"/>
  <c r="BP71" i="11"/>
  <c r="BO71" i="11"/>
  <c r="BN71" i="11"/>
  <c r="BM71" i="11"/>
  <c r="BL71" i="11"/>
  <c r="BK71" i="11"/>
  <c r="BJ71" i="11"/>
  <c r="BI71" i="11"/>
  <c r="BH71" i="11"/>
  <c r="BG71" i="11"/>
  <c r="BF71" i="11"/>
  <c r="BE71" i="11"/>
  <c r="BD71" i="11"/>
  <c r="BC71" i="11"/>
  <c r="BB71" i="11"/>
  <c r="BA71" i="11"/>
  <c r="AZ71" i="11"/>
  <c r="AY71" i="11"/>
  <c r="AX71" i="11"/>
  <c r="AW71" i="11"/>
  <c r="AV71" i="11"/>
  <c r="AU71" i="11"/>
  <c r="AT71" i="11"/>
  <c r="AS71" i="11"/>
  <c r="AR71" i="11"/>
  <c r="AQ71" i="11"/>
  <c r="AP71" i="11"/>
  <c r="AO71" i="11"/>
  <c r="AN71" i="11"/>
  <c r="AM71" i="11"/>
  <c r="AL71" i="11"/>
  <c r="AK71" i="11"/>
  <c r="AJ71" i="11"/>
  <c r="AI71" i="11"/>
  <c r="AH71" i="11"/>
  <c r="AG71" i="11"/>
  <c r="AF71" i="11"/>
  <c r="AE71" i="11"/>
  <c r="AD71" i="11"/>
  <c r="AC71" i="11"/>
  <c r="AB71" i="11"/>
  <c r="AA71" i="11"/>
  <c r="Z71" i="11"/>
  <c r="Y71" i="11"/>
  <c r="X71" i="11"/>
  <c r="W71" i="11"/>
  <c r="V71" i="11"/>
  <c r="U71" i="11"/>
  <c r="T71" i="11"/>
  <c r="S71" i="11"/>
  <c r="R71" i="11"/>
  <c r="Q71" i="11"/>
  <c r="P71" i="11"/>
  <c r="O71" i="11"/>
  <c r="N71" i="11"/>
  <c r="M71" i="11"/>
  <c r="L71" i="11"/>
  <c r="K71" i="11"/>
  <c r="J71" i="11"/>
  <c r="I71" i="11"/>
  <c r="H71" i="11"/>
  <c r="G71" i="11"/>
  <c r="F71" i="11"/>
  <c r="E71" i="11"/>
  <c r="CJ68" i="11"/>
  <c r="CI68" i="11"/>
  <c r="CH68" i="11"/>
  <c r="CG68" i="11"/>
  <c r="CF68" i="11"/>
  <c r="CE68" i="11"/>
  <c r="CD68" i="11"/>
  <c r="CC68" i="11"/>
  <c r="CB68" i="11"/>
  <c r="CA68" i="11"/>
  <c r="BZ68" i="11"/>
  <c r="BY68" i="11"/>
  <c r="BX68" i="11"/>
  <c r="BW68" i="11"/>
  <c r="BV68" i="11"/>
  <c r="BU68" i="11"/>
  <c r="BT68" i="11"/>
  <c r="BS68" i="11"/>
  <c r="BR68" i="11"/>
  <c r="BQ68" i="11"/>
  <c r="BP68" i="11"/>
  <c r="BO68" i="11"/>
  <c r="BN68" i="11"/>
  <c r="BM68" i="11"/>
  <c r="BL68" i="11"/>
  <c r="BK68" i="11"/>
  <c r="BJ68" i="11"/>
  <c r="BI68" i="11"/>
  <c r="BH68" i="11"/>
  <c r="BG68" i="11"/>
  <c r="BF68" i="11"/>
  <c r="BE68" i="11"/>
  <c r="BD68" i="11"/>
  <c r="BC68" i="11"/>
  <c r="BB68" i="11"/>
  <c r="BA68" i="11"/>
  <c r="AZ68" i="11"/>
  <c r="AY68" i="11"/>
  <c r="AX68" i="11"/>
  <c r="AW68" i="11"/>
  <c r="AV68" i="11"/>
  <c r="AU68" i="11"/>
  <c r="AT68" i="11"/>
  <c r="AS68" i="11"/>
  <c r="AR68" i="11"/>
  <c r="AQ68" i="11"/>
  <c r="AP68" i="11"/>
  <c r="AO68" i="11"/>
  <c r="AN68" i="11"/>
  <c r="AM68" i="11"/>
  <c r="AL68" i="11"/>
  <c r="AK68" i="11"/>
  <c r="AJ68" i="11"/>
  <c r="AI68" i="11"/>
  <c r="AH68" i="11"/>
  <c r="AG68" i="11"/>
  <c r="AF68" i="11"/>
  <c r="AE68" i="11"/>
  <c r="AD68" i="11"/>
  <c r="AC68" i="11"/>
  <c r="AB68" i="11"/>
  <c r="AA68" i="11"/>
  <c r="Z68" i="11"/>
  <c r="Y68" i="11"/>
  <c r="X68" i="11"/>
  <c r="W68" i="11"/>
  <c r="V68" i="11"/>
  <c r="U68" i="11"/>
  <c r="T68" i="11"/>
  <c r="S68" i="11"/>
  <c r="R68" i="11"/>
  <c r="Q68" i="11"/>
  <c r="P68" i="11"/>
  <c r="O68" i="11"/>
  <c r="N68" i="11"/>
  <c r="M68" i="11"/>
  <c r="L68" i="11"/>
  <c r="K68" i="11"/>
  <c r="J68" i="11"/>
  <c r="I68" i="11"/>
  <c r="H68" i="11"/>
  <c r="G68" i="11"/>
  <c r="F68" i="11"/>
  <c r="E68" i="11"/>
  <c r="CK67" i="11"/>
  <c r="CJ67" i="11"/>
  <c r="CI67" i="11"/>
  <c r="CH67" i="11"/>
  <c r="CG67" i="11"/>
  <c r="CF67" i="11"/>
  <c r="CE67" i="11"/>
  <c r="CD67" i="11"/>
  <c r="CC67" i="11"/>
  <c r="CB67" i="11"/>
  <c r="CA67" i="11"/>
  <c r="BZ67" i="11"/>
  <c r="BY67" i="11"/>
  <c r="BX67" i="11"/>
  <c r="BW67" i="11"/>
  <c r="BV67" i="11"/>
  <c r="BU67" i="11"/>
  <c r="BT67" i="11"/>
  <c r="BS67" i="11"/>
  <c r="BR67" i="11"/>
  <c r="BQ67" i="11"/>
  <c r="BP67" i="11"/>
  <c r="BO67" i="11"/>
  <c r="BN67" i="11"/>
  <c r="BM67" i="11"/>
  <c r="BL67" i="11"/>
  <c r="BK67" i="11"/>
  <c r="BJ67" i="11"/>
  <c r="BI67" i="11"/>
  <c r="BH67" i="11"/>
  <c r="BG67" i="11"/>
  <c r="BF67" i="11"/>
  <c r="BE67" i="11"/>
  <c r="BD67" i="11"/>
  <c r="BC67" i="11"/>
  <c r="BB67" i="11"/>
  <c r="BA67" i="11"/>
  <c r="AZ67" i="11"/>
  <c r="AY67" i="11"/>
  <c r="AX67" i="11"/>
  <c r="AW67" i="11"/>
  <c r="AV67" i="11"/>
  <c r="AU67" i="11"/>
  <c r="AT67" i="11"/>
  <c r="AS67" i="11"/>
  <c r="AR67" i="11"/>
  <c r="AQ67" i="11"/>
  <c r="AP67" i="11"/>
  <c r="AO67" i="11"/>
  <c r="AN67" i="11"/>
  <c r="AM67" i="11"/>
  <c r="AL67" i="11"/>
  <c r="AK67" i="11"/>
  <c r="AJ67" i="11"/>
  <c r="AI67" i="11"/>
  <c r="AH67" i="11"/>
  <c r="AG67" i="11"/>
  <c r="AF67" i="11"/>
  <c r="AE67" i="11"/>
  <c r="AD67" i="11"/>
  <c r="AC67" i="11"/>
  <c r="AB67" i="11"/>
  <c r="AA67" i="11"/>
  <c r="Z67" i="11"/>
  <c r="Y67" i="11"/>
  <c r="X67" i="11"/>
  <c r="W67" i="11"/>
  <c r="V67" i="11"/>
  <c r="U67" i="11"/>
  <c r="T67" i="11"/>
  <c r="S67" i="11"/>
  <c r="R67" i="11"/>
  <c r="Q67" i="11"/>
  <c r="P67" i="11"/>
  <c r="O67" i="11"/>
  <c r="N67" i="11"/>
  <c r="M67" i="11"/>
  <c r="L67" i="11"/>
  <c r="K67" i="11"/>
  <c r="J67" i="11"/>
  <c r="I67" i="11"/>
  <c r="H67" i="11"/>
  <c r="G67" i="11"/>
  <c r="F67" i="11"/>
  <c r="E67" i="11"/>
  <c r="CK64" i="11"/>
  <c r="CK65" i="11" s="1"/>
  <c r="CJ64" i="11"/>
  <c r="CI64" i="11"/>
  <c r="CH64" i="11"/>
  <c r="CG64" i="11"/>
  <c r="CF64" i="11"/>
  <c r="CE64" i="11"/>
  <c r="CD64" i="11"/>
  <c r="CC64" i="11"/>
  <c r="CB64" i="11"/>
  <c r="CA64" i="11"/>
  <c r="BZ64" i="11"/>
  <c r="BY64" i="11"/>
  <c r="BX64" i="11"/>
  <c r="BW64" i="11"/>
  <c r="BV64" i="11"/>
  <c r="BU64" i="11"/>
  <c r="BT64" i="11"/>
  <c r="BS64" i="11"/>
  <c r="BR64" i="11"/>
  <c r="BQ64" i="11"/>
  <c r="BP64" i="11"/>
  <c r="BO64" i="11"/>
  <c r="BN64" i="11"/>
  <c r="BM64" i="11"/>
  <c r="BL64" i="11"/>
  <c r="BK64" i="11"/>
  <c r="BJ64" i="11"/>
  <c r="BI64" i="11"/>
  <c r="BH64" i="11"/>
  <c r="BG64" i="11"/>
  <c r="BF64" i="11"/>
  <c r="BE64" i="11"/>
  <c r="BD64" i="11"/>
  <c r="BC64" i="11"/>
  <c r="BB64" i="11"/>
  <c r="BA64" i="11"/>
  <c r="AZ64" i="11"/>
  <c r="AY64" i="11"/>
  <c r="AX64" i="11"/>
  <c r="AW64" i="11"/>
  <c r="AV64" i="11"/>
  <c r="AU64" i="11"/>
  <c r="AT64" i="11"/>
  <c r="AS64" i="11"/>
  <c r="AR64" i="11"/>
  <c r="AQ64" i="11"/>
  <c r="AP64" i="11"/>
  <c r="AO64" i="11"/>
  <c r="AN64" i="11"/>
  <c r="AM64" i="11"/>
  <c r="AL64" i="11"/>
  <c r="AK64" i="11"/>
  <c r="AJ64" i="11"/>
  <c r="AI64" i="11"/>
  <c r="AH64" i="11"/>
  <c r="AG64" i="11"/>
  <c r="AF64" i="11"/>
  <c r="AE64" i="11"/>
  <c r="AD64" i="11"/>
  <c r="AC64" i="11"/>
  <c r="AB64" i="11"/>
  <c r="AA64" i="11"/>
  <c r="Z64" i="11"/>
  <c r="Y64" i="11"/>
  <c r="X64" i="11"/>
  <c r="W64" i="11"/>
  <c r="V64" i="11"/>
  <c r="U64" i="11"/>
  <c r="T64" i="11"/>
  <c r="S64" i="11"/>
  <c r="R64" i="11"/>
  <c r="Q64" i="11"/>
  <c r="P64" i="11"/>
  <c r="O64" i="11"/>
  <c r="N64" i="11"/>
  <c r="M64" i="11"/>
  <c r="L64" i="11"/>
  <c r="K64" i="11"/>
  <c r="J64" i="11"/>
  <c r="I64" i="11"/>
  <c r="H64" i="11"/>
  <c r="G64" i="11"/>
  <c r="F64" i="11"/>
  <c r="E64" i="11"/>
  <c r="CJ56" i="11"/>
  <c r="CI56" i="11"/>
  <c r="CH56" i="11"/>
  <c r="CG56" i="11"/>
  <c r="CF56" i="11"/>
  <c r="CE56" i="11"/>
  <c r="CD56" i="11"/>
  <c r="CC56" i="11"/>
  <c r="CB56" i="11"/>
  <c r="CA56" i="11"/>
  <c r="BZ56" i="11"/>
  <c r="BY56" i="11"/>
  <c r="BX56" i="11"/>
  <c r="BW56" i="11"/>
  <c r="BV56" i="11"/>
  <c r="BU56" i="11"/>
  <c r="BT56" i="11"/>
  <c r="BS56" i="11"/>
  <c r="BR56" i="11"/>
  <c r="BQ56" i="11"/>
  <c r="BP56" i="11"/>
  <c r="BO56" i="11"/>
  <c r="BN56" i="11"/>
  <c r="BM56" i="11"/>
  <c r="BL56" i="11"/>
  <c r="BK56" i="11"/>
  <c r="BJ56" i="11"/>
  <c r="BI56" i="11"/>
  <c r="BH56" i="11"/>
  <c r="BG56" i="11"/>
  <c r="BF56" i="11"/>
  <c r="BE56" i="11"/>
  <c r="BD56" i="11"/>
  <c r="BC56" i="11"/>
  <c r="BB56" i="11"/>
  <c r="BA56" i="11"/>
  <c r="AZ56" i="11"/>
  <c r="AY56" i="11"/>
  <c r="AX56" i="11"/>
  <c r="AW56" i="11"/>
  <c r="AV56" i="11"/>
  <c r="AU56" i="11"/>
  <c r="AT56" i="11"/>
  <c r="AS56" i="11"/>
  <c r="AR56" i="11"/>
  <c r="AQ56" i="11"/>
  <c r="AP56" i="11"/>
  <c r="AO56" i="11"/>
  <c r="AN56" i="11"/>
  <c r="AM56" i="11"/>
  <c r="AL56" i="11"/>
  <c r="AK56" i="11"/>
  <c r="AJ56" i="11"/>
  <c r="AI56" i="11"/>
  <c r="AH56" i="11"/>
  <c r="AG56" i="11"/>
  <c r="AF56" i="11"/>
  <c r="AE56" i="11"/>
  <c r="AD56" i="11"/>
  <c r="AC56" i="11"/>
  <c r="AB56" i="11"/>
  <c r="AA56" i="11"/>
  <c r="Z56" i="11"/>
  <c r="Y56" i="11"/>
  <c r="X56" i="11"/>
  <c r="W56" i="11"/>
  <c r="V56" i="11"/>
  <c r="U56" i="11"/>
  <c r="T56" i="11"/>
  <c r="S56" i="11"/>
  <c r="R56" i="11"/>
  <c r="Q56" i="11"/>
  <c r="P56" i="11"/>
  <c r="O56" i="11"/>
  <c r="N56" i="11"/>
  <c r="M56" i="11"/>
  <c r="L56" i="11"/>
  <c r="K56" i="11"/>
  <c r="J56" i="11"/>
  <c r="I56" i="11"/>
  <c r="H56" i="11"/>
  <c r="G56" i="11"/>
  <c r="F56" i="11"/>
  <c r="E56" i="11"/>
  <c r="CK49" i="11"/>
  <c r="CJ49" i="11"/>
  <c r="CJ63" i="11" s="1"/>
  <c r="CI49" i="11"/>
  <c r="CI63" i="11" s="1"/>
  <c r="CH49" i="11"/>
  <c r="CH63" i="11" s="1"/>
  <c r="CG49" i="11"/>
  <c r="CF49" i="11"/>
  <c r="CF63" i="11" s="1"/>
  <c r="CE49" i="11"/>
  <c r="CE63" i="11" s="1"/>
  <c r="CD49" i="11"/>
  <c r="CC49" i="11"/>
  <c r="CC63" i="11" s="1"/>
  <c r="CB49" i="11"/>
  <c r="CB63" i="11" s="1"/>
  <c r="CA49" i="11"/>
  <c r="CA63" i="11" s="1"/>
  <c r="BZ49" i="11"/>
  <c r="BZ63" i="11" s="1"/>
  <c r="BY49" i="11"/>
  <c r="BX49" i="11"/>
  <c r="BX63" i="11" s="1"/>
  <c r="BW49" i="11"/>
  <c r="BW63" i="11" s="1"/>
  <c r="BV49" i="11"/>
  <c r="BU49" i="11"/>
  <c r="BU63" i="11" s="1"/>
  <c r="BT49" i="11"/>
  <c r="BT63" i="11" s="1"/>
  <c r="BS49" i="11"/>
  <c r="BS63" i="11" s="1"/>
  <c r="BR49" i="11"/>
  <c r="BR63" i="11" s="1"/>
  <c r="BQ49" i="11"/>
  <c r="BP49" i="11"/>
  <c r="BP63" i="11" s="1"/>
  <c r="BO49" i="11"/>
  <c r="BO63" i="11" s="1"/>
  <c r="BN49" i="11"/>
  <c r="BM49" i="11"/>
  <c r="BM63" i="11" s="1"/>
  <c r="BL49" i="11"/>
  <c r="BL63" i="11" s="1"/>
  <c r="BK49" i="11"/>
  <c r="BK63" i="11" s="1"/>
  <c r="BJ49" i="11"/>
  <c r="BJ63" i="11" s="1"/>
  <c r="BI49" i="11"/>
  <c r="BH49" i="11"/>
  <c r="BG49" i="11"/>
  <c r="BG63" i="11" s="1"/>
  <c r="BF49" i="11"/>
  <c r="BE49" i="11"/>
  <c r="BE63" i="11" s="1"/>
  <c r="BD49" i="11"/>
  <c r="BD63" i="11" s="1"/>
  <c r="BC49" i="11"/>
  <c r="BC63" i="11" s="1"/>
  <c r="BB49" i="11"/>
  <c r="BB63" i="11" s="1"/>
  <c r="BA49" i="11"/>
  <c r="AZ49" i="11"/>
  <c r="AZ63" i="11" s="1"/>
  <c r="AY49" i="11"/>
  <c r="AY63" i="11" s="1"/>
  <c r="AX49" i="11"/>
  <c r="AW49" i="11"/>
  <c r="AW63" i="11" s="1"/>
  <c r="AV49" i="11"/>
  <c r="AV63" i="11" s="1"/>
  <c r="AU49" i="11"/>
  <c r="AU63" i="11" s="1"/>
  <c r="AT49" i="11"/>
  <c r="AT63" i="11" s="1"/>
  <c r="AS49" i="11"/>
  <c r="AR49" i="11"/>
  <c r="AR63" i="11" s="1"/>
  <c r="AQ49" i="11"/>
  <c r="AQ63" i="11" s="1"/>
  <c r="AP49" i="11"/>
  <c r="AO49" i="11"/>
  <c r="AO63" i="11" s="1"/>
  <c r="AN49" i="11"/>
  <c r="AN63" i="11" s="1"/>
  <c r="AM49" i="11"/>
  <c r="AM63" i="11" s="1"/>
  <c r="AL49" i="11"/>
  <c r="AL63" i="11" s="1"/>
  <c r="AK49" i="11"/>
  <c r="AJ49" i="11"/>
  <c r="AI49" i="11"/>
  <c r="AH49" i="11"/>
  <c r="AG49" i="11"/>
  <c r="AG63" i="11" s="1"/>
  <c r="AF49" i="11"/>
  <c r="AE49" i="11"/>
  <c r="AE63" i="11" s="1"/>
  <c r="AD49" i="11"/>
  <c r="AC49" i="11"/>
  <c r="AB49" i="11"/>
  <c r="AB63" i="11" s="1"/>
  <c r="AA49" i="11"/>
  <c r="AA63" i="11" s="1"/>
  <c r="Z49" i="11"/>
  <c r="Y49" i="11"/>
  <c r="Y63" i="11" s="1"/>
  <c r="X49" i="11"/>
  <c r="W49" i="11"/>
  <c r="V49" i="11"/>
  <c r="U49" i="11"/>
  <c r="T49" i="11"/>
  <c r="T63" i="11" s="1"/>
  <c r="S49" i="11"/>
  <c r="S63" i="11" s="1"/>
  <c r="R49" i="11"/>
  <c r="Q49" i="11"/>
  <c r="Q63" i="11" s="1"/>
  <c r="P49" i="11"/>
  <c r="O49" i="11"/>
  <c r="N49" i="11"/>
  <c r="M49" i="11"/>
  <c r="L49" i="11"/>
  <c r="K49" i="11"/>
  <c r="J49" i="11"/>
  <c r="J63" i="11" s="1"/>
  <c r="I49" i="11"/>
  <c r="I63" i="11" s="1"/>
  <c r="H49" i="11"/>
  <c r="H63" i="11" s="1"/>
  <c r="G49" i="11"/>
  <c r="F49" i="11"/>
  <c r="E49" i="11"/>
  <c r="CJ42" i="11"/>
  <c r="CI42" i="11"/>
  <c r="CH42" i="11"/>
  <c r="CG42" i="11"/>
  <c r="CF42" i="11"/>
  <c r="CE42" i="11"/>
  <c r="CD42" i="11"/>
  <c r="CC42" i="11"/>
  <c r="CB42" i="11"/>
  <c r="CA42" i="11"/>
  <c r="BZ42" i="11"/>
  <c r="BY42" i="11"/>
  <c r="BX42" i="11"/>
  <c r="BW42" i="11"/>
  <c r="BV42" i="11"/>
  <c r="BU42" i="11"/>
  <c r="BT42" i="11"/>
  <c r="BS42" i="11"/>
  <c r="BR42" i="11"/>
  <c r="BQ42" i="11"/>
  <c r="BP42" i="11"/>
  <c r="BO42" i="11"/>
  <c r="BN42" i="11"/>
  <c r="BM42" i="11"/>
  <c r="BL42" i="11"/>
  <c r="BK42" i="11"/>
  <c r="BJ42" i="11"/>
  <c r="BI42" i="11"/>
  <c r="BH42" i="11"/>
  <c r="BG42" i="11"/>
  <c r="BF42" i="11"/>
  <c r="BE42" i="11"/>
  <c r="BD42" i="11"/>
  <c r="BC42" i="11"/>
  <c r="BB42" i="11"/>
  <c r="BA42" i="11"/>
  <c r="AZ42" i="11"/>
  <c r="AY42" i="11"/>
  <c r="AX42" i="11"/>
  <c r="AW42" i="11"/>
  <c r="AV42" i="11"/>
  <c r="AU42" i="11"/>
  <c r="AT42" i="11"/>
  <c r="AS42" i="11"/>
  <c r="AR42" i="11"/>
  <c r="AQ42" i="11"/>
  <c r="AP42" i="11"/>
  <c r="AO42" i="11"/>
  <c r="AN42" i="11"/>
  <c r="AM42" i="11"/>
  <c r="AL42" i="11"/>
  <c r="AK42" i="11"/>
  <c r="AJ42" i="11"/>
  <c r="AI42" i="11"/>
  <c r="AH42" i="11"/>
  <c r="AG42" i="11"/>
  <c r="AF42" i="11"/>
  <c r="AE42" i="11"/>
  <c r="AD42" i="11"/>
  <c r="AC42" i="11"/>
  <c r="AB42" i="11"/>
  <c r="AA42" i="11"/>
  <c r="Z42" i="11"/>
  <c r="Y42" i="11"/>
  <c r="X42" i="11"/>
  <c r="W42" i="11"/>
  <c r="V42" i="11"/>
  <c r="U42" i="11"/>
  <c r="T42" i="11"/>
  <c r="S42" i="11"/>
  <c r="R42" i="11"/>
  <c r="Q42" i="11"/>
  <c r="P42" i="11"/>
  <c r="O42" i="11"/>
  <c r="N42" i="11"/>
  <c r="M42" i="11"/>
  <c r="L42" i="11"/>
  <c r="K42" i="11"/>
  <c r="J42" i="11"/>
  <c r="I42" i="11"/>
  <c r="H42" i="11"/>
  <c r="G42" i="11"/>
  <c r="F42" i="11"/>
  <c r="E42" i="11"/>
  <c r="CJ41" i="11"/>
  <c r="CI41" i="11"/>
  <c r="CH41" i="11"/>
  <c r="CG41" i="11"/>
  <c r="CF41" i="11"/>
  <c r="CE41" i="11"/>
  <c r="CD41" i="11"/>
  <c r="CC41" i="11"/>
  <c r="CB41" i="11"/>
  <c r="CA41" i="11"/>
  <c r="BZ41" i="11"/>
  <c r="BY41" i="11"/>
  <c r="BX41" i="11"/>
  <c r="BW41" i="11"/>
  <c r="BV41" i="11"/>
  <c r="BU41" i="11"/>
  <c r="BT41" i="11"/>
  <c r="BS41" i="11"/>
  <c r="BR41" i="11"/>
  <c r="BQ41" i="11"/>
  <c r="BP41" i="11"/>
  <c r="BO41" i="11"/>
  <c r="BN41" i="11"/>
  <c r="BM41" i="11"/>
  <c r="BL41" i="11"/>
  <c r="BK41" i="11"/>
  <c r="BJ41" i="11"/>
  <c r="BI41" i="11"/>
  <c r="BH41" i="11"/>
  <c r="BG41" i="11"/>
  <c r="BF41" i="11"/>
  <c r="BE41" i="11"/>
  <c r="BD41" i="11"/>
  <c r="BC41" i="11"/>
  <c r="BB41" i="11"/>
  <c r="BA41" i="11"/>
  <c r="AZ41" i="11"/>
  <c r="AY41" i="11"/>
  <c r="AX41" i="11"/>
  <c r="AW41" i="11"/>
  <c r="AV41" i="11"/>
  <c r="AU41" i="11"/>
  <c r="AT41" i="11"/>
  <c r="AS41" i="11"/>
  <c r="AR41" i="11"/>
  <c r="AQ41" i="11"/>
  <c r="AP41" i="11"/>
  <c r="AO41" i="11"/>
  <c r="AN41" i="11"/>
  <c r="AM41" i="11"/>
  <c r="AL41" i="11"/>
  <c r="AK41" i="11"/>
  <c r="AJ41" i="11"/>
  <c r="AI41" i="11"/>
  <c r="AH41" i="11"/>
  <c r="AG41" i="11"/>
  <c r="AF41" i="11"/>
  <c r="AE41" i="11"/>
  <c r="AD41" i="11"/>
  <c r="AC41" i="11"/>
  <c r="AB41" i="11"/>
  <c r="AA41" i="11"/>
  <c r="Z41" i="11"/>
  <c r="Y41" i="11"/>
  <c r="X41" i="11"/>
  <c r="W41" i="11"/>
  <c r="V41" i="11"/>
  <c r="U41" i="11"/>
  <c r="T41" i="11"/>
  <c r="S41" i="11"/>
  <c r="R41" i="11"/>
  <c r="Q41" i="11"/>
  <c r="P41" i="11"/>
  <c r="O41" i="11"/>
  <c r="N41" i="11"/>
  <c r="M41" i="11"/>
  <c r="L41" i="11"/>
  <c r="K41" i="11"/>
  <c r="J41" i="11"/>
  <c r="I41" i="11"/>
  <c r="H41" i="11"/>
  <c r="G41" i="11"/>
  <c r="F41" i="11"/>
  <c r="E41" i="11"/>
  <c r="CK40" i="11"/>
  <c r="CJ40" i="11"/>
  <c r="CI40" i="11"/>
  <c r="CH40" i="11"/>
  <c r="CG40" i="11"/>
  <c r="CF40" i="11"/>
  <c r="CE40" i="11"/>
  <c r="CD40" i="11"/>
  <c r="CC40" i="11"/>
  <c r="CB40" i="11"/>
  <c r="CA40" i="11"/>
  <c r="BZ40" i="11"/>
  <c r="BY40" i="11"/>
  <c r="BX40" i="11"/>
  <c r="BW40" i="11"/>
  <c r="BV40" i="11"/>
  <c r="BU40" i="11"/>
  <c r="BT40" i="11"/>
  <c r="BS40" i="11"/>
  <c r="BR40" i="11"/>
  <c r="BQ40" i="11"/>
  <c r="BP40" i="11"/>
  <c r="BO40" i="11"/>
  <c r="BN40" i="11"/>
  <c r="BM40" i="11"/>
  <c r="BL40" i="11"/>
  <c r="BK40" i="11"/>
  <c r="BJ40" i="11"/>
  <c r="BI40" i="11"/>
  <c r="BH40" i="11"/>
  <c r="BG40" i="11"/>
  <c r="BF40" i="11"/>
  <c r="BE40" i="11"/>
  <c r="BD40" i="11"/>
  <c r="BC40" i="11"/>
  <c r="BB40" i="11"/>
  <c r="BA40" i="11"/>
  <c r="AZ40" i="11"/>
  <c r="AY40" i="11"/>
  <c r="AX40" i="11"/>
  <c r="AW40" i="11"/>
  <c r="AV40" i="11"/>
  <c r="AU40" i="11"/>
  <c r="AT40" i="11"/>
  <c r="AS40" i="11"/>
  <c r="AR40" i="11"/>
  <c r="AQ40" i="11"/>
  <c r="AP40" i="11"/>
  <c r="AO40" i="11"/>
  <c r="AN40" i="11"/>
  <c r="AM40" i="11"/>
  <c r="AL40" i="11"/>
  <c r="AK40" i="11"/>
  <c r="AJ40" i="11"/>
  <c r="AI40" i="11"/>
  <c r="AH40" i="11"/>
  <c r="AG40" i="11"/>
  <c r="AF40" i="11"/>
  <c r="AE40" i="11"/>
  <c r="AD40" i="11"/>
  <c r="AC40" i="11"/>
  <c r="AB40" i="11"/>
  <c r="AA40" i="11"/>
  <c r="Z40" i="11"/>
  <c r="Y40" i="11"/>
  <c r="X40" i="11"/>
  <c r="W40" i="11"/>
  <c r="V40" i="11"/>
  <c r="U40" i="11"/>
  <c r="T40" i="11"/>
  <c r="S40" i="11"/>
  <c r="R40" i="11"/>
  <c r="Q40" i="11"/>
  <c r="P40" i="11"/>
  <c r="O40" i="11"/>
  <c r="N40" i="11"/>
  <c r="M40" i="11"/>
  <c r="L40" i="11"/>
  <c r="K40" i="11"/>
  <c r="J40" i="11"/>
  <c r="I40" i="11"/>
  <c r="H40" i="11"/>
  <c r="G40" i="11"/>
  <c r="F40" i="11"/>
  <c r="E40" i="11"/>
  <c r="CK39" i="11"/>
  <c r="CJ39" i="11"/>
  <c r="CI39" i="11"/>
  <c r="CH39" i="11"/>
  <c r="CG39" i="11"/>
  <c r="CF39" i="11"/>
  <c r="CE39" i="11"/>
  <c r="CD39" i="11"/>
  <c r="CC39" i="11"/>
  <c r="CB39" i="11"/>
  <c r="CA39" i="11"/>
  <c r="BZ39" i="11"/>
  <c r="BY39" i="11"/>
  <c r="BX39" i="11"/>
  <c r="BW39" i="11"/>
  <c r="BV39" i="11"/>
  <c r="BU39" i="11"/>
  <c r="BT39" i="11"/>
  <c r="BS39" i="11"/>
  <c r="BR39" i="11"/>
  <c r="BQ39" i="11"/>
  <c r="BP39" i="11"/>
  <c r="BO39" i="11"/>
  <c r="BN39" i="11"/>
  <c r="BM39" i="11"/>
  <c r="BL39" i="11"/>
  <c r="BK39" i="11"/>
  <c r="BJ39" i="11"/>
  <c r="BI39" i="11"/>
  <c r="BH39" i="11"/>
  <c r="BG39" i="11"/>
  <c r="BF39" i="11"/>
  <c r="BE39" i="11"/>
  <c r="BD39" i="11"/>
  <c r="BC39" i="11"/>
  <c r="BB39" i="11"/>
  <c r="BA39" i="11"/>
  <c r="AZ39" i="11"/>
  <c r="AY39" i="11"/>
  <c r="AX39" i="11"/>
  <c r="AW39" i="11"/>
  <c r="AV39" i="11"/>
  <c r="AU39" i="11"/>
  <c r="AT39" i="11"/>
  <c r="AS39" i="11"/>
  <c r="AR39" i="11"/>
  <c r="AQ39" i="11"/>
  <c r="AP39" i="11"/>
  <c r="AO39" i="11"/>
  <c r="AN39" i="11"/>
  <c r="AM39" i="11"/>
  <c r="AL39" i="11"/>
  <c r="AK39" i="11"/>
  <c r="AJ39" i="11"/>
  <c r="AI39" i="11"/>
  <c r="AH39" i="11"/>
  <c r="AG39" i="11"/>
  <c r="AF39" i="11"/>
  <c r="AE39" i="11"/>
  <c r="AD39" i="11"/>
  <c r="AC39" i="11"/>
  <c r="AB39" i="11"/>
  <c r="AA39" i="11"/>
  <c r="Z39" i="11"/>
  <c r="Y39" i="11"/>
  <c r="X39" i="11"/>
  <c r="W39" i="11"/>
  <c r="V39" i="11"/>
  <c r="U39" i="11"/>
  <c r="T39" i="11"/>
  <c r="S39" i="11"/>
  <c r="R39" i="11"/>
  <c r="Q39" i="11"/>
  <c r="P39" i="11"/>
  <c r="O39" i="11"/>
  <c r="N39" i="11"/>
  <c r="M39" i="11"/>
  <c r="L39" i="11"/>
  <c r="K39" i="11"/>
  <c r="J39" i="11"/>
  <c r="I39" i="11"/>
  <c r="H39" i="11"/>
  <c r="G39" i="11"/>
  <c r="F39" i="11"/>
  <c r="E39" i="11"/>
  <c r="CK38" i="11"/>
  <c r="CJ38" i="11"/>
  <c r="CI38" i="11"/>
  <c r="CH38" i="11"/>
  <c r="CG38" i="11"/>
  <c r="CF38" i="11"/>
  <c r="CE38" i="11"/>
  <c r="CD38" i="11"/>
  <c r="CC38" i="11"/>
  <c r="CB38" i="11"/>
  <c r="CA38" i="11"/>
  <c r="BZ38" i="11"/>
  <c r="BY38" i="11"/>
  <c r="BX38" i="11"/>
  <c r="BW38" i="11"/>
  <c r="BV38" i="11"/>
  <c r="BU38" i="11"/>
  <c r="BT38" i="11"/>
  <c r="BS38" i="11"/>
  <c r="BR38" i="11"/>
  <c r="BQ38" i="11"/>
  <c r="BP38" i="11"/>
  <c r="BO38" i="11"/>
  <c r="BN38" i="11"/>
  <c r="BM38" i="11"/>
  <c r="BL38" i="11"/>
  <c r="BK38" i="11"/>
  <c r="BJ38" i="11"/>
  <c r="BI38" i="11"/>
  <c r="BH38" i="11"/>
  <c r="BG38" i="11"/>
  <c r="BF38" i="11"/>
  <c r="BE38" i="11"/>
  <c r="BD38" i="11"/>
  <c r="BC38" i="11"/>
  <c r="BB38" i="11"/>
  <c r="BA38" i="11"/>
  <c r="AZ38" i="11"/>
  <c r="AY38" i="11"/>
  <c r="AX38" i="11"/>
  <c r="AW38" i="11"/>
  <c r="AV38" i="11"/>
  <c r="AU38" i="11"/>
  <c r="AT38" i="11"/>
  <c r="AS38" i="11"/>
  <c r="AR38" i="11"/>
  <c r="AQ38" i="11"/>
  <c r="AP38" i="11"/>
  <c r="AO38" i="11"/>
  <c r="AN38" i="11"/>
  <c r="AM38" i="11"/>
  <c r="AL38" i="11"/>
  <c r="AK38" i="11"/>
  <c r="AJ38" i="11"/>
  <c r="AI38" i="11"/>
  <c r="AH38" i="11"/>
  <c r="AG38" i="11"/>
  <c r="AF38" i="11"/>
  <c r="AE38" i="11"/>
  <c r="AD38" i="11"/>
  <c r="AC38" i="11"/>
  <c r="AB38" i="11"/>
  <c r="AA38" i="11"/>
  <c r="Z38" i="11"/>
  <c r="Y38" i="11"/>
  <c r="X38" i="11"/>
  <c r="W38" i="11"/>
  <c r="V38" i="11"/>
  <c r="U38" i="11"/>
  <c r="T38" i="11"/>
  <c r="S38" i="11"/>
  <c r="R38" i="11"/>
  <c r="Q38" i="11"/>
  <c r="P38" i="11"/>
  <c r="O38" i="11"/>
  <c r="N38" i="11"/>
  <c r="M38" i="11"/>
  <c r="L38" i="11"/>
  <c r="K38" i="11"/>
  <c r="J38" i="11"/>
  <c r="I38" i="11"/>
  <c r="H38" i="11"/>
  <c r="G38" i="11"/>
  <c r="F38" i="11"/>
  <c r="E38" i="11"/>
  <c r="CJ37" i="11"/>
  <c r="CI37" i="11"/>
  <c r="CH37" i="11"/>
  <c r="CG37" i="11"/>
  <c r="CF37" i="11"/>
  <c r="CE37" i="11"/>
  <c r="CD37" i="11"/>
  <c r="CC37" i="11"/>
  <c r="CB37" i="11"/>
  <c r="CA37" i="11"/>
  <c r="BZ37" i="11"/>
  <c r="BY37" i="11"/>
  <c r="BX37" i="11"/>
  <c r="BW37" i="11"/>
  <c r="BV37" i="11"/>
  <c r="BU37" i="11"/>
  <c r="BT37" i="11"/>
  <c r="BS37" i="11"/>
  <c r="BR37" i="11"/>
  <c r="BQ37" i="11"/>
  <c r="BP37" i="11"/>
  <c r="BO37" i="11"/>
  <c r="BN37" i="11"/>
  <c r="BM37" i="11"/>
  <c r="BL37" i="11"/>
  <c r="BK37" i="11"/>
  <c r="BJ37" i="11"/>
  <c r="BI37" i="11"/>
  <c r="BH37" i="11"/>
  <c r="BG37" i="11"/>
  <c r="BF37" i="11"/>
  <c r="BE37" i="11"/>
  <c r="BD37" i="11"/>
  <c r="BC37" i="11"/>
  <c r="BB37" i="11"/>
  <c r="BA37" i="11"/>
  <c r="AZ37" i="11"/>
  <c r="AY37" i="11"/>
  <c r="AX37" i="11"/>
  <c r="AW37" i="11"/>
  <c r="AV37" i="11"/>
  <c r="AU37" i="11"/>
  <c r="AT37" i="11"/>
  <c r="AS37" i="11"/>
  <c r="AR37" i="11"/>
  <c r="AQ37" i="11"/>
  <c r="AP37" i="11"/>
  <c r="AO37" i="11"/>
  <c r="AN37" i="11"/>
  <c r="AM37" i="11"/>
  <c r="AL37" i="11"/>
  <c r="AK37" i="11"/>
  <c r="AJ37" i="11"/>
  <c r="AI37" i="11"/>
  <c r="AH37" i="11"/>
  <c r="AG37" i="11"/>
  <c r="AF37" i="11"/>
  <c r="AE37" i="11"/>
  <c r="AD37" i="11"/>
  <c r="AC37" i="11"/>
  <c r="AB37" i="11"/>
  <c r="AA37" i="11"/>
  <c r="Z37" i="11"/>
  <c r="Y37" i="11"/>
  <c r="X37" i="11"/>
  <c r="W37" i="11"/>
  <c r="V37" i="11"/>
  <c r="U37" i="11"/>
  <c r="T37" i="11"/>
  <c r="S37" i="11"/>
  <c r="R37" i="11"/>
  <c r="Q37" i="11"/>
  <c r="P37" i="11"/>
  <c r="O37" i="11"/>
  <c r="N37" i="11"/>
  <c r="M37" i="11"/>
  <c r="L37" i="11"/>
  <c r="K37" i="11"/>
  <c r="J37" i="11"/>
  <c r="I37" i="11"/>
  <c r="H37" i="11"/>
  <c r="G37" i="11"/>
  <c r="F37" i="11"/>
  <c r="E37" i="11"/>
  <c r="CJ36" i="11"/>
  <c r="CI36" i="11"/>
  <c r="CH36" i="11"/>
  <c r="CG36" i="11"/>
  <c r="CF36" i="11"/>
  <c r="CE36" i="11"/>
  <c r="CD36" i="11"/>
  <c r="CC36" i="11"/>
  <c r="CB36" i="11"/>
  <c r="CA36" i="11"/>
  <c r="BZ36" i="11"/>
  <c r="BY36" i="11"/>
  <c r="BX36" i="11"/>
  <c r="BW36" i="11"/>
  <c r="BV36" i="11"/>
  <c r="BU36" i="11"/>
  <c r="BT36" i="11"/>
  <c r="BS36" i="11"/>
  <c r="BR36" i="11"/>
  <c r="BQ36" i="11"/>
  <c r="BP36" i="11"/>
  <c r="BO36" i="11"/>
  <c r="BN36" i="11"/>
  <c r="BM36" i="11"/>
  <c r="BL36" i="11"/>
  <c r="BK36" i="11"/>
  <c r="BJ36" i="11"/>
  <c r="BI36" i="11"/>
  <c r="BH36" i="11"/>
  <c r="BG36" i="11"/>
  <c r="BF36" i="11"/>
  <c r="BE36" i="11"/>
  <c r="BD36" i="11"/>
  <c r="BC36" i="11"/>
  <c r="BB36" i="11"/>
  <c r="BA36" i="11"/>
  <c r="AZ36" i="11"/>
  <c r="AY36" i="11"/>
  <c r="AX36" i="11"/>
  <c r="AW36" i="11"/>
  <c r="AV36" i="11"/>
  <c r="AU36" i="11"/>
  <c r="AT36" i="11"/>
  <c r="AS36" i="11"/>
  <c r="AR36" i="11"/>
  <c r="AQ36" i="11"/>
  <c r="AP36" i="11"/>
  <c r="AO36" i="11"/>
  <c r="AN36" i="11"/>
  <c r="AM36" i="11"/>
  <c r="AL36" i="11"/>
  <c r="AK36" i="11"/>
  <c r="AJ36" i="11"/>
  <c r="AI36" i="11"/>
  <c r="AH36" i="11"/>
  <c r="AG36" i="11"/>
  <c r="AF36" i="11"/>
  <c r="AE36" i="11"/>
  <c r="AD36" i="11"/>
  <c r="AC36" i="11"/>
  <c r="AB36" i="11"/>
  <c r="AA36" i="11"/>
  <c r="Z36" i="11"/>
  <c r="Y36" i="11"/>
  <c r="X36" i="11"/>
  <c r="W36" i="11"/>
  <c r="V36" i="11"/>
  <c r="U36" i="11"/>
  <c r="T36" i="11"/>
  <c r="S36" i="11"/>
  <c r="R36" i="11"/>
  <c r="Q36" i="11"/>
  <c r="P36" i="11"/>
  <c r="O36" i="11"/>
  <c r="N36" i="11"/>
  <c r="M36" i="11"/>
  <c r="L36" i="11"/>
  <c r="K36" i="11"/>
  <c r="J36" i="11"/>
  <c r="I36" i="11"/>
  <c r="H36" i="11"/>
  <c r="G36" i="11"/>
  <c r="F36" i="11"/>
  <c r="E36" i="11"/>
  <c r="CJ35" i="11"/>
  <c r="CI35" i="11"/>
  <c r="CH35" i="11"/>
  <c r="CG35" i="11"/>
  <c r="CF35" i="11"/>
  <c r="CE35" i="11"/>
  <c r="CD35" i="11"/>
  <c r="CC35" i="11"/>
  <c r="CB35" i="11"/>
  <c r="CA35" i="11"/>
  <c r="BZ35" i="11"/>
  <c r="BY35" i="11"/>
  <c r="BX35" i="11"/>
  <c r="BW35" i="11"/>
  <c r="BV35" i="11"/>
  <c r="BU35" i="11"/>
  <c r="BT35" i="11"/>
  <c r="BS35" i="11"/>
  <c r="BR35" i="11"/>
  <c r="BQ35" i="11"/>
  <c r="BP35" i="11"/>
  <c r="BO35" i="11"/>
  <c r="BN35" i="11"/>
  <c r="BM35" i="11"/>
  <c r="BL35" i="11"/>
  <c r="BK35" i="11"/>
  <c r="BJ35" i="11"/>
  <c r="BI35" i="11"/>
  <c r="BH35" i="11"/>
  <c r="BG35" i="11"/>
  <c r="BF35" i="11"/>
  <c r="BE35" i="11"/>
  <c r="BD35" i="11"/>
  <c r="BC35" i="11"/>
  <c r="BB35" i="11"/>
  <c r="BA35" i="11"/>
  <c r="AZ35" i="11"/>
  <c r="AY35" i="11"/>
  <c r="AX35" i="11"/>
  <c r="AW35" i="11"/>
  <c r="AV35" i="11"/>
  <c r="AU35" i="11"/>
  <c r="AT35" i="11"/>
  <c r="AS35" i="11"/>
  <c r="AR35" i="11"/>
  <c r="AQ35" i="11"/>
  <c r="AP35" i="11"/>
  <c r="AO35" i="11"/>
  <c r="AN35" i="11"/>
  <c r="AM35" i="11"/>
  <c r="AL35" i="11"/>
  <c r="AK35" i="11"/>
  <c r="AJ35" i="11"/>
  <c r="AI35" i="11"/>
  <c r="AH35" i="11"/>
  <c r="AG35" i="11"/>
  <c r="AF35" i="11"/>
  <c r="AE35" i="11"/>
  <c r="AD35" i="11"/>
  <c r="AC35" i="11"/>
  <c r="AB35" i="11"/>
  <c r="AA35" i="11"/>
  <c r="Z35" i="11"/>
  <c r="Y35" i="11"/>
  <c r="X35" i="11"/>
  <c r="W35" i="11"/>
  <c r="V35" i="11"/>
  <c r="U35" i="11"/>
  <c r="T35" i="11"/>
  <c r="S35" i="11"/>
  <c r="R35" i="11"/>
  <c r="Q35" i="11"/>
  <c r="P35" i="11"/>
  <c r="O35" i="11"/>
  <c r="N35" i="11"/>
  <c r="M35" i="11"/>
  <c r="L35" i="11"/>
  <c r="K35" i="11"/>
  <c r="J35" i="11"/>
  <c r="I35" i="11"/>
  <c r="H35" i="11"/>
  <c r="G35" i="11"/>
  <c r="F35" i="11"/>
  <c r="E35" i="11"/>
  <c r="CJ34" i="11"/>
  <c r="CI34" i="11"/>
  <c r="CH34" i="11"/>
  <c r="CG34" i="11"/>
  <c r="CF34" i="11"/>
  <c r="CE34" i="11"/>
  <c r="CD34" i="11"/>
  <c r="CC34" i="11"/>
  <c r="CB34" i="11"/>
  <c r="CA34" i="11"/>
  <c r="BZ34" i="11"/>
  <c r="BY34" i="11"/>
  <c r="BX34" i="11"/>
  <c r="BW34" i="11"/>
  <c r="BV34" i="11"/>
  <c r="BU34" i="11"/>
  <c r="BT34" i="11"/>
  <c r="BS34" i="11"/>
  <c r="BR34" i="11"/>
  <c r="BQ34" i="11"/>
  <c r="BP34" i="11"/>
  <c r="BO34" i="11"/>
  <c r="BN34" i="11"/>
  <c r="BM34" i="11"/>
  <c r="BL34" i="11"/>
  <c r="BK34" i="11"/>
  <c r="BJ34" i="11"/>
  <c r="BI34" i="11"/>
  <c r="BH34" i="11"/>
  <c r="BG34" i="11"/>
  <c r="BF34" i="11"/>
  <c r="BE34" i="11"/>
  <c r="BD34" i="11"/>
  <c r="BC34" i="11"/>
  <c r="BB34" i="11"/>
  <c r="BA34" i="11"/>
  <c r="AZ34" i="11"/>
  <c r="AY34" i="11"/>
  <c r="AX34" i="11"/>
  <c r="AW34" i="11"/>
  <c r="AV34" i="11"/>
  <c r="AU34" i="11"/>
  <c r="AT34" i="11"/>
  <c r="AS34" i="11"/>
  <c r="AR34" i="11"/>
  <c r="AQ34" i="11"/>
  <c r="AP34" i="11"/>
  <c r="AO34" i="11"/>
  <c r="AN34" i="11"/>
  <c r="AM34" i="11"/>
  <c r="AL34" i="11"/>
  <c r="AK34" i="11"/>
  <c r="AJ34" i="11"/>
  <c r="AI34" i="11"/>
  <c r="AH34" i="11"/>
  <c r="AG34" i="11"/>
  <c r="AF34" i="11"/>
  <c r="AE34" i="11"/>
  <c r="AD34" i="11"/>
  <c r="AC34" i="11"/>
  <c r="AB34" i="11"/>
  <c r="AA34" i="11"/>
  <c r="Z34" i="11"/>
  <c r="Y34" i="11"/>
  <c r="X34" i="11"/>
  <c r="W34" i="11"/>
  <c r="V34" i="11"/>
  <c r="U34" i="11"/>
  <c r="T34" i="11"/>
  <c r="S34" i="11"/>
  <c r="R34" i="11"/>
  <c r="Q34" i="11"/>
  <c r="P34" i="11"/>
  <c r="O34" i="11"/>
  <c r="N34" i="11"/>
  <c r="M34" i="11"/>
  <c r="L34" i="11"/>
  <c r="K34" i="11"/>
  <c r="J34" i="11"/>
  <c r="I34" i="11"/>
  <c r="H34" i="11"/>
  <c r="G34" i="11"/>
  <c r="F34" i="11"/>
  <c r="E34" i="11"/>
  <c r="CK27" i="11"/>
  <c r="CJ27" i="11"/>
  <c r="CI27" i="11"/>
  <c r="CH27" i="11"/>
  <c r="CG27" i="11"/>
  <c r="CF27" i="11"/>
  <c r="CE27" i="11"/>
  <c r="CD27" i="11"/>
  <c r="CC27" i="11"/>
  <c r="CB27" i="11"/>
  <c r="CA27" i="11"/>
  <c r="BZ27" i="11"/>
  <c r="BY27" i="11"/>
  <c r="BX27" i="11"/>
  <c r="BW27" i="11"/>
  <c r="BV27" i="11"/>
  <c r="BU27" i="11"/>
  <c r="BT27" i="11"/>
  <c r="BS27" i="11"/>
  <c r="BR27" i="11"/>
  <c r="BQ27" i="11"/>
  <c r="BP27" i="11"/>
  <c r="BO27" i="11"/>
  <c r="BN27" i="11"/>
  <c r="BM27" i="11"/>
  <c r="BL27" i="11"/>
  <c r="BK27" i="11"/>
  <c r="BJ27" i="11"/>
  <c r="BI27" i="11"/>
  <c r="BH27" i="11"/>
  <c r="BG27" i="11"/>
  <c r="BF27" i="11"/>
  <c r="BE27" i="11"/>
  <c r="BD27" i="11"/>
  <c r="BC27" i="11"/>
  <c r="BB27" i="11"/>
  <c r="BA27" i="11"/>
  <c r="AZ27" i="11"/>
  <c r="AY27" i="11"/>
  <c r="AX27" i="11"/>
  <c r="AW27" i="11"/>
  <c r="AV27" i="11"/>
  <c r="AU27" i="11"/>
  <c r="AT27" i="11"/>
  <c r="AS27" i="11"/>
  <c r="AR27" i="11"/>
  <c r="AQ27" i="11"/>
  <c r="AP27" i="11"/>
  <c r="AO27" i="11"/>
  <c r="AN27" i="11"/>
  <c r="AM27" i="11"/>
  <c r="AL27" i="11"/>
  <c r="AK27" i="11"/>
  <c r="AJ27" i="11"/>
  <c r="AI27" i="11"/>
  <c r="AH27" i="11"/>
  <c r="AG27" i="11"/>
  <c r="AF27" i="11"/>
  <c r="AE27" i="11"/>
  <c r="AD27" i="11"/>
  <c r="AC27" i="11"/>
  <c r="AB27" i="11"/>
  <c r="AA27" i="11"/>
  <c r="Z27" i="11"/>
  <c r="Y27" i="11"/>
  <c r="X27" i="11"/>
  <c r="W27" i="11"/>
  <c r="V27" i="11"/>
  <c r="U27" i="11"/>
  <c r="T27" i="11"/>
  <c r="S27" i="11"/>
  <c r="R27" i="11"/>
  <c r="Q27" i="11"/>
  <c r="P27" i="11"/>
  <c r="O27" i="11"/>
  <c r="N27" i="11"/>
  <c r="M27" i="11"/>
  <c r="L27" i="11"/>
  <c r="K27" i="11"/>
  <c r="J27" i="11"/>
  <c r="I27" i="11"/>
  <c r="H27" i="11"/>
  <c r="G27" i="11"/>
  <c r="F27" i="11"/>
  <c r="E27" i="11"/>
  <c r="CJ26" i="11"/>
  <c r="CI26" i="11"/>
  <c r="CH26" i="11"/>
  <c r="CG26" i="11"/>
  <c r="CF26" i="11"/>
  <c r="CE26" i="11"/>
  <c r="CD26" i="11"/>
  <c r="CC26" i="11"/>
  <c r="CB26" i="11"/>
  <c r="CA26" i="11"/>
  <c r="BZ26" i="11"/>
  <c r="BY26" i="11"/>
  <c r="BX26" i="11"/>
  <c r="BW26" i="11"/>
  <c r="BV26" i="11"/>
  <c r="BU26" i="11"/>
  <c r="BT26" i="11"/>
  <c r="BS26" i="11"/>
  <c r="BR26" i="11"/>
  <c r="BQ26" i="11"/>
  <c r="BP26" i="11"/>
  <c r="BO26" i="11"/>
  <c r="BN26" i="11"/>
  <c r="BM26" i="11"/>
  <c r="BL26" i="11"/>
  <c r="BK26" i="11"/>
  <c r="BJ26" i="11"/>
  <c r="BI26" i="11"/>
  <c r="BH26" i="11"/>
  <c r="BG26" i="11"/>
  <c r="BF26" i="11"/>
  <c r="BE26" i="11"/>
  <c r="BD26" i="11"/>
  <c r="BC26" i="11"/>
  <c r="BB26" i="11"/>
  <c r="BA26" i="11"/>
  <c r="AZ26" i="11"/>
  <c r="AY26" i="11"/>
  <c r="AX26" i="11"/>
  <c r="AW26" i="11"/>
  <c r="AV26" i="11"/>
  <c r="AU26" i="11"/>
  <c r="AT26" i="11"/>
  <c r="AS26" i="11"/>
  <c r="AR26" i="11"/>
  <c r="AQ26" i="11"/>
  <c r="AP26" i="11"/>
  <c r="AO26" i="11"/>
  <c r="AN26" i="11"/>
  <c r="AM26" i="11"/>
  <c r="AL26" i="11"/>
  <c r="AK26" i="11"/>
  <c r="AJ26" i="11"/>
  <c r="AI26" i="11"/>
  <c r="AH26" i="11"/>
  <c r="AG26" i="11"/>
  <c r="AF26" i="11"/>
  <c r="AE26" i="11"/>
  <c r="AD26" i="11"/>
  <c r="AC26" i="11"/>
  <c r="AB26" i="11"/>
  <c r="AA26" i="11"/>
  <c r="Z26" i="11"/>
  <c r="Y26" i="11"/>
  <c r="X26" i="11"/>
  <c r="W26" i="11"/>
  <c r="V26" i="11"/>
  <c r="U26" i="11"/>
  <c r="T26" i="11"/>
  <c r="S26" i="11"/>
  <c r="R26" i="11"/>
  <c r="Q26" i="11"/>
  <c r="P26" i="11"/>
  <c r="O26" i="11"/>
  <c r="N26" i="11"/>
  <c r="M26" i="11"/>
  <c r="L26" i="11"/>
  <c r="K26" i="11"/>
  <c r="J26" i="11"/>
  <c r="I26" i="11"/>
  <c r="H26" i="11"/>
  <c r="G26" i="11"/>
  <c r="F26" i="11"/>
  <c r="E26" i="11"/>
  <c r="CK5" i="11"/>
  <c r="CK42" i="10"/>
  <c r="CK41" i="10"/>
  <c r="CK34" i="10"/>
  <c r="CK32" i="10"/>
  <c r="CK31" i="10"/>
  <c r="CJ30" i="10"/>
  <c r="CI30" i="10"/>
  <c r="CH30" i="10"/>
  <c r="CG30" i="10"/>
  <c r="CF30" i="10"/>
  <c r="CE30" i="10"/>
  <c r="CD30" i="10"/>
  <c r="CC30" i="10"/>
  <c r="CB30" i="10"/>
  <c r="CA30" i="10"/>
  <c r="BZ30" i="10"/>
  <c r="BY30" i="10"/>
  <c r="BX30" i="10"/>
  <c r="BW30" i="10"/>
  <c r="BV30" i="10"/>
  <c r="BU30" i="10"/>
  <c r="BT30" i="10"/>
  <c r="BS30" i="10"/>
  <c r="BR30" i="10"/>
  <c r="BQ30" i="10"/>
  <c r="BP30" i="10"/>
  <c r="BO30" i="10"/>
  <c r="BN30" i="10"/>
  <c r="BM30" i="10"/>
  <c r="BL30" i="10"/>
  <c r="BK30" i="10"/>
  <c r="BJ30" i="10"/>
  <c r="BI30" i="10"/>
  <c r="BH30" i="10"/>
  <c r="BG30" i="10"/>
  <c r="BF30" i="10"/>
  <c r="BE30" i="10"/>
  <c r="BD30" i="10"/>
  <c r="BC30" i="10"/>
  <c r="BB30" i="10"/>
  <c r="BA30" i="10"/>
  <c r="AZ30" i="10"/>
  <c r="AY30" i="10"/>
  <c r="AX30" i="10"/>
  <c r="AW30" i="10"/>
  <c r="AV30" i="10"/>
  <c r="AU30" i="10"/>
  <c r="AT30" i="10"/>
  <c r="AS30" i="10"/>
  <c r="AR30" i="10"/>
  <c r="AQ30" i="10"/>
  <c r="AP30" i="10"/>
  <c r="AO30" i="10"/>
  <c r="AN30" i="10"/>
  <c r="AM30" i="10"/>
  <c r="AL30" i="10"/>
  <c r="AK30" i="10"/>
  <c r="AJ30" i="10"/>
  <c r="AI30" i="10"/>
  <c r="AH30" i="10"/>
  <c r="AG30" i="10"/>
  <c r="AF30" i="10"/>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CK28" i="10"/>
  <c r="CK21" i="10"/>
  <c r="CJ20" i="10"/>
  <c r="CI20" i="10"/>
  <c r="CH20" i="10"/>
  <c r="CG20" i="10"/>
  <c r="CF20" i="10"/>
  <c r="CE20" i="10"/>
  <c r="CD20" i="10"/>
  <c r="CC20" i="10"/>
  <c r="CB20" i="10"/>
  <c r="CA20" i="10"/>
  <c r="BZ20" i="10"/>
  <c r="BY20" i="10"/>
  <c r="BX20" i="10"/>
  <c r="BW20" i="10"/>
  <c r="BV20" i="10"/>
  <c r="BU20" i="10"/>
  <c r="BT20" i="10"/>
  <c r="BS20" i="10"/>
  <c r="BR20" i="10"/>
  <c r="BQ20" i="10"/>
  <c r="BP20" i="10"/>
  <c r="BO20" i="10"/>
  <c r="BN20" i="10"/>
  <c r="BM20" i="10"/>
  <c r="BL20" i="10"/>
  <c r="BK20" i="10"/>
  <c r="BJ20" i="10"/>
  <c r="BI20" i="10"/>
  <c r="BH20" i="10"/>
  <c r="BG20" i="10"/>
  <c r="BF20" i="10"/>
  <c r="BE20" i="10"/>
  <c r="BD20" i="10"/>
  <c r="BC20" i="10"/>
  <c r="BB20" i="10"/>
  <c r="BA20" i="10"/>
  <c r="AZ20" i="10"/>
  <c r="AY20" i="10"/>
  <c r="AX20" i="10"/>
  <c r="AW20" i="10"/>
  <c r="AV20" i="10"/>
  <c r="AU20" i="10"/>
  <c r="AT20" i="10"/>
  <c r="AS20" i="10"/>
  <c r="AR20" i="10"/>
  <c r="AQ20" i="10"/>
  <c r="AP20" i="10"/>
  <c r="AO20" i="10"/>
  <c r="AN20" i="10"/>
  <c r="AM20" i="10"/>
  <c r="AL20" i="10"/>
  <c r="AK20" i="10"/>
  <c r="AJ20" i="10"/>
  <c r="AI20" i="10"/>
  <c r="AH20" i="10"/>
  <c r="AG20" i="10"/>
  <c r="AF20" i="10"/>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CK18" i="10"/>
  <c r="CK19" i="10" s="1"/>
  <c r="CK17" i="10"/>
  <c r="CJ16" i="10"/>
  <c r="CI16" i="10"/>
  <c r="CH16" i="10"/>
  <c r="CG16" i="10"/>
  <c r="CF16" i="10"/>
  <c r="CE16" i="10"/>
  <c r="CD16" i="10"/>
  <c r="CC16" i="10"/>
  <c r="CB16" i="10"/>
  <c r="CA16" i="10"/>
  <c r="BZ16" i="10"/>
  <c r="BY16" i="10"/>
  <c r="BX16" i="10"/>
  <c r="BW16" i="10"/>
  <c r="BV16" i="10"/>
  <c r="BU16" i="10"/>
  <c r="BT16" i="10"/>
  <c r="BS16" i="10"/>
  <c r="BR16" i="10"/>
  <c r="BQ16" i="10"/>
  <c r="BP16" i="10"/>
  <c r="BO16" i="10"/>
  <c r="BN16" i="10"/>
  <c r="BM16" i="10"/>
  <c r="BL16" i="10"/>
  <c r="BK16" i="10"/>
  <c r="BJ16" i="10"/>
  <c r="BI16" i="10"/>
  <c r="BH16" i="10"/>
  <c r="BG16" i="10"/>
  <c r="BF16" i="10"/>
  <c r="BE16" i="10"/>
  <c r="BD16" i="10"/>
  <c r="BC16" i="10"/>
  <c r="BB16" i="10"/>
  <c r="BA16" i="10"/>
  <c r="AZ16" i="10"/>
  <c r="AY16" i="10"/>
  <c r="AX16" i="10"/>
  <c r="AW16" i="10"/>
  <c r="AV16" i="10"/>
  <c r="AU16" i="10"/>
  <c r="AT16" i="10"/>
  <c r="AS16" i="10"/>
  <c r="AR16" i="10"/>
  <c r="AQ16" i="10"/>
  <c r="AP16" i="10"/>
  <c r="AO16" i="10"/>
  <c r="AN16" i="10"/>
  <c r="AM16" i="10"/>
  <c r="AL16" i="10"/>
  <c r="AK16" i="10"/>
  <c r="AJ16" i="10"/>
  <c r="AI16" i="10"/>
  <c r="AH16" i="10"/>
  <c r="AG16" i="10"/>
  <c r="AF16" i="10"/>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CK14" i="10"/>
  <c r="CK15" i="10" s="1"/>
  <c r="CJ14" i="10"/>
  <c r="CI14" i="10"/>
  <c r="CH14" i="10"/>
  <c r="CG14" i="10"/>
  <c r="CF14" i="10"/>
  <c r="CE14" i="10"/>
  <c r="CD14" i="10"/>
  <c r="CC14" i="10"/>
  <c r="CB14" i="10"/>
  <c r="CA14" i="10"/>
  <c r="BZ14" i="10"/>
  <c r="BY14" i="10"/>
  <c r="BX14" i="10"/>
  <c r="BW14" i="10"/>
  <c r="BV14" i="10"/>
  <c r="BU14" i="10"/>
  <c r="BT14" i="10"/>
  <c r="BS14" i="10"/>
  <c r="BR14" i="10"/>
  <c r="BQ14" i="10"/>
  <c r="BP14" i="10"/>
  <c r="BO14" i="10"/>
  <c r="BN14" i="10"/>
  <c r="BM14" i="10"/>
  <c r="BL14" i="10"/>
  <c r="BK14" i="10"/>
  <c r="BJ14" i="10"/>
  <c r="BI14" i="10"/>
  <c r="BH14" i="10"/>
  <c r="BG14" i="10"/>
  <c r="BF14" i="10"/>
  <c r="BE14" i="10"/>
  <c r="BD14" i="10"/>
  <c r="BC14" i="10"/>
  <c r="BB14" i="10"/>
  <c r="BA14" i="10"/>
  <c r="AZ14" i="10"/>
  <c r="AY14" i="10"/>
  <c r="AX14" i="10"/>
  <c r="AW14" i="10"/>
  <c r="AV14" i="10"/>
  <c r="AU14" i="10"/>
  <c r="AT14" i="10"/>
  <c r="AS14" i="10"/>
  <c r="AR14" i="10"/>
  <c r="AQ14" i="10"/>
  <c r="AP14" i="10"/>
  <c r="AO14" i="10"/>
  <c r="AN14" i="10"/>
  <c r="AM14" i="10"/>
  <c r="AL14" i="10"/>
  <c r="AK14" i="10"/>
  <c r="AJ14" i="10"/>
  <c r="AI14" i="10"/>
  <c r="AH14" i="10"/>
  <c r="AG14" i="10"/>
  <c r="AF14" i="10"/>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CJ12" i="10"/>
  <c r="CI12" i="10"/>
  <c r="CH12" i="10"/>
  <c r="CG12" i="10"/>
  <c r="CF12" i="10"/>
  <c r="CE12" i="10"/>
  <c r="CD12" i="10"/>
  <c r="CC12" i="10"/>
  <c r="CB12" i="10"/>
  <c r="CA12" i="10"/>
  <c r="BZ12" i="10"/>
  <c r="BY12" i="10"/>
  <c r="BX12" i="10"/>
  <c r="BW12" i="10"/>
  <c r="BV12" i="10"/>
  <c r="BU12" i="10"/>
  <c r="BT12" i="10"/>
  <c r="BS12" i="10"/>
  <c r="BR12" i="10"/>
  <c r="BQ12" i="10"/>
  <c r="BP12" i="10"/>
  <c r="BO12" i="10"/>
  <c r="BN12" i="10"/>
  <c r="BM12" i="10"/>
  <c r="BL12" i="10"/>
  <c r="BK12" i="10"/>
  <c r="BJ12" i="10"/>
  <c r="BI12" i="10"/>
  <c r="BH12" i="10"/>
  <c r="BG12" i="10"/>
  <c r="BF12" i="10"/>
  <c r="BE12" i="10"/>
  <c r="BD12" i="10"/>
  <c r="BC12" i="10"/>
  <c r="BB12" i="10"/>
  <c r="BA12" i="10"/>
  <c r="AZ12" i="10"/>
  <c r="AY12" i="10"/>
  <c r="AX12" i="10"/>
  <c r="AW12" i="10"/>
  <c r="AV12" i="10"/>
  <c r="AU12" i="10"/>
  <c r="AT12" i="10"/>
  <c r="AS12" i="10"/>
  <c r="AR12" i="10"/>
  <c r="AQ12" i="10"/>
  <c r="AP12" i="10"/>
  <c r="AO12" i="10"/>
  <c r="AN12" i="10"/>
  <c r="AM12" i="10"/>
  <c r="AL12" i="10"/>
  <c r="AK12" i="10"/>
  <c r="AJ12" i="10"/>
  <c r="AI12" i="10"/>
  <c r="AH12" i="10"/>
  <c r="AG12" i="10"/>
  <c r="AF12" i="10"/>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CJ10" i="10"/>
  <c r="CI10" i="10"/>
  <c r="CH10" i="10"/>
  <c r="CG10" i="10"/>
  <c r="CF10" i="10"/>
  <c r="CE10" i="10"/>
  <c r="CD10" i="10"/>
  <c r="CC10" i="10"/>
  <c r="CB10" i="10"/>
  <c r="CA10" i="10"/>
  <c r="BZ10" i="10"/>
  <c r="BY10" i="10"/>
  <c r="BX10" i="10"/>
  <c r="BW10" i="10"/>
  <c r="BV10" i="10"/>
  <c r="BU10" i="10"/>
  <c r="BT10" i="10"/>
  <c r="BS10" i="10"/>
  <c r="BR10" i="10"/>
  <c r="BQ10" i="10"/>
  <c r="BP10" i="10"/>
  <c r="BO10" i="10"/>
  <c r="BN10" i="10"/>
  <c r="BM10" i="10"/>
  <c r="BL10" i="10"/>
  <c r="BK10" i="10"/>
  <c r="BJ10" i="10"/>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CK5" i="10"/>
  <c r="CJ4" i="10"/>
  <c r="CJ6" i="10" s="1"/>
  <c r="CI4" i="10"/>
  <c r="CH4" i="10"/>
  <c r="CG4" i="10"/>
  <c r="CG6" i="10" s="1"/>
  <c r="CF4" i="10"/>
  <c r="CE4" i="10"/>
  <c r="CD4" i="10"/>
  <c r="CC4" i="10"/>
  <c r="CB4" i="10"/>
  <c r="CA4" i="10"/>
  <c r="BZ4" i="10"/>
  <c r="BY4" i="10"/>
  <c r="BX4" i="10"/>
  <c r="BW4" i="10"/>
  <c r="BV4" i="10"/>
  <c r="BU4" i="10"/>
  <c r="BT4" i="10"/>
  <c r="BS4" i="10"/>
  <c r="BR4" i="10"/>
  <c r="BQ4" i="10"/>
  <c r="BP4" i="10"/>
  <c r="BO4" i="10"/>
  <c r="BN4" i="10"/>
  <c r="BM4" i="10"/>
  <c r="BL4" i="10"/>
  <c r="BK4" i="10"/>
  <c r="BJ4" i="10"/>
  <c r="BI4" i="10"/>
  <c r="BH4" i="10"/>
  <c r="BG4" i="10"/>
  <c r="BF4" i="10"/>
  <c r="BE4" i="10"/>
  <c r="BD4" i="10"/>
  <c r="BC4" i="10"/>
  <c r="BB4" i="10"/>
  <c r="BA4" i="10"/>
  <c r="AZ4" i="10"/>
  <c r="AY4" i="10"/>
  <c r="AX4" i="10"/>
  <c r="AW4" i="10"/>
  <c r="AV4" i="10"/>
  <c r="AU4" i="10"/>
  <c r="AT4" i="10"/>
  <c r="AS4" i="10"/>
  <c r="AR4" i="10"/>
  <c r="AQ4" i="10"/>
  <c r="AP4" i="10"/>
  <c r="AO4" i="10"/>
  <c r="AN4" i="10"/>
  <c r="AM4" i="10"/>
  <c r="AL4" i="10"/>
  <c r="AK4" i="10"/>
  <c r="AJ4" i="10"/>
  <c r="AI4" i="10"/>
  <c r="AH4" i="10"/>
  <c r="AG4" i="10"/>
  <c r="AF4" i="10"/>
  <c r="AE4" i="10"/>
  <c r="AD4" i="10"/>
  <c r="AC4" i="10"/>
  <c r="AB4" i="10"/>
  <c r="AA4" i="10"/>
  <c r="Z4" i="10"/>
  <c r="Y4" i="10"/>
  <c r="X4" i="10"/>
  <c r="W4" i="10"/>
  <c r="V4" i="10"/>
  <c r="U4" i="10"/>
  <c r="T4" i="10"/>
  <c r="S4" i="10"/>
  <c r="R4" i="10"/>
  <c r="Q4" i="10"/>
  <c r="P4" i="10"/>
  <c r="P6" i="10" s="1"/>
  <c r="O4" i="10"/>
  <c r="O6" i="10" s="1"/>
  <c r="N4" i="10"/>
  <c r="M4" i="10"/>
  <c r="L4" i="10"/>
  <c r="K4" i="10"/>
  <c r="J4" i="10"/>
  <c r="I4" i="10"/>
  <c r="H4" i="10"/>
  <c r="G4" i="10"/>
  <c r="F4" i="10"/>
  <c r="E4" i="10"/>
  <c r="CJ2" i="10"/>
  <c r="CI2" i="10"/>
  <c r="CH2" i="10"/>
  <c r="CH3" i="10" s="1"/>
  <c r="CG2" i="10"/>
  <c r="CG3" i="10" s="1"/>
  <c r="CF2" i="10"/>
  <c r="CE2" i="10"/>
  <c r="CD2" i="10"/>
  <c r="CC2" i="10"/>
  <c r="CB2" i="10"/>
  <c r="CA2" i="10"/>
  <c r="BZ2" i="10"/>
  <c r="BY2" i="10"/>
  <c r="BX2" i="10"/>
  <c r="BW2" i="10"/>
  <c r="BV2" i="10"/>
  <c r="BU2" i="10"/>
  <c r="BT2" i="10"/>
  <c r="BS2" i="10"/>
  <c r="BR2" i="10"/>
  <c r="BQ2" i="10"/>
  <c r="BP2" i="10"/>
  <c r="BO2" i="10"/>
  <c r="BN2" i="10"/>
  <c r="BM2" i="10"/>
  <c r="BL2" i="10"/>
  <c r="BK2" i="10"/>
  <c r="BJ2" i="10"/>
  <c r="BI2" i="10"/>
  <c r="BH2" i="10"/>
  <c r="BG2" i="10"/>
  <c r="BF2" i="10"/>
  <c r="BE2" i="10"/>
  <c r="BD2" i="10"/>
  <c r="BC2" i="10"/>
  <c r="BB2" i="10"/>
  <c r="BA2" i="10"/>
  <c r="AZ2" i="10"/>
  <c r="AY2" i="10"/>
  <c r="AX2" i="10"/>
  <c r="AW2" i="10"/>
  <c r="AV2" i="10"/>
  <c r="AU2" i="10"/>
  <c r="AT2" i="10"/>
  <c r="AS2" i="10"/>
  <c r="AR2" i="10"/>
  <c r="AQ2" i="10"/>
  <c r="AP2" i="10"/>
  <c r="AO2" i="10"/>
  <c r="AN2" i="10"/>
  <c r="AM2" i="10"/>
  <c r="AL2" i="10"/>
  <c r="AK2" i="10"/>
  <c r="AJ2" i="10"/>
  <c r="AI2" i="10"/>
  <c r="AH2" i="10"/>
  <c r="AG2" i="10"/>
  <c r="AF2" i="10"/>
  <c r="AE2" i="10"/>
  <c r="AD2" i="10"/>
  <c r="AC2" i="10"/>
  <c r="AB2" i="10"/>
  <c r="AA2" i="10"/>
  <c r="Z2" i="10"/>
  <c r="Y2" i="10"/>
  <c r="X2" i="10"/>
  <c r="W2" i="10"/>
  <c r="V2" i="10"/>
  <c r="U2" i="10"/>
  <c r="T2" i="10"/>
  <c r="S2" i="10"/>
  <c r="R2" i="10"/>
  <c r="Q2" i="10"/>
  <c r="Q3" i="10" s="1"/>
  <c r="P2" i="10"/>
  <c r="O2" i="10"/>
  <c r="N2" i="10"/>
  <c r="N3" i="10" s="1"/>
  <c r="M2" i="10"/>
  <c r="M3" i="10" s="1"/>
  <c r="L2" i="10"/>
  <c r="K2" i="10"/>
  <c r="J2" i="10"/>
  <c r="I2" i="10"/>
  <c r="H2" i="10"/>
  <c r="G2" i="10"/>
  <c r="F2" i="10"/>
  <c r="E2" i="10"/>
  <c r="CL12" i="9"/>
  <c r="CL6" i="9"/>
  <c r="CL5" i="9"/>
  <c r="CK3" i="9"/>
  <c r="CJ3" i="9"/>
  <c r="CI3" i="9"/>
  <c r="CH3" i="9"/>
  <c r="CG3" i="9"/>
  <c r="CF3" i="9"/>
  <c r="CE3" i="9"/>
  <c r="CD3" i="9"/>
  <c r="CC3" i="9"/>
  <c r="CB3" i="9"/>
  <c r="CA3" i="9"/>
  <c r="BZ3" i="9"/>
  <c r="BY3" i="9"/>
  <c r="BX3" i="9"/>
  <c r="BW3" i="9"/>
  <c r="BV3" i="9"/>
  <c r="BU3" i="9"/>
  <c r="BT3" i="9"/>
  <c r="BS3" i="9"/>
  <c r="BR3" i="9"/>
  <c r="BQ3" i="9"/>
  <c r="BP3" i="9"/>
  <c r="BO3" i="9"/>
  <c r="BN3" i="9"/>
  <c r="BM3" i="9"/>
  <c r="BL3" i="9"/>
  <c r="BK3" i="9"/>
  <c r="BJ3" i="9"/>
  <c r="BI3" i="9"/>
  <c r="BH3" i="9"/>
  <c r="BG3" i="9"/>
  <c r="BF3" i="9"/>
  <c r="BE3" i="9"/>
  <c r="BD3" i="9"/>
  <c r="BC3" i="9"/>
  <c r="BB3" i="9"/>
  <c r="BA3" i="9"/>
  <c r="AZ3" i="9"/>
  <c r="AY3" i="9"/>
  <c r="AX3" i="9"/>
  <c r="AW3" i="9"/>
  <c r="AV3" i="9"/>
  <c r="AU3" i="9"/>
  <c r="AT3" i="9"/>
  <c r="AS3" i="9"/>
  <c r="AR3" i="9"/>
  <c r="AQ3" i="9"/>
  <c r="AP3" i="9"/>
  <c r="AO3" i="9"/>
  <c r="AN3" i="9"/>
  <c r="AM3" i="9"/>
  <c r="AL3" i="9"/>
  <c r="AK3" i="9"/>
  <c r="AJ3" i="9"/>
  <c r="AI3" i="9"/>
  <c r="AH3" i="9"/>
  <c r="AG3" i="9"/>
  <c r="AF3" i="9"/>
  <c r="AE3" i="9"/>
  <c r="AD3" i="9"/>
  <c r="AC3" i="9"/>
  <c r="AB3" i="9"/>
  <c r="AA3" i="9"/>
  <c r="Z3" i="9"/>
  <c r="Y3" i="9"/>
  <c r="X3" i="9"/>
  <c r="W3" i="9"/>
  <c r="V3" i="9"/>
  <c r="U3" i="9"/>
  <c r="T3" i="9"/>
  <c r="S3" i="9"/>
  <c r="R3" i="9"/>
  <c r="Q3" i="9"/>
  <c r="P3" i="9"/>
  <c r="O3" i="9"/>
  <c r="N3" i="9"/>
  <c r="M3" i="9"/>
  <c r="L3" i="9"/>
  <c r="K3" i="9"/>
  <c r="J3" i="9"/>
  <c r="I3" i="9"/>
  <c r="H3" i="9"/>
  <c r="G3" i="9"/>
  <c r="F3" i="9"/>
  <c r="E3" i="9"/>
  <c r="CL2" i="9"/>
  <c r="CL16" i="9" s="1"/>
  <c r="BV12" i="8"/>
  <c r="BV3" i="8"/>
  <c r="BU3" i="8"/>
  <c r="BT3" i="8"/>
  <c r="BS3" i="8"/>
  <c r="BR3" i="8"/>
  <c r="BQ3" i="8"/>
  <c r="BP3" i="8"/>
  <c r="BO3" i="8"/>
  <c r="BN3" i="8"/>
  <c r="BM3" i="8"/>
  <c r="BL3" i="8"/>
  <c r="BK3" i="8"/>
  <c r="BJ3" i="8"/>
  <c r="BI3" i="8"/>
  <c r="BH3" i="8"/>
  <c r="BG3" i="8"/>
  <c r="BF3" i="8"/>
  <c r="BE3" i="8"/>
  <c r="BD3" i="8"/>
  <c r="BC3" i="8"/>
  <c r="BB3" i="8"/>
  <c r="BA3" i="8"/>
  <c r="AZ3" i="8"/>
  <c r="AY3" i="8"/>
  <c r="AX3" i="8"/>
  <c r="AW3" i="8"/>
  <c r="AV3" i="8"/>
  <c r="AU3" i="8"/>
  <c r="AT3" i="8"/>
  <c r="AS3" i="8"/>
  <c r="AR3" i="8"/>
  <c r="AQ3" i="8"/>
  <c r="AP3" i="8"/>
  <c r="AO3" i="8"/>
  <c r="AN3" i="8"/>
  <c r="AM3" i="8"/>
  <c r="AL3" i="8"/>
  <c r="AK3" i="8"/>
  <c r="AJ3" i="8"/>
  <c r="AI3" i="8"/>
  <c r="AH3" i="8"/>
  <c r="AG3" i="8"/>
  <c r="AF3" i="8"/>
  <c r="AE3" i="8"/>
  <c r="AD3" i="8"/>
  <c r="AC3" i="8"/>
  <c r="AB3" i="8"/>
  <c r="AA3" i="8"/>
  <c r="Z3" i="8"/>
  <c r="Y3" i="8"/>
  <c r="X3" i="8"/>
  <c r="W3" i="8"/>
  <c r="V3" i="8"/>
  <c r="U3" i="8"/>
  <c r="T3" i="8"/>
  <c r="S3" i="8"/>
  <c r="R3" i="8"/>
  <c r="Q3" i="8"/>
  <c r="P3" i="8"/>
  <c r="O3" i="8"/>
  <c r="N3" i="8"/>
  <c r="M3" i="8"/>
  <c r="L3" i="8"/>
  <c r="K3" i="8"/>
  <c r="J3" i="8"/>
  <c r="I3" i="8"/>
  <c r="H3" i="8"/>
  <c r="G3" i="8"/>
  <c r="F3" i="8"/>
  <c r="E3" i="8"/>
  <c r="B3" i="8"/>
  <c r="Y45" i="7"/>
  <c r="Y49" i="7" s="1"/>
  <c r="X45" i="7"/>
  <c r="X49" i="7" s="1"/>
  <c r="W45" i="7"/>
  <c r="W49" i="7" s="1"/>
  <c r="V45" i="7"/>
  <c r="V49" i="7" s="1"/>
  <c r="U45" i="7"/>
  <c r="U49" i="7" s="1"/>
  <c r="T45" i="7"/>
  <c r="T49" i="7" s="1"/>
  <c r="S45" i="7"/>
  <c r="S49" i="7" s="1"/>
  <c r="R45" i="7"/>
  <c r="R49" i="7" s="1"/>
  <c r="Q45" i="7"/>
  <c r="Q49" i="7" s="1"/>
  <c r="P45" i="7"/>
  <c r="P49" i="7" s="1"/>
  <c r="O45" i="7"/>
  <c r="O49" i="7" s="1"/>
  <c r="N45" i="7"/>
  <c r="N49" i="7" s="1"/>
  <c r="M45" i="7"/>
  <c r="M49" i="7" s="1"/>
  <c r="L45" i="7"/>
  <c r="L49" i="7" s="1"/>
  <c r="K45" i="7"/>
  <c r="K49" i="7" s="1"/>
  <c r="J45" i="7"/>
  <c r="J49" i="7" s="1"/>
  <c r="I45" i="7"/>
  <c r="I49" i="7" s="1"/>
  <c r="H45" i="7"/>
  <c r="H49" i="7" s="1"/>
  <c r="G45" i="7"/>
  <c r="G49" i="7" s="1"/>
  <c r="F45" i="7"/>
  <c r="F49" i="7" s="1"/>
  <c r="E45" i="7"/>
  <c r="E49" i="7" s="1"/>
  <c r="Y42" i="7"/>
  <c r="X42" i="7"/>
  <c r="W42" i="7"/>
  <c r="V42" i="7"/>
  <c r="U42" i="7"/>
  <c r="T42" i="7"/>
  <c r="S42" i="7"/>
  <c r="R42" i="7"/>
  <c r="Q42" i="7"/>
  <c r="P42" i="7"/>
  <c r="O42" i="7"/>
  <c r="N42" i="7"/>
  <c r="M42" i="7"/>
  <c r="L42" i="7"/>
  <c r="K42" i="7"/>
  <c r="J42" i="7"/>
  <c r="I42" i="7"/>
  <c r="H42" i="7"/>
  <c r="G42" i="7"/>
  <c r="F42" i="7"/>
  <c r="E42" i="7"/>
  <c r="D35" i="7"/>
  <c r="C35" i="7"/>
  <c r="B35" i="7"/>
  <c r="AJ82" i="11"/>
  <c r="AJ83" i="11" s="1"/>
  <c r="AI82" i="11"/>
  <c r="AI83" i="11" s="1"/>
  <c r="AH82" i="11"/>
  <c r="AH83" i="11" s="1"/>
  <c r="AG82" i="11"/>
  <c r="AG83" i="11" s="1"/>
  <c r="AF82" i="11"/>
  <c r="AF83" i="11" s="1"/>
  <c r="AB82" i="11"/>
  <c r="AB83" i="11" s="1"/>
  <c r="AA82" i="11"/>
  <c r="AA83" i="11" s="1"/>
  <c r="Z82" i="11"/>
  <c r="Z83" i="11" s="1"/>
  <c r="Y82" i="11"/>
  <c r="Y83" i="11" s="1"/>
  <c r="X82" i="11"/>
  <c r="X83" i="11" s="1"/>
  <c r="U34" i="7"/>
  <c r="T34" i="7"/>
  <c r="T82" i="11" s="1"/>
  <c r="T83" i="11" s="1"/>
  <c r="S34" i="7"/>
  <c r="S82" i="11" s="1"/>
  <c r="S83" i="11" s="1"/>
  <c r="R34" i="7"/>
  <c r="R82" i="11" s="1"/>
  <c r="R83" i="11" s="1"/>
  <c r="Q34" i="7"/>
  <c r="Q82" i="11" s="1"/>
  <c r="Q83" i="11" s="1"/>
  <c r="P34" i="7"/>
  <c r="P82" i="11" s="1"/>
  <c r="P83" i="11" s="1"/>
  <c r="O34" i="7"/>
  <c r="O82" i="11" s="1"/>
  <c r="O83" i="11" s="1"/>
  <c r="N34" i="7"/>
  <c r="M34" i="7"/>
  <c r="L34" i="7"/>
  <c r="L82" i="11" s="1"/>
  <c r="L83" i="11" s="1"/>
  <c r="K34" i="7"/>
  <c r="K82" i="11" s="1"/>
  <c r="K83" i="11" s="1"/>
  <c r="J34" i="7"/>
  <c r="J82" i="11" s="1"/>
  <c r="J83" i="11" s="1"/>
  <c r="I34" i="7"/>
  <c r="I82" i="11" s="1"/>
  <c r="I83" i="11" s="1"/>
  <c r="H34" i="7"/>
  <c r="H82" i="11" s="1"/>
  <c r="H83" i="11" s="1"/>
  <c r="G34" i="7"/>
  <c r="G82" i="11" s="1"/>
  <c r="G83" i="11" s="1"/>
  <c r="F34" i="7"/>
  <c r="F82" i="11" s="1"/>
  <c r="F83" i="11" s="1"/>
  <c r="E34" i="7"/>
  <c r="E82" i="11" s="1"/>
  <c r="E83" i="11" s="1"/>
  <c r="Y17" i="7"/>
  <c r="X17" i="7"/>
  <c r="W17" i="7"/>
  <c r="V17" i="7"/>
  <c r="U17" i="7"/>
  <c r="T17" i="7"/>
  <c r="S17" i="7"/>
  <c r="R17" i="7"/>
  <c r="Q17" i="7"/>
  <c r="P17" i="7"/>
  <c r="O17" i="7"/>
  <c r="N17" i="7"/>
  <c r="M17" i="7"/>
  <c r="L17" i="7"/>
  <c r="K17" i="7"/>
  <c r="J17" i="7"/>
  <c r="I17" i="7"/>
  <c r="H17" i="7"/>
  <c r="G17" i="7"/>
  <c r="F17" i="7"/>
  <c r="E17" i="7"/>
  <c r="Y11" i="7"/>
  <c r="Y13" i="7" s="1"/>
  <c r="X11" i="7"/>
  <c r="X13" i="7" s="1"/>
  <c r="W11" i="7"/>
  <c r="W13" i="7" s="1"/>
  <c r="U5" i="7"/>
  <c r="T5" i="7"/>
  <c r="T11" i="7" s="1"/>
  <c r="S5" i="7"/>
  <c r="S11" i="7" s="1"/>
  <c r="R5" i="7"/>
  <c r="R11" i="7" s="1"/>
  <c r="Q5" i="7"/>
  <c r="Q11" i="7" s="1"/>
  <c r="P5" i="7"/>
  <c r="P11" i="7" s="1"/>
  <c r="O5" i="7"/>
  <c r="O11" i="7" s="1"/>
  <c r="N5" i="7"/>
  <c r="M5" i="7"/>
  <c r="L5" i="7"/>
  <c r="L11" i="7" s="1"/>
  <c r="K5" i="7"/>
  <c r="K11" i="7" s="1"/>
  <c r="J5" i="7"/>
  <c r="J11" i="7" s="1"/>
  <c r="I5" i="7"/>
  <c r="I11" i="7" s="1"/>
  <c r="H5" i="7"/>
  <c r="H11" i="7" s="1"/>
  <c r="G5" i="7"/>
  <c r="G11" i="7" s="1"/>
  <c r="F5" i="7"/>
  <c r="E5" i="7"/>
  <c r="CJ67" i="6"/>
  <c r="CI67" i="6"/>
  <c r="CI24" i="6" s="1"/>
  <c r="CH67" i="6"/>
  <c r="CH24" i="6" s="1"/>
  <c r="CG67" i="6"/>
  <c r="CF67" i="6"/>
  <c r="CE67" i="6"/>
  <c r="CE24" i="6" s="1"/>
  <c r="CD67" i="6"/>
  <c r="CD24" i="6" s="1"/>
  <c r="CC67" i="6"/>
  <c r="CC24" i="6" s="1"/>
  <c r="CB67" i="6"/>
  <c r="CA67" i="6"/>
  <c r="CA24" i="6" s="1"/>
  <c r="BZ67" i="6"/>
  <c r="BZ24" i="6" s="1"/>
  <c r="BY67" i="6"/>
  <c r="BY24" i="6" s="1"/>
  <c r="BX67" i="6"/>
  <c r="BX24" i="6" s="1"/>
  <c r="BW67" i="6"/>
  <c r="BW24" i="6" s="1"/>
  <c r="BV67" i="6"/>
  <c r="BU67" i="6"/>
  <c r="BU24" i="6" s="1"/>
  <c r="BT67" i="6"/>
  <c r="BS67" i="6"/>
  <c r="BS24" i="6" s="1"/>
  <c r="BR67" i="6"/>
  <c r="BR24" i="6" s="1"/>
  <c r="BQ67" i="6"/>
  <c r="BQ24" i="6" s="1"/>
  <c r="BP67" i="6"/>
  <c r="BP24" i="6" s="1"/>
  <c r="BO67" i="6"/>
  <c r="BO24" i="6" s="1"/>
  <c r="BN67" i="6"/>
  <c r="BN24" i="6" s="1"/>
  <c r="BM67" i="6"/>
  <c r="BM24" i="6" s="1"/>
  <c r="BL67" i="6"/>
  <c r="BK67" i="6"/>
  <c r="BK24" i="6" s="1"/>
  <c r="BJ67" i="6"/>
  <c r="BJ24" i="6" s="1"/>
  <c r="BI67" i="6"/>
  <c r="BI24" i="6" s="1"/>
  <c r="BH67" i="6"/>
  <c r="BH24" i="6" s="1"/>
  <c r="BG67" i="6"/>
  <c r="BG24" i="6" s="1"/>
  <c r="BF67" i="6"/>
  <c r="BF24" i="6" s="1"/>
  <c r="BE67" i="6"/>
  <c r="BE24" i="6" s="1"/>
  <c r="BD67" i="6"/>
  <c r="BC67" i="6"/>
  <c r="BC24" i="6" s="1"/>
  <c r="BB67" i="6"/>
  <c r="BB24" i="6" s="1"/>
  <c r="BA67" i="6"/>
  <c r="BA24" i="6" s="1"/>
  <c r="AZ67" i="6"/>
  <c r="AZ24" i="6" s="1"/>
  <c r="AY67" i="6"/>
  <c r="AY24" i="6" s="1"/>
  <c r="AX67" i="6"/>
  <c r="AW67" i="6"/>
  <c r="AW24" i="6" s="1"/>
  <c r="AV67" i="6"/>
  <c r="AU67" i="6"/>
  <c r="AU24" i="6" s="1"/>
  <c r="AT67" i="6"/>
  <c r="AT24" i="6" s="1"/>
  <c r="AS67" i="6"/>
  <c r="AS24" i="6" s="1"/>
  <c r="AR67" i="6"/>
  <c r="AR24" i="6" s="1"/>
  <c r="AQ67" i="6"/>
  <c r="AQ24" i="6" s="1"/>
  <c r="AP67" i="6"/>
  <c r="AP24" i="6" s="1"/>
  <c r="AO67" i="6"/>
  <c r="AO24" i="6" s="1"/>
  <c r="AN67" i="6"/>
  <c r="AM67" i="6"/>
  <c r="AM24" i="6" s="1"/>
  <c r="AL67" i="6"/>
  <c r="AL24" i="6" s="1"/>
  <c r="AK67" i="6"/>
  <c r="AK24" i="6" s="1"/>
  <c r="AJ67" i="6"/>
  <c r="AJ24" i="6" s="1"/>
  <c r="AI67" i="6"/>
  <c r="AI24" i="6" s="1"/>
  <c r="AH67" i="6"/>
  <c r="AH24" i="6" s="1"/>
  <c r="AG67" i="6"/>
  <c r="AG24" i="6" s="1"/>
  <c r="AF67" i="6"/>
  <c r="AE67" i="6"/>
  <c r="AE24" i="6" s="1"/>
  <c r="AD67" i="6"/>
  <c r="AD24" i="6" s="1"/>
  <c r="AC67" i="6"/>
  <c r="AC24" i="6" s="1"/>
  <c r="AB67" i="6"/>
  <c r="AB24" i="6" s="1"/>
  <c r="AA67" i="6"/>
  <c r="AA24" i="6" s="1"/>
  <c r="Z67" i="6"/>
  <c r="Y67" i="6"/>
  <c r="Y24" i="6" s="1"/>
  <c r="X67" i="6"/>
  <c r="X24" i="6" s="1"/>
  <c r="W67" i="6"/>
  <c r="W24" i="6" s="1"/>
  <c r="V67" i="6"/>
  <c r="V24" i="6" s="1"/>
  <c r="U67" i="6"/>
  <c r="U24" i="6" s="1"/>
  <c r="T67" i="6"/>
  <c r="T24" i="6" s="1"/>
  <c r="S67" i="6"/>
  <c r="S24" i="6" s="1"/>
  <c r="R67" i="6"/>
  <c r="R24" i="6" s="1"/>
  <c r="Q67" i="6"/>
  <c r="Q24" i="6" s="1"/>
  <c r="P67" i="6"/>
  <c r="P24" i="6" s="1"/>
  <c r="O67" i="6"/>
  <c r="O24" i="6" s="1"/>
  <c r="N67" i="6"/>
  <c r="N24" i="6" s="1"/>
  <c r="M67" i="6"/>
  <c r="M24" i="6" s="1"/>
  <c r="L67" i="6"/>
  <c r="L24" i="6" s="1"/>
  <c r="K67" i="6"/>
  <c r="K24" i="6" s="1"/>
  <c r="J67" i="6"/>
  <c r="J24" i="6" s="1"/>
  <c r="I67" i="6"/>
  <c r="I24" i="6" s="1"/>
  <c r="H67" i="6"/>
  <c r="G67" i="6"/>
  <c r="G24" i="6" s="1"/>
  <c r="F67" i="6"/>
  <c r="F24" i="6" s="1"/>
  <c r="E67" i="6"/>
  <c r="E24" i="6" s="1"/>
  <c r="D67" i="6"/>
  <c r="D24" i="6" s="1"/>
  <c r="C67" i="6"/>
  <c r="C24" i="6" s="1"/>
  <c r="B67" i="6"/>
  <c r="B24" i="6" s="1"/>
  <c r="D56" i="6"/>
  <c r="C56" i="6"/>
  <c r="B56" i="6"/>
  <c r="CJ46" i="6"/>
  <c r="CI46" i="6"/>
  <c r="CH46" i="6"/>
  <c r="CG46" i="6"/>
  <c r="CF46" i="6"/>
  <c r="CE46" i="6"/>
  <c r="CD46" i="6"/>
  <c r="CC46" i="6"/>
  <c r="CB46" i="6"/>
  <c r="CA46" i="6"/>
  <c r="BZ46" i="6"/>
  <c r="BY46" i="6"/>
  <c r="BX46" i="6"/>
  <c r="BW46" i="6"/>
  <c r="BV46" i="6"/>
  <c r="BU46" i="6"/>
  <c r="BT46" i="6"/>
  <c r="BS46" i="6"/>
  <c r="BR46" i="6"/>
  <c r="BQ46" i="6"/>
  <c r="BP46" i="6"/>
  <c r="BO46" i="6"/>
  <c r="BN46" i="6"/>
  <c r="BM46" i="6"/>
  <c r="BL46" i="6"/>
  <c r="BK46" i="6"/>
  <c r="BJ46" i="6"/>
  <c r="BI46" i="6"/>
  <c r="BH46" i="6"/>
  <c r="BG46" i="6"/>
  <c r="BF46" i="6"/>
  <c r="BE46" i="6"/>
  <c r="BD46" i="6"/>
  <c r="BC46" i="6"/>
  <c r="BB46" i="6"/>
  <c r="BA46" i="6"/>
  <c r="AZ46" i="6"/>
  <c r="AY46" i="6"/>
  <c r="AX46" i="6"/>
  <c r="AW46" i="6"/>
  <c r="AV46" i="6"/>
  <c r="AU46" i="6"/>
  <c r="AT46" i="6"/>
  <c r="AS46" i="6"/>
  <c r="AR46" i="6"/>
  <c r="AQ46" i="6"/>
  <c r="AP46" i="6"/>
  <c r="AO46" i="6"/>
  <c r="AN46" i="6"/>
  <c r="AM46" i="6"/>
  <c r="AL46" i="6"/>
  <c r="AK46" i="6"/>
  <c r="AJ46" i="6"/>
  <c r="AI46" i="6"/>
  <c r="AH46" i="6"/>
  <c r="AG46" i="6"/>
  <c r="AF46" i="6"/>
  <c r="AE46" i="6"/>
  <c r="AD46" i="6"/>
  <c r="AC46" i="6"/>
  <c r="AB46" i="6"/>
  <c r="AA46" i="6"/>
  <c r="Z46" i="6"/>
  <c r="Y46" i="6"/>
  <c r="X46" i="6"/>
  <c r="W46" i="6"/>
  <c r="V46" i="6"/>
  <c r="U46" i="6"/>
  <c r="T46" i="6"/>
  <c r="S46" i="6"/>
  <c r="R46" i="6"/>
  <c r="Q46" i="6"/>
  <c r="P46" i="6"/>
  <c r="O46" i="6"/>
  <c r="N46" i="6"/>
  <c r="M46" i="6"/>
  <c r="L46" i="6"/>
  <c r="K46" i="6"/>
  <c r="J46" i="6"/>
  <c r="I46" i="6"/>
  <c r="H46" i="6"/>
  <c r="G46" i="6"/>
  <c r="F46" i="6"/>
  <c r="E46" i="6"/>
  <c r="D46" i="6"/>
  <c r="C46" i="6"/>
  <c r="B46" i="6"/>
  <c r="CJ45" i="6"/>
  <c r="CI45" i="6"/>
  <c r="CH45" i="6"/>
  <c r="CG45" i="6"/>
  <c r="CF45" i="6"/>
  <c r="CE45" i="6"/>
  <c r="CD45" i="6"/>
  <c r="CC45" i="6"/>
  <c r="CB45" i="6"/>
  <c r="CA45" i="6"/>
  <c r="BZ45" i="6"/>
  <c r="BY45" i="6"/>
  <c r="BX45" i="6"/>
  <c r="BW45" i="6"/>
  <c r="BV45" i="6"/>
  <c r="BU45" i="6"/>
  <c r="BT45" i="6"/>
  <c r="BS45" i="6"/>
  <c r="BR45" i="6"/>
  <c r="BQ45" i="6"/>
  <c r="BP45" i="6"/>
  <c r="BO45" i="6"/>
  <c r="BN45" i="6"/>
  <c r="BM45" i="6"/>
  <c r="BL45" i="6"/>
  <c r="BK45" i="6"/>
  <c r="BJ45" i="6"/>
  <c r="BI45" i="6"/>
  <c r="BH45" i="6"/>
  <c r="BG45" i="6"/>
  <c r="BF45" i="6"/>
  <c r="BE45" i="6"/>
  <c r="BD45" i="6"/>
  <c r="BC45" i="6"/>
  <c r="BB45" i="6"/>
  <c r="BA45" i="6"/>
  <c r="AZ45" i="6"/>
  <c r="AY45" i="6"/>
  <c r="AX45" i="6"/>
  <c r="AW45" i="6"/>
  <c r="AV45" i="6"/>
  <c r="AU45" i="6"/>
  <c r="AT45" i="6"/>
  <c r="AS45" i="6"/>
  <c r="AR45" i="6"/>
  <c r="AQ45" i="6"/>
  <c r="AP45" i="6"/>
  <c r="AO45" i="6"/>
  <c r="AN45" i="6"/>
  <c r="AM45" i="6"/>
  <c r="AL45" i="6"/>
  <c r="AK45" i="6"/>
  <c r="AJ45" i="6"/>
  <c r="AI45" i="6"/>
  <c r="AH45" i="6"/>
  <c r="AG45" i="6"/>
  <c r="AF45" i="6"/>
  <c r="AE45" i="6"/>
  <c r="AD45" i="6"/>
  <c r="AC45" i="6"/>
  <c r="AB45" i="6"/>
  <c r="AA45" i="6"/>
  <c r="Z45" i="6"/>
  <c r="Y45" i="6"/>
  <c r="X45" i="6"/>
  <c r="W45" i="6"/>
  <c r="V45" i="6"/>
  <c r="U45" i="6"/>
  <c r="T45" i="6"/>
  <c r="S45" i="6"/>
  <c r="R45" i="6"/>
  <c r="Q45" i="6"/>
  <c r="P45" i="6"/>
  <c r="O45" i="6"/>
  <c r="N45" i="6"/>
  <c r="M45" i="6"/>
  <c r="L45" i="6"/>
  <c r="K45" i="6"/>
  <c r="J45" i="6"/>
  <c r="I45" i="6"/>
  <c r="H45" i="6"/>
  <c r="G45" i="6"/>
  <c r="F45" i="6"/>
  <c r="E45" i="6"/>
  <c r="D45" i="6"/>
  <c r="C45" i="6"/>
  <c r="B45" i="6"/>
  <c r="CK42" i="6"/>
  <c r="CK43" i="6" s="1"/>
  <c r="CJ40" i="6"/>
  <c r="CI40" i="6"/>
  <c r="CH40" i="6"/>
  <c r="CG40" i="6"/>
  <c r="CF40" i="6"/>
  <c r="CE40" i="6"/>
  <c r="CD40" i="6"/>
  <c r="CC40" i="6"/>
  <c r="CB40" i="6"/>
  <c r="CA40" i="6"/>
  <c r="BZ40" i="6"/>
  <c r="BY40" i="6"/>
  <c r="BX40" i="6"/>
  <c r="BW40" i="6"/>
  <c r="BV40" i="6"/>
  <c r="BU40" i="6"/>
  <c r="BT40" i="6"/>
  <c r="BS40" i="6"/>
  <c r="BR40" i="6"/>
  <c r="BQ40" i="6"/>
  <c r="BP40" i="6"/>
  <c r="BO40" i="6"/>
  <c r="BN40" i="6"/>
  <c r="BM40" i="6"/>
  <c r="BL40" i="6"/>
  <c r="BK40" i="6"/>
  <c r="BJ40" i="6"/>
  <c r="BI40" i="6"/>
  <c r="BH40" i="6"/>
  <c r="BG40" i="6"/>
  <c r="BF40" i="6"/>
  <c r="BE40" i="6"/>
  <c r="BD40" i="6"/>
  <c r="BC40" i="6"/>
  <c r="BB40" i="6"/>
  <c r="BA40" i="6"/>
  <c r="AZ40" i="6"/>
  <c r="AY40" i="6"/>
  <c r="AX40" i="6"/>
  <c r="AW40" i="6"/>
  <c r="AV40" i="6"/>
  <c r="AU40" i="6"/>
  <c r="AT40" i="6"/>
  <c r="AS40" i="6"/>
  <c r="AR40" i="6"/>
  <c r="AQ40" i="6"/>
  <c r="AP40" i="6"/>
  <c r="AO40" i="6"/>
  <c r="AN40" i="6"/>
  <c r="AM40" i="6"/>
  <c r="AL40" i="6"/>
  <c r="AK40" i="6"/>
  <c r="AJ40" i="6"/>
  <c r="AI40" i="6"/>
  <c r="AH40" i="6"/>
  <c r="AG40" i="6"/>
  <c r="AF40" i="6"/>
  <c r="AE40" i="6"/>
  <c r="AD40" i="6"/>
  <c r="AC40" i="6"/>
  <c r="AC62" i="10" s="1"/>
  <c r="AB40" i="6"/>
  <c r="AB62" i="10" s="1"/>
  <c r="AA40" i="6"/>
  <c r="AA62" i="10" s="1"/>
  <c r="Z40" i="6"/>
  <c r="Z62" i="10" s="1"/>
  <c r="Y40" i="6"/>
  <c r="Y62" i="10" s="1"/>
  <c r="X40" i="6"/>
  <c r="X62" i="10" s="1"/>
  <c r="W40" i="6"/>
  <c r="W62" i="10" s="1"/>
  <c r="V40" i="6"/>
  <c r="V62" i="10" s="1"/>
  <c r="U40" i="6"/>
  <c r="U62" i="10" s="1"/>
  <c r="T40" i="6"/>
  <c r="T62" i="10" s="1"/>
  <c r="S40" i="6"/>
  <c r="S62" i="10" s="1"/>
  <c r="R40" i="6"/>
  <c r="R62" i="10" s="1"/>
  <c r="Q40" i="6"/>
  <c r="Q62" i="10" s="1"/>
  <c r="P40" i="6"/>
  <c r="P62" i="10" s="1"/>
  <c r="O40" i="6"/>
  <c r="O62" i="10" s="1"/>
  <c r="N40" i="6"/>
  <c r="N62" i="10" s="1"/>
  <c r="M40" i="6"/>
  <c r="M62" i="10" s="1"/>
  <c r="L40" i="6"/>
  <c r="L62" i="10" s="1"/>
  <c r="K40" i="6"/>
  <c r="K62" i="10" s="1"/>
  <c r="J40" i="6"/>
  <c r="J62" i="10" s="1"/>
  <c r="I40" i="6"/>
  <c r="I62" i="10" s="1"/>
  <c r="H40" i="6"/>
  <c r="H62" i="10" s="1"/>
  <c r="G40" i="6"/>
  <c r="G62" i="10" s="1"/>
  <c r="F40" i="6"/>
  <c r="F62" i="10" s="1"/>
  <c r="E40" i="6"/>
  <c r="E62" i="10" s="1"/>
  <c r="D40" i="6"/>
  <c r="C40" i="6"/>
  <c r="B40" i="6"/>
  <c r="CG35" i="6"/>
  <c r="CE35" i="6"/>
  <c r="BY35" i="6"/>
  <c r="BW35" i="6"/>
  <c r="B35" i="6"/>
  <c r="CK29" i="6"/>
  <c r="CK25" i="6"/>
  <c r="CJ25" i="6"/>
  <c r="CI25" i="6"/>
  <c r="CH25" i="6"/>
  <c r="CG25" i="6"/>
  <c r="CF25" i="6"/>
  <c r="CE25" i="6"/>
  <c r="CD25" i="6"/>
  <c r="CC25" i="6"/>
  <c r="CB25" i="6"/>
  <c r="CA25" i="6"/>
  <c r="BZ25" i="6"/>
  <c r="BY25" i="6"/>
  <c r="BX25" i="6"/>
  <c r="BW25" i="6"/>
  <c r="BV25" i="6"/>
  <c r="BU25" i="6"/>
  <c r="BT25" i="6"/>
  <c r="BS25" i="6"/>
  <c r="BR25" i="6"/>
  <c r="BQ25" i="6"/>
  <c r="BP25" i="6"/>
  <c r="BO25" i="6"/>
  <c r="BN25" i="6"/>
  <c r="BM25" i="6"/>
  <c r="BL25" i="6"/>
  <c r="BK25" i="6"/>
  <c r="BJ25" i="6"/>
  <c r="BI25" i="6"/>
  <c r="BH25" i="6"/>
  <c r="BG25" i="6"/>
  <c r="BF25" i="6"/>
  <c r="BE25" i="6"/>
  <c r="BD25" i="6"/>
  <c r="BC25" i="6"/>
  <c r="BB25" i="6"/>
  <c r="BA25" i="6"/>
  <c r="AZ25" i="6"/>
  <c r="AY25" i="6"/>
  <c r="AX25" i="6"/>
  <c r="AW25" i="6"/>
  <c r="AV25" i="6"/>
  <c r="AU25" i="6"/>
  <c r="AT25" i="6"/>
  <c r="AS25" i="6"/>
  <c r="AR25" i="6"/>
  <c r="AQ25" i="6"/>
  <c r="AP25" i="6"/>
  <c r="AO25" i="6"/>
  <c r="AN25" i="6"/>
  <c r="AM25" i="6"/>
  <c r="AL25" i="6"/>
  <c r="AK25" i="6"/>
  <c r="AJ25" i="6"/>
  <c r="AI25" i="6"/>
  <c r="AH25" i="6"/>
  <c r="AG25" i="6"/>
  <c r="AF25" i="6"/>
  <c r="AE25" i="6"/>
  <c r="AD25" i="6"/>
  <c r="AC25" i="6"/>
  <c r="AB25" i="6"/>
  <c r="AA25" i="6"/>
  <c r="Z25" i="6"/>
  <c r="Y25" i="6"/>
  <c r="X25" i="6"/>
  <c r="W25" i="6"/>
  <c r="V25" i="6"/>
  <c r="U25" i="6"/>
  <c r="T25" i="6"/>
  <c r="S25" i="6"/>
  <c r="R25" i="6"/>
  <c r="Q25" i="6"/>
  <c r="P25" i="6"/>
  <c r="O25" i="6"/>
  <c r="N25" i="6"/>
  <c r="M25" i="6"/>
  <c r="L25" i="6"/>
  <c r="K25" i="6"/>
  <c r="J25" i="6"/>
  <c r="I25" i="6"/>
  <c r="H25" i="6"/>
  <c r="G25" i="6"/>
  <c r="F25" i="6"/>
  <c r="E25" i="6"/>
  <c r="D25" i="6"/>
  <c r="C25" i="6"/>
  <c r="B25" i="6"/>
  <c r="CJ24" i="6"/>
  <c r="CG24" i="6"/>
  <c r="CF24" i="6"/>
  <c r="CB24" i="6"/>
  <c r="BV24" i="6"/>
  <c r="BT24" i="6"/>
  <c r="BL24" i="6"/>
  <c r="BD24" i="6"/>
  <c r="AX24" i="6"/>
  <c r="AV24" i="6"/>
  <c r="AN24" i="6"/>
  <c r="AF24" i="6"/>
  <c r="Z24" i="6"/>
  <c r="H24" i="6"/>
  <c r="CK23" i="6"/>
  <c r="CJ23" i="6"/>
  <c r="CJ35" i="6" s="1"/>
  <c r="CI23" i="6"/>
  <c r="CI35" i="6" s="1"/>
  <c r="CH23" i="6"/>
  <c r="CH35" i="6" s="1"/>
  <c r="CG23" i="6"/>
  <c r="CF23" i="6"/>
  <c r="CF35" i="6" s="1"/>
  <c r="CE23" i="6"/>
  <c r="CD23" i="6"/>
  <c r="CD35" i="6" s="1"/>
  <c r="CC23" i="6"/>
  <c r="CC35" i="6" s="1"/>
  <c r="CB23" i="6"/>
  <c r="CB35" i="6" s="1"/>
  <c r="CA23" i="6"/>
  <c r="CA35" i="6" s="1"/>
  <c r="BZ23" i="6"/>
  <c r="BZ35" i="6" s="1"/>
  <c r="BY23" i="6"/>
  <c r="BX23" i="6"/>
  <c r="BW23" i="6"/>
  <c r="BV23" i="6"/>
  <c r="BV35" i="6" s="1"/>
  <c r="BU23" i="6"/>
  <c r="BU35" i="6" s="1"/>
  <c r="BT23" i="6"/>
  <c r="BT35" i="6" s="1"/>
  <c r="BS23" i="6"/>
  <c r="BS35" i="6" s="1"/>
  <c r="BR23" i="6"/>
  <c r="BR35" i="6" s="1"/>
  <c r="BQ23" i="6"/>
  <c r="BQ35" i="6" s="1"/>
  <c r="BP23" i="6"/>
  <c r="BO23" i="6"/>
  <c r="BN23" i="6"/>
  <c r="BN35" i="6" s="1"/>
  <c r="BM23" i="6"/>
  <c r="BM35" i="6" s="1"/>
  <c r="BL23" i="6"/>
  <c r="BL35" i="6" s="1"/>
  <c r="BK23" i="6"/>
  <c r="BK35" i="6" s="1"/>
  <c r="BJ23" i="6"/>
  <c r="BJ35" i="6" s="1"/>
  <c r="BI23" i="6"/>
  <c r="BI35" i="6" s="1"/>
  <c r="BH23" i="6"/>
  <c r="BG23" i="6"/>
  <c r="BF23" i="6"/>
  <c r="BF35" i="6" s="1"/>
  <c r="BE23" i="6"/>
  <c r="BE35" i="6" s="1"/>
  <c r="BD23" i="6"/>
  <c r="BD35" i="6" s="1"/>
  <c r="BC23" i="6"/>
  <c r="BC35" i="6" s="1"/>
  <c r="BB23" i="6"/>
  <c r="BB35" i="6" s="1"/>
  <c r="BA23" i="6"/>
  <c r="BA35" i="6" s="1"/>
  <c r="AZ23" i="6"/>
  <c r="AZ35" i="6" s="1"/>
  <c r="AY23" i="6"/>
  <c r="AX23" i="6"/>
  <c r="AX35" i="6" s="1"/>
  <c r="AW23" i="6"/>
  <c r="AW35" i="6" s="1"/>
  <c r="AV23" i="6"/>
  <c r="AV35" i="6" s="1"/>
  <c r="AU23" i="6"/>
  <c r="AU35" i="6" s="1"/>
  <c r="AT23" i="6"/>
  <c r="AT35" i="6" s="1"/>
  <c r="AS23" i="6"/>
  <c r="AS35" i="6" s="1"/>
  <c r="AR23" i="6"/>
  <c r="AR35" i="6" s="1"/>
  <c r="AQ23" i="6"/>
  <c r="AQ35" i="6" s="1"/>
  <c r="AP23" i="6"/>
  <c r="AP35" i="6" s="1"/>
  <c r="AO23" i="6"/>
  <c r="AO35" i="6" s="1"/>
  <c r="AN23" i="6"/>
  <c r="AN35" i="6" s="1"/>
  <c r="AM23" i="6"/>
  <c r="AM35" i="6" s="1"/>
  <c r="AL23" i="6"/>
  <c r="AL35" i="6" s="1"/>
  <c r="AK23" i="6"/>
  <c r="AK35" i="6" s="1"/>
  <c r="AJ23" i="6"/>
  <c r="AJ35" i="6" s="1"/>
  <c r="AI23" i="6"/>
  <c r="AI35" i="6" s="1"/>
  <c r="AH23" i="6"/>
  <c r="AH35" i="6" s="1"/>
  <c r="AG23" i="6"/>
  <c r="AG35" i="6" s="1"/>
  <c r="AF23" i="6"/>
  <c r="AF35" i="6" s="1"/>
  <c r="AE23" i="6"/>
  <c r="AE35" i="6" s="1"/>
  <c r="AD23" i="6"/>
  <c r="AD35" i="6" s="1"/>
  <c r="AC23" i="6"/>
  <c r="AC35" i="6" s="1"/>
  <c r="AB23" i="6"/>
  <c r="AB35" i="6" s="1"/>
  <c r="AA23" i="6"/>
  <c r="AA35" i="6" s="1"/>
  <c r="Z23" i="6"/>
  <c r="Z35" i="6" s="1"/>
  <c r="Y23" i="6"/>
  <c r="Y35" i="6" s="1"/>
  <c r="X23" i="6"/>
  <c r="X35" i="6" s="1"/>
  <c r="W23" i="6"/>
  <c r="W35" i="6" s="1"/>
  <c r="V23" i="6"/>
  <c r="V35" i="6" s="1"/>
  <c r="U23" i="6"/>
  <c r="U35" i="6" s="1"/>
  <c r="T23" i="6"/>
  <c r="T35" i="6" s="1"/>
  <c r="S23" i="6"/>
  <c r="S35" i="6" s="1"/>
  <c r="R23" i="6"/>
  <c r="R35" i="6" s="1"/>
  <c r="Q23" i="6"/>
  <c r="Q35" i="6" s="1"/>
  <c r="P23" i="6"/>
  <c r="P35" i="6" s="1"/>
  <c r="O23" i="6"/>
  <c r="O35" i="6" s="1"/>
  <c r="N23" i="6"/>
  <c r="N35" i="6" s="1"/>
  <c r="M23" i="6"/>
  <c r="M35" i="6" s="1"/>
  <c r="L23" i="6"/>
  <c r="L35" i="6" s="1"/>
  <c r="K23" i="6"/>
  <c r="K35" i="6" s="1"/>
  <c r="J23" i="6"/>
  <c r="J35" i="6" s="1"/>
  <c r="I23" i="6"/>
  <c r="I35" i="6" s="1"/>
  <c r="H23" i="6"/>
  <c r="H35" i="6" s="1"/>
  <c r="G23" i="6"/>
  <c r="G35" i="6" s="1"/>
  <c r="F23" i="6"/>
  <c r="F35" i="6" s="1"/>
  <c r="E23" i="6"/>
  <c r="E35" i="6" s="1"/>
  <c r="D23" i="6"/>
  <c r="D35" i="6" s="1"/>
  <c r="C23" i="6"/>
  <c r="C35" i="6" s="1"/>
  <c r="B23" i="6"/>
  <c r="CK16" i="6"/>
  <c r="CJ12" i="6"/>
  <c r="CJ18" i="10" s="1"/>
  <c r="CI12" i="6"/>
  <c r="CI18" i="10" s="1"/>
  <c r="CH12" i="6"/>
  <c r="CH18" i="10" s="1"/>
  <c r="CG12" i="6"/>
  <c r="CG18" i="10" s="1"/>
  <c r="CF12" i="6"/>
  <c r="CF18" i="10" s="1"/>
  <c r="CE12" i="6"/>
  <c r="CE18" i="10" s="1"/>
  <c r="CD12" i="6"/>
  <c r="CD18" i="10" s="1"/>
  <c r="CC12" i="6"/>
  <c r="CC18" i="10" s="1"/>
  <c r="CB12" i="6"/>
  <c r="CB18" i="10" s="1"/>
  <c r="CA12" i="6"/>
  <c r="CA18" i="10" s="1"/>
  <c r="BZ12" i="6"/>
  <c r="BZ18" i="10" s="1"/>
  <c r="BY12" i="6"/>
  <c r="BY18" i="10" s="1"/>
  <c r="BX12" i="6"/>
  <c r="BX18" i="10" s="1"/>
  <c r="BW12" i="6"/>
  <c r="BW18" i="10" s="1"/>
  <c r="BV12" i="6"/>
  <c r="BV18" i="10" s="1"/>
  <c r="BU12" i="6"/>
  <c r="BU18" i="10" s="1"/>
  <c r="BT12" i="6"/>
  <c r="BT18" i="10" s="1"/>
  <c r="BS12" i="6"/>
  <c r="BS18" i="10" s="1"/>
  <c r="BR12" i="6"/>
  <c r="BR18" i="10" s="1"/>
  <c r="BQ12" i="6"/>
  <c r="BQ18" i="10" s="1"/>
  <c r="BP12" i="6"/>
  <c r="BP18" i="10" s="1"/>
  <c r="BO12" i="6"/>
  <c r="BO18" i="10" s="1"/>
  <c r="BN12" i="6"/>
  <c r="BN18" i="10" s="1"/>
  <c r="BM12" i="6"/>
  <c r="BM18" i="10" s="1"/>
  <c r="BL12" i="6"/>
  <c r="BL18" i="10" s="1"/>
  <c r="BK12" i="6"/>
  <c r="BK18" i="10" s="1"/>
  <c r="BJ12" i="6"/>
  <c r="BJ18" i="10" s="1"/>
  <c r="BI12" i="6"/>
  <c r="BI18" i="10" s="1"/>
  <c r="BH12" i="6"/>
  <c r="BH18" i="10" s="1"/>
  <c r="BG12" i="6"/>
  <c r="BG18" i="10" s="1"/>
  <c r="BF12" i="6"/>
  <c r="BF18" i="10" s="1"/>
  <c r="BE12" i="6"/>
  <c r="BE18" i="10" s="1"/>
  <c r="BD12" i="6"/>
  <c r="BD18" i="10" s="1"/>
  <c r="BC12" i="6"/>
  <c r="BC18" i="10" s="1"/>
  <c r="BB12" i="6"/>
  <c r="BB18" i="10" s="1"/>
  <c r="BA12" i="6"/>
  <c r="BA18" i="10" s="1"/>
  <c r="AZ12" i="6"/>
  <c r="AZ18" i="10" s="1"/>
  <c r="AY12" i="6"/>
  <c r="AY18" i="10" s="1"/>
  <c r="AX12" i="6"/>
  <c r="AX18" i="10" s="1"/>
  <c r="AW12" i="6"/>
  <c r="AW18" i="10" s="1"/>
  <c r="AV12" i="6"/>
  <c r="AV18" i="10" s="1"/>
  <c r="AU12" i="6"/>
  <c r="AU18" i="10" s="1"/>
  <c r="AT12" i="6"/>
  <c r="AT18" i="10" s="1"/>
  <c r="AS12" i="6"/>
  <c r="AS18" i="10" s="1"/>
  <c r="AR12" i="6"/>
  <c r="AR18" i="10" s="1"/>
  <c r="AQ12" i="6"/>
  <c r="AQ18" i="10" s="1"/>
  <c r="AP12" i="6"/>
  <c r="AP18" i="10" s="1"/>
  <c r="AO12" i="6"/>
  <c r="AO18" i="10" s="1"/>
  <c r="AN12" i="6"/>
  <c r="AN18" i="10" s="1"/>
  <c r="AM12" i="6"/>
  <c r="AM18" i="10" s="1"/>
  <c r="AL12" i="6"/>
  <c r="AL18" i="10" s="1"/>
  <c r="AK12" i="6"/>
  <c r="AK18" i="10" s="1"/>
  <c r="AJ12" i="6"/>
  <c r="AJ18" i="10" s="1"/>
  <c r="AI12" i="6"/>
  <c r="AI18" i="10" s="1"/>
  <c r="AH12" i="6"/>
  <c r="AH18" i="10" s="1"/>
  <c r="AG12" i="6"/>
  <c r="AG18" i="10" s="1"/>
  <c r="AF12" i="6"/>
  <c r="AF18" i="10" s="1"/>
  <c r="AE12" i="6"/>
  <c r="AE18" i="10" s="1"/>
  <c r="AD12" i="6"/>
  <c r="AD18" i="10" s="1"/>
  <c r="AC12" i="6"/>
  <c r="AC18" i="10" s="1"/>
  <c r="AB12" i="6"/>
  <c r="AB18" i="10" s="1"/>
  <c r="AA12" i="6"/>
  <c r="AA18" i="10" s="1"/>
  <c r="Z12" i="6"/>
  <c r="Z18" i="10" s="1"/>
  <c r="Y12" i="6"/>
  <c r="Y18" i="10" s="1"/>
  <c r="X12" i="6"/>
  <c r="X18" i="10" s="1"/>
  <c r="W12" i="6"/>
  <c r="W18" i="10" s="1"/>
  <c r="V12" i="6"/>
  <c r="V18" i="10" s="1"/>
  <c r="U12" i="6"/>
  <c r="U18" i="10" s="1"/>
  <c r="T12" i="6"/>
  <c r="T18" i="10" s="1"/>
  <c r="S12" i="6"/>
  <c r="S18" i="10" s="1"/>
  <c r="R12" i="6"/>
  <c r="R18" i="10" s="1"/>
  <c r="Q12" i="6"/>
  <c r="Q18" i="10" s="1"/>
  <c r="P12" i="6"/>
  <c r="P18" i="10" s="1"/>
  <c r="O12" i="6"/>
  <c r="O18" i="10" s="1"/>
  <c r="N12" i="6"/>
  <c r="N18" i="10" s="1"/>
  <c r="M12" i="6"/>
  <c r="M18" i="10" s="1"/>
  <c r="L12" i="6"/>
  <c r="L18" i="10" s="1"/>
  <c r="K12" i="6"/>
  <c r="K18" i="10" s="1"/>
  <c r="J12" i="6"/>
  <c r="J18" i="10" s="1"/>
  <c r="I12" i="6"/>
  <c r="I18" i="10" s="1"/>
  <c r="H12" i="6"/>
  <c r="H18" i="10" s="1"/>
  <c r="G12" i="6"/>
  <c r="G18" i="10" s="1"/>
  <c r="F12" i="6"/>
  <c r="F18" i="10" s="1"/>
  <c r="E12" i="6"/>
  <c r="E18" i="10" s="1"/>
  <c r="D12" i="6"/>
  <c r="C12" i="6"/>
  <c r="B12" i="6"/>
  <c r="CK6" i="6"/>
  <c r="CJ6" i="6"/>
  <c r="CI6" i="6"/>
  <c r="CH6" i="6"/>
  <c r="CG6" i="6"/>
  <c r="CF6" i="6"/>
  <c r="CE6" i="6"/>
  <c r="CD6" i="6"/>
  <c r="CC6" i="6"/>
  <c r="CB6" i="6"/>
  <c r="CA6" i="6"/>
  <c r="BZ6" i="6"/>
  <c r="BZ15" i="6" s="1"/>
  <c r="BZ20" i="11" s="1"/>
  <c r="BZ21" i="11" s="1"/>
  <c r="BY6" i="6"/>
  <c r="BX6" i="6"/>
  <c r="BW6" i="6"/>
  <c r="BV6" i="6"/>
  <c r="BU6" i="6"/>
  <c r="BT6" i="6"/>
  <c r="BS6" i="6"/>
  <c r="BR6" i="6"/>
  <c r="BR15" i="6" s="1"/>
  <c r="BR20" i="11" s="1"/>
  <c r="BR21" i="11" s="1"/>
  <c r="BQ6" i="6"/>
  <c r="BP6" i="6"/>
  <c r="BO6" i="6"/>
  <c r="BN6" i="6"/>
  <c r="BM6" i="6"/>
  <c r="BL6" i="6"/>
  <c r="BK6" i="6"/>
  <c r="BJ6" i="6"/>
  <c r="BJ15" i="6" s="1"/>
  <c r="BJ20" i="11" s="1"/>
  <c r="BJ21" i="11" s="1"/>
  <c r="BI6" i="6"/>
  <c r="BH6" i="6"/>
  <c r="BG6" i="6"/>
  <c r="BF6" i="6"/>
  <c r="BE6" i="6"/>
  <c r="BD6" i="6"/>
  <c r="BC6" i="6"/>
  <c r="BB6" i="6"/>
  <c r="BB15" i="6" s="1"/>
  <c r="BB20" i="11" s="1"/>
  <c r="BB21" i="11" s="1"/>
  <c r="BA6" i="6"/>
  <c r="AZ6" i="6"/>
  <c r="AY6" i="6"/>
  <c r="AX6" i="6"/>
  <c r="AW6" i="6"/>
  <c r="AV6" i="6"/>
  <c r="AU6" i="6"/>
  <c r="AT6" i="6"/>
  <c r="AS6" i="6"/>
  <c r="AR6" i="6"/>
  <c r="AQ6" i="6"/>
  <c r="AP6" i="6"/>
  <c r="AO6" i="6"/>
  <c r="AN6" i="6"/>
  <c r="AM6" i="6"/>
  <c r="AL6" i="6"/>
  <c r="AK6" i="6"/>
  <c r="AJ6" i="6"/>
  <c r="AI6" i="6"/>
  <c r="AH6" i="6"/>
  <c r="AG6" i="6"/>
  <c r="AF6" i="6"/>
  <c r="AE6" i="6"/>
  <c r="AD6" i="6"/>
  <c r="AC6" i="6"/>
  <c r="AB6" i="6"/>
  <c r="AA6" i="6"/>
  <c r="Z6" i="6"/>
  <c r="Y6" i="6"/>
  <c r="X6" i="6"/>
  <c r="W6" i="6"/>
  <c r="V6" i="6"/>
  <c r="U6" i="6"/>
  <c r="T6" i="6"/>
  <c r="S6" i="6"/>
  <c r="R6" i="6"/>
  <c r="Q6" i="6"/>
  <c r="P6" i="6"/>
  <c r="O6" i="6"/>
  <c r="N6" i="6"/>
  <c r="M6" i="6"/>
  <c r="L6" i="6"/>
  <c r="K6" i="6"/>
  <c r="J6" i="6"/>
  <c r="I6" i="6"/>
  <c r="H6" i="6"/>
  <c r="G6" i="6"/>
  <c r="F6" i="6"/>
  <c r="E6" i="6"/>
  <c r="D6" i="6"/>
  <c r="D7" i="6" s="1"/>
  <c r="C6" i="6"/>
  <c r="C7" i="6" s="1"/>
  <c r="B6" i="6"/>
  <c r="B7" i="6" s="1"/>
  <c r="CL107" i="5"/>
  <c r="CK107" i="5"/>
  <c r="CK3" i="11" s="1"/>
  <c r="CJ107" i="5"/>
  <c r="CJ3" i="11" s="1"/>
  <c r="CI107" i="5"/>
  <c r="CI3" i="11" s="1"/>
  <c r="CH107" i="5"/>
  <c r="CH3" i="11" s="1"/>
  <c r="CG107" i="5"/>
  <c r="CG3" i="11" s="1"/>
  <c r="CF107" i="5"/>
  <c r="CF3" i="11" s="1"/>
  <c r="CE107" i="5"/>
  <c r="CE3" i="11" s="1"/>
  <c r="CD107" i="5"/>
  <c r="CD3" i="11" s="1"/>
  <c r="CC107" i="5"/>
  <c r="CC3" i="11" s="1"/>
  <c r="CB107" i="5"/>
  <c r="CB3" i="11" s="1"/>
  <c r="CA107" i="5"/>
  <c r="CA3" i="11" s="1"/>
  <c r="BZ107" i="5"/>
  <c r="BZ3" i="11" s="1"/>
  <c r="BY107" i="5"/>
  <c r="BY3" i="11" s="1"/>
  <c r="BX107" i="5"/>
  <c r="BX3" i="11" s="1"/>
  <c r="BW107" i="5"/>
  <c r="BW3" i="11" s="1"/>
  <c r="BV107" i="5"/>
  <c r="BV3" i="11" s="1"/>
  <c r="BU107" i="5"/>
  <c r="BU8" i="8" s="1"/>
  <c r="BT107" i="5"/>
  <c r="BT8" i="8" s="1"/>
  <c r="BS107" i="5"/>
  <c r="BS8" i="8" s="1"/>
  <c r="BR107" i="5"/>
  <c r="BR8" i="8" s="1"/>
  <c r="BQ107" i="5"/>
  <c r="BQ3" i="11" s="1"/>
  <c r="BP107" i="5"/>
  <c r="BP3" i="11" s="1"/>
  <c r="BO107" i="5"/>
  <c r="BO3" i="11" s="1"/>
  <c r="BN107" i="5"/>
  <c r="BN3" i="11" s="1"/>
  <c r="BM107" i="5"/>
  <c r="BM8" i="8" s="1"/>
  <c r="BL107" i="5"/>
  <c r="BL8" i="8" s="1"/>
  <c r="BK107" i="5"/>
  <c r="BK8" i="8" s="1"/>
  <c r="BJ107" i="5"/>
  <c r="BJ8" i="8" s="1"/>
  <c r="BI107" i="5"/>
  <c r="BI3" i="11" s="1"/>
  <c r="BH107" i="5"/>
  <c r="BH3" i="11" s="1"/>
  <c r="BG107" i="5"/>
  <c r="BG3" i="11" s="1"/>
  <c r="BF107" i="5"/>
  <c r="BF3" i="11" s="1"/>
  <c r="BE107" i="5"/>
  <c r="BE8" i="8" s="1"/>
  <c r="BD107" i="5"/>
  <c r="BD8" i="8" s="1"/>
  <c r="BC107" i="5"/>
  <c r="BC8" i="8" s="1"/>
  <c r="BB107" i="5"/>
  <c r="BB8" i="8" s="1"/>
  <c r="BA107" i="5"/>
  <c r="BA3" i="11" s="1"/>
  <c r="AZ107" i="5"/>
  <c r="AZ3" i="11" s="1"/>
  <c r="AY107" i="5"/>
  <c r="AY3" i="11" s="1"/>
  <c r="AX107" i="5"/>
  <c r="AX3" i="11" s="1"/>
  <c r="AW107" i="5"/>
  <c r="AW8" i="8" s="1"/>
  <c r="AV107" i="5"/>
  <c r="AV8" i="8" s="1"/>
  <c r="AU107" i="5"/>
  <c r="AU8" i="8" s="1"/>
  <c r="AT107" i="5"/>
  <c r="AT8" i="8" s="1"/>
  <c r="AS107" i="5"/>
  <c r="AS3" i="11" s="1"/>
  <c r="AR107" i="5"/>
  <c r="AR3" i="11" s="1"/>
  <c r="AQ107" i="5"/>
  <c r="AQ3" i="11" s="1"/>
  <c r="AP107" i="5"/>
  <c r="AP3" i="11" s="1"/>
  <c r="AO107" i="5"/>
  <c r="AO3" i="11" s="1"/>
  <c r="AN107" i="5"/>
  <c r="AN3" i="11" s="1"/>
  <c r="AM107" i="5"/>
  <c r="AM3" i="11" s="1"/>
  <c r="AL107" i="5"/>
  <c r="AL8" i="8" s="1"/>
  <c r="AK107" i="5"/>
  <c r="AK8" i="8" s="1"/>
  <c r="AJ107" i="5"/>
  <c r="AJ8" i="8" s="1"/>
  <c r="AI107" i="5"/>
  <c r="AI3" i="11" s="1"/>
  <c r="AH107" i="5"/>
  <c r="AH3" i="11" s="1"/>
  <c r="AG107" i="5"/>
  <c r="AG3" i="11" s="1"/>
  <c r="AF107" i="5"/>
  <c r="AF3" i="11" s="1"/>
  <c r="AE107" i="5"/>
  <c r="AE3" i="11" s="1"/>
  <c r="AD107" i="5"/>
  <c r="AD8" i="8" s="1"/>
  <c r="AC107" i="5"/>
  <c r="AC8" i="8" s="1"/>
  <c r="AB107" i="5"/>
  <c r="AB8" i="8" s="1"/>
  <c r="AA107" i="5"/>
  <c r="AA3" i="11" s="1"/>
  <c r="Z107" i="5"/>
  <c r="Z3" i="11" s="1"/>
  <c r="Y107" i="5"/>
  <c r="Y3" i="11" s="1"/>
  <c r="X107" i="5"/>
  <c r="X3" i="11" s="1"/>
  <c r="W107" i="5"/>
  <c r="W3" i="11" s="1"/>
  <c r="V107" i="5"/>
  <c r="V8" i="8" s="1"/>
  <c r="U107" i="5"/>
  <c r="U8" i="8" s="1"/>
  <c r="T107" i="5"/>
  <c r="T8" i="8" s="1"/>
  <c r="S107" i="5"/>
  <c r="S3" i="11" s="1"/>
  <c r="R107" i="5"/>
  <c r="R3" i="11" s="1"/>
  <c r="Q107" i="5"/>
  <c r="Q3" i="11" s="1"/>
  <c r="P107" i="5"/>
  <c r="P3" i="11" s="1"/>
  <c r="O107" i="5"/>
  <c r="O3" i="11" s="1"/>
  <c r="N107" i="5"/>
  <c r="N8" i="8" s="1"/>
  <c r="M107" i="5"/>
  <c r="M8" i="8" s="1"/>
  <c r="L107" i="5"/>
  <c r="L8" i="8" s="1"/>
  <c r="K107" i="5"/>
  <c r="K3" i="11" s="1"/>
  <c r="J107" i="5"/>
  <c r="J3" i="11" s="1"/>
  <c r="I107" i="5"/>
  <c r="I3" i="11" s="1"/>
  <c r="H107" i="5"/>
  <c r="H3" i="11" s="1"/>
  <c r="G107" i="5"/>
  <c r="G3" i="11" s="1"/>
  <c r="F107" i="5"/>
  <c r="F8" i="8" s="1"/>
  <c r="E107" i="5"/>
  <c r="D107" i="5"/>
  <c r="C107" i="5"/>
  <c r="B107" i="5"/>
  <c r="D89" i="5"/>
  <c r="C89" i="5"/>
  <c r="B89" i="5"/>
  <c r="CK81" i="5"/>
  <c r="CK11" i="9" s="1"/>
  <c r="CJ81" i="5"/>
  <c r="CJ11" i="9" s="1"/>
  <c r="CI81" i="5"/>
  <c r="CI11" i="9" s="1"/>
  <c r="CH81" i="5"/>
  <c r="CH11" i="9" s="1"/>
  <c r="CG81" i="5"/>
  <c r="CG11" i="9" s="1"/>
  <c r="CF81" i="5"/>
  <c r="CF11" i="9" s="1"/>
  <c r="CE81" i="5"/>
  <c r="CE11" i="9" s="1"/>
  <c r="CD81" i="5"/>
  <c r="CD11" i="9" s="1"/>
  <c r="CC81" i="5"/>
  <c r="CC11" i="9" s="1"/>
  <c r="CB81" i="5"/>
  <c r="CB11" i="9" s="1"/>
  <c r="CA81" i="5"/>
  <c r="CA11" i="9" s="1"/>
  <c r="BZ81" i="5"/>
  <c r="BZ11" i="9" s="1"/>
  <c r="BY81" i="5"/>
  <c r="BY11" i="9" s="1"/>
  <c r="BX81" i="5"/>
  <c r="BX11" i="9" s="1"/>
  <c r="BW81" i="5"/>
  <c r="BW11" i="9" s="1"/>
  <c r="BV81" i="5"/>
  <c r="BV11" i="9" s="1"/>
  <c r="BU81" i="5"/>
  <c r="BU11" i="9" s="1"/>
  <c r="BT81" i="5"/>
  <c r="BT11" i="9" s="1"/>
  <c r="BS81" i="5"/>
  <c r="BS11" i="9" s="1"/>
  <c r="BR81" i="5"/>
  <c r="BR11" i="9" s="1"/>
  <c r="BQ81" i="5"/>
  <c r="BQ11" i="9" s="1"/>
  <c r="BP81" i="5"/>
  <c r="BP11" i="9" s="1"/>
  <c r="BO81" i="5"/>
  <c r="BO11" i="9" s="1"/>
  <c r="BN81" i="5"/>
  <c r="BN11" i="9" s="1"/>
  <c r="BM81" i="5"/>
  <c r="BM11" i="9" s="1"/>
  <c r="BL81" i="5"/>
  <c r="BL11" i="9" s="1"/>
  <c r="BK81" i="5"/>
  <c r="BK11" i="9" s="1"/>
  <c r="BJ81" i="5"/>
  <c r="BJ11" i="9" s="1"/>
  <c r="BI81" i="5"/>
  <c r="BI11" i="9" s="1"/>
  <c r="BH81" i="5"/>
  <c r="BH11" i="9" s="1"/>
  <c r="BG81" i="5"/>
  <c r="BG11" i="9" s="1"/>
  <c r="BF81" i="5"/>
  <c r="BF11" i="9" s="1"/>
  <c r="BE81" i="5"/>
  <c r="BE11" i="9" s="1"/>
  <c r="BD81" i="5"/>
  <c r="BD11" i="9" s="1"/>
  <c r="BC81" i="5"/>
  <c r="BC11" i="9" s="1"/>
  <c r="BB81" i="5"/>
  <c r="BB11" i="9" s="1"/>
  <c r="BA81" i="5"/>
  <c r="BA11" i="9" s="1"/>
  <c r="AZ81" i="5"/>
  <c r="AZ11" i="9" s="1"/>
  <c r="AY81" i="5"/>
  <c r="AY11" i="9" s="1"/>
  <c r="AX81" i="5"/>
  <c r="AX11" i="9" s="1"/>
  <c r="AW81" i="5"/>
  <c r="AW11" i="9" s="1"/>
  <c r="AV81" i="5"/>
  <c r="AV11" i="9" s="1"/>
  <c r="AU81" i="5"/>
  <c r="AU11" i="9" s="1"/>
  <c r="AT81" i="5"/>
  <c r="AT11" i="9" s="1"/>
  <c r="AS81" i="5"/>
  <c r="AS11" i="9" s="1"/>
  <c r="AR81" i="5"/>
  <c r="AR11" i="9" s="1"/>
  <c r="AQ81" i="5"/>
  <c r="AQ11" i="9" s="1"/>
  <c r="AP81" i="5"/>
  <c r="AP11" i="9" s="1"/>
  <c r="AO81" i="5"/>
  <c r="AO11" i="9" s="1"/>
  <c r="AN81" i="5"/>
  <c r="AN11" i="9" s="1"/>
  <c r="AM81" i="5"/>
  <c r="AM11" i="9" s="1"/>
  <c r="AL81" i="5"/>
  <c r="AL11" i="9" s="1"/>
  <c r="AK81" i="5"/>
  <c r="AK11" i="9" s="1"/>
  <c r="AJ81" i="5"/>
  <c r="AJ11" i="9" s="1"/>
  <c r="AI81" i="5"/>
  <c r="AI11" i="9" s="1"/>
  <c r="AH81" i="5"/>
  <c r="AH11" i="9" s="1"/>
  <c r="AG81" i="5"/>
  <c r="AG11" i="9" s="1"/>
  <c r="AF81" i="5"/>
  <c r="AF11" i="9" s="1"/>
  <c r="AE81" i="5"/>
  <c r="AE11" i="9" s="1"/>
  <c r="AD81" i="5"/>
  <c r="AD11" i="9" s="1"/>
  <c r="AC81" i="5"/>
  <c r="AC11" i="9" s="1"/>
  <c r="AB81" i="5"/>
  <c r="AB11" i="9" s="1"/>
  <c r="AA81" i="5"/>
  <c r="AA11" i="9" s="1"/>
  <c r="Z81" i="5"/>
  <c r="Z11" i="9" s="1"/>
  <c r="Y81" i="5"/>
  <c r="Y11" i="9" s="1"/>
  <c r="X81" i="5"/>
  <c r="X11" i="9" s="1"/>
  <c r="W81" i="5"/>
  <c r="W11" i="9" s="1"/>
  <c r="V81" i="5"/>
  <c r="V11" i="9" s="1"/>
  <c r="U81" i="5"/>
  <c r="U11" i="9" s="1"/>
  <c r="U81" i="9" s="1"/>
  <c r="T81" i="5"/>
  <c r="T11" i="9" s="1"/>
  <c r="T81" i="9" s="1"/>
  <c r="S81" i="5"/>
  <c r="S11" i="9" s="1"/>
  <c r="S81" i="9" s="1"/>
  <c r="R81" i="5"/>
  <c r="R11" i="9" s="1"/>
  <c r="R81" i="9" s="1"/>
  <c r="Q81" i="5"/>
  <c r="Q11" i="9" s="1"/>
  <c r="Q81" i="9" s="1"/>
  <c r="P81" i="5"/>
  <c r="P11" i="9" s="1"/>
  <c r="P81" i="9" s="1"/>
  <c r="O81" i="5"/>
  <c r="O11" i="9" s="1"/>
  <c r="O81" i="9" s="1"/>
  <c r="N81" i="5"/>
  <c r="N11" i="9" s="1"/>
  <c r="N81" i="9" s="1"/>
  <c r="M81" i="5"/>
  <c r="M11" i="9" s="1"/>
  <c r="L81" i="5"/>
  <c r="L11" i="9" s="1"/>
  <c r="K81" i="5"/>
  <c r="K11" i="9" s="1"/>
  <c r="J81" i="5"/>
  <c r="J11" i="9" s="1"/>
  <c r="I81" i="5"/>
  <c r="I11" i="9" s="1"/>
  <c r="H81" i="5"/>
  <c r="H11" i="9" s="1"/>
  <c r="G81" i="5"/>
  <c r="G11" i="9" s="1"/>
  <c r="F81" i="5"/>
  <c r="F11" i="9" s="1"/>
  <c r="E81" i="5"/>
  <c r="E11" i="9" s="1"/>
  <c r="CL72" i="5"/>
  <c r="CK72" i="5"/>
  <c r="CK10" i="9" s="1"/>
  <c r="CJ72" i="5"/>
  <c r="CJ10" i="9" s="1"/>
  <c r="CI72" i="5"/>
  <c r="CI10" i="9" s="1"/>
  <c r="CH72" i="5"/>
  <c r="CH10" i="9" s="1"/>
  <c r="CG72" i="5"/>
  <c r="CG10" i="9" s="1"/>
  <c r="CF72" i="5"/>
  <c r="CF10" i="9" s="1"/>
  <c r="CE72" i="5"/>
  <c r="CE10" i="9" s="1"/>
  <c r="CD72" i="5"/>
  <c r="CC72" i="5"/>
  <c r="CC10" i="9" s="1"/>
  <c r="CB72" i="5"/>
  <c r="CB10" i="9" s="1"/>
  <c r="CA72" i="5"/>
  <c r="CA10" i="9" s="1"/>
  <c r="BZ72" i="5"/>
  <c r="BZ10" i="9" s="1"/>
  <c r="BY72" i="5"/>
  <c r="BY10" i="9" s="1"/>
  <c r="BX72" i="5"/>
  <c r="BX10" i="9" s="1"/>
  <c r="BW72" i="5"/>
  <c r="BW10" i="9" s="1"/>
  <c r="BV72" i="5"/>
  <c r="BU72" i="5"/>
  <c r="BU10" i="9" s="1"/>
  <c r="BT72" i="5"/>
  <c r="BT10" i="9" s="1"/>
  <c r="BS72" i="5"/>
  <c r="BS10" i="9" s="1"/>
  <c r="BR72" i="5"/>
  <c r="BR10" i="9" s="1"/>
  <c r="BQ72" i="5"/>
  <c r="BQ10" i="9" s="1"/>
  <c r="BP72" i="5"/>
  <c r="BP10" i="9" s="1"/>
  <c r="BO72" i="5"/>
  <c r="BO10" i="9" s="1"/>
  <c r="BN72" i="5"/>
  <c r="BM72" i="5"/>
  <c r="BM10" i="9" s="1"/>
  <c r="BL72" i="5"/>
  <c r="BL10" i="9" s="1"/>
  <c r="BK72" i="5"/>
  <c r="BK10" i="9" s="1"/>
  <c r="BJ72" i="5"/>
  <c r="BJ10" i="9" s="1"/>
  <c r="BI72" i="5"/>
  <c r="BI10" i="9" s="1"/>
  <c r="BH72" i="5"/>
  <c r="BH10" i="9" s="1"/>
  <c r="BG72" i="5"/>
  <c r="BG10" i="9" s="1"/>
  <c r="BF72" i="5"/>
  <c r="BE72" i="5"/>
  <c r="BE10" i="9" s="1"/>
  <c r="BD72" i="5"/>
  <c r="BD10" i="9" s="1"/>
  <c r="BC72" i="5"/>
  <c r="BC10" i="9" s="1"/>
  <c r="BB72" i="5"/>
  <c r="BB10" i="9" s="1"/>
  <c r="BA72" i="5"/>
  <c r="BA10" i="9" s="1"/>
  <c r="AZ72" i="5"/>
  <c r="AZ10" i="9" s="1"/>
  <c r="AY72" i="5"/>
  <c r="AY10" i="9" s="1"/>
  <c r="AX72" i="5"/>
  <c r="AW72" i="5"/>
  <c r="AW10" i="9" s="1"/>
  <c r="AV72" i="5"/>
  <c r="AV10" i="9" s="1"/>
  <c r="AU72" i="5"/>
  <c r="AU10" i="9" s="1"/>
  <c r="AT72" i="5"/>
  <c r="AT10" i="9" s="1"/>
  <c r="AS72" i="5"/>
  <c r="AS10" i="9" s="1"/>
  <c r="AR72" i="5"/>
  <c r="AR10" i="9" s="1"/>
  <c r="AQ72" i="5"/>
  <c r="AQ10" i="9" s="1"/>
  <c r="AP72" i="5"/>
  <c r="AO72" i="5"/>
  <c r="AO10" i="9" s="1"/>
  <c r="AN72" i="5"/>
  <c r="AN10" i="9" s="1"/>
  <c r="AM72" i="5"/>
  <c r="AM10" i="9" s="1"/>
  <c r="AL72" i="5"/>
  <c r="AL10" i="9" s="1"/>
  <c r="AK72" i="5"/>
  <c r="AK10" i="9" s="1"/>
  <c r="AJ72" i="5"/>
  <c r="AJ10" i="9" s="1"/>
  <c r="AI72" i="5"/>
  <c r="AI10" i="9" s="1"/>
  <c r="AH72" i="5"/>
  <c r="AG72" i="5"/>
  <c r="AG10" i="9" s="1"/>
  <c r="AF72" i="5"/>
  <c r="AF10" i="9" s="1"/>
  <c r="AE72" i="5"/>
  <c r="AE10" i="9" s="1"/>
  <c r="AD72" i="5"/>
  <c r="AD10" i="9" s="1"/>
  <c r="AC72" i="5"/>
  <c r="AC10" i="9" s="1"/>
  <c r="AB72" i="5"/>
  <c r="AB10" i="9" s="1"/>
  <c r="AA72" i="5"/>
  <c r="AA10" i="9" s="1"/>
  <c r="Z72" i="5"/>
  <c r="Y72" i="5"/>
  <c r="Y10" i="9" s="1"/>
  <c r="X72" i="5"/>
  <c r="X10" i="9" s="1"/>
  <c r="W72" i="5"/>
  <c r="W10" i="9" s="1"/>
  <c r="V72" i="5"/>
  <c r="V10" i="9" s="1"/>
  <c r="U72" i="5"/>
  <c r="U10" i="9" s="1"/>
  <c r="U78" i="9" s="1"/>
  <c r="U79" i="9" s="1"/>
  <c r="T72" i="5"/>
  <c r="T10" i="9" s="1"/>
  <c r="T78" i="9" s="1"/>
  <c r="T79" i="9" s="1"/>
  <c r="S72" i="5"/>
  <c r="S10" i="9" s="1"/>
  <c r="S78" i="9" s="1"/>
  <c r="S79" i="9" s="1"/>
  <c r="R72" i="5"/>
  <c r="Q72" i="5"/>
  <c r="Q10" i="9" s="1"/>
  <c r="Q78" i="9" s="1"/>
  <c r="Q79" i="9" s="1"/>
  <c r="P72" i="5"/>
  <c r="P10" i="9" s="1"/>
  <c r="P78" i="9" s="1"/>
  <c r="P79" i="9" s="1"/>
  <c r="O72" i="5"/>
  <c r="O10" i="9" s="1"/>
  <c r="O78" i="9" s="1"/>
  <c r="O79" i="9" s="1"/>
  <c r="N72" i="5"/>
  <c r="N10" i="9" s="1"/>
  <c r="N78" i="9" s="1"/>
  <c r="N79" i="9" s="1"/>
  <c r="M72" i="5"/>
  <c r="L72" i="5"/>
  <c r="L10" i="9" s="1"/>
  <c r="K72" i="5"/>
  <c r="K10" i="9" s="1"/>
  <c r="J72" i="5"/>
  <c r="I72" i="5"/>
  <c r="H72" i="5"/>
  <c r="H10" i="9" s="1"/>
  <c r="G72" i="5"/>
  <c r="G10" i="9" s="1"/>
  <c r="F72" i="5"/>
  <c r="F10" i="9" s="1"/>
  <c r="E72" i="5"/>
  <c r="CL70" i="5"/>
  <c r="CL9" i="9" s="1"/>
  <c r="CL69" i="5"/>
  <c r="CL8" i="9" s="1"/>
  <c r="CK68" i="5"/>
  <c r="CJ68" i="5"/>
  <c r="CI68" i="5"/>
  <c r="CH68" i="5"/>
  <c r="CG68" i="5"/>
  <c r="CF68" i="5"/>
  <c r="CE68" i="5"/>
  <c r="CD68" i="5"/>
  <c r="CC68" i="5"/>
  <c r="CB68" i="5"/>
  <c r="CA68" i="5"/>
  <c r="BZ68" i="5"/>
  <c r="BY68" i="5"/>
  <c r="BX68" i="5"/>
  <c r="BW68" i="5"/>
  <c r="BV68" i="5"/>
  <c r="BU68" i="5"/>
  <c r="BT68" i="5"/>
  <c r="BS68" i="5"/>
  <c r="BR68" i="5"/>
  <c r="BQ68" i="5"/>
  <c r="BP68" i="5"/>
  <c r="BO68" i="5"/>
  <c r="BN68" i="5"/>
  <c r="BM68" i="5"/>
  <c r="BL68" i="5"/>
  <c r="BK68" i="5"/>
  <c r="BJ68" i="5"/>
  <c r="BI68" i="5"/>
  <c r="BH68" i="5"/>
  <c r="BG68" i="5"/>
  <c r="BF68" i="5"/>
  <c r="BE68" i="5"/>
  <c r="BD68" i="5"/>
  <c r="BC68" i="5"/>
  <c r="BB68" i="5"/>
  <c r="BA68" i="5"/>
  <c r="AZ68" i="5"/>
  <c r="AY68" i="5"/>
  <c r="AX68" i="5"/>
  <c r="AW68" i="5"/>
  <c r="AV68" i="5"/>
  <c r="AU68" i="5"/>
  <c r="AT68" i="5"/>
  <c r="AS68" i="5"/>
  <c r="AR68" i="5"/>
  <c r="AQ68" i="5"/>
  <c r="AP68" i="5"/>
  <c r="AO68" i="5"/>
  <c r="AN68" i="5"/>
  <c r="AM68" i="5"/>
  <c r="AL68" i="5"/>
  <c r="AK68" i="5"/>
  <c r="AJ68" i="5"/>
  <c r="AI68" i="5"/>
  <c r="AH68" i="5"/>
  <c r="AG68" i="5"/>
  <c r="AF68" i="5"/>
  <c r="AE68" i="5"/>
  <c r="AD68" i="5"/>
  <c r="AC68" i="5"/>
  <c r="AB68" i="5"/>
  <c r="AA68" i="5"/>
  <c r="Z68" i="5"/>
  <c r="Y68" i="5"/>
  <c r="X68" i="5"/>
  <c r="W68" i="5"/>
  <c r="V68" i="5"/>
  <c r="U68" i="5"/>
  <c r="T68" i="5"/>
  <c r="S68" i="5"/>
  <c r="R68" i="5"/>
  <c r="Q68" i="5"/>
  <c r="P68" i="5"/>
  <c r="O68" i="5"/>
  <c r="N68" i="5"/>
  <c r="M68" i="5"/>
  <c r="L68" i="5"/>
  <c r="K68" i="5"/>
  <c r="J68" i="5"/>
  <c r="I68" i="5"/>
  <c r="H68" i="5"/>
  <c r="G68" i="5"/>
  <c r="F68" i="5"/>
  <c r="E68" i="5"/>
  <c r="D68" i="5"/>
  <c r="C68" i="5"/>
  <c r="B68" i="5"/>
  <c r="CK49" i="5"/>
  <c r="CK6" i="9" s="1"/>
  <c r="CK31" i="9" s="1"/>
  <c r="CJ49" i="5"/>
  <c r="CJ6" i="9" s="1"/>
  <c r="CJ31" i="9" s="1"/>
  <c r="CI49" i="5"/>
  <c r="CI6" i="9" s="1"/>
  <c r="CI31" i="9" s="1"/>
  <c r="CH49" i="5"/>
  <c r="CH6" i="9" s="1"/>
  <c r="CG49" i="5"/>
  <c r="CG6" i="9" s="1"/>
  <c r="CF49" i="5"/>
  <c r="CF6" i="9" s="1"/>
  <c r="CE49" i="5"/>
  <c r="CE6" i="9" s="1"/>
  <c r="CD49" i="5"/>
  <c r="CD6" i="9" s="1"/>
  <c r="CC49" i="5"/>
  <c r="CC6" i="9" s="1"/>
  <c r="CB49" i="5"/>
  <c r="CB6" i="9" s="1"/>
  <c r="CA49" i="5"/>
  <c r="CA6" i="9" s="1"/>
  <c r="BZ49" i="5"/>
  <c r="BZ6" i="9" s="1"/>
  <c r="BY49" i="5"/>
  <c r="BY6" i="9" s="1"/>
  <c r="BX49" i="5"/>
  <c r="BX6" i="9" s="1"/>
  <c r="BW49" i="5"/>
  <c r="BW6" i="9" s="1"/>
  <c r="BV49" i="5"/>
  <c r="BV6" i="9" s="1"/>
  <c r="BU49" i="5"/>
  <c r="BU6" i="9" s="1"/>
  <c r="BT49" i="5"/>
  <c r="BT6" i="9" s="1"/>
  <c r="BS49" i="5"/>
  <c r="BS6" i="9" s="1"/>
  <c r="BR49" i="5"/>
  <c r="BR6" i="9" s="1"/>
  <c r="BQ49" i="5"/>
  <c r="BQ6" i="9" s="1"/>
  <c r="BP49" i="5"/>
  <c r="BP6" i="9" s="1"/>
  <c r="BO49" i="5"/>
  <c r="BO6" i="9" s="1"/>
  <c r="BN49" i="5"/>
  <c r="BN6" i="9" s="1"/>
  <c r="BM49" i="5"/>
  <c r="BM6" i="9" s="1"/>
  <c r="BL49" i="5"/>
  <c r="BL6" i="9" s="1"/>
  <c r="BK49" i="5"/>
  <c r="BK6" i="9" s="1"/>
  <c r="BJ49" i="5"/>
  <c r="BJ6" i="9" s="1"/>
  <c r="BI49" i="5"/>
  <c r="BI6" i="9" s="1"/>
  <c r="BH49" i="5"/>
  <c r="BH6" i="9" s="1"/>
  <c r="BG49" i="5"/>
  <c r="BG6" i="9" s="1"/>
  <c r="BF49" i="5"/>
  <c r="BF6" i="9" s="1"/>
  <c r="BE49" i="5"/>
  <c r="BE6" i="9" s="1"/>
  <c r="BD49" i="5"/>
  <c r="BD6" i="9" s="1"/>
  <c r="BC49" i="5"/>
  <c r="BC6" i="9" s="1"/>
  <c r="BB49" i="5"/>
  <c r="BB6" i="9" s="1"/>
  <c r="BA49" i="5"/>
  <c r="BA6" i="9" s="1"/>
  <c r="AZ49" i="5"/>
  <c r="AZ6" i="9" s="1"/>
  <c r="AY49" i="5"/>
  <c r="AY6" i="9" s="1"/>
  <c r="AX49" i="5"/>
  <c r="AX6" i="9" s="1"/>
  <c r="AW49" i="5"/>
  <c r="AW6" i="9" s="1"/>
  <c r="AV49" i="5"/>
  <c r="AV6" i="9" s="1"/>
  <c r="AU49" i="5"/>
  <c r="AU6" i="9" s="1"/>
  <c r="AT49" i="5"/>
  <c r="AT6" i="9" s="1"/>
  <c r="AS49" i="5"/>
  <c r="AS6" i="9" s="1"/>
  <c r="AR49" i="5"/>
  <c r="AR6" i="9" s="1"/>
  <c r="AQ49" i="5"/>
  <c r="AQ6" i="9" s="1"/>
  <c r="AP49" i="5"/>
  <c r="AP6" i="9" s="1"/>
  <c r="AO49" i="5"/>
  <c r="AO6" i="9" s="1"/>
  <c r="AN49" i="5"/>
  <c r="AN6" i="9" s="1"/>
  <c r="AM49" i="5"/>
  <c r="AM6" i="9" s="1"/>
  <c r="AL49" i="5"/>
  <c r="AL6" i="9" s="1"/>
  <c r="AK49" i="5"/>
  <c r="AK6" i="9" s="1"/>
  <c r="AJ49" i="5"/>
  <c r="AJ6" i="9" s="1"/>
  <c r="AI49" i="5"/>
  <c r="AI6" i="9" s="1"/>
  <c r="AH49" i="5"/>
  <c r="AH6" i="9" s="1"/>
  <c r="AG49" i="5"/>
  <c r="AG6" i="9" s="1"/>
  <c r="AF49" i="5"/>
  <c r="AF6" i="9" s="1"/>
  <c r="AE49" i="5"/>
  <c r="AE6" i="9" s="1"/>
  <c r="AD49" i="5"/>
  <c r="AD6" i="9" s="1"/>
  <c r="AC49" i="5"/>
  <c r="AC6" i="9" s="1"/>
  <c r="AB49" i="5"/>
  <c r="AB6" i="9" s="1"/>
  <c r="AA49" i="5"/>
  <c r="AA6" i="9" s="1"/>
  <c r="Z49" i="5"/>
  <c r="Z6" i="9" s="1"/>
  <c r="Y49" i="5"/>
  <c r="Y6" i="9" s="1"/>
  <c r="X49" i="5"/>
  <c r="X6" i="9" s="1"/>
  <c r="W49" i="5"/>
  <c r="W6" i="9" s="1"/>
  <c r="V49" i="5"/>
  <c r="V6" i="9" s="1"/>
  <c r="U49" i="5"/>
  <c r="U6" i="9" s="1"/>
  <c r="T49" i="5"/>
  <c r="T6" i="9" s="1"/>
  <c r="S49" i="5"/>
  <c r="S6" i="9" s="1"/>
  <c r="R49" i="5"/>
  <c r="R6" i="9" s="1"/>
  <c r="Q49" i="5"/>
  <c r="Q6" i="9" s="1"/>
  <c r="P49" i="5"/>
  <c r="P6" i="9" s="1"/>
  <c r="O49" i="5"/>
  <c r="O6" i="9" s="1"/>
  <c r="N49" i="5"/>
  <c r="N6" i="9" s="1"/>
  <c r="M49" i="5"/>
  <c r="M6" i="9" s="1"/>
  <c r="L49" i="5"/>
  <c r="L6" i="9" s="1"/>
  <c r="K49" i="5"/>
  <c r="K6" i="9" s="1"/>
  <c r="J49" i="5"/>
  <c r="J6" i="9" s="1"/>
  <c r="I49" i="5"/>
  <c r="I6" i="9" s="1"/>
  <c r="H49" i="5"/>
  <c r="H6" i="9" s="1"/>
  <c r="G49" i="5"/>
  <c r="G6" i="9" s="1"/>
  <c r="F49" i="5"/>
  <c r="F6" i="9" s="1"/>
  <c r="E49" i="5"/>
  <c r="E6" i="9" s="1"/>
  <c r="D49" i="5"/>
  <c r="C49" i="5"/>
  <c r="B49" i="5"/>
  <c r="CK33" i="5"/>
  <c r="CK5" i="9" s="1"/>
  <c r="CK30" i="9" s="1"/>
  <c r="CJ33" i="5"/>
  <c r="CJ5" i="9" s="1"/>
  <c r="CJ30" i="9" s="1"/>
  <c r="CI33" i="5"/>
  <c r="CI5" i="9" s="1"/>
  <c r="CI30" i="9" s="1"/>
  <c r="CH33" i="5"/>
  <c r="CH5" i="9" s="1"/>
  <c r="CG33" i="5"/>
  <c r="CG5" i="9" s="1"/>
  <c r="CF33" i="5"/>
  <c r="CF5" i="9" s="1"/>
  <c r="CE33" i="5"/>
  <c r="CE5" i="9" s="1"/>
  <c r="CD33" i="5"/>
  <c r="CD5" i="9" s="1"/>
  <c r="CC33" i="5"/>
  <c r="CC5" i="9" s="1"/>
  <c r="CB33" i="5"/>
  <c r="CB5" i="9" s="1"/>
  <c r="CA33" i="5"/>
  <c r="CA5" i="9" s="1"/>
  <c r="BZ33" i="5"/>
  <c r="BZ5" i="9" s="1"/>
  <c r="BY33" i="5"/>
  <c r="BY5" i="9" s="1"/>
  <c r="BX33" i="5"/>
  <c r="BX5" i="9" s="1"/>
  <c r="BW33" i="5"/>
  <c r="BW5" i="9" s="1"/>
  <c r="BV33" i="5"/>
  <c r="BV5" i="9" s="1"/>
  <c r="BU33" i="5"/>
  <c r="BU5" i="9" s="1"/>
  <c r="BT33" i="5"/>
  <c r="BT5" i="9" s="1"/>
  <c r="BS33" i="5"/>
  <c r="BS5" i="9" s="1"/>
  <c r="BR33" i="5"/>
  <c r="BR5" i="9" s="1"/>
  <c r="BQ33" i="5"/>
  <c r="BQ5" i="9" s="1"/>
  <c r="BP33" i="5"/>
  <c r="BP5" i="9" s="1"/>
  <c r="BO33" i="5"/>
  <c r="BO5" i="9" s="1"/>
  <c r="BN33" i="5"/>
  <c r="BN5" i="9" s="1"/>
  <c r="BM33" i="5"/>
  <c r="BM5" i="9" s="1"/>
  <c r="BL33" i="5"/>
  <c r="BL5" i="9" s="1"/>
  <c r="BK33" i="5"/>
  <c r="BK5" i="9" s="1"/>
  <c r="BJ33" i="5"/>
  <c r="BJ5" i="9" s="1"/>
  <c r="BI33" i="5"/>
  <c r="BI5" i="9" s="1"/>
  <c r="BH33" i="5"/>
  <c r="BH5" i="9" s="1"/>
  <c r="BG33" i="5"/>
  <c r="BG5" i="9" s="1"/>
  <c r="BF33" i="5"/>
  <c r="BF5" i="9" s="1"/>
  <c r="BE33" i="5"/>
  <c r="BE5" i="9" s="1"/>
  <c r="BD33" i="5"/>
  <c r="BD5" i="9" s="1"/>
  <c r="BC33" i="5"/>
  <c r="BC5" i="9" s="1"/>
  <c r="BB33" i="5"/>
  <c r="BB5" i="9" s="1"/>
  <c r="BA33" i="5"/>
  <c r="BA5" i="9" s="1"/>
  <c r="AZ33" i="5"/>
  <c r="AZ5" i="9" s="1"/>
  <c r="AY33" i="5"/>
  <c r="AY5" i="9" s="1"/>
  <c r="AX33" i="5"/>
  <c r="AX5" i="9" s="1"/>
  <c r="AW33" i="5"/>
  <c r="AW5" i="9" s="1"/>
  <c r="AV33" i="5"/>
  <c r="AV5" i="9" s="1"/>
  <c r="AU33" i="5"/>
  <c r="AU5" i="9" s="1"/>
  <c r="AT33" i="5"/>
  <c r="AT5" i="9" s="1"/>
  <c r="AS33" i="5"/>
  <c r="AS5" i="9" s="1"/>
  <c r="AR33" i="5"/>
  <c r="AR5" i="9" s="1"/>
  <c r="AQ33" i="5"/>
  <c r="AQ5" i="9" s="1"/>
  <c r="AP33" i="5"/>
  <c r="AP5" i="9" s="1"/>
  <c r="AO33" i="5"/>
  <c r="AO5" i="9" s="1"/>
  <c r="AN33" i="5"/>
  <c r="AN5" i="9" s="1"/>
  <c r="AM33" i="5"/>
  <c r="AM5" i="9" s="1"/>
  <c r="AL33" i="5"/>
  <c r="AL5" i="9" s="1"/>
  <c r="AK33" i="5"/>
  <c r="AK5" i="9" s="1"/>
  <c r="AJ33" i="5"/>
  <c r="AJ5" i="9" s="1"/>
  <c r="AI33" i="5"/>
  <c r="AI5" i="9" s="1"/>
  <c r="AH33" i="5"/>
  <c r="AH5" i="9" s="1"/>
  <c r="AG33" i="5"/>
  <c r="AG5" i="9" s="1"/>
  <c r="AF33" i="5"/>
  <c r="AF5" i="9" s="1"/>
  <c r="AE33" i="5"/>
  <c r="AE5" i="9" s="1"/>
  <c r="AD33" i="5"/>
  <c r="AD5" i="9" s="1"/>
  <c r="AC33" i="5"/>
  <c r="AC5" i="9" s="1"/>
  <c r="AB33" i="5"/>
  <c r="AB5" i="9" s="1"/>
  <c r="AA33" i="5"/>
  <c r="AA5" i="9" s="1"/>
  <c r="Z33" i="5"/>
  <c r="Z5" i="9" s="1"/>
  <c r="Y33" i="5"/>
  <c r="Y5" i="9" s="1"/>
  <c r="X33" i="5"/>
  <c r="X5" i="9" s="1"/>
  <c r="W33" i="5"/>
  <c r="W5" i="9" s="1"/>
  <c r="V33" i="5"/>
  <c r="V5" i="9" s="1"/>
  <c r="U33" i="5"/>
  <c r="U5" i="9" s="1"/>
  <c r="T33" i="5"/>
  <c r="T5" i="9" s="1"/>
  <c r="S33" i="5"/>
  <c r="S5" i="9" s="1"/>
  <c r="R33" i="5"/>
  <c r="R5" i="9" s="1"/>
  <c r="Q33" i="5"/>
  <c r="Q5" i="9" s="1"/>
  <c r="P33" i="5"/>
  <c r="P5" i="9" s="1"/>
  <c r="O33" i="5"/>
  <c r="O5" i="9" s="1"/>
  <c r="N33" i="5"/>
  <c r="N5" i="9" s="1"/>
  <c r="M33" i="5"/>
  <c r="M5" i="9" s="1"/>
  <c r="L33" i="5"/>
  <c r="L5" i="9" s="1"/>
  <c r="K33" i="5"/>
  <c r="K5" i="9" s="1"/>
  <c r="J33" i="5"/>
  <c r="J5" i="9" s="1"/>
  <c r="I33" i="5"/>
  <c r="I5" i="9" s="1"/>
  <c r="H33" i="5"/>
  <c r="H5" i="9" s="1"/>
  <c r="G33" i="5"/>
  <c r="G5" i="9" s="1"/>
  <c r="F33" i="5"/>
  <c r="F5" i="9" s="1"/>
  <c r="E33" i="5"/>
  <c r="E5" i="9" s="1"/>
  <c r="D33" i="5"/>
  <c r="C33" i="5"/>
  <c r="C50" i="5" s="1"/>
  <c r="C69" i="5" s="1"/>
  <c r="B33" i="5"/>
  <c r="CK17" i="5"/>
  <c r="CJ17" i="5"/>
  <c r="CI17" i="5"/>
  <c r="CH17" i="5"/>
  <c r="CG17" i="5"/>
  <c r="CF17" i="5"/>
  <c r="CE17" i="5"/>
  <c r="CD17" i="5"/>
  <c r="CC17" i="5"/>
  <c r="CB17" i="5"/>
  <c r="CA17" i="5"/>
  <c r="BZ17" i="5"/>
  <c r="BY17" i="5"/>
  <c r="BX17" i="5"/>
  <c r="BW17" i="5"/>
  <c r="BV17" i="5"/>
  <c r="BV35" i="7" s="1"/>
  <c r="BU17" i="5"/>
  <c r="BU35" i="7" s="1"/>
  <c r="BT17" i="5"/>
  <c r="BT35" i="7" s="1"/>
  <c r="BS17" i="5"/>
  <c r="BS35" i="7" s="1"/>
  <c r="BR17" i="5"/>
  <c r="BR35" i="7" s="1"/>
  <c r="BQ17" i="5"/>
  <c r="BQ35" i="7" s="1"/>
  <c r="BP17" i="5"/>
  <c r="BP35" i="7" s="1"/>
  <c r="BO17" i="5"/>
  <c r="BO35" i="7" s="1"/>
  <c r="BN17" i="5"/>
  <c r="BN35" i="7" s="1"/>
  <c r="BM17" i="5"/>
  <c r="BM35" i="7" s="1"/>
  <c r="BL17" i="5"/>
  <c r="BL35" i="7" s="1"/>
  <c r="BK17" i="5"/>
  <c r="BK35" i="7" s="1"/>
  <c r="BJ17" i="5"/>
  <c r="BJ35" i="7" s="1"/>
  <c r="BI17" i="5"/>
  <c r="BI35" i="7" s="1"/>
  <c r="BH17" i="5"/>
  <c r="BH35" i="7" s="1"/>
  <c r="BG17" i="5"/>
  <c r="BG35" i="7" s="1"/>
  <c r="BF17" i="5"/>
  <c r="BF35" i="7" s="1"/>
  <c r="BE17" i="5"/>
  <c r="BE35" i="7" s="1"/>
  <c r="BD17" i="5"/>
  <c r="BD35" i="7" s="1"/>
  <c r="BC17" i="5"/>
  <c r="BC35" i="7" s="1"/>
  <c r="BB17" i="5"/>
  <c r="BB35" i="7" s="1"/>
  <c r="BA17" i="5"/>
  <c r="BA35" i="7" s="1"/>
  <c r="AZ17" i="5"/>
  <c r="AZ35" i="7" s="1"/>
  <c r="AY17" i="5"/>
  <c r="AY35" i="7" s="1"/>
  <c r="AX17" i="5"/>
  <c r="AX35" i="7" s="1"/>
  <c r="AW17" i="5"/>
  <c r="AW35" i="7" s="1"/>
  <c r="AS22" i="7" s="1"/>
  <c r="AS23" i="7" s="1"/>
  <c r="AV17" i="5"/>
  <c r="AV35" i="7" s="1"/>
  <c r="AR22" i="7" s="1"/>
  <c r="AR23" i="7" s="1"/>
  <c r="AU17" i="5"/>
  <c r="AU35" i="7" s="1"/>
  <c r="AQ22" i="7" s="1"/>
  <c r="AQ23" i="7" s="1"/>
  <c r="AT17" i="5"/>
  <c r="AT35" i="7" s="1"/>
  <c r="AP22" i="7" s="1"/>
  <c r="AP23" i="7" s="1"/>
  <c r="AS17" i="5"/>
  <c r="AS35" i="7" s="1"/>
  <c r="AO22" i="7" s="1"/>
  <c r="AO23" i="7" s="1"/>
  <c r="AR17" i="5"/>
  <c r="AR35" i="7" s="1"/>
  <c r="AN22" i="7" s="1"/>
  <c r="AN23" i="7" s="1"/>
  <c r="AQ17" i="5"/>
  <c r="AQ35" i="7" s="1"/>
  <c r="AM22" i="7" s="1"/>
  <c r="AM23" i="7" s="1"/>
  <c r="AP17" i="5"/>
  <c r="AP35" i="7" s="1"/>
  <c r="AL22" i="7" s="1"/>
  <c r="AL23" i="7" s="1"/>
  <c r="AO17" i="5"/>
  <c r="AO35" i="7" s="1"/>
  <c r="AK22" i="7" s="1"/>
  <c r="AK23" i="7" s="1"/>
  <c r="AN17" i="5"/>
  <c r="AN35" i="7" s="1"/>
  <c r="AJ22" i="7" s="1"/>
  <c r="AJ23" i="7" s="1"/>
  <c r="AM17" i="5"/>
  <c r="AM35" i="7" s="1"/>
  <c r="AI22" i="7" s="1"/>
  <c r="AI23" i="7" s="1"/>
  <c r="AL17" i="5"/>
  <c r="AL35" i="7" s="1"/>
  <c r="AH22" i="7" s="1"/>
  <c r="AH23" i="7" s="1"/>
  <c r="AK17" i="5"/>
  <c r="AK35" i="7" s="1"/>
  <c r="AG22" i="7" s="1"/>
  <c r="AG23" i="7" s="1"/>
  <c r="AJ17" i="5"/>
  <c r="AJ35" i="7" s="1"/>
  <c r="AF22" i="7" s="1"/>
  <c r="AF23" i="7" s="1"/>
  <c r="AI17" i="5"/>
  <c r="AI35" i="7" s="1"/>
  <c r="AE22" i="7" s="1"/>
  <c r="AE23" i="7" s="1"/>
  <c r="AH17" i="5"/>
  <c r="AH35" i="7" s="1"/>
  <c r="AD22" i="7" s="1"/>
  <c r="AD23" i="7" s="1"/>
  <c r="AG17" i="5"/>
  <c r="AG35" i="7" s="1"/>
  <c r="AC22" i="7" s="1"/>
  <c r="AC23" i="7" s="1"/>
  <c r="AF17" i="5"/>
  <c r="AF35" i="7" s="1"/>
  <c r="AB22" i="7" s="1"/>
  <c r="AB23" i="7" s="1"/>
  <c r="AE17" i="5"/>
  <c r="AE35" i="7" s="1"/>
  <c r="AA22" i="7" s="1"/>
  <c r="AA23" i="7" s="1"/>
  <c r="AD17" i="5"/>
  <c r="AD35" i="7" s="1"/>
  <c r="Z22" i="7" s="1"/>
  <c r="Z23" i="7" s="1"/>
  <c r="AC17" i="5"/>
  <c r="AC35" i="7" s="1"/>
  <c r="AB17" i="5"/>
  <c r="AB35" i="7" s="1"/>
  <c r="AA17" i="5"/>
  <c r="AA35" i="7" s="1"/>
  <c r="Z17" i="5"/>
  <c r="Z35" i="7" s="1"/>
  <c r="Y17" i="5"/>
  <c r="X17" i="5"/>
  <c r="W17" i="5"/>
  <c r="V17" i="5"/>
  <c r="U17" i="5"/>
  <c r="T17" i="5"/>
  <c r="S17" i="5"/>
  <c r="R17" i="5"/>
  <c r="Q17" i="5"/>
  <c r="P17" i="5"/>
  <c r="O17" i="5"/>
  <c r="N17" i="5"/>
  <c r="M17" i="5"/>
  <c r="L17" i="5"/>
  <c r="K17" i="5"/>
  <c r="J17" i="5"/>
  <c r="I17" i="5"/>
  <c r="H17" i="5"/>
  <c r="G17" i="5"/>
  <c r="F17" i="5"/>
  <c r="E17" i="5"/>
  <c r="B45" i="13" s="1"/>
  <c r="D17" i="5"/>
  <c r="C17" i="5"/>
  <c r="B17" i="5"/>
  <c r="R6" i="10" l="1"/>
  <c r="P3" i="10"/>
  <c r="Q6" i="10"/>
  <c r="CK29" i="10"/>
  <c r="O3" i="10"/>
  <c r="S6" i="10"/>
  <c r="M6" i="10"/>
  <c r="R3" i="10"/>
  <c r="N6" i="10"/>
  <c r="F3" i="10"/>
  <c r="V3" i="10"/>
  <c r="AD3" i="10"/>
  <c r="AL3" i="10"/>
  <c r="AT3" i="10"/>
  <c r="BB3" i="10"/>
  <c r="BJ3" i="10"/>
  <c r="BR3" i="10"/>
  <c r="BZ3" i="10"/>
  <c r="BZ6" i="10"/>
  <c r="CH65" i="11"/>
  <c r="CH66" i="11" s="1"/>
  <c r="CE27" i="6"/>
  <c r="CE32" i="10" s="1"/>
  <c r="T6" i="10"/>
  <c r="AB6" i="10"/>
  <c r="AR6" i="10"/>
  <c r="AZ6" i="10"/>
  <c r="BH6" i="10"/>
  <c r="BP6" i="10"/>
  <c r="BX6" i="10"/>
  <c r="CF6" i="10"/>
  <c r="BI5" i="10"/>
  <c r="D108" i="5"/>
  <c r="D50" i="5"/>
  <c r="D69" i="5" s="1"/>
  <c r="D70" i="5" s="1"/>
  <c r="K68" i="9"/>
  <c r="K81" i="9"/>
  <c r="K67" i="9"/>
  <c r="K78" i="9"/>
  <c r="K79" i="9" s="1"/>
  <c r="M68" i="9"/>
  <c r="M81" i="9"/>
  <c r="L67" i="9"/>
  <c r="L78" i="9"/>
  <c r="L79" i="9" s="1"/>
  <c r="F68" i="9"/>
  <c r="F81" i="9"/>
  <c r="G68" i="9"/>
  <c r="G81" i="9"/>
  <c r="F67" i="9"/>
  <c r="F78" i="9"/>
  <c r="F79" i="9" s="1"/>
  <c r="H68" i="9"/>
  <c r="H81" i="9"/>
  <c r="G67" i="9"/>
  <c r="G78" i="9"/>
  <c r="G79" i="9" s="1"/>
  <c r="I68" i="9"/>
  <c r="I81" i="9"/>
  <c r="L68" i="9"/>
  <c r="L81" i="9"/>
  <c r="H67" i="9"/>
  <c r="H78" i="9"/>
  <c r="H79" i="9" s="1"/>
  <c r="J68" i="9"/>
  <c r="J81" i="9"/>
  <c r="BM65" i="11"/>
  <c r="BM66" i="11" s="1"/>
  <c r="BU65" i="11"/>
  <c r="BU66" i="11" s="1"/>
  <c r="CC65" i="11"/>
  <c r="CC66" i="11" s="1"/>
  <c r="AP28" i="11"/>
  <c r="AX28" i="11"/>
  <c r="BN28" i="11"/>
  <c r="BV28" i="11"/>
  <c r="CD28" i="11"/>
  <c r="AQ28" i="11"/>
  <c r="AY28" i="11"/>
  <c r="BG28" i="11"/>
  <c r="BO28" i="11"/>
  <c r="BW28" i="11"/>
  <c r="CE28" i="11"/>
  <c r="Q67" i="9"/>
  <c r="S68" i="9"/>
  <c r="T68" i="9"/>
  <c r="S67" i="9"/>
  <c r="E81" i="9"/>
  <c r="E68" i="9"/>
  <c r="U68" i="9"/>
  <c r="T67" i="9"/>
  <c r="N68" i="9"/>
  <c r="U67" i="9"/>
  <c r="O68" i="9"/>
  <c r="N67" i="9"/>
  <c r="P68" i="9"/>
  <c r="O67" i="9"/>
  <c r="Q68" i="9"/>
  <c r="P67" i="9"/>
  <c r="R68" i="9"/>
  <c r="AM27" i="6"/>
  <c r="AM32" i="10" s="1"/>
  <c r="AY27" i="6"/>
  <c r="AY32" i="10" s="1"/>
  <c r="BG27" i="6"/>
  <c r="BG32" i="10" s="1"/>
  <c r="BO27" i="6"/>
  <c r="BO32" i="10" s="1"/>
  <c r="BW27" i="6"/>
  <c r="BW32" i="10" s="1"/>
  <c r="AJ6" i="10"/>
  <c r="BW5" i="10"/>
  <c r="BR3" i="11"/>
  <c r="O28" i="11"/>
  <c r="BS28" i="11"/>
  <c r="CA28" i="11"/>
  <c r="BH27" i="6"/>
  <c r="BH32" i="10" s="1"/>
  <c r="BP27" i="6"/>
  <c r="BP32" i="10" s="1"/>
  <c r="BX27" i="6"/>
  <c r="BX32" i="10" s="1"/>
  <c r="BV27" i="6"/>
  <c r="BV32" i="10" s="1"/>
  <c r="BF27" i="6"/>
  <c r="BF32" i="10" s="1"/>
  <c r="BN8" i="8"/>
  <c r="AJ19" i="10"/>
  <c r="BP3" i="10"/>
  <c r="CF3" i="10"/>
  <c r="BQ27" i="6"/>
  <c r="BQ32" i="10" s="1"/>
  <c r="BY27" i="6"/>
  <c r="BY32" i="10" s="1"/>
  <c r="CG27" i="6"/>
  <c r="CG32" i="10" s="1"/>
  <c r="CD27" i="6"/>
  <c r="CD32" i="10" s="1"/>
  <c r="AY35" i="6"/>
  <c r="C27" i="6"/>
  <c r="AI27" i="6"/>
  <c r="AI32" i="10" s="1"/>
  <c r="AQ27" i="6"/>
  <c r="AQ32" i="10" s="1"/>
  <c r="CB6" i="10"/>
  <c r="BJ3" i="11"/>
  <c r="AV28" i="11"/>
  <c r="BD28" i="11"/>
  <c r="BL28" i="11"/>
  <c r="BT28" i="11"/>
  <c r="CB28" i="11"/>
  <c r="CJ28" i="11"/>
  <c r="BO43" i="11"/>
  <c r="BW43" i="11"/>
  <c r="CE43" i="11"/>
  <c r="AN65" i="11"/>
  <c r="AN66" i="11" s="1"/>
  <c r="AV65" i="11"/>
  <c r="AV66" i="11" s="1"/>
  <c r="BD65" i="11"/>
  <c r="BD66" i="11" s="1"/>
  <c r="BL65" i="11"/>
  <c r="BL66" i="11" s="1"/>
  <c r="BT65" i="11"/>
  <c r="BT66" i="11" s="1"/>
  <c r="CB65" i="11"/>
  <c r="CB66" i="11" s="1"/>
  <c r="CJ65" i="11"/>
  <c r="CJ66" i="11" s="1"/>
  <c r="BL76" i="11"/>
  <c r="BT76" i="11"/>
  <c r="CB76" i="11"/>
  <c r="CJ76" i="11"/>
  <c r="AX27" i="6"/>
  <c r="AX32" i="10" s="1"/>
  <c r="BG35" i="6"/>
  <c r="BO5" i="10"/>
  <c r="CE5" i="10"/>
  <c r="BJ43" i="11"/>
  <c r="BR43" i="11"/>
  <c r="BZ43" i="11"/>
  <c r="CH43" i="11"/>
  <c r="BO76" i="11"/>
  <c r="BW76" i="11"/>
  <c r="CE76" i="11"/>
  <c r="J12" i="12"/>
  <c r="J13" i="12" s="1"/>
  <c r="R12" i="12"/>
  <c r="R13" i="12" s="1"/>
  <c r="Z12" i="12"/>
  <c r="AH12" i="12"/>
  <c r="AH13" i="12" s="1"/>
  <c r="AP12" i="12"/>
  <c r="AX12" i="12"/>
  <c r="AX13" i="12" s="1"/>
  <c r="BF12" i="12"/>
  <c r="BF13" i="12" s="1"/>
  <c r="BN12" i="12"/>
  <c r="BV12" i="12"/>
  <c r="BV13" i="12" s="1"/>
  <c r="CD12" i="12"/>
  <c r="CD13" i="12" s="1"/>
  <c r="AS27" i="6"/>
  <c r="AS32" i="10" s="1"/>
  <c r="L57" i="11"/>
  <c r="AJ57" i="11"/>
  <c r="AR65" i="11"/>
  <c r="AR66" i="11" s="1"/>
  <c r="AZ65" i="11"/>
  <c r="AZ66" i="11" s="1"/>
  <c r="BH57" i="11"/>
  <c r="BP65" i="11"/>
  <c r="BP66" i="11" s="1"/>
  <c r="BX65" i="11"/>
  <c r="BX66" i="11" s="1"/>
  <c r="CF65" i="11"/>
  <c r="CF66" i="11" s="1"/>
  <c r="K12" i="12"/>
  <c r="K13" i="12" s="1"/>
  <c r="S12" i="12"/>
  <c r="S13" i="12" s="1"/>
  <c r="AA12" i="12"/>
  <c r="AA13" i="12" s="1"/>
  <c r="AI12" i="12"/>
  <c r="AI13" i="12" s="1"/>
  <c r="AQ12" i="12"/>
  <c r="AY12" i="12"/>
  <c r="AY13" i="12" s="1"/>
  <c r="BG12" i="12"/>
  <c r="BG13" i="12" s="1"/>
  <c r="BO12" i="12"/>
  <c r="BW12" i="12"/>
  <c r="BW13" i="12" s="1"/>
  <c r="CE12" i="12"/>
  <c r="CE13" i="12" s="1"/>
  <c r="BI6" i="10"/>
  <c r="BQ6" i="10"/>
  <c r="BY6" i="10"/>
  <c r="E28" i="11"/>
  <c r="M28" i="11"/>
  <c r="U28" i="11"/>
  <c r="AC28" i="11"/>
  <c r="AK28" i="11"/>
  <c r="AS28" i="11"/>
  <c r="BA28" i="11"/>
  <c r="BI28" i="11"/>
  <c r="BQ28" i="11"/>
  <c r="BY28" i="11"/>
  <c r="CG28" i="11"/>
  <c r="BN27" i="6"/>
  <c r="BN32" i="10" s="1"/>
  <c r="BO35" i="6"/>
  <c r="BW3" i="10"/>
  <c r="F6" i="10"/>
  <c r="V6" i="10"/>
  <c r="AD6" i="10"/>
  <c r="AL6" i="10"/>
  <c r="AT6" i="10"/>
  <c r="F28" i="11"/>
  <c r="N28" i="11"/>
  <c r="V28" i="11"/>
  <c r="AD28" i="11"/>
  <c r="AL28" i="11"/>
  <c r="AT28" i="11"/>
  <c r="BB28" i="11"/>
  <c r="BR28" i="11"/>
  <c r="BZ28" i="11"/>
  <c r="CH28" i="11"/>
  <c r="BM43" i="11"/>
  <c r="BA27" i="6"/>
  <c r="BA32" i="10" s="1"/>
  <c r="BI27" i="6"/>
  <c r="BI32" i="10" s="1"/>
  <c r="M5" i="10"/>
  <c r="U5" i="10"/>
  <c r="AC5" i="10"/>
  <c r="AK5" i="10"/>
  <c r="AS5" i="10"/>
  <c r="AV6" i="10"/>
  <c r="AK6" i="10"/>
  <c r="AS6" i="10"/>
  <c r="BA6" i="10"/>
  <c r="AY5" i="10"/>
  <c r="AY3" i="10"/>
  <c r="E6" i="10"/>
  <c r="U6" i="10"/>
  <c r="AC6" i="10"/>
  <c r="BB3" i="11"/>
  <c r="AX8" i="8"/>
  <c r="BF8" i="8"/>
  <c r="AT3" i="11"/>
  <c r="AV76" i="11"/>
  <c r="BD76" i="11"/>
  <c r="AW65" i="11"/>
  <c r="AW66" i="11" s="1"/>
  <c r="BE65" i="11"/>
  <c r="BE66" i="11" s="1"/>
  <c r="AY76" i="11"/>
  <c r="BG76" i="11"/>
  <c r="AY43" i="11"/>
  <c r="BG43" i="11"/>
  <c r="AT43" i="11"/>
  <c r="BB43" i="11"/>
  <c r="AW43" i="11"/>
  <c r="BE43" i="11"/>
  <c r="J28" i="11"/>
  <c r="R28" i="11"/>
  <c r="Z28" i="11"/>
  <c r="AH28" i="11"/>
  <c r="AA28" i="11"/>
  <c r="AI28" i="11"/>
  <c r="AW27" i="6"/>
  <c r="AW32" i="10" s="1"/>
  <c r="BE27" i="6"/>
  <c r="BE32" i="10" s="1"/>
  <c r="BM27" i="6"/>
  <c r="BM32" i="10" s="1"/>
  <c r="BU27" i="6"/>
  <c r="BU32" i="10" s="1"/>
  <c r="CC27" i="6"/>
  <c r="CC32" i="10" s="1"/>
  <c r="BF7" i="10"/>
  <c r="BF8" i="10" s="1"/>
  <c r="BF7" i="6"/>
  <c r="BV7" i="10"/>
  <c r="BV8" i="10" s="1"/>
  <c r="BV7" i="6"/>
  <c r="AZ19" i="10"/>
  <c r="AY7" i="10"/>
  <c r="AY7" i="6"/>
  <c r="BG7" i="10"/>
  <c r="BG8" i="10" s="1"/>
  <c r="BG7" i="6"/>
  <c r="BO7" i="10"/>
  <c r="BO7" i="6"/>
  <c r="BW7" i="10"/>
  <c r="BW8" i="10" s="1"/>
  <c r="BW7" i="6"/>
  <c r="CE7" i="10"/>
  <c r="CE8" i="10" s="1"/>
  <c r="CE7" i="6"/>
  <c r="AL27" i="6"/>
  <c r="AL32" i="10" s="1"/>
  <c r="B27" i="6"/>
  <c r="AY8" i="8"/>
  <c r="BG8" i="8"/>
  <c r="BO8" i="8"/>
  <c r="AU3" i="11"/>
  <c r="BC3" i="11"/>
  <c r="BK3" i="11"/>
  <c r="BS3" i="11"/>
  <c r="AW76" i="11"/>
  <c r="BE76" i="11"/>
  <c r="BM76" i="11"/>
  <c r="BU76" i="11"/>
  <c r="CC76" i="11"/>
  <c r="AR8" i="8"/>
  <c r="AZ8" i="8"/>
  <c r="BH8" i="8"/>
  <c r="BP8" i="8"/>
  <c r="AT5" i="10"/>
  <c r="BB5" i="10"/>
  <c r="BJ5" i="10"/>
  <c r="BR5" i="10"/>
  <c r="BZ5" i="10"/>
  <c r="CH5" i="10"/>
  <c r="BQ5" i="10"/>
  <c r="BB6" i="10"/>
  <c r="CH6" i="10"/>
  <c r="AV3" i="11"/>
  <c r="BD3" i="11"/>
  <c r="BL3" i="11"/>
  <c r="BT3" i="11"/>
  <c r="AX76" i="11"/>
  <c r="BF76" i="11"/>
  <c r="BN76" i="11"/>
  <c r="BV76" i="11"/>
  <c r="CD76" i="11"/>
  <c r="CK17" i="12"/>
  <c r="BX19" i="10"/>
  <c r="AZ27" i="6"/>
  <c r="AZ32" i="10" s="1"/>
  <c r="CF27" i="6"/>
  <c r="CF32" i="10" s="1"/>
  <c r="BA7" i="10"/>
  <c r="BA8" i="10" s="1"/>
  <c r="BA7" i="6"/>
  <c r="BI7" i="10"/>
  <c r="BI8" i="10" s="1"/>
  <c r="BI7" i="6"/>
  <c r="BQ7" i="10"/>
  <c r="BQ7" i="6"/>
  <c r="BY7" i="10"/>
  <c r="BY8" i="10" s="1"/>
  <c r="BY7" i="6"/>
  <c r="CG7" i="10"/>
  <c r="CG7" i="6"/>
  <c r="AN27" i="6"/>
  <c r="AN32" i="10" s="1"/>
  <c r="BH35" i="6"/>
  <c r="BP35" i="6"/>
  <c r="BX35" i="6"/>
  <c r="AS8" i="8"/>
  <c r="BA8" i="8"/>
  <c r="BI8" i="8"/>
  <c r="BQ8" i="8"/>
  <c r="BD6" i="10"/>
  <c r="AW3" i="11"/>
  <c r="BE3" i="11"/>
  <c r="BM3" i="11"/>
  <c r="BU3" i="11"/>
  <c r="AI57" i="11"/>
  <c r="AY65" i="11"/>
  <c r="AY66" i="11" s="1"/>
  <c r="BG65" i="11"/>
  <c r="BG66" i="11" s="1"/>
  <c r="BO65" i="11"/>
  <c r="BO66" i="11" s="1"/>
  <c r="BW65" i="11"/>
  <c r="BW66" i="11" s="1"/>
  <c r="CE65" i="11"/>
  <c r="CE66" i="11" s="1"/>
  <c r="AX7" i="10"/>
  <c r="AX8" i="10" s="1"/>
  <c r="AX7" i="6"/>
  <c r="BH7" i="10"/>
  <c r="BH8" i="10" s="1"/>
  <c r="BH7" i="6"/>
  <c r="CF7" i="10"/>
  <c r="CF8" i="10" s="1"/>
  <c r="CF7" i="6"/>
  <c r="BK30" i="9"/>
  <c r="AT7" i="10"/>
  <c r="AT8" i="10" s="1"/>
  <c r="AT7" i="6"/>
  <c r="BB7" i="10"/>
  <c r="BB8" i="10" s="1"/>
  <c r="BB7" i="6"/>
  <c r="BJ7" i="10"/>
  <c r="BJ8" i="10" s="1"/>
  <c r="BJ7" i="6"/>
  <c r="BR7" i="10"/>
  <c r="BR7" i="6"/>
  <c r="BZ7" i="10"/>
  <c r="BZ8" i="10" s="1"/>
  <c r="BZ7" i="6"/>
  <c r="CH7" i="10"/>
  <c r="CH8" i="10" s="1"/>
  <c r="CH7" i="6"/>
  <c r="CH15" i="6"/>
  <c r="CH20" i="11" s="1"/>
  <c r="CH21" i="11" s="1"/>
  <c r="AT27" i="6"/>
  <c r="AT32" i="10" s="1"/>
  <c r="BB27" i="6"/>
  <c r="BB32" i="10" s="1"/>
  <c r="BJ27" i="6"/>
  <c r="BJ32" i="10" s="1"/>
  <c r="BR27" i="6"/>
  <c r="BR32" i="10" s="1"/>
  <c r="BZ27" i="6"/>
  <c r="BZ32" i="10" s="1"/>
  <c r="CH27" i="6"/>
  <c r="CH32" i="10" s="1"/>
  <c r="AN19" i="10"/>
  <c r="AV19" i="10"/>
  <c r="BL19" i="10"/>
  <c r="BT19" i="10"/>
  <c r="CB19" i="10"/>
  <c r="CJ19" i="10"/>
  <c r="AF6" i="10"/>
  <c r="AN6" i="10"/>
  <c r="AV5" i="10"/>
  <c r="BD5" i="10"/>
  <c r="BL5" i="10"/>
  <c r="BT5" i="10"/>
  <c r="CB5" i="10"/>
  <c r="CJ5" i="10"/>
  <c r="BY5" i="10"/>
  <c r="BJ6" i="10"/>
  <c r="AW13" i="10"/>
  <c r="BE13" i="10"/>
  <c r="BM13" i="10"/>
  <c r="BU13" i="10"/>
  <c r="CC13" i="10"/>
  <c r="AR76" i="11"/>
  <c r="AZ76" i="11"/>
  <c r="BH76" i="11"/>
  <c r="BP76" i="11"/>
  <c r="BX76" i="11"/>
  <c r="CF76" i="11"/>
  <c r="CD7" i="10"/>
  <c r="CD7" i="6"/>
  <c r="AR19" i="10"/>
  <c r="AZ7" i="10"/>
  <c r="AZ7" i="6"/>
  <c r="AU30" i="9"/>
  <c r="C108" i="5"/>
  <c r="AU7" i="10"/>
  <c r="AU8" i="10" s="1"/>
  <c r="AU7" i="6"/>
  <c r="BC7" i="10"/>
  <c r="BC8" i="10" s="1"/>
  <c r="BC7" i="6"/>
  <c r="BK7" i="10"/>
  <c r="BK7" i="6"/>
  <c r="BS7" i="10"/>
  <c r="BS7" i="6"/>
  <c r="CA7" i="10"/>
  <c r="CA9" i="10" s="1"/>
  <c r="CA7" i="6"/>
  <c r="CI7" i="10"/>
  <c r="CI9" i="10" s="1"/>
  <c r="CI7" i="6"/>
  <c r="AH27" i="6"/>
  <c r="AH32" i="10" s="1"/>
  <c r="AP27" i="6"/>
  <c r="AP32" i="10" s="1"/>
  <c r="AU27" i="6"/>
  <c r="AU32" i="10" s="1"/>
  <c r="BC27" i="6"/>
  <c r="BC32" i="10" s="1"/>
  <c r="BK27" i="6"/>
  <c r="BK32" i="10" s="1"/>
  <c r="BS27" i="6"/>
  <c r="BS32" i="10" s="1"/>
  <c r="CA27" i="6"/>
  <c r="CA32" i="10" s="1"/>
  <c r="CI27" i="6"/>
  <c r="CI32" i="10" s="1"/>
  <c r="AW5" i="10"/>
  <c r="BE5" i="10"/>
  <c r="BM5" i="10"/>
  <c r="BU5" i="10"/>
  <c r="CC5" i="10"/>
  <c r="BL6" i="10"/>
  <c r="CK2" i="11"/>
  <c r="AS76" i="11"/>
  <c r="BA76" i="11"/>
  <c r="BI76" i="11"/>
  <c r="BQ76" i="11"/>
  <c r="BY76" i="11"/>
  <c r="CG76" i="11"/>
  <c r="BH19" i="10"/>
  <c r="BX7" i="10"/>
  <c r="BX8" i="10" s="1"/>
  <c r="BX7" i="6"/>
  <c r="BS30" i="9"/>
  <c r="AO31" i="9"/>
  <c r="AW31" i="9"/>
  <c r="BE31" i="9"/>
  <c r="BM31" i="9"/>
  <c r="BU31" i="9"/>
  <c r="CC31" i="9"/>
  <c r="AV7" i="10"/>
  <c r="AV8" i="10" s="1"/>
  <c r="AV7" i="6"/>
  <c r="BD7" i="10"/>
  <c r="BD8" i="10" s="1"/>
  <c r="BD7" i="6"/>
  <c r="BL7" i="10"/>
  <c r="BL8" i="10" s="1"/>
  <c r="BL7" i="6"/>
  <c r="BT7" i="10"/>
  <c r="BT8" i="10" s="1"/>
  <c r="BT7" i="6"/>
  <c r="CB7" i="10"/>
  <c r="CB8" i="10" s="1"/>
  <c r="CB7" i="6"/>
  <c r="CJ7" i="10"/>
  <c r="CJ9" i="10" s="1"/>
  <c r="CJ7" i="6"/>
  <c r="AV27" i="6"/>
  <c r="AV32" i="10" s="1"/>
  <c r="BD27" i="6"/>
  <c r="BD32" i="10" s="1"/>
  <c r="BL27" i="6"/>
  <c r="BL32" i="10" s="1"/>
  <c r="BT27" i="6"/>
  <c r="BT32" i="10" s="1"/>
  <c r="CB27" i="6"/>
  <c r="CB32" i="10" s="1"/>
  <c r="CJ27" i="6"/>
  <c r="CJ32" i="10" s="1"/>
  <c r="AX5" i="10"/>
  <c r="BF5" i="10"/>
  <c r="BN5" i="10"/>
  <c r="BV5" i="10"/>
  <c r="CD5" i="10"/>
  <c r="BA5" i="10"/>
  <c r="CG5" i="10"/>
  <c r="BR6" i="10"/>
  <c r="BU43" i="11"/>
  <c r="CC43" i="11"/>
  <c r="AL65" i="11"/>
  <c r="AL66" i="11" s="1"/>
  <c r="AT65" i="11"/>
  <c r="AT66" i="11" s="1"/>
  <c r="BB65" i="11"/>
  <c r="BB66" i="11" s="1"/>
  <c r="BJ65" i="11"/>
  <c r="BJ66" i="11" s="1"/>
  <c r="BR65" i="11"/>
  <c r="BR66" i="11" s="1"/>
  <c r="BZ65" i="11"/>
  <c r="BZ66" i="11" s="1"/>
  <c r="BN7" i="10"/>
  <c r="BN7" i="6"/>
  <c r="BP7" i="10"/>
  <c r="BP8" i="10" s="1"/>
  <c r="BP7" i="6"/>
  <c r="BC30" i="9"/>
  <c r="CA30" i="9"/>
  <c r="AW7" i="10"/>
  <c r="AW8" i="10" s="1"/>
  <c r="AW7" i="6"/>
  <c r="BE7" i="10"/>
  <c r="BE8" i="10" s="1"/>
  <c r="BE7" i="6"/>
  <c r="BM7" i="10"/>
  <c r="BM7" i="6"/>
  <c r="BU7" i="10"/>
  <c r="BU8" i="10" s="1"/>
  <c r="BU7" i="6"/>
  <c r="CC7" i="10"/>
  <c r="CC8" i="10" s="1"/>
  <c r="CC7" i="6"/>
  <c r="CK7" i="10"/>
  <c r="CK9" i="10" s="1"/>
  <c r="CK7" i="6"/>
  <c r="AT15" i="6"/>
  <c r="AT20" i="11" s="1"/>
  <c r="AT21" i="11" s="1"/>
  <c r="D27" i="6"/>
  <c r="AJ27" i="6"/>
  <c r="AJ32" i="10" s="1"/>
  <c r="AR27" i="6"/>
  <c r="AR32" i="10" s="1"/>
  <c r="K12" i="7"/>
  <c r="K13" i="7" s="1"/>
  <c r="AI19" i="10"/>
  <c r="AQ19" i="10"/>
  <c r="AY19" i="10"/>
  <c r="BG19" i="10"/>
  <c r="BO19" i="10"/>
  <c r="BW19" i="10"/>
  <c r="CE19" i="10"/>
  <c r="CE3" i="10"/>
  <c r="K6" i="10"/>
  <c r="AA6" i="10"/>
  <c r="AI6" i="10"/>
  <c r="AQ6" i="10"/>
  <c r="AY6" i="10"/>
  <c r="BG6" i="10"/>
  <c r="BO6" i="10"/>
  <c r="BW6" i="10"/>
  <c r="CE6" i="10"/>
  <c r="BG5" i="10"/>
  <c r="BT6" i="10"/>
  <c r="AU65" i="11"/>
  <c r="AU66" i="11" s="1"/>
  <c r="BC65" i="11"/>
  <c r="BC66" i="11" s="1"/>
  <c r="BK65" i="11"/>
  <c r="BK66" i="11" s="1"/>
  <c r="BS65" i="11"/>
  <c r="BS66" i="11" s="1"/>
  <c r="CA65" i="11"/>
  <c r="CA66" i="11" s="1"/>
  <c r="CI65" i="11"/>
  <c r="CI66" i="11" s="1"/>
  <c r="AU76" i="11"/>
  <c r="BC76" i="11"/>
  <c r="BK76" i="11"/>
  <c r="BS76" i="11"/>
  <c r="CA76" i="11"/>
  <c r="CI76" i="11"/>
  <c r="CK16" i="12"/>
  <c r="H19" i="10"/>
  <c r="F27" i="6"/>
  <c r="F32" i="10" s="1"/>
  <c r="H27" i="6"/>
  <c r="H32" i="10" s="1"/>
  <c r="G27" i="6"/>
  <c r="G32" i="10" s="1"/>
  <c r="K27" i="6"/>
  <c r="K32" i="10" s="1"/>
  <c r="L12" i="7"/>
  <c r="L13" i="7" s="1"/>
  <c r="M12" i="7"/>
  <c r="T13" i="7"/>
  <c r="L6" i="10"/>
  <c r="E8" i="8"/>
  <c r="B49" i="13"/>
  <c r="K28" i="11"/>
  <c r="K57" i="11"/>
  <c r="C70" i="5"/>
  <c r="E25" i="12"/>
  <c r="E26" i="12" s="1"/>
  <c r="E27" i="12" s="1"/>
  <c r="M25" i="12"/>
  <c r="M26" i="12" s="1"/>
  <c r="M27" i="12" s="1"/>
  <c r="U25" i="12"/>
  <c r="U26" i="12" s="1"/>
  <c r="U27" i="12" s="1"/>
  <c r="AC25" i="12"/>
  <c r="AK25" i="12"/>
  <c r="AK26" i="12" s="1"/>
  <c r="AK27" i="12" s="1"/>
  <c r="AK28" i="12" s="1"/>
  <c r="AS25" i="12"/>
  <c r="AS26" i="12" s="1"/>
  <c r="AS27" i="12" s="1"/>
  <c r="AS28" i="12" s="1"/>
  <c r="BA25" i="12"/>
  <c r="BA26" i="12" s="1"/>
  <c r="BA27" i="12" s="1"/>
  <c r="BA28" i="12" s="1"/>
  <c r="BI25" i="12"/>
  <c r="BI26" i="12" s="1"/>
  <c r="BI27" i="12" s="1"/>
  <c r="BI28" i="12" s="1"/>
  <c r="BQ25" i="12"/>
  <c r="BQ26" i="12" s="1"/>
  <c r="BQ27" i="12" s="1"/>
  <c r="BQ28" i="12" s="1"/>
  <c r="BY25" i="12"/>
  <c r="BY26" i="12" s="1"/>
  <c r="BY27" i="12" s="1"/>
  <c r="CG25" i="12"/>
  <c r="CG26" i="12" s="1"/>
  <c r="CG27" i="12" s="1"/>
  <c r="L27" i="6"/>
  <c r="L32" i="10" s="1"/>
  <c r="N27" i="6"/>
  <c r="N32" i="10" s="1"/>
  <c r="K19" i="10"/>
  <c r="P27" i="6"/>
  <c r="P32" i="10" s="1"/>
  <c r="L19" i="10"/>
  <c r="P19" i="10"/>
  <c r="O27" i="6"/>
  <c r="O32" i="10" s="1"/>
  <c r="J27" i="6"/>
  <c r="J32" i="10" s="1"/>
  <c r="F25" i="12"/>
  <c r="F26" i="12" s="1"/>
  <c r="F27" i="12" s="1"/>
  <c r="N25" i="12"/>
  <c r="N26" i="12" s="1"/>
  <c r="N27" i="12" s="1"/>
  <c r="V25" i="12"/>
  <c r="V26" i="12" s="1"/>
  <c r="V27" i="12" s="1"/>
  <c r="V28" i="12" s="1"/>
  <c r="AD25" i="12"/>
  <c r="AD26" i="12" s="1"/>
  <c r="AD27" i="12" s="1"/>
  <c r="AD28" i="12" s="1"/>
  <c r="AL25" i="12"/>
  <c r="AL26" i="12" s="1"/>
  <c r="AL27" i="12" s="1"/>
  <c r="AT25" i="12"/>
  <c r="AT26" i="12" s="1"/>
  <c r="AT27" i="12" s="1"/>
  <c r="BB25" i="12"/>
  <c r="BB26" i="12" s="1"/>
  <c r="BB27" i="12" s="1"/>
  <c r="BJ25" i="12"/>
  <c r="BJ26" i="12" s="1"/>
  <c r="BJ27" i="12" s="1"/>
  <c r="BR25" i="12"/>
  <c r="BR26" i="12" s="1"/>
  <c r="BR27" i="12" s="1"/>
  <c r="BZ25" i="12"/>
  <c r="BZ26" i="12" s="1"/>
  <c r="BZ27" i="12" s="1"/>
  <c r="BZ28" i="12" s="1"/>
  <c r="CH25" i="12"/>
  <c r="CH26" i="12" s="1"/>
  <c r="I25" i="12"/>
  <c r="I26" i="12" s="1"/>
  <c r="I27" i="12" s="1"/>
  <c r="I28" i="12" s="1"/>
  <c r="Q25" i="12"/>
  <c r="Q26" i="12" s="1"/>
  <c r="Q27" i="12" s="1"/>
  <c r="Y25" i="12"/>
  <c r="AG25" i="12"/>
  <c r="AG26" i="12" s="1"/>
  <c r="AG27" i="12" s="1"/>
  <c r="AO25" i="12"/>
  <c r="AO26" i="12" s="1"/>
  <c r="AO27" i="12" s="1"/>
  <c r="AW25" i="12"/>
  <c r="AW26" i="12" s="1"/>
  <c r="AW27" i="12" s="1"/>
  <c r="BE25" i="12"/>
  <c r="BE26" i="12" s="1"/>
  <c r="BE27" i="12" s="1"/>
  <c r="BE28" i="12" s="1"/>
  <c r="BM25" i="12"/>
  <c r="BM26" i="12" s="1"/>
  <c r="BM27" i="12" s="1"/>
  <c r="BM28" i="12" s="1"/>
  <c r="BU25" i="12"/>
  <c r="BU26" i="12" s="1"/>
  <c r="BU27" i="12" s="1"/>
  <c r="BU28" i="12" s="1"/>
  <c r="L12" i="12"/>
  <c r="L13" i="12" s="1"/>
  <c r="T12" i="12"/>
  <c r="T13" i="12" s="1"/>
  <c r="AB12" i="12"/>
  <c r="AB13" i="12" s="1"/>
  <c r="AJ12" i="12"/>
  <c r="AJ13" i="12" s="1"/>
  <c r="AR12" i="12"/>
  <c r="AR13" i="12" s="1"/>
  <c r="AZ12" i="12"/>
  <c r="BH12" i="12"/>
  <c r="BH13" i="12" s="1"/>
  <c r="BP12" i="12"/>
  <c r="BP13" i="12" s="1"/>
  <c r="BX12" i="12"/>
  <c r="BX13" i="12" s="1"/>
  <c r="CF12" i="12"/>
  <c r="CF13" i="12" s="1"/>
  <c r="G12" i="12"/>
  <c r="G13" i="12" s="1"/>
  <c r="O12" i="12"/>
  <c r="O13" i="12" s="1"/>
  <c r="W12" i="12"/>
  <c r="W13" i="12" s="1"/>
  <c r="AE12" i="12"/>
  <c r="AE13" i="12" s="1"/>
  <c r="AM12" i="12"/>
  <c r="AM13" i="12" s="1"/>
  <c r="AU12" i="12"/>
  <c r="AU13" i="12" s="1"/>
  <c r="BC12" i="12"/>
  <c r="BC13" i="12" s="1"/>
  <c r="BK12" i="12"/>
  <c r="BK13" i="12" s="1"/>
  <c r="BS12" i="12"/>
  <c r="BS13" i="12" s="1"/>
  <c r="CA12" i="12"/>
  <c r="CA13" i="12" s="1"/>
  <c r="CI12" i="12"/>
  <c r="CI13" i="12" s="1"/>
  <c r="AN7" i="10"/>
  <c r="AN8" i="10" s="1"/>
  <c r="AN7" i="6"/>
  <c r="AO7" i="10"/>
  <c r="AO8" i="10" s="1"/>
  <c r="AO7" i="6"/>
  <c r="AP7" i="10"/>
  <c r="AP8" i="10" s="1"/>
  <c r="AP7" i="6"/>
  <c r="AQ7" i="10"/>
  <c r="AQ8" i="10" s="1"/>
  <c r="AQ7" i="6"/>
  <c r="AR7" i="10"/>
  <c r="AR8" i="10" s="1"/>
  <c r="AR7" i="6"/>
  <c r="AK7" i="10"/>
  <c r="AK7" i="6"/>
  <c r="AS7" i="10"/>
  <c r="AS8" i="10" s="1"/>
  <c r="AS7" i="6"/>
  <c r="AL7" i="10"/>
  <c r="AL8" i="10" s="1"/>
  <c r="AL7" i="6"/>
  <c r="AM7" i="10"/>
  <c r="AM8" i="10" s="1"/>
  <c r="AM7" i="6"/>
  <c r="H7" i="10"/>
  <c r="H7" i="6"/>
  <c r="P7" i="10"/>
  <c r="P7" i="6"/>
  <c r="X7" i="10"/>
  <c r="X8" i="10" s="1"/>
  <c r="X7" i="6"/>
  <c r="AF7" i="10"/>
  <c r="AF8" i="10" s="1"/>
  <c r="AF7" i="6"/>
  <c r="I7" i="10"/>
  <c r="I7" i="6"/>
  <c r="Q7" i="10"/>
  <c r="Q7" i="6"/>
  <c r="Y7" i="10"/>
  <c r="Y8" i="10" s="1"/>
  <c r="Y7" i="6"/>
  <c r="AG7" i="10"/>
  <c r="AG8" i="10" s="1"/>
  <c r="AG7" i="6"/>
  <c r="J7" i="10"/>
  <c r="J7" i="6"/>
  <c r="R7" i="10"/>
  <c r="R7" i="6"/>
  <c r="Z7" i="10"/>
  <c r="Z8" i="10" s="1"/>
  <c r="Z7" i="6"/>
  <c r="AH7" i="10"/>
  <c r="AH7" i="6"/>
  <c r="K7" i="10"/>
  <c r="K7" i="6"/>
  <c r="S7" i="10"/>
  <c r="S8" i="10" s="1"/>
  <c r="S7" i="6"/>
  <c r="AA7" i="10"/>
  <c r="AA8" i="10" s="1"/>
  <c r="AA7" i="6"/>
  <c r="AI7" i="10"/>
  <c r="AI9" i="10" s="1"/>
  <c r="AI7" i="6"/>
  <c r="L7" i="10"/>
  <c r="L7" i="6"/>
  <c r="T7" i="10"/>
  <c r="T7" i="6"/>
  <c r="AB7" i="10"/>
  <c r="AB8" i="10" s="1"/>
  <c r="AB7" i="6"/>
  <c r="AJ7" i="10"/>
  <c r="AJ9" i="10" s="1"/>
  <c r="AJ7" i="6"/>
  <c r="E7" i="10"/>
  <c r="E9" i="10" s="1"/>
  <c r="E7" i="6"/>
  <c r="M7" i="10"/>
  <c r="M7" i="6"/>
  <c r="U7" i="10"/>
  <c r="U9" i="10" s="1"/>
  <c r="U7" i="6"/>
  <c r="AC7" i="10"/>
  <c r="AC9" i="10" s="1"/>
  <c r="AC7" i="6"/>
  <c r="E5" i="10"/>
  <c r="E26" i="10"/>
  <c r="F7" i="10"/>
  <c r="F7" i="6"/>
  <c r="N7" i="10"/>
  <c r="N7" i="6"/>
  <c r="V7" i="10"/>
  <c r="V8" i="10" s="1"/>
  <c r="V7" i="6"/>
  <c r="AD7" i="10"/>
  <c r="AD8" i="10" s="1"/>
  <c r="AD7" i="6"/>
  <c r="G7" i="10"/>
  <c r="G7" i="6"/>
  <c r="O7" i="10"/>
  <c r="O7" i="6"/>
  <c r="W7" i="10"/>
  <c r="W8" i="10" s="1"/>
  <c r="W7" i="6"/>
  <c r="AE7" i="10"/>
  <c r="AE8" i="10" s="1"/>
  <c r="AE7" i="6"/>
  <c r="H28" i="11"/>
  <c r="P28" i="11"/>
  <c r="X28" i="11"/>
  <c r="AF28" i="11"/>
  <c r="AN28" i="11"/>
  <c r="M22" i="9"/>
  <c r="I22" i="9"/>
  <c r="I23" i="9"/>
  <c r="M23" i="9"/>
  <c r="AC32" i="12"/>
  <c r="Y32" i="12"/>
  <c r="U32" i="12"/>
  <c r="K25" i="12"/>
  <c r="K26" i="12" s="1"/>
  <c r="K27" i="12" s="1"/>
  <c r="K28" i="12" s="1"/>
  <c r="S25" i="12"/>
  <c r="S26" i="12" s="1"/>
  <c r="S27" i="12" s="1"/>
  <c r="E12" i="12"/>
  <c r="E13" i="12" s="1"/>
  <c r="M12" i="12"/>
  <c r="M13" i="12" s="1"/>
  <c r="U12" i="12"/>
  <c r="U13" i="12" s="1"/>
  <c r="AC12" i="12"/>
  <c r="AK12" i="12"/>
  <c r="AK13" i="12" s="1"/>
  <c r="AS12" i="12"/>
  <c r="AS13" i="12" s="1"/>
  <c r="BA12" i="12"/>
  <c r="BA13" i="12" s="1"/>
  <c r="BI12" i="12"/>
  <c r="BI13" i="12" s="1"/>
  <c r="BQ12" i="12"/>
  <c r="BQ13" i="12" s="1"/>
  <c r="BY12" i="12"/>
  <c r="BY13" i="12" s="1"/>
  <c r="CG12" i="12"/>
  <c r="CG13" i="12" s="1"/>
  <c r="CF28" i="11"/>
  <c r="H12" i="12"/>
  <c r="H13" i="12" s="1"/>
  <c r="P12" i="12"/>
  <c r="P13" i="12" s="1"/>
  <c r="X12" i="12"/>
  <c r="AF12" i="12"/>
  <c r="AF13" i="12" s="1"/>
  <c r="AN12" i="12"/>
  <c r="AN13" i="12" s="1"/>
  <c r="AV12" i="12"/>
  <c r="AV13" i="12" s="1"/>
  <c r="BD12" i="12"/>
  <c r="BD13" i="12" s="1"/>
  <c r="BL12" i="12"/>
  <c r="BT12" i="12"/>
  <c r="BT13" i="12" s="1"/>
  <c r="CB12" i="12"/>
  <c r="CB13" i="12" s="1"/>
  <c r="CJ12" i="12"/>
  <c r="E19" i="7"/>
  <c r="E21" i="7" s="1"/>
  <c r="M19" i="7"/>
  <c r="M21" i="7" s="1"/>
  <c r="U19" i="7"/>
  <c r="U21" i="7" s="1"/>
  <c r="B50" i="5"/>
  <c r="B69" i="5" s="1"/>
  <c r="B70" i="5" s="1"/>
  <c r="G12" i="7"/>
  <c r="G13" i="7" s="1"/>
  <c r="O12" i="7"/>
  <c r="O13" i="7" s="1"/>
  <c r="F19" i="7"/>
  <c r="F21" i="7" s="1"/>
  <c r="N19" i="7"/>
  <c r="N21" i="7" s="1"/>
  <c r="V19" i="7"/>
  <c r="V21" i="7" s="1"/>
  <c r="P12" i="7"/>
  <c r="P13" i="7" s="1"/>
  <c r="H12" i="7"/>
  <c r="H13" i="7" s="1"/>
  <c r="E12" i="7"/>
  <c r="AD27" i="6"/>
  <c r="AD32" i="10" s="1"/>
  <c r="AE27" i="6"/>
  <c r="AE32" i="10" s="1"/>
  <c r="AF27" i="6"/>
  <c r="AF32" i="10" s="1"/>
  <c r="AF19" i="10"/>
  <c r="N12" i="7"/>
  <c r="F12" i="7"/>
  <c r="I12" i="7"/>
  <c r="I13" i="7" s="1"/>
  <c r="M82" i="11"/>
  <c r="M83" i="11" s="1"/>
  <c r="Q12" i="7"/>
  <c r="Q13" i="7" s="1"/>
  <c r="U82" i="11"/>
  <c r="U83" i="11" s="1"/>
  <c r="AC82" i="11"/>
  <c r="AC83" i="11" s="1"/>
  <c r="J12" i="7"/>
  <c r="J13" i="7" s="1"/>
  <c r="N82" i="11"/>
  <c r="N83" i="11" s="1"/>
  <c r="R13" i="7"/>
  <c r="V82" i="11"/>
  <c r="V83" i="11" s="1"/>
  <c r="AD82" i="11"/>
  <c r="AD83" i="11" s="1"/>
  <c r="S13" i="7"/>
  <c r="W82" i="11"/>
  <c r="W83" i="11" s="1"/>
  <c r="AE82" i="11"/>
  <c r="AE83" i="11" s="1"/>
  <c r="H6" i="10"/>
  <c r="T65" i="11"/>
  <c r="T66" i="11" s="1"/>
  <c r="AB65" i="11"/>
  <c r="AB66" i="11" s="1"/>
  <c r="H65" i="11"/>
  <c r="H66" i="11" s="1"/>
  <c r="J65" i="11"/>
  <c r="J66" i="11" s="1"/>
  <c r="F57" i="11"/>
  <c r="N57" i="11"/>
  <c r="V57" i="11"/>
  <c r="AD57" i="11"/>
  <c r="F43" i="11"/>
  <c r="N43" i="11"/>
  <c r="V43" i="11"/>
  <c r="AA25" i="12"/>
  <c r="AA26" i="12" s="1"/>
  <c r="AA27" i="12" s="1"/>
  <c r="AI25" i="12"/>
  <c r="AI26" i="12" s="1"/>
  <c r="AI27" i="12" s="1"/>
  <c r="AQ25" i="12"/>
  <c r="AQ26" i="12" s="1"/>
  <c r="AQ27" i="12" s="1"/>
  <c r="AY25" i="12"/>
  <c r="AY26" i="12" s="1"/>
  <c r="AY27" i="12" s="1"/>
  <c r="BG25" i="12"/>
  <c r="BG26" i="12" s="1"/>
  <c r="BG27" i="12" s="1"/>
  <c r="BG28" i="12" s="1"/>
  <c r="BO25" i="12"/>
  <c r="BO26" i="12" s="1"/>
  <c r="BO27" i="12" s="1"/>
  <c r="BO28" i="12" s="1"/>
  <c r="BW25" i="12"/>
  <c r="BW26" i="12" s="1"/>
  <c r="BW27" i="12" s="1"/>
  <c r="BW28" i="12" s="1"/>
  <c r="CE25" i="12"/>
  <c r="CE26" i="12" s="1"/>
  <c r="CE27" i="12" s="1"/>
  <c r="BJ28" i="11"/>
  <c r="S28" i="11"/>
  <c r="BX43" i="11"/>
  <c r="BF28" i="11"/>
  <c r="BK57" i="11"/>
  <c r="AO27" i="6"/>
  <c r="AO32" i="10" s="1"/>
  <c r="AK27" i="6"/>
  <c r="AK32" i="10" s="1"/>
  <c r="AG27" i="6"/>
  <c r="AG32" i="10" s="1"/>
  <c r="X19" i="10"/>
  <c r="S19" i="10"/>
  <c r="AA19" i="10"/>
  <c r="T19" i="10"/>
  <c r="AB19" i="10"/>
  <c r="R27" i="6"/>
  <c r="R32" i="10" s="1"/>
  <c r="Z27" i="6"/>
  <c r="Z32" i="10" s="1"/>
  <c r="S27" i="6"/>
  <c r="S32" i="10" s="1"/>
  <c r="AA27" i="6"/>
  <c r="AA32" i="10" s="1"/>
  <c r="T27" i="6"/>
  <c r="T32" i="10" s="1"/>
  <c r="AB27" i="6"/>
  <c r="AB32" i="10" s="1"/>
  <c r="U27" i="6"/>
  <c r="U32" i="10" s="1"/>
  <c r="AC27" i="6"/>
  <c r="AC32" i="10" s="1"/>
  <c r="V27" i="6"/>
  <c r="V32" i="10" s="1"/>
  <c r="W27" i="6"/>
  <c r="W32" i="10" s="1"/>
  <c r="X27" i="6"/>
  <c r="X32" i="10" s="1"/>
  <c r="Q27" i="6"/>
  <c r="Q32" i="10" s="1"/>
  <c r="Y27" i="6"/>
  <c r="Y32" i="10" s="1"/>
  <c r="M27" i="6"/>
  <c r="M32" i="10" s="1"/>
  <c r="I27" i="6"/>
  <c r="I32" i="10" s="1"/>
  <c r="E27" i="6"/>
  <c r="E32" i="10" s="1"/>
  <c r="E11" i="7"/>
  <c r="M11" i="7"/>
  <c r="U11" i="7"/>
  <c r="U13" i="7" s="1"/>
  <c r="G19" i="7"/>
  <c r="G21" i="7" s="1"/>
  <c r="O19" i="7"/>
  <c r="O21" i="7" s="1"/>
  <c r="W19" i="7"/>
  <c r="W21" i="7" s="1"/>
  <c r="F11" i="7"/>
  <c r="N11" i="7"/>
  <c r="V11" i="7"/>
  <c r="V13" i="7" s="1"/>
  <c r="H19" i="7"/>
  <c r="H21" i="7" s="1"/>
  <c r="P19" i="7"/>
  <c r="P21" i="7" s="1"/>
  <c r="X19" i="7"/>
  <c r="X21" i="7" s="1"/>
  <c r="I19" i="7"/>
  <c r="I21" i="7" s="1"/>
  <c r="Q19" i="7"/>
  <c r="Q21" i="7" s="1"/>
  <c r="Y19" i="7"/>
  <c r="Y21" i="7" s="1"/>
  <c r="J19" i="7"/>
  <c r="J21" i="7" s="1"/>
  <c r="R19" i="7"/>
  <c r="R21" i="7" s="1"/>
  <c r="K19" i="7"/>
  <c r="K21" i="7" s="1"/>
  <c r="S19" i="7"/>
  <c r="S21" i="7" s="1"/>
  <c r="L19" i="7"/>
  <c r="L21" i="7" s="1"/>
  <c r="T19" i="7"/>
  <c r="T21" i="7" s="1"/>
  <c r="X6" i="10"/>
  <c r="N15" i="6"/>
  <c r="N20" i="11" s="1"/>
  <c r="N21" i="11" s="1"/>
  <c r="I13" i="10"/>
  <c r="Q13" i="10"/>
  <c r="Y13" i="10"/>
  <c r="AG13" i="10"/>
  <c r="AO13" i="10"/>
  <c r="V15" i="6"/>
  <c r="K3" i="10"/>
  <c r="F5" i="10"/>
  <c r="N5" i="10"/>
  <c r="V5" i="10"/>
  <c r="AD5" i="10"/>
  <c r="AL5" i="10"/>
  <c r="AA5" i="10"/>
  <c r="AD15" i="6"/>
  <c r="AD20" i="11" s="1"/>
  <c r="AD21" i="11" s="1"/>
  <c r="S3" i="10"/>
  <c r="AL15" i="6"/>
  <c r="AL20" i="11" s="1"/>
  <c r="AL21" i="11" s="1"/>
  <c r="AA3" i="10"/>
  <c r="H5" i="10"/>
  <c r="P5" i="10"/>
  <c r="X5" i="10"/>
  <c r="AF5" i="10"/>
  <c r="AN5" i="10"/>
  <c r="AI5" i="10"/>
  <c r="I5" i="10"/>
  <c r="Q5" i="10"/>
  <c r="Y5" i="10"/>
  <c r="AG5" i="10"/>
  <c r="AO5" i="10"/>
  <c r="J5" i="10"/>
  <c r="R5" i="10"/>
  <c r="Z5" i="10"/>
  <c r="AH5" i="10"/>
  <c r="AP5" i="10"/>
  <c r="K5" i="10"/>
  <c r="AQ5" i="10"/>
  <c r="F15" i="6"/>
  <c r="F20" i="11" s="1"/>
  <c r="F21" i="11" s="1"/>
  <c r="AI3" i="10"/>
  <c r="AQ3" i="10"/>
  <c r="S5" i="10"/>
  <c r="G15" i="6"/>
  <c r="G20" i="11" s="1"/>
  <c r="G21" i="11" s="1"/>
  <c r="O15" i="6"/>
  <c r="O20" i="11" s="1"/>
  <c r="O21" i="11" s="1"/>
  <c r="W15" i="6"/>
  <c r="W20" i="11" s="1"/>
  <c r="W21" i="11" s="1"/>
  <c r="AE15" i="6"/>
  <c r="AE20" i="11" s="1"/>
  <c r="AE21" i="11" s="1"/>
  <c r="AM15" i="6"/>
  <c r="AM20" i="11" s="1"/>
  <c r="AM21" i="11" s="1"/>
  <c r="AU15" i="6"/>
  <c r="AU20" i="11" s="1"/>
  <c r="AU21" i="11" s="1"/>
  <c r="BC15" i="6"/>
  <c r="BC20" i="11" s="1"/>
  <c r="BC21" i="11" s="1"/>
  <c r="BK15" i="6"/>
  <c r="BK20" i="11" s="1"/>
  <c r="BK21" i="11" s="1"/>
  <c r="BS15" i="6"/>
  <c r="BS20" i="11" s="1"/>
  <c r="BS21" i="11" s="1"/>
  <c r="CA15" i="6"/>
  <c r="CA20" i="11" s="1"/>
  <c r="CA21" i="11" s="1"/>
  <c r="CI15" i="6"/>
  <c r="CI20" i="11" s="1"/>
  <c r="CI21" i="11" s="1"/>
  <c r="BR28" i="10"/>
  <c r="H15" i="6"/>
  <c r="H20" i="11" s="1"/>
  <c r="H21" i="11" s="1"/>
  <c r="P15" i="6"/>
  <c r="P20" i="11" s="1"/>
  <c r="P21" i="11" s="1"/>
  <c r="X15" i="6"/>
  <c r="X20" i="11" s="1"/>
  <c r="X21" i="11" s="1"/>
  <c r="AF15" i="6"/>
  <c r="AF20" i="11" s="1"/>
  <c r="AF21" i="11" s="1"/>
  <c r="AN15" i="6"/>
  <c r="AN20" i="11" s="1"/>
  <c r="AN21" i="11" s="1"/>
  <c r="AV15" i="6"/>
  <c r="AV20" i="11" s="1"/>
  <c r="AV21" i="11" s="1"/>
  <c r="BD15" i="6"/>
  <c r="BD20" i="11" s="1"/>
  <c r="BD21" i="11" s="1"/>
  <c r="BL15" i="6"/>
  <c r="BL20" i="11" s="1"/>
  <c r="BL21" i="11" s="1"/>
  <c r="BT15" i="6"/>
  <c r="BT20" i="11" s="1"/>
  <c r="BT21" i="11" s="1"/>
  <c r="CB15" i="6"/>
  <c r="CB20" i="11" s="1"/>
  <c r="CB21" i="11" s="1"/>
  <c r="CJ15" i="6"/>
  <c r="CJ20" i="11" s="1"/>
  <c r="CJ21" i="11" s="1"/>
  <c r="BZ28" i="10"/>
  <c r="BZ31" i="6"/>
  <c r="BZ32" i="6" s="1"/>
  <c r="BK8" i="10"/>
  <c r="BS8" i="10"/>
  <c r="I15" i="6"/>
  <c r="I20" i="11" s="1"/>
  <c r="I21" i="11" s="1"/>
  <c r="Q15" i="6"/>
  <c r="Q20" i="11" s="1"/>
  <c r="Q21" i="11" s="1"/>
  <c r="Y15" i="6"/>
  <c r="Y20" i="11" s="1"/>
  <c r="Y21" i="11" s="1"/>
  <c r="AG15" i="6"/>
  <c r="AG20" i="11" s="1"/>
  <c r="AG21" i="11" s="1"/>
  <c r="AO15" i="6"/>
  <c r="AO20" i="11" s="1"/>
  <c r="AO21" i="11" s="1"/>
  <c r="AW15" i="6"/>
  <c r="AW20" i="11" s="1"/>
  <c r="AW21" i="11" s="1"/>
  <c r="BE15" i="6"/>
  <c r="BE20" i="11" s="1"/>
  <c r="BE21" i="11" s="1"/>
  <c r="BM15" i="6"/>
  <c r="BM20" i="11" s="1"/>
  <c r="BM21" i="11" s="1"/>
  <c r="BU15" i="6"/>
  <c r="BU20" i="11" s="1"/>
  <c r="BU21" i="11" s="1"/>
  <c r="CC15" i="6"/>
  <c r="CC20" i="11" s="1"/>
  <c r="CC21" i="11" s="1"/>
  <c r="B15" i="6"/>
  <c r="J15" i="6"/>
  <c r="J20" i="11" s="1"/>
  <c r="J21" i="11" s="1"/>
  <c r="R15" i="6"/>
  <c r="R20" i="11" s="1"/>
  <c r="R21" i="11" s="1"/>
  <c r="Z15" i="6"/>
  <c r="Z20" i="11" s="1"/>
  <c r="Z21" i="11" s="1"/>
  <c r="AH15" i="6"/>
  <c r="AH20" i="11" s="1"/>
  <c r="AH21" i="11" s="1"/>
  <c r="AP15" i="6"/>
  <c r="AP20" i="11" s="1"/>
  <c r="AP21" i="11" s="1"/>
  <c r="AX15" i="6"/>
  <c r="AX20" i="11" s="1"/>
  <c r="AX21" i="11" s="1"/>
  <c r="BF15" i="6"/>
  <c r="BF20" i="11" s="1"/>
  <c r="BF21" i="11" s="1"/>
  <c r="BN15" i="6"/>
  <c r="BN20" i="11" s="1"/>
  <c r="BN21" i="11" s="1"/>
  <c r="BV15" i="6"/>
  <c r="BV20" i="11" s="1"/>
  <c r="BV21" i="11" s="1"/>
  <c r="CD15" i="6"/>
  <c r="CD20" i="11" s="1"/>
  <c r="CD21" i="11" s="1"/>
  <c r="BB28" i="10"/>
  <c r="C15" i="6"/>
  <c r="K15" i="6"/>
  <c r="K20" i="11" s="1"/>
  <c r="K21" i="11" s="1"/>
  <c r="S15" i="6"/>
  <c r="S20" i="11" s="1"/>
  <c r="S21" i="11" s="1"/>
  <c r="AA15" i="6"/>
  <c r="AA20" i="11" s="1"/>
  <c r="AA21" i="11" s="1"/>
  <c r="AI15" i="6"/>
  <c r="AI20" i="11" s="1"/>
  <c r="AI21" i="11" s="1"/>
  <c r="AQ15" i="6"/>
  <c r="AQ20" i="11" s="1"/>
  <c r="AQ21" i="11" s="1"/>
  <c r="AY15" i="6"/>
  <c r="AY20" i="11" s="1"/>
  <c r="AY21" i="11" s="1"/>
  <c r="BG15" i="6"/>
  <c r="BG20" i="11" s="1"/>
  <c r="BG21" i="11" s="1"/>
  <c r="BO15" i="6"/>
  <c r="BO20" i="11" s="1"/>
  <c r="BO21" i="11" s="1"/>
  <c r="BW15" i="6"/>
  <c r="BW20" i="11" s="1"/>
  <c r="BW21" i="11" s="1"/>
  <c r="CE15" i="6"/>
  <c r="CE20" i="11" s="1"/>
  <c r="CE21" i="11" s="1"/>
  <c r="D15" i="6"/>
  <c r="L15" i="6"/>
  <c r="L20" i="11" s="1"/>
  <c r="L21" i="11" s="1"/>
  <c r="T15" i="6"/>
  <c r="T20" i="11" s="1"/>
  <c r="T21" i="11" s="1"/>
  <c r="AB15" i="6"/>
  <c r="AB20" i="11" s="1"/>
  <c r="AB21" i="11" s="1"/>
  <c r="AJ15" i="6"/>
  <c r="AJ20" i="11" s="1"/>
  <c r="AJ21" i="11" s="1"/>
  <c r="AR15" i="6"/>
  <c r="AR20" i="11" s="1"/>
  <c r="AR21" i="11" s="1"/>
  <c r="AZ15" i="6"/>
  <c r="AZ20" i="11" s="1"/>
  <c r="AZ21" i="11" s="1"/>
  <c r="BH15" i="6"/>
  <c r="BH20" i="11" s="1"/>
  <c r="BH21" i="11" s="1"/>
  <c r="BP15" i="6"/>
  <c r="BP20" i="11" s="1"/>
  <c r="BP21" i="11" s="1"/>
  <c r="BX15" i="6"/>
  <c r="BX20" i="11" s="1"/>
  <c r="BX21" i="11" s="1"/>
  <c r="CF15" i="6"/>
  <c r="CF20" i="11" s="1"/>
  <c r="CF21" i="11" s="1"/>
  <c r="BJ28" i="10"/>
  <c r="E15" i="6"/>
  <c r="E20" i="11" s="1"/>
  <c r="E21" i="11" s="1"/>
  <c r="M15" i="6"/>
  <c r="M20" i="11" s="1"/>
  <c r="M21" i="11" s="1"/>
  <c r="U15" i="6"/>
  <c r="U20" i="11" s="1"/>
  <c r="U21" i="11" s="1"/>
  <c r="AC15" i="6"/>
  <c r="AC20" i="11" s="1"/>
  <c r="AC21" i="11" s="1"/>
  <c r="AK15" i="6"/>
  <c r="AK20" i="11" s="1"/>
  <c r="AK21" i="11" s="1"/>
  <c r="AS15" i="6"/>
  <c r="AS20" i="11" s="1"/>
  <c r="AS21" i="11" s="1"/>
  <c r="BA15" i="6"/>
  <c r="BA20" i="11" s="1"/>
  <c r="BA21" i="11" s="1"/>
  <c r="BI15" i="6"/>
  <c r="BI20" i="11" s="1"/>
  <c r="BI21" i="11" s="1"/>
  <c r="BQ15" i="6"/>
  <c r="BQ20" i="11" s="1"/>
  <c r="BQ21" i="11" s="1"/>
  <c r="BY15" i="6"/>
  <c r="BY20" i="11" s="1"/>
  <c r="BY21" i="11" s="1"/>
  <c r="CG15" i="6"/>
  <c r="CG20" i="11" s="1"/>
  <c r="CG21" i="11" s="1"/>
  <c r="G5" i="10"/>
  <c r="G6" i="10"/>
  <c r="O5" i="10"/>
  <c r="W5" i="10"/>
  <c r="W6" i="10"/>
  <c r="AE5" i="10"/>
  <c r="AE6" i="10"/>
  <c r="AM5" i="10"/>
  <c r="AM6" i="10"/>
  <c r="AU5" i="10"/>
  <c r="AU6" i="10"/>
  <c r="BC5" i="10"/>
  <c r="BC6" i="10"/>
  <c r="BK5" i="10"/>
  <c r="BK6" i="10"/>
  <c r="BS5" i="10"/>
  <c r="BS6" i="10"/>
  <c r="CA5" i="10"/>
  <c r="CA6" i="10"/>
  <c r="CI5" i="10"/>
  <c r="CI6" i="10"/>
  <c r="G19" i="10"/>
  <c r="G13" i="10"/>
  <c r="G11" i="10"/>
  <c r="G3" i="10"/>
  <c r="O19" i="10"/>
  <c r="O13" i="10"/>
  <c r="O11" i="10"/>
  <c r="W13" i="10"/>
  <c r="W11" i="10"/>
  <c r="W19" i="10"/>
  <c r="W3" i="10"/>
  <c r="AE13" i="10"/>
  <c r="AE11" i="10"/>
  <c r="AE19" i="10"/>
  <c r="AE3" i="10"/>
  <c r="AM19" i="10"/>
  <c r="AM13" i="10"/>
  <c r="AM11" i="10"/>
  <c r="AM3" i="10"/>
  <c r="AU19" i="10"/>
  <c r="AU13" i="10"/>
  <c r="AU11" i="10"/>
  <c r="AU3" i="10"/>
  <c r="BC19" i="10"/>
  <c r="BC11" i="10"/>
  <c r="BC13" i="10"/>
  <c r="BC3" i="10"/>
  <c r="BK19" i="10"/>
  <c r="BK11" i="10"/>
  <c r="BK3" i="10"/>
  <c r="BS19" i="10"/>
  <c r="BS13" i="10"/>
  <c r="BS11" i="10"/>
  <c r="BS3" i="10"/>
  <c r="CA19" i="10"/>
  <c r="CA11" i="10"/>
  <c r="CA3" i="10"/>
  <c r="CI13" i="10"/>
  <c r="CI11" i="10"/>
  <c r="CI19" i="10"/>
  <c r="CI3" i="10"/>
  <c r="BG3" i="10"/>
  <c r="BO3" i="10"/>
  <c r="BD19" i="10"/>
  <c r="BD13" i="10"/>
  <c r="L3" i="10"/>
  <c r="T3" i="10"/>
  <c r="AB3" i="10"/>
  <c r="AJ3" i="10"/>
  <c r="AR3" i="10"/>
  <c r="AZ3" i="10"/>
  <c r="BH3" i="10"/>
  <c r="BX3" i="10"/>
  <c r="L5" i="10"/>
  <c r="T5" i="10"/>
  <c r="AB5" i="10"/>
  <c r="AJ5" i="10"/>
  <c r="AR5" i="10"/>
  <c r="AZ5" i="10"/>
  <c r="BH5" i="10"/>
  <c r="BP5" i="10"/>
  <c r="BX5" i="10"/>
  <c r="CF5" i="10"/>
  <c r="J13" i="10"/>
  <c r="R13" i="10"/>
  <c r="Z13" i="10"/>
  <c r="AH13" i="10"/>
  <c r="AP13" i="10"/>
  <c r="AX13" i="10"/>
  <c r="I19" i="10"/>
  <c r="I17" i="10"/>
  <c r="Q19" i="10"/>
  <c r="Q17" i="10"/>
  <c r="Y19" i="10"/>
  <c r="Y17" i="10"/>
  <c r="AG19" i="10"/>
  <c r="AG17" i="10"/>
  <c r="AO19" i="10"/>
  <c r="AO17" i="10"/>
  <c r="AW19" i="10"/>
  <c r="AW17" i="10"/>
  <c r="BE19" i="10"/>
  <c r="BE17" i="10"/>
  <c r="BM19" i="10"/>
  <c r="BM17" i="10"/>
  <c r="BU19" i="10"/>
  <c r="BU17" i="10"/>
  <c r="CC19" i="10"/>
  <c r="CC17" i="10"/>
  <c r="E3" i="10"/>
  <c r="U3" i="10"/>
  <c r="AC3" i="10"/>
  <c r="AK3" i="10"/>
  <c r="AS3" i="10"/>
  <c r="BA3" i="10"/>
  <c r="BI3" i="10"/>
  <c r="BQ3" i="10"/>
  <c r="BY3" i="10"/>
  <c r="K13" i="10"/>
  <c r="S13" i="10"/>
  <c r="AA13" i="10"/>
  <c r="AI13" i="10"/>
  <c r="AQ13" i="10"/>
  <c r="AY13" i="10"/>
  <c r="BG13" i="10"/>
  <c r="BO13" i="10"/>
  <c r="BW13" i="10"/>
  <c r="CE13" i="10"/>
  <c r="J19" i="10"/>
  <c r="J15" i="10"/>
  <c r="R19" i="10"/>
  <c r="R15" i="10"/>
  <c r="Z19" i="10"/>
  <c r="Z15" i="10"/>
  <c r="AH19" i="10"/>
  <c r="AH15" i="10"/>
  <c r="AP19" i="10"/>
  <c r="AP15" i="10"/>
  <c r="AX19" i="10"/>
  <c r="AX15" i="10"/>
  <c r="BF19" i="10"/>
  <c r="BF15" i="10"/>
  <c r="BN19" i="10"/>
  <c r="BN15" i="10"/>
  <c r="BV19" i="10"/>
  <c r="BV15" i="10"/>
  <c r="CD19" i="10"/>
  <c r="CD15" i="10"/>
  <c r="I6" i="10"/>
  <c r="Y6" i="10"/>
  <c r="AG6" i="10"/>
  <c r="AO6" i="10"/>
  <c r="AW6" i="10"/>
  <c r="BE6" i="10"/>
  <c r="BM6" i="10"/>
  <c r="BU6" i="10"/>
  <c r="CC6" i="10"/>
  <c r="H11" i="10"/>
  <c r="P11" i="10"/>
  <c r="X11" i="10"/>
  <c r="AF11" i="10"/>
  <c r="AN11" i="10"/>
  <c r="AV11" i="10"/>
  <c r="BD11" i="10"/>
  <c r="BL11" i="10"/>
  <c r="BT11" i="10"/>
  <c r="CB11" i="10"/>
  <c r="CJ11" i="10"/>
  <c r="L13" i="10"/>
  <c r="T13" i="10"/>
  <c r="AB13" i="10"/>
  <c r="AJ13" i="10"/>
  <c r="AR13" i="10"/>
  <c r="AZ13" i="10"/>
  <c r="BH13" i="10"/>
  <c r="BX13" i="10"/>
  <c r="J6" i="10"/>
  <c r="Z6" i="10"/>
  <c r="AH6" i="10"/>
  <c r="AP6" i="10"/>
  <c r="AX6" i="10"/>
  <c r="BF6" i="10"/>
  <c r="BN6" i="10"/>
  <c r="BV6" i="10"/>
  <c r="CD6" i="10"/>
  <c r="I11" i="10"/>
  <c r="Q11" i="10"/>
  <c r="Y11" i="10"/>
  <c r="AG11" i="10"/>
  <c r="AO11" i="10"/>
  <c r="AW11" i="10"/>
  <c r="BE11" i="10"/>
  <c r="BM11" i="10"/>
  <c r="BU11" i="10"/>
  <c r="CC11" i="10"/>
  <c r="BP19" i="10"/>
  <c r="BP13" i="10"/>
  <c r="CF19" i="10"/>
  <c r="CF13" i="10"/>
  <c r="H3" i="10"/>
  <c r="X3" i="10"/>
  <c r="AF3" i="10"/>
  <c r="AN3" i="10"/>
  <c r="AV3" i="10"/>
  <c r="BD3" i="10"/>
  <c r="BL3" i="10"/>
  <c r="BT3" i="10"/>
  <c r="CB3" i="10"/>
  <c r="CJ3" i="10"/>
  <c r="J11" i="10"/>
  <c r="R11" i="10"/>
  <c r="Z11" i="10"/>
  <c r="AH11" i="10"/>
  <c r="AP11" i="10"/>
  <c r="AX11" i="10"/>
  <c r="BF11" i="10"/>
  <c r="BN11" i="10"/>
  <c r="BV11" i="10"/>
  <c r="CD11" i="10"/>
  <c r="E19" i="10"/>
  <c r="E13" i="10"/>
  <c r="E11" i="10"/>
  <c r="M19" i="10"/>
  <c r="M13" i="10"/>
  <c r="M11" i="10"/>
  <c r="U19" i="10"/>
  <c r="U13" i="10"/>
  <c r="U11" i="10"/>
  <c r="AC19" i="10"/>
  <c r="AC13" i="10"/>
  <c r="AC11" i="10"/>
  <c r="AK19" i="10"/>
  <c r="AK13" i="10"/>
  <c r="AK11" i="10"/>
  <c r="AS19" i="10"/>
  <c r="AS13" i="10"/>
  <c r="AS11" i="10"/>
  <c r="BA19" i="10"/>
  <c r="BA11" i="10"/>
  <c r="BI19" i="10"/>
  <c r="BI11" i="10"/>
  <c r="BQ19" i="10"/>
  <c r="BQ11" i="10"/>
  <c r="BY19" i="10"/>
  <c r="BY11" i="10"/>
  <c r="CG19" i="10"/>
  <c r="CG11" i="10"/>
  <c r="I3" i="10"/>
  <c r="Y3" i="10"/>
  <c r="AG3" i="10"/>
  <c r="AO3" i="10"/>
  <c r="AW3" i="10"/>
  <c r="BE3" i="10"/>
  <c r="BM3" i="10"/>
  <c r="BU3" i="10"/>
  <c r="CC3" i="10"/>
  <c r="K11" i="10"/>
  <c r="S11" i="10"/>
  <c r="AA11" i="10"/>
  <c r="AI11" i="10"/>
  <c r="AQ11" i="10"/>
  <c r="AY11" i="10"/>
  <c r="BG11" i="10"/>
  <c r="BO11" i="10"/>
  <c r="BW11" i="10"/>
  <c r="CE11" i="10"/>
  <c r="BK13" i="10"/>
  <c r="CA13" i="10"/>
  <c r="F19" i="10"/>
  <c r="F21" i="10"/>
  <c r="F13" i="10"/>
  <c r="F11" i="10"/>
  <c r="N19" i="10"/>
  <c r="N21" i="10"/>
  <c r="N13" i="10"/>
  <c r="N11" i="10"/>
  <c r="V19" i="10"/>
  <c r="V13" i="10"/>
  <c r="V11" i="10"/>
  <c r="V21" i="10"/>
  <c r="AD19" i="10"/>
  <c r="AD21" i="10"/>
  <c r="AD13" i="10"/>
  <c r="AD11" i="10"/>
  <c r="AL19" i="10"/>
  <c r="AL21" i="10"/>
  <c r="AL13" i="10"/>
  <c r="AL11" i="10"/>
  <c r="AT19" i="10"/>
  <c r="AT21" i="10"/>
  <c r="AT13" i="10"/>
  <c r="AT11" i="10"/>
  <c r="BB19" i="10"/>
  <c r="BB21" i="10"/>
  <c r="BB11" i="10"/>
  <c r="BB13" i="10"/>
  <c r="BJ19" i="10"/>
  <c r="BJ21" i="10"/>
  <c r="BJ11" i="10"/>
  <c r="BR19" i="10"/>
  <c r="BR21" i="10"/>
  <c r="BR11" i="10"/>
  <c r="BZ19" i="10"/>
  <c r="BZ21" i="10"/>
  <c r="BZ11" i="10"/>
  <c r="CH19" i="10"/>
  <c r="CH11" i="10"/>
  <c r="CH21" i="10"/>
  <c r="J3" i="10"/>
  <c r="Z3" i="10"/>
  <c r="AH3" i="10"/>
  <c r="AP3" i="10"/>
  <c r="AX3" i="10"/>
  <c r="BF3" i="10"/>
  <c r="BN3" i="10"/>
  <c r="BV3" i="10"/>
  <c r="CD3" i="10"/>
  <c r="L11" i="10"/>
  <c r="T11" i="10"/>
  <c r="AB11" i="10"/>
  <c r="AJ11" i="10"/>
  <c r="AR11" i="10"/>
  <c r="AZ11" i="10"/>
  <c r="BH11" i="10"/>
  <c r="BP11" i="10"/>
  <c r="BX11" i="10"/>
  <c r="CF11" i="10"/>
  <c r="H13" i="10"/>
  <c r="P13" i="10"/>
  <c r="X13" i="10"/>
  <c r="AF13" i="10"/>
  <c r="AN13" i="10"/>
  <c r="AV13" i="10"/>
  <c r="K17" i="10"/>
  <c r="S17" i="10"/>
  <c r="AA17" i="10"/>
  <c r="AI17" i="10"/>
  <c r="AQ17" i="10"/>
  <c r="AY17" i="10"/>
  <c r="BG17" i="10"/>
  <c r="BO17" i="10"/>
  <c r="BW17" i="10"/>
  <c r="CE17" i="10"/>
  <c r="K21" i="10"/>
  <c r="S21" i="10"/>
  <c r="AA21" i="10"/>
  <c r="AI21" i="10"/>
  <c r="AQ21" i="10"/>
  <c r="AY21" i="10"/>
  <c r="BG21" i="10"/>
  <c r="BO21" i="10"/>
  <c r="BW21" i="10"/>
  <c r="CE21" i="10"/>
  <c r="BF13" i="10"/>
  <c r="BN13" i="10"/>
  <c r="BV13" i="10"/>
  <c r="CD13" i="10"/>
  <c r="K15" i="10"/>
  <c r="S15" i="10"/>
  <c r="AA15" i="10"/>
  <c r="AI15" i="10"/>
  <c r="AQ15" i="10"/>
  <c r="AY15" i="10"/>
  <c r="BG15" i="10"/>
  <c r="BO15" i="10"/>
  <c r="BW15" i="10"/>
  <c r="CE15" i="10"/>
  <c r="L17" i="10"/>
  <c r="T17" i="10"/>
  <c r="AB17" i="10"/>
  <c r="AJ17" i="10"/>
  <c r="AR17" i="10"/>
  <c r="AZ17" i="10"/>
  <c r="BH17" i="10"/>
  <c r="BP17" i="10"/>
  <c r="BX17" i="10"/>
  <c r="CF17" i="10"/>
  <c r="L21" i="10"/>
  <c r="T21" i="10"/>
  <c r="AB21" i="10"/>
  <c r="AJ21" i="10"/>
  <c r="AR21" i="10"/>
  <c r="AZ21" i="10"/>
  <c r="BH21" i="10"/>
  <c r="BP21" i="10"/>
  <c r="BX21" i="10"/>
  <c r="CF21" i="10"/>
  <c r="L15" i="10"/>
  <c r="T15" i="10"/>
  <c r="AB15" i="10"/>
  <c r="AJ15" i="10"/>
  <c r="AR15" i="10"/>
  <c r="AZ15" i="10"/>
  <c r="BH15" i="10"/>
  <c r="BP15" i="10"/>
  <c r="BX15" i="10"/>
  <c r="CF15" i="10"/>
  <c r="E17" i="10"/>
  <c r="M17" i="10"/>
  <c r="U17" i="10"/>
  <c r="AC17" i="10"/>
  <c r="AK17" i="10"/>
  <c r="AS17" i="10"/>
  <c r="BA17" i="10"/>
  <c r="BI17" i="10"/>
  <c r="BQ17" i="10"/>
  <c r="BY17" i="10"/>
  <c r="CG17" i="10"/>
  <c r="E21" i="10"/>
  <c r="M21" i="10"/>
  <c r="U21" i="10"/>
  <c r="AC21" i="10"/>
  <c r="AK21" i="10"/>
  <c r="AS21" i="10"/>
  <c r="BA21" i="10"/>
  <c r="BI21" i="10"/>
  <c r="BQ21" i="10"/>
  <c r="BY21" i="10"/>
  <c r="CG21" i="10"/>
  <c r="E15" i="10"/>
  <c r="M15" i="10"/>
  <c r="U15" i="10"/>
  <c r="AC15" i="10"/>
  <c r="AK15" i="10"/>
  <c r="AS15" i="10"/>
  <c r="BA15" i="10"/>
  <c r="BI15" i="10"/>
  <c r="BQ15" i="10"/>
  <c r="BY15" i="10"/>
  <c r="CG15" i="10"/>
  <c r="F17" i="10"/>
  <c r="N17" i="10"/>
  <c r="V17" i="10"/>
  <c r="AD17" i="10"/>
  <c r="AL17" i="10"/>
  <c r="AT17" i="10"/>
  <c r="BB17" i="10"/>
  <c r="BJ17" i="10"/>
  <c r="BR17" i="10"/>
  <c r="BZ17" i="10"/>
  <c r="CH17" i="10"/>
  <c r="BA13" i="10"/>
  <c r="BI13" i="10"/>
  <c r="BQ13" i="10"/>
  <c r="BY13" i="10"/>
  <c r="CG13" i="10"/>
  <c r="F15" i="10"/>
  <c r="N15" i="10"/>
  <c r="V15" i="10"/>
  <c r="AD15" i="10"/>
  <c r="AL15" i="10"/>
  <c r="AT15" i="10"/>
  <c r="BB15" i="10"/>
  <c r="BJ15" i="10"/>
  <c r="BR15" i="10"/>
  <c r="BZ15" i="10"/>
  <c r="CH15" i="10"/>
  <c r="G17" i="10"/>
  <c r="O17" i="10"/>
  <c r="W17" i="10"/>
  <c r="AE17" i="10"/>
  <c r="AM17" i="10"/>
  <c r="AU17" i="10"/>
  <c r="BC17" i="10"/>
  <c r="BK17" i="10"/>
  <c r="BS17" i="10"/>
  <c r="CA17" i="10"/>
  <c r="CI17" i="10"/>
  <c r="G21" i="10"/>
  <c r="O21" i="10"/>
  <c r="W21" i="10"/>
  <c r="AE21" i="10"/>
  <c r="AM21" i="10"/>
  <c r="AU21" i="10"/>
  <c r="BC21" i="10"/>
  <c r="BK21" i="10"/>
  <c r="BS21" i="10"/>
  <c r="CA21" i="10"/>
  <c r="CI21" i="10"/>
  <c r="BJ13" i="10"/>
  <c r="BR13" i="10"/>
  <c r="BZ13" i="10"/>
  <c r="CH13" i="10"/>
  <c r="G15" i="10"/>
  <c r="O15" i="10"/>
  <c r="W15" i="10"/>
  <c r="AE15" i="10"/>
  <c r="AM15" i="10"/>
  <c r="AU15" i="10"/>
  <c r="BC15" i="10"/>
  <c r="BK15" i="10"/>
  <c r="BS15" i="10"/>
  <c r="CA15" i="10"/>
  <c r="CI15" i="10"/>
  <c r="H17" i="10"/>
  <c r="P17" i="10"/>
  <c r="X17" i="10"/>
  <c r="AF17" i="10"/>
  <c r="AN17" i="10"/>
  <c r="AV17" i="10"/>
  <c r="BD17" i="10"/>
  <c r="BL17" i="10"/>
  <c r="BT17" i="10"/>
  <c r="CB17" i="10"/>
  <c r="CJ17" i="10"/>
  <c r="H21" i="10"/>
  <c r="P21" i="10"/>
  <c r="X21" i="10"/>
  <c r="AF21" i="10"/>
  <c r="AN21" i="10"/>
  <c r="AV21" i="10"/>
  <c r="BD21" i="10"/>
  <c r="BL21" i="10"/>
  <c r="BT21" i="10"/>
  <c r="CB21" i="10"/>
  <c r="CJ21" i="10"/>
  <c r="H15" i="10"/>
  <c r="P15" i="10"/>
  <c r="X15" i="10"/>
  <c r="AF15" i="10"/>
  <c r="AN15" i="10"/>
  <c r="AV15" i="10"/>
  <c r="BD15" i="10"/>
  <c r="BL15" i="10"/>
  <c r="BT15" i="10"/>
  <c r="CB15" i="10"/>
  <c r="CJ15" i="10"/>
  <c r="I21" i="10"/>
  <c r="Q21" i="10"/>
  <c r="Y21" i="10"/>
  <c r="AG21" i="10"/>
  <c r="AO21" i="10"/>
  <c r="AW21" i="10"/>
  <c r="BE21" i="10"/>
  <c r="BM21" i="10"/>
  <c r="BU21" i="10"/>
  <c r="CC21" i="10"/>
  <c r="BL13" i="10"/>
  <c r="BT13" i="10"/>
  <c r="CB13" i="10"/>
  <c r="CJ13" i="10"/>
  <c r="I15" i="10"/>
  <c r="Q15" i="10"/>
  <c r="Y15" i="10"/>
  <c r="AG15" i="10"/>
  <c r="AO15" i="10"/>
  <c r="AW15" i="10"/>
  <c r="BE15" i="10"/>
  <c r="BM15" i="10"/>
  <c r="BU15" i="10"/>
  <c r="CC15" i="10"/>
  <c r="J17" i="10"/>
  <c r="R17" i="10"/>
  <c r="Z17" i="10"/>
  <c r="AH17" i="10"/>
  <c r="AP17" i="10"/>
  <c r="AX17" i="10"/>
  <c r="BF17" i="10"/>
  <c r="BN17" i="10"/>
  <c r="BV17" i="10"/>
  <c r="CD17" i="10"/>
  <c r="J21" i="10"/>
  <c r="R21" i="10"/>
  <c r="Z21" i="10"/>
  <c r="AH21" i="10"/>
  <c r="AP21" i="10"/>
  <c r="AX21" i="10"/>
  <c r="BF21" i="10"/>
  <c r="BN21" i="10"/>
  <c r="BV21" i="10"/>
  <c r="CD21" i="10"/>
  <c r="K69" i="11"/>
  <c r="K70" i="11" s="1"/>
  <c r="S69" i="11"/>
  <c r="S70" i="11" s="1"/>
  <c r="AA69" i="11"/>
  <c r="AA70" i="11" s="1"/>
  <c r="AI69" i="11"/>
  <c r="AI70" i="11" s="1"/>
  <c r="AQ69" i="11"/>
  <c r="AQ70" i="11" s="1"/>
  <c r="AY69" i="11"/>
  <c r="AY70" i="11" s="1"/>
  <c r="BG69" i="11"/>
  <c r="BG70" i="11" s="1"/>
  <c r="BO69" i="11"/>
  <c r="BO70" i="11" s="1"/>
  <c r="BW69" i="11"/>
  <c r="BW70" i="11" s="1"/>
  <c r="CE69" i="11"/>
  <c r="CE70" i="11" s="1"/>
  <c r="L69" i="11"/>
  <c r="L70" i="11" s="1"/>
  <c r="AB69" i="11"/>
  <c r="AB70" i="11" s="1"/>
  <c r="AJ69" i="11"/>
  <c r="AJ70" i="11" s="1"/>
  <c r="AR69" i="11"/>
  <c r="AR70" i="11" s="1"/>
  <c r="AZ69" i="11"/>
  <c r="AZ70" i="11" s="1"/>
  <c r="BH69" i="11"/>
  <c r="BH70" i="11" s="1"/>
  <c r="BP69" i="11"/>
  <c r="BP70" i="11" s="1"/>
  <c r="BX69" i="11"/>
  <c r="BX70" i="11" s="1"/>
  <c r="CF69" i="11"/>
  <c r="CF70" i="11" s="1"/>
  <c r="U69" i="11"/>
  <c r="U70" i="11" s="1"/>
  <c r="AC69" i="11"/>
  <c r="AC70" i="11" s="1"/>
  <c r="AK69" i="11"/>
  <c r="AK70" i="11" s="1"/>
  <c r="AS69" i="11"/>
  <c r="AS70" i="11" s="1"/>
  <c r="BA69" i="11"/>
  <c r="BA70" i="11" s="1"/>
  <c r="BI69" i="11"/>
  <c r="BI70" i="11" s="1"/>
  <c r="BQ69" i="11"/>
  <c r="BQ70" i="11" s="1"/>
  <c r="BY69" i="11"/>
  <c r="BY70" i="11" s="1"/>
  <c r="CG69" i="11"/>
  <c r="CG70" i="11" s="1"/>
  <c r="F69" i="11"/>
  <c r="F70" i="11" s="1"/>
  <c r="V69" i="11"/>
  <c r="V70" i="11" s="1"/>
  <c r="AD69" i="11"/>
  <c r="AD70" i="11" s="1"/>
  <c r="AL69" i="11"/>
  <c r="AL70" i="11" s="1"/>
  <c r="AT69" i="11"/>
  <c r="AT70" i="11" s="1"/>
  <c r="BB69" i="11"/>
  <c r="BB70" i="11" s="1"/>
  <c r="BJ69" i="11"/>
  <c r="BJ70" i="11" s="1"/>
  <c r="BR69" i="11"/>
  <c r="BR70" i="11" s="1"/>
  <c r="BR74" i="11" s="1"/>
  <c r="BZ69" i="11"/>
  <c r="BZ70" i="11" s="1"/>
  <c r="CH69" i="11"/>
  <c r="CH70" i="11" s="1"/>
  <c r="CH74" i="11" s="1"/>
  <c r="AM69" i="11"/>
  <c r="AM70" i="11" s="1"/>
  <c r="AU69" i="11"/>
  <c r="AU70" i="11" s="1"/>
  <c r="BC69" i="11"/>
  <c r="BC70" i="11" s="1"/>
  <c r="BK69" i="11"/>
  <c r="BK70" i="11" s="1"/>
  <c r="BS69" i="11"/>
  <c r="BS70" i="11" s="1"/>
  <c r="CA69" i="11"/>
  <c r="CA70" i="11" s="1"/>
  <c r="CI69" i="11"/>
  <c r="CI70" i="11" s="1"/>
  <c r="H69" i="11"/>
  <c r="H70" i="11" s="1"/>
  <c r="P69" i="11"/>
  <c r="P70" i="11" s="1"/>
  <c r="X69" i="11"/>
  <c r="X70" i="11" s="1"/>
  <c r="AF69" i="11"/>
  <c r="AF70" i="11" s="1"/>
  <c r="AN69" i="11"/>
  <c r="AN70" i="11" s="1"/>
  <c r="AV69" i="11"/>
  <c r="AV70" i="11" s="1"/>
  <c r="BD69" i="11"/>
  <c r="BD70" i="11" s="1"/>
  <c r="BL69" i="11"/>
  <c r="BL70" i="11" s="1"/>
  <c r="BT69" i="11"/>
  <c r="BT70" i="11" s="1"/>
  <c r="CB69" i="11"/>
  <c r="CB70" i="11" s="1"/>
  <c r="CJ69" i="11"/>
  <c r="CJ70" i="11" s="1"/>
  <c r="I69" i="11"/>
  <c r="I70" i="11" s="1"/>
  <c r="Q69" i="11"/>
  <c r="Q70" i="11" s="1"/>
  <c r="Y69" i="11"/>
  <c r="Y70" i="11" s="1"/>
  <c r="AG69" i="11"/>
  <c r="AG70" i="11" s="1"/>
  <c r="AO69" i="11"/>
  <c r="AO70" i="11" s="1"/>
  <c r="AW69" i="11"/>
  <c r="AW70" i="11" s="1"/>
  <c r="BE69" i="11"/>
  <c r="BE70" i="11" s="1"/>
  <c r="BM69" i="11"/>
  <c r="BM70" i="11" s="1"/>
  <c r="BU69" i="11"/>
  <c r="BU70" i="11" s="1"/>
  <c r="CC69" i="11"/>
  <c r="CC70" i="11" s="1"/>
  <c r="J69" i="11"/>
  <c r="J70" i="11" s="1"/>
  <c r="R69" i="11"/>
  <c r="R70" i="11" s="1"/>
  <c r="Z69" i="11"/>
  <c r="Z70" i="11" s="1"/>
  <c r="AH69" i="11"/>
  <c r="AH70" i="11" s="1"/>
  <c r="AP69" i="11"/>
  <c r="AP70" i="11" s="1"/>
  <c r="AX69" i="11"/>
  <c r="AX70" i="11" s="1"/>
  <c r="BF69" i="11"/>
  <c r="BF70" i="11" s="1"/>
  <c r="BN69" i="11"/>
  <c r="BN70" i="11" s="1"/>
  <c r="BV69" i="11"/>
  <c r="BV70" i="11" s="1"/>
  <c r="CD69" i="11"/>
  <c r="CD70" i="11" s="1"/>
  <c r="AT72" i="11"/>
  <c r="AT73" i="11" s="1"/>
  <c r="BB72" i="11"/>
  <c r="BB73" i="11" s="1"/>
  <c r="BJ72" i="11"/>
  <c r="BJ73" i="11" s="1"/>
  <c r="BR72" i="11"/>
  <c r="BR73" i="11" s="1"/>
  <c r="BZ72" i="11"/>
  <c r="BZ73" i="11" s="1"/>
  <c r="CH72" i="11"/>
  <c r="CH73" i="11" s="1"/>
  <c r="AE8" i="8"/>
  <c r="AB3" i="11"/>
  <c r="AM8" i="8"/>
  <c r="AJ3" i="11"/>
  <c r="G8" i="8"/>
  <c r="O8" i="8"/>
  <c r="L3" i="11"/>
  <c r="W8" i="8"/>
  <c r="T3" i="11"/>
  <c r="H8" i="8"/>
  <c r="P8" i="8"/>
  <c r="X8" i="8"/>
  <c r="AF8" i="8"/>
  <c r="AN8" i="8"/>
  <c r="E3" i="11"/>
  <c r="M3" i="11"/>
  <c r="U3" i="11"/>
  <c r="AC3" i="11"/>
  <c r="AK3" i="11"/>
  <c r="B10" i="13"/>
  <c r="I8" i="8"/>
  <c r="Q8" i="8"/>
  <c r="Y8" i="8"/>
  <c r="AG8" i="8"/>
  <c r="AO8" i="8"/>
  <c r="F3" i="11"/>
  <c r="N3" i="11"/>
  <c r="V3" i="11"/>
  <c r="AD3" i="11"/>
  <c r="AL3" i="11"/>
  <c r="B29" i="13"/>
  <c r="J8" i="8"/>
  <c r="R8" i="8"/>
  <c r="Z8" i="8"/>
  <c r="AH8" i="8"/>
  <c r="AP8" i="8"/>
  <c r="K8" i="8"/>
  <c r="S8" i="8"/>
  <c r="AA8" i="8"/>
  <c r="AI8" i="8"/>
  <c r="AQ8" i="8"/>
  <c r="B108" i="5"/>
  <c r="I31" i="9"/>
  <c r="Q31" i="9"/>
  <c r="Y31" i="9"/>
  <c r="AG31" i="9"/>
  <c r="I65" i="11"/>
  <c r="I66" i="11" s="1"/>
  <c r="Q65" i="11"/>
  <c r="Q66" i="11" s="1"/>
  <c r="Y65" i="11"/>
  <c r="Y66" i="11" s="1"/>
  <c r="AG65" i="11"/>
  <c r="AG66" i="11" s="1"/>
  <c r="AO65" i="11"/>
  <c r="AO66" i="11" s="1"/>
  <c r="F72" i="11"/>
  <c r="F73" i="11" s="1"/>
  <c r="N72" i="11"/>
  <c r="N73" i="11" s="1"/>
  <c r="V72" i="11"/>
  <c r="V73" i="11" s="1"/>
  <c r="AD72" i="11"/>
  <c r="AD73" i="11" s="1"/>
  <c r="AL72" i="11"/>
  <c r="AL73" i="11" s="1"/>
  <c r="W30" i="9"/>
  <c r="AE30" i="9"/>
  <c r="AM30" i="9"/>
  <c r="G30" i="9"/>
  <c r="O30" i="9"/>
  <c r="N69" i="11"/>
  <c r="N70" i="11" s="1"/>
  <c r="G69" i="11"/>
  <c r="G70" i="11" s="1"/>
  <c r="O69" i="11"/>
  <c r="O70" i="11" s="1"/>
  <c r="W69" i="11"/>
  <c r="W70" i="11" s="1"/>
  <c r="AE69" i="11"/>
  <c r="AE70" i="11" s="1"/>
  <c r="T69" i="11"/>
  <c r="T70" i="11" s="1"/>
  <c r="E69" i="11"/>
  <c r="E70" i="11" s="1"/>
  <c r="M69" i="11"/>
  <c r="M70" i="11" s="1"/>
  <c r="S65" i="11"/>
  <c r="S66" i="11" s="1"/>
  <c r="AA65" i="11"/>
  <c r="AA66" i="11" s="1"/>
  <c r="AQ65" i="11"/>
  <c r="AQ66" i="11" s="1"/>
  <c r="AE65" i="11"/>
  <c r="AE66" i="11" s="1"/>
  <c r="AM65" i="11"/>
  <c r="AM66" i="11" s="1"/>
  <c r="J76" i="11"/>
  <c r="R76" i="11"/>
  <c r="Z76" i="11"/>
  <c r="AH76" i="11"/>
  <c r="AP76" i="11"/>
  <c r="K76" i="11"/>
  <c r="S76" i="11"/>
  <c r="AA76" i="11"/>
  <c r="AI76" i="11"/>
  <c r="AQ76" i="11"/>
  <c r="L76" i="11"/>
  <c r="T76" i="11"/>
  <c r="AB76" i="11"/>
  <c r="AJ76" i="11"/>
  <c r="E76" i="11"/>
  <c r="M76" i="11"/>
  <c r="U76" i="11"/>
  <c r="AC76" i="11"/>
  <c r="AK76" i="11"/>
  <c r="G76" i="11"/>
  <c r="O76" i="11"/>
  <c r="W76" i="11"/>
  <c r="AE76" i="11"/>
  <c r="AM76" i="11"/>
  <c r="H76" i="11"/>
  <c r="P76" i="11"/>
  <c r="X76" i="11"/>
  <c r="AF76" i="11"/>
  <c r="AN76" i="11"/>
  <c r="I76" i="11"/>
  <c r="Q76" i="11"/>
  <c r="Y76" i="11"/>
  <c r="AG76" i="11"/>
  <c r="AO76" i="11"/>
  <c r="AB43" i="11"/>
  <c r="AD43" i="11"/>
  <c r="AL43" i="11"/>
  <c r="I43" i="11"/>
  <c r="Q43" i="11"/>
  <c r="Y43" i="11"/>
  <c r="AG43" i="11"/>
  <c r="AO43" i="11"/>
  <c r="K43" i="11"/>
  <c r="S43" i="11"/>
  <c r="AA43" i="11"/>
  <c r="AI43" i="11"/>
  <c r="AQ43" i="11"/>
  <c r="X54" i="11"/>
  <c r="X55" i="11" s="1"/>
  <c r="X2" i="9"/>
  <c r="X16" i="9" s="1"/>
  <c r="X35" i="7"/>
  <c r="T22" i="7" s="1"/>
  <c r="AG54" i="11"/>
  <c r="AG55" i="11" s="1"/>
  <c r="AG2" i="9"/>
  <c r="AG16" i="9" s="1"/>
  <c r="J54" i="11"/>
  <c r="J55" i="11" s="1"/>
  <c r="J2" i="9"/>
  <c r="J35" i="7"/>
  <c r="F22" i="7" s="1"/>
  <c r="R54" i="11"/>
  <c r="R55" i="11" s="1"/>
  <c r="R2" i="9"/>
  <c r="R35" i="7"/>
  <c r="N22" i="7" s="1"/>
  <c r="Z54" i="11"/>
  <c r="Z55" i="11" s="1"/>
  <c r="Z2" i="9"/>
  <c r="V22" i="7"/>
  <c r="AH54" i="11"/>
  <c r="AH55" i="11" s="1"/>
  <c r="AH2" i="9"/>
  <c r="AP54" i="11"/>
  <c r="AP55" i="11" s="1"/>
  <c r="AP2" i="9"/>
  <c r="AX54" i="11"/>
  <c r="AX55" i="11" s="1"/>
  <c r="AX2" i="9"/>
  <c r="BF54" i="11"/>
  <c r="BF55" i="11" s="1"/>
  <c r="BF2" i="9"/>
  <c r="BN54" i="11"/>
  <c r="BN55" i="11" s="1"/>
  <c r="BN2" i="9"/>
  <c r="BV54" i="11"/>
  <c r="BV55" i="11" s="1"/>
  <c r="BV2" i="9"/>
  <c r="CD54" i="11"/>
  <c r="CD55" i="11" s="1"/>
  <c r="CD2" i="9"/>
  <c r="J50" i="5"/>
  <c r="R50" i="5"/>
  <c r="Z50" i="5"/>
  <c r="AH50" i="5"/>
  <c r="AP50" i="5"/>
  <c r="AX50" i="5"/>
  <c r="BF50" i="5"/>
  <c r="BN50" i="5"/>
  <c r="BV50" i="5"/>
  <c r="CD50" i="5"/>
  <c r="J52" i="11"/>
  <c r="J53" i="11" s="1"/>
  <c r="J7" i="9"/>
  <c r="R52" i="11"/>
  <c r="R53" i="11" s="1"/>
  <c r="R7" i="9"/>
  <c r="Z52" i="11"/>
  <c r="Z53" i="11" s="1"/>
  <c r="Z7" i="9"/>
  <c r="AH52" i="11"/>
  <c r="AH53" i="11" s="1"/>
  <c r="AH7" i="9"/>
  <c r="AP52" i="11"/>
  <c r="AP53" i="11" s="1"/>
  <c r="AP7" i="9"/>
  <c r="AX52" i="11"/>
  <c r="AX53" i="11" s="1"/>
  <c r="AX7" i="9"/>
  <c r="BF52" i="11"/>
  <c r="BF53" i="11" s="1"/>
  <c r="BF7" i="9"/>
  <c r="BN52" i="11"/>
  <c r="BN53" i="11" s="1"/>
  <c r="BN7" i="9"/>
  <c r="BV52" i="11"/>
  <c r="BV53" i="11" s="1"/>
  <c r="BV7" i="9"/>
  <c r="CD52" i="11"/>
  <c r="CD53" i="11" s="1"/>
  <c r="CD7" i="9"/>
  <c r="AZ89" i="5"/>
  <c r="L54" i="11"/>
  <c r="L55" i="11" s="1"/>
  <c r="L2" i="9"/>
  <c r="L35" i="7"/>
  <c r="H22" i="7" s="1"/>
  <c r="Q54" i="11"/>
  <c r="Q55" i="11" s="1"/>
  <c r="Q2" i="9"/>
  <c r="Q35" i="7"/>
  <c r="M22" i="7" s="1"/>
  <c r="AO54" i="11"/>
  <c r="AO55" i="11" s="1"/>
  <c r="AO2" i="9"/>
  <c r="AO16" i="9" s="1"/>
  <c r="BE54" i="11"/>
  <c r="BE55" i="11" s="1"/>
  <c r="BE2" i="9"/>
  <c r="CC54" i="11"/>
  <c r="CC55" i="11" s="1"/>
  <c r="CC2" i="9"/>
  <c r="CC16" i="9" s="1"/>
  <c r="K54" i="11"/>
  <c r="K55" i="11" s="1"/>
  <c r="K2" i="9"/>
  <c r="K35" i="7"/>
  <c r="G22" i="7" s="1"/>
  <c r="S54" i="11"/>
  <c r="S55" i="11" s="1"/>
  <c r="S2" i="9"/>
  <c r="S35" i="7"/>
  <c r="O22" i="7" s="1"/>
  <c r="O23" i="7" s="1"/>
  <c r="AA54" i="11"/>
  <c r="AA55" i="11" s="1"/>
  <c r="AA2" i="9"/>
  <c r="W22" i="7"/>
  <c r="AI54" i="11"/>
  <c r="AI55" i="11" s="1"/>
  <c r="AI2" i="9"/>
  <c r="AQ54" i="11"/>
  <c r="AQ55" i="11" s="1"/>
  <c r="AQ2" i="9"/>
  <c r="AY54" i="11"/>
  <c r="AY55" i="11" s="1"/>
  <c r="AY2" i="9"/>
  <c r="AY16" i="9" s="1"/>
  <c r="BG54" i="11"/>
  <c r="BG55" i="11" s="1"/>
  <c r="BG2" i="9"/>
  <c r="BO54" i="11"/>
  <c r="BO55" i="11" s="1"/>
  <c r="BO2" i="9"/>
  <c r="BO16" i="9" s="1"/>
  <c r="BW54" i="11"/>
  <c r="BW55" i="11" s="1"/>
  <c r="BW2" i="9"/>
  <c r="BW16" i="9" s="1"/>
  <c r="CE54" i="11"/>
  <c r="CE55" i="11" s="1"/>
  <c r="CE2" i="9"/>
  <c r="K50" i="5"/>
  <c r="S50" i="5"/>
  <c r="AA50" i="5"/>
  <c r="AI50" i="5"/>
  <c r="AQ50" i="5"/>
  <c r="AY50" i="5"/>
  <c r="BG50" i="5"/>
  <c r="BO50" i="5"/>
  <c r="BW50" i="5"/>
  <c r="CE50" i="5"/>
  <c r="K52" i="11"/>
  <c r="K53" i="11" s="1"/>
  <c r="K7" i="9"/>
  <c r="S52" i="11"/>
  <c r="S53" i="11" s="1"/>
  <c r="S7" i="9"/>
  <c r="AA52" i="11"/>
  <c r="AA53" i="11" s="1"/>
  <c r="AA7" i="9"/>
  <c r="AI52" i="11"/>
  <c r="AI53" i="11" s="1"/>
  <c r="AI7" i="9"/>
  <c r="AQ52" i="11"/>
  <c r="AQ53" i="11" s="1"/>
  <c r="AQ7" i="9"/>
  <c r="AY52" i="11"/>
  <c r="AY53" i="11" s="1"/>
  <c r="AY7" i="9"/>
  <c r="BG52" i="11"/>
  <c r="BG53" i="11" s="1"/>
  <c r="BG7" i="9"/>
  <c r="BO52" i="11"/>
  <c r="BO7" i="9"/>
  <c r="BW52" i="11"/>
  <c r="BW53" i="11" s="1"/>
  <c r="BW7" i="9"/>
  <c r="CE52" i="11"/>
  <c r="CE53" i="11" s="1"/>
  <c r="CE7" i="9"/>
  <c r="I10" i="9"/>
  <c r="I89" i="5"/>
  <c r="BH89" i="5"/>
  <c r="T54" i="11"/>
  <c r="T55" i="11" s="1"/>
  <c r="T2" i="9"/>
  <c r="T35" i="7"/>
  <c r="P22" i="7" s="1"/>
  <c r="AZ54" i="11"/>
  <c r="AZ55" i="11" s="1"/>
  <c r="AZ2" i="9"/>
  <c r="AZ16" i="9" s="1"/>
  <c r="CF54" i="11"/>
  <c r="CF2" i="9"/>
  <c r="L50" i="5"/>
  <c r="T50" i="5"/>
  <c r="AB50" i="5"/>
  <c r="AJ50" i="5"/>
  <c r="AR50" i="5"/>
  <c r="AZ50" i="5"/>
  <c r="BH50" i="5"/>
  <c r="BP50" i="5"/>
  <c r="BX50" i="5"/>
  <c r="CF50" i="5"/>
  <c r="L52" i="11"/>
  <c r="L53" i="11" s="1"/>
  <c r="L7" i="9"/>
  <c r="T52" i="11"/>
  <c r="T53" i="11" s="1"/>
  <c r="T7" i="9"/>
  <c r="AB52" i="11"/>
  <c r="AB53" i="11" s="1"/>
  <c r="AB7" i="9"/>
  <c r="AJ52" i="11"/>
  <c r="AJ53" i="11" s="1"/>
  <c r="AJ7" i="9"/>
  <c r="AR52" i="11"/>
  <c r="AR53" i="11" s="1"/>
  <c r="AR7" i="9"/>
  <c r="AZ52" i="11"/>
  <c r="AZ53" i="11" s="1"/>
  <c r="AZ7" i="9"/>
  <c r="BH52" i="11"/>
  <c r="BH53" i="11" s="1"/>
  <c r="BH7" i="9"/>
  <c r="BP52" i="11"/>
  <c r="BP7" i="9"/>
  <c r="BX52" i="11"/>
  <c r="BX53" i="11" s="1"/>
  <c r="BX7" i="9"/>
  <c r="CF52" i="11"/>
  <c r="CF53" i="11" s="1"/>
  <c r="CF7" i="9"/>
  <c r="J10" i="9"/>
  <c r="J89" i="5"/>
  <c r="R10" i="9"/>
  <c r="R78" i="9" s="1"/>
  <c r="R79" i="9" s="1"/>
  <c r="R89" i="5"/>
  <c r="Z10" i="9"/>
  <c r="Z89" i="5"/>
  <c r="AH10" i="9"/>
  <c r="AH34" i="9" s="1"/>
  <c r="AH89" i="5"/>
  <c r="AP10" i="9"/>
  <c r="AL34" i="9" s="1"/>
  <c r="AP89" i="5"/>
  <c r="AX10" i="9"/>
  <c r="AX89" i="5"/>
  <c r="BF10" i="9"/>
  <c r="BF34" i="9" s="1"/>
  <c r="BF89" i="5"/>
  <c r="BN10" i="9"/>
  <c r="BJ34" i="9" s="1"/>
  <c r="BN89" i="5"/>
  <c r="BV10" i="9"/>
  <c r="BR34" i="9" s="1"/>
  <c r="BV89" i="5"/>
  <c r="CD10" i="9"/>
  <c r="CD34" i="9" s="1"/>
  <c r="CD89" i="5"/>
  <c r="BP89" i="5"/>
  <c r="AB54" i="11"/>
  <c r="AB55" i="11" s="1"/>
  <c r="AB2" i="9"/>
  <c r="AB16" i="9" s="1"/>
  <c r="X22" i="7"/>
  <c r="BH54" i="11"/>
  <c r="BH55" i="11" s="1"/>
  <c r="BH2" i="9"/>
  <c r="BH16" i="9" s="1"/>
  <c r="M54" i="11"/>
  <c r="M55" i="11" s="1"/>
  <c r="M2" i="9"/>
  <c r="M35" i="7"/>
  <c r="I22" i="7" s="1"/>
  <c r="I23" i="7" s="1"/>
  <c r="U54" i="11"/>
  <c r="U55" i="11" s="1"/>
  <c r="U2" i="9"/>
  <c r="U35" i="7"/>
  <c r="Q22" i="7" s="1"/>
  <c r="AC54" i="11"/>
  <c r="AC55" i="11" s="1"/>
  <c r="AC2" i="9"/>
  <c r="AC16" i="9" s="1"/>
  <c r="Y22" i="7"/>
  <c r="AK54" i="11"/>
  <c r="AK55" i="11" s="1"/>
  <c r="AK2" i="9"/>
  <c r="AS54" i="11"/>
  <c r="AS55" i="11" s="1"/>
  <c r="AS2" i="9"/>
  <c r="BA54" i="11"/>
  <c r="BA55" i="11" s="1"/>
  <c r="BA2" i="9"/>
  <c r="BA25" i="9" s="1"/>
  <c r="BI54" i="11"/>
  <c r="BI55" i="11" s="1"/>
  <c r="BI2" i="9"/>
  <c r="BI16" i="9" s="1"/>
  <c r="BQ54" i="11"/>
  <c r="BQ55" i="11" s="1"/>
  <c r="BQ2" i="9"/>
  <c r="BQ16" i="9" s="1"/>
  <c r="BY54" i="11"/>
  <c r="BY55" i="11" s="1"/>
  <c r="BY2" i="9"/>
  <c r="CG54" i="11"/>
  <c r="CG55" i="11" s="1"/>
  <c r="CG2" i="9"/>
  <c r="E50" i="5"/>
  <c r="M50" i="5"/>
  <c r="U50" i="5"/>
  <c r="AC50" i="5"/>
  <c r="AK50" i="5"/>
  <c r="AS50" i="5"/>
  <c r="BA50" i="5"/>
  <c r="BI50" i="5"/>
  <c r="BQ50" i="5"/>
  <c r="BY50" i="5"/>
  <c r="CG50" i="5"/>
  <c r="E52" i="11"/>
  <c r="E53" i="11" s="1"/>
  <c r="E7" i="9"/>
  <c r="M52" i="11"/>
  <c r="M53" i="11" s="1"/>
  <c r="M7" i="9"/>
  <c r="U52" i="11"/>
  <c r="U53" i="11" s="1"/>
  <c r="U7" i="9"/>
  <c r="AC52" i="11"/>
  <c r="AC53" i="11" s="1"/>
  <c r="AC7" i="9"/>
  <c r="AK52" i="11"/>
  <c r="AK53" i="11" s="1"/>
  <c r="AK7" i="9"/>
  <c r="AS52" i="11"/>
  <c r="AS53" i="11" s="1"/>
  <c r="AS7" i="9"/>
  <c r="BA52" i="11"/>
  <c r="BA53" i="11" s="1"/>
  <c r="BA7" i="9"/>
  <c r="BI52" i="11"/>
  <c r="BI53" i="11" s="1"/>
  <c r="BI7" i="9"/>
  <c r="BQ52" i="11"/>
  <c r="BQ53" i="11" s="1"/>
  <c r="BQ7" i="9"/>
  <c r="BY52" i="11"/>
  <c r="BY53" i="11" s="1"/>
  <c r="BY7" i="9"/>
  <c r="CG52" i="11"/>
  <c r="CG53" i="11" s="1"/>
  <c r="CG7" i="9"/>
  <c r="L89" i="5"/>
  <c r="BX89" i="5"/>
  <c r="AR54" i="11"/>
  <c r="AR55" i="11" s="1"/>
  <c r="AR2" i="9"/>
  <c r="AR16" i="9" s="1"/>
  <c r="BX54" i="11"/>
  <c r="BX55" i="11" s="1"/>
  <c r="BX2" i="9"/>
  <c r="BX16" i="9" s="1"/>
  <c r="E54" i="11"/>
  <c r="E55" i="11" s="1"/>
  <c r="B25" i="13"/>
  <c r="B6" i="13"/>
  <c r="E2" i="9"/>
  <c r="E35" i="7"/>
  <c r="F54" i="11"/>
  <c r="F55" i="11" s="1"/>
  <c r="F2" i="9"/>
  <c r="F35" i="7"/>
  <c r="N54" i="11"/>
  <c r="N55" i="11" s="1"/>
  <c r="N2" i="9"/>
  <c r="N35" i="7"/>
  <c r="J22" i="7" s="1"/>
  <c r="V54" i="11"/>
  <c r="V55" i="11" s="1"/>
  <c r="V2" i="9"/>
  <c r="V16" i="9" s="1"/>
  <c r="V35" i="7"/>
  <c r="R22" i="7" s="1"/>
  <c r="AD54" i="11"/>
  <c r="AD55" i="11" s="1"/>
  <c r="AD2" i="9"/>
  <c r="AD16" i="9" s="1"/>
  <c r="AL54" i="11"/>
  <c r="AL55" i="11" s="1"/>
  <c r="AL2" i="9"/>
  <c r="AL16" i="9" s="1"/>
  <c r="AT54" i="11"/>
  <c r="AT55" i="11" s="1"/>
  <c r="AT2" i="9"/>
  <c r="AT16" i="9" s="1"/>
  <c r="BB54" i="11"/>
  <c r="BB55" i="11" s="1"/>
  <c r="BB2" i="9"/>
  <c r="BB16" i="9" s="1"/>
  <c r="BJ54" i="11"/>
  <c r="BJ55" i="11" s="1"/>
  <c r="BJ2" i="9"/>
  <c r="BJ16" i="9" s="1"/>
  <c r="BR54" i="11"/>
  <c r="BR55" i="11" s="1"/>
  <c r="BR2" i="9"/>
  <c r="BZ54" i="11"/>
  <c r="BZ55" i="11" s="1"/>
  <c r="BZ2" i="9"/>
  <c r="BZ16" i="9" s="1"/>
  <c r="CH54" i="11"/>
  <c r="CH55" i="11" s="1"/>
  <c r="CH2" i="9"/>
  <c r="CH16" i="9" s="1"/>
  <c r="F50" i="5"/>
  <c r="N50" i="5"/>
  <c r="V50" i="5"/>
  <c r="AD50" i="5"/>
  <c r="AL50" i="5"/>
  <c r="AT50" i="5"/>
  <c r="BB50" i="5"/>
  <c r="BJ50" i="5"/>
  <c r="BR50" i="5"/>
  <c r="BZ50" i="5"/>
  <c r="CH50" i="5"/>
  <c r="F52" i="11"/>
  <c r="F53" i="11" s="1"/>
  <c r="F7" i="9"/>
  <c r="N52" i="11"/>
  <c r="N53" i="11" s="1"/>
  <c r="N7" i="9"/>
  <c r="V52" i="11"/>
  <c r="V53" i="11" s="1"/>
  <c r="V7" i="9"/>
  <c r="AD52" i="11"/>
  <c r="AD53" i="11" s="1"/>
  <c r="AD7" i="9"/>
  <c r="AL52" i="11"/>
  <c r="AL53" i="11" s="1"/>
  <c r="AL7" i="9"/>
  <c r="AT52" i="11"/>
  <c r="AT53" i="11" s="1"/>
  <c r="AT7" i="9"/>
  <c r="BB52" i="11"/>
  <c r="BB53" i="11" s="1"/>
  <c r="BB7" i="9"/>
  <c r="BJ52" i="11"/>
  <c r="BJ53" i="11" s="1"/>
  <c r="BJ7" i="9"/>
  <c r="BR52" i="11"/>
  <c r="BR7" i="9"/>
  <c r="BZ52" i="11"/>
  <c r="BZ53" i="11" s="1"/>
  <c r="BZ7" i="9"/>
  <c r="CH52" i="11"/>
  <c r="CH7" i="9"/>
  <c r="CD32" i="9" s="1"/>
  <c r="T89" i="5"/>
  <c r="CF89" i="5"/>
  <c r="AJ54" i="11"/>
  <c r="AJ55" i="11" s="1"/>
  <c r="AJ2" i="9"/>
  <c r="BP54" i="11"/>
  <c r="BP55" i="11" s="1"/>
  <c r="BP2" i="9"/>
  <c r="BP16" i="9" s="1"/>
  <c r="G54" i="11"/>
  <c r="G55" i="11" s="1"/>
  <c r="G2" i="9"/>
  <c r="G35" i="7"/>
  <c r="O54" i="11"/>
  <c r="O55" i="11" s="1"/>
  <c r="O2" i="9"/>
  <c r="O35" i="7"/>
  <c r="K22" i="7" s="1"/>
  <c r="W54" i="11"/>
  <c r="W55" i="11" s="1"/>
  <c r="W2" i="9"/>
  <c r="W16" i="9" s="1"/>
  <c r="W35" i="7"/>
  <c r="S22" i="7" s="1"/>
  <c r="AE54" i="11"/>
  <c r="AE55" i="11" s="1"/>
  <c r="AE2" i="9"/>
  <c r="AE16" i="9" s="1"/>
  <c r="AM54" i="11"/>
  <c r="AM55" i="11" s="1"/>
  <c r="AM2" i="9"/>
  <c r="AM16" i="9" s="1"/>
  <c r="AU54" i="11"/>
  <c r="AU55" i="11" s="1"/>
  <c r="AU2" i="9"/>
  <c r="AU16" i="9" s="1"/>
  <c r="BC54" i="11"/>
  <c r="BC55" i="11" s="1"/>
  <c r="BC2" i="9"/>
  <c r="BK54" i="11"/>
  <c r="BK55" i="11" s="1"/>
  <c r="BK2" i="9"/>
  <c r="BK16" i="9" s="1"/>
  <c r="BS54" i="11"/>
  <c r="BS55" i="11" s="1"/>
  <c r="BS2" i="9"/>
  <c r="CA54" i="11"/>
  <c r="CA55" i="11" s="1"/>
  <c r="CA2" i="9"/>
  <c r="CA16" i="9" s="1"/>
  <c r="CI54" i="11"/>
  <c r="CI55" i="11" s="1"/>
  <c r="CI2" i="9"/>
  <c r="CI25" i="9" s="1"/>
  <c r="G50" i="5"/>
  <c r="O50" i="5"/>
  <c r="W50" i="5"/>
  <c r="AE50" i="5"/>
  <c r="AM50" i="5"/>
  <c r="AU50" i="5"/>
  <c r="BC50" i="5"/>
  <c r="BK50" i="5"/>
  <c r="BS50" i="5"/>
  <c r="CA50" i="5"/>
  <c r="CI50" i="5"/>
  <c r="G52" i="11"/>
  <c r="G53" i="11" s="1"/>
  <c r="G7" i="9"/>
  <c r="O52" i="11"/>
  <c r="O53" i="11" s="1"/>
  <c r="O7" i="9"/>
  <c r="W52" i="11"/>
  <c r="W53" i="11" s="1"/>
  <c r="W7" i="9"/>
  <c r="AE52" i="11"/>
  <c r="AE53" i="11" s="1"/>
  <c r="AE7" i="9"/>
  <c r="AM52" i="11"/>
  <c r="AM53" i="11" s="1"/>
  <c r="AM7" i="9"/>
  <c r="AU52" i="11"/>
  <c r="AU53" i="11" s="1"/>
  <c r="AU7" i="9"/>
  <c r="BC52" i="11"/>
  <c r="BC53" i="11" s="1"/>
  <c r="BC7" i="9"/>
  <c r="BK52" i="11"/>
  <c r="BK53" i="11" s="1"/>
  <c r="BK7" i="9"/>
  <c r="BS52" i="11"/>
  <c r="BS7" i="9"/>
  <c r="CA52" i="11"/>
  <c r="CA53" i="11" s="1"/>
  <c r="CA7" i="9"/>
  <c r="CI52" i="11"/>
  <c r="CI53" i="11" s="1"/>
  <c r="CI7" i="9"/>
  <c r="E10" i="9"/>
  <c r="E89" i="5"/>
  <c r="M10" i="9"/>
  <c r="M89" i="5"/>
  <c r="AB89" i="5"/>
  <c r="H54" i="11"/>
  <c r="H55" i="11" s="1"/>
  <c r="H2" i="9"/>
  <c r="H35" i="7"/>
  <c r="AF54" i="11"/>
  <c r="AF55" i="11" s="1"/>
  <c r="AF2" i="9"/>
  <c r="AF16" i="9" s="1"/>
  <c r="AN54" i="11"/>
  <c r="AN55" i="11" s="1"/>
  <c r="AN2" i="9"/>
  <c r="AN16" i="9" s="1"/>
  <c r="AV54" i="11"/>
  <c r="AV55" i="11" s="1"/>
  <c r="AV2" i="9"/>
  <c r="AV16" i="9" s="1"/>
  <c r="BD54" i="11"/>
  <c r="BD55" i="11" s="1"/>
  <c r="BD2" i="9"/>
  <c r="BL54" i="11"/>
  <c r="BL55" i="11" s="1"/>
  <c r="BL2" i="9"/>
  <c r="BL16" i="9" s="1"/>
  <c r="BT54" i="11"/>
  <c r="BT55" i="11" s="1"/>
  <c r="BT2" i="9"/>
  <c r="BT16" i="9" s="1"/>
  <c r="CB54" i="11"/>
  <c r="CB55" i="11" s="1"/>
  <c r="CB2" i="9"/>
  <c r="CB16" i="9" s="1"/>
  <c r="CJ54" i="11"/>
  <c r="CJ55" i="11" s="1"/>
  <c r="CJ2" i="9"/>
  <c r="CJ25" i="9" s="1"/>
  <c r="H30" i="9"/>
  <c r="P30" i="9"/>
  <c r="X30" i="9"/>
  <c r="AF30" i="9"/>
  <c r="H50" i="5"/>
  <c r="P50" i="5"/>
  <c r="X50" i="5"/>
  <c r="AF50" i="5"/>
  <c r="AN50" i="5"/>
  <c r="AV50" i="5"/>
  <c r="BD50" i="5"/>
  <c r="BL50" i="5"/>
  <c r="BT50" i="5"/>
  <c r="CB50" i="5"/>
  <c r="CJ50" i="5"/>
  <c r="H52" i="11"/>
  <c r="H53" i="11" s="1"/>
  <c r="H7" i="9"/>
  <c r="P52" i="11"/>
  <c r="P53" i="11" s="1"/>
  <c r="P7" i="9"/>
  <c r="X52" i="11"/>
  <c r="X53" i="11" s="1"/>
  <c r="X7" i="9"/>
  <c r="AF52" i="11"/>
  <c r="AF7" i="9"/>
  <c r="AN52" i="11"/>
  <c r="AN53" i="11" s="1"/>
  <c r="AN7" i="9"/>
  <c r="AV52" i="11"/>
  <c r="AV53" i="11" s="1"/>
  <c r="AV7" i="9"/>
  <c r="BD52" i="11"/>
  <c r="BD53" i="11" s="1"/>
  <c r="BD7" i="9"/>
  <c r="BL52" i="11"/>
  <c r="BL53" i="11" s="1"/>
  <c r="BL7" i="9"/>
  <c r="BT52" i="11"/>
  <c r="BT53" i="11" s="1"/>
  <c r="BT7" i="9"/>
  <c r="CB52" i="11"/>
  <c r="CB53" i="11" s="1"/>
  <c r="CB7" i="9"/>
  <c r="CJ52" i="11"/>
  <c r="CJ7" i="9"/>
  <c r="AJ89" i="5"/>
  <c r="P54" i="11"/>
  <c r="P55" i="11" s="1"/>
  <c r="P2" i="9"/>
  <c r="P35" i="7"/>
  <c r="L22" i="7" s="1"/>
  <c r="I54" i="11"/>
  <c r="I55" i="11" s="1"/>
  <c r="I2" i="9"/>
  <c r="I35" i="7"/>
  <c r="E22" i="7" s="1"/>
  <c r="Y54" i="11"/>
  <c r="Y55" i="11" s="1"/>
  <c r="Y2" i="9"/>
  <c r="Y35" i="7"/>
  <c r="U22" i="7" s="1"/>
  <c r="AW54" i="11"/>
  <c r="AW55" i="11" s="1"/>
  <c r="AW2" i="9"/>
  <c r="AW16" i="9" s="1"/>
  <c r="BM54" i="11"/>
  <c r="BM55" i="11" s="1"/>
  <c r="BM2" i="9"/>
  <c r="BU54" i="11"/>
  <c r="BU55" i="11" s="1"/>
  <c r="BU2" i="9"/>
  <c r="CK54" i="11"/>
  <c r="CK55" i="11" s="1"/>
  <c r="CK2" i="9"/>
  <c r="CK25" i="9" s="1"/>
  <c r="I50" i="5"/>
  <c r="Q50" i="5"/>
  <c r="Y50" i="5"/>
  <c r="AG50" i="5"/>
  <c r="AO50" i="5"/>
  <c r="AW50" i="5"/>
  <c r="BE50" i="5"/>
  <c r="BM50" i="5"/>
  <c r="BU50" i="5"/>
  <c r="CC50" i="5"/>
  <c r="CK50" i="5"/>
  <c r="I52" i="11"/>
  <c r="I53" i="11" s="1"/>
  <c r="I7" i="9"/>
  <c r="Q52" i="11"/>
  <c r="Q53" i="11" s="1"/>
  <c r="Q7" i="9"/>
  <c r="Y52" i="11"/>
  <c r="Y53" i="11" s="1"/>
  <c r="Y7" i="9"/>
  <c r="AG52" i="11"/>
  <c r="AG53" i="11" s="1"/>
  <c r="AG7" i="9"/>
  <c r="AO52" i="11"/>
  <c r="AO53" i="11" s="1"/>
  <c r="AO7" i="9"/>
  <c r="AW52" i="11"/>
  <c r="AW53" i="11" s="1"/>
  <c r="AW7" i="9"/>
  <c r="BE52" i="11"/>
  <c r="BE53" i="11" s="1"/>
  <c r="BE7" i="9"/>
  <c r="BM52" i="11"/>
  <c r="BM53" i="11" s="1"/>
  <c r="BM7" i="9"/>
  <c r="BU52" i="11"/>
  <c r="BU7" i="9"/>
  <c r="BQ32" i="9" s="1"/>
  <c r="CC52" i="11"/>
  <c r="CC53" i="11" s="1"/>
  <c r="CC7" i="9"/>
  <c r="CK52" i="11"/>
  <c r="CK7" i="9"/>
  <c r="AR89" i="5"/>
  <c r="H89" i="5"/>
  <c r="P89" i="5"/>
  <c r="X89" i="5"/>
  <c r="AF89" i="5"/>
  <c r="AN89" i="5"/>
  <c r="AV89" i="5"/>
  <c r="BD89" i="5"/>
  <c r="BL89" i="5"/>
  <c r="BT89" i="5"/>
  <c r="CB89" i="5"/>
  <c r="CJ89" i="5"/>
  <c r="Q89" i="5"/>
  <c r="Y89" i="5"/>
  <c r="AG89" i="5"/>
  <c r="AO89" i="5"/>
  <c r="AW89" i="5"/>
  <c r="BE89" i="5"/>
  <c r="BM89" i="5"/>
  <c r="BU89" i="5"/>
  <c r="CC89" i="5"/>
  <c r="CK89" i="5"/>
  <c r="K89" i="5"/>
  <c r="S89" i="5"/>
  <c r="AA89" i="5"/>
  <c r="AI89" i="5"/>
  <c r="AQ89" i="5"/>
  <c r="AY89" i="5"/>
  <c r="BG89" i="5"/>
  <c r="BO89" i="5"/>
  <c r="BW89" i="5"/>
  <c r="CE89" i="5"/>
  <c r="U89" i="5"/>
  <c r="AC89" i="5"/>
  <c r="AK89" i="5"/>
  <c r="AS89" i="5"/>
  <c r="BA89" i="5"/>
  <c r="BI89" i="5"/>
  <c r="BQ89" i="5"/>
  <c r="BY89" i="5"/>
  <c r="CG89" i="5"/>
  <c r="F89" i="5"/>
  <c r="N89" i="5"/>
  <c r="V89" i="5"/>
  <c r="AD89" i="5"/>
  <c r="AL89" i="5"/>
  <c r="AT89" i="5"/>
  <c r="BB89" i="5"/>
  <c r="BJ89" i="5"/>
  <c r="BR89" i="5"/>
  <c r="BZ89" i="5"/>
  <c r="CH89" i="5"/>
  <c r="G89" i="5"/>
  <c r="O89" i="5"/>
  <c r="W89" i="5"/>
  <c r="AE89" i="5"/>
  <c r="AM89" i="5"/>
  <c r="AU89" i="5"/>
  <c r="BC89" i="5"/>
  <c r="BK89" i="5"/>
  <c r="BS89" i="5"/>
  <c r="CA89" i="5"/>
  <c r="CI89" i="5"/>
  <c r="I28" i="11"/>
  <c r="Q28" i="11"/>
  <c r="Y28" i="11"/>
  <c r="AG28" i="11"/>
  <c r="AO28" i="11"/>
  <c r="AW28" i="11"/>
  <c r="BE28" i="11"/>
  <c r="BM28" i="11"/>
  <c r="BU28" i="11"/>
  <c r="CC28" i="11"/>
  <c r="G43" i="11"/>
  <c r="O43" i="11"/>
  <c r="W43" i="11"/>
  <c r="AE43" i="11"/>
  <c r="AM43" i="11"/>
  <c r="AU43" i="11"/>
  <c r="BC43" i="11"/>
  <c r="BK43" i="11"/>
  <c r="BS43" i="11"/>
  <c r="CA43" i="11"/>
  <c r="CI43" i="11"/>
  <c r="H43" i="11"/>
  <c r="P43" i="11"/>
  <c r="X43" i="11"/>
  <c r="AF43" i="11"/>
  <c r="AN43" i="11"/>
  <c r="AV43" i="11"/>
  <c r="BD43" i="11"/>
  <c r="BL43" i="11"/>
  <c r="BT43" i="11"/>
  <c r="CB43" i="11"/>
  <c r="CJ43" i="11"/>
  <c r="L28" i="11"/>
  <c r="T28" i="11"/>
  <c r="AB28" i="11"/>
  <c r="AJ28" i="11"/>
  <c r="AR28" i="11"/>
  <c r="AZ28" i="11"/>
  <c r="BH28" i="11"/>
  <c r="BP28" i="11"/>
  <c r="BX28" i="11"/>
  <c r="J43" i="11"/>
  <c r="R43" i="11"/>
  <c r="Z43" i="11"/>
  <c r="AH43" i="11"/>
  <c r="AP43" i="11"/>
  <c r="AX43" i="11"/>
  <c r="BF43" i="11"/>
  <c r="BN43" i="11"/>
  <c r="BV43" i="11"/>
  <c r="CD43" i="11"/>
  <c r="L43" i="11"/>
  <c r="T43" i="11"/>
  <c r="AJ43" i="11"/>
  <c r="AR43" i="11"/>
  <c r="AZ43" i="11"/>
  <c r="BH43" i="11"/>
  <c r="BP43" i="11"/>
  <c r="CF43" i="11"/>
  <c r="G28" i="11"/>
  <c r="W28" i="11"/>
  <c r="AE28" i="11"/>
  <c r="AM28" i="11"/>
  <c r="AU28" i="11"/>
  <c r="BC28" i="11"/>
  <c r="BK28" i="11"/>
  <c r="CI28" i="11"/>
  <c r="E43" i="11"/>
  <c r="M43" i="11"/>
  <c r="U43" i="11"/>
  <c r="AC43" i="11"/>
  <c r="AK43" i="11"/>
  <c r="AS43" i="11"/>
  <c r="BA43" i="11"/>
  <c r="BI43" i="11"/>
  <c r="BQ43" i="11"/>
  <c r="BY43" i="11"/>
  <c r="CG43" i="11"/>
  <c r="AF53" i="11"/>
  <c r="CK53" i="11"/>
  <c r="G72" i="11"/>
  <c r="G73" i="11" s="1"/>
  <c r="O72" i="11"/>
  <c r="O73" i="11" s="1"/>
  <c r="W72" i="11"/>
  <c r="W73" i="11" s="1"/>
  <c r="AE72" i="11"/>
  <c r="AE73" i="11" s="1"/>
  <c r="AM72" i="11"/>
  <c r="AM73" i="11" s="1"/>
  <c r="AU72" i="11"/>
  <c r="AU73" i="11" s="1"/>
  <c r="BC72" i="11"/>
  <c r="BC73" i="11" s="1"/>
  <c r="BK72" i="11"/>
  <c r="BK73" i="11" s="1"/>
  <c r="BS72" i="11"/>
  <c r="BS73" i="11" s="1"/>
  <c r="CA72" i="11"/>
  <c r="CA73" i="11" s="1"/>
  <c r="CI72" i="11"/>
  <c r="CI73" i="11" s="1"/>
  <c r="F76" i="11"/>
  <c r="N76" i="11"/>
  <c r="V76" i="11"/>
  <c r="AD76" i="11"/>
  <c r="AL76" i="11"/>
  <c r="AT76" i="11"/>
  <c r="BB76" i="11"/>
  <c r="BJ76" i="11"/>
  <c r="BR76" i="11"/>
  <c r="BZ76" i="11"/>
  <c r="CH76" i="11"/>
  <c r="H72" i="11"/>
  <c r="H73" i="11" s="1"/>
  <c r="P72" i="11"/>
  <c r="P73" i="11" s="1"/>
  <c r="X72" i="11"/>
  <c r="X73" i="11" s="1"/>
  <c r="AF72" i="11"/>
  <c r="AF73" i="11" s="1"/>
  <c r="AN72" i="11"/>
  <c r="AN73" i="11" s="1"/>
  <c r="AV72" i="11"/>
  <c r="AV73" i="11" s="1"/>
  <c r="BD72" i="11"/>
  <c r="BD73" i="11" s="1"/>
  <c r="BL72" i="11"/>
  <c r="BL73" i="11" s="1"/>
  <c r="BT72" i="11"/>
  <c r="BT73" i="11" s="1"/>
  <c r="CB72" i="11"/>
  <c r="CB73" i="11" s="1"/>
  <c r="CJ72" i="11"/>
  <c r="CJ73" i="11" s="1"/>
  <c r="I72" i="11"/>
  <c r="I73" i="11" s="1"/>
  <c r="Q72" i="11"/>
  <c r="Q73" i="11" s="1"/>
  <c r="Y72" i="11"/>
  <c r="Y73" i="11" s="1"/>
  <c r="AG72" i="11"/>
  <c r="AG73" i="11" s="1"/>
  <c r="AO72" i="11"/>
  <c r="AO73" i="11" s="1"/>
  <c r="AW72" i="11"/>
  <c r="AW73" i="11" s="1"/>
  <c r="BE72" i="11"/>
  <c r="BE73" i="11" s="1"/>
  <c r="BM72" i="11"/>
  <c r="BM73" i="11" s="1"/>
  <c r="BU72" i="11"/>
  <c r="BU73" i="11" s="1"/>
  <c r="CC72" i="11"/>
  <c r="CC73" i="11" s="1"/>
  <c r="J72" i="11"/>
  <c r="J73" i="11" s="1"/>
  <c r="R72" i="11"/>
  <c r="R73" i="11" s="1"/>
  <c r="Z72" i="11"/>
  <c r="Z73" i="11" s="1"/>
  <c r="AH72" i="11"/>
  <c r="AH73" i="11" s="1"/>
  <c r="AP72" i="11"/>
  <c r="AP73" i="11" s="1"/>
  <c r="AX72" i="11"/>
  <c r="AX73" i="11" s="1"/>
  <c r="BF72" i="11"/>
  <c r="BF73" i="11" s="1"/>
  <c r="BN72" i="11"/>
  <c r="BN73" i="11" s="1"/>
  <c r="BV72" i="11"/>
  <c r="BV73" i="11" s="1"/>
  <c r="CD72" i="11"/>
  <c r="CD73" i="11" s="1"/>
  <c r="K72" i="11"/>
  <c r="K73" i="11" s="1"/>
  <c r="S72" i="11"/>
  <c r="S73" i="11" s="1"/>
  <c r="AA72" i="11"/>
  <c r="AA73" i="11" s="1"/>
  <c r="AI72" i="11"/>
  <c r="AI73" i="11" s="1"/>
  <c r="AQ72" i="11"/>
  <c r="AQ73" i="11" s="1"/>
  <c r="AY72" i="11"/>
  <c r="AY73" i="11" s="1"/>
  <c r="BG72" i="11"/>
  <c r="BG73" i="11" s="1"/>
  <c r="BO72" i="11"/>
  <c r="BO73" i="11" s="1"/>
  <c r="BW72" i="11"/>
  <c r="BW73" i="11" s="1"/>
  <c r="CE72" i="11"/>
  <c r="CE73" i="11" s="1"/>
  <c r="L72" i="11"/>
  <c r="L73" i="11" s="1"/>
  <c r="T72" i="11"/>
  <c r="T73" i="11" s="1"/>
  <c r="AB72" i="11"/>
  <c r="AB73" i="11" s="1"/>
  <c r="AJ72" i="11"/>
  <c r="AJ73" i="11" s="1"/>
  <c r="AR72" i="11"/>
  <c r="AR73" i="11" s="1"/>
  <c r="AZ72" i="11"/>
  <c r="AZ73" i="11" s="1"/>
  <c r="BH72" i="11"/>
  <c r="BH73" i="11" s="1"/>
  <c r="BP72" i="11"/>
  <c r="BP73" i="11" s="1"/>
  <c r="BX72" i="11"/>
  <c r="BX73" i="11" s="1"/>
  <c r="CF72" i="11"/>
  <c r="CF73" i="11" s="1"/>
  <c r="E72" i="11"/>
  <c r="E73" i="11" s="1"/>
  <c r="M72" i="11"/>
  <c r="M73" i="11" s="1"/>
  <c r="U72" i="11"/>
  <c r="U73" i="11" s="1"/>
  <c r="AC72" i="11"/>
  <c r="AC73" i="11" s="1"/>
  <c r="AK72" i="11"/>
  <c r="AK73" i="11" s="1"/>
  <c r="AS72" i="11"/>
  <c r="AS73" i="11" s="1"/>
  <c r="BA72" i="11"/>
  <c r="BA73" i="11" s="1"/>
  <c r="BI72" i="11"/>
  <c r="BI73" i="11" s="1"/>
  <c r="BQ72" i="11"/>
  <c r="BQ73" i="11" s="1"/>
  <c r="BY72" i="11"/>
  <c r="BY73" i="11" s="1"/>
  <c r="CG72" i="11"/>
  <c r="CG73" i="11" s="1"/>
  <c r="G5" i="12"/>
  <c r="O5" i="12"/>
  <c r="W5" i="12"/>
  <c r="AE5" i="12"/>
  <c r="AM5" i="12"/>
  <c r="AU5" i="12"/>
  <c r="BC5" i="12"/>
  <c r="BK5" i="12"/>
  <c r="BS5" i="12"/>
  <c r="CA5" i="12"/>
  <c r="CI5" i="12"/>
  <c r="H5" i="12"/>
  <c r="P5" i="12"/>
  <c r="X5" i="12"/>
  <c r="AF5" i="12"/>
  <c r="AN5" i="12"/>
  <c r="AV5" i="12"/>
  <c r="BD5" i="12"/>
  <c r="BL5" i="12"/>
  <c r="BT5" i="12"/>
  <c r="CB5" i="12"/>
  <c r="CJ5" i="12"/>
  <c r="G25" i="12"/>
  <c r="G26" i="12" s="1"/>
  <c r="G27" i="12" s="1"/>
  <c r="O25" i="12"/>
  <c r="O26" i="12" s="1"/>
  <c r="O27" i="12" s="1"/>
  <c r="W25" i="12"/>
  <c r="W26" i="12" s="1"/>
  <c r="W27" i="12" s="1"/>
  <c r="AE25" i="12"/>
  <c r="AE26" i="12" s="1"/>
  <c r="AE27" i="12" s="1"/>
  <c r="AE28" i="12" s="1"/>
  <c r="AM25" i="12"/>
  <c r="AM26" i="12" s="1"/>
  <c r="AM27" i="12" s="1"/>
  <c r="AM28" i="12" s="1"/>
  <c r="AU25" i="12"/>
  <c r="AU26" i="12" s="1"/>
  <c r="AU27" i="12" s="1"/>
  <c r="AU28" i="12" s="1"/>
  <c r="BC25" i="12"/>
  <c r="BC26" i="12" s="1"/>
  <c r="BC27" i="12" s="1"/>
  <c r="BC28" i="12" s="1"/>
  <c r="BK25" i="12"/>
  <c r="BK26" i="12" s="1"/>
  <c r="BK27" i="12" s="1"/>
  <c r="BS25" i="12"/>
  <c r="BS26" i="12" s="1"/>
  <c r="BS27" i="12" s="1"/>
  <c r="CA25" i="12"/>
  <c r="CA26" i="12" s="1"/>
  <c r="CA27" i="12" s="1"/>
  <c r="CI25" i="12"/>
  <c r="CI26" i="12" s="1"/>
  <c r="H25" i="12"/>
  <c r="H26" i="12" s="1"/>
  <c r="H27" i="12" s="1"/>
  <c r="P25" i="12"/>
  <c r="P26" i="12" s="1"/>
  <c r="P27" i="12" s="1"/>
  <c r="P28" i="12" s="1"/>
  <c r="X25" i="12"/>
  <c r="X26" i="12" s="1"/>
  <c r="X27" i="12" s="1"/>
  <c r="X28" i="12" s="1"/>
  <c r="AF25" i="12"/>
  <c r="AF26" i="12" s="1"/>
  <c r="AF27" i="12" s="1"/>
  <c r="AF28" i="12" s="1"/>
  <c r="AN25" i="12"/>
  <c r="AN26" i="12" s="1"/>
  <c r="AN27" i="12" s="1"/>
  <c r="AN28" i="12" s="1"/>
  <c r="AV25" i="12"/>
  <c r="AV26" i="12" s="1"/>
  <c r="AV27" i="12" s="1"/>
  <c r="AV28" i="12" s="1"/>
  <c r="BD25" i="12"/>
  <c r="BD26" i="12" s="1"/>
  <c r="BD27" i="12" s="1"/>
  <c r="BL25" i="12"/>
  <c r="BL26" i="12" s="1"/>
  <c r="BL27" i="12" s="1"/>
  <c r="BT25" i="12"/>
  <c r="BT26" i="12" s="1"/>
  <c r="BT27" i="12" s="1"/>
  <c r="CB25" i="12"/>
  <c r="CB26" i="12" s="1"/>
  <c r="CB27" i="12" s="1"/>
  <c r="CJ25" i="12"/>
  <c r="CJ26" i="12" s="1"/>
  <c r="J5" i="12"/>
  <c r="R5" i="12"/>
  <c r="Z5" i="12"/>
  <c r="AH5" i="12"/>
  <c r="AP5" i="12"/>
  <c r="AX5" i="12"/>
  <c r="BF5" i="12"/>
  <c r="BN5" i="12"/>
  <c r="BV5" i="12"/>
  <c r="CD5" i="12"/>
  <c r="CC25" i="12"/>
  <c r="CC26" i="12" s="1"/>
  <c r="CC27" i="12" s="1"/>
  <c r="CC28" i="12" s="1"/>
  <c r="CK25" i="12"/>
  <c r="CK26" i="12" s="1"/>
  <c r="J25" i="12"/>
  <c r="J26" i="12" s="1"/>
  <c r="J27" i="12" s="1"/>
  <c r="R25" i="12"/>
  <c r="R26" i="12" s="1"/>
  <c r="R27" i="12" s="1"/>
  <c r="Z25" i="12"/>
  <c r="Z26" i="12" s="1"/>
  <c r="Z27" i="12" s="1"/>
  <c r="Z28" i="12" s="1"/>
  <c r="AH25" i="12"/>
  <c r="AH26" i="12" s="1"/>
  <c r="AH27" i="12" s="1"/>
  <c r="AH28" i="12" s="1"/>
  <c r="AP25" i="12"/>
  <c r="AP26" i="12" s="1"/>
  <c r="AP27" i="12" s="1"/>
  <c r="AP28" i="12" s="1"/>
  <c r="AX25" i="12"/>
  <c r="AX26" i="12" s="1"/>
  <c r="AX27" i="12" s="1"/>
  <c r="AX28" i="12" s="1"/>
  <c r="BF25" i="12"/>
  <c r="BF26" i="12" s="1"/>
  <c r="BF27" i="12" s="1"/>
  <c r="BN25" i="12"/>
  <c r="BN26" i="12" s="1"/>
  <c r="BN27" i="12" s="1"/>
  <c r="BV25" i="12"/>
  <c r="BV26" i="12" s="1"/>
  <c r="BV27" i="12" s="1"/>
  <c r="CD25" i="12"/>
  <c r="CD26" i="12" s="1"/>
  <c r="CD27" i="12" s="1"/>
  <c r="CD28" i="12" s="1"/>
  <c r="L25" i="12"/>
  <c r="L26" i="12" s="1"/>
  <c r="L27" i="12" s="1"/>
  <c r="L28" i="12" s="1"/>
  <c r="T25" i="12"/>
  <c r="T26" i="12" s="1"/>
  <c r="T27" i="12" s="1"/>
  <c r="T28" i="12" s="1"/>
  <c r="AB25" i="12"/>
  <c r="AB26" i="12" s="1"/>
  <c r="AB27" i="12" s="1"/>
  <c r="AJ25" i="12"/>
  <c r="AJ26" i="12" s="1"/>
  <c r="AJ27" i="12" s="1"/>
  <c r="AR25" i="12"/>
  <c r="AR26" i="12" s="1"/>
  <c r="AR27" i="12" s="1"/>
  <c r="AZ25" i="12"/>
  <c r="AZ26" i="12" s="1"/>
  <c r="AZ27" i="12" s="1"/>
  <c r="BH25" i="12"/>
  <c r="BH26" i="12" s="1"/>
  <c r="BH27" i="12" s="1"/>
  <c r="BH28" i="12" s="1"/>
  <c r="BP25" i="12"/>
  <c r="BP26" i="12" s="1"/>
  <c r="BP27" i="12" s="1"/>
  <c r="BP28" i="12" s="1"/>
  <c r="BX25" i="12"/>
  <c r="BX26" i="12" s="1"/>
  <c r="BX27" i="12" s="1"/>
  <c r="BX28" i="12" s="1"/>
  <c r="CF25" i="12"/>
  <c r="CF26" i="12" s="1"/>
  <c r="CF27" i="12" s="1"/>
  <c r="CF28" i="12" s="1"/>
  <c r="F5" i="12"/>
  <c r="N5" i="12"/>
  <c r="V5" i="12"/>
  <c r="AD5" i="12"/>
  <c r="AL5" i="12"/>
  <c r="AT5" i="12"/>
  <c r="BB5" i="12"/>
  <c r="BJ5" i="12"/>
  <c r="BR5" i="12"/>
  <c r="BZ5" i="12"/>
  <c r="CH5" i="12"/>
  <c r="I5" i="12"/>
  <c r="Q5" i="12"/>
  <c r="Y5" i="12"/>
  <c r="AG5" i="12"/>
  <c r="AO5" i="12"/>
  <c r="AW5" i="12"/>
  <c r="BE5" i="12"/>
  <c r="BM5" i="12"/>
  <c r="BU5" i="12"/>
  <c r="CC5" i="12"/>
  <c r="CK5" i="12"/>
  <c r="K5" i="12"/>
  <c r="S5" i="12"/>
  <c r="AA5" i="12"/>
  <c r="AI5" i="12"/>
  <c r="AQ5" i="12"/>
  <c r="AY5" i="12"/>
  <c r="BG5" i="12"/>
  <c r="BO5" i="12"/>
  <c r="BW5" i="12"/>
  <c r="CE5" i="12"/>
  <c r="L5" i="12"/>
  <c r="T5" i="12"/>
  <c r="AB5" i="12"/>
  <c r="AJ5" i="12"/>
  <c r="AR5" i="12"/>
  <c r="AZ5" i="12"/>
  <c r="BH5" i="12"/>
  <c r="BP5" i="12"/>
  <c r="BX5" i="12"/>
  <c r="CF5" i="12"/>
  <c r="E5" i="12"/>
  <c r="M5" i="12"/>
  <c r="U5" i="12"/>
  <c r="AC5" i="12"/>
  <c r="AK5" i="12"/>
  <c r="AS5" i="12"/>
  <c r="BA5" i="12"/>
  <c r="BI5" i="12"/>
  <c r="BQ5" i="12"/>
  <c r="BY5" i="12"/>
  <c r="CG5" i="12"/>
  <c r="AQ13" i="12"/>
  <c r="BO13" i="12"/>
  <c r="AZ13" i="12"/>
  <c r="AC26" i="12"/>
  <c r="AC27" i="12" s="1"/>
  <c r="AC13" i="12"/>
  <c r="CK18" i="12"/>
  <c r="X13" i="12"/>
  <c r="BL13" i="12"/>
  <c r="CJ13" i="12"/>
  <c r="Y26" i="12"/>
  <c r="Y27" i="12" s="1"/>
  <c r="Z13" i="12"/>
  <c r="AP13" i="12"/>
  <c r="BN13" i="12"/>
  <c r="G57" i="11"/>
  <c r="BS57" i="11"/>
  <c r="O57" i="11"/>
  <c r="CA57" i="11"/>
  <c r="W57" i="11"/>
  <c r="CI57" i="11"/>
  <c r="AE57" i="11"/>
  <c r="K63" i="11"/>
  <c r="K65" i="11" s="1"/>
  <c r="K66" i="11" s="1"/>
  <c r="AM57" i="11"/>
  <c r="V63" i="11"/>
  <c r="V65" i="11" s="1"/>
  <c r="V66" i="11" s="1"/>
  <c r="AU57" i="11"/>
  <c r="AF63" i="11"/>
  <c r="AF65" i="11" s="1"/>
  <c r="AF66" i="11" s="1"/>
  <c r="BC57" i="11"/>
  <c r="BF63" i="11"/>
  <c r="BF65" i="11" s="1"/>
  <c r="BF66" i="11" s="1"/>
  <c r="E57" i="11"/>
  <c r="E63" i="11"/>
  <c r="E65" i="11" s="1"/>
  <c r="E66" i="11" s="1"/>
  <c r="M63" i="11"/>
  <c r="M65" i="11" s="1"/>
  <c r="M66" i="11" s="1"/>
  <c r="M57" i="11"/>
  <c r="U63" i="11"/>
  <c r="U65" i="11" s="1"/>
  <c r="U66" i="11" s="1"/>
  <c r="U57" i="11"/>
  <c r="AC63" i="11"/>
  <c r="AC65" i="11" s="1"/>
  <c r="AC66" i="11" s="1"/>
  <c r="AC57" i="11"/>
  <c r="AK63" i="11"/>
  <c r="AK65" i="11" s="1"/>
  <c r="AK66" i="11" s="1"/>
  <c r="AK57" i="11"/>
  <c r="AS63" i="11"/>
  <c r="AS65" i="11" s="1"/>
  <c r="AS66" i="11" s="1"/>
  <c r="AS57" i="11"/>
  <c r="BA63" i="11"/>
  <c r="BA65" i="11" s="1"/>
  <c r="BA66" i="11" s="1"/>
  <c r="BA57" i="11"/>
  <c r="BI63" i="11"/>
  <c r="BI65" i="11" s="1"/>
  <c r="BI66" i="11" s="1"/>
  <c r="BI57" i="11"/>
  <c r="BQ63" i="11"/>
  <c r="BQ65" i="11" s="1"/>
  <c r="BQ66" i="11" s="1"/>
  <c r="BQ57" i="11"/>
  <c r="BY63" i="11"/>
  <c r="BY65" i="11" s="1"/>
  <c r="BY66" i="11" s="1"/>
  <c r="BY57" i="11"/>
  <c r="CG63" i="11"/>
  <c r="CG65" i="11" s="1"/>
  <c r="CG66" i="11" s="1"/>
  <c r="CG57" i="11"/>
  <c r="BO53" i="11"/>
  <c r="H57" i="11"/>
  <c r="P57" i="11"/>
  <c r="X57" i="11"/>
  <c r="AF57" i="11"/>
  <c r="AN57" i="11"/>
  <c r="AV57" i="11"/>
  <c r="BD57" i="11"/>
  <c r="BL57" i="11"/>
  <c r="BT57" i="11"/>
  <c r="CB57" i="11"/>
  <c r="CJ57" i="11"/>
  <c r="L63" i="11"/>
  <c r="L65" i="11" s="1"/>
  <c r="L66" i="11" s="1"/>
  <c r="W63" i="11"/>
  <c r="W65" i="11" s="1"/>
  <c r="W66" i="11" s="1"/>
  <c r="AH63" i="11"/>
  <c r="AH65" i="11" s="1"/>
  <c r="AH66" i="11" s="1"/>
  <c r="BH63" i="11"/>
  <c r="BH65" i="11" s="1"/>
  <c r="BH66" i="11" s="1"/>
  <c r="BP53" i="11"/>
  <c r="I57" i="11"/>
  <c r="Q57" i="11"/>
  <c r="Y57" i="11"/>
  <c r="AG57" i="11"/>
  <c r="AO57" i="11"/>
  <c r="AW57" i="11"/>
  <c r="BE57" i="11"/>
  <c r="BM57" i="11"/>
  <c r="BU57" i="11"/>
  <c r="CC57" i="11"/>
  <c r="CK57" i="11"/>
  <c r="N63" i="11"/>
  <c r="N65" i="11" s="1"/>
  <c r="N66" i="11" s="1"/>
  <c r="X63" i="11"/>
  <c r="X65" i="11" s="1"/>
  <c r="X66" i="11" s="1"/>
  <c r="AI63" i="11"/>
  <c r="AI65" i="11" s="1"/>
  <c r="AI66" i="11" s="1"/>
  <c r="BN63" i="11"/>
  <c r="BN65" i="11" s="1"/>
  <c r="BN66" i="11" s="1"/>
  <c r="I12" i="12"/>
  <c r="I13" i="12" s="1"/>
  <c r="Q12" i="12"/>
  <c r="Q13" i="12" s="1"/>
  <c r="Y12" i="12"/>
  <c r="Y13" i="12" s="1"/>
  <c r="AG12" i="12"/>
  <c r="AG13" i="12" s="1"/>
  <c r="AO12" i="12"/>
  <c r="AO13" i="12" s="1"/>
  <c r="AW12" i="12"/>
  <c r="AW13" i="12" s="1"/>
  <c r="BE12" i="12"/>
  <c r="BE13" i="12" s="1"/>
  <c r="BM12" i="12"/>
  <c r="BM13" i="12" s="1"/>
  <c r="BU12" i="12"/>
  <c r="BU13" i="12" s="1"/>
  <c r="CC12" i="12"/>
  <c r="CC13" i="12" s="1"/>
  <c r="CK12" i="12"/>
  <c r="CK13" i="12" s="1"/>
  <c r="J57" i="11"/>
  <c r="R57" i="11"/>
  <c r="Z57" i="11"/>
  <c r="AH57" i="11"/>
  <c r="AP57" i="11"/>
  <c r="AX57" i="11"/>
  <c r="BF57" i="11"/>
  <c r="BN57" i="11"/>
  <c r="BV57" i="11"/>
  <c r="CD57" i="11"/>
  <c r="O63" i="11"/>
  <c r="O65" i="11" s="1"/>
  <c r="O66" i="11" s="1"/>
  <c r="Z63" i="11"/>
  <c r="Z65" i="11" s="1"/>
  <c r="Z66" i="11" s="1"/>
  <c r="AJ63" i="11"/>
  <c r="AJ65" i="11" s="1"/>
  <c r="AJ66" i="11" s="1"/>
  <c r="BV63" i="11"/>
  <c r="BV65" i="11" s="1"/>
  <c r="BV66" i="11" s="1"/>
  <c r="BR53" i="11"/>
  <c r="CH53" i="11"/>
  <c r="CF55" i="11"/>
  <c r="S57" i="11"/>
  <c r="AA57" i="11"/>
  <c r="AQ57" i="11"/>
  <c r="AY57" i="11"/>
  <c r="BG57" i="11"/>
  <c r="BO57" i="11"/>
  <c r="BW57" i="11"/>
  <c r="CE57" i="11"/>
  <c r="F63" i="11"/>
  <c r="F65" i="11" s="1"/>
  <c r="F66" i="11" s="1"/>
  <c r="P63" i="11"/>
  <c r="P65" i="11" s="1"/>
  <c r="P66" i="11" s="1"/>
  <c r="AP63" i="11"/>
  <c r="AP65" i="11" s="1"/>
  <c r="AP66" i="11" s="1"/>
  <c r="CD63" i="11"/>
  <c r="CD65" i="11" s="1"/>
  <c r="CD66" i="11" s="1"/>
  <c r="CD74" i="11" s="1"/>
  <c r="BS53" i="11"/>
  <c r="T57" i="11"/>
  <c r="AB57" i="11"/>
  <c r="AR57" i="11"/>
  <c r="AZ57" i="11"/>
  <c r="BP57" i="11"/>
  <c r="BX57" i="11"/>
  <c r="CF57" i="11"/>
  <c r="G63" i="11"/>
  <c r="G65" i="11" s="1"/>
  <c r="G66" i="11" s="1"/>
  <c r="R63" i="11"/>
  <c r="R65" i="11" s="1"/>
  <c r="R66" i="11" s="1"/>
  <c r="CJ53" i="11"/>
  <c r="AD63" i="11"/>
  <c r="AD65" i="11" s="1"/>
  <c r="AD66" i="11" s="1"/>
  <c r="AX63" i="11"/>
  <c r="AX65" i="11" s="1"/>
  <c r="AX66" i="11" s="1"/>
  <c r="BU53" i="11"/>
  <c r="AL57" i="11"/>
  <c r="AT57" i="11"/>
  <c r="BB57" i="11"/>
  <c r="BJ57" i="11"/>
  <c r="BR57" i="11"/>
  <c r="BZ57" i="11"/>
  <c r="CH57" i="11"/>
  <c r="F12" i="12"/>
  <c r="F13" i="12" s="1"/>
  <c r="N12" i="12"/>
  <c r="N13" i="12" s="1"/>
  <c r="V12" i="12"/>
  <c r="V13" i="12" s="1"/>
  <c r="AD12" i="12"/>
  <c r="AD13" i="12" s="1"/>
  <c r="AL12" i="12"/>
  <c r="AL13" i="12" s="1"/>
  <c r="AT12" i="12"/>
  <c r="AT13" i="12" s="1"/>
  <c r="BB12" i="12"/>
  <c r="BB13" i="12" s="1"/>
  <c r="BJ12" i="12"/>
  <c r="BJ13" i="12" s="1"/>
  <c r="BR12" i="12"/>
  <c r="BR13" i="12" s="1"/>
  <c r="BZ12" i="12"/>
  <c r="BZ13" i="12" s="1"/>
  <c r="CH12" i="12"/>
  <c r="CH13" i="12" s="1"/>
  <c r="I27" i="9"/>
  <c r="BM27" i="9"/>
  <c r="J27" i="9"/>
  <c r="R27" i="9"/>
  <c r="Z27" i="9"/>
  <c r="AH27" i="9"/>
  <c r="AP27" i="9"/>
  <c r="AX27" i="9"/>
  <c r="BF27" i="9"/>
  <c r="BN27" i="9"/>
  <c r="BV27" i="9"/>
  <c r="CD27" i="9"/>
  <c r="K34" i="9"/>
  <c r="S34" i="9"/>
  <c r="AA34" i="9"/>
  <c r="AI34" i="9"/>
  <c r="AQ34" i="9"/>
  <c r="AY34" i="9"/>
  <c r="BG34" i="9"/>
  <c r="BO34" i="9"/>
  <c r="BW34" i="9"/>
  <c r="CE34" i="9"/>
  <c r="AG27" i="9"/>
  <c r="CC27" i="9"/>
  <c r="Y27" i="9"/>
  <c r="BU27" i="9"/>
  <c r="CH34" i="9"/>
  <c r="Q27" i="9"/>
  <c r="BE27" i="9"/>
  <c r="CH27" i="9"/>
  <c r="CI34" i="9"/>
  <c r="AW27" i="9"/>
  <c r="AX34" i="9"/>
  <c r="CI27" i="9"/>
  <c r="CJ34" i="9"/>
  <c r="AO27" i="9"/>
  <c r="CK27" i="9"/>
  <c r="CJ27" i="9"/>
  <c r="CK34" i="9"/>
  <c r="AT34" i="9"/>
  <c r="F27" i="9"/>
  <c r="N27" i="9"/>
  <c r="V27" i="9"/>
  <c r="L30" i="9"/>
  <c r="T30" i="9"/>
  <c r="AB30" i="9"/>
  <c r="AJ30" i="9"/>
  <c r="AR30" i="9"/>
  <c r="AZ30" i="9"/>
  <c r="BH30" i="9"/>
  <c r="BP30" i="9"/>
  <c r="BX30" i="9"/>
  <c r="CF30" i="9"/>
  <c r="F31" i="9"/>
  <c r="N31" i="9"/>
  <c r="V31" i="9"/>
  <c r="AD31" i="9"/>
  <c r="AL31" i="9"/>
  <c r="AT31" i="9"/>
  <c r="BB31" i="9"/>
  <c r="BJ31" i="9"/>
  <c r="BR31" i="9"/>
  <c r="BZ31" i="9"/>
  <c r="CH31" i="9"/>
  <c r="G34" i="9"/>
  <c r="O34" i="9"/>
  <c r="W34" i="9"/>
  <c r="AE34" i="9"/>
  <c r="AM34" i="9"/>
  <c r="AU34" i="9"/>
  <c r="BC34" i="9"/>
  <c r="BK34" i="9"/>
  <c r="BS34" i="9"/>
  <c r="CA34" i="9"/>
  <c r="AD30" i="9"/>
  <c r="AL30" i="9"/>
  <c r="AT30" i="9"/>
  <c r="BB30" i="9"/>
  <c r="BJ30" i="9"/>
  <c r="BR30" i="9"/>
  <c r="BZ30" i="9"/>
  <c r="CH30" i="9"/>
  <c r="H31" i="9"/>
  <c r="P31" i="9"/>
  <c r="X31" i="9"/>
  <c r="AF31" i="9"/>
  <c r="AN31" i="9"/>
  <c r="AV31" i="9"/>
  <c r="BD31" i="9"/>
  <c r="BL31" i="9"/>
  <c r="BT31" i="9"/>
  <c r="CB31" i="9"/>
  <c r="Q34" i="9"/>
  <c r="Y34" i="9"/>
  <c r="AG34" i="9"/>
  <c r="AO34" i="9"/>
  <c r="AW34" i="9"/>
  <c r="BE34" i="9"/>
  <c r="BM34" i="9"/>
  <c r="BU34" i="9"/>
  <c r="CC34" i="9"/>
  <c r="AN30" i="9"/>
  <c r="AV30" i="9"/>
  <c r="BD30" i="9"/>
  <c r="BL30" i="9"/>
  <c r="BT30" i="9"/>
  <c r="CB30" i="9"/>
  <c r="K27" i="9"/>
  <c r="S27" i="9"/>
  <c r="AA27" i="9"/>
  <c r="AI27" i="9"/>
  <c r="AQ27" i="9"/>
  <c r="AY27" i="9"/>
  <c r="BG27" i="9"/>
  <c r="BO27" i="9"/>
  <c r="BW27" i="9"/>
  <c r="CE27" i="9"/>
  <c r="I30" i="9"/>
  <c r="Q30" i="9"/>
  <c r="Y30" i="9"/>
  <c r="AG30" i="9"/>
  <c r="AO30" i="9"/>
  <c r="AW30" i="9"/>
  <c r="BE30" i="9"/>
  <c r="BM30" i="9"/>
  <c r="BU30" i="9"/>
  <c r="CC30" i="9"/>
  <c r="K31" i="9"/>
  <c r="S31" i="9"/>
  <c r="AA31" i="9"/>
  <c r="AI31" i="9"/>
  <c r="AQ31" i="9"/>
  <c r="AY31" i="9"/>
  <c r="BG31" i="9"/>
  <c r="BO31" i="9"/>
  <c r="BW31" i="9"/>
  <c r="CE31" i="9"/>
  <c r="L27" i="9"/>
  <c r="T27" i="9"/>
  <c r="AB27" i="9"/>
  <c r="AJ27" i="9"/>
  <c r="AR27" i="9"/>
  <c r="AZ27" i="9"/>
  <c r="BH27" i="9"/>
  <c r="BP27" i="9"/>
  <c r="BX27" i="9"/>
  <c r="CF27" i="9"/>
  <c r="J30" i="9"/>
  <c r="R30" i="9"/>
  <c r="Z30" i="9"/>
  <c r="E27" i="9"/>
  <c r="M27" i="9"/>
  <c r="AC27" i="9"/>
  <c r="AK27" i="9"/>
  <c r="CG27" i="9"/>
  <c r="K30" i="9"/>
  <c r="S30" i="9"/>
  <c r="AA30" i="9"/>
  <c r="AI30" i="9"/>
  <c r="AQ30" i="9"/>
  <c r="AY30" i="9"/>
  <c r="BG30" i="9"/>
  <c r="BO30" i="9"/>
  <c r="BW30" i="9"/>
  <c r="CE30" i="9"/>
  <c r="E31" i="9"/>
  <c r="M31" i="9"/>
  <c r="U31" i="9"/>
  <c r="AC31" i="9"/>
  <c r="AK31" i="9"/>
  <c r="AS31" i="9"/>
  <c r="BA31" i="9"/>
  <c r="BI31" i="9"/>
  <c r="BQ31" i="9"/>
  <c r="BY31" i="9"/>
  <c r="CG31" i="9"/>
  <c r="AU32" i="9"/>
  <c r="AD27" i="9"/>
  <c r="AL27" i="9"/>
  <c r="AT27" i="9"/>
  <c r="BB27" i="9"/>
  <c r="BJ27" i="9"/>
  <c r="BR27" i="9"/>
  <c r="BZ27" i="9"/>
  <c r="U27" i="9"/>
  <c r="AS27" i="9"/>
  <c r="BA27" i="9"/>
  <c r="BI27" i="9"/>
  <c r="BQ27" i="9"/>
  <c r="BY27" i="9"/>
  <c r="G27" i="9"/>
  <c r="O27" i="9"/>
  <c r="W27" i="9"/>
  <c r="AE27" i="9"/>
  <c r="AM27" i="9"/>
  <c r="AU27" i="9"/>
  <c r="BC27" i="9"/>
  <c r="BK27" i="9"/>
  <c r="BS27" i="9"/>
  <c r="CA27" i="9"/>
  <c r="E30" i="9"/>
  <c r="M30" i="9"/>
  <c r="U30" i="9"/>
  <c r="H27" i="9"/>
  <c r="P27" i="9"/>
  <c r="X27" i="9"/>
  <c r="AF27" i="9"/>
  <c r="AN27" i="9"/>
  <c r="AV27" i="9"/>
  <c r="BD27" i="9"/>
  <c r="BL27" i="9"/>
  <c r="BT27" i="9"/>
  <c r="CB27" i="9"/>
  <c r="F30" i="9"/>
  <c r="N30" i="9"/>
  <c r="V30" i="9"/>
  <c r="CL14" i="9"/>
  <c r="CL13" i="9"/>
  <c r="L34" i="9"/>
  <c r="T34" i="9"/>
  <c r="AB34" i="9"/>
  <c r="AJ34" i="9"/>
  <c r="AR34" i="9"/>
  <c r="AZ34" i="9"/>
  <c r="BH34" i="9"/>
  <c r="BP34" i="9"/>
  <c r="BX34" i="9"/>
  <c r="CF34" i="9"/>
  <c r="CF16" i="9"/>
  <c r="G36" i="9"/>
  <c r="O36" i="9"/>
  <c r="W36" i="9"/>
  <c r="AE36" i="9"/>
  <c r="AM36" i="9"/>
  <c r="AU36" i="9"/>
  <c r="BC36" i="9"/>
  <c r="BK36" i="9"/>
  <c r="BS36" i="9"/>
  <c r="CA36" i="9"/>
  <c r="CI36" i="9"/>
  <c r="E36" i="9"/>
  <c r="M36" i="9"/>
  <c r="U36" i="9"/>
  <c r="AC36" i="9"/>
  <c r="AK36" i="9"/>
  <c r="AS36" i="9"/>
  <c r="BA36" i="9"/>
  <c r="BI36" i="9"/>
  <c r="BQ36" i="9"/>
  <c r="BY36" i="9"/>
  <c r="CG36" i="9"/>
  <c r="J31" i="9"/>
  <c r="R31" i="9"/>
  <c r="Z31" i="9"/>
  <c r="AH31" i="9"/>
  <c r="AP31" i="9"/>
  <c r="AX31" i="9"/>
  <c r="BF31" i="9"/>
  <c r="BN31" i="9"/>
  <c r="BV31" i="9"/>
  <c r="CD31" i="9"/>
  <c r="BX32" i="9"/>
  <c r="F36" i="9"/>
  <c r="N36" i="9"/>
  <c r="V36" i="9"/>
  <c r="AD36" i="9"/>
  <c r="AL36" i="9"/>
  <c r="AT36" i="9"/>
  <c r="BB36" i="9"/>
  <c r="BJ36" i="9"/>
  <c r="BR36" i="9"/>
  <c r="BZ36" i="9"/>
  <c r="CH36" i="9"/>
  <c r="AH30" i="9"/>
  <c r="AP30" i="9"/>
  <c r="AX30" i="9"/>
  <c r="BF30" i="9"/>
  <c r="BN30" i="9"/>
  <c r="BV30" i="9"/>
  <c r="CD30" i="9"/>
  <c r="L31" i="9"/>
  <c r="T31" i="9"/>
  <c r="AB31" i="9"/>
  <c r="AJ31" i="9"/>
  <c r="AR31" i="9"/>
  <c r="AZ31" i="9"/>
  <c r="BH31" i="9"/>
  <c r="BP31" i="9"/>
  <c r="BX31" i="9"/>
  <c r="CF31" i="9"/>
  <c r="BZ32" i="9"/>
  <c r="U34" i="9"/>
  <c r="AC34" i="9"/>
  <c r="AK34" i="9"/>
  <c r="AS34" i="9"/>
  <c r="BA34" i="9"/>
  <c r="BI34" i="9"/>
  <c r="BQ34" i="9"/>
  <c r="BY34" i="9"/>
  <c r="CG34" i="9"/>
  <c r="H36" i="9"/>
  <c r="P36" i="9"/>
  <c r="X36" i="9"/>
  <c r="AF36" i="9"/>
  <c r="AN36" i="9"/>
  <c r="AV36" i="9"/>
  <c r="BD36" i="9"/>
  <c r="BL36" i="9"/>
  <c r="BT36" i="9"/>
  <c r="CB36" i="9"/>
  <c r="CJ36" i="9"/>
  <c r="AQ16" i="9"/>
  <c r="I36" i="9"/>
  <c r="Q36" i="9"/>
  <c r="Y36" i="9"/>
  <c r="AG36" i="9"/>
  <c r="AO36" i="9"/>
  <c r="AW36" i="9"/>
  <c r="BE36" i="9"/>
  <c r="BM36" i="9"/>
  <c r="BU36" i="9"/>
  <c r="CC36" i="9"/>
  <c r="CK36" i="9"/>
  <c r="J36" i="9"/>
  <c r="R36" i="9"/>
  <c r="Z36" i="9"/>
  <c r="AH36" i="9"/>
  <c r="AP36" i="9"/>
  <c r="AX36" i="9"/>
  <c r="BF36" i="9"/>
  <c r="BN36" i="9"/>
  <c r="BV36" i="9"/>
  <c r="CD36" i="9"/>
  <c r="AC30" i="9"/>
  <c r="AK30" i="9"/>
  <c r="AS30" i="9"/>
  <c r="BA30" i="9"/>
  <c r="BI30" i="9"/>
  <c r="BQ30" i="9"/>
  <c r="BY30" i="9"/>
  <c r="CG30" i="9"/>
  <c r="G31" i="9"/>
  <c r="O31" i="9"/>
  <c r="W31" i="9"/>
  <c r="AE31" i="9"/>
  <c r="AM31" i="9"/>
  <c r="AU31" i="9"/>
  <c r="BC31" i="9"/>
  <c r="BK31" i="9"/>
  <c r="BS31" i="9"/>
  <c r="CA31" i="9"/>
  <c r="H34" i="9"/>
  <c r="P34" i="9"/>
  <c r="X34" i="9"/>
  <c r="AF34" i="9"/>
  <c r="AN34" i="9"/>
  <c r="AV34" i="9"/>
  <c r="BD34" i="9"/>
  <c r="BL34" i="9"/>
  <c r="BT34" i="9"/>
  <c r="CB34" i="9"/>
  <c r="K36" i="9"/>
  <c r="S36" i="9"/>
  <c r="AA36" i="9"/>
  <c r="AI36" i="9"/>
  <c r="AQ36" i="9"/>
  <c r="AY36" i="9"/>
  <c r="BG36" i="9"/>
  <c r="BO36" i="9"/>
  <c r="BW36" i="9"/>
  <c r="CE36" i="9"/>
  <c r="L36" i="9"/>
  <c r="T36" i="9"/>
  <c r="AB36" i="9"/>
  <c r="AJ36" i="9"/>
  <c r="AR36" i="9"/>
  <c r="AZ36" i="9"/>
  <c r="BH36" i="9"/>
  <c r="BP36" i="9"/>
  <c r="BX36" i="9"/>
  <c r="CF36" i="9"/>
  <c r="S28" i="12" l="1"/>
  <c r="R28" i="12"/>
  <c r="H28" i="12"/>
  <c r="N28" i="12"/>
  <c r="BV28" i="12"/>
  <c r="J28" i="12"/>
  <c r="BL28" i="12"/>
  <c r="W28" i="12"/>
  <c r="AY28" i="12"/>
  <c r="AW28" i="12"/>
  <c r="BR28" i="12"/>
  <c r="F28" i="12"/>
  <c r="CB28" i="12"/>
  <c r="AZ28" i="12"/>
  <c r="BN28" i="12"/>
  <c r="BD28" i="12"/>
  <c r="CA28" i="12"/>
  <c r="O28" i="12"/>
  <c r="AQ28" i="12"/>
  <c r="AO28" i="12"/>
  <c r="BJ28" i="12"/>
  <c r="U28" i="12"/>
  <c r="BT28" i="12"/>
  <c r="AR28" i="12"/>
  <c r="BF28" i="12"/>
  <c r="BS28" i="12"/>
  <c r="G28" i="12"/>
  <c r="AI28" i="12"/>
  <c r="AG28" i="12"/>
  <c r="BB28" i="12"/>
  <c r="BY28" i="12"/>
  <c r="M28" i="12"/>
  <c r="AJ28" i="12"/>
  <c r="BK28" i="12"/>
  <c r="AA28" i="12"/>
  <c r="AT28" i="12"/>
  <c r="E28" i="12"/>
  <c r="CL28" i="12"/>
  <c r="Y28" i="12"/>
  <c r="AC28" i="12"/>
  <c r="AB28" i="12"/>
  <c r="CE28" i="12"/>
  <c r="Q28" i="12"/>
  <c r="AL28" i="12"/>
  <c r="M9" i="10"/>
  <c r="BO9" i="10"/>
  <c r="BK9" i="10"/>
  <c r="L8" i="10"/>
  <c r="L9" i="10"/>
  <c r="K9" i="10"/>
  <c r="J9" i="10"/>
  <c r="I8" i="10"/>
  <c r="I9" i="10"/>
  <c r="H8" i="10"/>
  <c r="H9" i="10"/>
  <c r="BZ9" i="10"/>
  <c r="BR9" i="10"/>
  <c r="F8" i="10"/>
  <c r="F9" i="10"/>
  <c r="Q9" i="10"/>
  <c r="CE9" i="10"/>
  <c r="G8" i="10"/>
  <c r="G9" i="10"/>
  <c r="R9" i="10"/>
  <c r="P8" i="10"/>
  <c r="P9" i="10"/>
  <c r="CI8" i="10"/>
  <c r="BO8" i="10"/>
  <c r="CB9" i="10"/>
  <c r="O8" i="10"/>
  <c r="O9" i="10"/>
  <c r="N8" i="10"/>
  <c r="N9" i="10"/>
  <c r="BR8" i="10"/>
  <c r="AJ74" i="11"/>
  <c r="CD8" i="10"/>
  <c r="BI9" i="10"/>
  <c r="CC9" i="10"/>
  <c r="D11" i="13"/>
  <c r="D12" i="13" s="1"/>
  <c r="CH27" i="12"/>
  <c r="CH28" i="12" s="1"/>
  <c r="CK27" i="12"/>
  <c r="CK28" i="12" s="1"/>
  <c r="CI27" i="12"/>
  <c r="CI28" i="12" s="1"/>
  <c r="CJ27" i="12"/>
  <c r="CJ28" i="12" s="1"/>
  <c r="BE74" i="11"/>
  <c r="CB74" i="11"/>
  <c r="CA8" i="10"/>
  <c r="BV9" i="10"/>
  <c r="BM8" i="10"/>
  <c r="BH9" i="10"/>
  <c r="CG8" i="10"/>
  <c r="BJ9" i="10"/>
  <c r="BN74" i="11"/>
  <c r="BN75" i="11" s="1"/>
  <c r="CG74" i="11"/>
  <c r="CG75" i="11" s="1"/>
  <c r="BA9" i="10"/>
  <c r="BL9" i="10"/>
  <c r="AC8" i="10"/>
  <c r="AN9" i="10"/>
  <c r="BP9" i="10"/>
  <c r="BY25" i="9"/>
  <c r="V23" i="7"/>
  <c r="CH28" i="10"/>
  <c r="BS9" i="10"/>
  <c r="BQ9" i="10"/>
  <c r="AY9" i="10"/>
  <c r="BK32" i="9"/>
  <c r="BV32" i="9"/>
  <c r="BR32" i="9"/>
  <c r="BP32" i="9"/>
  <c r="CA32" i="9"/>
  <c r="BV25" i="9"/>
  <c r="BR25" i="9"/>
  <c r="CK16" i="9"/>
  <c r="AB32" i="9"/>
  <c r="C39" i="13"/>
  <c r="BL74" i="11"/>
  <c r="BL75" i="11" s="1"/>
  <c r="CC74" i="11"/>
  <c r="CC75" i="11" s="1"/>
  <c r="CE74" i="11"/>
  <c r="CE75" i="11" s="1"/>
  <c r="AZ74" i="11"/>
  <c r="AZ75" i="11" s="1"/>
  <c r="M13" i="7"/>
  <c r="AC74" i="11"/>
  <c r="AC75" i="11" s="1"/>
  <c r="BW9" i="10"/>
  <c r="BN8" i="10"/>
  <c r="AM9" i="10"/>
  <c r="BN9" i="10"/>
  <c r="F74" i="11"/>
  <c r="F75" i="11" s="1"/>
  <c r="BE9" i="10"/>
  <c r="BU9" i="10"/>
  <c r="AQ74" i="11"/>
  <c r="AQ75" i="11" s="1"/>
  <c r="AY8" i="10"/>
  <c r="BD9" i="10"/>
  <c r="AV9" i="10"/>
  <c r="AL9" i="10"/>
  <c r="BQ8" i="10"/>
  <c r="AQ9" i="10"/>
  <c r="M67" i="9"/>
  <c r="M78" i="9"/>
  <c r="M79" i="9" s="1"/>
  <c r="B47" i="13"/>
  <c r="E108" i="5"/>
  <c r="J67" i="9"/>
  <c r="J78" i="9"/>
  <c r="J79" i="9" s="1"/>
  <c r="I67" i="9"/>
  <c r="I78" i="9"/>
  <c r="I79" i="9" s="1"/>
  <c r="BU32" i="9"/>
  <c r="AX25" i="9"/>
  <c r="BU74" i="11"/>
  <c r="BU75" i="11" s="1"/>
  <c r="BS74" i="11"/>
  <c r="BS75" i="11" s="1"/>
  <c r="BM74" i="11"/>
  <c r="BM75" i="11" s="1"/>
  <c r="BO74" i="11"/>
  <c r="BO75" i="11" s="1"/>
  <c r="BX74" i="11"/>
  <c r="BX75" i="11" s="1"/>
  <c r="AS74" i="11"/>
  <c r="AS75" i="11" s="1"/>
  <c r="BQ74" i="11"/>
  <c r="BQ75" i="11" s="1"/>
  <c r="BH74" i="11"/>
  <c r="BH75" i="11" s="1"/>
  <c r="AV74" i="11"/>
  <c r="AV75" i="11" s="1"/>
  <c r="CI74" i="11"/>
  <c r="CI75" i="11" s="1"/>
  <c r="BF74" i="11"/>
  <c r="BF75" i="11" s="1"/>
  <c r="AH74" i="11"/>
  <c r="AH75" i="11" s="1"/>
  <c r="R74" i="11"/>
  <c r="R75" i="11" s="1"/>
  <c r="BA74" i="11"/>
  <c r="BA75" i="11" s="1"/>
  <c r="CJ74" i="11"/>
  <c r="CJ75" i="11" s="1"/>
  <c r="CF74" i="11"/>
  <c r="CF75" i="11" s="1"/>
  <c r="AO32" i="9"/>
  <c r="Q16" i="9"/>
  <c r="AV32" i="9"/>
  <c r="BS25" i="9"/>
  <c r="N34" i="9"/>
  <c r="R67" i="9"/>
  <c r="BN34" i="9"/>
  <c r="CJ16" i="9"/>
  <c r="E78" i="9"/>
  <c r="E79" i="9" s="1"/>
  <c r="E67" i="9"/>
  <c r="P16" i="9"/>
  <c r="S16" i="9"/>
  <c r="U16" i="9"/>
  <c r="CF25" i="9"/>
  <c r="BY32" i="9"/>
  <c r="BN16" i="9"/>
  <c r="BW25" i="9"/>
  <c r="T16" i="9"/>
  <c r="K16" i="9"/>
  <c r="AT28" i="10"/>
  <c r="BM9" i="10"/>
  <c r="AU9" i="10"/>
  <c r="AZ9" i="10"/>
  <c r="AG9" i="10"/>
  <c r="BN32" i="9"/>
  <c r="AH32" i="9"/>
  <c r="BH32" i="9"/>
  <c r="AW32" i="9"/>
  <c r="AL32" i="9"/>
  <c r="BA32" i="9"/>
  <c r="BJ32" i="9"/>
  <c r="BP74" i="11"/>
  <c r="BP75" i="11" s="1"/>
  <c r="AN74" i="11"/>
  <c r="AN75" i="11" s="1"/>
  <c r="BO25" i="9"/>
  <c r="BH25" i="9"/>
  <c r="BQ25" i="9"/>
  <c r="BM25" i="9"/>
  <c r="BD25" i="9"/>
  <c r="BR16" i="9"/>
  <c r="AP32" i="9"/>
  <c r="W74" i="11"/>
  <c r="W75" i="11" s="1"/>
  <c r="AT74" i="11"/>
  <c r="AT75" i="11" s="1"/>
  <c r="BD74" i="11"/>
  <c r="BD75" i="11" s="1"/>
  <c r="Y32" i="9"/>
  <c r="BK74" i="11"/>
  <c r="BK75" i="11" s="1"/>
  <c r="BJ74" i="11"/>
  <c r="BJ75" i="11" s="1"/>
  <c r="BC74" i="11"/>
  <c r="BC75" i="11" s="1"/>
  <c r="BB74" i="11"/>
  <c r="BB75" i="11" s="1"/>
  <c r="AW74" i="11"/>
  <c r="AW75" i="11" s="1"/>
  <c r="BT74" i="11"/>
  <c r="BT75" i="11" s="1"/>
  <c r="BW74" i="11"/>
  <c r="BW75" i="11" s="1"/>
  <c r="AR74" i="11"/>
  <c r="AR75" i="11" s="1"/>
  <c r="BT9" i="10"/>
  <c r="CG25" i="9"/>
  <c r="BE25" i="9"/>
  <c r="CG9" i="10"/>
  <c r="BZ74" i="11"/>
  <c r="CF9" i="10"/>
  <c r="BY9" i="10"/>
  <c r="AX16" i="9"/>
  <c r="Y23" i="7"/>
  <c r="R23" i="7"/>
  <c r="T23" i="7"/>
  <c r="M23" i="7"/>
  <c r="W23" i="7"/>
  <c r="F23" i="7"/>
  <c r="BB31" i="6"/>
  <c r="BB32" i="6" s="1"/>
  <c r="BJ31" i="6"/>
  <c r="BJ32" i="6" s="1"/>
  <c r="AR9" i="10"/>
  <c r="AP74" i="11"/>
  <c r="AP75" i="11" s="1"/>
  <c r="BF9" i="10"/>
  <c r="AA9" i="10"/>
  <c r="AW9" i="10"/>
  <c r="AZ8" i="10"/>
  <c r="AK8" i="10"/>
  <c r="AK9" i="10"/>
  <c r="AT9" i="10"/>
  <c r="Z9" i="10"/>
  <c r="BC9" i="10"/>
  <c r="AP9" i="10"/>
  <c r="T9" i="10"/>
  <c r="AS9" i="10"/>
  <c r="T8" i="10"/>
  <c r="V9" i="10"/>
  <c r="U8" i="10"/>
  <c r="M8" i="10"/>
  <c r="R8" i="10"/>
  <c r="Q8" i="10"/>
  <c r="Z74" i="11"/>
  <c r="Z75" i="11" s="1"/>
  <c r="X9" i="10"/>
  <c r="AR32" i="9"/>
  <c r="AT32" i="9"/>
  <c r="R32" i="9"/>
  <c r="AN32" i="9"/>
  <c r="AX32" i="9"/>
  <c r="AY74" i="11"/>
  <c r="AY75" i="11" s="1"/>
  <c r="BG74" i="11"/>
  <c r="BG75" i="11" s="1"/>
  <c r="AK25" i="9"/>
  <c r="AU25" i="9"/>
  <c r="AY25" i="9"/>
  <c r="K25" i="9"/>
  <c r="AK16" i="9"/>
  <c r="AU74" i="11"/>
  <c r="AU75" i="11" s="1"/>
  <c r="AL74" i="11"/>
  <c r="AL75" i="11" s="1"/>
  <c r="BA16" i="9"/>
  <c r="BE16" i="9"/>
  <c r="BL32" i="9"/>
  <c r="BJ25" i="9"/>
  <c r="AC25" i="9"/>
  <c r="AA74" i="11"/>
  <c r="AA75" i="11" s="1"/>
  <c r="AB74" i="11"/>
  <c r="AB75" i="11" s="1"/>
  <c r="AO9" i="10"/>
  <c r="BR31" i="6"/>
  <c r="BR32" i="6" s="1"/>
  <c r="AT31" i="6"/>
  <c r="AT32" i="6" s="1"/>
  <c r="BC16" i="9"/>
  <c r="BE32" i="9"/>
  <c r="BZ25" i="9"/>
  <c r="BY74" i="11"/>
  <c r="BY75" i="11" s="1"/>
  <c r="BI74" i="11"/>
  <c r="BI75" i="11" s="1"/>
  <c r="AF74" i="11"/>
  <c r="AF75" i="11" s="1"/>
  <c r="BD32" i="9"/>
  <c r="AQ25" i="9"/>
  <c r="AT25" i="9"/>
  <c r="BG9" i="10"/>
  <c r="BX9" i="10"/>
  <c r="CJ8" i="10"/>
  <c r="AE9" i="10"/>
  <c r="AH9" i="10"/>
  <c r="AB9" i="10"/>
  <c r="AS32" i="9"/>
  <c r="CB25" i="9"/>
  <c r="BP25" i="9"/>
  <c r="BB32" i="9"/>
  <c r="BS32" i="9"/>
  <c r="CA74" i="11"/>
  <c r="CA75" i="11" s="1"/>
  <c r="CD9" i="10"/>
  <c r="AX9" i="10"/>
  <c r="AV25" i="9"/>
  <c r="CG16" i="9"/>
  <c r="BF32" i="9"/>
  <c r="CD75" i="11"/>
  <c r="BV74" i="11"/>
  <c r="BV75" i="11" s="1"/>
  <c r="BM32" i="9"/>
  <c r="AC32" i="9"/>
  <c r="AM74" i="11"/>
  <c r="AM75" i="11" s="1"/>
  <c r="CH31" i="6"/>
  <c r="CH32" i="6" s="1"/>
  <c r="CH9" i="10"/>
  <c r="BB9" i="10"/>
  <c r="AX74" i="11"/>
  <c r="AX75" i="11" s="1"/>
  <c r="BN25" i="9"/>
  <c r="AI8" i="10"/>
  <c r="AF9" i="10"/>
  <c r="AD9" i="10"/>
  <c r="L74" i="11"/>
  <c r="L75" i="11" s="1"/>
  <c r="U74" i="11"/>
  <c r="U75" i="11" s="1"/>
  <c r="AJ8" i="10"/>
  <c r="Y9" i="10"/>
  <c r="AH8" i="10"/>
  <c r="S9" i="10"/>
  <c r="W9" i="10"/>
  <c r="AI74" i="11"/>
  <c r="AI75" i="11" s="1"/>
  <c r="O74" i="11"/>
  <c r="O75" i="11" s="1"/>
  <c r="AD32" i="9"/>
  <c r="X32" i="9"/>
  <c r="E23" i="7"/>
  <c r="N23" i="7"/>
  <c r="S74" i="11"/>
  <c r="S75" i="11" s="1"/>
  <c r="M74" i="11"/>
  <c r="M75" i="11" s="1"/>
  <c r="K8" i="10"/>
  <c r="E74" i="11"/>
  <c r="E75" i="11" s="1"/>
  <c r="K74" i="11"/>
  <c r="K75" i="11" s="1"/>
  <c r="J8" i="10"/>
  <c r="E8" i="10"/>
  <c r="O16" i="9"/>
  <c r="M34" i="9"/>
  <c r="N16" i="9"/>
  <c r="H16" i="9"/>
  <c r="L16" i="9"/>
  <c r="F16" i="9"/>
  <c r="I74" i="11"/>
  <c r="I75" i="11" s="1"/>
  <c r="J74" i="11"/>
  <c r="J75" i="11" s="1"/>
  <c r="AO74" i="11"/>
  <c r="AO75" i="11" s="1"/>
  <c r="N31" i="6"/>
  <c r="N32" i="6" s="1"/>
  <c r="I16" i="9"/>
  <c r="AD74" i="11"/>
  <c r="AD75" i="11" s="1"/>
  <c r="R34" i="9"/>
  <c r="X74" i="11"/>
  <c r="X75" i="11" s="1"/>
  <c r="U23" i="7"/>
  <c r="H23" i="7"/>
  <c r="P23" i="7"/>
  <c r="E13" i="7"/>
  <c r="F13" i="7"/>
  <c r="N13" i="7"/>
  <c r="F31" i="6"/>
  <c r="F32" i="6" s="1"/>
  <c r="F28" i="10"/>
  <c r="AJ75" i="11"/>
  <c r="AL31" i="6"/>
  <c r="AL32" i="6" s="1"/>
  <c r="N28" i="10"/>
  <c r="AL28" i="10"/>
  <c r="V28" i="10"/>
  <c r="V20" i="11"/>
  <c r="V21" i="11" s="1"/>
  <c r="H74" i="11"/>
  <c r="H75" i="11" s="1"/>
  <c r="AH25" i="9"/>
  <c r="AO25" i="9"/>
  <c r="G25" i="9"/>
  <c r="I24" i="9"/>
  <c r="M24" i="9"/>
  <c r="I32" i="12"/>
  <c r="M32" i="12"/>
  <c r="T74" i="11"/>
  <c r="T75" i="11" s="1"/>
  <c r="X23" i="7"/>
  <c r="G23" i="7"/>
  <c r="S23" i="7"/>
  <c r="I32" i="9"/>
  <c r="M32" i="9"/>
  <c r="H32" i="9"/>
  <c r="N32" i="9"/>
  <c r="L32" i="9"/>
  <c r="V74" i="11"/>
  <c r="V75" i="11" s="1"/>
  <c r="G74" i="11"/>
  <c r="G75" i="11" s="1"/>
  <c r="P74" i="11"/>
  <c r="P75" i="11" s="1"/>
  <c r="F32" i="9"/>
  <c r="F25" i="9"/>
  <c r="J16" i="9"/>
  <c r="N74" i="11"/>
  <c r="N75" i="11" s="1"/>
  <c r="AK74" i="11"/>
  <c r="AK75" i="11" s="1"/>
  <c r="AF32" i="9"/>
  <c r="E32" i="9"/>
  <c r="J32" i="9"/>
  <c r="V25" i="9"/>
  <c r="P25" i="9"/>
  <c r="Z16" i="9"/>
  <c r="E25" i="9"/>
  <c r="I25" i="9"/>
  <c r="W25" i="9"/>
  <c r="AG25" i="9"/>
  <c r="AN25" i="9"/>
  <c r="CH25" i="9"/>
  <c r="AK32" i="9"/>
  <c r="CC25" i="9"/>
  <c r="BZ34" i="9"/>
  <c r="J25" i="9"/>
  <c r="BL25" i="9"/>
  <c r="AM25" i="9"/>
  <c r="BU25" i="9"/>
  <c r="CI16" i="9"/>
  <c r="BY16" i="9"/>
  <c r="AA16" i="9"/>
  <c r="BU16" i="9"/>
  <c r="BB34" i="9"/>
  <c r="Z34" i="9"/>
  <c r="BC32" i="9"/>
  <c r="W32" i="9"/>
  <c r="CE25" i="9"/>
  <c r="BC25" i="9"/>
  <c r="R25" i="9"/>
  <c r="M25" i="9"/>
  <c r="AW25" i="9"/>
  <c r="BT32" i="9"/>
  <c r="BK25" i="9"/>
  <c r="BW32" i="9"/>
  <c r="V34" i="9"/>
  <c r="AE32" i="9"/>
  <c r="AR25" i="9"/>
  <c r="Q25" i="9"/>
  <c r="BT25" i="9"/>
  <c r="CG32" i="9"/>
  <c r="Q32" i="9"/>
  <c r="CF32" i="9"/>
  <c r="T32" i="9"/>
  <c r="I34" i="9"/>
  <c r="AI25" i="9"/>
  <c r="Z32" i="9"/>
  <c r="CD25" i="9"/>
  <c r="BB25" i="9"/>
  <c r="T25" i="9"/>
  <c r="BV34" i="9"/>
  <c r="BI32" i="9"/>
  <c r="F34" i="9"/>
  <c r="H25" i="9"/>
  <c r="AG32" i="9"/>
  <c r="BG16" i="9"/>
  <c r="BG25" i="9"/>
  <c r="BF25" i="9"/>
  <c r="J34" i="9"/>
  <c r="U32" i="9"/>
  <c r="E34" i="9"/>
  <c r="AZ32" i="9"/>
  <c r="BV16" i="9"/>
  <c r="G16" i="9"/>
  <c r="BM16" i="9"/>
  <c r="BF16" i="9"/>
  <c r="BI25" i="9"/>
  <c r="M16" i="9"/>
  <c r="BS16" i="9"/>
  <c r="CC32" i="9"/>
  <c r="V32" i="9"/>
  <c r="BD16" i="9"/>
  <c r="CD16" i="9"/>
  <c r="AZ25" i="9"/>
  <c r="CB32" i="9"/>
  <c r="BX25" i="9"/>
  <c r="AP34" i="9"/>
  <c r="CA25" i="9"/>
  <c r="AS16" i="9"/>
  <c r="AI16" i="9"/>
  <c r="AS25" i="9"/>
  <c r="AB25" i="9"/>
  <c r="Z25" i="9"/>
  <c r="X25" i="9"/>
  <c r="AD25" i="9"/>
  <c r="AA25" i="9"/>
  <c r="AE25" i="9"/>
  <c r="CE16" i="9"/>
  <c r="L25" i="9"/>
  <c r="U25" i="9"/>
  <c r="Q23" i="7"/>
  <c r="L23" i="7"/>
  <c r="K23" i="7"/>
  <c r="J23" i="7"/>
  <c r="AB22" i="10"/>
  <c r="AD31" i="6"/>
  <c r="AD32" i="6" s="1"/>
  <c r="AD28" i="10"/>
  <c r="AG74" i="11"/>
  <c r="AG75" i="11" s="1"/>
  <c r="AE74" i="11"/>
  <c r="AE75" i="11" s="1"/>
  <c r="V31" i="6"/>
  <c r="AJ22" i="10"/>
  <c r="CE22" i="10"/>
  <c r="S22" i="10"/>
  <c r="BQ22" i="10"/>
  <c r="CD22" i="10"/>
  <c r="R22" i="10"/>
  <c r="Y22" i="10"/>
  <c r="BL22" i="10"/>
  <c r="BS22" i="10"/>
  <c r="BC22" i="10"/>
  <c r="W22" i="10"/>
  <c r="BY28" i="10"/>
  <c r="BY31" i="6"/>
  <c r="BY32" i="6" s="1"/>
  <c r="M28" i="10"/>
  <c r="M31" i="6"/>
  <c r="M32" i="6" s="1"/>
  <c r="BP28" i="10"/>
  <c r="BP31" i="6"/>
  <c r="BP32" i="6" s="1"/>
  <c r="D31" i="6"/>
  <c r="BW28" i="10"/>
  <c r="BW31" i="6"/>
  <c r="BW32" i="6" s="1"/>
  <c r="K28" i="10"/>
  <c r="K31" i="6"/>
  <c r="K32" i="6" s="1"/>
  <c r="Z28" i="10"/>
  <c r="Z31" i="6"/>
  <c r="Z32" i="6" s="1"/>
  <c r="BE28" i="10"/>
  <c r="BE31" i="6"/>
  <c r="BE32" i="6" s="1"/>
  <c r="CJ28" i="10"/>
  <c r="CJ31" i="6"/>
  <c r="CJ32" i="6" s="1"/>
  <c r="X28" i="10"/>
  <c r="X31" i="6"/>
  <c r="X32" i="6" s="1"/>
  <c r="BK28" i="10"/>
  <c r="BK31" i="6"/>
  <c r="BK32" i="6" s="1"/>
  <c r="BE75" i="11"/>
  <c r="CB75" i="11"/>
  <c r="BZ22" i="10"/>
  <c r="BW22" i="10"/>
  <c r="K22" i="10"/>
  <c r="AK22" i="10"/>
  <c r="BV22" i="10"/>
  <c r="J22" i="10"/>
  <c r="CC22" i="10"/>
  <c r="Q22" i="10"/>
  <c r="BD22" i="10"/>
  <c r="BQ28" i="10"/>
  <c r="BQ31" i="6"/>
  <c r="BQ32" i="6" s="1"/>
  <c r="E28" i="10"/>
  <c r="E31" i="6"/>
  <c r="E32" i="6" s="1"/>
  <c r="BH28" i="10"/>
  <c r="BH31" i="6"/>
  <c r="BH32" i="6" s="1"/>
  <c r="BO28" i="10"/>
  <c r="BO31" i="6"/>
  <c r="BO32" i="6" s="1"/>
  <c r="C31" i="6"/>
  <c r="CD28" i="10"/>
  <c r="CD31" i="6"/>
  <c r="CD32" i="6" s="1"/>
  <c r="R28" i="10"/>
  <c r="R31" i="6"/>
  <c r="R32" i="6" s="1"/>
  <c r="AW28" i="10"/>
  <c r="AW31" i="6"/>
  <c r="AW32" i="6" s="1"/>
  <c r="CB28" i="10"/>
  <c r="CB31" i="6"/>
  <c r="CB32" i="6" s="1"/>
  <c r="P28" i="10"/>
  <c r="P31" i="6"/>
  <c r="P32" i="6" s="1"/>
  <c r="BC28" i="10"/>
  <c r="BC31" i="6"/>
  <c r="BC32" i="6" s="1"/>
  <c r="CH75" i="11"/>
  <c r="CF22" i="10"/>
  <c r="T22" i="10"/>
  <c r="AL22" i="10"/>
  <c r="F22" i="10"/>
  <c r="BO22" i="10"/>
  <c r="BI22" i="10"/>
  <c r="M22" i="10"/>
  <c r="BN22" i="10"/>
  <c r="BU22" i="10"/>
  <c r="I22" i="10"/>
  <c r="AV22" i="10"/>
  <c r="CI22" i="10"/>
  <c r="BI28" i="10"/>
  <c r="BI31" i="6"/>
  <c r="BI32" i="6" s="1"/>
  <c r="AZ28" i="10"/>
  <c r="AZ31" i="6"/>
  <c r="AZ32" i="6" s="1"/>
  <c r="BG28" i="10"/>
  <c r="BG31" i="6"/>
  <c r="BG32" i="6" s="1"/>
  <c r="BV28" i="10"/>
  <c r="BV31" i="6"/>
  <c r="BV32" i="6" s="1"/>
  <c r="J28" i="10"/>
  <c r="J31" i="6"/>
  <c r="J32" i="6" s="1"/>
  <c r="AO28" i="10"/>
  <c r="AO31" i="6"/>
  <c r="AO32" i="6" s="1"/>
  <c r="BT28" i="10"/>
  <c r="BT31" i="6"/>
  <c r="BT32" i="6" s="1"/>
  <c r="H28" i="10"/>
  <c r="H31" i="6"/>
  <c r="H32" i="6" s="1"/>
  <c r="AU28" i="10"/>
  <c r="AU31" i="6"/>
  <c r="AU32" i="6" s="1"/>
  <c r="BZ75" i="11"/>
  <c r="BX22" i="10"/>
  <c r="L22" i="10"/>
  <c r="BB22" i="10"/>
  <c r="V22" i="10"/>
  <c r="BG22" i="10"/>
  <c r="BF22" i="10"/>
  <c r="BM22" i="10"/>
  <c r="AN22" i="10"/>
  <c r="AU22" i="10"/>
  <c r="O22" i="10"/>
  <c r="BA28" i="10"/>
  <c r="BA31" i="6"/>
  <c r="BA32" i="6" s="1"/>
  <c r="AR28" i="10"/>
  <c r="AR31" i="6"/>
  <c r="AR32" i="6" s="1"/>
  <c r="AY28" i="10"/>
  <c r="AY31" i="6"/>
  <c r="AY32" i="6" s="1"/>
  <c r="BN28" i="10"/>
  <c r="BN31" i="6"/>
  <c r="BN32" i="6" s="1"/>
  <c r="B31" i="6"/>
  <c r="AG28" i="10"/>
  <c r="AG31" i="6"/>
  <c r="AG32" i="6" s="1"/>
  <c r="BL28" i="10"/>
  <c r="BL31" i="6"/>
  <c r="BL32" i="6" s="1"/>
  <c r="AM28" i="10"/>
  <c r="AM31" i="6"/>
  <c r="AM32" i="6" s="1"/>
  <c r="BR75" i="11"/>
  <c r="BP22" i="10"/>
  <c r="BR22" i="10"/>
  <c r="AY22" i="10"/>
  <c r="CG22" i="10"/>
  <c r="BA22" i="10"/>
  <c r="AC22" i="10"/>
  <c r="AX22" i="10"/>
  <c r="BE22" i="10"/>
  <c r="AF22" i="10"/>
  <c r="BK22" i="10"/>
  <c r="AE22" i="10"/>
  <c r="AS28" i="10"/>
  <c r="AS31" i="6"/>
  <c r="AS32" i="6" s="1"/>
  <c r="AJ28" i="10"/>
  <c r="AJ31" i="6"/>
  <c r="AJ32" i="6" s="1"/>
  <c r="AQ28" i="10"/>
  <c r="AQ31" i="6"/>
  <c r="AQ32" i="6" s="1"/>
  <c r="BF28" i="10"/>
  <c r="BF31" i="6"/>
  <c r="BF32" i="6" s="1"/>
  <c r="Y28" i="10"/>
  <c r="Y31" i="6"/>
  <c r="Y32" i="6" s="1"/>
  <c r="BD28" i="10"/>
  <c r="BD31" i="6"/>
  <c r="BD32" i="6" s="1"/>
  <c r="AE28" i="10"/>
  <c r="AE31" i="6"/>
  <c r="AE32" i="6" s="1"/>
  <c r="Y74" i="11"/>
  <c r="Y75" i="11" s="1"/>
  <c r="BH22" i="10"/>
  <c r="AQ22" i="10"/>
  <c r="E22" i="10"/>
  <c r="AP22" i="10"/>
  <c r="AW22" i="10"/>
  <c r="CJ22" i="10"/>
  <c r="X22" i="10"/>
  <c r="CA22" i="10"/>
  <c r="AK28" i="10"/>
  <c r="AK31" i="6"/>
  <c r="AK32" i="6" s="1"/>
  <c r="AB28" i="10"/>
  <c r="AB31" i="6"/>
  <c r="AB32" i="6" s="1"/>
  <c r="AI28" i="10"/>
  <c r="AI31" i="6"/>
  <c r="AI32" i="6" s="1"/>
  <c r="AX28" i="10"/>
  <c r="AX31" i="6"/>
  <c r="AX32" i="6" s="1"/>
  <c r="CC28" i="10"/>
  <c r="CC31" i="6"/>
  <c r="CC32" i="6" s="1"/>
  <c r="Q28" i="10"/>
  <c r="Q31" i="6"/>
  <c r="Q32" i="6" s="1"/>
  <c r="AV28" i="10"/>
  <c r="AV31" i="6"/>
  <c r="AV32" i="6" s="1"/>
  <c r="CI28" i="10"/>
  <c r="CI31" i="6"/>
  <c r="CI32" i="6" s="1"/>
  <c r="W28" i="10"/>
  <c r="W31" i="6"/>
  <c r="W32" i="6" s="1"/>
  <c r="Q74" i="11"/>
  <c r="Q75" i="11" s="1"/>
  <c r="AZ22" i="10"/>
  <c r="AT22" i="10"/>
  <c r="AD22" i="10"/>
  <c r="N22" i="10"/>
  <c r="AI22" i="10"/>
  <c r="BY22" i="10"/>
  <c r="AS22" i="10"/>
  <c r="AH22" i="10"/>
  <c r="AO22" i="10"/>
  <c r="CB22" i="10"/>
  <c r="P22" i="10"/>
  <c r="AC28" i="10"/>
  <c r="AC31" i="6"/>
  <c r="AC32" i="6" s="1"/>
  <c r="CF28" i="10"/>
  <c r="CF31" i="6"/>
  <c r="CF32" i="6" s="1"/>
  <c r="T28" i="10"/>
  <c r="T31" i="6"/>
  <c r="T32" i="6" s="1"/>
  <c r="AA28" i="10"/>
  <c r="AA31" i="6"/>
  <c r="AA32" i="6" s="1"/>
  <c r="AP28" i="10"/>
  <c r="AP31" i="6"/>
  <c r="AP32" i="6" s="1"/>
  <c r="BU28" i="10"/>
  <c r="BU31" i="6"/>
  <c r="BU32" i="6" s="1"/>
  <c r="I28" i="10"/>
  <c r="I31" i="6"/>
  <c r="I32" i="6" s="1"/>
  <c r="AN28" i="10"/>
  <c r="AN31" i="6"/>
  <c r="AN32" i="6" s="1"/>
  <c r="CA28" i="10"/>
  <c r="CA31" i="6"/>
  <c r="CA32" i="6" s="1"/>
  <c r="O28" i="10"/>
  <c r="O31" i="6"/>
  <c r="O32" i="6" s="1"/>
  <c r="AR22" i="10"/>
  <c r="CH22" i="10"/>
  <c r="BJ22" i="10"/>
  <c r="AA22" i="10"/>
  <c r="U22" i="10"/>
  <c r="Z22" i="10"/>
  <c r="AG22" i="10"/>
  <c r="BT22" i="10"/>
  <c r="H22" i="10"/>
  <c r="AM22" i="10"/>
  <c r="G22" i="10"/>
  <c r="CG28" i="10"/>
  <c r="CG31" i="6"/>
  <c r="CG32" i="6" s="1"/>
  <c r="U28" i="10"/>
  <c r="U31" i="6"/>
  <c r="U32" i="6" s="1"/>
  <c r="BX28" i="10"/>
  <c r="BX31" i="6"/>
  <c r="BX32" i="6" s="1"/>
  <c r="L28" i="10"/>
  <c r="L31" i="6"/>
  <c r="L32" i="6" s="1"/>
  <c r="CE28" i="10"/>
  <c r="CE31" i="6"/>
  <c r="CE32" i="6" s="1"/>
  <c r="S28" i="10"/>
  <c r="S31" i="6"/>
  <c r="S32" i="6" s="1"/>
  <c r="AH28" i="10"/>
  <c r="AH31" i="6"/>
  <c r="AH32" i="6" s="1"/>
  <c r="BM28" i="10"/>
  <c r="BM31" i="6"/>
  <c r="BM32" i="6" s="1"/>
  <c r="BZ6" i="11"/>
  <c r="BZ39" i="10"/>
  <c r="BZ34" i="10"/>
  <c r="BZ38" i="6"/>
  <c r="BZ39" i="6" s="1"/>
  <c r="AF28" i="10"/>
  <c r="AF31" i="6"/>
  <c r="AF32" i="6" s="1"/>
  <c r="BS28" i="10"/>
  <c r="BS31" i="6"/>
  <c r="BS32" i="6" s="1"/>
  <c r="G28" i="10"/>
  <c r="G31" i="6"/>
  <c r="G32" i="6" s="1"/>
  <c r="AD34" i="9"/>
  <c r="E16" i="9"/>
  <c r="AH16" i="9"/>
  <c r="R16" i="9"/>
  <c r="AM32" i="9"/>
  <c r="G32" i="9"/>
  <c r="O32" i="9"/>
  <c r="AJ32" i="9"/>
  <c r="P32" i="9"/>
  <c r="AF25" i="9"/>
  <c r="AL25" i="9"/>
  <c r="Y25" i="9"/>
  <c r="AJ16" i="9"/>
  <c r="Y16" i="9"/>
  <c r="N25" i="9"/>
  <c r="AP16" i="9"/>
  <c r="AJ25" i="9"/>
  <c r="O25" i="9"/>
  <c r="AP25" i="9"/>
  <c r="S25" i="9"/>
  <c r="AE12" i="9"/>
  <c r="AE4" i="8"/>
  <c r="AE108" i="5"/>
  <c r="BZ12" i="9"/>
  <c r="BZ108" i="5"/>
  <c r="N12" i="9"/>
  <c r="N4" i="8"/>
  <c r="N108" i="5"/>
  <c r="BI12" i="9"/>
  <c r="BI4" i="8"/>
  <c r="BI108" i="5"/>
  <c r="AA12" i="9"/>
  <c r="AA4" i="8"/>
  <c r="AA108" i="5"/>
  <c r="CC12" i="9"/>
  <c r="CC108" i="5"/>
  <c r="Q12" i="9"/>
  <c r="Q4" i="8"/>
  <c r="Q108" i="5"/>
  <c r="BT12" i="9"/>
  <c r="BT4" i="8"/>
  <c r="BT5" i="8" s="1"/>
  <c r="BT108" i="5"/>
  <c r="H12" i="9"/>
  <c r="H69" i="9" s="1"/>
  <c r="H4" i="8"/>
  <c r="H108" i="5"/>
  <c r="CK50" i="11"/>
  <c r="CK4" i="9"/>
  <c r="CK29" i="9" s="1"/>
  <c r="CK69" i="5"/>
  <c r="CK22" i="11" s="1"/>
  <c r="CK23" i="11" s="1"/>
  <c r="CK24" i="11" s="1"/>
  <c r="Y50" i="11"/>
  <c r="Y51" i="11" s="1"/>
  <c r="Y4" i="9"/>
  <c r="Y69" i="5"/>
  <c r="Y22" i="11" s="1"/>
  <c r="Y23" i="11" s="1"/>
  <c r="Y24" i="11" s="1"/>
  <c r="AN50" i="11"/>
  <c r="AN51" i="11" s="1"/>
  <c r="AN4" i="9"/>
  <c r="AN69" i="5"/>
  <c r="AN22" i="11" s="1"/>
  <c r="AN23" i="11" s="1"/>
  <c r="AN24" i="11" s="1"/>
  <c r="BC50" i="11"/>
  <c r="BC51" i="11" s="1"/>
  <c r="BC4" i="9"/>
  <c r="BC69" i="5"/>
  <c r="BC22" i="11" s="1"/>
  <c r="BC23" i="11" s="1"/>
  <c r="BC24" i="11" s="1"/>
  <c r="BB50" i="11"/>
  <c r="BB51" i="11" s="1"/>
  <c r="BB4" i="9"/>
  <c r="BB69" i="5"/>
  <c r="BB22" i="11" s="1"/>
  <c r="BB23" i="11" s="1"/>
  <c r="BB24" i="11" s="1"/>
  <c r="L12" i="9"/>
  <c r="L69" i="9" s="1"/>
  <c r="L4" i="8"/>
  <c r="L108" i="5"/>
  <c r="CG50" i="11"/>
  <c r="CG51" i="11" s="1"/>
  <c r="CG4" i="9"/>
  <c r="CG69" i="5"/>
  <c r="CG22" i="11" s="1"/>
  <c r="CG23" i="11" s="1"/>
  <c r="CG24" i="11" s="1"/>
  <c r="U50" i="11"/>
  <c r="U51" i="11" s="1"/>
  <c r="U4" i="9"/>
  <c r="U69" i="5"/>
  <c r="U22" i="11" s="1"/>
  <c r="U23" i="11" s="1"/>
  <c r="U24" i="11" s="1"/>
  <c r="CD12" i="9"/>
  <c r="CD108" i="5"/>
  <c r="AX12" i="9"/>
  <c r="AX108" i="5"/>
  <c r="AX4" i="8"/>
  <c r="R12" i="9"/>
  <c r="R4" i="8"/>
  <c r="R108" i="5"/>
  <c r="AB50" i="11"/>
  <c r="AB51" i="11" s="1"/>
  <c r="AB4" i="9"/>
  <c r="AB69" i="5"/>
  <c r="AB22" i="11" s="1"/>
  <c r="AB23" i="11" s="1"/>
  <c r="AB24" i="11" s="1"/>
  <c r="I12" i="9"/>
  <c r="I69" i="9" s="1"/>
  <c r="I4" i="8"/>
  <c r="I108" i="5"/>
  <c r="AQ50" i="11"/>
  <c r="AQ51" i="11" s="1"/>
  <c r="AQ4" i="9"/>
  <c r="AQ69" i="5"/>
  <c r="AQ22" i="11" s="1"/>
  <c r="AQ23" i="11" s="1"/>
  <c r="AQ24" i="11" s="1"/>
  <c r="BF50" i="11"/>
  <c r="BF51" i="11" s="1"/>
  <c r="BF4" i="9"/>
  <c r="BF69" i="5"/>
  <c r="BF22" i="11" s="1"/>
  <c r="BF23" i="11" s="1"/>
  <c r="BF24" i="11" s="1"/>
  <c r="CI12" i="9"/>
  <c r="CI108" i="5"/>
  <c r="W12" i="9"/>
  <c r="W4" i="8"/>
  <c r="W108" i="5"/>
  <c r="BR12" i="9"/>
  <c r="BR108" i="5"/>
  <c r="BR4" i="8"/>
  <c r="F12" i="9"/>
  <c r="F69" i="9" s="1"/>
  <c r="F4" i="8"/>
  <c r="F108" i="5"/>
  <c r="BA12" i="9"/>
  <c r="BA4" i="8"/>
  <c r="BA108" i="5"/>
  <c r="CE12" i="9"/>
  <c r="CE108" i="5"/>
  <c r="S12" i="9"/>
  <c r="S4" i="8"/>
  <c r="S108" i="5"/>
  <c r="BU12" i="9"/>
  <c r="BU4" i="8"/>
  <c r="BU5" i="8" s="1"/>
  <c r="BU108" i="5"/>
  <c r="BL12" i="9"/>
  <c r="BL4" i="8"/>
  <c r="BL108" i="5"/>
  <c r="CC50" i="11"/>
  <c r="CC51" i="11" s="1"/>
  <c r="CC4" i="9"/>
  <c r="CC69" i="5"/>
  <c r="CC22" i="11" s="1"/>
  <c r="CC23" i="11" s="1"/>
  <c r="CC24" i="11" s="1"/>
  <c r="Q50" i="11"/>
  <c r="Q51" i="11" s="1"/>
  <c r="Q4" i="9"/>
  <c r="Q69" i="5"/>
  <c r="Q22" i="11" s="1"/>
  <c r="Q23" i="11" s="1"/>
  <c r="Q24" i="11" s="1"/>
  <c r="AF50" i="11"/>
  <c r="AF51" i="11" s="1"/>
  <c r="AF4" i="9"/>
  <c r="AF69" i="5"/>
  <c r="AF22" i="11" s="1"/>
  <c r="AF23" i="11" s="1"/>
  <c r="AF24" i="11" s="1"/>
  <c r="AU50" i="11"/>
  <c r="AU51" i="11" s="1"/>
  <c r="AU4" i="9"/>
  <c r="AU69" i="5"/>
  <c r="AU22" i="11" s="1"/>
  <c r="AU23" i="11" s="1"/>
  <c r="AU24" i="11" s="1"/>
  <c r="AT50" i="11"/>
  <c r="AT51" i="11" s="1"/>
  <c r="AT4" i="9"/>
  <c r="AT69" i="5"/>
  <c r="AT22" i="11" s="1"/>
  <c r="AT23" i="11" s="1"/>
  <c r="AT24" i="11" s="1"/>
  <c r="BY50" i="11"/>
  <c r="BY51" i="11" s="1"/>
  <c r="BY4" i="9"/>
  <c r="BY69" i="5"/>
  <c r="BY22" i="11" s="1"/>
  <c r="BY23" i="11" s="1"/>
  <c r="BY24" i="11" s="1"/>
  <c r="M50" i="11"/>
  <c r="M51" i="11" s="1"/>
  <c r="M4" i="9"/>
  <c r="M69" i="5"/>
  <c r="M22" i="11" s="1"/>
  <c r="M23" i="11" s="1"/>
  <c r="M24" i="11" s="1"/>
  <c r="CF50" i="11"/>
  <c r="CF51" i="11" s="1"/>
  <c r="CF4" i="9"/>
  <c r="CF69" i="5"/>
  <c r="CF22" i="11" s="1"/>
  <c r="CF23" i="11" s="1"/>
  <c r="CF24" i="11" s="1"/>
  <c r="T50" i="11"/>
  <c r="T51" i="11" s="1"/>
  <c r="T4" i="9"/>
  <c r="T69" i="5"/>
  <c r="T22" i="11" s="1"/>
  <c r="T23" i="11" s="1"/>
  <c r="T24" i="11" s="1"/>
  <c r="AQ32" i="9"/>
  <c r="K32" i="9"/>
  <c r="AI50" i="11"/>
  <c r="AI51" i="11" s="1"/>
  <c r="AI4" i="9"/>
  <c r="AI69" i="5"/>
  <c r="AI22" i="11" s="1"/>
  <c r="AI23" i="11" s="1"/>
  <c r="AI24" i="11" s="1"/>
  <c r="AX50" i="11"/>
  <c r="AX51" i="11" s="1"/>
  <c r="AX4" i="9"/>
  <c r="AX69" i="5"/>
  <c r="AX22" i="11" s="1"/>
  <c r="AX23" i="11" s="1"/>
  <c r="AX24" i="11" s="1"/>
  <c r="CA12" i="9"/>
  <c r="CA108" i="5"/>
  <c r="O12" i="9"/>
  <c r="O4" i="8"/>
  <c r="O108" i="5"/>
  <c r="BJ12" i="9"/>
  <c r="BJ108" i="5"/>
  <c r="BJ4" i="8"/>
  <c r="AS12" i="9"/>
  <c r="AS4" i="8"/>
  <c r="AS108" i="5"/>
  <c r="BW12" i="9"/>
  <c r="BW108" i="5"/>
  <c r="K12" i="9"/>
  <c r="K69" i="9" s="1"/>
  <c r="K4" i="8"/>
  <c r="K108" i="5"/>
  <c r="BM12" i="9"/>
  <c r="BM4" i="8"/>
  <c r="BM108" i="5"/>
  <c r="BD12" i="9"/>
  <c r="BD4" i="8"/>
  <c r="BD108" i="5"/>
  <c r="CK32" i="9"/>
  <c r="BU50" i="11"/>
  <c r="BU51" i="11" s="1"/>
  <c r="BU4" i="9"/>
  <c r="BU69" i="5"/>
  <c r="BU22" i="11" s="1"/>
  <c r="BU23" i="11" s="1"/>
  <c r="BU24" i="11" s="1"/>
  <c r="I50" i="11"/>
  <c r="I51" i="11" s="1"/>
  <c r="I4" i="9"/>
  <c r="I69" i="5"/>
  <c r="I22" i="11" s="1"/>
  <c r="I23" i="11" s="1"/>
  <c r="I24" i="11" s="1"/>
  <c r="CJ50" i="11"/>
  <c r="CJ51" i="11" s="1"/>
  <c r="CJ4" i="9"/>
  <c r="CJ29" i="9" s="1"/>
  <c r="CJ69" i="5"/>
  <c r="CJ22" i="11" s="1"/>
  <c r="CJ23" i="11" s="1"/>
  <c r="CJ24" i="11" s="1"/>
  <c r="X50" i="11"/>
  <c r="X51" i="11" s="1"/>
  <c r="X4" i="9"/>
  <c r="X29" i="9" s="1"/>
  <c r="X69" i="5"/>
  <c r="X22" i="11" s="1"/>
  <c r="X23" i="11" s="1"/>
  <c r="X24" i="11" s="1"/>
  <c r="AB12" i="9"/>
  <c r="AB4" i="8"/>
  <c r="AB108" i="5"/>
  <c r="AM50" i="11"/>
  <c r="AM51" i="11" s="1"/>
  <c r="AM4" i="9"/>
  <c r="AM29" i="9" s="1"/>
  <c r="AM69" i="5"/>
  <c r="AM22" i="11" s="1"/>
  <c r="AM23" i="11" s="1"/>
  <c r="AM24" i="11" s="1"/>
  <c r="AL50" i="11"/>
  <c r="AL51" i="11" s="1"/>
  <c r="AL4" i="9"/>
  <c r="AL69" i="5"/>
  <c r="AL22" i="11" s="1"/>
  <c r="AL23" i="11" s="1"/>
  <c r="AL24" i="11" s="1"/>
  <c r="BQ50" i="11"/>
  <c r="BQ51" i="11" s="1"/>
  <c r="BQ4" i="9"/>
  <c r="BQ69" i="5"/>
  <c r="BQ22" i="11" s="1"/>
  <c r="BQ23" i="11" s="1"/>
  <c r="BQ24" i="11" s="1"/>
  <c r="E50" i="11"/>
  <c r="E51" i="11" s="1"/>
  <c r="E4" i="9"/>
  <c r="E69" i="5"/>
  <c r="E22" i="11" s="1"/>
  <c r="E23" i="11" s="1"/>
  <c r="E24" i="11" s="1"/>
  <c r="BV12" i="9"/>
  <c r="BV4" i="8"/>
  <c r="BV5" i="8" s="1"/>
  <c r="BV108" i="5"/>
  <c r="AP12" i="9"/>
  <c r="AP4" i="8"/>
  <c r="AP108" i="5"/>
  <c r="J12" i="9"/>
  <c r="J69" i="9" s="1"/>
  <c r="J4" i="8"/>
  <c r="J108" i="5"/>
  <c r="BX50" i="11"/>
  <c r="BX51" i="11" s="1"/>
  <c r="BX4" i="9"/>
  <c r="BX69" i="5"/>
  <c r="BX22" i="11" s="1"/>
  <c r="BX23" i="11" s="1"/>
  <c r="BX24" i="11" s="1"/>
  <c r="L50" i="11"/>
  <c r="L51" i="11" s="1"/>
  <c r="L4" i="9"/>
  <c r="L69" i="5"/>
  <c r="L22" i="11" s="1"/>
  <c r="L23" i="11" s="1"/>
  <c r="L24" i="11" s="1"/>
  <c r="AA50" i="11"/>
  <c r="AA51" i="11" s="1"/>
  <c r="AA4" i="9"/>
  <c r="AA69" i="5"/>
  <c r="AA22" i="11" s="1"/>
  <c r="AA23" i="11" s="1"/>
  <c r="AA24" i="11" s="1"/>
  <c r="AP50" i="11"/>
  <c r="AP51" i="11" s="1"/>
  <c r="AP4" i="9"/>
  <c r="AP69" i="5"/>
  <c r="AP22" i="11" s="1"/>
  <c r="AP23" i="11" s="1"/>
  <c r="AP24" i="11" s="1"/>
  <c r="BS12" i="9"/>
  <c r="BS4" i="8"/>
  <c r="BS5" i="8" s="1"/>
  <c r="BS108" i="5"/>
  <c r="G12" i="9"/>
  <c r="G69" i="9" s="1"/>
  <c r="G4" i="8"/>
  <c r="G108" i="5"/>
  <c r="BB12" i="9"/>
  <c r="BB108" i="5"/>
  <c r="BB4" i="8"/>
  <c r="AK12" i="9"/>
  <c r="AK4" i="8"/>
  <c r="AK108" i="5"/>
  <c r="BO12" i="9"/>
  <c r="BO4" i="8"/>
  <c r="BO108" i="5"/>
  <c r="BE12" i="9"/>
  <c r="BE4" i="8"/>
  <c r="BE5" i="8" s="1"/>
  <c r="BE108" i="5"/>
  <c r="AV12" i="9"/>
  <c r="AV4" i="8"/>
  <c r="AV108" i="5"/>
  <c r="AR12" i="9"/>
  <c r="AR4" i="8"/>
  <c r="AR108" i="5"/>
  <c r="BM50" i="11"/>
  <c r="BM51" i="11" s="1"/>
  <c r="BM4" i="9"/>
  <c r="BM69" i="5"/>
  <c r="BM22" i="11" s="1"/>
  <c r="BM23" i="11" s="1"/>
  <c r="BM24" i="11" s="1"/>
  <c r="CB50" i="11"/>
  <c r="CB51" i="11" s="1"/>
  <c r="CB4" i="9"/>
  <c r="CB29" i="9" s="1"/>
  <c r="CB69" i="5"/>
  <c r="CB22" i="11" s="1"/>
  <c r="CB23" i="11" s="1"/>
  <c r="CB24" i="11" s="1"/>
  <c r="P50" i="11"/>
  <c r="P51" i="11" s="1"/>
  <c r="P4" i="9"/>
  <c r="P69" i="5"/>
  <c r="P22" i="11" s="1"/>
  <c r="P23" i="11" s="1"/>
  <c r="P24" i="11" s="1"/>
  <c r="AE50" i="11"/>
  <c r="AE51" i="11" s="1"/>
  <c r="AE4" i="9"/>
  <c r="AE69" i="5"/>
  <c r="AE22" i="11" s="1"/>
  <c r="AE23" i="11" s="1"/>
  <c r="AE24" i="11" s="1"/>
  <c r="AD50" i="11"/>
  <c r="AD51" i="11" s="1"/>
  <c r="AD4" i="9"/>
  <c r="AD69" i="5"/>
  <c r="AD22" i="11" s="1"/>
  <c r="AD23" i="11" s="1"/>
  <c r="AD24" i="11" s="1"/>
  <c r="BI50" i="11"/>
  <c r="BI51" i="11" s="1"/>
  <c r="BI4" i="9"/>
  <c r="BI69" i="5"/>
  <c r="BI22" i="11" s="1"/>
  <c r="BI23" i="11" s="1"/>
  <c r="BI24" i="11" s="1"/>
  <c r="BP50" i="11"/>
  <c r="BP51" i="11" s="1"/>
  <c r="BP4" i="9"/>
  <c r="BP69" i="5"/>
  <c r="BP22" i="11" s="1"/>
  <c r="BP23" i="11" s="1"/>
  <c r="BP24" i="11" s="1"/>
  <c r="BO32" i="9"/>
  <c r="AI32" i="9"/>
  <c r="CE50" i="11"/>
  <c r="CE51" i="11" s="1"/>
  <c r="CE4" i="9"/>
  <c r="CE69" i="5"/>
  <c r="CE22" i="11" s="1"/>
  <c r="CE23" i="11" s="1"/>
  <c r="CE24" i="11" s="1"/>
  <c r="S50" i="11"/>
  <c r="S51" i="11" s="1"/>
  <c r="S4" i="9"/>
  <c r="S69" i="5"/>
  <c r="S22" i="11" s="1"/>
  <c r="S23" i="11" s="1"/>
  <c r="S24" i="11" s="1"/>
  <c r="AH50" i="11"/>
  <c r="AH51" i="11" s="1"/>
  <c r="AH4" i="9"/>
  <c r="AH69" i="5"/>
  <c r="AH22" i="11" s="1"/>
  <c r="AH23" i="11" s="1"/>
  <c r="AH24" i="11" s="1"/>
  <c r="BK12" i="9"/>
  <c r="BK4" i="8"/>
  <c r="BK108" i="5"/>
  <c r="AT12" i="9"/>
  <c r="AT4" i="8"/>
  <c r="AT108" i="5"/>
  <c r="AC12" i="9"/>
  <c r="AC4" i="8"/>
  <c r="AC108" i="5"/>
  <c r="BG12" i="9"/>
  <c r="BG4" i="8"/>
  <c r="BG108" i="5"/>
  <c r="AW12" i="9"/>
  <c r="AW4" i="8"/>
  <c r="AW108" i="5"/>
  <c r="AN12" i="9"/>
  <c r="AN4" i="8"/>
  <c r="AN108" i="5"/>
  <c r="BE50" i="11"/>
  <c r="BE51" i="11" s="1"/>
  <c r="BE4" i="9"/>
  <c r="BE69" i="5"/>
  <c r="BE22" i="11" s="1"/>
  <c r="BE23" i="11" s="1"/>
  <c r="BE24" i="11" s="1"/>
  <c r="CJ32" i="9"/>
  <c r="BT50" i="11"/>
  <c r="BT51" i="11" s="1"/>
  <c r="BT4" i="9"/>
  <c r="BT69" i="5"/>
  <c r="BT22" i="11" s="1"/>
  <c r="BT23" i="11" s="1"/>
  <c r="BT24" i="11" s="1"/>
  <c r="H50" i="11"/>
  <c r="H51" i="11" s="1"/>
  <c r="H4" i="9"/>
  <c r="H69" i="5"/>
  <c r="H22" i="11" s="1"/>
  <c r="H23" i="11" s="1"/>
  <c r="H24" i="11" s="1"/>
  <c r="M12" i="9"/>
  <c r="M69" i="9" s="1"/>
  <c r="M4" i="8"/>
  <c r="M108" i="5"/>
  <c r="CI50" i="11"/>
  <c r="CI51" i="11" s="1"/>
  <c r="CI4" i="9"/>
  <c r="CI29" i="9" s="1"/>
  <c r="CI69" i="5"/>
  <c r="CI22" i="11" s="1"/>
  <c r="CI23" i="11" s="1"/>
  <c r="CI24" i="11" s="1"/>
  <c r="W50" i="11"/>
  <c r="W51" i="11" s="1"/>
  <c r="W4" i="9"/>
  <c r="W69" i="5"/>
  <c r="W22" i="11" s="1"/>
  <c r="W23" i="11" s="1"/>
  <c r="W24" i="11" s="1"/>
  <c r="CH50" i="11"/>
  <c r="CH51" i="11" s="1"/>
  <c r="CH4" i="9"/>
  <c r="CH29" i="9" s="1"/>
  <c r="CH69" i="5"/>
  <c r="CH22" i="11" s="1"/>
  <c r="CH23" i="11" s="1"/>
  <c r="CH24" i="11" s="1"/>
  <c r="V50" i="11"/>
  <c r="V51" i="11" s="1"/>
  <c r="V4" i="9"/>
  <c r="V69" i="5"/>
  <c r="V22" i="11" s="1"/>
  <c r="V23" i="11" s="1"/>
  <c r="BA50" i="11"/>
  <c r="BA51" i="11" s="1"/>
  <c r="BA4" i="9"/>
  <c r="BA69" i="5"/>
  <c r="BA22" i="11" s="1"/>
  <c r="BA23" i="11" s="1"/>
  <c r="BA24" i="11" s="1"/>
  <c r="BN12" i="9"/>
  <c r="BN4" i="8"/>
  <c r="BN108" i="5"/>
  <c r="AH12" i="9"/>
  <c r="AH4" i="8"/>
  <c r="AH108" i="5"/>
  <c r="BH50" i="11"/>
  <c r="BH51" i="11" s="1"/>
  <c r="BH4" i="9"/>
  <c r="BH69" i="5"/>
  <c r="BH22" i="11" s="1"/>
  <c r="BH23" i="11" s="1"/>
  <c r="BH24" i="11" s="1"/>
  <c r="BW50" i="11"/>
  <c r="BW51" i="11" s="1"/>
  <c r="BW4" i="9"/>
  <c r="BW69" i="5"/>
  <c r="BW22" i="11" s="1"/>
  <c r="BW23" i="11" s="1"/>
  <c r="BW24" i="11" s="1"/>
  <c r="K50" i="11"/>
  <c r="K51" i="11" s="1"/>
  <c r="K4" i="9"/>
  <c r="K69" i="5"/>
  <c r="K22" i="11" s="1"/>
  <c r="K23" i="11" s="1"/>
  <c r="K24" i="11" s="1"/>
  <c r="AZ12" i="9"/>
  <c r="AZ108" i="5"/>
  <c r="AZ4" i="8"/>
  <c r="Z50" i="11"/>
  <c r="Z51" i="11" s="1"/>
  <c r="Z4" i="9"/>
  <c r="Z69" i="5"/>
  <c r="Z22" i="11" s="1"/>
  <c r="Z23" i="11" s="1"/>
  <c r="Z24" i="11" s="1"/>
  <c r="BC12" i="9"/>
  <c r="BC4" i="8"/>
  <c r="BC108" i="5"/>
  <c r="AL12" i="9"/>
  <c r="AL4" i="8"/>
  <c r="AL5" i="8" s="1"/>
  <c r="AL108" i="5"/>
  <c r="CG12" i="9"/>
  <c r="CG108" i="5"/>
  <c r="U12" i="9"/>
  <c r="U4" i="8"/>
  <c r="U108" i="5"/>
  <c r="AY12" i="9"/>
  <c r="AY4" i="8"/>
  <c r="AY108" i="5"/>
  <c r="AO12" i="9"/>
  <c r="AO4" i="8"/>
  <c r="AO5" i="8" s="1"/>
  <c r="AO108" i="5"/>
  <c r="AF12" i="9"/>
  <c r="AF4" i="8"/>
  <c r="AF108" i="5"/>
  <c r="AW50" i="11"/>
  <c r="AW51" i="11" s="1"/>
  <c r="AW4" i="9"/>
  <c r="AW69" i="5"/>
  <c r="AW22" i="11" s="1"/>
  <c r="AW23" i="11" s="1"/>
  <c r="AW24" i="11" s="1"/>
  <c r="AJ12" i="9"/>
  <c r="AJ4" i="8"/>
  <c r="AJ108" i="5"/>
  <c r="BL50" i="11"/>
  <c r="BL51" i="11" s="1"/>
  <c r="BL4" i="9"/>
  <c r="BL69" i="5"/>
  <c r="BL22" i="11" s="1"/>
  <c r="BL23" i="11" s="1"/>
  <c r="BL24" i="11" s="1"/>
  <c r="CA50" i="11"/>
  <c r="CA51" i="11" s="1"/>
  <c r="CA4" i="9"/>
  <c r="CA29" i="9" s="1"/>
  <c r="CA69" i="5"/>
  <c r="CA22" i="11" s="1"/>
  <c r="CA23" i="11" s="1"/>
  <c r="CA24" i="11" s="1"/>
  <c r="O50" i="11"/>
  <c r="O51" i="11" s="1"/>
  <c r="O4" i="9"/>
  <c r="O69" i="5"/>
  <c r="O22" i="11" s="1"/>
  <c r="O23" i="11" s="1"/>
  <c r="O24" i="11" s="1"/>
  <c r="BZ50" i="11"/>
  <c r="BZ51" i="11" s="1"/>
  <c r="BZ4" i="9"/>
  <c r="BZ69" i="5"/>
  <c r="BZ22" i="11" s="1"/>
  <c r="BZ23" i="11" s="1"/>
  <c r="BZ24" i="11" s="1"/>
  <c r="N50" i="11"/>
  <c r="N51" i="11" s="1"/>
  <c r="N4" i="9"/>
  <c r="N69" i="5"/>
  <c r="N22" i="11" s="1"/>
  <c r="N23" i="11" s="1"/>
  <c r="N24" i="11" s="1"/>
  <c r="AS50" i="11"/>
  <c r="AS51" i="11" s="1"/>
  <c r="AS4" i="9"/>
  <c r="AS69" i="5"/>
  <c r="AS22" i="11" s="1"/>
  <c r="AS23" i="11" s="1"/>
  <c r="AS24" i="11" s="1"/>
  <c r="BP12" i="9"/>
  <c r="BP4" i="8"/>
  <c r="BP108" i="5"/>
  <c r="AZ50" i="11"/>
  <c r="AZ51" i="11" s="1"/>
  <c r="AZ4" i="9"/>
  <c r="AZ69" i="5"/>
  <c r="AZ22" i="11" s="1"/>
  <c r="AZ23" i="11" s="1"/>
  <c r="AZ24" i="11" s="1"/>
  <c r="BG32" i="9"/>
  <c r="AA32" i="9"/>
  <c r="BO50" i="11"/>
  <c r="BO51" i="11" s="1"/>
  <c r="BO4" i="9"/>
  <c r="BO69" i="5"/>
  <c r="BO22" i="11" s="1"/>
  <c r="BO23" i="11" s="1"/>
  <c r="BO24" i="11" s="1"/>
  <c r="CD50" i="11"/>
  <c r="CD51" i="11" s="1"/>
  <c r="CD4" i="9"/>
  <c r="CD69" i="5"/>
  <c r="CD22" i="11" s="1"/>
  <c r="CD23" i="11" s="1"/>
  <c r="CD24" i="11" s="1"/>
  <c r="R50" i="11"/>
  <c r="R51" i="11" s="1"/>
  <c r="R4" i="9"/>
  <c r="R69" i="5"/>
  <c r="R22" i="11" s="1"/>
  <c r="R23" i="11" s="1"/>
  <c r="R24" i="11" s="1"/>
  <c r="AU12" i="9"/>
  <c r="AU4" i="8"/>
  <c r="AU108" i="5"/>
  <c r="AD12" i="9"/>
  <c r="AD4" i="8"/>
  <c r="AD108" i="5"/>
  <c r="BY12" i="9"/>
  <c r="BY108" i="5"/>
  <c r="AQ12" i="9"/>
  <c r="AQ4" i="8"/>
  <c r="AQ108" i="5"/>
  <c r="AG12" i="9"/>
  <c r="AG4" i="8"/>
  <c r="AG108" i="5"/>
  <c r="CJ12" i="9"/>
  <c r="CJ108" i="5"/>
  <c r="X12" i="9"/>
  <c r="X4" i="8"/>
  <c r="X108" i="5"/>
  <c r="AO50" i="11"/>
  <c r="AO51" i="11" s="1"/>
  <c r="AO4" i="9"/>
  <c r="AO69" i="5"/>
  <c r="AO22" i="11" s="1"/>
  <c r="AO23" i="11" s="1"/>
  <c r="AO24" i="11" s="1"/>
  <c r="BD50" i="11"/>
  <c r="BD51" i="11" s="1"/>
  <c r="BD4" i="9"/>
  <c r="BD69" i="5"/>
  <c r="BD22" i="11" s="1"/>
  <c r="BD23" i="11" s="1"/>
  <c r="BD24" i="11" s="1"/>
  <c r="B27" i="13"/>
  <c r="B8" i="13"/>
  <c r="E12" i="9"/>
  <c r="E69" i="9" s="1"/>
  <c r="E4" i="8"/>
  <c r="CI32" i="9"/>
  <c r="BS50" i="11"/>
  <c r="BS51" i="11" s="1"/>
  <c r="BS4" i="9"/>
  <c r="BS69" i="5"/>
  <c r="BS22" i="11" s="1"/>
  <c r="BS23" i="11" s="1"/>
  <c r="BS24" i="11" s="1"/>
  <c r="G50" i="11"/>
  <c r="G51" i="11" s="1"/>
  <c r="G4" i="9"/>
  <c r="G69" i="5"/>
  <c r="G22" i="11" s="1"/>
  <c r="G23" i="11" s="1"/>
  <c r="G24" i="11" s="1"/>
  <c r="CF12" i="9"/>
  <c r="CF108" i="5"/>
  <c r="CH32" i="9"/>
  <c r="BR50" i="11"/>
  <c r="BR51" i="11" s="1"/>
  <c r="BR4" i="9"/>
  <c r="BR69" i="5"/>
  <c r="BR22" i="11" s="1"/>
  <c r="BR23" i="11" s="1"/>
  <c r="BR24" i="11" s="1"/>
  <c r="F50" i="11"/>
  <c r="F51" i="11" s="1"/>
  <c r="F4" i="9"/>
  <c r="F69" i="5"/>
  <c r="F22" i="11" s="1"/>
  <c r="F23" i="11" s="1"/>
  <c r="F24" i="11" s="1"/>
  <c r="AK50" i="11"/>
  <c r="AK51" i="11" s="1"/>
  <c r="AK4" i="9"/>
  <c r="AK69" i="5"/>
  <c r="AK22" i="11" s="1"/>
  <c r="AK23" i="11" s="1"/>
  <c r="AK24" i="11" s="1"/>
  <c r="BF12" i="9"/>
  <c r="BF108" i="5"/>
  <c r="BF4" i="8"/>
  <c r="Z12" i="9"/>
  <c r="Z4" i="8"/>
  <c r="Z108" i="5"/>
  <c r="AR50" i="11"/>
  <c r="AR51" i="11" s="1"/>
  <c r="AR4" i="9"/>
  <c r="AR69" i="5"/>
  <c r="AR22" i="11" s="1"/>
  <c r="AR23" i="11" s="1"/>
  <c r="AR24" i="11" s="1"/>
  <c r="BH12" i="9"/>
  <c r="BH4" i="8"/>
  <c r="BH5" i="8" s="1"/>
  <c r="BH108" i="5"/>
  <c r="BG50" i="11"/>
  <c r="BG51" i="11" s="1"/>
  <c r="BG4" i="9"/>
  <c r="BG69" i="5"/>
  <c r="BG22" i="11" s="1"/>
  <c r="BG23" i="11" s="1"/>
  <c r="BG24" i="11" s="1"/>
  <c r="BV50" i="11"/>
  <c r="BV51" i="11" s="1"/>
  <c r="BV4" i="9"/>
  <c r="BV69" i="5"/>
  <c r="BV22" i="11" s="1"/>
  <c r="BV23" i="11" s="1"/>
  <c r="BV24" i="11" s="1"/>
  <c r="J50" i="11"/>
  <c r="J51" i="11" s="1"/>
  <c r="J4" i="9"/>
  <c r="J69" i="5"/>
  <c r="J22" i="11" s="1"/>
  <c r="J23" i="11" s="1"/>
  <c r="J24" i="11" s="1"/>
  <c r="AM12" i="9"/>
  <c r="AM4" i="8"/>
  <c r="AM108" i="5"/>
  <c r="CH12" i="9"/>
  <c r="CH108" i="5"/>
  <c r="V12" i="9"/>
  <c r="V4" i="8"/>
  <c r="V108" i="5"/>
  <c r="BQ12" i="9"/>
  <c r="BQ4" i="8"/>
  <c r="BQ5" i="8" s="1"/>
  <c r="BQ108" i="5"/>
  <c r="AI12" i="9"/>
  <c r="AI4" i="8"/>
  <c r="AI108" i="5"/>
  <c r="CK12" i="9"/>
  <c r="CK108" i="5"/>
  <c r="Y12" i="9"/>
  <c r="Y4" i="8"/>
  <c r="Y108" i="5"/>
  <c r="CB12" i="9"/>
  <c r="CB108" i="5"/>
  <c r="P12" i="9"/>
  <c r="P4" i="8"/>
  <c r="P108" i="5"/>
  <c r="AG50" i="11"/>
  <c r="AG51" i="11" s="1"/>
  <c r="AG4" i="9"/>
  <c r="AG29" i="9" s="1"/>
  <c r="AG69" i="5"/>
  <c r="AG22" i="11" s="1"/>
  <c r="AG23" i="11" s="1"/>
  <c r="AG24" i="11" s="1"/>
  <c r="AV50" i="11"/>
  <c r="AV51" i="11" s="1"/>
  <c r="AV4" i="9"/>
  <c r="AV69" i="5"/>
  <c r="AV22" i="11" s="1"/>
  <c r="AV23" i="11" s="1"/>
  <c r="AV24" i="11" s="1"/>
  <c r="BK50" i="11"/>
  <c r="BK51" i="11" s="1"/>
  <c r="BK4" i="9"/>
  <c r="BK69" i="5"/>
  <c r="BK22" i="11" s="1"/>
  <c r="BK23" i="11" s="1"/>
  <c r="BK24" i="11" s="1"/>
  <c r="T12" i="9"/>
  <c r="T4" i="8"/>
  <c r="T108" i="5"/>
  <c r="BJ50" i="11"/>
  <c r="BJ51" i="11" s="1"/>
  <c r="BJ4" i="9"/>
  <c r="BJ69" i="5"/>
  <c r="BJ22" i="11" s="1"/>
  <c r="BJ23" i="11" s="1"/>
  <c r="BJ24" i="11" s="1"/>
  <c r="BX12" i="9"/>
  <c r="BX108" i="5"/>
  <c r="AC50" i="11"/>
  <c r="AC51" i="11" s="1"/>
  <c r="AC4" i="9"/>
  <c r="AC69" i="5"/>
  <c r="AC22" i="11" s="1"/>
  <c r="AC23" i="11" s="1"/>
  <c r="AC24" i="11" s="1"/>
  <c r="AJ50" i="11"/>
  <c r="AJ51" i="11" s="1"/>
  <c r="AJ4" i="9"/>
  <c r="AJ69" i="5"/>
  <c r="AJ22" i="11" s="1"/>
  <c r="AJ23" i="11" s="1"/>
  <c r="AJ24" i="11" s="1"/>
  <c r="CE32" i="9"/>
  <c r="AY32" i="9"/>
  <c r="S32" i="9"/>
  <c r="AY50" i="11"/>
  <c r="AY51" i="11" s="1"/>
  <c r="AY4" i="9"/>
  <c r="AY69" i="5"/>
  <c r="AY22" i="11" s="1"/>
  <c r="AY23" i="11" s="1"/>
  <c r="AY24" i="11" s="1"/>
  <c r="BN50" i="11"/>
  <c r="BN51" i="11" s="1"/>
  <c r="BN4" i="9"/>
  <c r="BN69" i="5"/>
  <c r="BN22" i="11" s="1"/>
  <c r="BN23" i="11" s="1"/>
  <c r="BN24" i="11" s="1"/>
  <c r="E32" i="12"/>
  <c r="CL17" i="9"/>
  <c r="CL15" i="9"/>
  <c r="CG28" i="12" l="1"/>
  <c r="BP5" i="8"/>
  <c r="CH34" i="10"/>
  <c r="CH29" i="10" s="1"/>
  <c r="BJ34" i="10"/>
  <c r="BJ29" i="10" s="1"/>
  <c r="AT5" i="8"/>
  <c r="BF5" i="8"/>
  <c r="CG29" i="9"/>
  <c r="CD29" i="9"/>
  <c r="BR39" i="10"/>
  <c r="Y5" i="8"/>
  <c r="AQ5" i="8"/>
  <c r="V24" i="11"/>
  <c r="BN5" i="8"/>
  <c r="S69" i="9"/>
  <c r="N69" i="9"/>
  <c r="U69" i="9"/>
  <c r="O69" i="9"/>
  <c r="AJ29" i="9"/>
  <c r="P69" i="9"/>
  <c r="BS29" i="9"/>
  <c r="Q69" i="9"/>
  <c r="T69" i="9"/>
  <c r="R69" i="9"/>
  <c r="N38" i="6"/>
  <c r="AT38" i="6"/>
  <c r="AT39" i="6" s="1"/>
  <c r="BJ38" i="6"/>
  <c r="BJ39" i="6" s="1"/>
  <c r="BJ39" i="10"/>
  <c r="BJ6" i="11"/>
  <c r="BR34" i="10"/>
  <c r="BR29" i="10" s="1"/>
  <c r="BR6" i="11"/>
  <c r="BR38" i="6"/>
  <c r="BR39" i="6" s="1"/>
  <c r="BB38" i="6"/>
  <c r="BB39" i="6" s="1"/>
  <c r="BB34" i="10"/>
  <c r="BB29" i="10" s="1"/>
  <c r="BB39" i="10"/>
  <c r="BB6" i="11"/>
  <c r="BK5" i="8"/>
  <c r="BN29" i="9"/>
  <c r="BT29" i="9"/>
  <c r="BD29" i="9"/>
  <c r="BM29" i="9"/>
  <c r="BE29" i="9"/>
  <c r="BU29" i="9"/>
  <c r="AG5" i="8"/>
  <c r="BC5" i="8"/>
  <c r="AY5" i="8"/>
  <c r="CC29" i="9"/>
  <c r="BQ29" i="9"/>
  <c r="BK29" i="9"/>
  <c r="AD34" i="10"/>
  <c r="AD29" i="10" s="1"/>
  <c r="AL6" i="11"/>
  <c r="AM5" i="8"/>
  <c r="AW5" i="8"/>
  <c r="AZ5" i="8"/>
  <c r="AJ5" i="8"/>
  <c r="AV5" i="8"/>
  <c r="AX29" i="9"/>
  <c r="W29" i="9"/>
  <c r="AK29" i="9"/>
  <c r="K5" i="8"/>
  <c r="S5" i="8"/>
  <c r="BA29" i="9"/>
  <c r="BL5" i="8"/>
  <c r="BR5" i="8"/>
  <c r="CH38" i="6"/>
  <c r="CH39" i="6" s="1"/>
  <c r="AV29" i="9"/>
  <c r="AI5" i="8"/>
  <c r="AH5" i="8"/>
  <c r="BG5" i="8"/>
  <c r="AE29" i="9"/>
  <c r="AK5" i="8"/>
  <c r="BM5" i="8"/>
  <c r="AS5" i="8"/>
  <c r="AT34" i="10"/>
  <c r="AT29" i="10" s="1"/>
  <c r="CH39" i="10"/>
  <c r="AY29" i="9"/>
  <c r="BV29" i="9"/>
  <c r="AU5" i="8"/>
  <c r="BA5" i="8"/>
  <c r="BI5" i="8"/>
  <c r="AT39" i="10"/>
  <c r="CH6" i="11"/>
  <c r="AW29" i="9"/>
  <c r="AN5" i="8"/>
  <c r="BI29" i="9"/>
  <c r="BB5" i="8"/>
  <c r="BJ5" i="8"/>
  <c r="AT6" i="11"/>
  <c r="AP5" i="8"/>
  <c r="BL29" i="9"/>
  <c r="AR5" i="8"/>
  <c r="AP29" i="9"/>
  <c r="BY29" i="9"/>
  <c r="Z5" i="8"/>
  <c r="AS29" i="9"/>
  <c r="AF5" i="8"/>
  <c r="BO5" i="8"/>
  <c r="BD5" i="8"/>
  <c r="AX5" i="8"/>
  <c r="AD5" i="8"/>
  <c r="AA5" i="8"/>
  <c r="T5" i="8"/>
  <c r="W5" i="8"/>
  <c r="V5" i="8"/>
  <c r="X5" i="8"/>
  <c r="AC5" i="8"/>
  <c r="R5" i="8"/>
  <c r="AB5" i="8"/>
  <c r="U5" i="8"/>
  <c r="AE5" i="8"/>
  <c r="N34" i="10"/>
  <c r="N29" i="10" s="1"/>
  <c r="N39" i="10"/>
  <c r="N54" i="10" s="1"/>
  <c r="N55" i="10" s="1"/>
  <c r="N6" i="11"/>
  <c r="F6" i="11"/>
  <c r="P5" i="8"/>
  <c r="E5" i="8"/>
  <c r="J5" i="8"/>
  <c r="O5" i="8"/>
  <c r="G5" i="8"/>
  <c r="Q5" i="8"/>
  <c r="N5" i="8"/>
  <c r="M5" i="8"/>
  <c r="M37" i="9"/>
  <c r="I37" i="9"/>
  <c r="E37" i="9"/>
  <c r="L5" i="8"/>
  <c r="H5" i="8"/>
  <c r="F5" i="8"/>
  <c r="I5" i="8"/>
  <c r="D39" i="13"/>
  <c r="E39" i="13"/>
  <c r="G39" i="13"/>
  <c r="H39" i="13"/>
  <c r="F39" i="13"/>
  <c r="E35" i="9"/>
  <c r="F38" i="6"/>
  <c r="F34" i="10"/>
  <c r="F33" i="10" s="1"/>
  <c r="F39" i="10"/>
  <c r="F54" i="10" s="1"/>
  <c r="F55" i="10" s="1"/>
  <c r="AD39" i="10"/>
  <c r="AD6" i="11"/>
  <c r="AL38" i="6"/>
  <c r="AL39" i="6" s="1"/>
  <c r="AL34" i="10"/>
  <c r="AL29" i="10" s="1"/>
  <c r="AD38" i="6"/>
  <c r="AD39" i="6" s="1"/>
  <c r="AL39" i="10"/>
  <c r="H29" i="9"/>
  <c r="AH29" i="9"/>
  <c r="V6" i="11"/>
  <c r="V32" i="6"/>
  <c r="I29" i="9"/>
  <c r="M21" i="9"/>
  <c r="I21" i="9"/>
  <c r="M35" i="9"/>
  <c r="M29" i="9"/>
  <c r="I35" i="9"/>
  <c r="AC29" i="9"/>
  <c r="R29" i="9"/>
  <c r="Z29" i="9"/>
  <c r="P29" i="9"/>
  <c r="Q29" i="9"/>
  <c r="U29" i="9"/>
  <c r="J29" i="9"/>
  <c r="G29" i="9"/>
  <c r="O29" i="9"/>
  <c r="N29" i="9"/>
  <c r="AO29" i="9"/>
  <c r="AZ29" i="9"/>
  <c r="T29" i="9"/>
  <c r="BR29" i="9"/>
  <c r="K29" i="9"/>
  <c r="S29" i="9"/>
  <c r="BP29" i="9"/>
  <c r="AA29" i="9"/>
  <c r="AL29" i="9"/>
  <c r="BB29" i="9"/>
  <c r="AR29" i="9"/>
  <c r="AI29" i="9"/>
  <c r="AF29" i="9"/>
  <c r="Y29" i="9"/>
  <c r="BO29" i="9"/>
  <c r="V29" i="9"/>
  <c r="E29" i="9"/>
  <c r="CF29" i="9"/>
  <c r="BJ29" i="9"/>
  <c r="BG29" i="9"/>
  <c r="BZ29" i="9"/>
  <c r="BW29" i="9"/>
  <c r="CE29" i="9"/>
  <c r="L29" i="9"/>
  <c r="AT29" i="9"/>
  <c r="BF29" i="9"/>
  <c r="BC29" i="9"/>
  <c r="AB29" i="9"/>
  <c r="F29" i="9"/>
  <c r="BH29" i="9"/>
  <c r="AD29" i="9"/>
  <c r="BX29" i="9"/>
  <c r="AU29" i="9"/>
  <c r="AQ29" i="9"/>
  <c r="AN29" i="9"/>
  <c r="V38" i="6"/>
  <c r="V34" i="10"/>
  <c r="V29" i="10" s="1"/>
  <c r="V39" i="10"/>
  <c r="V54" i="10" s="1"/>
  <c r="V55" i="10" s="1"/>
  <c r="S6" i="11"/>
  <c r="S39" i="10"/>
  <c r="S54" i="10" s="1"/>
  <c r="S55" i="10" s="1"/>
  <c r="S34" i="10"/>
  <c r="S29" i="10" s="1"/>
  <c r="S38" i="6"/>
  <c r="W6" i="11"/>
  <c r="W39" i="10"/>
  <c r="W54" i="10" s="1"/>
  <c r="W55" i="10" s="1"/>
  <c r="W34" i="10"/>
  <c r="W38" i="6"/>
  <c r="AE6" i="11"/>
  <c r="AE39" i="10"/>
  <c r="AE34" i="10"/>
  <c r="AE29" i="10" s="1"/>
  <c r="AE38" i="6"/>
  <c r="AE39" i="6" s="1"/>
  <c r="AR6" i="11"/>
  <c r="AR39" i="10"/>
  <c r="AR34" i="10"/>
  <c r="AR29" i="10" s="1"/>
  <c r="AR38" i="6"/>
  <c r="AR39" i="6" s="1"/>
  <c r="AU6" i="11"/>
  <c r="AU39" i="10"/>
  <c r="AU34" i="10"/>
  <c r="AU29" i="10" s="1"/>
  <c r="AU38" i="6"/>
  <c r="AU39" i="6" s="1"/>
  <c r="BH6" i="11"/>
  <c r="BH39" i="10"/>
  <c r="BH34" i="10"/>
  <c r="BH29" i="10" s="1"/>
  <c r="BH38" i="6"/>
  <c r="BH39" i="6" s="1"/>
  <c r="CJ6" i="11"/>
  <c r="CJ34" i="10"/>
  <c r="CJ29" i="10" s="1"/>
  <c r="CJ39" i="10"/>
  <c r="CJ38" i="6"/>
  <c r="CJ39" i="6" s="1"/>
  <c r="BZ9" i="11"/>
  <c r="BZ40" i="10"/>
  <c r="BZ41" i="10" s="1"/>
  <c r="BZ42" i="6"/>
  <c r="BZ43" i="6" s="1"/>
  <c r="BZ41" i="6"/>
  <c r="BZ33" i="10"/>
  <c r="BZ31" i="10"/>
  <c r="AN6" i="11"/>
  <c r="AN34" i="10"/>
  <c r="AN29" i="10" s="1"/>
  <c r="AN39" i="10"/>
  <c r="AN38" i="6"/>
  <c r="AN39" i="6" s="1"/>
  <c r="CF6" i="11"/>
  <c r="CF34" i="10"/>
  <c r="CF29" i="10" s="1"/>
  <c r="CF39" i="10"/>
  <c r="CF38" i="6"/>
  <c r="CF39" i="6" s="1"/>
  <c r="CC6" i="11"/>
  <c r="CC34" i="10"/>
  <c r="CC29" i="10" s="1"/>
  <c r="CC39" i="10"/>
  <c r="CC38" i="6"/>
  <c r="CC39" i="6" s="1"/>
  <c r="AO6" i="11"/>
  <c r="AO39" i="10"/>
  <c r="AO34" i="10"/>
  <c r="AO29" i="10" s="1"/>
  <c r="AO38" i="6"/>
  <c r="AO39" i="6" s="1"/>
  <c r="AW6" i="11"/>
  <c r="AW39" i="10"/>
  <c r="AW34" i="10"/>
  <c r="AW29" i="10" s="1"/>
  <c r="AW38" i="6"/>
  <c r="AW39" i="6" s="1"/>
  <c r="C38" i="6"/>
  <c r="C32" i="6"/>
  <c r="D38" i="6"/>
  <c r="D32" i="6"/>
  <c r="M6" i="11"/>
  <c r="M39" i="10"/>
  <c r="M54" i="10" s="1"/>
  <c r="M55" i="10" s="1"/>
  <c r="M34" i="10"/>
  <c r="M29" i="10" s="1"/>
  <c r="M38" i="6"/>
  <c r="G6" i="11"/>
  <c r="G39" i="10"/>
  <c r="G54" i="10" s="1"/>
  <c r="G55" i="10" s="1"/>
  <c r="G34" i="10"/>
  <c r="G29" i="10" s="1"/>
  <c r="G38" i="6"/>
  <c r="CG6" i="11"/>
  <c r="CG39" i="10"/>
  <c r="CG34" i="10"/>
  <c r="CG29" i="10" s="1"/>
  <c r="CG38" i="6"/>
  <c r="CG39" i="6" s="1"/>
  <c r="AK6" i="11"/>
  <c r="AK39" i="10"/>
  <c r="AK34" i="10"/>
  <c r="AK29" i="10" s="1"/>
  <c r="AK38" i="6"/>
  <c r="AK39" i="6" s="1"/>
  <c r="Y6" i="11"/>
  <c r="Y39" i="10"/>
  <c r="Y54" i="10" s="1"/>
  <c r="Y55" i="10" s="1"/>
  <c r="Y34" i="10"/>
  <c r="Y38" i="6"/>
  <c r="AG6" i="11"/>
  <c r="AG39" i="10"/>
  <c r="AG34" i="10"/>
  <c r="AG29" i="10" s="1"/>
  <c r="AG38" i="6"/>
  <c r="AG39" i="6" s="1"/>
  <c r="H6" i="11"/>
  <c r="H34" i="10"/>
  <c r="H29" i="10" s="1"/>
  <c r="H39" i="10"/>
  <c r="H54" i="10" s="1"/>
  <c r="H55" i="10" s="1"/>
  <c r="H38" i="6"/>
  <c r="BG6" i="11"/>
  <c r="BG39" i="10"/>
  <c r="BG34" i="10"/>
  <c r="BG29" i="10" s="1"/>
  <c r="BG38" i="6"/>
  <c r="BG39" i="6" s="1"/>
  <c r="BI6" i="11"/>
  <c r="BI39" i="10"/>
  <c r="BI34" i="10"/>
  <c r="BI29" i="10" s="1"/>
  <c r="BI38" i="6"/>
  <c r="BI39" i="6" s="1"/>
  <c r="BC6" i="11"/>
  <c r="BC39" i="10"/>
  <c r="BC34" i="10"/>
  <c r="BC29" i="10" s="1"/>
  <c r="BC38" i="6"/>
  <c r="BC39" i="6" s="1"/>
  <c r="CD6" i="11"/>
  <c r="CD34" i="10"/>
  <c r="CD29" i="10" s="1"/>
  <c r="CD39" i="10"/>
  <c r="CD38" i="6"/>
  <c r="CD39" i="6" s="1"/>
  <c r="Z6" i="11"/>
  <c r="Z39" i="10"/>
  <c r="Z54" i="10" s="1"/>
  <c r="Z55" i="10" s="1"/>
  <c r="Z34" i="10"/>
  <c r="Z29" i="10" s="1"/>
  <c r="Z38" i="6"/>
  <c r="L6" i="11"/>
  <c r="L39" i="10"/>
  <c r="L54" i="10" s="1"/>
  <c r="L55" i="10" s="1"/>
  <c r="L34" i="10"/>
  <c r="L29" i="10" s="1"/>
  <c r="L38" i="6"/>
  <c r="CA6" i="11"/>
  <c r="CA39" i="10"/>
  <c r="CA34" i="10"/>
  <c r="CA29" i="10" s="1"/>
  <c r="CA38" i="6"/>
  <c r="CA39" i="6" s="1"/>
  <c r="AS6" i="11"/>
  <c r="AS39" i="10"/>
  <c r="AS34" i="10"/>
  <c r="AS29" i="10" s="1"/>
  <c r="AS38" i="6"/>
  <c r="AS39" i="6" s="1"/>
  <c r="AY6" i="11"/>
  <c r="AY39" i="10"/>
  <c r="AY34" i="10"/>
  <c r="AY29" i="10" s="1"/>
  <c r="AY38" i="6"/>
  <c r="AY39" i="6" s="1"/>
  <c r="BV6" i="11"/>
  <c r="BV39" i="10"/>
  <c r="BV34" i="10"/>
  <c r="BV38" i="6"/>
  <c r="BV39" i="6" s="1"/>
  <c r="BO6" i="11"/>
  <c r="BO39" i="10"/>
  <c r="BO34" i="10"/>
  <c r="BO29" i="10" s="1"/>
  <c r="BO38" i="6"/>
  <c r="BO39" i="6" s="1"/>
  <c r="BQ6" i="11"/>
  <c r="BQ39" i="10"/>
  <c r="BQ34" i="10"/>
  <c r="BQ29" i="10" s="1"/>
  <c r="BQ38" i="6"/>
  <c r="BQ39" i="6" s="1"/>
  <c r="X6" i="11"/>
  <c r="X34" i="10"/>
  <c r="X39" i="10"/>
  <c r="X54" i="10" s="1"/>
  <c r="X55" i="10" s="1"/>
  <c r="X38" i="6"/>
  <c r="BZ29" i="10"/>
  <c r="BW6" i="11"/>
  <c r="BW39" i="10"/>
  <c r="BW34" i="10"/>
  <c r="BW38" i="6"/>
  <c r="BW39" i="6" s="1"/>
  <c r="BP6" i="11"/>
  <c r="BP39" i="10"/>
  <c r="BP34" i="10"/>
  <c r="BP29" i="10" s="1"/>
  <c r="BP38" i="6"/>
  <c r="BP39" i="6" s="1"/>
  <c r="AF6" i="11"/>
  <c r="AF34" i="10"/>
  <c r="AF29" i="10" s="1"/>
  <c r="AF39" i="10"/>
  <c r="AF38" i="6"/>
  <c r="AF39" i="6" s="1"/>
  <c r="AH6" i="11"/>
  <c r="AH39" i="10"/>
  <c r="AH34" i="10"/>
  <c r="AH29" i="10" s="1"/>
  <c r="AH38" i="6"/>
  <c r="AH39" i="6" s="1"/>
  <c r="BU6" i="11"/>
  <c r="BU39" i="10"/>
  <c r="BU34" i="10"/>
  <c r="BU29" i="10" s="1"/>
  <c r="BU38" i="6"/>
  <c r="BU39" i="6" s="1"/>
  <c r="T6" i="11"/>
  <c r="T39" i="10"/>
  <c r="T54" i="10" s="1"/>
  <c r="T55" i="10" s="1"/>
  <c r="T34" i="10"/>
  <c r="T38" i="6"/>
  <c r="Q6" i="11"/>
  <c r="Q39" i="10"/>
  <c r="Q54" i="10" s="1"/>
  <c r="Q55" i="10" s="1"/>
  <c r="Q34" i="10"/>
  <c r="Q29" i="10" s="1"/>
  <c r="Q38" i="6"/>
  <c r="AX6" i="11"/>
  <c r="AX39" i="10"/>
  <c r="AX34" i="10"/>
  <c r="AX29" i="10" s="1"/>
  <c r="AX38" i="6"/>
  <c r="AX39" i="6" s="1"/>
  <c r="AB6" i="11"/>
  <c r="AB39" i="10"/>
  <c r="AB54" i="10" s="1"/>
  <c r="AB55" i="10" s="1"/>
  <c r="AB34" i="10"/>
  <c r="AB38" i="6"/>
  <c r="BL6" i="11"/>
  <c r="BL34" i="10"/>
  <c r="BL29" i="10" s="1"/>
  <c r="BL39" i="10"/>
  <c r="BL38" i="6"/>
  <c r="BL39" i="6" s="1"/>
  <c r="B32" i="6"/>
  <c r="B38" i="6"/>
  <c r="CB6" i="11"/>
  <c r="CB34" i="10"/>
  <c r="CB29" i="10" s="1"/>
  <c r="CB39" i="10"/>
  <c r="CB38" i="6"/>
  <c r="CB39" i="6" s="1"/>
  <c r="CE6" i="11"/>
  <c r="CE39" i="10"/>
  <c r="CE34" i="10"/>
  <c r="CE29" i="10" s="1"/>
  <c r="CE38" i="6"/>
  <c r="CE39" i="6" s="1"/>
  <c r="U6" i="11"/>
  <c r="U39" i="10"/>
  <c r="U54" i="10" s="1"/>
  <c r="U55" i="10" s="1"/>
  <c r="U34" i="10"/>
  <c r="U29" i="10" s="1"/>
  <c r="U38" i="6"/>
  <c r="CI6" i="11"/>
  <c r="CI39" i="10"/>
  <c r="CI34" i="10"/>
  <c r="CI29" i="10" s="1"/>
  <c r="CI38" i="6"/>
  <c r="CI39" i="6" s="1"/>
  <c r="BD6" i="11"/>
  <c r="BD34" i="10"/>
  <c r="BD29" i="10" s="1"/>
  <c r="BD39" i="10"/>
  <c r="BD38" i="6"/>
  <c r="BD39" i="6" s="1"/>
  <c r="AJ6" i="11"/>
  <c r="AJ39" i="10"/>
  <c r="AJ34" i="10"/>
  <c r="AJ29" i="10" s="1"/>
  <c r="AJ38" i="6"/>
  <c r="AJ39" i="6" s="1"/>
  <c r="BM6" i="11"/>
  <c r="BM39" i="10"/>
  <c r="BM34" i="10"/>
  <c r="BM38" i="6"/>
  <c r="BM39" i="6" s="1"/>
  <c r="O6" i="11"/>
  <c r="O39" i="10"/>
  <c r="O54" i="10" s="1"/>
  <c r="O55" i="10" s="1"/>
  <c r="O34" i="10"/>
  <c r="O29" i="10" s="1"/>
  <c r="O38" i="6"/>
  <c r="AP6" i="11"/>
  <c r="AP39" i="10"/>
  <c r="AP34" i="10"/>
  <c r="AP29" i="10" s="1"/>
  <c r="AP38" i="6"/>
  <c r="AP39" i="6" s="1"/>
  <c r="AA39" i="10"/>
  <c r="AA54" i="10" s="1"/>
  <c r="AA55" i="10" s="1"/>
  <c r="AA6" i="11"/>
  <c r="AA34" i="10"/>
  <c r="AA38" i="6"/>
  <c r="AM6" i="11"/>
  <c r="AM39" i="10"/>
  <c r="AM34" i="10"/>
  <c r="AM29" i="10" s="1"/>
  <c r="AM38" i="6"/>
  <c r="AM39" i="6" s="1"/>
  <c r="BN6" i="11"/>
  <c r="BN39" i="10"/>
  <c r="BN34" i="10"/>
  <c r="BN38" i="6"/>
  <c r="BN39" i="6" s="1"/>
  <c r="J6" i="11"/>
  <c r="J39" i="10"/>
  <c r="J54" i="10" s="1"/>
  <c r="J55" i="10" s="1"/>
  <c r="J34" i="10"/>
  <c r="J29" i="10" s="1"/>
  <c r="J38" i="6"/>
  <c r="R6" i="11"/>
  <c r="R39" i="10"/>
  <c r="R54" i="10" s="1"/>
  <c r="R55" i="10" s="1"/>
  <c r="R34" i="10"/>
  <c r="R29" i="10" s="1"/>
  <c r="R38" i="6"/>
  <c r="E6" i="11"/>
  <c r="E39" i="10"/>
  <c r="E54" i="10" s="1"/>
  <c r="E55" i="10" s="1"/>
  <c r="E34" i="10"/>
  <c r="E29" i="10" s="1"/>
  <c r="E38" i="6"/>
  <c r="BK6" i="11"/>
  <c r="BK39" i="10"/>
  <c r="BK34" i="10"/>
  <c r="BK29" i="10" s="1"/>
  <c r="BK38" i="6"/>
  <c r="BK39" i="6" s="1"/>
  <c r="BE6" i="11"/>
  <c r="BE39" i="10"/>
  <c r="BE34" i="10"/>
  <c r="BE29" i="10" s="1"/>
  <c r="BE38" i="6"/>
  <c r="BE39" i="6" s="1"/>
  <c r="BY6" i="11"/>
  <c r="BY39" i="10"/>
  <c r="BY34" i="10"/>
  <c r="BY29" i="10" s="1"/>
  <c r="BY38" i="6"/>
  <c r="BY39" i="6" s="1"/>
  <c r="BS6" i="11"/>
  <c r="BS39" i="10"/>
  <c r="BS34" i="10"/>
  <c r="BS38" i="6"/>
  <c r="BS39" i="6" s="1"/>
  <c r="BX6" i="11"/>
  <c r="BX34" i="10"/>
  <c r="BX39" i="10"/>
  <c r="BX38" i="6"/>
  <c r="BX39" i="6" s="1"/>
  <c r="I6" i="11"/>
  <c r="I39" i="10"/>
  <c r="I54" i="10" s="1"/>
  <c r="I55" i="10" s="1"/>
  <c r="I34" i="10"/>
  <c r="I29" i="10" s="1"/>
  <c r="I38" i="6"/>
  <c r="AC6" i="11"/>
  <c r="AC39" i="10"/>
  <c r="AC54" i="10" s="1"/>
  <c r="AC55" i="10" s="1"/>
  <c r="AC34" i="10"/>
  <c r="AC29" i="10" s="1"/>
  <c r="AC38" i="6"/>
  <c r="AV6" i="11"/>
  <c r="AV34" i="10"/>
  <c r="AV39" i="10"/>
  <c r="AV38" i="6"/>
  <c r="AV39" i="6" s="1"/>
  <c r="AI39" i="10"/>
  <c r="AI6" i="11"/>
  <c r="AI34" i="10"/>
  <c r="AI38" i="6"/>
  <c r="AI39" i="6" s="1"/>
  <c r="BF6" i="11"/>
  <c r="BF39" i="10"/>
  <c r="BF34" i="10"/>
  <c r="BF29" i="10" s="1"/>
  <c r="BF38" i="6"/>
  <c r="BF39" i="6" s="1"/>
  <c r="AQ39" i="10"/>
  <c r="AQ6" i="11"/>
  <c r="AQ34" i="10"/>
  <c r="AQ29" i="10" s="1"/>
  <c r="AQ38" i="6"/>
  <c r="AQ39" i="6" s="1"/>
  <c r="CH33" i="10"/>
  <c r="BA6" i="11"/>
  <c r="BA39" i="10"/>
  <c r="BA34" i="10"/>
  <c r="BA29" i="10" s="1"/>
  <c r="BA38" i="6"/>
  <c r="BA39" i="6" s="1"/>
  <c r="BT6" i="11"/>
  <c r="BT34" i="10"/>
  <c r="BT29" i="10" s="1"/>
  <c r="BT39" i="10"/>
  <c r="BT38" i="6"/>
  <c r="BT39" i="6" s="1"/>
  <c r="AZ6" i="11"/>
  <c r="AZ39" i="10"/>
  <c r="AZ34" i="10"/>
  <c r="AZ38" i="6"/>
  <c r="AZ39" i="6" s="1"/>
  <c r="P6" i="11"/>
  <c r="P34" i="10"/>
  <c r="P39" i="10"/>
  <c r="P54" i="10" s="1"/>
  <c r="P55" i="10" s="1"/>
  <c r="P38" i="6"/>
  <c r="K6" i="11"/>
  <c r="K39" i="10"/>
  <c r="K54" i="10" s="1"/>
  <c r="K55" i="10" s="1"/>
  <c r="K34" i="10"/>
  <c r="K38" i="6"/>
  <c r="AY8" i="9"/>
  <c r="AY70" i="5"/>
  <c r="AY46" i="11" s="1"/>
  <c r="CK37" i="9"/>
  <c r="CK35" i="9"/>
  <c r="BG8" i="9"/>
  <c r="BG70" i="5"/>
  <c r="BG46" i="11" s="1"/>
  <c r="BR8" i="9"/>
  <c r="BR70" i="5"/>
  <c r="BR46" i="11" s="1"/>
  <c r="CF37" i="9"/>
  <c r="CF35" i="9"/>
  <c r="CA8" i="9"/>
  <c r="CA70" i="5"/>
  <c r="CA46" i="11" s="1"/>
  <c r="U37" i="9"/>
  <c r="U35" i="9"/>
  <c r="BC35" i="9"/>
  <c r="BC37" i="9"/>
  <c r="K8" i="9"/>
  <c r="K70" i="5"/>
  <c r="K46" i="11" s="1"/>
  <c r="BH8" i="9"/>
  <c r="BH70" i="5"/>
  <c r="BH46" i="11" s="1"/>
  <c r="BN37" i="9"/>
  <c r="BN35" i="9"/>
  <c r="BT8" i="9"/>
  <c r="BT70" i="5"/>
  <c r="BT46" i="11" s="1"/>
  <c r="BK37" i="9"/>
  <c r="BK35" i="9"/>
  <c r="S8" i="9"/>
  <c r="S70" i="5"/>
  <c r="S46" i="11" s="1"/>
  <c r="AK35" i="9"/>
  <c r="AK37" i="9"/>
  <c r="CJ8" i="9"/>
  <c r="CJ70" i="5"/>
  <c r="CJ46" i="11" s="1"/>
  <c r="BU8" i="9"/>
  <c r="BU70" i="5"/>
  <c r="BU46" i="11" s="1"/>
  <c r="AU8" i="9"/>
  <c r="AU70" i="5"/>
  <c r="AU46" i="11" s="1"/>
  <c r="AB8" i="9"/>
  <c r="AB70" i="5"/>
  <c r="AB46" i="11" s="1"/>
  <c r="AX37" i="9"/>
  <c r="AX35" i="9"/>
  <c r="BC8" i="9"/>
  <c r="BC70" i="5"/>
  <c r="BC46" i="11" s="1"/>
  <c r="AJ8" i="9"/>
  <c r="AJ70" i="5"/>
  <c r="AJ46" i="11" s="1"/>
  <c r="AV8" i="9"/>
  <c r="AV70" i="5"/>
  <c r="AV46" i="11" s="1"/>
  <c r="P37" i="9"/>
  <c r="P35" i="9"/>
  <c r="V37" i="9"/>
  <c r="V35" i="9"/>
  <c r="G8" i="9"/>
  <c r="G70" i="5"/>
  <c r="G46" i="11" s="1"/>
  <c r="BD8" i="9"/>
  <c r="BD70" i="5"/>
  <c r="BD46" i="11" s="1"/>
  <c r="CJ37" i="9"/>
  <c r="CJ35" i="9"/>
  <c r="BY37" i="9"/>
  <c r="BY35" i="9"/>
  <c r="R8" i="9"/>
  <c r="R70" i="5"/>
  <c r="R46" i="11" s="1"/>
  <c r="AJ37" i="9"/>
  <c r="AJ35" i="9"/>
  <c r="Z8" i="9"/>
  <c r="Z70" i="5"/>
  <c r="Z46" i="11" s="1"/>
  <c r="V8" i="9"/>
  <c r="V70" i="5"/>
  <c r="V46" i="11" s="1"/>
  <c r="BE8" i="9"/>
  <c r="BE70" i="5"/>
  <c r="BE46" i="11" s="1"/>
  <c r="AN37" i="9"/>
  <c r="AN35" i="9"/>
  <c r="AH8" i="9"/>
  <c r="AH70" i="5"/>
  <c r="AH46" i="11" s="1"/>
  <c r="P8" i="9"/>
  <c r="P70" i="5"/>
  <c r="P46" i="11" s="1"/>
  <c r="BS37" i="9"/>
  <c r="BS35" i="9"/>
  <c r="AA8" i="9"/>
  <c r="AA70" i="5"/>
  <c r="AA46" i="11" s="1"/>
  <c r="BV11" i="8"/>
  <c r="BV7" i="8"/>
  <c r="BD37" i="9"/>
  <c r="BD35" i="9"/>
  <c r="BW37" i="9"/>
  <c r="BW35" i="9"/>
  <c r="CC8" i="9"/>
  <c r="CC70" i="5"/>
  <c r="CC46" i="11" s="1"/>
  <c r="BU35" i="9"/>
  <c r="BU37" i="9"/>
  <c r="BA35" i="9"/>
  <c r="BA37" i="9"/>
  <c r="AQ8" i="9"/>
  <c r="AQ70" i="5"/>
  <c r="AQ46" i="11" s="1"/>
  <c r="BB8" i="9"/>
  <c r="BB70" i="5"/>
  <c r="BB46" i="11" s="1"/>
  <c r="H35" i="9"/>
  <c r="H37" i="9"/>
  <c r="CC35" i="9"/>
  <c r="CC37" i="9"/>
  <c r="BN8" i="9"/>
  <c r="BN70" i="5"/>
  <c r="BN46" i="11" s="1"/>
  <c r="T37" i="9"/>
  <c r="T35" i="9"/>
  <c r="BV8" i="9"/>
  <c r="BV70" i="5"/>
  <c r="BV46" i="11" s="1"/>
  <c r="AZ8" i="9"/>
  <c r="AZ70" i="5"/>
  <c r="AZ46" i="11" s="1"/>
  <c r="BP35" i="9"/>
  <c r="BP37" i="9"/>
  <c r="BZ8" i="9"/>
  <c r="BZ70" i="5"/>
  <c r="BZ46" i="11" s="1"/>
  <c r="AW8" i="9"/>
  <c r="AW70" i="5"/>
  <c r="AW46" i="11" s="1"/>
  <c r="AO37" i="9"/>
  <c r="AO35" i="9"/>
  <c r="CG35" i="9"/>
  <c r="CG37" i="9"/>
  <c r="BA8" i="9"/>
  <c r="BA70" i="5"/>
  <c r="BA46" i="11" s="1"/>
  <c r="W8" i="9"/>
  <c r="W70" i="5"/>
  <c r="W46" i="11" s="1"/>
  <c r="AC35" i="9"/>
  <c r="AC37" i="9"/>
  <c r="BP8" i="9"/>
  <c r="BP70" i="5"/>
  <c r="BP46" i="11" s="1"/>
  <c r="BE37" i="9"/>
  <c r="BE35" i="9"/>
  <c r="AP8" i="9"/>
  <c r="AP70" i="5"/>
  <c r="AP46" i="11" s="1"/>
  <c r="BV37" i="9"/>
  <c r="BV35" i="9"/>
  <c r="O37" i="9"/>
  <c r="O35" i="9"/>
  <c r="CF8" i="9"/>
  <c r="CF70" i="5"/>
  <c r="CF46" i="11" s="1"/>
  <c r="BY8" i="9"/>
  <c r="BY70" i="5"/>
  <c r="BY46" i="11" s="1"/>
  <c r="W37" i="9"/>
  <c r="W35" i="9"/>
  <c r="CD37" i="9"/>
  <c r="CD35" i="9"/>
  <c r="CK8" i="9"/>
  <c r="CK70" i="5"/>
  <c r="N37" i="9"/>
  <c r="N35" i="9"/>
  <c r="AC8" i="9"/>
  <c r="AC70" i="5"/>
  <c r="AC46" i="11" s="1"/>
  <c r="CB37" i="9"/>
  <c r="CB35" i="9"/>
  <c r="AI35" i="9"/>
  <c r="AI37" i="9"/>
  <c r="CH37" i="9"/>
  <c r="CH35" i="9"/>
  <c r="Z37" i="9"/>
  <c r="Z35" i="9"/>
  <c r="BO8" i="9"/>
  <c r="BO70" i="5"/>
  <c r="BO46" i="11" s="1"/>
  <c r="BW8" i="9"/>
  <c r="BW70" i="5"/>
  <c r="BW46" i="11" s="1"/>
  <c r="CE8" i="9"/>
  <c r="CE70" i="5"/>
  <c r="CE46" i="11" s="1"/>
  <c r="BI8" i="9"/>
  <c r="BI70" i="5"/>
  <c r="BI46" i="11" s="1"/>
  <c r="AD8" i="9"/>
  <c r="AD70" i="5"/>
  <c r="AD46" i="11" s="1"/>
  <c r="BB37" i="9"/>
  <c r="BB35" i="9"/>
  <c r="AF8" i="9"/>
  <c r="AF70" i="5"/>
  <c r="AF46" i="11" s="1"/>
  <c r="AG8" i="9"/>
  <c r="AG70" i="5"/>
  <c r="AG46" i="11" s="1"/>
  <c r="BS8" i="9"/>
  <c r="BS70" i="5"/>
  <c r="BS46" i="11" s="1"/>
  <c r="AG35" i="9"/>
  <c r="AG37" i="9"/>
  <c r="AD35" i="9"/>
  <c r="AD37" i="9"/>
  <c r="CD8" i="9"/>
  <c r="CD70" i="5"/>
  <c r="CD46" i="11" s="1"/>
  <c r="AS8" i="9"/>
  <c r="AS70" i="5"/>
  <c r="AS46" i="11" s="1"/>
  <c r="BL8" i="9"/>
  <c r="BL70" i="5"/>
  <c r="BL46" i="11" s="1"/>
  <c r="CH8" i="9"/>
  <c r="CH70" i="5"/>
  <c r="CH46" i="11" s="1"/>
  <c r="AW37" i="9"/>
  <c r="AW35" i="9"/>
  <c r="CB8" i="9"/>
  <c r="CB70" i="5"/>
  <c r="CB46" i="11" s="1"/>
  <c r="AR37" i="9"/>
  <c r="AR35" i="9"/>
  <c r="L8" i="9"/>
  <c r="L70" i="5"/>
  <c r="L46" i="11" s="1"/>
  <c r="J37" i="9"/>
  <c r="J35" i="9"/>
  <c r="E8" i="9"/>
  <c r="E70" i="5"/>
  <c r="E46" i="11" s="1"/>
  <c r="AM8" i="9"/>
  <c r="AM70" i="5"/>
  <c r="AM46" i="11" s="1"/>
  <c r="AB37" i="9"/>
  <c r="AB35" i="9"/>
  <c r="BM35" i="9"/>
  <c r="BM37" i="9"/>
  <c r="AS35" i="9"/>
  <c r="AS37" i="9"/>
  <c r="CA37" i="9"/>
  <c r="CA35" i="9"/>
  <c r="S37" i="9"/>
  <c r="S35" i="9"/>
  <c r="F37" i="9"/>
  <c r="F35" i="9"/>
  <c r="CI37" i="9"/>
  <c r="CI35" i="9"/>
  <c r="U8" i="9"/>
  <c r="U70" i="5"/>
  <c r="U46" i="11" s="1"/>
  <c r="BT37" i="9"/>
  <c r="BT35" i="9"/>
  <c r="AA37" i="9"/>
  <c r="AA35" i="9"/>
  <c r="BZ37" i="9"/>
  <c r="BZ35" i="9"/>
  <c r="BJ8" i="9"/>
  <c r="BJ70" i="5"/>
  <c r="BJ46" i="11" s="1"/>
  <c r="BK8" i="9"/>
  <c r="BK70" i="5"/>
  <c r="BK46" i="11" s="1"/>
  <c r="BH37" i="9"/>
  <c r="BH35" i="9"/>
  <c r="F8" i="9"/>
  <c r="F70" i="5"/>
  <c r="F46" i="11" s="1"/>
  <c r="O8" i="9"/>
  <c r="O70" i="5"/>
  <c r="O46" i="11" s="1"/>
  <c r="AY37" i="9"/>
  <c r="AY35" i="9"/>
  <c r="AL35" i="9"/>
  <c r="AL37" i="9"/>
  <c r="AH37" i="9"/>
  <c r="AH35" i="9"/>
  <c r="CI8" i="9"/>
  <c r="CI70" i="5"/>
  <c r="CI46" i="11" s="1"/>
  <c r="H8" i="9"/>
  <c r="H70" i="5"/>
  <c r="H46" i="11" s="1"/>
  <c r="AT37" i="9"/>
  <c r="AT35" i="9"/>
  <c r="BO35" i="9"/>
  <c r="BO37" i="9"/>
  <c r="X8" i="9"/>
  <c r="X70" i="5"/>
  <c r="X46" i="11" s="1"/>
  <c r="I8" i="9"/>
  <c r="I70" i="5"/>
  <c r="I46" i="11" s="1"/>
  <c r="AX8" i="9"/>
  <c r="AX70" i="5"/>
  <c r="AX46" i="11" s="1"/>
  <c r="AT8" i="9"/>
  <c r="AT70" i="5"/>
  <c r="AT46" i="11" s="1"/>
  <c r="BF8" i="9"/>
  <c r="BF70" i="5"/>
  <c r="BF46" i="11" s="1"/>
  <c r="R37" i="9"/>
  <c r="R35" i="9"/>
  <c r="Y35" i="9"/>
  <c r="Y37" i="9"/>
  <c r="BQ35" i="9"/>
  <c r="BQ37" i="9"/>
  <c r="AM37" i="9"/>
  <c r="AM35" i="9"/>
  <c r="AR8" i="9"/>
  <c r="AR70" i="5"/>
  <c r="AR46" i="11" s="1"/>
  <c r="BF37" i="9"/>
  <c r="BF35" i="9"/>
  <c r="AZ37" i="9"/>
  <c r="AZ35" i="9"/>
  <c r="AE8" i="9"/>
  <c r="AE70" i="5"/>
  <c r="AE46" i="11" s="1"/>
  <c r="G37" i="9"/>
  <c r="G35" i="9"/>
  <c r="AL8" i="9"/>
  <c r="AL70" i="5"/>
  <c r="AL46" i="11" s="1"/>
  <c r="AI8" i="9"/>
  <c r="AI70" i="5"/>
  <c r="AI46" i="11" s="1"/>
  <c r="Q8" i="9"/>
  <c r="Q70" i="5"/>
  <c r="Q46" i="11" s="1"/>
  <c r="BL37" i="9"/>
  <c r="BL35" i="9"/>
  <c r="CE37" i="9"/>
  <c r="CE35" i="9"/>
  <c r="L37" i="9"/>
  <c r="L35" i="9"/>
  <c r="AN8" i="9"/>
  <c r="AN70" i="5"/>
  <c r="AN46" i="11" s="1"/>
  <c r="BX37" i="9"/>
  <c r="BX35" i="9"/>
  <c r="J8" i="9"/>
  <c r="J70" i="5"/>
  <c r="J46" i="11" s="1"/>
  <c r="AK8" i="9"/>
  <c r="AK70" i="5"/>
  <c r="AK46" i="11" s="1"/>
  <c r="AO8" i="9"/>
  <c r="AO70" i="5"/>
  <c r="AO46" i="11" s="1"/>
  <c r="X35" i="9"/>
  <c r="X37" i="9"/>
  <c r="AQ35" i="9"/>
  <c r="AQ37" i="9"/>
  <c r="AU37" i="9"/>
  <c r="AU35" i="9"/>
  <c r="N8" i="9"/>
  <c r="N70" i="5"/>
  <c r="N46" i="11" s="1"/>
  <c r="AF37" i="9"/>
  <c r="AF35" i="9"/>
  <c r="BG37" i="9"/>
  <c r="BG35" i="9"/>
  <c r="BM8" i="9"/>
  <c r="BM70" i="5"/>
  <c r="BM46" i="11" s="1"/>
  <c r="AV37" i="9"/>
  <c r="AV35" i="9"/>
  <c r="BX8" i="9"/>
  <c r="BX70" i="5"/>
  <c r="BX46" i="11" s="1"/>
  <c r="AP37" i="9"/>
  <c r="AP35" i="9"/>
  <c r="BQ8" i="9"/>
  <c r="BQ70" i="5"/>
  <c r="BQ46" i="11" s="1"/>
  <c r="K37" i="9"/>
  <c r="K35" i="9"/>
  <c r="BJ37" i="9"/>
  <c r="BJ35" i="9"/>
  <c r="T8" i="9"/>
  <c r="T70" i="5"/>
  <c r="T46" i="11" s="1"/>
  <c r="M8" i="9"/>
  <c r="M70" i="5"/>
  <c r="M46" i="11" s="1"/>
  <c r="BR37" i="9"/>
  <c r="BR35" i="9"/>
  <c r="CG8" i="9"/>
  <c r="CG70" i="5"/>
  <c r="CG46" i="11" s="1"/>
  <c r="Y8" i="9"/>
  <c r="Y70" i="5"/>
  <c r="Y46" i="11" s="1"/>
  <c r="Q35" i="9"/>
  <c r="Q37" i="9"/>
  <c r="BI35" i="9"/>
  <c r="BI37" i="9"/>
  <c r="AE37" i="9"/>
  <c r="AE35" i="9"/>
  <c r="C19" i="13"/>
  <c r="D19" i="13" s="1"/>
  <c r="CH31" i="10" l="1"/>
  <c r="AD31" i="10"/>
  <c r="BJ31" i="10"/>
  <c r="CH42" i="6"/>
  <c r="CH43" i="6" s="1"/>
  <c r="CH48" i="10" s="1"/>
  <c r="BJ33" i="10"/>
  <c r="CH9" i="11"/>
  <c r="CH41" i="6"/>
  <c r="CH28" i="6" s="1"/>
  <c r="CH29" i="6" s="1"/>
  <c r="CH32" i="11" s="1"/>
  <c r="CH44" i="11" s="1"/>
  <c r="CH40" i="10"/>
  <c r="CH41" i="10" s="1"/>
  <c r="BZ42" i="10"/>
  <c r="CK9" i="9"/>
  <c r="CK13" i="9" s="1"/>
  <c r="CK46" i="11"/>
  <c r="AA39" i="6"/>
  <c r="AA61" i="10"/>
  <c r="O39" i="6"/>
  <c r="O61" i="10"/>
  <c r="X39" i="6"/>
  <c r="X61" i="10"/>
  <c r="V39" i="6"/>
  <c r="V61" i="10"/>
  <c r="N39" i="6"/>
  <c r="N61" i="10"/>
  <c r="P39" i="6"/>
  <c r="P61" i="10"/>
  <c r="F39" i="6"/>
  <c r="F61" i="10"/>
  <c r="AB39" i="6"/>
  <c r="AB61" i="10"/>
  <c r="Q39" i="6"/>
  <c r="Q61" i="10"/>
  <c r="Z39" i="6"/>
  <c r="Z61" i="10"/>
  <c r="S39" i="6"/>
  <c r="S61" i="10"/>
  <c r="AC39" i="6"/>
  <c r="AC61" i="10"/>
  <c r="R39" i="6"/>
  <c r="R61" i="10"/>
  <c r="G39" i="6"/>
  <c r="G61" i="10"/>
  <c r="K39" i="6"/>
  <c r="K61" i="10"/>
  <c r="T39" i="6"/>
  <c r="T61" i="10"/>
  <c r="L39" i="6"/>
  <c r="L61" i="10"/>
  <c r="H39" i="6"/>
  <c r="H61" i="10"/>
  <c r="Y39" i="6"/>
  <c r="Y61" i="10"/>
  <c r="W39" i="6"/>
  <c r="W61" i="10"/>
  <c r="I39" i="6"/>
  <c r="I61" i="10"/>
  <c r="E39" i="6"/>
  <c r="E61" i="10"/>
  <c r="J39" i="6"/>
  <c r="J61" i="10"/>
  <c r="U39" i="6"/>
  <c r="U61" i="10"/>
  <c r="M39" i="6"/>
  <c r="M61" i="10"/>
  <c r="BJ41" i="6"/>
  <c r="BJ6" i="8" s="1"/>
  <c r="BJ7" i="8" s="1"/>
  <c r="BJ9" i="11"/>
  <c r="N42" i="6"/>
  <c r="AT40" i="10"/>
  <c r="AT41" i="10" s="1"/>
  <c r="N41" i="6"/>
  <c r="N6" i="8" s="1"/>
  <c r="N7" i="8" s="1"/>
  <c r="AT41" i="6"/>
  <c r="AT28" i="6" s="1"/>
  <c r="AT29" i="6" s="1"/>
  <c r="AT32" i="11" s="1"/>
  <c r="AT44" i="11" s="1"/>
  <c r="AT9" i="11"/>
  <c r="BB40" i="10"/>
  <c r="BB42" i="10" s="1"/>
  <c r="N40" i="10"/>
  <c r="N42" i="10" s="1"/>
  <c r="AL31" i="10"/>
  <c r="N9" i="11"/>
  <c r="AT42" i="6"/>
  <c r="AT43" i="6" s="1"/>
  <c r="AT48" i="10" s="1"/>
  <c r="BJ42" i="6"/>
  <c r="BJ43" i="6" s="1"/>
  <c r="BJ48" i="10" s="1"/>
  <c r="BJ40" i="10"/>
  <c r="BJ41" i="10" s="1"/>
  <c r="BB9" i="11"/>
  <c r="BB41" i="6"/>
  <c r="BB36" i="6" s="1"/>
  <c r="BB37" i="6" s="1"/>
  <c r="BR42" i="6"/>
  <c r="BR43" i="6" s="1"/>
  <c r="BR48" i="10" s="1"/>
  <c r="BB42" i="6"/>
  <c r="BB43" i="6" s="1"/>
  <c r="BB48" i="10" s="1"/>
  <c r="BR41" i="6"/>
  <c r="BR36" i="6" s="1"/>
  <c r="BR37" i="6" s="1"/>
  <c r="BR40" i="10"/>
  <c r="BR9" i="11"/>
  <c r="BR31" i="10"/>
  <c r="BR33" i="10"/>
  <c r="AL33" i="10"/>
  <c r="BB33" i="10"/>
  <c r="BB31" i="10"/>
  <c r="N31" i="10"/>
  <c r="AD33" i="10"/>
  <c r="F29" i="10"/>
  <c r="F31" i="10"/>
  <c r="AL42" i="6"/>
  <c r="AL43" i="6" s="1"/>
  <c r="AL48" i="10" s="1"/>
  <c r="AT33" i="10"/>
  <c r="AT31" i="10"/>
  <c r="AD9" i="11"/>
  <c r="AL40" i="10"/>
  <c r="AL41" i="10" s="1"/>
  <c r="AL41" i="6"/>
  <c r="AL36" i="6" s="1"/>
  <c r="AL37" i="6" s="1"/>
  <c r="AL9" i="11"/>
  <c r="N33" i="10"/>
  <c r="AD41" i="6"/>
  <c r="AD28" i="6" s="1"/>
  <c r="AD29" i="6" s="1"/>
  <c r="AD32" i="11" s="1"/>
  <c r="AD44" i="11" s="1"/>
  <c r="AD40" i="10"/>
  <c r="AD41" i="10" s="1"/>
  <c r="V40" i="10"/>
  <c r="V41" i="10" s="1"/>
  <c r="V41" i="6"/>
  <c r="V16" i="6" s="1"/>
  <c r="V17" i="6" s="1"/>
  <c r="V18" i="6" s="1"/>
  <c r="V33" i="10"/>
  <c r="V31" i="10"/>
  <c r="F42" i="6"/>
  <c r="F41" i="6"/>
  <c r="F6" i="8" s="1"/>
  <c r="F7" i="8" s="1"/>
  <c r="F40" i="10"/>
  <c r="F41" i="10" s="1"/>
  <c r="F9" i="11"/>
  <c r="I39" i="13"/>
  <c r="V9" i="11"/>
  <c r="V42" i="6"/>
  <c r="AD42" i="6"/>
  <c r="AD43" i="6" s="1"/>
  <c r="AD48" i="10" s="1"/>
  <c r="P31" i="10"/>
  <c r="P33" i="10"/>
  <c r="BX9" i="11"/>
  <c r="BX40" i="10"/>
  <c r="BX41" i="10" s="1"/>
  <c r="BX42" i="6"/>
  <c r="BX43" i="6" s="1"/>
  <c r="BX41" i="6"/>
  <c r="BS31" i="10"/>
  <c r="BS33" i="10"/>
  <c r="AA33" i="10"/>
  <c r="AA31" i="10"/>
  <c r="BM31" i="10"/>
  <c r="BM33" i="10"/>
  <c r="AJ9" i="11"/>
  <c r="AJ40" i="10"/>
  <c r="AJ41" i="10" s="1"/>
  <c r="AJ41" i="6"/>
  <c r="AJ42" i="6"/>
  <c r="AJ43" i="6" s="1"/>
  <c r="BL9" i="11"/>
  <c r="BL40" i="10"/>
  <c r="BL41" i="10" s="1"/>
  <c r="BL42" i="6"/>
  <c r="BL43" i="6" s="1"/>
  <c r="BL41" i="6"/>
  <c r="AB31" i="10"/>
  <c r="AB33" i="10"/>
  <c r="T31" i="10"/>
  <c r="T33" i="10"/>
  <c r="BW33" i="10"/>
  <c r="BW31" i="10"/>
  <c r="X31" i="10"/>
  <c r="X33" i="10"/>
  <c r="BO9" i="11"/>
  <c r="BO40" i="10"/>
  <c r="BO41" i="10" s="1"/>
  <c r="BO42" i="6"/>
  <c r="BO43" i="6" s="1"/>
  <c r="BO41" i="6"/>
  <c r="BV33" i="10"/>
  <c r="BV31" i="10"/>
  <c r="BS29" i="10"/>
  <c r="H9" i="11"/>
  <c r="H40" i="10"/>
  <c r="H41" i="10" s="1"/>
  <c r="H41" i="6"/>
  <c r="H42" i="6"/>
  <c r="Y9" i="11"/>
  <c r="Y40" i="10"/>
  <c r="Y41" i="10" s="1"/>
  <c r="Y41" i="6"/>
  <c r="Y42" i="6"/>
  <c r="W31" i="10"/>
  <c r="W33" i="10"/>
  <c r="AI9" i="11"/>
  <c r="AI40" i="10"/>
  <c r="AI41" i="10" s="1"/>
  <c r="AI42" i="6"/>
  <c r="AI43" i="6" s="1"/>
  <c r="AI41" i="6"/>
  <c r="AV31" i="10"/>
  <c r="AV33" i="10"/>
  <c r="I9" i="11"/>
  <c r="I40" i="10"/>
  <c r="I41" i="10" s="1"/>
  <c r="I41" i="6"/>
  <c r="I42" i="6"/>
  <c r="I63" i="10" s="1"/>
  <c r="R33" i="10"/>
  <c r="R31" i="10"/>
  <c r="O40" i="10"/>
  <c r="O41" i="10" s="1"/>
  <c r="O9" i="11"/>
  <c r="O41" i="6"/>
  <c r="O42" i="6"/>
  <c r="AJ31" i="10"/>
  <c r="AJ33" i="10"/>
  <c r="U9" i="11"/>
  <c r="U40" i="10"/>
  <c r="U41" i="10" s="1"/>
  <c r="U41" i="6"/>
  <c r="U42" i="6"/>
  <c r="Q9" i="11"/>
  <c r="Q40" i="10"/>
  <c r="Q41" i="10" s="1"/>
  <c r="Q41" i="6"/>
  <c r="Q42" i="6"/>
  <c r="BO33" i="10"/>
  <c r="BO31" i="10"/>
  <c r="BC9" i="11"/>
  <c r="BC40" i="10"/>
  <c r="BC41" i="10" s="1"/>
  <c r="BC42" i="6"/>
  <c r="BC43" i="6" s="1"/>
  <c r="BC41" i="6"/>
  <c r="M9" i="11"/>
  <c r="M40" i="10"/>
  <c r="M41" i="10" s="1"/>
  <c r="M41" i="6"/>
  <c r="M42" i="6"/>
  <c r="M63" i="10" s="1"/>
  <c r="AW31" i="10"/>
  <c r="AW33" i="10"/>
  <c r="W29" i="10"/>
  <c r="AN9" i="11"/>
  <c r="AN40" i="10"/>
  <c r="AN41" i="10" s="1"/>
  <c r="AN41" i="6"/>
  <c r="AN42" i="6"/>
  <c r="AN43" i="6" s="1"/>
  <c r="BZ28" i="6"/>
  <c r="BZ29" i="6" s="1"/>
  <c r="BZ32" i="11" s="1"/>
  <c r="BZ44" i="11" s="1"/>
  <c r="BZ36" i="6"/>
  <c r="BZ37" i="6" s="1"/>
  <c r="BZ16" i="6"/>
  <c r="BZ17" i="6" s="1"/>
  <c r="BZ18" i="6" s="1"/>
  <c r="P29" i="10"/>
  <c r="AE9" i="11"/>
  <c r="AE40" i="10"/>
  <c r="AE41" i="10" s="1"/>
  <c r="AE41" i="6"/>
  <c r="AE42" i="6"/>
  <c r="AE43" i="6" s="1"/>
  <c r="BE9" i="11"/>
  <c r="BE40" i="10"/>
  <c r="BE41" i="10" s="1"/>
  <c r="BE42" i="6"/>
  <c r="BE43" i="6" s="1"/>
  <c r="BE41" i="6"/>
  <c r="AI33" i="10"/>
  <c r="AI31" i="10"/>
  <c r="BX31" i="10"/>
  <c r="BX33" i="10"/>
  <c r="BE31" i="10"/>
  <c r="BE33" i="10"/>
  <c r="CH17" i="12"/>
  <c r="CH18" i="12" s="1"/>
  <c r="O31" i="10"/>
  <c r="O33" i="10"/>
  <c r="U33" i="10"/>
  <c r="U31" i="10"/>
  <c r="CB9" i="11"/>
  <c r="CB40" i="10"/>
  <c r="CB41" i="10" s="1"/>
  <c r="CB42" i="6"/>
  <c r="CB43" i="6" s="1"/>
  <c r="CB41" i="6"/>
  <c r="AH9" i="11"/>
  <c r="AH40" i="10"/>
  <c r="AH41" i="10" s="1"/>
  <c r="AH41" i="6"/>
  <c r="AH42" i="6"/>
  <c r="AH43" i="6" s="1"/>
  <c r="AF31" i="10"/>
  <c r="AF33" i="10"/>
  <c r="BP9" i="11"/>
  <c r="BP40" i="10"/>
  <c r="BP41" i="10" s="1"/>
  <c r="BP42" i="6"/>
  <c r="BP43" i="6" s="1"/>
  <c r="BP41" i="6"/>
  <c r="AS9" i="11"/>
  <c r="AS40" i="10"/>
  <c r="AS41" i="10" s="1"/>
  <c r="AS41" i="6"/>
  <c r="AS42" i="6"/>
  <c r="AS43" i="6" s="1"/>
  <c r="CD9" i="11"/>
  <c r="CD40" i="10"/>
  <c r="CD41" i="10" s="1"/>
  <c r="CD42" i="6"/>
  <c r="CD43" i="6" s="1"/>
  <c r="CD41" i="6"/>
  <c r="BC31" i="10"/>
  <c r="BC33" i="10"/>
  <c r="Y31" i="10"/>
  <c r="Y33" i="10"/>
  <c r="M33" i="10"/>
  <c r="M31" i="10"/>
  <c r="CC31" i="10"/>
  <c r="CC33" i="10"/>
  <c r="CJ31" i="10"/>
  <c r="CJ33" i="10"/>
  <c r="AR9" i="11"/>
  <c r="AR40" i="10"/>
  <c r="AR41" i="10" s="1"/>
  <c r="AR42" i="6"/>
  <c r="AR43" i="6" s="1"/>
  <c r="AR41" i="6"/>
  <c r="AE31" i="10"/>
  <c r="AE33" i="10"/>
  <c r="AZ9" i="11"/>
  <c r="AZ40" i="10"/>
  <c r="AZ41" i="10" s="1"/>
  <c r="AZ42" i="6"/>
  <c r="AZ43" i="6" s="1"/>
  <c r="AZ41" i="6"/>
  <c r="BT31" i="10"/>
  <c r="BT33" i="10"/>
  <c r="BF9" i="11"/>
  <c r="BF40" i="10"/>
  <c r="BF41" i="10" s="1"/>
  <c r="BF42" i="6"/>
  <c r="BF43" i="6" s="1"/>
  <c r="BF41" i="6"/>
  <c r="I31" i="10"/>
  <c r="I33" i="10"/>
  <c r="E9" i="11"/>
  <c r="E40" i="10"/>
  <c r="E41" i="10" s="1"/>
  <c r="E41" i="6"/>
  <c r="E6" i="8" s="1"/>
  <c r="E42" i="6"/>
  <c r="E63" i="10" s="1"/>
  <c r="BN9" i="11"/>
  <c r="BN40" i="10"/>
  <c r="BN41" i="10" s="1"/>
  <c r="BN42" i="6"/>
  <c r="BN43" i="6" s="1"/>
  <c r="BN41" i="6"/>
  <c r="AB29" i="10"/>
  <c r="AP9" i="11"/>
  <c r="AP40" i="10"/>
  <c r="AP41" i="10" s="1"/>
  <c r="AP41" i="6"/>
  <c r="AP42" i="6"/>
  <c r="AP43" i="6" s="1"/>
  <c r="CI40" i="10"/>
  <c r="CI41" i="10" s="1"/>
  <c r="CI9" i="11"/>
  <c r="CI42" i="6"/>
  <c r="CI43" i="6" s="1"/>
  <c r="CI41" i="6"/>
  <c r="BL31" i="10"/>
  <c r="BL33" i="10"/>
  <c r="Q31" i="10"/>
  <c r="Q33" i="10"/>
  <c r="BU9" i="11"/>
  <c r="BU40" i="10"/>
  <c r="BU41" i="10" s="1"/>
  <c r="BU41" i="6"/>
  <c r="BU42" i="6"/>
  <c r="BU43" i="6" s="1"/>
  <c r="BP31" i="10"/>
  <c r="BP33" i="10"/>
  <c r="BQ9" i="11"/>
  <c r="BQ40" i="10"/>
  <c r="BQ41" i="10" s="1"/>
  <c r="BQ42" i="6"/>
  <c r="BQ43" i="6" s="1"/>
  <c r="BQ41" i="6"/>
  <c r="AS31" i="10"/>
  <c r="AS33" i="10"/>
  <c r="L9" i="11"/>
  <c r="L40" i="10"/>
  <c r="L41" i="10" s="1"/>
  <c r="L41" i="6"/>
  <c r="L42" i="6"/>
  <c r="BG9" i="11"/>
  <c r="BG40" i="10"/>
  <c r="BG41" i="10" s="1"/>
  <c r="BG42" i="6"/>
  <c r="BG43" i="6" s="1"/>
  <c r="BG41" i="6"/>
  <c r="H31" i="10"/>
  <c r="H33" i="10"/>
  <c r="AG9" i="11"/>
  <c r="AG40" i="10"/>
  <c r="AG41" i="10" s="1"/>
  <c r="AG41" i="6"/>
  <c r="AG42" i="6"/>
  <c r="AG43" i="6" s="1"/>
  <c r="CF9" i="11"/>
  <c r="CF40" i="10"/>
  <c r="CF41" i="10" s="1"/>
  <c r="CF42" i="6"/>
  <c r="CF43" i="6" s="1"/>
  <c r="CF41" i="6"/>
  <c r="BZ17" i="12"/>
  <c r="BZ18" i="12" s="1"/>
  <c r="BZ2" i="11"/>
  <c r="BZ47" i="10"/>
  <c r="BZ48" i="10"/>
  <c r="BZ47" i="6"/>
  <c r="AR31" i="10"/>
  <c r="AR33" i="10"/>
  <c r="AQ33" i="10"/>
  <c r="AQ31" i="10"/>
  <c r="AZ31" i="10"/>
  <c r="AZ33" i="10"/>
  <c r="AC9" i="11"/>
  <c r="AC40" i="10"/>
  <c r="AC41" i="10" s="1"/>
  <c r="AC41" i="6"/>
  <c r="AC42" i="6"/>
  <c r="BY9" i="11"/>
  <c r="BY40" i="10"/>
  <c r="BY41" i="10" s="1"/>
  <c r="BY42" i="6"/>
  <c r="BY43" i="6" s="1"/>
  <c r="BY41" i="6"/>
  <c r="E33" i="10"/>
  <c r="E31" i="10"/>
  <c r="BD9" i="11"/>
  <c r="BD40" i="10"/>
  <c r="BD41" i="10" s="1"/>
  <c r="BD42" i="6"/>
  <c r="BD43" i="6" s="1"/>
  <c r="BD41" i="6"/>
  <c r="CI31" i="10"/>
  <c r="CI33" i="10"/>
  <c r="AX9" i="11"/>
  <c r="AX40" i="10"/>
  <c r="AX41" i="10" s="1"/>
  <c r="AX41" i="6"/>
  <c r="AX42" i="6"/>
  <c r="AX43" i="6" s="1"/>
  <c r="AH31" i="10"/>
  <c r="AH33" i="10"/>
  <c r="BQ33" i="10"/>
  <c r="BQ31" i="10"/>
  <c r="AY9" i="11"/>
  <c r="AY40" i="10"/>
  <c r="AY41" i="10" s="1"/>
  <c r="AY42" i="6"/>
  <c r="AY43" i="6" s="1"/>
  <c r="AY41" i="6"/>
  <c r="L31" i="10"/>
  <c r="L33" i="10"/>
  <c r="Z9" i="11"/>
  <c r="Z40" i="10"/>
  <c r="Z41" i="10" s="1"/>
  <c r="Z41" i="6"/>
  <c r="Z42" i="6"/>
  <c r="BG33" i="10"/>
  <c r="BG31" i="10"/>
  <c r="G40" i="10"/>
  <c r="G41" i="10" s="1"/>
  <c r="G9" i="11"/>
  <c r="G41" i="6"/>
  <c r="G42" i="6"/>
  <c r="AZ29" i="10"/>
  <c r="AN31" i="10"/>
  <c r="AN33" i="10"/>
  <c r="AU9" i="11"/>
  <c r="AU40" i="10"/>
  <c r="AU41" i="10" s="1"/>
  <c r="AU42" i="6"/>
  <c r="AU43" i="6" s="1"/>
  <c r="AU41" i="6"/>
  <c r="AA29" i="10"/>
  <c r="S9" i="11"/>
  <c r="S40" i="10"/>
  <c r="S41" i="10" s="1"/>
  <c r="S42" i="6"/>
  <c r="S41" i="6"/>
  <c r="BT9" i="11"/>
  <c r="BT40" i="10"/>
  <c r="BT41" i="10" s="1"/>
  <c r="BT42" i="6"/>
  <c r="BT43" i="6" s="1"/>
  <c r="BT41" i="6"/>
  <c r="K9" i="11"/>
  <c r="K40" i="10"/>
  <c r="K41" i="10" s="1"/>
  <c r="K42" i="6"/>
  <c r="K41" i="6"/>
  <c r="P9" i="11"/>
  <c r="P40" i="10"/>
  <c r="P41" i="10" s="1"/>
  <c r="P41" i="6"/>
  <c r="P42" i="6"/>
  <c r="BF33" i="10"/>
  <c r="BF31" i="10"/>
  <c r="AC33" i="10"/>
  <c r="AC31" i="10"/>
  <c r="BM29" i="10"/>
  <c r="BY33" i="10"/>
  <c r="BY31" i="10"/>
  <c r="J9" i="11"/>
  <c r="J40" i="10"/>
  <c r="J41" i="10" s="1"/>
  <c r="J41" i="6"/>
  <c r="J42" i="6"/>
  <c r="BN33" i="10"/>
  <c r="BN31" i="10"/>
  <c r="T29" i="10"/>
  <c r="AP33" i="10"/>
  <c r="AP31" i="10"/>
  <c r="BW29" i="10"/>
  <c r="CB31" i="10"/>
  <c r="CB33" i="10"/>
  <c r="BV29" i="10"/>
  <c r="BU31" i="10"/>
  <c r="BU33" i="10"/>
  <c r="X9" i="11"/>
  <c r="X40" i="10"/>
  <c r="X41" i="10" s="1"/>
  <c r="X41" i="6"/>
  <c r="X42" i="6"/>
  <c r="AY33" i="10"/>
  <c r="AY31" i="10"/>
  <c r="CA40" i="10"/>
  <c r="CA41" i="10" s="1"/>
  <c r="CA9" i="11"/>
  <c r="CA42" i="6"/>
  <c r="CA43" i="6" s="1"/>
  <c r="CA41" i="6"/>
  <c r="CD33" i="10"/>
  <c r="CD31" i="10"/>
  <c r="AG31" i="10"/>
  <c r="AG33" i="10"/>
  <c r="CG9" i="11"/>
  <c r="CG40" i="10"/>
  <c r="CG41" i="10" s="1"/>
  <c r="CG42" i="6"/>
  <c r="CG43" i="6" s="1"/>
  <c r="CG41" i="6"/>
  <c r="G31" i="10"/>
  <c r="G33" i="10"/>
  <c r="AO9" i="11"/>
  <c r="AO40" i="10"/>
  <c r="AO41" i="10" s="1"/>
  <c r="AO41" i="6"/>
  <c r="AO42" i="6"/>
  <c r="AO43" i="6" s="1"/>
  <c r="CF31" i="10"/>
  <c r="CF33" i="10"/>
  <c r="BH9" i="11"/>
  <c r="BH40" i="10"/>
  <c r="BH41" i="10" s="1"/>
  <c r="BH42" i="6"/>
  <c r="BH43" i="6" s="1"/>
  <c r="BH41" i="6"/>
  <c r="AU31" i="10"/>
  <c r="AU33" i="10"/>
  <c r="AV29" i="10"/>
  <c r="S33" i="10"/>
  <c r="S31" i="10"/>
  <c r="K33" i="10"/>
  <c r="K31" i="10"/>
  <c r="BA9" i="11"/>
  <c r="BA40" i="10"/>
  <c r="BA41" i="10" s="1"/>
  <c r="BA42" i="6"/>
  <c r="BA43" i="6" s="1"/>
  <c r="BA41" i="6"/>
  <c r="AV9" i="11"/>
  <c r="AV40" i="10"/>
  <c r="AV41" i="10" s="1"/>
  <c r="AV41" i="6"/>
  <c r="AV42" i="6"/>
  <c r="AV43" i="6" s="1"/>
  <c r="BK9" i="11"/>
  <c r="BK40" i="10"/>
  <c r="BK41" i="10" s="1"/>
  <c r="BK42" i="6"/>
  <c r="BK43" i="6" s="1"/>
  <c r="BK41" i="6"/>
  <c r="AM9" i="11"/>
  <c r="AM40" i="10"/>
  <c r="AM41" i="10" s="1"/>
  <c r="AM41" i="6"/>
  <c r="AM42" i="6"/>
  <c r="AM43" i="6" s="1"/>
  <c r="BM9" i="11"/>
  <c r="BM40" i="10"/>
  <c r="BM41" i="10" s="1"/>
  <c r="BM41" i="6"/>
  <c r="BM42" i="6"/>
  <c r="BM43" i="6" s="1"/>
  <c r="CE9" i="11"/>
  <c r="CE40" i="10"/>
  <c r="CE41" i="10" s="1"/>
  <c r="CE42" i="6"/>
  <c r="CE43" i="6" s="1"/>
  <c r="CE41" i="6"/>
  <c r="B41" i="6"/>
  <c r="B42" i="6"/>
  <c r="B39" i="6"/>
  <c r="AX33" i="10"/>
  <c r="AX31" i="10"/>
  <c r="BV9" i="11"/>
  <c r="BV40" i="10"/>
  <c r="BV41" i="10" s="1"/>
  <c r="BV42" i="6"/>
  <c r="BV43" i="6" s="1"/>
  <c r="BV41" i="6"/>
  <c r="Y29" i="10"/>
  <c r="CA31" i="10"/>
  <c r="CA33" i="10"/>
  <c r="Z33" i="10"/>
  <c r="Z31" i="10"/>
  <c r="BI9" i="11"/>
  <c r="BI40" i="10"/>
  <c r="BI41" i="10" s="1"/>
  <c r="BI42" i="6"/>
  <c r="BI43" i="6" s="1"/>
  <c r="BI41" i="6"/>
  <c r="AK9" i="11"/>
  <c r="AK40" i="10"/>
  <c r="AK41" i="10" s="1"/>
  <c r="AK41" i="6"/>
  <c r="AK42" i="6"/>
  <c r="AK43" i="6" s="1"/>
  <c r="CG33" i="10"/>
  <c r="CG31" i="10"/>
  <c r="D39" i="6"/>
  <c r="D41" i="6"/>
  <c r="D42" i="6"/>
  <c r="C42" i="6"/>
  <c r="C39" i="6"/>
  <c r="C41" i="6"/>
  <c r="AI29" i="10"/>
  <c r="BX29" i="10"/>
  <c r="K29" i="10"/>
  <c r="BH33" i="10"/>
  <c r="BH31" i="10"/>
  <c r="BN29" i="10"/>
  <c r="BA31" i="10"/>
  <c r="BA33" i="10"/>
  <c r="AQ9" i="11"/>
  <c r="AQ40" i="10"/>
  <c r="AQ41" i="10" s="1"/>
  <c r="AQ42" i="6"/>
  <c r="AQ43" i="6" s="1"/>
  <c r="AQ41" i="6"/>
  <c r="BS40" i="10"/>
  <c r="BS41" i="10" s="1"/>
  <c r="BS9" i="11"/>
  <c r="BS42" i="6"/>
  <c r="BS43" i="6" s="1"/>
  <c r="BS41" i="6"/>
  <c r="BK31" i="10"/>
  <c r="BK33" i="10"/>
  <c r="R9" i="11"/>
  <c r="R40" i="10"/>
  <c r="R41" i="10" s="1"/>
  <c r="R41" i="6"/>
  <c r="R42" i="6"/>
  <c r="J33" i="10"/>
  <c r="J31" i="10"/>
  <c r="AM31" i="10"/>
  <c r="AM33" i="10"/>
  <c r="AA9" i="11"/>
  <c r="AA40" i="10"/>
  <c r="AA41" i="10" s="1"/>
  <c r="AA42" i="6"/>
  <c r="AA41" i="6"/>
  <c r="BD31" i="10"/>
  <c r="BD33" i="10"/>
  <c r="CE33" i="10"/>
  <c r="CE31" i="10"/>
  <c r="X29" i="10"/>
  <c r="AB9" i="11"/>
  <c r="AB40" i="10"/>
  <c r="AB41" i="10" s="1"/>
  <c r="AB41" i="6"/>
  <c r="AB42" i="6"/>
  <c r="T9" i="11"/>
  <c r="T40" i="10"/>
  <c r="T41" i="10" s="1"/>
  <c r="T41" i="6"/>
  <c r="T42" i="6"/>
  <c r="AF9" i="11"/>
  <c r="AF40" i="10"/>
  <c r="AF41" i="10" s="1"/>
  <c r="AF41" i="6"/>
  <c r="AF42" i="6"/>
  <c r="AF43" i="6" s="1"/>
  <c r="BW9" i="11"/>
  <c r="BW40" i="10"/>
  <c r="BW41" i="10" s="1"/>
  <c r="BW42" i="6"/>
  <c r="BW43" i="6" s="1"/>
  <c r="BW41" i="6"/>
  <c r="BI31" i="10"/>
  <c r="BI33" i="10"/>
  <c r="AK33" i="10"/>
  <c r="AK31" i="10"/>
  <c r="AW9" i="11"/>
  <c r="AW40" i="10"/>
  <c r="AW41" i="10" s="1"/>
  <c r="AW41" i="6"/>
  <c r="AW42" i="6"/>
  <c r="AW43" i="6" s="1"/>
  <c r="AO31" i="10"/>
  <c r="AO33" i="10"/>
  <c r="CC9" i="11"/>
  <c r="CC40" i="10"/>
  <c r="CC41" i="10" s="1"/>
  <c r="CC41" i="6"/>
  <c r="CC42" i="6"/>
  <c r="CC43" i="6" s="1"/>
  <c r="CJ9" i="11"/>
  <c r="CJ40" i="10"/>
  <c r="CJ41" i="10" s="1"/>
  <c r="CJ42" i="6"/>
  <c r="CJ43" i="6" s="1"/>
  <c r="CJ41" i="6"/>
  <c r="W40" i="10"/>
  <c r="W41" i="10" s="1"/>
  <c r="W9" i="11"/>
  <c r="W41" i="6"/>
  <c r="W42" i="6"/>
  <c r="BJ7" i="11"/>
  <c r="BJ10" i="11"/>
  <c r="BJ8" i="11"/>
  <c r="BJ9" i="9"/>
  <c r="BJ10" i="8"/>
  <c r="U7" i="11"/>
  <c r="U10" i="11"/>
  <c r="U8" i="11"/>
  <c r="U9" i="9"/>
  <c r="U45" i="9" s="1"/>
  <c r="U10" i="8"/>
  <c r="CB10" i="11"/>
  <c r="CB8" i="11"/>
  <c r="CB7" i="11"/>
  <c r="CB9" i="9"/>
  <c r="AF10" i="11"/>
  <c r="AF8" i="11"/>
  <c r="AF7" i="11"/>
  <c r="AF9" i="9"/>
  <c r="AF10" i="8"/>
  <c r="AQ10" i="11"/>
  <c r="AQ8" i="11"/>
  <c r="AQ7" i="11"/>
  <c r="AQ9" i="9"/>
  <c r="AQ10" i="8"/>
  <c r="BE10" i="11"/>
  <c r="BE8" i="11"/>
  <c r="BE7" i="11"/>
  <c r="BE9" i="9"/>
  <c r="BE10" i="8"/>
  <c r="S10" i="11"/>
  <c r="S8" i="11"/>
  <c r="S9" i="9"/>
  <c r="S45" i="9" s="1"/>
  <c r="S7" i="11"/>
  <c r="S10" i="8"/>
  <c r="M7" i="11"/>
  <c r="M10" i="11"/>
  <c r="M9" i="9"/>
  <c r="M8" i="11"/>
  <c r="M10" i="8"/>
  <c r="CG7" i="11"/>
  <c r="CG10" i="11"/>
  <c r="CG8" i="11"/>
  <c r="CG9" i="9"/>
  <c r="BX7" i="11"/>
  <c r="BX10" i="11"/>
  <c r="BX8" i="11"/>
  <c r="BX9" i="9"/>
  <c r="N10" i="11"/>
  <c r="N8" i="11"/>
  <c r="N7" i="11"/>
  <c r="N9" i="9"/>
  <c r="N10" i="8"/>
  <c r="AO10" i="11"/>
  <c r="AO8" i="11"/>
  <c r="AO7" i="11"/>
  <c r="AO9" i="9"/>
  <c r="AO10" i="8"/>
  <c r="F10" i="11"/>
  <c r="F8" i="11"/>
  <c r="F9" i="9"/>
  <c r="F7" i="11"/>
  <c r="F10" i="8"/>
  <c r="L7" i="11"/>
  <c r="L10" i="11"/>
  <c r="L8" i="11"/>
  <c r="L9" i="9"/>
  <c r="L10" i="8"/>
  <c r="CD10" i="11"/>
  <c r="CD8" i="11"/>
  <c r="CD7" i="11"/>
  <c r="CD9" i="9"/>
  <c r="BO10" i="11"/>
  <c r="BO8" i="11"/>
  <c r="BO7" i="11"/>
  <c r="BO9" i="9"/>
  <c r="BO10" i="8"/>
  <c r="AC7" i="11"/>
  <c r="AC10" i="11"/>
  <c r="AC8" i="11"/>
  <c r="AC9" i="9"/>
  <c r="AC10" i="8"/>
  <c r="AZ7" i="11"/>
  <c r="AZ10" i="11"/>
  <c r="AZ11" i="11" s="1"/>
  <c r="AZ8" i="11"/>
  <c r="AZ9" i="9"/>
  <c r="AZ10" i="8"/>
  <c r="CC10" i="11"/>
  <c r="CC8" i="11"/>
  <c r="CC7" i="11"/>
  <c r="CC9" i="9"/>
  <c r="AH10" i="11"/>
  <c r="AH8" i="11"/>
  <c r="AH7" i="11"/>
  <c r="AH9" i="9"/>
  <c r="AH10" i="8"/>
  <c r="AJ7" i="11"/>
  <c r="AJ10" i="11"/>
  <c r="AJ8" i="11"/>
  <c r="AJ9" i="9"/>
  <c r="AJ10" i="8"/>
  <c r="CJ10" i="11"/>
  <c r="CJ8" i="11"/>
  <c r="CJ7" i="11"/>
  <c r="CJ9" i="9"/>
  <c r="AN10" i="11"/>
  <c r="AN8" i="11"/>
  <c r="AN7" i="11"/>
  <c r="AN9" i="9"/>
  <c r="AN10" i="8"/>
  <c r="I10" i="11"/>
  <c r="I8" i="11"/>
  <c r="I7" i="11"/>
  <c r="I9" i="9"/>
  <c r="I10" i="8"/>
  <c r="BS10" i="11"/>
  <c r="BS7" i="11"/>
  <c r="BS9" i="9"/>
  <c r="BS8" i="11"/>
  <c r="BS10" i="8"/>
  <c r="AG10" i="11"/>
  <c r="AG8" i="11"/>
  <c r="AG7" i="11"/>
  <c r="AG9" i="9"/>
  <c r="AG10" i="8"/>
  <c r="V7" i="11"/>
  <c r="V10" i="11"/>
  <c r="V8" i="11"/>
  <c r="V9" i="9"/>
  <c r="V10" i="8"/>
  <c r="AB7" i="11"/>
  <c r="AB10" i="11"/>
  <c r="AB8" i="11"/>
  <c r="AB9" i="9"/>
  <c r="AB10" i="8"/>
  <c r="AU10" i="11"/>
  <c r="AU7" i="11"/>
  <c r="AU9" i="9"/>
  <c r="AU8" i="11"/>
  <c r="AU10" i="8"/>
  <c r="BR7" i="11"/>
  <c r="BR10" i="11"/>
  <c r="BR8" i="11"/>
  <c r="BR9" i="9"/>
  <c r="BR10" i="8"/>
  <c r="AK7" i="11"/>
  <c r="AK10" i="11"/>
  <c r="AK9" i="9"/>
  <c r="AK8" i="11"/>
  <c r="AK10" i="8"/>
  <c r="AR7" i="11"/>
  <c r="AR10" i="11"/>
  <c r="AR8" i="11"/>
  <c r="AR9" i="9"/>
  <c r="AR10" i="8"/>
  <c r="BF10" i="11"/>
  <c r="BF8" i="11"/>
  <c r="BF7" i="11"/>
  <c r="BF9" i="9"/>
  <c r="BF10" i="8"/>
  <c r="AT7" i="11"/>
  <c r="AT10" i="11"/>
  <c r="AT8" i="11"/>
  <c r="AT9" i="9"/>
  <c r="AT10" i="8"/>
  <c r="AM10" i="11"/>
  <c r="AM7" i="11"/>
  <c r="AM9" i="9"/>
  <c r="AM8" i="11"/>
  <c r="AM10" i="8"/>
  <c r="AD7" i="11"/>
  <c r="AD10" i="11"/>
  <c r="AD8" i="11"/>
  <c r="AD9" i="9"/>
  <c r="AD10" i="8"/>
  <c r="BY7" i="11"/>
  <c r="BY10" i="11"/>
  <c r="BY9" i="9"/>
  <c r="BY8" i="11"/>
  <c r="AP10" i="11"/>
  <c r="AP8" i="11"/>
  <c r="AP7" i="11"/>
  <c r="AP9" i="9"/>
  <c r="AP10" i="8"/>
  <c r="W7" i="11"/>
  <c r="W9" i="9"/>
  <c r="W8" i="11"/>
  <c r="W10" i="11"/>
  <c r="W10" i="8"/>
  <c r="AW10" i="11"/>
  <c r="AW8" i="11"/>
  <c r="AW7" i="11"/>
  <c r="AW9" i="9"/>
  <c r="AW10" i="8"/>
  <c r="BH7" i="11"/>
  <c r="BH10" i="11"/>
  <c r="BH8" i="11"/>
  <c r="BH9" i="9"/>
  <c r="BH10" i="8"/>
  <c r="AL7" i="11"/>
  <c r="AL10" i="11"/>
  <c r="AL8" i="11"/>
  <c r="AL9" i="9"/>
  <c r="AL10" i="8"/>
  <c r="X10" i="11"/>
  <c r="X8" i="11"/>
  <c r="X7" i="11"/>
  <c r="X9" i="9"/>
  <c r="X10" i="8"/>
  <c r="Z10" i="11"/>
  <c r="Z8" i="11"/>
  <c r="Z7" i="11"/>
  <c r="Z9" i="9"/>
  <c r="Z10" i="8"/>
  <c r="BD10" i="11"/>
  <c r="BD8" i="11"/>
  <c r="BD7" i="11"/>
  <c r="BD9" i="9"/>
  <c r="BD10" i="8"/>
  <c r="AV10" i="11"/>
  <c r="AV8" i="11"/>
  <c r="AV7" i="11"/>
  <c r="AV9" i="9"/>
  <c r="AV10" i="8"/>
  <c r="BG10" i="11"/>
  <c r="BG8" i="11"/>
  <c r="BG9" i="9"/>
  <c r="BG7" i="11"/>
  <c r="BG10" i="8"/>
  <c r="J10" i="11"/>
  <c r="J8" i="11"/>
  <c r="J7" i="11"/>
  <c r="J9" i="9"/>
  <c r="J10" i="8"/>
  <c r="Q10" i="11"/>
  <c r="Q8" i="11"/>
  <c r="Q7" i="11"/>
  <c r="Q9" i="9"/>
  <c r="Q10" i="8"/>
  <c r="AX10" i="11"/>
  <c r="AX8" i="11"/>
  <c r="AX7" i="11"/>
  <c r="AX9" i="9"/>
  <c r="AX10" i="8"/>
  <c r="H10" i="11"/>
  <c r="H8" i="11"/>
  <c r="H7" i="11"/>
  <c r="H9" i="9"/>
  <c r="H10" i="8"/>
  <c r="E7" i="11"/>
  <c r="E10" i="11"/>
  <c r="E9" i="9"/>
  <c r="E8" i="11"/>
  <c r="E10" i="8"/>
  <c r="BL10" i="11"/>
  <c r="BL8" i="11"/>
  <c r="BL7" i="11"/>
  <c r="BL9" i="9"/>
  <c r="BL10" i="8"/>
  <c r="BI7" i="11"/>
  <c r="BI10" i="11"/>
  <c r="BI8" i="11"/>
  <c r="BI9" i="9"/>
  <c r="BI10" i="8"/>
  <c r="CF7" i="11"/>
  <c r="CF10" i="11"/>
  <c r="CF8" i="11"/>
  <c r="CF9" i="9"/>
  <c r="BA7" i="11"/>
  <c r="BA10" i="11"/>
  <c r="BA8" i="11"/>
  <c r="BA9" i="9"/>
  <c r="BA10" i="8"/>
  <c r="BZ7" i="11"/>
  <c r="BZ10" i="11"/>
  <c r="BZ11" i="11" s="1"/>
  <c r="BZ8" i="11"/>
  <c r="BZ9" i="9"/>
  <c r="BN10" i="11"/>
  <c r="BN8" i="11"/>
  <c r="BN7" i="11"/>
  <c r="BN9" i="9"/>
  <c r="BN10" i="8"/>
  <c r="AA10" i="11"/>
  <c r="AA8" i="11"/>
  <c r="AA9" i="9"/>
  <c r="AA7" i="11"/>
  <c r="AA10" i="8"/>
  <c r="K10" i="11"/>
  <c r="K8" i="11"/>
  <c r="K7" i="11"/>
  <c r="K9" i="9"/>
  <c r="K10" i="8"/>
  <c r="BQ7" i="11"/>
  <c r="BQ10" i="11"/>
  <c r="BQ9" i="9"/>
  <c r="BQ8" i="11"/>
  <c r="BQ10" i="8"/>
  <c r="Y10" i="11"/>
  <c r="Y8" i="11"/>
  <c r="Y7" i="11"/>
  <c r="Y9" i="9"/>
  <c r="Y10" i="8"/>
  <c r="T7" i="11"/>
  <c r="T10" i="11"/>
  <c r="T8" i="11"/>
  <c r="T9" i="9"/>
  <c r="T45" i="9" s="1"/>
  <c r="T10" i="8"/>
  <c r="AE7" i="11"/>
  <c r="AE9" i="9"/>
  <c r="AE10" i="11"/>
  <c r="AE8" i="11"/>
  <c r="AE10" i="8"/>
  <c r="BK10" i="11"/>
  <c r="BK7" i="11"/>
  <c r="BK9" i="9"/>
  <c r="BK8" i="11"/>
  <c r="BK10" i="8"/>
  <c r="BV10" i="11"/>
  <c r="BV8" i="11"/>
  <c r="BV7" i="11"/>
  <c r="BV9" i="9"/>
  <c r="BB7" i="11"/>
  <c r="BB10" i="11"/>
  <c r="BB8" i="11"/>
  <c r="BB9" i="9"/>
  <c r="BB10" i="8"/>
  <c r="R10" i="11"/>
  <c r="R8" i="11"/>
  <c r="R7" i="11"/>
  <c r="R9" i="9"/>
  <c r="R45" i="9" s="1"/>
  <c r="R10" i="8"/>
  <c r="G9" i="9"/>
  <c r="G10" i="11"/>
  <c r="G7" i="11"/>
  <c r="G8" i="11"/>
  <c r="G10" i="8"/>
  <c r="BC10" i="11"/>
  <c r="BC7" i="11"/>
  <c r="BC9" i="9"/>
  <c r="BC8" i="11"/>
  <c r="BC10" i="8"/>
  <c r="CA10" i="11"/>
  <c r="CA7" i="11"/>
  <c r="CA9" i="9"/>
  <c r="CA8" i="11"/>
  <c r="AY10" i="11"/>
  <c r="AY8" i="11"/>
  <c r="AY9" i="9"/>
  <c r="AY7" i="11"/>
  <c r="AY10" i="8"/>
  <c r="BM10" i="11"/>
  <c r="BM8" i="11"/>
  <c r="BM7" i="11"/>
  <c r="BM9" i="9"/>
  <c r="BM10" i="8"/>
  <c r="AI10" i="11"/>
  <c r="AI8" i="11"/>
  <c r="AI7" i="11"/>
  <c r="AI9" i="9"/>
  <c r="AI10" i="8"/>
  <c r="CI10" i="11"/>
  <c r="CI7" i="11"/>
  <c r="CI9" i="9"/>
  <c r="CI8" i="11"/>
  <c r="O7" i="11"/>
  <c r="O9" i="9"/>
  <c r="O45" i="9" s="1"/>
  <c r="O10" i="11"/>
  <c r="O8" i="11"/>
  <c r="O10" i="8"/>
  <c r="CH7" i="11"/>
  <c r="CH10" i="11"/>
  <c r="CH11" i="11" s="1"/>
  <c r="CH8" i="11"/>
  <c r="CH9" i="9"/>
  <c r="AS7" i="11"/>
  <c r="AS10" i="11"/>
  <c r="AS9" i="9"/>
  <c r="AS8" i="11"/>
  <c r="AS10" i="8"/>
  <c r="CE10" i="11"/>
  <c r="CE8" i="11"/>
  <c r="CE9" i="9"/>
  <c r="CE7" i="11"/>
  <c r="BW10" i="11"/>
  <c r="BW8" i="11"/>
  <c r="BW7" i="11"/>
  <c r="BW9" i="9"/>
  <c r="BP7" i="11"/>
  <c r="BP10" i="11"/>
  <c r="BP8" i="11"/>
  <c r="BP9" i="9"/>
  <c r="BP10" i="8"/>
  <c r="P10" i="11"/>
  <c r="P8" i="11"/>
  <c r="P7" i="11"/>
  <c r="P9" i="9"/>
  <c r="P10" i="8"/>
  <c r="BU10" i="11"/>
  <c r="BU8" i="11"/>
  <c r="BU7" i="11"/>
  <c r="BU9" i="9"/>
  <c r="BU10" i="8"/>
  <c r="BT10" i="11"/>
  <c r="BT8" i="11"/>
  <c r="BT7" i="11"/>
  <c r="BT9" i="9"/>
  <c r="BT10" i="8"/>
  <c r="E19" i="13"/>
  <c r="BN42" i="10" l="1"/>
  <c r="BR17" i="12"/>
  <c r="BR18" i="12" s="1"/>
  <c r="BJ16" i="6"/>
  <c r="BJ17" i="6" s="1"/>
  <c r="BJ18" i="6" s="1"/>
  <c r="AT11" i="11"/>
  <c r="BJ36" i="6"/>
  <c r="BJ37" i="6" s="1"/>
  <c r="BU11" i="11"/>
  <c r="CH2" i="11"/>
  <c r="CH4" i="11" s="1"/>
  <c r="CH47" i="6"/>
  <c r="CH47" i="10"/>
  <c r="CH49" i="10" s="1"/>
  <c r="CA11" i="11"/>
  <c r="N36" i="6"/>
  <c r="N37" i="6" s="1"/>
  <c r="N28" i="6"/>
  <c r="N29" i="6" s="1"/>
  <c r="N32" i="11" s="1"/>
  <c r="N44" i="11" s="1"/>
  <c r="CH42" i="10"/>
  <c r="CB11" i="11"/>
  <c r="CE11" i="11"/>
  <c r="BJ11" i="11"/>
  <c r="CH36" i="6"/>
  <c r="CH37" i="6" s="1"/>
  <c r="BJ28" i="6"/>
  <c r="BJ29" i="6" s="1"/>
  <c r="BJ32" i="11" s="1"/>
  <c r="BJ44" i="11" s="1"/>
  <c r="CD42" i="10"/>
  <c r="N16" i="6"/>
  <c r="N17" i="6" s="1"/>
  <c r="N18" i="6" s="1"/>
  <c r="CF11" i="11"/>
  <c r="AT36" i="6"/>
  <c r="AT37" i="6" s="1"/>
  <c r="BJ2" i="11"/>
  <c r="BJ13" i="11" s="1"/>
  <c r="BJ17" i="12"/>
  <c r="BJ18" i="12" s="1"/>
  <c r="AT6" i="8"/>
  <c r="AT7" i="8" s="1"/>
  <c r="CH16" i="6"/>
  <c r="CH17" i="6" s="1"/>
  <c r="CH18" i="6" s="1"/>
  <c r="CG11" i="11"/>
  <c r="CA42" i="10"/>
  <c r="CI11" i="11"/>
  <c r="BB2" i="11"/>
  <c r="BB13" i="11" s="1"/>
  <c r="AT16" i="6"/>
  <c r="AT17" i="6" s="1"/>
  <c r="AT18" i="6" s="1"/>
  <c r="BB17" i="12"/>
  <c r="BB18" i="12" s="1"/>
  <c r="CJ11" i="11"/>
  <c r="V28" i="6"/>
  <c r="V29" i="6" s="1"/>
  <c r="V32" i="11" s="1"/>
  <c r="V44" i="11" s="1"/>
  <c r="AT47" i="6"/>
  <c r="AT5" i="11" s="1"/>
  <c r="BQ42" i="10"/>
  <c r="CK33" i="9"/>
  <c r="CK14" i="9"/>
  <c r="CK28" i="9"/>
  <c r="CK26" i="9"/>
  <c r="N41" i="10"/>
  <c r="AB43" i="6"/>
  <c r="AB63" i="10"/>
  <c r="AB64" i="10" s="1"/>
  <c r="AZ42" i="10"/>
  <c r="P43" i="6"/>
  <c r="P48" i="10" s="1"/>
  <c r="P63" i="10"/>
  <c r="P64" i="10" s="1"/>
  <c r="G43" i="6"/>
  <c r="G48" i="10" s="1"/>
  <c r="G63" i="10"/>
  <c r="G64" i="10" s="1"/>
  <c r="M64" i="10"/>
  <c r="U43" i="6"/>
  <c r="U48" i="10" s="1"/>
  <c r="U63" i="10"/>
  <c r="U64" i="10" s="1"/>
  <c r="Y43" i="6"/>
  <c r="Y48" i="10" s="1"/>
  <c r="Y63" i="10"/>
  <c r="Y64" i="10" s="1"/>
  <c r="V43" i="6"/>
  <c r="V48" i="10" s="1"/>
  <c r="V63" i="10"/>
  <c r="V64" i="10" s="1"/>
  <c r="X43" i="6"/>
  <c r="X48" i="10" s="1"/>
  <c r="X63" i="10"/>
  <c r="X64" i="10" s="1"/>
  <c r="AC43" i="6"/>
  <c r="AC48" i="10" s="1"/>
  <c r="AC63" i="10"/>
  <c r="AC64" i="10" s="1"/>
  <c r="Z43" i="6"/>
  <c r="Z48" i="10" s="1"/>
  <c r="Z63" i="10"/>
  <c r="Z64" i="10" s="1"/>
  <c r="Q43" i="6"/>
  <c r="Q48" i="10" s="1"/>
  <c r="Q63" i="10"/>
  <c r="Q64" i="10" s="1"/>
  <c r="N43" i="6"/>
  <c r="N48" i="10" s="1"/>
  <c r="N63" i="10"/>
  <c r="N64" i="10" s="1"/>
  <c r="W43" i="6"/>
  <c r="W48" i="10" s="1"/>
  <c r="W63" i="10"/>
  <c r="W64" i="10" s="1"/>
  <c r="T43" i="6"/>
  <c r="T48" i="10" s="1"/>
  <c r="T63" i="10"/>
  <c r="T64" i="10" s="1"/>
  <c r="E64" i="10"/>
  <c r="R43" i="6"/>
  <c r="R48" i="10" s="1"/>
  <c r="R63" i="10"/>
  <c r="R64" i="10" s="1"/>
  <c r="J43" i="6"/>
  <c r="J48" i="10" s="1"/>
  <c r="J63" i="10"/>
  <c r="J64" i="10" s="1"/>
  <c r="H43" i="6"/>
  <c r="H48" i="10" s="1"/>
  <c r="H63" i="10"/>
  <c r="H64" i="10" s="1"/>
  <c r="AA43" i="6"/>
  <c r="AA48" i="10" s="1"/>
  <c r="AA63" i="10"/>
  <c r="AA64" i="10" s="1"/>
  <c r="K43" i="6"/>
  <c r="K48" i="10" s="1"/>
  <c r="K63" i="10"/>
  <c r="K64" i="10" s="1"/>
  <c r="S43" i="6"/>
  <c r="S48" i="10" s="1"/>
  <c r="S63" i="10"/>
  <c r="S64" i="10" s="1"/>
  <c r="I64" i="10"/>
  <c r="L43" i="6"/>
  <c r="L48" i="10" s="1"/>
  <c r="L63" i="10"/>
  <c r="L64" i="10" s="1"/>
  <c r="O43" i="6"/>
  <c r="O48" i="10" s="1"/>
  <c r="O63" i="10"/>
  <c r="O64" i="10" s="1"/>
  <c r="F43" i="6"/>
  <c r="F48" i="10" s="1"/>
  <c r="F63" i="10"/>
  <c r="F64" i="10" s="1"/>
  <c r="Q46" i="9"/>
  <c r="Q43" i="9"/>
  <c r="Q58" i="9"/>
  <c r="Q60" i="9"/>
  <c r="Q57" i="9"/>
  <c r="Q40" i="9"/>
  <c r="Q42" i="9"/>
  <c r="Q61" i="9"/>
  <c r="Q44" i="9"/>
  <c r="Q39" i="9"/>
  <c r="Q55" i="9"/>
  <c r="Q56" i="9"/>
  <c r="Q41" i="9"/>
  <c r="M57" i="9"/>
  <c r="M60" i="9"/>
  <c r="M58" i="9"/>
  <c r="M55" i="9"/>
  <c r="M61" i="9"/>
  <c r="M56" i="9"/>
  <c r="F57" i="9"/>
  <c r="F60" i="9"/>
  <c r="F58" i="9"/>
  <c r="F61" i="9"/>
  <c r="F55" i="9"/>
  <c r="F56" i="9"/>
  <c r="E57" i="9"/>
  <c r="E60" i="9"/>
  <c r="E58" i="9"/>
  <c r="E55" i="9"/>
  <c r="E61" i="9"/>
  <c r="E56" i="9"/>
  <c r="N46" i="9"/>
  <c r="N42" i="9"/>
  <c r="N40" i="9"/>
  <c r="N57" i="9"/>
  <c r="N60" i="9"/>
  <c r="N43" i="9"/>
  <c r="N58" i="9"/>
  <c r="N39" i="9"/>
  <c r="N55" i="9"/>
  <c r="N44" i="9"/>
  <c r="N61" i="9"/>
  <c r="N41" i="9"/>
  <c r="N56" i="9"/>
  <c r="O46" i="9"/>
  <c r="O57" i="9"/>
  <c r="O58" i="9"/>
  <c r="O40" i="9"/>
  <c r="O43" i="9"/>
  <c r="O60" i="9"/>
  <c r="O42" i="9"/>
  <c r="O61" i="9"/>
  <c r="O44" i="9"/>
  <c r="O39" i="9"/>
  <c r="O55" i="9"/>
  <c r="O56" i="9"/>
  <c r="O41" i="9"/>
  <c r="L57" i="9"/>
  <c r="L60" i="9"/>
  <c r="L58" i="9"/>
  <c r="L61" i="9"/>
  <c r="L55" i="9"/>
  <c r="L56" i="9"/>
  <c r="Q45" i="9"/>
  <c r="I58" i="9"/>
  <c r="I60" i="9"/>
  <c r="I57" i="9"/>
  <c r="I61" i="9"/>
  <c r="I55" i="9"/>
  <c r="I56" i="9"/>
  <c r="U46" i="9"/>
  <c r="U58" i="9"/>
  <c r="U42" i="9"/>
  <c r="U57" i="9"/>
  <c r="U40" i="9"/>
  <c r="U60" i="9"/>
  <c r="U43" i="9"/>
  <c r="U61" i="9"/>
  <c r="U39" i="9"/>
  <c r="U55" i="9"/>
  <c r="U44" i="9"/>
  <c r="U41" i="9"/>
  <c r="U56" i="9"/>
  <c r="N45" i="9"/>
  <c r="G58" i="9"/>
  <c r="G60" i="9"/>
  <c r="G57" i="9"/>
  <c r="G55" i="9"/>
  <c r="G61" i="9"/>
  <c r="G56" i="9"/>
  <c r="J57" i="9"/>
  <c r="J60" i="9"/>
  <c r="J58" i="9"/>
  <c r="J61" i="9"/>
  <c r="J55" i="9"/>
  <c r="J56" i="9"/>
  <c r="S46" i="9"/>
  <c r="S57" i="9"/>
  <c r="S40" i="9"/>
  <c r="S42" i="9"/>
  <c r="S58" i="9"/>
  <c r="S43" i="9"/>
  <c r="S60" i="9"/>
  <c r="S55" i="9"/>
  <c r="S39" i="9"/>
  <c r="S44" i="9"/>
  <c r="S61" i="9"/>
  <c r="S41" i="9"/>
  <c r="S56" i="9"/>
  <c r="P46" i="9"/>
  <c r="P42" i="9"/>
  <c r="P57" i="9"/>
  <c r="P43" i="9"/>
  <c r="P58" i="9"/>
  <c r="P40" i="9"/>
  <c r="P60" i="9"/>
  <c r="P55" i="9"/>
  <c r="P61" i="9"/>
  <c r="P44" i="9"/>
  <c r="P39" i="9"/>
  <c r="P41" i="9"/>
  <c r="P56" i="9"/>
  <c r="K58" i="9"/>
  <c r="K60" i="9"/>
  <c r="K57" i="9"/>
  <c r="K61" i="9"/>
  <c r="K55" i="9"/>
  <c r="K56" i="9"/>
  <c r="H45" i="9"/>
  <c r="H57" i="9"/>
  <c r="H58" i="9"/>
  <c r="H60" i="9"/>
  <c r="H55" i="9"/>
  <c r="H61" i="9"/>
  <c r="H56" i="9"/>
  <c r="R46" i="9"/>
  <c r="R42" i="9"/>
  <c r="R57" i="9"/>
  <c r="R40" i="9"/>
  <c r="R60" i="9"/>
  <c r="R43" i="9"/>
  <c r="R58" i="9"/>
  <c r="R61" i="9"/>
  <c r="R39" i="9"/>
  <c r="R44" i="9"/>
  <c r="R55" i="9"/>
  <c r="R56" i="9"/>
  <c r="R41" i="9"/>
  <c r="T46" i="9"/>
  <c r="T43" i="9"/>
  <c r="T58" i="9"/>
  <c r="T42" i="9"/>
  <c r="T57" i="9"/>
  <c r="T40" i="9"/>
  <c r="T60" i="9"/>
  <c r="T39" i="9"/>
  <c r="T55" i="9"/>
  <c r="T44" i="9"/>
  <c r="T61" i="9"/>
  <c r="T56" i="9"/>
  <c r="T41" i="9"/>
  <c r="P45" i="9"/>
  <c r="AT42" i="10"/>
  <c r="AT47" i="10"/>
  <c r="AT2" i="11"/>
  <c r="AT12" i="11" s="1"/>
  <c r="AT14" i="11" s="1"/>
  <c r="BB41" i="10"/>
  <c r="BR16" i="6"/>
  <c r="BR17" i="6" s="1"/>
  <c r="BR18" i="6" s="1"/>
  <c r="N47" i="6"/>
  <c r="N5" i="11" s="1"/>
  <c r="BR28" i="6"/>
  <c r="BR29" i="6" s="1"/>
  <c r="BR32" i="11" s="1"/>
  <c r="BR44" i="11" s="1"/>
  <c r="BN11" i="11"/>
  <c r="N47" i="10"/>
  <c r="BB47" i="6"/>
  <c r="BB5" i="11" s="1"/>
  <c r="N2" i="11"/>
  <c r="N12" i="11" s="1"/>
  <c r="N14" i="11" s="1"/>
  <c r="BP11" i="11"/>
  <c r="AL11" i="11"/>
  <c r="N11" i="11"/>
  <c r="N17" i="12"/>
  <c r="N18" i="12" s="1"/>
  <c r="BB47" i="10"/>
  <c r="BL42" i="10"/>
  <c r="AL42" i="10"/>
  <c r="BO11" i="11"/>
  <c r="BR47" i="6"/>
  <c r="BB11" i="11"/>
  <c r="AD36" i="6"/>
  <c r="AD37" i="6" s="1"/>
  <c r="BJ47" i="6"/>
  <c r="BJ5" i="11" s="1"/>
  <c r="AD6" i="8"/>
  <c r="AD7" i="8" s="1"/>
  <c r="BY11" i="11"/>
  <c r="BB16" i="6"/>
  <c r="BB17" i="6" s="1"/>
  <c r="BB18" i="6" s="1"/>
  <c r="BJ42" i="10"/>
  <c r="BL11" i="11"/>
  <c r="AL16" i="6"/>
  <c r="AL17" i="6" s="1"/>
  <c r="AL18" i="6" s="1"/>
  <c r="AT17" i="12"/>
  <c r="AT18" i="12" s="1"/>
  <c r="BR47" i="10"/>
  <c r="BR11" i="11"/>
  <c r="BX11" i="11"/>
  <c r="AL28" i="6"/>
  <c r="AL29" i="6" s="1"/>
  <c r="AL32" i="11" s="1"/>
  <c r="AL44" i="11" s="1"/>
  <c r="BR2" i="11"/>
  <c r="BR13" i="11" s="1"/>
  <c r="BJ47" i="10"/>
  <c r="BR6" i="8"/>
  <c r="BR7" i="8" s="1"/>
  <c r="BB28" i="6"/>
  <c r="BB29" i="6" s="1"/>
  <c r="BB32" i="11" s="1"/>
  <c r="BB44" i="11" s="1"/>
  <c r="BB6" i="8"/>
  <c r="BB7" i="8" s="1"/>
  <c r="BU42" i="10"/>
  <c r="BT11" i="11"/>
  <c r="BW11" i="11"/>
  <c r="AN42" i="10"/>
  <c r="BR41" i="10"/>
  <c r="BR42" i="10"/>
  <c r="BM11" i="11"/>
  <c r="BS11" i="11"/>
  <c r="BD42" i="10"/>
  <c r="AL6" i="8"/>
  <c r="AL7" i="8" s="1"/>
  <c r="BC42" i="10"/>
  <c r="AW11" i="11"/>
  <c r="BE11" i="11"/>
  <c r="BO42" i="10"/>
  <c r="CG42" i="10"/>
  <c r="AI11" i="11"/>
  <c r="AU11" i="11"/>
  <c r="BG42" i="10"/>
  <c r="AL2" i="11"/>
  <c r="AL4" i="11" s="1"/>
  <c r="AY11" i="11"/>
  <c r="AD47" i="6"/>
  <c r="AD5" i="11" s="1"/>
  <c r="AL17" i="12"/>
  <c r="AL18" i="12" s="1"/>
  <c r="AP42" i="10"/>
  <c r="AD47" i="10"/>
  <c r="AD11" i="11"/>
  <c r="BF11" i="11"/>
  <c r="AX42" i="10"/>
  <c r="AD2" i="11"/>
  <c r="AD12" i="11" s="1"/>
  <c r="AD14" i="11" s="1"/>
  <c r="AD17" i="12"/>
  <c r="AD18" i="12" s="1"/>
  <c r="AL47" i="6"/>
  <c r="AL5" i="11" s="1"/>
  <c r="AL47" i="10"/>
  <c r="AM11" i="11"/>
  <c r="AD16" i="6"/>
  <c r="AD17" i="6" s="1"/>
  <c r="AD18" i="6" s="1"/>
  <c r="BC11" i="11"/>
  <c r="F47" i="6"/>
  <c r="F5" i="11" s="1"/>
  <c r="Z42" i="10"/>
  <c r="V42" i="10"/>
  <c r="AV11" i="11"/>
  <c r="AH11" i="11"/>
  <c r="F47" i="10"/>
  <c r="AX11" i="11"/>
  <c r="BA42" i="10"/>
  <c r="BD11" i="11"/>
  <c r="V11" i="11"/>
  <c r="AY42" i="10"/>
  <c r="BH42" i="10"/>
  <c r="AR42" i="10"/>
  <c r="V36" i="6"/>
  <c r="V37" i="6" s="1"/>
  <c r="V6" i="8"/>
  <c r="V7" i="8" s="1"/>
  <c r="BH11" i="11"/>
  <c r="BA11" i="11"/>
  <c r="L11" i="11"/>
  <c r="F2" i="11"/>
  <c r="F13" i="11" s="1"/>
  <c r="F17" i="12"/>
  <c r="F18" i="12" s="1"/>
  <c r="V47" i="10"/>
  <c r="V17" i="12"/>
  <c r="V18" i="12" s="1"/>
  <c r="BI11" i="11"/>
  <c r="CD11" i="11"/>
  <c r="BF42" i="10"/>
  <c r="V47" i="6"/>
  <c r="V50" i="10" s="1"/>
  <c r="CF42" i="10"/>
  <c r="AN11" i="11"/>
  <c r="BY42" i="10"/>
  <c r="V2" i="11"/>
  <c r="V13" i="11" s="1"/>
  <c r="BP42" i="10"/>
  <c r="BV11" i="11"/>
  <c r="BG11" i="11"/>
  <c r="X42" i="10"/>
  <c r="BX42" i="10"/>
  <c r="BQ11" i="11"/>
  <c r="CC11" i="11"/>
  <c r="CI42" i="10"/>
  <c r="AD42" i="10"/>
  <c r="BK11" i="11"/>
  <c r="AV42" i="10"/>
  <c r="CB42" i="10"/>
  <c r="AA11" i="11"/>
  <c r="F42" i="10"/>
  <c r="F11" i="11"/>
  <c r="F28" i="6"/>
  <c r="F29" i="6" s="1"/>
  <c r="F32" i="11" s="1"/>
  <c r="F44" i="11" s="1"/>
  <c r="G11" i="11"/>
  <c r="O11" i="11"/>
  <c r="F16" i="6"/>
  <c r="F17" i="6" s="1"/>
  <c r="F18" i="6" s="1"/>
  <c r="F36" i="6"/>
  <c r="F37" i="6" s="1"/>
  <c r="S42" i="10"/>
  <c r="J11" i="11"/>
  <c r="I46" i="9"/>
  <c r="I40" i="9"/>
  <c r="I42" i="9"/>
  <c r="I43" i="9"/>
  <c r="I39" i="9"/>
  <c r="I44" i="9"/>
  <c r="I41" i="9"/>
  <c r="G46" i="9"/>
  <c r="G42" i="9"/>
  <c r="G43" i="9"/>
  <c r="G40" i="9"/>
  <c r="G44" i="9"/>
  <c r="G39" i="9"/>
  <c r="G41" i="9"/>
  <c r="J46" i="9"/>
  <c r="J42" i="9"/>
  <c r="J43" i="9"/>
  <c r="J40" i="9"/>
  <c r="J39" i="9"/>
  <c r="J44" i="9"/>
  <c r="J41" i="9"/>
  <c r="I45" i="9"/>
  <c r="K46" i="9"/>
  <c r="K42" i="9"/>
  <c r="K43" i="9"/>
  <c r="K40" i="9"/>
  <c r="K39" i="9"/>
  <c r="K44" i="9"/>
  <c r="K41" i="9"/>
  <c r="H46" i="9"/>
  <c r="H42" i="9"/>
  <c r="H43" i="9"/>
  <c r="H40" i="9"/>
  <c r="H44" i="9"/>
  <c r="H39" i="9"/>
  <c r="H41" i="9"/>
  <c r="K45" i="9"/>
  <c r="J45" i="9"/>
  <c r="M46" i="9"/>
  <c r="M43" i="9"/>
  <c r="M40" i="9"/>
  <c r="M42" i="9"/>
  <c r="M44" i="9"/>
  <c r="M39" i="9"/>
  <c r="M41" i="9"/>
  <c r="M45" i="9"/>
  <c r="F46" i="9"/>
  <c r="F40" i="9"/>
  <c r="F42" i="9"/>
  <c r="F43" i="9"/>
  <c r="F44" i="9"/>
  <c r="F39" i="9"/>
  <c r="F41" i="9"/>
  <c r="G45" i="9"/>
  <c r="E46" i="9"/>
  <c r="E40" i="9"/>
  <c r="E42" i="9"/>
  <c r="E43" i="9"/>
  <c r="E44" i="9"/>
  <c r="E39" i="9"/>
  <c r="E41" i="9"/>
  <c r="E45" i="9"/>
  <c r="L46" i="9"/>
  <c r="L42" i="9"/>
  <c r="L40" i="9"/>
  <c r="L43" i="9"/>
  <c r="L39" i="9"/>
  <c r="L44" i="9"/>
  <c r="L41" i="9"/>
  <c r="L45" i="9"/>
  <c r="F45" i="9"/>
  <c r="J39" i="13"/>
  <c r="H11" i="11"/>
  <c r="M11" i="11"/>
  <c r="AJ11" i="11"/>
  <c r="AO11" i="11"/>
  <c r="AQ11" i="11"/>
  <c r="Q11" i="11"/>
  <c r="E64" i="13"/>
  <c r="M43" i="6"/>
  <c r="M48" i="10" s="1"/>
  <c r="E65" i="13"/>
  <c r="I43" i="6"/>
  <c r="I48" i="10" s="1"/>
  <c r="E66" i="13"/>
  <c r="E43" i="6"/>
  <c r="E48" i="10" s="1"/>
  <c r="I20" i="9"/>
  <c r="M20" i="9"/>
  <c r="K11" i="11"/>
  <c r="X11" i="11"/>
  <c r="Y11" i="11"/>
  <c r="T11" i="11"/>
  <c r="M42" i="10"/>
  <c r="AE11" i="11"/>
  <c r="R11" i="11"/>
  <c r="L42" i="10"/>
  <c r="AH42" i="10"/>
  <c r="AJ42" i="10"/>
  <c r="E11" i="11"/>
  <c r="U11" i="11"/>
  <c r="AC42" i="10"/>
  <c r="Y42" i="10"/>
  <c r="I11" i="11"/>
  <c r="AS11" i="11"/>
  <c r="E42" i="10"/>
  <c r="AE42" i="10"/>
  <c r="S11" i="11"/>
  <c r="P42" i="10"/>
  <c r="U42" i="10"/>
  <c r="P11" i="11"/>
  <c r="AK11" i="11"/>
  <c r="AG11" i="11"/>
  <c r="AR11" i="11"/>
  <c r="AF11" i="11"/>
  <c r="AS42" i="10"/>
  <c r="I42" i="10"/>
  <c r="AP11" i="11"/>
  <c r="Z11" i="11"/>
  <c r="AC11" i="11"/>
  <c r="AG42" i="10"/>
  <c r="AB11" i="11"/>
  <c r="G42" i="10"/>
  <c r="Q42" i="10"/>
  <c r="H42" i="10"/>
  <c r="K42" i="10"/>
  <c r="AI42" i="10"/>
  <c r="AF6" i="8"/>
  <c r="AF7" i="8" s="1"/>
  <c r="AF28" i="6"/>
  <c r="AF29" i="6" s="1"/>
  <c r="AF32" i="11" s="1"/>
  <c r="AF44" i="11" s="1"/>
  <c r="AF36" i="6"/>
  <c r="AF37" i="6" s="1"/>
  <c r="AF16" i="6"/>
  <c r="AF17" i="6" s="1"/>
  <c r="AF18" i="6" s="1"/>
  <c r="AA6" i="8"/>
  <c r="AA7" i="8" s="1"/>
  <c r="AA36" i="6"/>
  <c r="AA37" i="6" s="1"/>
  <c r="AA28" i="6"/>
  <c r="AA29" i="6" s="1"/>
  <c r="AA32" i="11" s="1"/>
  <c r="AA44" i="11" s="1"/>
  <c r="AA16" i="6"/>
  <c r="AA17" i="6" s="1"/>
  <c r="AA18" i="6" s="1"/>
  <c r="BS6" i="8"/>
  <c r="BS7" i="8" s="1"/>
  <c r="BS28" i="6"/>
  <c r="BS29" i="6" s="1"/>
  <c r="BS32" i="11" s="1"/>
  <c r="BS44" i="11" s="1"/>
  <c r="BS36" i="6"/>
  <c r="BS37" i="6" s="1"/>
  <c r="BS16" i="6"/>
  <c r="BS17" i="6" s="1"/>
  <c r="BS18" i="6" s="1"/>
  <c r="AK17" i="12"/>
  <c r="AK18" i="12" s="1"/>
  <c r="AK2" i="11"/>
  <c r="AK47" i="10"/>
  <c r="AK48" i="10"/>
  <c r="AK47" i="6"/>
  <c r="CE36" i="6"/>
  <c r="CE37" i="6" s="1"/>
  <c r="CE28" i="6"/>
  <c r="CE29" i="6" s="1"/>
  <c r="CE32" i="11" s="1"/>
  <c r="CE44" i="11" s="1"/>
  <c r="CE16" i="6"/>
  <c r="CE17" i="6" s="1"/>
  <c r="CE18" i="6" s="1"/>
  <c r="BM6" i="8"/>
  <c r="BM7" i="8" s="1"/>
  <c r="BM36" i="6"/>
  <c r="BM37" i="6" s="1"/>
  <c r="BM28" i="6"/>
  <c r="BM29" i="6" s="1"/>
  <c r="BM32" i="11" s="1"/>
  <c r="BM44" i="11" s="1"/>
  <c r="BM16" i="6"/>
  <c r="BM17" i="6" s="1"/>
  <c r="BM18" i="6" s="1"/>
  <c r="AO17" i="12"/>
  <c r="AO18" i="12" s="1"/>
  <c r="AO2" i="11"/>
  <c r="AO47" i="10"/>
  <c r="AO47" i="6"/>
  <c r="AO48" i="10"/>
  <c r="CG17" i="12"/>
  <c r="CG18" i="12" s="1"/>
  <c r="CG2" i="11"/>
  <c r="CG47" i="10"/>
  <c r="CG49" i="10" s="1"/>
  <c r="CG48" i="10"/>
  <c r="CG47" i="6"/>
  <c r="CA17" i="12"/>
  <c r="CA18" i="12" s="1"/>
  <c r="CA2" i="11"/>
  <c r="CA47" i="10"/>
  <c r="CA48" i="10"/>
  <c r="CA47" i="6"/>
  <c r="K36" i="6"/>
  <c r="K37" i="6" s="1"/>
  <c r="K6" i="8"/>
  <c r="K7" i="8" s="1"/>
  <c r="K28" i="6"/>
  <c r="K29" i="6" s="1"/>
  <c r="K32" i="11" s="1"/>
  <c r="K44" i="11" s="1"/>
  <c r="K16" i="6"/>
  <c r="K17" i="6" s="1"/>
  <c r="K18" i="6" s="1"/>
  <c r="S17" i="12"/>
  <c r="S18" i="12" s="1"/>
  <c r="S2" i="11"/>
  <c r="S47" i="10"/>
  <c r="S47" i="6"/>
  <c r="AY36" i="6"/>
  <c r="AY37" i="6" s="1"/>
  <c r="AY28" i="6"/>
  <c r="AY29" i="6" s="1"/>
  <c r="AY32" i="11" s="1"/>
  <c r="AY44" i="11" s="1"/>
  <c r="AY6" i="8"/>
  <c r="AY7" i="8" s="1"/>
  <c r="AY16" i="6"/>
  <c r="AY17" i="6" s="1"/>
  <c r="AY18" i="6" s="1"/>
  <c r="CF36" i="6"/>
  <c r="CF37" i="6" s="1"/>
  <c r="CF28" i="6"/>
  <c r="CF29" i="6" s="1"/>
  <c r="CF32" i="11" s="1"/>
  <c r="CF44" i="11" s="1"/>
  <c r="CF16" i="6"/>
  <c r="CF17" i="6" s="1"/>
  <c r="CF18" i="6" s="1"/>
  <c r="AG17" i="12"/>
  <c r="AG18" i="12" s="1"/>
  <c r="AG2" i="11"/>
  <c r="AG47" i="10"/>
  <c r="AG47" i="6"/>
  <c r="AG48" i="10"/>
  <c r="BG17" i="12"/>
  <c r="BG18" i="12" s="1"/>
  <c r="BG2" i="11"/>
  <c r="BG47" i="10"/>
  <c r="BG48" i="10"/>
  <c r="BG47" i="6"/>
  <c r="BQ6" i="8"/>
  <c r="BQ7" i="8" s="1"/>
  <c r="BQ36" i="6"/>
  <c r="BQ37" i="6" s="1"/>
  <c r="BQ28" i="6"/>
  <c r="BQ29" i="6" s="1"/>
  <c r="BQ32" i="11" s="1"/>
  <c r="BQ44" i="11" s="1"/>
  <c r="BQ16" i="6"/>
  <c r="BQ17" i="6" s="1"/>
  <c r="BQ18" i="6" s="1"/>
  <c r="BU17" i="12"/>
  <c r="BU18" i="12" s="1"/>
  <c r="BU2" i="11"/>
  <c r="BU47" i="10"/>
  <c r="BU47" i="6"/>
  <c r="BU48" i="10"/>
  <c r="AP17" i="12"/>
  <c r="AP18" i="12" s="1"/>
  <c r="AP2" i="11"/>
  <c r="AP47" i="10"/>
  <c r="AP47" i="6"/>
  <c r="AP48" i="10"/>
  <c r="CD36" i="6"/>
  <c r="CD37" i="6" s="1"/>
  <c r="CD28" i="6"/>
  <c r="CD29" i="6" s="1"/>
  <c r="CD32" i="11" s="1"/>
  <c r="CD44" i="11" s="1"/>
  <c r="CD16" i="6"/>
  <c r="CD17" i="6" s="1"/>
  <c r="CD18" i="6" s="1"/>
  <c r="BE17" i="12"/>
  <c r="BE18" i="12" s="1"/>
  <c r="BE2" i="11"/>
  <c r="BE47" i="10"/>
  <c r="BE47" i="6"/>
  <c r="BE48" i="10"/>
  <c r="AN17" i="12"/>
  <c r="AN18" i="12" s="1"/>
  <c r="AN2" i="11"/>
  <c r="AN47" i="10"/>
  <c r="AN48" i="10"/>
  <c r="AN47" i="6"/>
  <c r="BC17" i="12"/>
  <c r="BC18" i="12" s="1"/>
  <c r="BC2" i="11"/>
  <c r="BC47" i="10"/>
  <c r="BC48" i="10"/>
  <c r="BC47" i="6"/>
  <c r="T42" i="10"/>
  <c r="J42" i="10"/>
  <c r="H17" i="12"/>
  <c r="H18" i="12" s="1"/>
  <c r="H2" i="11"/>
  <c r="H47" i="10"/>
  <c r="H47" i="6"/>
  <c r="BL17" i="12"/>
  <c r="BL18" i="12" s="1"/>
  <c r="BL47" i="10"/>
  <c r="BL2" i="11"/>
  <c r="BL48" i="10"/>
  <c r="BL47" i="6"/>
  <c r="AJ17" i="12"/>
  <c r="AJ18" i="12" s="1"/>
  <c r="AJ2" i="11"/>
  <c r="AJ47" i="10"/>
  <c r="AJ48" i="10"/>
  <c r="AJ47" i="6"/>
  <c r="AW17" i="12"/>
  <c r="AW18" i="12" s="1"/>
  <c r="AW2" i="11"/>
  <c r="AW47" i="10"/>
  <c r="AW47" i="6"/>
  <c r="AW48" i="10"/>
  <c r="AU42" i="10"/>
  <c r="C43" i="6"/>
  <c r="C47" i="6"/>
  <c r="AK6" i="8"/>
  <c r="AK7" i="8" s="1"/>
  <c r="AK36" i="6"/>
  <c r="AK37" i="6" s="1"/>
  <c r="AK28" i="6"/>
  <c r="AK29" i="6" s="1"/>
  <c r="AK32" i="11" s="1"/>
  <c r="AK44" i="11" s="1"/>
  <c r="AK16" i="6"/>
  <c r="AK17" i="6" s="1"/>
  <c r="AK18" i="6" s="1"/>
  <c r="AV17" i="12"/>
  <c r="AV18" i="12" s="1"/>
  <c r="AV2" i="11"/>
  <c r="AV47" i="10"/>
  <c r="AV48" i="10"/>
  <c r="AV47" i="6"/>
  <c r="BA17" i="12"/>
  <c r="BA18" i="12" s="1"/>
  <c r="BA2" i="11"/>
  <c r="BA47" i="10"/>
  <c r="BA48" i="10"/>
  <c r="BA47" i="6"/>
  <c r="AO6" i="8"/>
  <c r="AO7" i="8" s="1"/>
  <c r="AO36" i="6"/>
  <c r="AO37" i="6" s="1"/>
  <c r="AO28" i="6"/>
  <c r="AO29" i="6" s="1"/>
  <c r="AO32" i="11" s="1"/>
  <c r="AO44" i="11" s="1"/>
  <c r="AO16" i="6"/>
  <c r="AO17" i="6" s="1"/>
  <c r="AO18" i="6" s="1"/>
  <c r="BT6" i="8"/>
  <c r="BT7" i="8" s="1"/>
  <c r="BT28" i="6"/>
  <c r="BT29" i="6" s="1"/>
  <c r="BT32" i="11" s="1"/>
  <c r="BT44" i="11" s="1"/>
  <c r="BT36" i="6"/>
  <c r="BT37" i="6" s="1"/>
  <c r="BT16" i="6"/>
  <c r="BT17" i="6" s="1"/>
  <c r="BT18" i="6" s="1"/>
  <c r="Z17" i="12"/>
  <c r="Z18" i="12" s="1"/>
  <c r="Z2" i="11"/>
  <c r="Z47" i="10"/>
  <c r="Z47" i="6"/>
  <c r="AC17" i="12"/>
  <c r="AC18" i="12" s="1"/>
  <c r="AC2" i="11"/>
  <c r="AC47" i="10"/>
  <c r="AC47" i="6"/>
  <c r="AG6" i="8"/>
  <c r="AG7" i="8" s="1"/>
  <c r="AG36" i="6"/>
  <c r="AG37" i="6" s="1"/>
  <c r="AG28" i="6"/>
  <c r="AG29" i="6" s="1"/>
  <c r="AG32" i="11" s="1"/>
  <c r="AG44" i="11" s="1"/>
  <c r="AG16" i="6"/>
  <c r="AG17" i="6" s="1"/>
  <c r="AG18" i="6" s="1"/>
  <c r="BU6" i="8"/>
  <c r="BU7" i="8" s="1"/>
  <c r="BU36" i="6"/>
  <c r="BU37" i="6" s="1"/>
  <c r="BU28" i="6"/>
  <c r="BU29" i="6" s="1"/>
  <c r="BU32" i="11" s="1"/>
  <c r="BU44" i="11" s="1"/>
  <c r="BU16" i="6"/>
  <c r="BU17" i="6" s="1"/>
  <c r="BU18" i="6" s="1"/>
  <c r="CI28" i="6"/>
  <c r="CI29" i="6" s="1"/>
  <c r="CI32" i="11" s="1"/>
  <c r="CI44" i="11" s="1"/>
  <c r="CI36" i="6"/>
  <c r="CI37" i="6" s="1"/>
  <c r="CI16" i="6"/>
  <c r="CI17" i="6" s="1"/>
  <c r="CI18" i="6" s="1"/>
  <c r="AP6" i="8"/>
  <c r="AP7" i="8" s="1"/>
  <c r="AP36" i="6"/>
  <c r="AP37" i="6" s="1"/>
  <c r="AP28" i="6"/>
  <c r="AP29" i="6" s="1"/>
  <c r="AP32" i="11" s="1"/>
  <c r="AP44" i="11" s="1"/>
  <c r="AP16" i="6"/>
  <c r="AP17" i="6" s="1"/>
  <c r="AP18" i="6" s="1"/>
  <c r="AZ6" i="8"/>
  <c r="AZ7" i="8" s="1"/>
  <c r="AZ36" i="6"/>
  <c r="AZ37" i="6" s="1"/>
  <c r="AZ28" i="6"/>
  <c r="AZ29" i="6" s="1"/>
  <c r="AZ32" i="11" s="1"/>
  <c r="AZ44" i="11" s="1"/>
  <c r="AZ16" i="6"/>
  <c r="AZ17" i="6" s="1"/>
  <c r="AZ18" i="6" s="1"/>
  <c r="AR6" i="8"/>
  <c r="AR7" i="8" s="1"/>
  <c r="AR36" i="6"/>
  <c r="AR37" i="6" s="1"/>
  <c r="AR28" i="6"/>
  <c r="AR29" i="6" s="1"/>
  <c r="AR32" i="11" s="1"/>
  <c r="AR44" i="11" s="1"/>
  <c r="AR16" i="6"/>
  <c r="AR17" i="6" s="1"/>
  <c r="AR18" i="6" s="1"/>
  <c r="CD17" i="12"/>
  <c r="CD18" i="12" s="1"/>
  <c r="CD2" i="11"/>
  <c r="CD47" i="10"/>
  <c r="CD47" i="6"/>
  <c r="CD48" i="10"/>
  <c r="AN6" i="8"/>
  <c r="AN7" i="8" s="1"/>
  <c r="AN28" i="6"/>
  <c r="AN29" i="6" s="1"/>
  <c r="AN32" i="11" s="1"/>
  <c r="AN44" i="11" s="1"/>
  <c r="AN36" i="6"/>
  <c r="AN37" i="6" s="1"/>
  <c r="AN16" i="6"/>
  <c r="AN17" i="6" s="1"/>
  <c r="AN18" i="6" s="1"/>
  <c r="M17" i="12"/>
  <c r="M18" i="12" s="1"/>
  <c r="M2" i="11"/>
  <c r="M47" i="10"/>
  <c r="M47" i="6"/>
  <c r="H6" i="8"/>
  <c r="H7" i="8" s="1"/>
  <c r="H28" i="6"/>
  <c r="H29" i="6" s="1"/>
  <c r="H32" i="11" s="1"/>
  <c r="H44" i="11" s="1"/>
  <c r="H36" i="6"/>
  <c r="H37" i="6" s="1"/>
  <c r="H16" i="6"/>
  <c r="H17" i="6" s="1"/>
  <c r="H18" i="6" s="1"/>
  <c r="BO36" i="6"/>
  <c r="BO37" i="6" s="1"/>
  <c r="BO6" i="8"/>
  <c r="BO7" i="8" s="1"/>
  <c r="BO28" i="6"/>
  <c r="BO29" i="6" s="1"/>
  <c r="BO32" i="11" s="1"/>
  <c r="BO44" i="11" s="1"/>
  <c r="BO16" i="6"/>
  <c r="BO17" i="6" s="1"/>
  <c r="BO18" i="6" s="1"/>
  <c r="AJ6" i="8"/>
  <c r="AJ7" i="8" s="1"/>
  <c r="AJ36" i="6"/>
  <c r="AJ37" i="6" s="1"/>
  <c r="AJ28" i="6"/>
  <c r="AJ29" i="6" s="1"/>
  <c r="AJ32" i="11" s="1"/>
  <c r="AJ44" i="11" s="1"/>
  <c r="AJ16" i="6"/>
  <c r="AJ17" i="6" s="1"/>
  <c r="AJ18" i="6" s="1"/>
  <c r="AM42" i="10"/>
  <c r="BX17" i="12"/>
  <c r="BX18" i="12" s="1"/>
  <c r="BX2" i="11"/>
  <c r="BX47" i="10"/>
  <c r="BX48" i="10"/>
  <c r="BX47" i="6"/>
  <c r="W11" i="11"/>
  <c r="CC17" i="12"/>
  <c r="CC18" i="12" s="1"/>
  <c r="CC2" i="11"/>
  <c r="CC47" i="10"/>
  <c r="CC47" i="6"/>
  <c r="CC48" i="10"/>
  <c r="AW6" i="8"/>
  <c r="AW7" i="8" s="1"/>
  <c r="AW36" i="6"/>
  <c r="AW37" i="6" s="1"/>
  <c r="AW28" i="6"/>
  <c r="AW29" i="6" s="1"/>
  <c r="AW32" i="11" s="1"/>
  <c r="AW44" i="11" s="1"/>
  <c r="AW16" i="6"/>
  <c r="AW17" i="6" s="1"/>
  <c r="AW18" i="6" s="1"/>
  <c r="BW36" i="6"/>
  <c r="BW37" i="6" s="1"/>
  <c r="BW28" i="6"/>
  <c r="BW29" i="6" s="1"/>
  <c r="BW32" i="11" s="1"/>
  <c r="BW44" i="11" s="1"/>
  <c r="BW16" i="6"/>
  <c r="BW17" i="6" s="1"/>
  <c r="BW18" i="6" s="1"/>
  <c r="AB17" i="12"/>
  <c r="AB18" i="12" s="1"/>
  <c r="AB2" i="11"/>
  <c r="AB47" i="10"/>
  <c r="AB48" i="10"/>
  <c r="AB47" i="6"/>
  <c r="AA17" i="12"/>
  <c r="AA18" i="12" s="1"/>
  <c r="AA2" i="11"/>
  <c r="AA47" i="10"/>
  <c r="AA47" i="6"/>
  <c r="R17" i="12"/>
  <c r="R18" i="12" s="1"/>
  <c r="R2" i="11"/>
  <c r="R47" i="10"/>
  <c r="R47" i="6"/>
  <c r="BS17" i="12"/>
  <c r="BS18" i="12" s="1"/>
  <c r="BS2" i="11"/>
  <c r="BS47" i="10"/>
  <c r="BS48" i="10"/>
  <c r="BS47" i="6"/>
  <c r="D43" i="6"/>
  <c r="D47" i="6"/>
  <c r="BI6" i="8"/>
  <c r="BI7" i="8" s="1"/>
  <c r="BI36" i="6"/>
  <c r="BI37" i="6" s="1"/>
  <c r="BI28" i="6"/>
  <c r="BI29" i="6" s="1"/>
  <c r="BI32" i="11" s="1"/>
  <c r="BI44" i="11" s="1"/>
  <c r="BI16" i="6"/>
  <c r="BI17" i="6" s="1"/>
  <c r="BI18" i="6" s="1"/>
  <c r="CE17" i="12"/>
  <c r="CE18" i="12" s="1"/>
  <c r="CE2" i="11"/>
  <c r="CE47" i="10"/>
  <c r="CE47" i="6"/>
  <c r="CE48" i="10"/>
  <c r="BK6" i="8"/>
  <c r="BK7" i="8" s="1"/>
  <c r="BK28" i="6"/>
  <c r="BK29" i="6" s="1"/>
  <c r="BK32" i="11" s="1"/>
  <c r="BK44" i="11" s="1"/>
  <c r="BK36" i="6"/>
  <c r="BK37" i="6" s="1"/>
  <c r="BK16" i="6"/>
  <c r="BK17" i="6" s="1"/>
  <c r="BK18" i="6" s="1"/>
  <c r="AV6" i="8"/>
  <c r="AV7" i="8" s="1"/>
  <c r="AV28" i="6"/>
  <c r="AV29" i="6" s="1"/>
  <c r="AV32" i="11" s="1"/>
  <c r="AV44" i="11" s="1"/>
  <c r="AV36" i="6"/>
  <c r="AV37" i="6" s="1"/>
  <c r="AV16" i="6"/>
  <c r="AV17" i="6" s="1"/>
  <c r="AV18" i="6" s="1"/>
  <c r="K17" i="12"/>
  <c r="K18" i="12" s="1"/>
  <c r="K2" i="11"/>
  <c r="K47" i="10"/>
  <c r="K47" i="6"/>
  <c r="Z6" i="8"/>
  <c r="Z7" i="8" s="1"/>
  <c r="Z36" i="6"/>
  <c r="Z37" i="6" s="1"/>
  <c r="Z28" i="6"/>
  <c r="Z29" i="6" s="1"/>
  <c r="Z32" i="11" s="1"/>
  <c r="Z44" i="11" s="1"/>
  <c r="Z16" i="6"/>
  <c r="Z17" i="6" s="1"/>
  <c r="Z18" i="6" s="1"/>
  <c r="AY17" i="12"/>
  <c r="AY18" i="12" s="1"/>
  <c r="AY2" i="11"/>
  <c r="AY47" i="10"/>
  <c r="AY47" i="6"/>
  <c r="AY48" i="10"/>
  <c r="AC6" i="8"/>
  <c r="AC7" i="8" s="1"/>
  <c r="AC36" i="6"/>
  <c r="AC37" i="6" s="1"/>
  <c r="AC28" i="6"/>
  <c r="AC29" i="6" s="1"/>
  <c r="AC32" i="11" s="1"/>
  <c r="AC44" i="11" s="1"/>
  <c r="AC16" i="6"/>
  <c r="AC17" i="6" s="1"/>
  <c r="AC18" i="6" s="1"/>
  <c r="BZ5" i="11"/>
  <c r="BZ50" i="10"/>
  <c r="CF17" i="12"/>
  <c r="CF18" i="12" s="1"/>
  <c r="CF2" i="11"/>
  <c r="CF47" i="10"/>
  <c r="CF48" i="10"/>
  <c r="CF47" i="6"/>
  <c r="BQ17" i="12"/>
  <c r="BQ18" i="12" s="1"/>
  <c r="BQ2" i="11"/>
  <c r="BQ47" i="10"/>
  <c r="BQ48" i="10"/>
  <c r="BQ47" i="6"/>
  <c r="E17" i="12"/>
  <c r="E18" i="12" s="1"/>
  <c r="E2" i="11"/>
  <c r="E47" i="10"/>
  <c r="E47" i="6"/>
  <c r="AW42" i="10"/>
  <c r="BP6" i="8"/>
  <c r="BP7" i="8" s="1"/>
  <c r="BP36" i="6"/>
  <c r="BP37" i="6" s="1"/>
  <c r="BP28" i="6"/>
  <c r="BP29" i="6" s="1"/>
  <c r="BP32" i="11" s="1"/>
  <c r="BP44" i="11" s="1"/>
  <c r="BP16" i="6"/>
  <c r="BP17" i="6" s="1"/>
  <c r="BP18" i="6" s="1"/>
  <c r="AH17" i="12"/>
  <c r="AH18" i="12" s="1"/>
  <c r="AH2" i="11"/>
  <c r="AH47" i="10"/>
  <c r="AH47" i="6"/>
  <c r="AH48" i="10"/>
  <c r="CH13" i="11"/>
  <c r="CH12" i="11"/>
  <c r="CH14" i="11" s="1"/>
  <c r="M6" i="8"/>
  <c r="M7" i="8" s="1"/>
  <c r="M36" i="6"/>
  <c r="M37" i="6" s="1"/>
  <c r="M28" i="6"/>
  <c r="M29" i="6" s="1"/>
  <c r="M32" i="11" s="1"/>
  <c r="M44" i="11" s="1"/>
  <c r="M16" i="6"/>
  <c r="M17" i="6" s="1"/>
  <c r="M18" i="6" s="1"/>
  <c r="Q17" i="12"/>
  <c r="Q18" i="12" s="1"/>
  <c r="Q2" i="11"/>
  <c r="Q47" i="10"/>
  <c r="Q47" i="6"/>
  <c r="AK42" i="10"/>
  <c r="BO17" i="12"/>
  <c r="BO18" i="12" s="1"/>
  <c r="BO2" i="11"/>
  <c r="BO47" i="10"/>
  <c r="BO48" i="10"/>
  <c r="BO47" i="6"/>
  <c r="CH33" i="6"/>
  <c r="CH34" i="6" s="1"/>
  <c r="CC36" i="6"/>
  <c r="CC37" i="6" s="1"/>
  <c r="CC28" i="6"/>
  <c r="CC29" i="6" s="1"/>
  <c r="CC32" i="11" s="1"/>
  <c r="CC44" i="11" s="1"/>
  <c r="CC16" i="6"/>
  <c r="CC17" i="6" s="1"/>
  <c r="CC18" i="6" s="1"/>
  <c r="AB6" i="8"/>
  <c r="AB7" i="8" s="1"/>
  <c r="AB36" i="6"/>
  <c r="AB37" i="6" s="1"/>
  <c r="AB28" i="6"/>
  <c r="AB29" i="6" s="1"/>
  <c r="AB32" i="11" s="1"/>
  <c r="AB44" i="11" s="1"/>
  <c r="AB16" i="6"/>
  <c r="AB17" i="6" s="1"/>
  <c r="AB18" i="6" s="1"/>
  <c r="R6" i="8"/>
  <c r="R7" i="8" s="1"/>
  <c r="R36" i="6"/>
  <c r="R37" i="6" s="1"/>
  <c r="R28" i="6"/>
  <c r="R29" i="6" s="1"/>
  <c r="R32" i="11" s="1"/>
  <c r="R44" i="11" s="1"/>
  <c r="R16" i="6"/>
  <c r="R17" i="6" s="1"/>
  <c r="R18" i="6" s="1"/>
  <c r="D36" i="6"/>
  <c r="D37" i="6" s="1"/>
  <c r="D28" i="6"/>
  <c r="D29" i="6" s="1"/>
  <c r="D16" i="6"/>
  <c r="D17" i="6" s="1"/>
  <c r="P17" i="12"/>
  <c r="P18" i="12" s="1"/>
  <c r="P2" i="11"/>
  <c r="P47" i="10"/>
  <c r="P47" i="6"/>
  <c r="BT17" i="12"/>
  <c r="BT18" i="12" s="1"/>
  <c r="BT2" i="11"/>
  <c r="BT47" i="10"/>
  <c r="BT48" i="10"/>
  <c r="BT47" i="6"/>
  <c r="G17" i="12"/>
  <c r="G18" i="12" s="1"/>
  <c r="G2" i="11"/>
  <c r="G47" i="10"/>
  <c r="G47" i="6"/>
  <c r="BY36" i="6"/>
  <c r="BY37" i="6" s="1"/>
  <c r="BY28" i="6"/>
  <c r="BY29" i="6" s="1"/>
  <c r="BY32" i="11" s="1"/>
  <c r="BY44" i="11" s="1"/>
  <c r="BY16" i="6"/>
  <c r="BY17" i="6" s="1"/>
  <c r="BY18" i="6" s="1"/>
  <c r="CI17" i="12"/>
  <c r="CI18" i="12" s="1"/>
  <c r="CI2" i="11"/>
  <c r="CI47" i="10"/>
  <c r="CI49" i="10" s="1"/>
  <c r="CI48" i="10"/>
  <c r="CI47" i="6"/>
  <c r="E7" i="8"/>
  <c r="E36" i="6"/>
  <c r="E37" i="6" s="1"/>
  <c r="E28" i="6"/>
  <c r="E29" i="6" s="1"/>
  <c r="E32" i="11" s="1"/>
  <c r="E44" i="11" s="1"/>
  <c r="E16" i="6"/>
  <c r="E17" i="6" s="1"/>
  <c r="E18" i="6" s="1"/>
  <c r="BF6" i="8"/>
  <c r="BF7" i="8" s="1"/>
  <c r="BF36" i="6"/>
  <c r="BF37" i="6" s="1"/>
  <c r="BF28" i="6"/>
  <c r="BF29" i="6" s="1"/>
  <c r="BF32" i="11" s="1"/>
  <c r="BF44" i="11" s="1"/>
  <c r="BF16" i="6"/>
  <c r="BF17" i="6" s="1"/>
  <c r="BF18" i="6" s="1"/>
  <c r="AZ17" i="12"/>
  <c r="AZ18" i="12" s="1"/>
  <c r="AZ2" i="11"/>
  <c r="AZ47" i="10"/>
  <c r="AZ48" i="10"/>
  <c r="AZ47" i="6"/>
  <c r="AR17" i="12"/>
  <c r="AR18" i="12" s="1"/>
  <c r="AR2" i="11"/>
  <c r="AR47" i="10"/>
  <c r="AR48" i="10"/>
  <c r="AR47" i="6"/>
  <c r="AH6" i="8"/>
  <c r="AH7" i="8" s="1"/>
  <c r="AH36" i="6"/>
  <c r="AH37" i="6" s="1"/>
  <c r="AH28" i="6"/>
  <c r="AH29" i="6" s="1"/>
  <c r="AH32" i="11" s="1"/>
  <c r="AH44" i="11" s="1"/>
  <c r="AH16" i="6"/>
  <c r="AH17" i="6" s="1"/>
  <c r="AH18" i="6" s="1"/>
  <c r="AQ42" i="10"/>
  <c r="BV42" i="10"/>
  <c r="Q6" i="8"/>
  <c r="Q7" i="8" s="1"/>
  <c r="Q36" i="6"/>
  <c r="Q37" i="6" s="1"/>
  <c r="Q28" i="6"/>
  <c r="Q29" i="6" s="1"/>
  <c r="Q32" i="11" s="1"/>
  <c r="Q44" i="11" s="1"/>
  <c r="Q16" i="6"/>
  <c r="Q17" i="6" s="1"/>
  <c r="Q18" i="6" s="1"/>
  <c r="BM42" i="10"/>
  <c r="BS42" i="10"/>
  <c r="CJ28" i="6"/>
  <c r="CJ29" i="6" s="1"/>
  <c r="CJ32" i="11" s="1"/>
  <c r="CJ44" i="11" s="1"/>
  <c r="CJ36" i="6"/>
  <c r="CJ37" i="6" s="1"/>
  <c r="CJ16" i="6"/>
  <c r="CJ17" i="6" s="1"/>
  <c r="CJ18" i="6" s="1"/>
  <c r="BW17" i="12"/>
  <c r="BW18" i="12" s="1"/>
  <c r="BW2" i="11"/>
  <c r="BW47" i="10"/>
  <c r="BW47" i="6"/>
  <c r="BW48" i="10"/>
  <c r="T17" i="12"/>
  <c r="T18" i="12" s="1"/>
  <c r="T2" i="11"/>
  <c r="T47" i="10"/>
  <c r="T47" i="6"/>
  <c r="BI17" i="12"/>
  <c r="BI18" i="12" s="1"/>
  <c r="BI2" i="11"/>
  <c r="BI47" i="10"/>
  <c r="BI48" i="10"/>
  <c r="BI47" i="6"/>
  <c r="AM17" i="12"/>
  <c r="AM18" i="12" s="1"/>
  <c r="AM2" i="11"/>
  <c r="AM47" i="10"/>
  <c r="AM48" i="10"/>
  <c r="AM47" i="6"/>
  <c r="BK17" i="12"/>
  <c r="BK18" i="12" s="1"/>
  <c r="BK2" i="11"/>
  <c r="BK47" i="10"/>
  <c r="BK48" i="10"/>
  <c r="BK47" i="6"/>
  <c r="BH6" i="8"/>
  <c r="BH7" i="8" s="1"/>
  <c r="BH36" i="6"/>
  <c r="BH37" i="6" s="1"/>
  <c r="BH28" i="6"/>
  <c r="BH29" i="6" s="1"/>
  <c r="BH32" i="11" s="1"/>
  <c r="BH44" i="11" s="1"/>
  <c r="BH16" i="6"/>
  <c r="BH17" i="6" s="1"/>
  <c r="BH18" i="6" s="1"/>
  <c r="P6" i="8"/>
  <c r="P7" i="8" s="1"/>
  <c r="P28" i="6"/>
  <c r="P29" i="6" s="1"/>
  <c r="P32" i="11" s="1"/>
  <c r="P44" i="11" s="1"/>
  <c r="P36" i="6"/>
  <c r="P37" i="6" s="1"/>
  <c r="P16" i="6"/>
  <c r="P17" i="6" s="1"/>
  <c r="P18" i="6" s="1"/>
  <c r="G6" i="8"/>
  <c r="G7" i="8" s="1"/>
  <c r="G28" i="6"/>
  <c r="G29" i="6" s="1"/>
  <c r="G32" i="11" s="1"/>
  <c r="G44" i="11" s="1"/>
  <c r="G36" i="6"/>
  <c r="G37" i="6" s="1"/>
  <c r="G16" i="6"/>
  <c r="G17" i="6" s="1"/>
  <c r="G18" i="6" s="1"/>
  <c r="BD6" i="8"/>
  <c r="BD7" i="8" s="1"/>
  <c r="BD28" i="6"/>
  <c r="BD29" i="6" s="1"/>
  <c r="BD32" i="11" s="1"/>
  <c r="BD44" i="11" s="1"/>
  <c r="BD36" i="6"/>
  <c r="BD37" i="6" s="1"/>
  <c r="BD16" i="6"/>
  <c r="BD17" i="6" s="1"/>
  <c r="BD18" i="6" s="1"/>
  <c r="BZ49" i="10"/>
  <c r="L17" i="12"/>
  <c r="L18" i="12" s="1"/>
  <c r="L2" i="11"/>
  <c r="L47" i="10"/>
  <c r="L47" i="6"/>
  <c r="BF17" i="12"/>
  <c r="BF18" i="12" s="1"/>
  <c r="BF2" i="11"/>
  <c r="BF47" i="10"/>
  <c r="BF47" i="6"/>
  <c r="BF48" i="10"/>
  <c r="AS17" i="12"/>
  <c r="AS18" i="12" s="1"/>
  <c r="AS2" i="11"/>
  <c r="AS47" i="10"/>
  <c r="AS48" i="10"/>
  <c r="AS47" i="6"/>
  <c r="BP17" i="12"/>
  <c r="BP18" i="12" s="1"/>
  <c r="BP2" i="11"/>
  <c r="BP47" i="10"/>
  <c r="BP48" i="10"/>
  <c r="BP47" i="6"/>
  <c r="CB28" i="6"/>
  <c r="CB29" i="6" s="1"/>
  <c r="CB32" i="11" s="1"/>
  <c r="CB44" i="11" s="1"/>
  <c r="CB36" i="6"/>
  <c r="CB37" i="6" s="1"/>
  <c r="CB16" i="6"/>
  <c r="CB17" i="6" s="1"/>
  <c r="CB18" i="6" s="1"/>
  <c r="R42" i="10"/>
  <c r="BT42" i="10"/>
  <c r="CJ42" i="10"/>
  <c r="U17" i="12"/>
  <c r="U18" i="12" s="1"/>
  <c r="U2" i="11"/>
  <c r="U47" i="10"/>
  <c r="U47" i="6"/>
  <c r="O17" i="12"/>
  <c r="O18" i="12" s="1"/>
  <c r="O2" i="11"/>
  <c r="O47" i="10"/>
  <c r="O47" i="6"/>
  <c r="AI6" i="8"/>
  <c r="AI7" i="8" s="1"/>
  <c r="AI36" i="6"/>
  <c r="AI37" i="6" s="1"/>
  <c r="AI28" i="6"/>
  <c r="AI29" i="6" s="1"/>
  <c r="AI32" i="11" s="1"/>
  <c r="AI44" i="11" s="1"/>
  <c r="AI16" i="6"/>
  <c r="AI17" i="6" s="1"/>
  <c r="AI18" i="6" s="1"/>
  <c r="Y17" i="12"/>
  <c r="Y18" i="12" s="1"/>
  <c r="Y2" i="11"/>
  <c r="Y47" i="10"/>
  <c r="Y47" i="6"/>
  <c r="W17" i="12"/>
  <c r="W18" i="12" s="1"/>
  <c r="W2" i="11"/>
  <c r="W47" i="10"/>
  <c r="W47" i="6"/>
  <c r="T6" i="8"/>
  <c r="T7" i="8" s="1"/>
  <c r="T36" i="6"/>
  <c r="T37" i="6" s="1"/>
  <c r="T28" i="6"/>
  <c r="T29" i="6" s="1"/>
  <c r="T32" i="11" s="1"/>
  <c r="T44" i="11" s="1"/>
  <c r="T16" i="6"/>
  <c r="T17" i="6" s="1"/>
  <c r="T18" i="6" s="1"/>
  <c r="AQ36" i="6"/>
  <c r="AQ37" i="6" s="1"/>
  <c r="AQ28" i="6"/>
  <c r="AQ29" i="6" s="1"/>
  <c r="AQ32" i="11" s="1"/>
  <c r="AQ44" i="11" s="1"/>
  <c r="AQ6" i="8"/>
  <c r="AQ7" i="8" s="1"/>
  <c r="AQ16" i="6"/>
  <c r="AQ17" i="6" s="1"/>
  <c r="AQ18" i="6" s="1"/>
  <c r="AM6" i="8"/>
  <c r="AM7" i="8" s="1"/>
  <c r="AM28" i="6"/>
  <c r="AM29" i="6" s="1"/>
  <c r="AM32" i="11" s="1"/>
  <c r="AM44" i="11" s="1"/>
  <c r="AM36" i="6"/>
  <c r="AM37" i="6" s="1"/>
  <c r="AM16" i="6"/>
  <c r="AM17" i="6" s="1"/>
  <c r="AM18" i="6" s="1"/>
  <c r="AU6" i="8"/>
  <c r="AU7" i="8" s="1"/>
  <c r="AU28" i="6"/>
  <c r="AU29" i="6" s="1"/>
  <c r="AU32" i="11" s="1"/>
  <c r="AU44" i="11" s="1"/>
  <c r="AU36" i="6"/>
  <c r="AU37" i="6" s="1"/>
  <c r="AU16" i="6"/>
  <c r="AU17" i="6" s="1"/>
  <c r="AU18" i="6" s="1"/>
  <c r="AX17" i="12"/>
  <c r="AX18" i="12" s="1"/>
  <c r="AX2" i="11"/>
  <c r="AX47" i="10"/>
  <c r="AX47" i="6"/>
  <c r="AX48" i="10"/>
  <c r="BY17" i="12"/>
  <c r="BY18" i="12" s="1"/>
  <c r="BY2" i="11"/>
  <c r="BY47" i="10"/>
  <c r="BY48" i="10"/>
  <c r="BY47" i="6"/>
  <c r="BZ13" i="11"/>
  <c r="BZ12" i="11"/>
  <c r="BZ14" i="11" s="1"/>
  <c r="BZ4" i="11"/>
  <c r="L6" i="8"/>
  <c r="L7" i="8" s="1"/>
  <c r="L36" i="6"/>
  <c r="L37" i="6" s="1"/>
  <c r="L28" i="6"/>
  <c r="L29" i="6" s="1"/>
  <c r="L32" i="11" s="1"/>
  <c r="L44" i="11" s="1"/>
  <c r="L16" i="6"/>
  <c r="L17" i="6" s="1"/>
  <c r="L18" i="6" s="1"/>
  <c r="BK42" i="10"/>
  <c r="AS6" i="8"/>
  <c r="AS7" i="8" s="1"/>
  <c r="AS36" i="6"/>
  <c r="AS37" i="6" s="1"/>
  <c r="AS28" i="6"/>
  <c r="AS29" i="6" s="1"/>
  <c r="AS32" i="11" s="1"/>
  <c r="AS44" i="11" s="1"/>
  <c r="AS16" i="6"/>
  <c r="AS17" i="6" s="1"/>
  <c r="AS18" i="6" s="1"/>
  <c r="W42" i="10"/>
  <c r="BZ15" i="12"/>
  <c r="BZ16" i="12" s="1"/>
  <c r="BZ23" i="10"/>
  <c r="BZ24" i="10" s="1"/>
  <c r="BZ33" i="6"/>
  <c r="BZ34" i="6" s="1"/>
  <c r="U6" i="8"/>
  <c r="U7" i="8" s="1"/>
  <c r="U36" i="6"/>
  <c r="U37" i="6" s="1"/>
  <c r="U28" i="6"/>
  <c r="U29" i="6" s="1"/>
  <c r="U32" i="11" s="1"/>
  <c r="U44" i="11" s="1"/>
  <c r="U16" i="6"/>
  <c r="U17" i="6" s="1"/>
  <c r="U18" i="6" s="1"/>
  <c r="O6" i="8"/>
  <c r="O7" i="8" s="1"/>
  <c r="O28" i="6"/>
  <c r="O29" i="6" s="1"/>
  <c r="O32" i="11" s="1"/>
  <c r="O44" i="11" s="1"/>
  <c r="O36" i="6"/>
  <c r="O37" i="6" s="1"/>
  <c r="O16" i="6"/>
  <c r="O17" i="6" s="1"/>
  <c r="O18" i="6" s="1"/>
  <c r="AO42" i="10"/>
  <c r="Y6" i="8"/>
  <c r="Y7" i="8" s="1"/>
  <c r="Y36" i="6"/>
  <c r="Y37" i="6" s="1"/>
  <c r="Y28" i="6"/>
  <c r="Y29" i="6" s="1"/>
  <c r="Y32" i="11" s="1"/>
  <c r="Y44" i="11" s="1"/>
  <c r="Y16" i="6"/>
  <c r="Y17" i="6" s="1"/>
  <c r="Y18" i="6" s="1"/>
  <c r="BI42" i="10"/>
  <c r="W6" i="8"/>
  <c r="W7" i="8" s="1"/>
  <c r="W28" i="6"/>
  <c r="W29" i="6" s="1"/>
  <c r="W32" i="11" s="1"/>
  <c r="W44" i="11" s="1"/>
  <c r="W36" i="6"/>
  <c r="W37" i="6" s="1"/>
  <c r="W16" i="6"/>
  <c r="W17" i="6" s="1"/>
  <c r="W18" i="6" s="1"/>
  <c r="CJ17" i="12"/>
  <c r="CJ18" i="12" s="1"/>
  <c r="CJ2" i="11"/>
  <c r="CJ47" i="10"/>
  <c r="CJ49" i="10" s="1"/>
  <c r="CJ48" i="10"/>
  <c r="CJ47" i="6"/>
  <c r="V15" i="12"/>
  <c r="V16" i="12" s="1"/>
  <c r="V23" i="10"/>
  <c r="V33" i="6"/>
  <c r="V34" i="6" s="1"/>
  <c r="BV36" i="6"/>
  <c r="BV37" i="6" s="1"/>
  <c r="BV28" i="6"/>
  <c r="BV29" i="6" s="1"/>
  <c r="BV32" i="11" s="1"/>
  <c r="BV44" i="11" s="1"/>
  <c r="BV16" i="6"/>
  <c r="BV17" i="6" s="1"/>
  <c r="BV18" i="6" s="1"/>
  <c r="B47" i="6"/>
  <c r="B43" i="6"/>
  <c r="BM17" i="12"/>
  <c r="BM18" i="12" s="1"/>
  <c r="BM2" i="11"/>
  <c r="BM47" i="10"/>
  <c r="BM47" i="6"/>
  <c r="BM48" i="10"/>
  <c r="BH17" i="12"/>
  <c r="BH18" i="12" s="1"/>
  <c r="BH2" i="11"/>
  <c r="BH47" i="10"/>
  <c r="BH48" i="10"/>
  <c r="BH47" i="6"/>
  <c r="CG36" i="6"/>
  <c r="CG37" i="6" s="1"/>
  <c r="CG28" i="6"/>
  <c r="CG29" i="6" s="1"/>
  <c r="CG32" i="11" s="1"/>
  <c r="CG44" i="11" s="1"/>
  <c r="CG16" i="6"/>
  <c r="CG17" i="6" s="1"/>
  <c r="CG18" i="6" s="1"/>
  <c r="CA28" i="6"/>
  <c r="CA29" i="6" s="1"/>
  <c r="CA32" i="11" s="1"/>
  <c r="CA44" i="11" s="1"/>
  <c r="CA36" i="6"/>
  <c r="CA37" i="6" s="1"/>
  <c r="CA16" i="6"/>
  <c r="CA17" i="6" s="1"/>
  <c r="CA18" i="6" s="1"/>
  <c r="X17" i="12"/>
  <c r="X18" i="12" s="1"/>
  <c r="X2" i="11"/>
  <c r="X47" i="10"/>
  <c r="X47" i="6"/>
  <c r="J17" i="12"/>
  <c r="J18" i="12" s="1"/>
  <c r="J2" i="11"/>
  <c r="J47" i="10"/>
  <c r="J47" i="6"/>
  <c r="S6" i="8"/>
  <c r="S7" i="8" s="1"/>
  <c r="S36" i="6"/>
  <c r="S37" i="6" s="1"/>
  <c r="S28" i="6"/>
  <c r="S29" i="6" s="1"/>
  <c r="S32" i="11" s="1"/>
  <c r="S44" i="11" s="1"/>
  <c r="S16" i="6"/>
  <c r="S17" i="6" s="1"/>
  <c r="S18" i="6" s="1"/>
  <c r="AX6" i="8"/>
  <c r="AX7" i="8" s="1"/>
  <c r="AX36" i="6"/>
  <c r="AX37" i="6" s="1"/>
  <c r="AX28" i="6"/>
  <c r="AX29" i="6" s="1"/>
  <c r="AX32" i="11" s="1"/>
  <c r="AX44" i="11" s="1"/>
  <c r="AX16" i="6"/>
  <c r="AX17" i="6" s="1"/>
  <c r="AX18" i="6" s="1"/>
  <c r="BD17" i="12"/>
  <c r="BD18" i="12" s="1"/>
  <c r="BD47" i="10"/>
  <c r="BD2" i="11"/>
  <c r="BD48" i="10"/>
  <c r="BD47" i="6"/>
  <c r="BG36" i="6"/>
  <c r="BG37" i="6" s="1"/>
  <c r="BG6" i="8"/>
  <c r="BG7" i="8" s="1"/>
  <c r="BG28" i="6"/>
  <c r="BG29" i="6" s="1"/>
  <c r="BG32" i="11" s="1"/>
  <c r="BG44" i="11" s="1"/>
  <c r="BG16" i="6"/>
  <c r="BG17" i="6" s="1"/>
  <c r="BG18" i="6" s="1"/>
  <c r="AL13" i="11"/>
  <c r="AL12" i="11"/>
  <c r="AL14" i="11" s="1"/>
  <c r="O42" i="10"/>
  <c r="BN6" i="8"/>
  <c r="BN7" i="8" s="1"/>
  <c r="BN36" i="6"/>
  <c r="BN37" i="6" s="1"/>
  <c r="BN28" i="6"/>
  <c r="BN29" i="6" s="1"/>
  <c r="BN32" i="11" s="1"/>
  <c r="BN44" i="11" s="1"/>
  <c r="BN16" i="6"/>
  <c r="BN17" i="6" s="1"/>
  <c r="BN18" i="6" s="1"/>
  <c r="CB17" i="12"/>
  <c r="CB18" i="12" s="1"/>
  <c r="CB2" i="11"/>
  <c r="CB47" i="10"/>
  <c r="CB48" i="10"/>
  <c r="CB47" i="6"/>
  <c r="AA42" i="10"/>
  <c r="AE17" i="12"/>
  <c r="AE18" i="12" s="1"/>
  <c r="AE2" i="11"/>
  <c r="AE47" i="10"/>
  <c r="AE48" i="10"/>
  <c r="AE47" i="6"/>
  <c r="CC42" i="10"/>
  <c r="BC6" i="8"/>
  <c r="BC7" i="8" s="1"/>
  <c r="BC28" i="6"/>
  <c r="BC29" i="6" s="1"/>
  <c r="BC32" i="11" s="1"/>
  <c r="BC44" i="11" s="1"/>
  <c r="BC36" i="6"/>
  <c r="BC37" i="6" s="1"/>
  <c r="BC16" i="6"/>
  <c r="BC17" i="6" s="1"/>
  <c r="BC18" i="6" s="1"/>
  <c r="BW42" i="10"/>
  <c r="AB42" i="10"/>
  <c r="I17" i="12"/>
  <c r="I18" i="12" s="1"/>
  <c r="I2" i="11"/>
  <c r="I47" i="10"/>
  <c r="I47" i="6"/>
  <c r="AI17" i="12"/>
  <c r="AI18" i="12" s="1"/>
  <c r="AI2" i="11"/>
  <c r="AI47" i="10"/>
  <c r="AI48" i="10"/>
  <c r="AI47" i="6"/>
  <c r="BL6" i="8"/>
  <c r="BL7" i="8" s="1"/>
  <c r="BL28" i="6"/>
  <c r="BL29" i="6" s="1"/>
  <c r="BL32" i="11" s="1"/>
  <c r="BL44" i="11" s="1"/>
  <c r="BL36" i="6"/>
  <c r="BL37" i="6" s="1"/>
  <c r="BL16" i="6"/>
  <c r="BL17" i="6" s="1"/>
  <c r="BL18" i="6" s="1"/>
  <c r="AF17" i="12"/>
  <c r="AF18" i="12" s="1"/>
  <c r="AF2" i="11"/>
  <c r="AF47" i="10"/>
  <c r="AF48" i="10"/>
  <c r="AF47" i="6"/>
  <c r="BJ15" i="12"/>
  <c r="BJ16" i="12" s="1"/>
  <c r="BJ23" i="10"/>
  <c r="BJ24" i="10" s="1"/>
  <c r="BJ33" i="6"/>
  <c r="BJ34" i="6" s="1"/>
  <c r="AQ17" i="12"/>
  <c r="AQ18" i="12" s="1"/>
  <c r="AQ2" i="11"/>
  <c r="AQ47" i="10"/>
  <c r="AQ47" i="6"/>
  <c r="AQ48" i="10"/>
  <c r="C36" i="6"/>
  <c r="C37" i="6" s="1"/>
  <c r="C28" i="6"/>
  <c r="C29" i="6" s="1"/>
  <c r="C16" i="6"/>
  <c r="C17" i="6" s="1"/>
  <c r="BV17" i="12"/>
  <c r="BV18" i="12" s="1"/>
  <c r="BV2" i="11"/>
  <c r="BV47" i="10"/>
  <c r="BV49" i="10" s="1"/>
  <c r="BV47" i="6"/>
  <c r="BV48" i="10"/>
  <c r="B36" i="6"/>
  <c r="B37" i="6" s="1"/>
  <c r="B28" i="6"/>
  <c r="B29" i="6" s="1"/>
  <c r="B16" i="6"/>
  <c r="B17" i="6" s="1"/>
  <c r="BA6" i="8"/>
  <c r="BA7" i="8" s="1"/>
  <c r="BA36" i="6"/>
  <c r="BA37" i="6" s="1"/>
  <c r="BA28" i="6"/>
  <c r="BA29" i="6" s="1"/>
  <c r="BA32" i="11" s="1"/>
  <c r="BA44" i="11" s="1"/>
  <c r="BA16" i="6"/>
  <c r="BA17" i="6" s="1"/>
  <c r="BA18" i="6" s="1"/>
  <c r="X6" i="8"/>
  <c r="X7" i="8" s="1"/>
  <c r="X28" i="6"/>
  <c r="X29" i="6" s="1"/>
  <c r="X32" i="11" s="1"/>
  <c r="X44" i="11" s="1"/>
  <c r="X36" i="6"/>
  <c r="X37" i="6" s="1"/>
  <c r="X16" i="6"/>
  <c r="X17" i="6" s="1"/>
  <c r="X18" i="6" s="1"/>
  <c r="J6" i="8"/>
  <c r="J7" i="8" s="1"/>
  <c r="J36" i="6"/>
  <c r="J37" i="6" s="1"/>
  <c r="J28" i="6"/>
  <c r="J29" i="6" s="1"/>
  <c r="J32" i="11" s="1"/>
  <c r="J44" i="11" s="1"/>
  <c r="J16" i="6"/>
  <c r="J17" i="6" s="1"/>
  <c r="J18" i="6" s="1"/>
  <c r="AU17" i="12"/>
  <c r="AU18" i="12" s="1"/>
  <c r="AU2" i="11"/>
  <c r="AU47" i="10"/>
  <c r="AU48" i="10"/>
  <c r="AU47" i="6"/>
  <c r="BN17" i="12"/>
  <c r="BN18" i="12" s="1"/>
  <c r="BN2" i="11"/>
  <c r="BN47" i="10"/>
  <c r="BN47" i="6"/>
  <c r="BN48" i="10"/>
  <c r="BE42" i="10"/>
  <c r="BR5" i="11"/>
  <c r="BR50" i="10"/>
  <c r="CH5" i="11"/>
  <c r="CH50" i="10"/>
  <c r="BE6" i="8"/>
  <c r="BE7" i="8" s="1"/>
  <c r="BE36" i="6"/>
  <c r="BE37" i="6" s="1"/>
  <c r="BE28" i="6"/>
  <c r="BE29" i="6" s="1"/>
  <c r="BE32" i="11" s="1"/>
  <c r="BE44" i="11" s="1"/>
  <c r="BE16" i="6"/>
  <c r="BE17" i="6" s="1"/>
  <c r="BE18" i="6" s="1"/>
  <c r="AE6" i="8"/>
  <c r="AE7" i="8" s="1"/>
  <c r="AE28" i="6"/>
  <c r="AE29" i="6" s="1"/>
  <c r="AE32" i="11" s="1"/>
  <c r="AE44" i="11" s="1"/>
  <c r="AE36" i="6"/>
  <c r="AE37" i="6" s="1"/>
  <c r="AE16" i="6"/>
  <c r="AE17" i="6" s="1"/>
  <c r="AE18" i="6" s="1"/>
  <c r="AF42" i="10"/>
  <c r="BJ50" i="10"/>
  <c r="I6" i="8"/>
  <c r="I7" i="8" s="1"/>
  <c r="I36" i="6"/>
  <c r="I37" i="6" s="1"/>
  <c r="I28" i="6"/>
  <c r="I29" i="6" s="1"/>
  <c r="I32" i="11" s="1"/>
  <c r="I44" i="11" s="1"/>
  <c r="I16" i="6"/>
  <c r="I17" i="6" s="1"/>
  <c r="I18" i="6" s="1"/>
  <c r="CE42" i="10"/>
  <c r="BX36" i="6"/>
  <c r="BX37" i="6" s="1"/>
  <c r="BX28" i="6"/>
  <c r="BX29" i="6" s="1"/>
  <c r="BX32" i="11" s="1"/>
  <c r="BX44" i="11" s="1"/>
  <c r="BX16" i="6"/>
  <c r="BX17" i="6" s="1"/>
  <c r="BX18" i="6" s="1"/>
  <c r="P12" i="8"/>
  <c r="P11" i="8"/>
  <c r="AY14" i="9"/>
  <c r="AY28" i="9"/>
  <c r="AY13" i="9"/>
  <c r="AY33" i="9"/>
  <c r="AY26" i="9"/>
  <c r="G13" i="9"/>
  <c r="G28" i="9"/>
  <c r="G26" i="9"/>
  <c r="G14" i="9"/>
  <c r="G33" i="9"/>
  <c r="K12" i="8"/>
  <c r="K11" i="8"/>
  <c r="CF14" i="9"/>
  <c r="CF28" i="9"/>
  <c r="CF13" i="9"/>
  <c r="CF26" i="9"/>
  <c r="CF33" i="9"/>
  <c r="CK15" i="9"/>
  <c r="CK17" i="9"/>
  <c r="H12" i="8"/>
  <c r="H11" i="8"/>
  <c r="J26" i="9"/>
  <c r="J28" i="9"/>
  <c r="J14" i="9"/>
  <c r="J13" i="9"/>
  <c r="J33" i="9"/>
  <c r="X12" i="8"/>
  <c r="X11" i="8"/>
  <c r="AW13" i="9"/>
  <c r="AW14" i="9"/>
  <c r="AW28" i="9"/>
  <c r="AW26" i="9"/>
  <c r="AW33" i="9"/>
  <c r="BR12" i="8"/>
  <c r="BR11" i="8"/>
  <c r="V13" i="9"/>
  <c r="V28" i="9"/>
  <c r="V14" i="9"/>
  <c r="V33" i="9"/>
  <c r="V26" i="9"/>
  <c r="CJ13" i="9"/>
  <c r="CJ26" i="9"/>
  <c r="CJ28" i="9"/>
  <c r="CJ14" i="9"/>
  <c r="CJ33" i="9"/>
  <c r="AC13" i="9"/>
  <c r="AC28" i="9"/>
  <c r="AC14" i="9"/>
  <c r="AC26" i="9"/>
  <c r="AC33" i="9"/>
  <c r="AO13" i="9"/>
  <c r="AO14" i="9"/>
  <c r="AO28" i="9"/>
  <c r="AO26" i="9"/>
  <c r="AO33" i="9"/>
  <c r="S14" i="9"/>
  <c r="S85" i="9" s="1"/>
  <c r="S80" i="9" s="1"/>
  <c r="S28" i="9"/>
  <c r="S13" i="9"/>
  <c r="S82" i="9" s="1"/>
  <c r="S83" i="9" s="1"/>
  <c r="S26" i="9"/>
  <c r="S33" i="9"/>
  <c r="AQ12" i="8"/>
  <c r="AQ11" i="8"/>
  <c r="CI13" i="9"/>
  <c r="CI28" i="9"/>
  <c r="CI26" i="9"/>
  <c r="CI14" i="9"/>
  <c r="CI33" i="9"/>
  <c r="BM12" i="8"/>
  <c r="BM11" i="8"/>
  <c r="BC13" i="9"/>
  <c r="BC28" i="9"/>
  <c r="BC26" i="9"/>
  <c r="BC14" i="9"/>
  <c r="BC33" i="9"/>
  <c r="R12" i="8"/>
  <c r="R11" i="8"/>
  <c r="BK13" i="9"/>
  <c r="BK28" i="9"/>
  <c r="BK26" i="9"/>
  <c r="BK14" i="9"/>
  <c r="BK33" i="9"/>
  <c r="T12" i="8"/>
  <c r="T11" i="8"/>
  <c r="K14" i="9"/>
  <c r="K28" i="9"/>
  <c r="K13" i="9"/>
  <c r="K26" i="9"/>
  <c r="K33" i="9"/>
  <c r="BI12" i="8"/>
  <c r="BI11" i="8"/>
  <c r="H13" i="9"/>
  <c r="H26" i="9"/>
  <c r="H14" i="9"/>
  <c r="H28" i="9"/>
  <c r="H33" i="9"/>
  <c r="AV12" i="8"/>
  <c r="AV11" i="8"/>
  <c r="X13" i="9"/>
  <c r="X26" i="9"/>
  <c r="X14" i="9"/>
  <c r="X28" i="9"/>
  <c r="X33" i="9"/>
  <c r="AP12" i="8"/>
  <c r="AP11" i="8"/>
  <c r="AM13" i="9"/>
  <c r="AM28" i="9"/>
  <c r="AM14" i="9"/>
  <c r="AM26" i="9"/>
  <c r="AM33" i="9"/>
  <c r="BF12" i="8"/>
  <c r="BF11" i="8"/>
  <c r="BR13" i="9"/>
  <c r="BR28" i="9"/>
  <c r="BR14" i="9"/>
  <c r="BR26" i="9"/>
  <c r="BR33" i="9"/>
  <c r="BS12" i="8"/>
  <c r="BS11" i="8"/>
  <c r="AH12" i="8"/>
  <c r="AH11" i="8"/>
  <c r="CD28" i="9"/>
  <c r="CD26" i="9"/>
  <c r="CD14" i="9"/>
  <c r="CD13" i="9"/>
  <c r="CD33" i="9"/>
  <c r="BX14" i="9"/>
  <c r="BX28" i="9"/>
  <c r="BX13" i="9"/>
  <c r="BX26" i="9"/>
  <c r="BX33" i="9"/>
  <c r="M12" i="8"/>
  <c r="M11" i="8"/>
  <c r="AQ14" i="9"/>
  <c r="AQ28" i="9"/>
  <c r="AQ13" i="9"/>
  <c r="AQ26" i="9"/>
  <c r="AQ33" i="9"/>
  <c r="BM13" i="9"/>
  <c r="BM28" i="9"/>
  <c r="BM14" i="9"/>
  <c r="BM33" i="9"/>
  <c r="BM26" i="9"/>
  <c r="R28" i="9"/>
  <c r="R26" i="9"/>
  <c r="R14" i="9"/>
  <c r="R85" i="9" s="1"/>
  <c r="R80" i="9" s="1"/>
  <c r="R13" i="9"/>
  <c r="R82" i="9" s="1"/>
  <c r="R83" i="9" s="1"/>
  <c r="R33" i="9"/>
  <c r="T14" i="9"/>
  <c r="T85" i="9" s="1"/>
  <c r="T80" i="9" s="1"/>
  <c r="T28" i="9"/>
  <c r="T13" i="9"/>
  <c r="T82" i="9" s="1"/>
  <c r="T83" i="9" s="1"/>
  <c r="T26" i="9"/>
  <c r="T33" i="9"/>
  <c r="BN12" i="8"/>
  <c r="BN11" i="8"/>
  <c r="BI13" i="9"/>
  <c r="BI28" i="9"/>
  <c r="BI14" i="9"/>
  <c r="BI33" i="9"/>
  <c r="BI26" i="9"/>
  <c r="Q12" i="8"/>
  <c r="Q11" i="8"/>
  <c r="AV13" i="9"/>
  <c r="AV26" i="9"/>
  <c r="AV28" i="9"/>
  <c r="AV14" i="9"/>
  <c r="AV33" i="9"/>
  <c r="BH12" i="8"/>
  <c r="BH11" i="8"/>
  <c r="AP26" i="9"/>
  <c r="AP28" i="9"/>
  <c r="AP14" i="9"/>
  <c r="AP13" i="9"/>
  <c r="AP33" i="9"/>
  <c r="AD12" i="8"/>
  <c r="AD11" i="8"/>
  <c r="BF28" i="9"/>
  <c r="BF26" i="9"/>
  <c r="BF14" i="9"/>
  <c r="BF13" i="9"/>
  <c r="BF33" i="9"/>
  <c r="AB12" i="8"/>
  <c r="AB11" i="8"/>
  <c r="AH26" i="9"/>
  <c r="AH28" i="9"/>
  <c r="AH14" i="9"/>
  <c r="AH13" i="9"/>
  <c r="AH33" i="9"/>
  <c r="AZ12" i="8"/>
  <c r="AZ11" i="8"/>
  <c r="F12" i="8"/>
  <c r="F11" i="8"/>
  <c r="CB13" i="9"/>
  <c r="CB26" i="9"/>
  <c r="CB14" i="9"/>
  <c r="CB28" i="9"/>
  <c r="CB33" i="9"/>
  <c r="O12" i="8"/>
  <c r="O11" i="8"/>
  <c r="BV26" i="9"/>
  <c r="BV28" i="9"/>
  <c r="BV14" i="9"/>
  <c r="BV13" i="9"/>
  <c r="BV33" i="9"/>
  <c r="BQ12" i="8"/>
  <c r="BQ11" i="8"/>
  <c r="BN26" i="9"/>
  <c r="BN28" i="9"/>
  <c r="BN14" i="9"/>
  <c r="BN13" i="9"/>
  <c r="BN33" i="9"/>
  <c r="BA12" i="8"/>
  <c r="BA11" i="8"/>
  <c r="E12" i="8"/>
  <c r="E11" i="8"/>
  <c r="Q13" i="9"/>
  <c r="Q82" i="9" s="1"/>
  <c r="Q83" i="9" s="1"/>
  <c r="Q28" i="9"/>
  <c r="Q14" i="9"/>
  <c r="Q85" i="9" s="1"/>
  <c r="Q80" i="9" s="1"/>
  <c r="Q26" i="9"/>
  <c r="Q33" i="9"/>
  <c r="Z12" i="8"/>
  <c r="Z11" i="8"/>
  <c r="BH14" i="9"/>
  <c r="BH28" i="9"/>
  <c r="BH13" i="9"/>
  <c r="BH26" i="9"/>
  <c r="BH33" i="9"/>
  <c r="AD13" i="9"/>
  <c r="AD28" i="9"/>
  <c r="AD14" i="9"/>
  <c r="AD26" i="9"/>
  <c r="AD33" i="9"/>
  <c r="AK12" i="8"/>
  <c r="AK11" i="8"/>
  <c r="AB14" i="9"/>
  <c r="AB28" i="9"/>
  <c r="AB13" i="9"/>
  <c r="AB26" i="9"/>
  <c r="AB33" i="9"/>
  <c r="BS13" i="9"/>
  <c r="BS28" i="9"/>
  <c r="BS14" i="9"/>
  <c r="BS26" i="9"/>
  <c r="BS33" i="9"/>
  <c r="AN12" i="8"/>
  <c r="AN11" i="8"/>
  <c r="AZ14" i="9"/>
  <c r="AZ28" i="9"/>
  <c r="AZ13" i="9"/>
  <c r="AZ26" i="9"/>
  <c r="AZ33" i="9"/>
  <c r="M13" i="9"/>
  <c r="M28" i="9"/>
  <c r="M14" i="9"/>
  <c r="M33" i="9"/>
  <c r="M26" i="9"/>
  <c r="BE12" i="8"/>
  <c r="BE11" i="8"/>
  <c r="BJ12" i="8"/>
  <c r="BJ11" i="8"/>
  <c r="BU12" i="8"/>
  <c r="BU11" i="8"/>
  <c r="BU13" i="9"/>
  <c r="BU28" i="9"/>
  <c r="BU14" i="9"/>
  <c r="BU26" i="9"/>
  <c r="BU33" i="9"/>
  <c r="AS13" i="9"/>
  <c r="AS28" i="9"/>
  <c r="AS14" i="9"/>
  <c r="AS33" i="9"/>
  <c r="AS26" i="9"/>
  <c r="AI12" i="8"/>
  <c r="AI11" i="8"/>
  <c r="CA13" i="9"/>
  <c r="CA28" i="9"/>
  <c r="CA26" i="9"/>
  <c r="CA14" i="9"/>
  <c r="CA33" i="9"/>
  <c r="G12" i="8"/>
  <c r="G11" i="8"/>
  <c r="AE12" i="8"/>
  <c r="AE11" i="8"/>
  <c r="BA13" i="9"/>
  <c r="BA28" i="9"/>
  <c r="BA14" i="9"/>
  <c r="BA33" i="9"/>
  <c r="BA26" i="9"/>
  <c r="BG12" i="8"/>
  <c r="BG11" i="8"/>
  <c r="Z28" i="9"/>
  <c r="Z26" i="9"/>
  <c r="Z14" i="9"/>
  <c r="Z13" i="9"/>
  <c r="Z33" i="9"/>
  <c r="W12" i="8"/>
  <c r="W11" i="8"/>
  <c r="AT12" i="8"/>
  <c r="AT11" i="8"/>
  <c r="AG12" i="8"/>
  <c r="AG11" i="8"/>
  <c r="AN26" i="9"/>
  <c r="AN28" i="9"/>
  <c r="AN13" i="9"/>
  <c r="AN14" i="9"/>
  <c r="AN33" i="9"/>
  <c r="AJ12" i="8"/>
  <c r="AJ11" i="8"/>
  <c r="BO12" i="8"/>
  <c r="BO11" i="8"/>
  <c r="F13" i="9"/>
  <c r="F28" i="9"/>
  <c r="F14" i="9"/>
  <c r="F33" i="9"/>
  <c r="F26" i="9"/>
  <c r="N12" i="8"/>
  <c r="N11" i="8"/>
  <c r="BE13" i="9"/>
  <c r="BE28" i="9"/>
  <c r="BE14" i="9"/>
  <c r="BE26" i="9"/>
  <c r="BE33" i="9"/>
  <c r="BJ13" i="9"/>
  <c r="BJ28" i="9"/>
  <c r="BJ14" i="9"/>
  <c r="BJ26" i="9"/>
  <c r="BJ33" i="9"/>
  <c r="BP12" i="8"/>
  <c r="BP11" i="8"/>
  <c r="AI14" i="9"/>
  <c r="AI28" i="9"/>
  <c r="AI13" i="9"/>
  <c r="AI26" i="9"/>
  <c r="AI33" i="9"/>
  <c r="BQ13" i="9"/>
  <c r="BQ28" i="9"/>
  <c r="BQ14" i="9"/>
  <c r="BQ33" i="9"/>
  <c r="BQ26" i="9"/>
  <c r="AA12" i="8"/>
  <c r="AA11" i="8"/>
  <c r="E13" i="9"/>
  <c r="E28" i="9"/>
  <c r="E14" i="9"/>
  <c r="E26" i="9"/>
  <c r="E33" i="9"/>
  <c r="AX12" i="8"/>
  <c r="AX11" i="8"/>
  <c r="AL12" i="8"/>
  <c r="AL11" i="8"/>
  <c r="AT13" i="9"/>
  <c r="AT28" i="9"/>
  <c r="AT14" i="9"/>
  <c r="AT33" i="9"/>
  <c r="AT26" i="9"/>
  <c r="AK13" i="9"/>
  <c r="AK28" i="9"/>
  <c r="AK14" i="9"/>
  <c r="AK26" i="9"/>
  <c r="AK33" i="9"/>
  <c r="AU12" i="8"/>
  <c r="AU11" i="8"/>
  <c r="AG13" i="9"/>
  <c r="AG28" i="9"/>
  <c r="AG14" i="9"/>
  <c r="AG33" i="9"/>
  <c r="AG26" i="9"/>
  <c r="AJ14" i="9"/>
  <c r="AJ28" i="9"/>
  <c r="AJ13" i="9"/>
  <c r="AJ33" i="9"/>
  <c r="AJ26" i="9"/>
  <c r="BO14" i="9"/>
  <c r="BO28" i="9"/>
  <c r="BO13" i="9"/>
  <c r="BO26" i="9"/>
  <c r="BO33" i="9"/>
  <c r="L12" i="8"/>
  <c r="L11" i="8"/>
  <c r="N13" i="9"/>
  <c r="N82" i="9" s="1"/>
  <c r="N83" i="9" s="1"/>
  <c r="N28" i="9"/>
  <c r="N14" i="9"/>
  <c r="N85" i="9" s="1"/>
  <c r="N80" i="9" s="1"/>
  <c r="N26" i="9"/>
  <c r="N33" i="9"/>
  <c r="CG13" i="9"/>
  <c r="CG28" i="9"/>
  <c r="CG14" i="9"/>
  <c r="CG33" i="9"/>
  <c r="CG26" i="9"/>
  <c r="AF12" i="8"/>
  <c r="AF11" i="8"/>
  <c r="P13" i="9"/>
  <c r="P82" i="9" s="1"/>
  <c r="P83" i="9" s="1"/>
  <c r="P26" i="9"/>
  <c r="P14" i="9"/>
  <c r="P85" i="9" s="1"/>
  <c r="P80" i="9" s="1"/>
  <c r="P28" i="9"/>
  <c r="P33" i="9"/>
  <c r="BW14" i="9"/>
  <c r="BW28" i="9"/>
  <c r="BW13" i="9"/>
  <c r="BW26" i="9"/>
  <c r="BW33" i="9"/>
  <c r="O13" i="9"/>
  <c r="O82" i="9" s="1"/>
  <c r="O83" i="9" s="1"/>
  <c r="O28" i="9"/>
  <c r="O26" i="9"/>
  <c r="O14" i="9"/>
  <c r="O85" i="9" s="1"/>
  <c r="O80" i="9" s="1"/>
  <c r="O33" i="9"/>
  <c r="AY12" i="8"/>
  <c r="AY11" i="8"/>
  <c r="BB12" i="8"/>
  <c r="BB11" i="8"/>
  <c r="Y12" i="8"/>
  <c r="Y11" i="8"/>
  <c r="BL12" i="8"/>
  <c r="BL11" i="8"/>
  <c r="AX28" i="9"/>
  <c r="AX26" i="9"/>
  <c r="AX14" i="9"/>
  <c r="AX13" i="9"/>
  <c r="AX33" i="9"/>
  <c r="BG14" i="9"/>
  <c r="BG28" i="9"/>
  <c r="BG13" i="9"/>
  <c r="BG26" i="9"/>
  <c r="BG33" i="9"/>
  <c r="BD12" i="8"/>
  <c r="BD11" i="8"/>
  <c r="AL13" i="9"/>
  <c r="AL28" i="9"/>
  <c r="AL14" i="9"/>
  <c r="AL33" i="9"/>
  <c r="AL26" i="9"/>
  <c r="AR12" i="8"/>
  <c r="AR11" i="8"/>
  <c r="I12" i="8"/>
  <c r="I11" i="8"/>
  <c r="CC13" i="9"/>
  <c r="CC28" i="9"/>
  <c r="CC14" i="9"/>
  <c r="CC26" i="9"/>
  <c r="CC33" i="9"/>
  <c r="L14" i="9"/>
  <c r="L28" i="9"/>
  <c r="L13" i="9"/>
  <c r="L26" i="9"/>
  <c r="L33" i="9"/>
  <c r="S12" i="8"/>
  <c r="S11" i="8"/>
  <c r="AF13" i="9"/>
  <c r="AF26" i="9"/>
  <c r="AF28" i="9"/>
  <c r="AF14" i="9"/>
  <c r="AF33" i="9"/>
  <c r="U12" i="8"/>
  <c r="U11" i="8"/>
  <c r="AS12" i="8"/>
  <c r="AS11" i="8"/>
  <c r="BT12" i="8"/>
  <c r="BT11" i="8"/>
  <c r="BP14" i="9"/>
  <c r="BP28" i="9"/>
  <c r="BP13" i="9"/>
  <c r="BP26" i="9"/>
  <c r="BP33" i="9"/>
  <c r="BT13" i="9"/>
  <c r="BT26" i="9"/>
  <c r="BT14" i="9"/>
  <c r="BT28" i="9"/>
  <c r="BT33" i="9"/>
  <c r="CE14" i="9"/>
  <c r="CE28" i="9"/>
  <c r="CE13" i="9"/>
  <c r="CE33" i="9"/>
  <c r="CE26" i="9"/>
  <c r="CH13" i="9"/>
  <c r="CH14" i="9"/>
  <c r="CH28" i="9"/>
  <c r="CH33" i="9"/>
  <c r="CH26" i="9"/>
  <c r="BC12" i="8"/>
  <c r="BC11" i="8"/>
  <c r="BB13" i="9"/>
  <c r="BB28" i="9"/>
  <c r="BB14" i="9"/>
  <c r="BB33" i="9"/>
  <c r="BB26" i="9"/>
  <c r="BK12" i="8"/>
  <c r="BK11" i="8"/>
  <c r="AE13" i="9"/>
  <c r="AE28" i="9"/>
  <c r="AE14" i="9"/>
  <c r="AE26" i="9"/>
  <c r="AE33" i="9"/>
  <c r="Y13" i="9"/>
  <c r="Y28" i="9"/>
  <c r="Y14" i="9"/>
  <c r="Y26" i="9"/>
  <c r="Y33" i="9"/>
  <c r="AA14" i="9"/>
  <c r="AA28" i="9"/>
  <c r="AA13" i="9"/>
  <c r="AA33" i="9"/>
  <c r="AA26" i="9"/>
  <c r="BZ13" i="9"/>
  <c r="BZ28" i="9"/>
  <c r="BZ14" i="9"/>
  <c r="BZ33" i="9"/>
  <c r="BZ26" i="9"/>
  <c r="BL13" i="9"/>
  <c r="BL26" i="9"/>
  <c r="BL28" i="9"/>
  <c r="BL14" i="9"/>
  <c r="BL33" i="9"/>
  <c r="J12" i="8"/>
  <c r="J11" i="8"/>
  <c r="BD13" i="9"/>
  <c r="BD26" i="9"/>
  <c r="BD28" i="9"/>
  <c r="BD14" i="9"/>
  <c r="BD33" i="9"/>
  <c r="AW12" i="8"/>
  <c r="AW11" i="8"/>
  <c r="W13" i="9"/>
  <c r="W28" i="9"/>
  <c r="W26" i="9"/>
  <c r="W14" i="9"/>
  <c r="W33" i="9"/>
  <c r="BY13" i="9"/>
  <c r="BY28" i="9"/>
  <c r="BY14" i="9"/>
  <c r="BY33" i="9"/>
  <c r="BY26" i="9"/>
  <c r="AM12" i="8"/>
  <c r="AM11" i="8"/>
  <c r="AR14" i="9"/>
  <c r="AR28" i="9"/>
  <c r="AR13" i="9"/>
  <c r="AR33" i="9"/>
  <c r="AR26" i="9"/>
  <c r="AU13" i="9"/>
  <c r="AU28" i="9"/>
  <c r="AU26" i="9"/>
  <c r="AU14" i="9"/>
  <c r="AU33" i="9"/>
  <c r="V12" i="8"/>
  <c r="V11" i="8"/>
  <c r="I13" i="9"/>
  <c r="I28" i="9"/>
  <c r="I14" i="9"/>
  <c r="I26" i="9"/>
  <c r="I33" i="9"/>
  <c r="AC12" i="8"/>
  <c r="AC11" i="8"/>
  <c r="AO12" i="8"/>
  <c r="AO11" i="8"/>
  <c r="U13" i="9"/>
  <c r="U82" i="9" s="1"/>
  <c r="U83" i="9" s="1"/>
  <c r="U28" i="9"/>
  <c r="U14" i="9"/>
  <c r="U85" i="9" s="1"/>
  <c r="U80" i="9" s="1"/>
  <c r="U26" i="9"/>
  <c r="U33" i="9"/>
  <c r="F19" i="13"/>
  <c r="CD49" i="10" l="1"/>
  <c r="BY49" i="10"/>
  <c r="AP49" i="10"/>
  <c r="J49" i="10"/>
  <c r="AT13" i="11"/>
  <c r="BB4" i="11"/>
  <c r="CH23" i="10"/>
  <c r="CH24" i="10" s="1"/>
  <c r="BB12" i="11"/>
  <c r="BB14" i="11" s="1"/>
  <c r="CH15" i="12"/>
  <c r="CH16" i="12" s="1"/>
  <c r="AL33" i="6"/>
  <c r="AL34" i="6" s="1"/>
  <c r="AT15" i="12"/>
  <c r="AT16" i="12" s="1"/>
  <c r="BJ4" i="11"/>
  <c r="AL23" i="10"/>
  <c r="AL24" i="10" s="1"/>
  <c r="BJ12" i="11"/>
  <c r="BJ14" i="11" s="1"/>
  <c r="BJ13" i="8" s="1"/>
  <c r="BF49" i="10"/>
  <c r="AT33" i="6"/>
  <c r="AT34" i="6" s="1"/>
  <c r="AT23" i="10"/>
  <c r="AT24" i="10" s="1"/>
  <c r="BC49" i="10"/>
  <c r="AT50" i="10"/>
  <c r="BW49" i="10"/>
  <c r="N33" i="6"/>
  <c r="N34" i="6" s="1"/>
  <c r="BQ49" i="10"/>
  <c r="AX49" i="10"/>
  <c r="N23" i="10"/>
  <c r="N24" i="10" s="1"/>
  <c r="N15" i="12"/>
  <c r="N16" i="12" s="1"/>
  <c r="AL13" i="8"/>
  <c r="F59" i="9"/>
  <c r="V24" i="10"/>
  <c r="V56" i="10"/>
  <c r="V57" i="10" s="1"/>
  <c r="G62" i="9"/>
  <c r="S62" i="9"/>
  <c r="P84" i="9"/>
  <c r="N13" i="8"/>
  <c r="S84" i="9"/>
  <c r="N84" i="9"/>
  <c r="K74" i="9"/>
  <c r="K85" i="9"/>
  <c r="K80" i="9" s="1"/>
  <c r="I71" i="9"/>
  <c r="I82" i="9"/>
  <c r="I83" i="9" s="1"/>
  <c r="BB13" i="8"/>
  <c r="O84" i="9"/>
  <c r="AT13" i="8"/>
  <c r="R84" i="9"/>
  <c r="S59" i="9"/>
  <c r="G59" i="9"/>
  <c r="U59" i="9"/>
  <c r="N59" i="9"/>
  <c r="L74" i="9"/>
  <c r="L70" i="9" s="1"/>
  <c r="L85" i="9"/>
  <c r="L80" i="9" s="1"/>
  <c r="J71" i="9"/>
  <c r="J82" i="9"/>
  <c r="J83" i="9" s="1"/>
  <c r="M62" i="9"/>
  <c r="G74" i="9"/>
  <c r="G85" i="9"/>
  <c r="G80" i="9" s="1"/>
  <c r="F74" i="9"/>
  <c r="F70" i="9" s="1"/>
  <c r="F85" i="9"/>
  <c r="J74" i="9"/>
  <c r="J70" i="9" s="1"/>
  <c r="J85" i="9"/>
  <c r="J80" i="9" s="1"/>
  <c r="Q84" i="9"/>
  <c r="AD13" i="8"/>
  <c r="P59" i="9"/>
  <c r="F71" i="9"/>
  <c r="F82" i="9"/>
  <c r="F83" i="9" s="1"/>
  <c r="T84" i="9"/>
  <c r="K71" i="9"/>
  <c r="K82" i="9"/>
  <c r="K83" i="9" s="1"/>
  <c r="G71" i="9"/>
  <c r="G82" i="9"/>
  <c r="G83" i="9" s="1"/>
  <c r="N62" i="9"/>
  <c r="I74" i="9"/>
  <c r="I85" i="9"/>
  <c r="I80" i="9" s="1"/>
  <c r="M74" i="9"/>
  <c r="M70" i="9" s="1"/>
  <c r="M85" i="9"/>
  <c r="M80" i="9" s="1"/>
  <c r="H74" i="9"/>
  <c r="H85" i="9"/>
  <c r="H80" i="9" s="1"/>
  <c r="U84" i="9"/>
  <c r="L71" i="9"/>
  <c r="L82" i="9"/>
  <c r="L83" i="9" s="1"/>
  <c r="M71" i="9"/>
  <c r="M82" i="9"/>
  <c r="M83" i="9" s="1"/>
  <c r="H71" i="9"/>
  <c r="H82" i="9"/>
  <c r="H83" i="9" s="1"/>
  <c r="AD13" i="11"/>
  <c r="N13" i="11"/>
  <c r="AT4" i="11"/>
  <c r="AD4" i="11"/>
  <c r="BR12" i="11"/>
  <c r="BR14" i="11" s="1"/>
  <c r="BR13" i="8" s="1"/>
  <c r="N74" i="9"/>
  <c r="N51" i="9"/>
  <c r="N47" i="9"/>
  <c r="N48" i="9"/>
  <c r="N49" i="9"/>
  <c r="U74" i="9"/>
  <c r="U51" i="9"/>
  <c r="U48" i="9"/>
  <c r="U47" i="9"/>
  <c r="U49" i="9"/>
  <c r="O74" i="9"/>
  <c r="O51" i="9"/>
  <c r="O48" i="9"/>
  <c r="O47" i="9"/>
  <c r="O49" i="9"/>
  <c r="E82" i="9"/>
  <c r="E83" i="9" s="1"/>
  <c r="E71" i="9"/>
  <c r="T50" i="9"/>
  <c r="T71" i="9"/>
  <c r="K59" i="9"/>
  <c r="J59" i="9"/>
  <c r="O59" i="9"/>
  <c r="N50" i="9"/>
  <c r="N71" i="9"/>
  <c r="L59" i="9"/>
  <c r="U50" i="9"/>
  <c r="U71" i="9"/>
  <c r="T74" i="9"/>
  <c r="T51" i="9"/>
  <c r="T48" i="9"/>
  <c r="T47" i="9"/>
  <c r="T49" i="9"/>
  <c r="T59" i="9"/>
  <c r="H59" i="9"/>
  <c r="I59" i="9"/>
  <c r="E59" i="9"/>
  <c r="F62" i="9"/>
  <c r="O71" i="9"/>
  <c r="O50" i="9"/>
  <c r="P74" i="9"/>
  <c r="P51" i="9"/>
  <c r="P48" i="9"/>
  <c r="P47" i="9"/>
  <c r="P49" i="9"/>
  <c r="R62" i="9"/>
  <c r="H62" i="9"/>
  <c r="K62" i="9"/>
  <c r="P62" i="9"/>
  <c r="J62" i="9"/>
  <c r="U62" i="9"/>
  <c r="Q62" i="9"/>
  <c r="Q74" i="9"/>
  <c r="Q51" i="9"/>
  <c r="Q48" i="9"/>
  <c r="Q47" i="9"/>
  <c r="Q49" i="9"/>
  <c r="R50" i="9"/>
  <c r="R71" i="9"/>
  <c r="S50" i="9"/>
  <c r="S71" i="9"/>
  <c r="T62" i="9"/>
  <c r="L62" i="9"/>
  <c r="E62" i="9"/>
  <c r="Q59" i="9"/>
  <c r="P71" i="9"/>
  <c r="P50" i="9"/>
  <c r="E74" i="9"/>
  <c r="E85" i="9"/>
  <c r="E80" i="9" s="1"/>
  <c r="R51" i="9"/>
  <c r="R74" i="9"/>
  <c r="R48" i="9"/>
  <c r="R47" i="9"/>
  <c r="R49" i="9"/>
  <c r="R59" i="9"/>
  <c r="I62" i="9"/>
  <c r="O62" i="9"/>
  <c r="Q71" i="9"/>
  <c r="Q50" i="9"/>
  <c r="S74" i="9"/>
  <c r="S51" i="9"/>
  <c r="S48" i="9"/>
  <c r="S47" i="9"/>
  <c r="S49" i="9"/>
  <c r="M59" i="9"/>
  <c r="N4" i="11"/>
  <c r="BR4" i="11"/>
  <c r="BN49" i="10"/>
  <c r="N50" i="10"/>
  <c r="BR23" i="10"/>
  <c r="BR24" i="10" s="1"/>
  <c r="BR15" i="12"/>
  <c r="BR16" i="12" s="1"/>
  <c r="AL15" i="12"/>
  <c r="AL16" i="12" s="1"/>
  <c r="BR33" i="6"/>
  <c r="BR34" i="6" s="1"/>
  <c r="BB50" i="10"/>
  <c r="AD50" i="10"/>
  <c r="BH49" i="10"/>
  <c r="V5" i="11"/>
  <c r="BB33" i="6"/>
  <c r="BB34" i="6" s="1"/>
  <c r="BB23" i="10"/>
  <c r="BB24" i="10" s="1"/>
  <c r="BB15" i="12"/>
  <c r="BB16" i="12" s="1"/>
  <c r="BM49" i="10"/>
  <c r="BO49" i="10"/>
  <c r="BP49" i="10"/>
  <c r="AS49" i="10"/>
  <c r="AD33" i="6"/>
  <c r="AD34" i="6" s="1"/>
  <c r="AD15" i="12"/>
  <c r="AD16" i="12" s="1"/>
  <c r="CB49" i="10"/>
  <c r="CC49" i="10"/>
  <c r="AL50" i="10"/>
  <c r="AH49" i="10"/>
  <c r="Z49" i="10"/>
  <c r="V12" i="11"/>
  <c r="V14" i="11" s="1"/>
  <c r="V13" i="8" s="1"/>
  <c r="F50" i="10"/>
  <c r="AD23" i="10"/>
  <c r="AD24" i="10" s="1"/>
  <c r="AU49" i="10"/>
  <c r="R49" i="10"/>
  <c r="V4" i="11"/>
  <c r="AY49" i="10"/>
  <c r="BA49" i="10"/>
  <c r="F23" i="10"/>
  <c r="F4" i="11"/>
  <c r="F15" i="12"/>
  <c r="F16" i="12" s="1"/>
  <c r="F12" i="11"/>
  <c r="F14" i="11" s="1"/>
  <c r="F13" i="8" s="1"/>
  <c r="F33" i="6"/>
  <c r="F34" i="6" s="1"/>
  <c r="BT49" i="10"/>
  <c r="AT49" i="10"/>
  <c r="AR49" i="10"/>
  <c r="BK49" i="10"/>
  <c r="J50" i="9"/>
  <c r="F50" i="9"/>
  <c r="I50" i="9"/>
  <c r="M50" i="9"/>
  <c r="L50" i="9"/>
  <c r="K50" i="9"/>
  <c r="G50" i="9"/>
  <c r="H51" i="9"/>
  <c r="H48" i="9"/>
  <c r="H47" i="9"/>
  <c r="H49" i="9"/>
  <c r="L51" i="9"/>
  <c r="L47" i="9"/>
  <c r="L48" i="9"/>
  <c r="L49" i="9"/>
  <c r="K51" i="9"/>
  <c r="K48" i="9"/>
  <c r="K47" i="9"/>
  <c r="K49" i="9"/>
  <c r="E51" i="9"/>
  <c r="E48" i="9"/>
  <c r="E47" i="9"/>
  <c r="E49" i="9"/>
  <c r="F51" i="9"/>
  <c r="F47" i="9"/>
  <c r="F48" i="9"/>
  <c r="F49" i="9"/>
  <c r="H50" i="9"/>
  <c r="G51" i="9"/>
  <c r="G47" i="9"/>
  <c r="G48" i="9"/>
  <c r="G49" i="9"/>
  <c r="E50" i="9"/>
  <c r="J51" i="9"/>
  <c r="J48" i="9"/>
  <c r="J47" i="9"/>
  <c r="J49" i="9"/>
  <c r="I51" i="9"/>
  <c r="I48" i="9"/>
  <c r="I47" i="9"/>
  <c r="I49" i="9"/>
  <c r="M51" i="9"/>
  <c r="M48" i="9"/>
  <c r="M47" i="9"/>
  <c r="M49" i="9"/>
  <c r="K39" i="13"/>
  <c r="N49" i="10"/>
  <c r="Y49" i="10"/>
  <c r="AF49" i="10"/>
  <c r="F69" i="13"/>
  <c r="L69" i="13" s="1"/>
  <c r="F66" i="13"/>
  <c r="F70" i="13"/>
  <c r="L70" i="13" s="1"/>
  <c r="K66" i="13"/>
  <c r="J66" i="13"/>
  <c r="K65" i="13"/>
  <c r="F65" i="13"/>
  <c r="J65" i="13"/>
  <c r="K64" i="13"/>
  <c r="J64" i="13"/>
  <c r="W49" i="10"/>
  <c r="V49" i="10"/>
  <c r="X49" i="10"/>
  <c r="O49" i="10"/>
  <c r="I49" i="10"/>
  <c r="AL49" i="10"/>
  <c r="AD49" i="10"/>
  <c r="L49" i="10"/>
  <c r="G49" i="10"/>
  <c r="AC49" i="10"/>
  <c r="AI49" i="10"/>
  <c r="F49" i="10"/>
  <c r="U49" i="10"/>
  <c r="AG49" i="10"/>
  <c r="I15" i="12"/>
  <c r="I16" i="12" s="1"/>
  <c r="I23" i="10"/>
  <c r="I33" i="6"/>
  <c r="I34" i="6" s="1"/>
  <c r="BV12" i="11"/>
  <c r="BV14" i="11" s="1"/>
  <c r="BV9" i="8" s="1"/>
  <c r="BV13" i="8" s="1"/>
  <c r="BV4" i="11"/>
  <c r="BV13" i="11"/>
  <c r="AE15" i="12"/>
  <c r="AE16" i="12" s="1"/>
  <c r="AE23" i="10"/>
  <c r="AE24" i="10" s="1"/>
  <c r="AE33" i="6"/>
  <c r="AE34" i="6" s="1"/>
  <c r="BN12" i="11"/>
  <c r="BN14" i="11" s="1"/>
  <c r="BN13" i="8" s="1"/>
  <c r="BN4" i="11"/>
  <c r="BN13" i="11"/>
  <c r="AQ49" i="10"/>
  <c r="BC15" i="12"/>
  <c r="BC16" i="12" s="1"/>
  <c r="BC23" i="10"/>
  <c r="BC24" i="10" s="1"/>
  <c r="BC33" i="6"/>
  <c r="BC34" i="6" s="1"/>
  <c r="AE12" i="11"/>
  <c r="AE14" i="11" s="1"/>
  <c r="AE13" i="8" s="1"/>
  <c r="AE13" i="11"/>
  <c r="AE4" i="11"/>
  <c r="BD50" i="10"/>
  <c r="BD5" i="11"/>
  <c r="CA15" i="12"/>
  <c r="CA16" i="12" s="1"/>
  <c r="CA23" i="10"/>
  <c r="CA24" i="10" s="1"/>
  <c r="CA33" i="6"/>
  <c r="CA34" i="6" s="1"/>
  <c r="W12" i="11"/>
  <c r="W14" i="11" s="1"/>
  <c r="W13" i="8" s="1"/>
  <c r="W13" i="11"/>
  <c r="W4" i="11"/>
  <c r="AM5" i="11"/>
  <c r="AM50" i="10"/>
  <c r="BI13" i="11"/>
  <c r="BI12" i="11"/>
  <c r="BI14" i="11" s="1"/>
  <c r="BI13" i="8" s="1"/>
  <c r="BI4" i="11"/>
  <c r="T49" i="10"/>
  <c r="CJ15" i="12"/>
  <c r="CJ16" i="12" s="1"/>
  <c r="CJ23" i="10"/>
  <c r="CJ24" i="10" s="1"/>
  <c r="CJ33" i="6"/>
  <c r="CJ34" i="6" s="1"/>
  <c r="AR13" i="11"/>
  <c r="AR12" i="11"/>
  <c r="AR14" i="11" s="1"/>
  <c r="AR13" i="8" s="1"/>
  <c r="AR4" i="11"/>
  <c r="P49" i="10"/>
  <c r="BO50" i="10"/>
  <c r="BO5" i="11"/>
  <c r="AY50" i="10"/>
  <c r="AY5" i="11"/>
  <c r="BB49" i="10"/>
  <c r="CE49" i="10"/>
  <c r="AB5" i="11"/>
  <c r="AB50" i="10"/>
  <c r="AW15" i="12"/>
  <c r="AW16" i="12" s="1"/>
  <c r="AW23" i="10"/>
  <c r="AW24" i="10" s="1"/>
  <c r="AW33" i="6"/>
  <c r="AW34" i="6" s="1"/>
  <c r="BX5" i="11"/>
  <c r="BX50" i="10"/>
  <c r="AN15" i="12"/>
  <c r="AN16" i="12" s="1"/>
  <c r="AN23" i="10"/>
  <c r="AN24" i="10" s="1"/>
  <c r="AN33" i="6"/>
  <c r="AN34" i="6" s="1"/>
  <c r="CD12" i="11"/>
  <c r="CD14" i="11" s="1"/>
  <c r="CD4" i="11"/>
  <c r="CD13" i="11"/>
  <c r="AV50" i="10"/>
  <c r="AV5" i="11"/>
  <c r="AN50" i="10"/>
  <c r="AN5" i="11"/>
  <c r="BE12" i="11"/>
  <c r="BE14" i="11" s="1"/>
  <c r="BE13" i="8" s="1"/>
  <c r="BE4" i="11"/>
  <c r="BE13" i="11"/>
  <c r="AP12" i="11"/>
  <c r="AP14" i="11" s="1"/>
  <c r="AP13" i="8" s="1"/>
  <c r="AP13" i="11"/>
  <c r="AP4" i="11"/>
  <c r="AY15" i="12"/>
  <c r="AY16" i="12" s="1"/>
  <c r="AY23" i="10"/>
  <c r="AY24" i="10" s="1"/>
  <c r="AY33" i="6"/>
  <c r="AY34" i="6" s="1"/>
  <c r="AO50" i="10"/>
  <c r="AO5" i="11"/>
  <c r="CE15" i="12"/>
  <c r="CE16" i="12" s="1"/>
  <c r="CE23" i="10"/>
  <c r="CE24" i="10" s="1"/>
  <c r="CE33" i="6"/>
  <c r="CE34" i="6" s="1"/>
  <c r="BS15" i="12"/>
  <c r="BS16" i="12" s="1"/>
  <c r="BS23" i="10"/>
  <c r="BS24" i="10" s="1"/>
  <c r="BS33" i="6"/>
  <c r="BS34" i="6" s="1"/>
  <c r="AF15" i="12"/>
  <c r="AF16" i="12" s="1"/>
  <c r="AF23" i="10"/>
  <c r="AF24" i="10" s="1"/>
  <c r="AF33" i="6"/>
  <c r="AF34" i="6" s="1"/>
  <c r="J12" i="11"/>
  <c r="J14" i="11" s="1"/>
  <c r="J13" i="8" s="1"/>
  <c r="J13" i="11"/>
  <c r="J4" i="11"/>
  <c r="BH13" i="11"/>
  <c r="BH12" i="11"/>
  <c r="BH14" i="11" s="1"/>
  <c r="BH13" i="8" s="1"/>
  <c r="BH4" i="11"/>
  <c r="BY5" i="11"/>
  <c r="BY50" i="10"/>
  <c r="AX12" i="11"/>
  <c r="AX14" i="11" s="1"/>
  <c r="AX13" i="8" s="1"/>
  <c r="AX4" i="11"/>
  <c r="AX13" i="11"/>
  <c r="AU15" i="12"/>
  <c r="AU16" i="12" s="1"/>
  <c r="AU23" i="10"/>
  <c r="AU24" i="10" s="1"/>
  <c r="AU33" i="6"/>
  <c r="AU34" i="6" s="1"/>
  <c r="L5" i="11"/>
  <c r="L50" i="10"/>
  <c r="P15" i="12"/>
  <c r="P16" i="12" s="1"/>
  <c r="P23" i="10"/>
  <c r="P33" i="6"/>
  <c r="P34" i="6" s="1"/>
  <c r="T13" i="11"/>
  <c r="T12" i="11"/>
  <c r="T14" i="11" s="1"/>
  <c r="T13" i="8" s="1"/>
  <c r="T4" i="11"/>
  <c r="AH15" i="12"/>
  <c r="AH16" i="12" s="1"/>
  <c r="AH23" i="10"/>
  <c r="AH24" i="10" s="1"/>
  <c r="AH33" i="6"/>
  <c r="AH34" i="6" s="1"/>
  <c r="BT50" i="10"/>
  <c r="BT5" i="11"/>
  <c r="P12" i="11"/>
  <c r="P14" i="11" s="1"/>
  <c r="P13" i="8" s="1"/>
  <c r="P13" i="11"/>
  <c r="P4" i="11"/>
  <c r="AH50" i="10"/>
  <c r="AH5" i="11"/>
  <c r="CE4" i="11"/>
  <c r="CE13" i="11"/>
  <c r="CE12" i="11"/>
  <c r="CE14" i="11" s="1"/>
  <c r="BS5" i="11"/>
  <c r="BS50" i="10"/>
  <c r="R12" i="11"/>
  <c r="R14" i="11" s="1"/>
  <c r="R13" i="8" s="1"/>
  <c r="R13" i="11"/>
  <c r="R4" i="11"/>
  <c r="BU15" i="12"/>
  <c r="BU16" i="12" s="1"/>
  <c r="BU23" i="10"/>
  <c r="BU24" i="10" s="1"/>
  <c r="BU33" i="6"/>
  <c r="BU34" i="6" s="1"/>
  <c r="AC5" i="11"/>
  <c r="AC50" i="10"/>
  <c r="Z12" i="11"/>
  <c r="Z14" i="11" s="1"/>
  <c r="Z13" i="8" s="1"/>
  <c r="Z13" i="11"/>
  <c r="Z4" i="11"/>
  <c r="BL12" i="11"/>
  <c r="BL14" i="11" s="1"/>
  <c r="BL13" i="8" s="1"/>
  <c r="BL4" i="11"/>
  <c r="BL13" i="11"/>
  <c r="AG50" i="10"/>
  <c r="AG5" i="11"/>
  <c r="AO49" i="10"/>
  <c r="AQ13" i="11"/>
  <c r="AQ12" i="11"/>
  <c r="AQ14" i="11" s="1"/>
  <c r="AQ13" i="8" s="1"/>
  <c r="AQ4" i="11"/>
  <c r="AF12" i="11"/>
  <c r="AF14" i="11" s="1"/>
  <c r="AF13" i="8" s="1"/>
  <c r="AF13" i="11"/>
  <c r="AF4" i="11"/>
  <c r="I50" i="10"/>
  <c r="I5" i="11"/>
  <c r="BD12" i="11"/>
  <c r="BD14" i="11" s="1"/>
  <c r="BD13" i="8" s="1"/>
  <c r="BD4" i="11"/>
  <c r="BD13" i="11"/>
  <c r="S15" i="12"/>
  <c r="S16" i="12" s="1"/>
  <c r="S23" i="10"/>
  <c r="S33" i="6"/>
  <c r="S34" i="6" s="1"/>
  <c r="CJ50" i="10"/>
  <c r="CJ5" i="11"/>
  <c r="Y15" i="12"/>
  <c r="Y16" i="12" s="1"/>
  <c r="Y23" i="10"/>
  <c r="Y33" i="6"/>
  <c r="Y34" i="6" s="1"/>
  <c r="L15" i="12"/>
  <c r="L16" i="12" s="1"/>
  <c r="L23" i="10"/>
  <c r="L33" i="6"/>
  <c r="L34" i="6" s="1"/>
  <c r="Y50" i="10"/>
  <c r="Y5" i="11"/>
  <c r="O5" i="11"/>
  <c r="O50" i="10"/>
  <c r="U13" i="11"/>
  <c r="U12" i="11"/>
  <c r="U14" i="11" s="1"/>
  <c r="U13" i="8" s="1"/>
  <c r="U4" i="11"/>
  <c r="BP5" i="11"/>
  <c r="BP50" i="10"/>
  <c r="AS13" i="11"/>
  <c r="AS12" i="11"/>
  <c r="AS14" i="11" s="1"/>
  <c r="AS13" i="8" s="1"/>
  <c r="AS4" i="11"/>
  <c r="AM49" i="10"/>
  <c r="AZ5" i="11"/>
  <c r="AZ50" i="10"/>
  <c r="CI12" i="11"/>
  <c r="CI14" i="11" s="1"/>
  <c r="CI4" i="11"/>
  <c r="CI13" i="11"/>
  <c r="AB15" i="12"/>
  <c r="AB16" i="12" s="1"/>
  <c r="AB23" i="10"/>
  <c r="AB33" i="6"/>
  <c r="AB34" i="6" s="1"/>
  <c r="Q50" i="10"/>
  <c r="Q5" i="11"/>
  <c r="E5" i="11"/>
  <c r="E50" i="10"/>
  <c r="BQ13" i="11"/>
  <c r="BQ12" i="11"/>
  <c r="BQ14" i="11" s="1"/>
  <c r="BQ13" i="8" s="1"/>
  <c r="BQ4" i="11"/>
  <c r="AY4" i="11"/>
  <c r="AY13" i="11"/>
  <c r="AY12" i="11"/>
  <c r="AY14" i="11" s="1"/>
  <c r="AY13" i="8" s="1"/>
  <c r="K50" i="10"/>
  <c r="K5" i="11"/>
  <c r="BK15" i="12"/>
  <c r="BK16" i="12" s="1"/>
  <c r="BK23" i="10"/>
  <c r="BK24" i="10" s="1"/>
  <c r="BK33" i="6"/>
  <c r="BK34" i="6" s="1"/>
  <c r="AB49" i="10"/>
  <c r="BX49" i="10"/>
  <c r="BO15" i="12"/>
  <c r="BO16" i="12" s="1"/>
  <c r="BO23" i="10"/>
  <c r="BO24" i="10" s="1"/>
  <c r="BO33" i="6"/>
  <c r="BO34" i="6" s="1"/>
  <c r="BJ49" i="10"/>
  <c r="AR15" i="12"/>
  <c r="AR16" i="12" s="1"/>
  <c r="AR23" i="10"/>
  <c r="AR24" i="10" s="1"/>
  <c r="AR33" i="6"/>
  <c r="AR34" i="6" s="1"/>
  <c r="AP15" i="12"/>
  <c r="AP16" i="12" s="1"/>
  <c r="AP23" i="10"/>
  <c r="AP24" i="10" s="1"/>
  <c r="AP33" i="6"/>
  <c r="AP34" i="6" s="1"/>
  <c r="AV49" i="10"/>
  <c r="AJ5" i="11"/>
  <c r="AJ50" i="10"/>
  <c r="BL49" i="10"/>
  <c r="AN49" i="10"/>
  <c r="CD15" i="12"/>
  <c r="CD16" i="12" s="1"/>
  <c r="CD23" i="10"/>
  <c r="CD24" i="10" s="1"/>
  <c r="CD33" i="6"/>
  <c r="CD34" i="6" s="1"/>
  <c r="S50" i="10"/>
  <c r="S5" i="11"/>
  <c r="CA5" i="11"/>
  <c r="CA50" i="10"/>
  <c r="CG5" i="11"/>
  <c r="CG50" i="10"/>
  <c r="AO12" i="11"/>
  <c r="AO14" i="11" s="1"/>
  <c r="AO13" i="8" s="1"/>
  <c r="AO13" i="11"/>
  <c r="AO4" i="11"/>
  <c r="J15" i="12"/>
  <c r="J16" i="12" s="1"/>
  <c r="J23" i="10"/>
  <c r="J33" i="6"/>
  <c r="J34" i="6" s="1"/>
  <c r="B33" i="6"/>
  <c r="B34" i="6" s="1"/>
  <c r="B18" i="6"/>
  <c r="C33" i="6"/>
  <c r="C34" i="6" s="1"/>
  <c r="C18" i="6"/>
  <c r="CB50" i="10"/>
  <c r="CB5" i="11"/>
  <c r="BD49" i="10"/>
  <c r="X50" i="10"/>
  <c r="X5" i="11"/>
  <c r="CG15" i="12"/>
  <c r="CG16" i="12" s="1"/>
  <c r="CG23" i="10"/>
  <c r="CG24" i="10" s="1"/>
  <c r="CG33" i="6"/>
  <c r="CG34" i="6" s="1"/>
  <c r="BV15" i="12"/>
  <c r="BV16" i="12" s="1"/>
  <c r="BV23" i="10"/>
  <c r="BV24" i="10" s="1"/>
  <c r="BV33" i="6"/>
  <c r="BV34" i="6" s="1"/>
  <c r="U15" i="12"/>
  <c r="U16" i="12" s="1"/>
  <c r="U23" i="10"/>
  <c r="U33" i="6"/>
  <c r="U34" i="6" s="1"/>
  <c r="AQ15" i="12"/>
  <c r="AQ16" i="12" s="1"/>
  <c r="AQ23" i="10"/>
  <c r="AQ24" i="10" s="1"/>
  <c r="AQ33" i="6"/>
  <c r="AQ34" i="6" s="1"/>
  <c r="BK5" i="11"/>
  <c r="BK50" i="10"/>
  <c r="AM12" i="11"/>
  <c r="AM14" i="11" s="1"/>
  <c r="AM13" i="8" s="1"/>
  <c r="AM13" i="11"/>
  <c r="AM4" i="11"/>
  <c r="Q15" i="12"/>
  <c r="Q16" i="12" s="1"/>
  <c r="Q23" i="10"/>
  <c r="Q33" i="6"/>
  <c r="Q34" i="6" s="1"/>
  <c r="E15" i="12"/>
  <c r="E16" i="12" s="1"/>
  <c r="E23" i="10"/>
  <c r="E33" i="6"/>
  <c r="E34" i="6" s="1"/>
  <c r="D18" i="6"/>
  <c r="D33" i="6"/>
  <c r="D34" i="6" s="1"/>
  <c r="BO4" i="11"/>
  <c r="BO13" i="11"/>
  <c r="BO12" i="11"/>
  <c r="BO14" i="11" s="1"/>
  <c r="BO13" i="8" s="1"/>
  <c r="Q49" i="10"/>
  <c r="AH12" i="11"/>
  <c r="AH14" i="11" s="1"/>
  <c r="AH13" i="8" s="1"/>
  <c r="AH13" i="11"/>
  <c r="AH4" i="11"/>
  <c r="AC15" i="12"/>
  <c r="AC16" i="12" s="1"/>
  <c r="AC23" i="10"/>
  <c r="AC33" i="6"/>
  <c r="AC34" i="6" s="1"/>
  <c r="K49" i="10"/>
  <c r="BI15" i="12"/>
  <c r="BI16" i="12" s="1"/>
  <c r="BI23" i="10"/>
  <c r="BI24" i="10" s="1"/>
  <c r="BI33" i="6"/>
  <c r="BI34" i="6" s="1"/>
  <c r="BS49" i="10"/>
  <c r="AA50" i="10"/>
  <c r="AA5" i="11"/>
  <c r="AB13" i="11"/>
  <c r="AB12" i="11"/>
  <c r="AB14" i="11" s="1"/>
  <c r="AB13" i="8" s="1"/>
  <c r="AB4" i="11"/>
  <c r="BX13" i="11"/>
  <c r="BX12" i="11"/>
  <c r="BX14" i="11" s="1"/>
  <c r="BX4" i="11"/>
  <c r="M5" i="11"/>
  <c r="M50" i="10"/>
  <c r="BT15" i="12"/>
  <c r="BT16" i="12" s="1"/>
  <c r="BT23" i="10"/>
  <c r="BT24" i="10" s="1"/>
  <c r="BT33" i="6"/>
  <c r="BT34" i="6" s="1"/>
  <c r="BA5" i="11"/>
  <c r="BA50" i="10"/>
  <c r="AV12" i="11"/>
  <c r="AV14" i="11" s="1"/>
  <c r="AV13" i="8" s="1"/>
  <c r="AV4" i="11"/>
  <c r="AV13" i="11"/>
  <c r="BC5" i="11"/>
  <c r="BC50" i="10"/>
  <c r="AN12" i="11"/>
  <c r="AN14" i="11" s="1"/>
  <c r="AN13" i="8" s="1"/>
  <c r="AN13" i="11"/>
  <c r="AN4" i="11"/>
  <c r="BU50" i="10"/>
  <c r="BU5" i="11"/>
  <c r="BG50" i="10"/>
  <c r="BG5" i="11"/>
  <c r="AG12" i="11"/>
  <c r="AG14" i="11" s="1"/>
  <c r="AG13" i="8" s="1"/>
  <c r="AG13" i="11"/>
  <c r="AG4" i="11"/>
  <c r="S49" i="10"/>
  <c r="AK5" i="11"/>
  <c r="AK50" i="10"/>
  <c r="BE15" i="12"/>
  <c r="BE16" i="12" s="1"/>
  <c r="BE23" i="10"/>
  <c r="BE24" i="10" s="1"/>
  <c r="BE33" i="6"/>
  <c r="BE34" i="6" s="1"/>
  <c r="BL15" i="12"/>
  <c r="BL16" i="12" s="1"/>
  <c r="BL23" i="10"/>
  <c r="BL24" i="10" s="1"/>
  <c r="BL33" i="6"/>
  <c r="BL34" i="6" s="1"/>
  <c r="AI50" i="10"/>
  <c r="AI5" i="11"/>
  <c r="I12" i="11"/>
  <c r="I14" i="11" s="1"/>
  <c r="I13" i="8" s="1"/>
  <c r="I13" i="11"/>
  <c r="I4" i="11"/>
  <c r="BN15" i="12"/>
  <c r="BN16" i="12" s="1"/>
  <c r="BN23" i="10"/>
  <c r="BN24" i="10" s="1"/>
  <c r="BN33" i="6"/>
  <c r="BN34" i="6" s="1"/>
  <c r="BG15" i="12"/>
  <c r="BG16" i="12" s="1"/>
  <c r="BG23" i="10"/>
  <c r="BG24" i="10" s="1"/>
  <c r="BG33" i="6"/>
  <c r="BG34" i="6" s="1"/>
  <c r="AS15" i="12"/>
  <c r="AS16" i="12" s="1"/>
  <c r="AS23" i="10"/>
  <c r="AS24" i="10" s="1"/>
  <c r="AS33" i="6"/>
  <c r="AS34" i="6" s="1"/>
  <c r="BY13" i="11"/>
  <c r="BY12" i="11"/>
  <c r="BY14" i="11" s="1"/>
  <c r="BY4" i="11"/>
  <c r="Y12" i="11"/>
  <c r="Y14" i="11" s="1"/>
  <c r="Y13" i="8" s="1"/>
  <c r="Y13" i="11"/>
  <c r="Y4" i="11"/>
  <c r="L13" i="11"/>
  <c r="L12" i="11"/>
  <c r="L14" i="11" s="1"/>
  <c r="L13" i="8" s="1"/>
  <c r="L4" i="11"/>
  <c r="BW50" i="10"/>
  <c r="BW5" i="11"/>
  <c r="AZ49" i="10"/>
  <c r="G5" i="11"/>
  <c r="G50" i="10"/>
  <c r="BT12" i="11"/>
  <c r="BT14" i="11" s="1"/>
  <c r="BT13" i="8" s="1"/>
  <c r="BT4" i="11"/>
  <c r="BT13" i="11"/>
  <c r="Q12" i="11"/>
  <c r="Q14" i="11" s="1"/>
  <c r="Q13" i="8" s="1"/>
  <c r="Q13" i="11"/>
  <c r="Q4" i="11"/>
  <c r="E49" i="10"/>
  <c r="CF5" i="11"/>
  <c r="CF50" i="10"/>
  <c r="Z15" i="12"/>
  <c r="Z16" i="12" s="1"/>
  <c r="Z23" i="10"/>
  <c r="Z33" i="6"/>
  <c r="Z34" i="6" s="1"/>
  <c r="K13" i="11"/>
  <c r="K12" i="11"/>
  <c r="K14" i="11" s="1"/>
  <c r="K13" i="8" s="1"/>
  <c r="K4" i="11"/>
  <c r="BS12" i="11"/>
  <c r="BS14" i="11" s="1"/>
  <c r="BS13" i="8" s="1"/>
  <c r="BS4" i="11"/>
  <c r="BS13" i="11"/>
  <c r="BR49" i="10"/>
  <c r="AC13" i="11"/>
  <c r="AC12" i="11"/>
  <c r="AC14" i="11" s="1"/>
  <c r="AC13" i="8" s="1"/>
  <c r="AC4" i="11"/>
  <c r="AJ49" i="10"/>
  <c r="H50" i="10"/>
  <c r="H5" i="11"/>
  <c r="BU49" i="10"/>
  <c r="S13" i="11"/>
  <c r="S12" i="11"/>
  <c r="S14" i="11" s="1"/>
  <c r="S13" i="8" s="1"/>
  <c r="S4" i="11"/>
  <c r="CA49" i="10"/>
  <c r="BM15" i="12"/>
  <c r="BM16" i="12" s="1"/>
  <c r="BM23" i="10"/>
  <c r="BM24" i="10" s="1"/>
  <c r="BM33" i="6"/>
  <c r="BM34" i="6" s="1"/>
  <c r="AA15" i="12"/>
  <c r="AA16" i="12" s="1"/>
  <c r="AA23" i="10"/>
  <c r="AA33" i="6"/>
  <c r="AA34" i="6" s="1"/>
  <c r="BX15" i="12"/>
  <c r="BX16" i="12" s="1"/>
  <c r="BX23" i="10"/>
  <c r="BX24" i="10" s="1"/>
  <c r="BX33" i="6"/>
  <c r="BX34" i="6" s="1"/>
  <c r="AE5" i="11"/>
  <c r="AE50" i="10"/>
  <c r="AX15" i="12"/>
  <c r="AX16" i="12" s="1"/>
  <c r="AX23" i="10"/>
  <c r="AX24" i="10" s="1"/>
  <c r="AX33" i="6"/>
  <c r="AX34" i="6" s="1"/>
  <c r="BM50" i="10"/>
  <c r="BM5" i="11"/>
  <c r="CJ12" i="11"/>
  <c r="CJ14" i="11" s="1"/>
  <c r="CJ4" i="11"/>
  <c r="CJ13" i="11"/>
  <c r="W5" i="11"/>
  <c r="W50" i="10"/>
  <c r="O12" i="11"/>
  <c r="O14" i="11" s="1"/>
  <c r="O13" i="8" s="1"/>
  <c r="O13" i="11"/>
  <c r="O4" i="11"/>
  <c r="BP13" i="11"/>
  <c r="BP12" i="11"/>
  <c r="BP14" i="11" s="1"/>
  <c r="BP13" i="8" s="1"/>
  <c r="BP4" i="11"/>
  <c r="BF50" i="10"/>
  <c r="BF5" i="11"/>
  <c r="G15" i="12"/>
  <c r="G16" i="12" s="1"/>
  <c r="G23" i="10"/>
  <c r="G33" i="6"/>
  <c r="G34" i="6" s="1"/>
  <c r="BH15" i="12"/>
  <c r="BH16" i="12" s="1"/>
  <c r="BH23" i="10"/>
  <c r="BH24" i="10" s="1"/>
  <c r="BH33" i="6"/>
  <c r="BH34" i="6" s="1"/>
  <c r="BI5" i="11"/>
  <c r="BI50" i="10"/>
  <c r="AR5" i="11"/>
  <c r="AR50" i="10"/>
  <c r="AZ13" i="11"/>
  <c r="AZ12" i="11"/>
  <c r="AZ14" i="11" s="1"/>
  <c r="AZ13" i="8" s="1"/>
  <c r="AZ4" i="11"/>
  <c r="BP15" i="12"/>
  <c r="BP16" i="12" s="1"/>
  <c r="BP23" i="10"/>
  <c r="BP24" i="10" s="1"/>
  <c r="BP33" i="6"/>
  <c r="BP34" i="6" s="1"/>
  <c r="E13" i="11"/>
  <c r="E12" i="11"/>
  <c r="E14" i="11" s="1"/>
  <c r="E4" i="11"/>
  <c r="AA49" i="10"/>
  <c r="BW15" i="12"/>
  <c r="BW16" i="12" s="1"/>
  <c r="BW23" i="10"/>
  <c r="BW24" i="10" s="1"/>
  <c r="BW33" i="6"/>
  <c r="BW34" i="6" s="1"/>
  <c r="CC50" i="10"/>
  <c r="CC5" i="11"/>
  <c r="M49" i="10"/>
  <c r="AG15" i="12"/>
  <c r="AG16" i="12" s="1"/>
  <c r="AG23" i="10"/>
  <c r="AG24" i="10" s="1"/>
  <c r="AG33" i="6"/>
  <c r="AG34" i="6" s="1"/>
  <c r="AK15" i="12"/>
  <c r="AK16" i="12" s="1"/>
  <c r="AK23" i="10"/>
  <c r="AK24" i="10" s="1"/>
  <c r="AK33" i="6"/>
  <c r="AK34" i="6" s="1"/>
  <c r="AW50" i="10"/>
  <c r="AW5" i="11"/>
  <c r="AJ13" i="11"/>
  <c r="AJ12" i="11"/>
  <c r="AJ14" i="11" s="1"/>
  <c r="AJ13" i="8" s="1"/>
  <c r="AJ4" i="11"/>
  <c r="BU12" i="11"/>
  <c r="BU14" i="11" s="1"/>
  <c r="BU13" i="8" s="1"/>
  <c r="BU4" i="11"/>
  <c r="BU13" i="11"/>
  <c r="BG49" i="10"/>
  <c r="CF15" i="12"/>
  <c r="CF16" i="12" s="1"/>
  <c r="CF23" i="10"/>
  <c r="CF24" i="10" s="1"/>
  <c r="CF33" i="6"/>
  <c r="CF34" i="6" s="1"/>
  <c r="CA12" i="11"/>
  <c r="CA14" i="11" s="1"/>
  <c r="CA4" i="11"/>
  <c r="CA13" i="11"/>
  <c r="CG13" i="11"/>
  <c r="CG12" i="11"/>
  <c r="CG14" i="11" s="1"/>
  <c r="CG4" i="11"/>
  <c r="AK49" i="10"/>
  <c r="AU12" i="11"/>
  <c r="AU14" i="11" s="1"/>
  <c r="AU13" i="8" s="1"/>
  <c r="AU4" i="11"/>
  <c r="AU13" i="11"/>
  <c r="BN50" i="10"/>
  <c r="BN5" i="11"/>
  <c r="AU5" i="11"/>
  <c r="AU50" i="10"/>
  <c r="CB12" i="11"/>
  <c r="CB14" i="11" s="1"/>
  <c r="CB4" i="11"/>
  <c r="CB13" i="11"/>
  <c r="X12" i="11"/>
  <c r="X14" i="11" s="1"/>
  <c r="X13" i="8" s="1"/>
  <c r="X13" i="11"/>
  <c r="X4" i="11"/>
  <c r="BH5" i="11"/>
  <c r="BH50" i="10"/>
  <c r="AI15" i="12"/>
  <c r="AI16" i="12" s="1"/>
  <c r="AI23" i="10"/>
  <c r="AI24" i="10" s="1"/>
  <c r="AI33" i="6"/>
  <c r="AI34" i="6" s="1"/>
  <c r="BK12" i="11"/>
  <c r="BK14" i="11" s="1"/>
  <c r="BK13" i="8" s="1"/>
  <c r="BK4" i="11"/>
  <c r="BK13" i="11"/>
  <c r="T5" i="11"/>
  <c r="T50" i="10"/>
  <c r="BW4" i="11"/>
  <c r="BW13" i="11"/>
  <c r="BW12" i="11"/>
  <c r="BW14" i="11" s="1"/>
  <c r="BY15" i="12"/>
  <c r="BY16" i="12" s="1"/>
  <c r="BY23" i="10"/>
  <c r="BY24" i="10" s="1"/>
  <c r="BY33" i="6"/>
  <c r="BY34" i="6" s="1"/>
  <c r="P50" i="10"/>
  <c r="P5" i="11"/>
  <c r="R15" i="12"/>
  <c r="R16" i="12" s="1"/>
  <c r="R23" i="10"/>
  <c r="R33" i="6"/>
  <c r="R34" i="6" s="1"/>
  <c r="CC15" i="12"/>
  <c r="CC16" i="12" s="1"/>
  <c r="CC23" i="10"/>
  <c r="CC24" i="10" s="1"/>
  <c r="CC33" i="6"/>
  <c r="CC34" i="6" s="1"/>
  <c r="M15" i="12"/>
  <c r="M16" i="12" s="1"/>
  <c r="M23" i="10"/>
  <c r="M33" i="6"/>
  <c r="M34" i="6" s="1"/>
  <c r="CF49" i="10"/>
  <c r="AV15" i="12"/>
  <c r="AV16" i="12" s="1"/>
  <c r="AV23" i="10"/>
  <c r="AV24" i="10" s="1"/>
  <c r="AV33" i="6"/>
  <c r="AV34" i="6" s="1"/>
  <c r="AA13" i="11"/>
  <c r="AA12" i="11"/>
  <c r="AA14" i="11" s="1"/>
  <c r="AA13" i="8" s="1"/>
  <c r="AA4" i="11"/>
  <c r="AJ15" i="12"/>
  <c r="AJ16" i="12" s="1"/>
  <c r="AJ23" i="10"/>
  <c r="AJ24" i="10" s="1"/>
  <c r="AJ33" i="6"/>
  <c r="AJ34" i="6" s="1"/>
  <c r="H15" i="12"/>
  <c r="H16" i="12" s="1"/>
  <c r="H23" i="10"/>
  <c r="H33" i="6"/>
  <c r="H34" i="6" s="1"/>
  <c r="M13" i="11"/>
  <c r="M12" i="11"/>
  <c r="M14" i="11" s="1"/>
  <c r="M13" i="8" s="1"/>
  <c r="M4" i="11"/>
  <c r="CD50" i="10"/>
  <c r="CD5" i="11"/>
  <c r="AZ15" i="12"/>
  <c r="AZ16" i="12" s="1"/>
  <c r="AZ23" i="10"/>
  <c r="AZ24" i="10" s="1"/>
  <c r="AZ33" i="6"/>
  <c r="AZ34" i="6" s="1"/>
  <c r="CI15" i="12"/>
  <c r="CI16" i="12" s="1"/>
  <c r="CI23" i="10"/>
  <c r="CI24" i="10" s="1"/>
  <c r="CI33" i="6"/>
  <c r="CI34" i="6" s="1"/>
  <c r="BA13" i="11"/>
  <c r="BA12" i="11"/>
  <c r="BA14" i="11" s="1"/>
  <c r="BA13" i="8" s="1"/>
  <c r="BA4" i="11"/>
  <c r="AW49" i="10"/>
  <c r="H49" i="10"/>
  <c r="BC12" i="11"/>
  <c r="BC14" i="11" s="1"/>
  <c r="BC13" i="8" s="1"/>
  <c r="BC4" i="11"/>
  <c r="BC13" i="11"/>
  <c r="BE50" i="10"/>
  <c r="BE5" i="11"/>
  <c r="AP50" i="10"/>
  <c r="AP5" i="11"/>
  <c r="BG4" i="11"/>
  <c r="BG13" i="11"/>
  <c r="BG12" i="11"/>
  <c r="BG14" i="11" s="1"/>
  <c r="BG13" i="8" s="1"/>
  <c r="K15" i="12"/>
  <c r="K16" i="12" s="1"/>
  <c r="K23" i="10"/>
  <c r="K33" i="6"/>
  <c r="K34" i="6" s="1"/>
  <c r="AK13" i="11"/>
  <c r="AK12" i="11"/>
  <c r="AK14" i="11" s="1"/>
  <c r="AK13" i="8" s="1"/>
  <c r="AK4" i="11"/>
  <c r="X15" i="12"/>
  <c r="X16" i="12" s="1"/>
  <c r="X23" i="10"/>
  <c r="X33" i="6"/>
  <c r="X34" i="6" s="1"/>
  <c r="BA15" i="12"/>
  <c r="BA16" i="12" s="1"/>
  <c r="BA23" i="10"/>
  <c r="BA24" i="10" s="1"/>
  <c r="BA33" i="6"/>
  <c r="BA34" i="6" s="1"/>
  <c r="BV50" i="10"/>
  <c r="BV5" i="11"/>
  <c r="AQ50" i="10"/>
  <c r="AQ5" i="11"/>
  <c r="AF50" i="10"/>
  <c r="AF5" i="11"/>
  <c r="AI13" i="11"/>
  <c r="AI12" i="11"/>
  <c r="AI14" i="11" s="1"/>
  <c r="AI13" i="8" s="1"/>
  <c r="AI4" i="11"/>
  <c r="AE49" i="10"/>
  <c r="J50" i="10"/>
  <c r="J5" i="11"/>
  <c r="BM12" i="11"/>
  <c r="BM14" i="11" s="1"/>
  <c r="BM13" i="8" s="1"/>
  <c r="BM4" i="11"/>
  <c r="BM13" i="11"/>
  <c r="W15" i="12"/>
  <c r="W16" i="12" s="1"/>
  <c r="W23" i="10"/>
  <c r="W33" i="6"/>
  <c r="W34" i="6" s="1"/>
  <c r="O15" i="12"/>
  <c r="O16" i="12" s="1"/>
  <c r="O23" i="10"/>
  <c r="O33" i="6"/>
  <c r="O34" i="6" s="1"/>
  <c r="AX50" i="10"/>
  <c r="AX5" i="11"/>
  <c r="AM15" i="12"/>
  <c r="AM16" i="12" s="1"/>
  <c r="AM23" i="10"/>
  <c r="AM24" i="10" s="1"/>
  <c r="AM33" i="6"/>
  <c r="AM34" i="6" s="1"/>
  <c r="T15" i="12"/>
  <c r="T16" i="12" s="1"/>
  <c r="T23" i="10"/>
  <c r="T33" i="6"/>
  <c r="T34" i="6" s="1"/>
  <c r="U5" i="11"/>
  <c r="U50" i="10"/>
  <c r="CB15" i="12"/>
  <c r="CB16" i="12" s="1"/>
  <c r="CB23" i="10"/>
  <c r="CB24" i="10" s="1"/>
  <c r="CB33" i="6"/>
  <c r="CB34" i="6" s="1"/>
  <c r="AS5" i="11"/>
  <c r="AS50" i="10"/>
  <c r="BF12" i="11"/>
  <c r="BF14" i="11" s="1"/>
  <c r="BF13" i="8" s="1"/>
  <c r="BF4" i="11"/>
  <c r="BF13" i="11"/>
  <c r="BD15" i="12"/>
  <c r="BD16" i="12" s="1"/>
  <c r="BD23" i="10"/>
  <c r="BD24" i="10" s="1"/>
  <c r="BD33" i="6"/>
  <c r="BD34" i="6" s="1"/>
  <c r="BI49" i="10"/>
  <c r="BF15" i="12"/>
  <c r="BF16" i="12" s="1"/>
  <c r="BF23" i="10"/>
  <c r="BF24" i="10" s="1"/>
  <c r="BF33" i="6"/>
  <c r="BF34" i="6" s="1"/>
  <c r="CI5" i="11"/>
  <c r="CI50" i="10"/>
  <c r="G12" i="11"/>
  <c r="G14" i="11" s="1"/>
  <c r="G13" i="8" s="1"/>
  <c r="G13" i="11"/>
  <c r="G4" i="11"/>
  <c r="BQ5" i="11"/>
  <c r="BQ50" i="10"/>
  <c r="CF13" i="11"/>
  <c r="CF12" i="11"/>
  <c r="CF14" i="11" s="1"/>
  <c r="CF4" i="11"/>
  <c r="CE50" i="10"/>
  <c r="CE5" i="11"/>
  <c r="R50" i="10"/>
  <c r="R5" i="11"/>
  <c r="CC12" i="11"/>
  <c r="CC14" i="11" s="1"/>
  <c r="CC4" i="11"/>
  <c r="CC13" i="11"/>
  <c r="Z50" i="10"/>
  <c r="Z5" i="11"/>
  <c r="AO15" i="12"/>
  <c r="AO16" i="12" s="1"/>
  <c r="AO23" i="10"/>
  <c r="AO24" i="10" s="1"/>
  <c r="AO33" i="6"/>
  <c r="AO34" i="6" s="1"/>
  <c r="AW12" i="11"/>
  <c r="AW14" i="11" s="1"/>
  <c r="AW13" i="8" s="1"/>
  <c r="AW4" i="11"/>
  <c r="AW13" i="11"/>
  <c r="BL50" i="10"/>
  <c r="BL5" i="11"/>
  <c r="H12" i="11"/>
  <c r="H14" i="11" s="1"/>
  <c r="H13" i="8" s="1"/>
  <c r="H13" i="11"/>
  <c r="H4" i="11"/>
  <c r="BE49" i="10"/>
  <c r="BQ15" i="12"/>
  <c r="BQ16" i="12" s="1"/>
  <c r="BQ23" i="10"/>
  <c r="BQ24" i="10" s="1"/>
  <c r="BQ33" i="6"/>
  <c r="BQ34" i="6" s="1"/>
  <c r="W17" i="9"/>
  <c r="W15" i="9"/>
  <c r="BD15" i="9"/>
  <c r="BD17" i="9"/>
  <c r="BZ15" i="9"/>
  <c r="BZ17" i="9"/>
  <c r="AE17" i="9"/>
  <c r="AE15" i="9"/>
  <c r="BB17" i="9"/>
  <c r="BB15" i="9"/>
  <c r="BP17" i="9"/>
  <c r="BP15" i="9"/>
  <c r="AF15" i="9"/>
  <c r="AF17" i="9"/>
  <c r="CC15" i="9"/>
  <c r="CC17" i="9"/>
  <c r="AN17" i="9"/>
  <c r="AN15" i="9"/>
  <c r="CA17" i="9"/>
  <c r="CA15" i="9"/>
  <c r="AS17" i="9"/>
  <c r="AS15" i="9"/>
  <c r="BF15" i="9"/>
  <c r="BF17" i="9"/>
  <c r="AX15" i="9"/>
  <c r="AX17" i="9"/>
  <c r="AG17" i="9"/>
  <c r="AG15" i="9"/>
  <c r="AK17" i="9"/>
  <c r="AK15" i="9"/>
  <c r="BJ17" i="9"/>
  <c r="BJ15" i="9"/>
  <c r="BS15" i="9"/>
  <c r="BS17" i="9"/>
  <c r="BH17" i="9"/>
  <c r="BH15" i="9"/>
  <c r="AP15" i="9"/>
  <c r="AP17" i="9"/>
  <c r="R15" i="9"/>
  <c r="R17" i="9"/>
  <c r="CD15" i="9"/>
  <c r="CD17" i="9"/>
  <c r="AC15" i="9"/>
  <c r="AC17" i="9"/>
  <c r="J15" i="9"/>
  <c r="J17" i="9"/>
  <c r="BL15" i="9"/>
  <c r="BL17" i="9"/>
  <c r="CH17" i="9"/>
  <c r="CH15" i="9"/>
  <c r="P17" i="9"/>
  <c r="P15" i="9"/>
  <c r="CG15" i="9"/>
  <c r="CG17" i="9"/>
  <c r="AJ15" i="9"/>
  <c r="AJ17" i="9"/>
  <c r="BM17" i="9"/>
  <c r="BM15" i="9"/>
  <c r="AY15" i="9"/>
  <c r="AY17" i="9"/>
  <c r="BY15" i="9"/>
  <c r="BY17" i="9"/>
  <c r="AA15" i="9"/>
  <c r="AA17" i="9"/>
  <c r="Y15" i="9"/>
  <c r="Y17" i="9"/>
  <c r="BW15" i="9"/>
  <c r="BW17" i="9"/>
  <c r="BA17" i="9"/>
  <c r="BA15" i="9"/>
  <c r="M15" i="9"/>
  <c r="M17" i="9"/>
  <c r="Q15" i="9"/>
  <c r="Q17" i="9"/>
  <c r="BN15" i="9"/>
  <c r="BN17" i="9"/>
  <c r="BV15" i="9"/>
  <c r="BV17" i="9"/>
  <c r="T17" i="9"/>
  <c r="T15" i="9"/>
  <c r="V17" i="9"/>
  <c r="V15" i="9"/>
  <c r="AR15" i="9"/>
  <c r="AR17" i="9"/>
  <c r="BT17" i="9"/>
  <c r="BT15" i="9"/>
  <c r="E15" i="9"/>
  <c r="E17" i="9"/>
  <c r="BQ17" i="9"/>
  <c r="BQ15" i="9"/>
  <c r="AB15" i="9"/>
  <c r="AB17" i="9"/>
  <c r="AV15" i="9"/>
  <c r="AV17" i="9"/>
  <c r="BI17" i="9"/>
  <c r="BI15" i="9"/>
  <c r="AO15" i="9"/>
  <c r="AO17" i="9"/>
  <c r="AW15" i="9"/>
  <c r="AW17" i="9"/>
  <c r="CF15" i="9"/>
  <c r="CF17" i="9"/>
  <c r="I17" i="9"/>
  <c r="I15" i="9"/>
  <c r="AU17" i="9"/>
  <c r="AU15" i="9"/>
  <c r="CE15" i="9"/>
  <c r="CE17" i="9"/>
  <c r="BG15" i="9"/>
  <c r="BG17" i="9"/>
  <c r="BO15" i="9"/>
  <c r="BO17" i="9"/>
  <c r="BU17" i="9"/>
  <c r="BU15" i="9"/>
  <c r="AQ15" i="9"/>
  <c r="AQ17" i="9"/>
  <c r="BX15" i="9"/>
  <c r="BX17" i="9"/>
  <c r="K15" i="9"/>
  <c r="K17" i="9"/>
  <c r="S15" i="9"/>
  <c r="S17" i="9"/>
  <c r="AT15" i="9"/>
  <c r="AT17" i="9"/>
  <c r="BE15" i="9"/>
  <c r="BE17" i="9"/>
  <c r="AD17" i="9"/>
  <c r="AD15" i="9"/>
  <c r="CJ17" i="9"/>
  <c r="CJ15" i="9"/>
  <c r="U15" i="9"/>
  <c r="U17" i="9"/>
  <c r="L15" i="9"/>
  <c r="L17" i="9"/>
  <c r="AL15" i="9"/>
  <c r="AL17" i="9"/>
  <c r="O17" i="9"/>
  <c r="O15" i="9"/>
  <c r="N15" i="9"/>
  <c r="N17" i="9"/>
  <c r="AI15" i="9"/>
  <c r="AI17" i="9"/>
  <c r="F15" i="9"/>
  <c r="F17" i="9"/>
  <c r="Z15" i="9"/>
  <c r="Z17" i="9"/>
  <c r="AZ15" i="9"/>
  <c r="AZ17" i="9"/>
  <c r="CB17" i="9"/>
  <c r="CB15" i="9"/>
  <c r="AH15" i="9"/>
  <c r="AH17" i="9"/>
  <c r="BR15" i="9"/>
  <c r="BR17" i="9"/>
  <c r="AM17" i="9"/>
  <c r="AM15" i="9"/>
  <c r="X17" i="9"/>
  <c r="X15" i="9"/>
  <c r="H17" i="9"/>
  <c r="H15" i="9"/>
  <c r="BK17" i="9"/>
  <c r="BK15" i="9"/>
  <c r="BC17" i="9"/>
  <c r="BC15" i="9"/>
  <c r="CI17" i="9"/>
  <c r="CI15" i="9"/>
  <c r="G15" i="9"/>
  <c r="G17" i="9"/>
  <c r="G19" i="13"/>
  <c r="N56" i="10" l="1"/>
  <c r="N57" i="10" s="1"/>
  <c r="E13" i="8"/>
  <c r="K24" i="10"/>
  <c r="K56" i="10"/>
  <c r="K57" i="10" s="1"/>
  <c r="R24" i="10"/>
  <c r="R56" i="10"/>
  <c r="R57" i="10" s="1"/>
  <c r="AC24" i="10"/>
  <c r="AC56" i="10"/>
  <c r="AC57" i="10" s="1"/>
  <c r="L24" i="10"/>
  <c r="L56" i="10"/>
  <c r="L57" i="10" s="1"/>
  <c r="S24" i="10"/>
  <c r="S56" i="10"/>
  <c r="S57" i="10" s="1"/>
  <c r="P24" i="10"/>
  <c r="P56" i="10"/>
  <c r="P57" i="10" s="1"/>
  <c r="T24" i="10"/>
  <c r="T56" i="10"/>
  <c r="T57" i="10" s="1"/>
  <c r="O24" i="10"/>
  <c r="O56" i="10"/>
  <c r="O57" i="10" s="1"/>
  <c r="X24" i="10"/>
  <c r="X56" i="10"/>
  <c r="X57" i="10" s="1"/>
  <c r="M24" i="10"/>
  <c r="M56" i="10"/>
  <c r="M57" i="10" s="1"/>
  <c r="G24" i="10"/>
  <c r="G56" i="10"/>
  <c r="G57" i="10" s="1"/>
  <c r="U24" i="10"/>
  <c r="U56" i="10"/>
  <c r="U57" i="10" s="1"/>
  <c r="AB24" i="10"/>
  <c r="AB56" i="10"/>
  <c r="AB57" i="10" s="1"/>
  <c r="Y24" i="10"/>
  <c r="Y56" i="10"/>
  <c r="Y57" i="10" s="1"/>
  <c r="AA24" i="10"/>
  <c r="AA56" i="10"/>
  <c r="AA57" i="10" s="1"/>
  <c r="Z24" i="10"/>
  <c r="Z56" i="10"/>
  <c r="Z57" i="10" s="1"/>
  <c r="E24" i="10"/>
  <c r="E56" i="10"/>
  <c r="E57" i="10" s="1"/>
  <c r="J24" i="10"/>
  <c r="J56" i="10"/>
  <c r="J57" i="10" s="1"/>
  <c r="I24" i="10"/>
  <c r="I56" i="10"/>
  <c r="I57" i="10" s="1"/>
  <c r="W24" i="10"/>
  <c r="W56" i="10"/>
  <c r="W57" i="10" s="1"/>
  <c r="H24" i="10"/>
  <c r="H56" i="10"/>
  <c r="H57" i="10" s="1"/>
  <c r="Q24" i="10"/>
  <c r="Q56" i="10"/>
  <c r="Q57" i="10" s="1"/>
  <c r="F24" i="10"/>
  <c r="F56" i="10"/>
  <c r="F57" i="10" s="1"/>
  <c r="K72" i="9"/>
  <c r="K84" i="9"/>
  <c r="H73" i="9"/>
  <c r="O72" i="9"/>
  <c r="G73" i="9"/>
  <c r="N72" i="9"/>
  <c r="G70" i="9"/>
  <c r="H70" i="9"/>
  <c r="G72" i="9"/>
  <c r="H72" i="9"/>
  <c r="M72" i="9"/>
  <c r="K73" i="9"/>
  <c r="R72" i="9"/>
  <c r="G84" i="9"/>
  <c r="L73" i="9"/>
  <c r="K70" i="9"/>
  <c r="F73" i="9"/>
  <c r="T72" i="9"/>
  <c r="S72" i="9"/>
  <c r="L84" i="9"/>
  <c r="J84" i="9"/>
  <c r="I73" i="9"/>
  <c r="L72" i="9"/>
  <c r="J72" i="9"/>
  <c r="I84" i="9"/>
  <c r="J73" i="9"/>
  <c r="H84" i="9"/>
  <c r="I72" i="9"/>
  <c r="I70" i="9"/>
  <c r="M73" i="9"/>
  <c r="F72" i="9"/>
  <c r="M84" i="9"/>
  <c r="F84" i="9"/>
  <c r="F80" i="9"/>
  <c r="P73" i="9"/>
  <c r="P70" i="9"/>
  <c r="E84" i="9"/>
  <c r="Q73" i="9"/>
  <c r="Q70" i="9"/>
  <c r="S73" i="9"/>
  <c r="S70" i="9"/>
  <c r="E73" i="9"/>
  <c r="E70" i="9"/>
  <c r="U73" i="9"/>
  <c r="U70" i="9"/>
  <c r="Q72" i="9"/>
  <c r="P72" i="9"/>
  <c r="R73" i="9"/>
  <c r="R70" i="9"/>
  <c r="O73" i="9"/>
  <c r="O70" i="9"/>
  <c r="T73" i="9"/>
  <c r="T70" i="9"/>
  <c r="U72" i="9"/>
  <c r="E72" i="9"/>
  <c r="N73" i="9"/>
  <c r="N70" i="9"/>
  <c r="L39" i="13"/>
  <c r="L66" i="13"/>
  <c r="L65" i="13"/>
  <c r="H19" i="13"/>
  <c r="F1" i="13" l="1"/>
  <c r="B4" i="13" s="1"/>
  <c r="D8" i="13" s="1"/>
  <c r="D9" i="13" s="1"/>
  <c r="M39" i="13"/>
  <c r="I19" i="13"/>
  <c r="B5" i="13" l="1"/>
  <c r="B9" i="13" s="1"/>
  <c r="B11" i="13" s="1"/>
  <c r="B13" i="13" s="1"/>
  <c r="B20" i="13"/>
  <c r="B40" i="13"/>
  <c r="N39" i="13"/>
  <c r="Q40" i="13" l="1"/>
  <c r="R40" i="13"/>
  <c r="K40" i="13"/>
  <c r="K41" i="13" s="1"/>
  <c r="P40" i="13"/>
  <c r="S40" i="13"/>
  <c r="J40" i="13"/>
  <c r="J41" i="13" s="1"/>
  <c r="L40" i="13"/>
  <c r="L41" i="13" s="1"/>
  <c r="E40" i="13"/>
  <c r="E41" i="13" s="1"/>
  <c r="M40" i="13"/>
  <c r="M41" i="13" s="1"/>
  <c r="D40" i="13"/>
  <c r="D41" i="13" s="1"/>
  <c r="N40" i="13"/>
  <c r="N41" i="13" s="1"/>
  <c r="I40" i="13"/>
  <c r="I41" i="13" s="1"/>
  <c r="G40" i="13"/>
  <c r="G41" i="13" s="1"/>
  <c r="F40" i="13"/>
  <c r="F41" i="13" s="1"/>
  <c r="O40" i="13"/>
  <c r="H40" i="13"/>
  <c r="H41" i="13" s="1"/>
  <c r="I20" i="13"/>
  <c r="I21" i="13" s="1"/>
  <c r="I22" i="13" s="1"/>
  <c r="D20" i="13"/>
  <c r="D21" i="13" s="1"/>
  <c r="E20" i="13"/>
  <c r="E21" i="13" s="1"/>
  <c r="F20" i="13"/>
  <c r="F21" i="13" s="1"/>
  <c r="G20" i="13"/>
  <c r="G21" i="13" s="1"/>
  <c r="H20" i="13"/>
  <c r="H21" i="13" s="1"/>
  <c r="O39" i="13"/>
  <c r="D42" i="13" l="1"/>
  <c r="D22" i="13"/>
  <c r="B23" i="13" s="1"/>
  <c r="B24" i="13" s="1"/>
  <c r="B28" i="13" s="1"/>
  <c r="B30" i="13" s="1"/>
  <c r="B32" i="13" s="1"/>
  <c r="O41" i="13"/>
  <c r="P39" i="13"/>
  <c r="E31" i="13" l="1"/>
  <c r="D31" i="13"/>
  <c r="C31" i="13"/>
  <c r="P41" i="13"/>
  <c r="Q39" i="13"/>
  <c r="R39" i="13" l="1"/>
  <c r="Q41" i="13"/>
  <c r="S39" i="13" l="1"/>
  <c r="S41" i="13" s="1"/>
  <c r="S42" i="13" s="1"/>
  <c r="R41" i="13"/>
  <c r="I42" i="13" s="1"/>
  <c r="B43" i="13" l="1"/>
  <c r="B44" i="13" s="1"/>
  <c r="B48" i="13" s="1"/>
  <c r="B50" i="13" s="1"/>
  <c r="B52" i="13" s="1"/>
  <c r="E52" i="13" s="1"/>
  <c r="C52" i="13" l="1"/>
  <c r="D52" i="13"/>
</calcChain>
</file>

<file path=xl/sharedStrings.xml><?xml version="1.0" encoding="utf-8"?>
<sst xmlns="http://schemas.openxmlformats.org/spreadsheetml/2006/main" count="857" uniqueCount="758">
  <si>
    <t>资产结构</t>
    <phoneticPr fontId="1" type="noConversion"/>
  </si>
  <si>
    <t xml:space="preserve">  货币奖金</t>
    <phoneticPr fontId="1" type="noConversion"/>
  </si>
  <si>
    <t xml:space="preserve">  交易性金融资产</t>
    <phoneticPr fontId="1" type="noConversion"/>
  </si>
  <si>
    <t xml:space="preserve">  一年内到期的非流动资产</t>
    <phoneticPr fontId="1" type="noConversion"/>
  </si>
  <si>
    <t xml:space="preserve">  发放货款及垫款</t>
    <phoneticPr fontId="1" type="noConversion"/>
  </si>
  <si>
    <t xml:space="preserve">  可供出售金融资产</t>
    <phoneticPr fontId="1" type="noConversion"/>
  </si>
  <si>
    <t xml:space="preserve">  持有至到期投资</t>
    <phoneticPr fontId="1" type="noConversion"/>
  </si>
  <si>
    <t xml:space="preserve">  投资性房地产</t>
    <phoneticPr fontId="1" type="noConversion"/>
  </si>
  <si>
    <t xml:space="preserve">  应收股利</t>
    <phoneticPr fontId="1" type="noConversion"/>
  </si>
  <si>
    <t xml:space="preserve">  买入返售金融资产</t>
    <phoneticPr fontId="1" type="noConversion"/>
  </si>
  <si>
    <t xml:space="preserve">  应收利息</t>
    <phoneticPr fontId="1" type="noConversion"/>
  </si>
  <si>
    <t>金融资产合计</t>
    <phoneticPr fontId="1" type="noConversion"/>
  </si>
  <si>
    <t>经营资产：</t>
    <phoneticPr fontId="1" type="noConversion"/>
  </si>
  <si>
    <t xml:space="preserve">  划分为持有待售的资产</t>
    <phoneticPr fontId="1" type="noConversion"/>
  </si>
  <si>
    <t xml:space="preserve">  应收票据</t>
    <phoneticPr fontId="1" type="noConversion"/>
  </si>
  <si>
    <t xml:space="preserve">  应收账款</t>
    <phoneticPr fontId="1" type="noConversion"/>
  </si>
  <si>
    <t xml:space="preserve">  预付款项</t>
    <phoneticPr fontId="1" type="noConversion"/>
  </si>
  <si>
    <t xml:space="preserve">  其他应收款</t>
    <phoneticPr fontId="1" type="noConversion"/>
  </si>
  <si>
    <t xml:space="preserve">  存货</t>
    <phoneticPr fontId="1" type="noConversion"/>
  </si>
  <si>
    <t xml:space="preserve">  其他流动资产</t>
    <phoneticPr fontId="1" type="noConversion"/>
  </si>
  <si>
    <t xml:space="preserve">  营运资产小计</t>
    <phoneticPr fontId="1" type="noConversion"/>
  </si>
  <si>
    <t xml:space="preserve">  应付票据</t>
    <phoneticPr fontId="1" type="noConversion"/>
  </si>
  <si>
    <t xml:space="preserve">  应付账款</t>
    <phoneticPr fontId="1" type="noConversion"/>
  </si>
  <si>
    <t xml:space="preserve">  预收款项</t>
    <phoneticPr fontId="1" type="noConversion"/>
  </si>
  <si>
    <t xml:space="preserve">  应付手续费及佣金</t>
    <phoneticPr fontId="1" type="noConversion"/>
  </si>
  <si>
    <t xml:space="preserve">  应付职工薪酬</t>
    <phoneticPr fontId="1" type="noConversion"/>
  </si>
  <si>
    <t xml:space="preserve">  应交税费</t>
    <phoneticPr fontId="1" type="noConversion"/>
  </si>
  <si>
    <t xml:space="preserve">  其他应付款</t>
    <phoneticPr fontId="1" type="noConversion"/>
  </si>
  <si>
    <t xml:space="preserve">  长期应付职工薪酬</t>
    <phoneticPr fontId="1" type="noConversion"/>
  </si>
  <si>
    <t xml:space="preserve">  递延收益--非流动负债</t>
    <phoneticPr fontId="1" type="noConversion"/>
  </si>
  <si>
    <t xml:space="preserve">  专项应付款</t>
    <phoneticPr fontId="1" type="noConversion"/>
  </si>
  <si>
    <t xml:space="preserve">  其他流动负债</t>
    <phoneticPr fontId="1" type="noConversion"/>
  </si>
  <si>
    <t xml:space="preserve">  营运负债小计</t>
    <phoneticPr fontId="1" type="noConversion"/>
  </si>
  <si>
    <t>长期经营资产：</t>
    <phoneticPr fontId="1" type="noConversion"/>
  </si>
  <si>
    <t xml:space="preserve">  固定资产</t>
    <phoneticPr fontId="1" type="noConversion"/>
  </si>
  <si>
    <t xml:space="preserve">  在建工程</t>
    <phoneticPr fontId="1" type="noConversion"/>
  </si>
  <si>
    <t xml:space="preserve">  工程物资</t>
    <phoneticPr fontId="1" type="noConversion"/>
  </si>
  <si>
    <t xml:space="preserve">  固定资产清理</t>
    <phoneticPr fontId="1" type="noConversion"/>
  </si>
  <si>
    <t xml:space="preserve">  生产性生物资产</t>
    <phoneticPr fontId="1" type="noConversion"/>
  </si>
  <si>
    <t xml:space="preserve">  油气资产</t>
    <phoneticPr fontId="1" type="noConversion"/>
  </si>
  <si>
    <t xml:space="preserve">  无形资产</t>
    <phoneticPr fontId="1" type="noConversion"/>
  </si>
  <si>
    <t xml:space="preserve">  开发支出</t>
    <phoneticPr fontId="1" type="noConversion"/>
  </si>
  <si>
    <t xml:space="preserve">  商誉</t>
    <phoneticPr fontId="1" type="noConversion"/>
  </si>
  <si>
    <t xml:space="preserve">  长期待摊费用</t>
    <phoneticPr fontId="1" type="noConversion"/>
  </si>
  <si>
    <t xml:space="preserve">  递延所得税资产（营运类）</t>
    <phoneticPr fontId="1" type="noConversion"/>
  </si>
  <si>
    <t xml:space="preserve">  减：递延所得税负债（营运类）</t>
    <phoneticPr fontId="1" type="noConversion"/>
  </si>
  <si>
    <t xml:space="preserve">  其他非流动资产</t>
    <phoneticPr fontId="1" type="noConversion"/>
  </si>
  <si>
    <t>长期经营资产合计</t>
    <phoneticPr fontId="1" type="noConversion"/>
  </si>
  <si>
    <t>经营资产合计</t>
    <phoneticPr fontId="1" type="noConversion"/>
  </si>
  <si>
    <t>资产总额</t>
    <phoneticPr fontId="1" type="noConversion"/>
  </si>
  <si>
    <t>资本结构</t>
    <phoneticPr fontId="1" type="noConversion"/>
  </si>
  <si>
    <t>短期债务：</t>
    <phoneticPr fontId="1" type="noConversion"/>
  </si>
  <si>
    <t xml:space="preserve">  短期借款</t>
    <phoneticPr fontId="1" type="noConversion"/>
  </si>
  <si>
    <t xml:space="preserve">  交易性金融负债</t>
    <phoneticPr fontId="1" type="noConversion"/>
  </si>
  <si>
    <t xml:space="preserve">  一年内到期的非流动负债</t>
    <phoneticPr fontId="1" type="noConversion"/>
  </si>
  <si>
    <t xml:space="preserve">  应付短期债券</t>
    <phoneticPr fontId="1" type="noConversion"/>
  </si>
  <si>
    <t>长期债务：</t>
    <phoneticPr fontId="1" type="noConversion"/>
  </si>
  <si>
    <t xml:space="preserve">  长期借款</t>
    <phoneticPr fontId="1" type="noConversion"/>
  </si>
  <si>
    <t xml:space="preserve">  应付债券</t>
    <phoneticPr fontId="1" type="noConversion"/>
  </si>
  <si>
    <t xml:space="preserve">  长期应付款</t>
    <phoneticPr fontId="1" type="noConversion"/>
  </si>
  <si>
    <t>有息债务合计</t>
    <phoneticPr fontId="1" type="noConversion"/>
  </si>
  <si>
    <t>所有者权益（或股东权益）：</t>
    <phoneticPr fontId="1" type="noConversion"/>
  </si>
  <si>
    <t xml:space="preserve">  实收资本（或股本）</t>
    <phoneticPr fontId="1" type="noConversion"/>
  </si>
  <si>
    <t xml:space="preserve">  资本公积金</t>
    <phoneticPr fontId="1" type="noConversion"/>
  </si>
  <si>
    <t xml:space="preserve">  减：库存股</t>
    <phoneticPr fontId="1" type="noConversion"/>
  </si>
  <si>
    <t xml:space="preserve">  其他综合收益</t>
    <phoneticPr fontId="1" type="noConversion"/>
  </si>
  <si>
    <t xml:space="preserve">  专项储备</t>
    <phoneticPr fontId="1" type="noConversion"/>
  </si>
  <si>
    <t xml:space="preserve">  盈余公积金</t>
    <phoneticPr fontId="1" type="noConversion"/>
  </si>
  <si>
    <t xml:space="preserve">  一般风险准备</t>
    <phoneticPr fontId="1" type="noConversion"/>
  </si>
  <si>
    <t xml:space="preserve">  未分配利润</t>
    <phoneticPr fontId="1" type="noConversion"/>
  </si>
  <si>
    <t xml:space="preserve">  应付股利</t>
    <phoneticPr fontId="1" type="noConversion"/>
  </si>
  <si>
    <t xml:space="preserve">  未确认的投资损失</t>
    <phoneticPr fontId="1" type="noConversion"/>
  </si>
  <si>
    <t xml:space="preserve">  归属母公司所有者权益合计</t>
    <phoneticPr fontId="1" type="noConversion"/>
  </si>
  <si>
    <t xml:space="preserve">  少数股东权益</t>
    <phoneticPr fontId="1" type="noConversion"/>
  </si>
  <si>
    <t>所有者权益合计</t>
    <phoneticPr fontId="1" type="noConversion"/>
  </si>
  <si>
    <t>资本总额</t>
    <phoneticPr fontId="1" type="noConversion"/>
  </si>
  <si>
    <t xml:space="preserve">  长期应收款</t>
    <phoneticPr fontId="1" type="noConversion"/>
  </si>
  <si>
    <t xml:space="preserve">  应付利息</t>
    <phoneticPr fontId="1" type="noConversion"/>
  </si>
  <si>
    <t>长期股权投资</t>
    <phoneticPr fontId="1" type="noConversion"/>
  </si>
  <si>
    <t>长期股权投资:</t>
    <phoneticPr fontId="1" type="noConversion"/>
  </si>
  <si>
    <t>营运资产：</t>
    <phoneticPr fontId="1" type="noConversion"/>
  </si>
  <si>
    <t>营运资产合计</t>
    <phoneticPr fontId="1" type="noConversion"/>
  </si>
  <si>
    <t>营运负债：</t>
    <phoneticPr fontId="1" type="noConversion"/>
  </si>
  <si>
    <t xml:space="preserve">  其它非流动负债</t>
    <phoneticPr fontId="1" type="noConversion"/>
  </si>
  <si>
    <t>项目（单位：万元）</t>
    <phoneticPr fontId="1" type="noConversion"/>
  </si>
  <si>
    <t>经营活动收益</t>
    <phoneticPr fontId="1" type="noConversion"/>
  </si>
  <si>
    <t>股权投资活动收益</t>
    <phoneticPr fontId="1" type="noConversion"/>
  </si>
  <si>
    <t>金融资产收益</t>
    <phoneticPr fontId="1" type="noConversion"/>
  </si>
  <si>
    <t>总资产收益</t>
    <phoneticPr fontId="1" type="noConversion"/>
  </si>
  <si>
    <t>股权价值损益</t>
    <phoneticPr fontId="1" type="noConversion"/>
  </si>
  <si>
    <t>减：利息支出</t>
    <phoneticPr fontId="1" type="noConversion"/>
  </si>
  <si>
    <t>汇总损益-净额</t>
    <phoneticPr fontId="1" type="noConversion"/>
  </si>
  <si>
    <t>其他</t>
    <phoneticPr fontId="1" type="noConversion"/>
  </si>
  <si>
    <t>合计</t>
    <phoneticPr fontId="1" type="noConversion"/>
  </si>
  <si>
    <t>利润总额(万元)</t>
    <phoneticPr fontId="1" type="noConversion"/>
  </si>
  <si>
    <t>所得税费用(万元)</t>
    <phoneticPr fontId="1" type="noConversion"/>
  </si>
  <si>
    <t>净利润(万元)</t>
    <phoneticPr fontId="1" type="noConversion"/>
  </si>
  <si>
    <t>实际企业所得税税率 = 1- 净利润/ 税前利润 × 100%
净利润 = 税前利润- 企业所得税费用</t>
    <phoneticPr fontId="1" type="noConversion"/>
  </si>
  <si>
    <t>投资收益</t>
    <phoneticPr fontId="1" type="noConversion"/>
  </si>
  <si>
    <t>股权投资收益</t>
    <phoneticPr fontId="1" type="noConversion"/>
  </si>
  <si>
    <t>短期投资净收益</t>
    <phoneticPr fontId="1" type="noConversion"/>
  </si>
  <si>
    <t>财务费用(万元)</t>
    <phoneticPr fontId="1" type="noConversion"/>
  </si>
  <si>
    <t>股权资本成本率</t>
    <phoneticPr fontId="1" type="noConversion"/>
  </si>
  <si>
    <t>所有者权益</t>
    <phoneticPr fontId="1" type="noConversion"/>
  </si>
  <si>
    <t>财务费用：需要从财报中查找</t>
    <phoneticPr fontId="1" type="noConversion"/>
  </si>
  <si>
    <t>单位</t>
  </si>
  <si>
    <t>元</t>
  </si>
  <si>
    <t>流动资产</t>
  </si>
  <si>
    <t>货币资金</t>
  </si>
  <si>
    <t>交易性金融资产</t>
  </si>
  <si>
    <t>衍生金融资产</t>
  </si>
  <si>
    <t>应收票据</t>
  </si>
  <si>
    <t>应收账款</t>
  </si>
  <si>
    <t>预付款项</t>
  </si>
  <si>
    <t>应收利息</t>
  </si>
  <si>
    <t>应收股利</t>
  </si>
  <si>
    <t>其他应收款</t>
  </si>
  <si>
    <t>买入返售金融资产</t>
  </si>
  <si>
    <t>存货</t>
  </si>
  <si>
    <t>划分为持有待售的资产</t>
  </si>
  <si>
    <t>一年内到期的非流动资产</t>
  </si>
  <si>
    <t>待摊费用</t>
  </si>
  <si>
    <t>待处理流动资产损益</t>
  </si>
  <si>
    <t>其他流动资产</t>
  </si>
  <si>
    <t>流动资产合计</t>
  </si>
  <si>
    <t>非流动资产</t>
  </si>
  <si>
    <t>发放贷款及垫款</t>
  </si>
  <si>
    <t>可供出售金融资产</t>
  </si>
  <si>
    <t>持有至到期投资</t>
  </si>
  <si>
    <t>长期应收款</t>
  </si>
  <si>
    <t>长期股权投资</t>
  </si>
  <si>
    <t>投资性房地产</t>
  </si>
  <si>
    <t>固定资产净额</t>
  </si>
  <si>
    <t>在建工程</t>
  </si>
  <si>
    <t>工程物资</t>
  </si>
  <si>
    <t>固定资产清理</t>
  </si>
  <si>
    <t>生产性生物资产</t>
  </si>
  <si>
    <t>公益性生物资产</t>
  </si>
  <si>
    <t>油气资产</t>
  </si>
  <si>
    <t>无形资产</t>
  </si>
  <si>
    <t>开发支出</t>
  </si>
  <si>
    <t>商誉</t>
  </si>
  <si>
    <t>长期待摊费用</t>
  </si>
  <si>
    <t>递延所得税资产</t>
  </si>
  <si>
    <t>其他非流动资产</t>
  </si>
  <si>
    <t>非流动资产合计</t>
  </si>
  <si>
    <t>资产总计</t>
  </si>
  <si>
    <t>流动负债</t>
  </si>
  <si>
    <t>短期借款</t>
  </si>
  <si>
    <t>交易性金融负债</t>
  </si>
  <si>
    <t>应付票据</t>
  </si>
  <si>
    <t>应付账款</t>
  </si>
  <si>
    <t>预收款项</t>
  </si>
  <si>
    <t>应付手续费及佣金</t>
  </si>
  <si>
    <t>应付职工薪酬</t>
  </si>
  <si>
    <t>应交税费</t>
  </si>
  <si>
    <t>应付利息</t>
  </si>
  <si>
    <t>应付股利</t>
  </si>
  <si>
    <t>其他应付款</t>
  </si>
  <si>
    <t>预提费用</t>
  </si>
  <si>
    <t>一年内的递延收益</t>
  </si>
  <si>
    <t>应付短期债券</t>
  </si>
  <si>
    <t>一年内到期的非流动负债</t>
  </si>
  <si>
    <t>其他流动负债</t>
  </si>
  <si>
    <t>流动负债合计</t>
  </si>
  <si>
    <t>非流动负债</t>
  </si>
  <si>
    <t>长期借款</t>
  </si>
  <si>
    <t>应付债券</t>
  </si>
  <si>
    <t>长期应付款</t>
  </si>
  <si>
    <t>长期应付职工薪酬</t>
  </si>
  <si>
    <t>专项应付款</t>
  </si>
  <si>
    <t>预计非流动负债</t>
  </si>
  <si>
    <t>递延所得税负债</t>
  </si>
  <si>
    <t>长期递延收益</t>
  </si>
  <si>
    <t>其他非流动负债</t>
  </si>
  <si>
    <t>非流动负债合计</t>
  </si>
  <si>
    <t>负债合计</t>
  </si>
  <si>
    <t>所有者权益</t>
  </si>
  <si>
    <t>实收资本(或股本)</t>
  </si>
  <si>
    <t>资本公积</t>
  </si>
  <si>
    <t>减：库存股</t>
  </si>
  <si>
    <t>其他综合收益</t>
  </si>
  <si>
    <t>专项储备</t>
  </si>
  <si>
    <t>盈余公积</t>
  </si>
  <si>
    <t>一般风险准备</t>
  </si>
  <si>
    <t>未分配利润</t>
  </si>
  <si>
    <t>归属于母公司股东权益合计</t>
  </si>
  <si>
    <t>少数股东权益</t>
  </si>
  <si>
    <t>所有者权益(或股东权益)合计</t>
  </si>
  <si>
    <t>负债和所有者权益(或股东权益)总计</t>
  </si>
  <si>
    <t>一、营业总收入</t>
  </si>
  <si>
    <t>营业收入</t>
  </si>
  <si>
    <t>二、营业总成本</t>
  </si>
  <si>
    <t>营业成本</t>
  </si>
  <si>
    <t>营业税金及附加</t>
  </si>
  <si>
    <t>销售费用</t>
  </si>
  <si>
    <t>管理费用</t>
  </si>
  <si>
    <t>财务费用</t>
  </si>
  <si>
    <t>资产减值损失</t>
  </si>
  <si>
    <t>公允价值变动收益</t>
  </si>
  <si>
    <t>投资收益</t>
  </si>
  <si>
    <t>其中:对联营企业和合营企业的投资收益</t>
  </si>
  <si>
    <t>汇兑收益</t>
  </si>
  <si>
    <t>三、营业利润</t>
  </si>
  <si>
    <t>加:营业外收入</t>
  </si>
  <si>
    <t>减：营业外支出</t>
  </si>
  <si>
    <t>其中：非流动资产处置损失</t>
  </si>
  <si>
    <t>四、利润总额</t>
  </si>
  <si>
    <t>减：所得税费用</t>
  </si>
  <si>
    <t>五、净利润</t>
  </si>
  <si>
    <t>归属于母公司所有者的净利润</t>
  </si>
  <si>
    <t>少数股东损益</t>
  </si>
  <si>
    <t>六、每股收益</t>
  </si>
  <si>
    <t>基本每股收益(元/股)</t>
  </si>
  <si>
    <t>稀释每股收益(元/股)</t>
  </si>
  <si>
    <t>七、其他综合收益</t>
  </si>
  <si>
    <t>八、综合收益总额</t>
  </si>
  <si>
    <t>归属于母公司所有者的综合收益总额</t>
  </si>
  <si>
    <t>归属于少数股东的综合收益总额</t>
  </si>
  <si>
    <t>一、经营活动产生的现金流量</t>
  </si>
  <si>
    <t>销售商品、提供劳务收到的现金</t>
  </si>
  <si>
    <t>收到的税费返还</t>
  </si>
  <si>
    <t>收到的其他与经营活动有关的现金</t>
  </si>
  <si>
    <t>经营活动现金流入小计</t>
  </si>
  <si>
    <t>购买商品、接受劳务支付的现金</t>
  </si>
  <si>
    <t>支付给职工以及为职工支付的现金</t>
  </si>
  <si>
    <t>支付的各项税费</t>
  </si>
  <si>
    <t>支付的其他与经营活动有关的现金</t>
  </si>
  <si>
    <t>经营活动现金流出小计</t>
  </si>
  <si>
    <t>经营活动产生的现金流量净额</t>
  </si>
  <si>
    <t>二、投资活动产生的现金流量</t>
  </si>
  <si>
    <t>收回投资所收到的现金</t>
  </si>
  <si>
    <t>取得投资收益所收到的现金</t>
  </si>
  <si>
    <t>处置固定资产、无形资产和其他长期资产所收回的现金净额</t>
  </si>
  <si>
    <t>处置子公司及其他营业单位收到的现金净额</t>
  </si>
  <si>
    <t>收到的其他与投资活动有关的现金</t>
  </si>
  <si>
    <t>投资活动现金流入小计</t>
  </si>
  <si>
    <t>购建固定资产、无形资产和其他长期资产所支付的现金</t>
  </si>
  <si>
    <t>投资所支付的现金</t>
  </si>
  <si>
    <t>取得子公司及其他营业单位支付的现金净额</t>
  </si>
  <si>
    <t>支付的其他与投资活动有关的现金</t>
  </si>
  <si>
    <t>投资活动现金流出小计</t>
  </si>
  <si>
    <t>投资活动产生的现金流量净额</t>
  </si>
  <si>
    <t>三、筹资活动产生的现金流量</t>
  </si>
  <si>
    <t>吸收投资收到的现金</t>
  </si>
  <si>
    <t>其中：子公司吸收少数股东投资收到的现金</t>
  </si>
  <si>
    <t>取得借款收到的现金</t>
  </si>
  <si>
    <t>发行债券收到的现金</t>
  </si>
  <si>
    <t>收到其他与筹资活动有关的现金</t>
  </si>
  <si>
    <t>筹资活动现金流入小计</t>
  </si>
  <si>
    <t>偿还债务支付的现金</t>
  </si>
  <si>
    <t>其中：子公司支付给少数股东的股利、利润</t>
  </si>
  <si>
    <t>支付其他与筹资活动有关的现金</t>
  </si>
  <si>
    <t>筹资活动现金流出小计</t>
  </si>
  <si>
    <t>筹资活动产生的现金流量净额</t>
  </si>
  <si>
    <t>四、汇率变动对现金及现金等价物的影响</t>
  </si>
  <si>
    <t>五、现金及现金等价物净增加额</t>
  </si>
  <si>
    <t>加:期初现金及现金等价物余额</t>
  </si>
  <si>
    <t>六、期末现金及现金等价物余额</t>
  </si>
  <si>
    <t>附注</t>
  </si>
  <si>
    <t>净利润</t>
  </si>
  <si>
    <t>未确认的投资损失</t>
  </si>
  <si>
    <t>资产减值准备</t>
  </si>
  <si>
    <t>固定资产折旧、油气资产折耗、生产性物资折旧</t>
  </si>
  <si>
    <t>无形资产摊销</t>
  </si>
  <si>
    <t>长期待摊费用摊销</t>
  </si>
  <si>
    <t>待摊费用的减少</t>
  </si>
  <si>
    <t>预提费用的增加</t>
  </si>
  <si>
    <t>处置固定资产、无形资产和其他长期资产的损失</t>
  </si>
  <si>
    <t>固定资产报废损失</t>
  </si>
  <si>
    <t>公允价值变动损失</t>
  </si>
  <si>
    <t>递延收益增加（减：减少）</t>
  </si>
  <si>
    <t>预计负债</t>
  </si>
  <si>
    <t>投资损失</t>
  </si>
  <si>
    <t>递延所得税资产减少</t>
  </si>
  <si>
    <t>递延所得税负债增加</t>
  </si>
  <si>
    <t>存货的减少</t>
  </si>
  <si>
    <t>经营性应收项目的减少</t>
  </si>
  <si>
    <t>经营性应付项目的增加</t>
  </si>
  <si>
    <t>已完工尚未结算款的减少(减:增加)</t>
  </si>
  <si>
    <t>已结算尚未完工款的增加(减:减少)</t>
  </si>
  <si>
    <t>其他</t>
  </si>
  <si>
    <t>经营活动产生现金流量净额</t>
  </si>
  <si>
    <t>债务转为资本</t>
  </si>
  <si>
    <t>一年内到期的可转换公司债券</t>
  </si>
  <si>
    <t>融资租入固定资产</t>
  </si>
  <si>
    <t>现金的期末余额</t>
  </si>
  <si>
    <t>现金的期初余额</t>
  </si>
  <si>
    <t>现金等价物的期末余额</t>
  </si>
  <si>
    <t>现金等价物的期初余额</t>
  </si>
  <si>
    <t>现金及现金等价物的净增加额</t>
  </si>
  <si>
    <t xml:space="preserve">  外币报表折算差额</t>
    <phoneticPr fontId="1" type="noConversion"/>
  </si>
  <si>
    <t>自我构建长期资产</t>
    <phoneticPr fontId="1" type="noConversion"/>
  </si>
  <si>
    <t>兼收并购长期资产</t>
    <phoneticPr fontId="1" type="noConversion"/>
  </si>
  <si>
    <t>现金自给率分析</t>
    <phoneticPr fontId="1" type="noConversion"/>
  </si>
  <si>
    <t>(3)长期资产净投资额=2-1</t>
    <phoneticPr fontId="1" type="noConversion"/>
  </si>
  <si>
    <t>(9)长期资产新投资额=3-4-5-6-7-8</t>
    <phoneticPr fontId="1" type="noConversion"/>
  </si>
  <si>
    <t>(10)期初长期资产净值</t>
    <phoneticPr fontId="1" type="noConversion"/>
  </si>
  <si>
    <t>(14)净合并额=13-12</t>
    <phoneticPr fontId="1" type="noConversion"/>
  </si>
  <si>
    <t>(15)战略投资综合现金需求=3+14</t>
    <phoneticPr fontId="1" type="noConversion"/>
  </si>
  <si>
    <t>(16)经营活动产生的现金流量净额</t>
    <phoneticPr fontId="1" type="noConversion"/>
  </si>
  <si>
    <t>(18)期初金融资产金额</t>
    <phoneticPr fontId="1" type="noConversion"/>
  </si>
  <si>
    <t>(19)筹资需求=16+18-15</t>
    <phoneticPr fontId="1" type="noConversion"/>
  </si>
  <si>
    <t>(20)筹资活动产生的现金流量净额</t>
    <phoneticPr fontId="1" type="noConversion"/>
  </si>
  <si>
    <t>(2)购建固定资产、无形资产和其他长期资产支付的现金</t>
    <phoneticPr fontId="1" type="noConversion"/>
  </si>
  <si>
    <t>(4)固定资产折旧、油气资产折耗、生产性生物资产折旧</t>
    <phoneticPr fontId="1" type="noConversion"/>
  </si>
  <si>
    <t>(5)无形资产摊销</t>
    <phoneticPr fontId="1" type="noConversion"/>
  </si>
  <si>
    <t>(6)长期待摊费用摊销</t>
    <phoneticPr fontId="1" type="noConversion"/>
  </si>
  <si>
    <t>(7)处置固定资产、无形资产和其他长期资产的损失</t>
    <phoneticPr fontId="1" type="noConversion"/>
  </si>
  <si>
    <t>(8)固定资产报废损失</t>
    <phoneticPr fontId="1" type="noConversion"/>
  </si>
  <si>
    <t>非流动资产合计</t>
    <phoneticPr fontId="1" type="noConversion"/>
  </si>
  <si>
    <t>商誉</t>
    <phoneticPr fontId="1" type="noConversion"/>
  </si>
  <si>
    <t>可供出售金融资产</t>
    <phoneticPr fontId="1" type="noConversion"/>
  </si>
  <si>
    <t>(12)处置子公司及其他营业单位收到的现金净额</t>
    <phoneticPr fontId="1" type="noConversion"/>
  </si>
  <si>
    <t>(13)取得子公司及其他营业单位支付的现金净额</t>
    <phoneticPr fontId="1" type="noConversion"/>
  </si>
  <si>
    <t>长期资产</t>
    <phoneticPr fontId="1" type="noConversion"/>
  </si>
  <si>
    <t>金融资产：</t>
    <phoneticPr fontId="1" type="noConversion"/>
  </si>
  <si>
    <t>金融资产</t>
    <phoneticPr fontId="1" type="noConversion"/>
  </si>
  <si>
    <t>筹资来源</t>
    <phoneticPr fontId="1" type="noConversion"/>
  </si>
  <si>
    <t>股东之间的筹资活动</t>
    <phoneticPr fontId="1" type="noConversion"/>
  </si>
  <si>
    <t>(1)处置固定资产、无形资产和其他长期资产收回的现金净额</t>
    <phoneticPr fontId="1" type="noConversion"/>
  </si>
  <si>
    <t>债权人之间的筹资活动</t>
    <phoneticPr fontId="1" type="noConversion"/>
  </si>
  <si>
    <t>(3)股东筹资净额=1-2</t>
    <phoneticPr fontId="1" type="noConversion"/>
  </si>
  <si>
    <t>(5)财务费用中利息支出</t>
    <phoneticPr fontId="1" type="noConversion"/>
  </si>
  <si>
    <t>(4)取得借款收到的现金</t>
    <phoneticPr fontId="1" type="noConversion"/>
  </si>
  <si>
    <t>(6)应付利息</t>
    <phoneticPr fontId="1" type="noConversion"/>
  </si>
  <si>
    <t>(7)偿还债务支付的现金</t>
    <phoneticPr fontId="1" type="noConversion"/>
  </si>
  <si>
    <t>平均资本成本计算</t>
    <phoneticPr fontId="1" type="noConversion"/>
  </si>
  <si>
    <t>(1)利息支出</t>
    <phoneticPr fontId="1" type="noConversion"/>
  </si>
  <si>
    <t>(2)有息债务</t>
    <phoneticPr fontId="1" type="noConversion"/>
  </si>
  <si>
    <t>(4)税后债务资金成本=3*（100%-企业实际所得税税率)</t>
    <phoneticPr fontId="1" type="noConversion"/>
  </si>
  <si>
    <t>(5)股东权益</t>
    <phoneticPr fontId="1" type="noConversion"/>
  </si>
  <si>
    <t>(7)资本总额</t>
    <phoneticPr fontId="1" type="noConversion"/>
  </si>
  <si>
    <r>
      <t>(3)税前债务资本成本=1/期初期末平均2=</t>
    </r>
    <r>
      <rPr>
        <b/>
        <sz val="11"/>
        <color theme="1"/>
        <rFont val="宋体"/>
        <family val="3"/>
        <charset val="134"/>
        <scheme val="minor"/>
      </rPr>
      <t>(1)/平均有息债务余额</t>
    </r>
    <phoneticPr fontId="1" type="noConversion"/>
  </si>
  <si>
    <t>其中：营运资产</t>
    <phoneticPr fontId="1" type="noConversion"/>
  </si>
  <si>
    <t xml:space="preserve">      营运负债</t>
    <phoneticPr fontId="1" type="noConversion"/>
  </si>
  <si>
    <t>(4)长期经营资产</t>
    <phoneticPr fontId="1" type="noConversion"/>
  </si>
  <si>
    <t>(5)经营资产合计</t>
    <phoneticPr fontId="1" type="noConversion"/>
  </si>
  <si>
    <t>(6)资产总额合计</t>
    <phoneticPr fontId="1" type="noConversion"/>
  </si>
  <si>
    <t>(7)短期债务</t>
    <phoneticPr fontId="1" type="noConversion"/>
  </si>
  <si>
    <t>(8)长期债务</t>
    <phoneticPr fontId="1" type="noConversion"/>
  </si>
  <si>
    <t>(9)有息债务合计</t>
    <phoneticPr fontId="1" type="noConversion"/>
  </si>
  <si>
    <t>(11)资本合计</t>
    <phoneticPr fontId="1" type="noConversion"/>
  </si>
  <si>
    <t>长期融资净值=8+10-2-3-4</t>
    <phoneticPr fontId="1" type="noConversion"/>
  </si>
  <si>
    <t>短期融资净值=7-1</t>
    <phoneticPr fontId="1" type="noConversion"/>
  </si>
  <si>
    <t>(10)股东权益=6-9</t>
    <phoneticPr fontId="1" type="noConversion"/>
  </si>
  <si>
    <t>企业实际所得税税率%</t>
    <phoneticPr fontId="1" type="noConversion"/>
  </si>
  <si>
    <t>(8)债务资金比例%=2/7</t>
    <phoneticPr fontId="1" type="noConversion"/>
  </si>
  <si>
    <t>(9)股权资金比例%=5/7</t>
    <phoneticPr fontId="1" type="noConversion"/>
  </si>
  <si>
    <t>(10)加权平均资金成本(WACC)%</t>
    <phoneticPr fontId="1" type="noConversion"/>
  </si>
  <si>
    <t>(11)长期资产扩张性资本支出比例%=9/10*100%</t>
    <phoneticPr fontId="1" type="noConversion"/>
  </si>
  <si>
    <t>营业收入</t>
    <phoneticPr fontId="1" type="noConversion"/>
  </si>
  <si>
    <t>营业成本</t>
    <phoneticPr fontId="1" type="noConversion"/>
  </si>
  <si>
    <t>营业成本率</t>
    <phoneticPr fontId="1" type="noConversion"/>
  </si>
  <si>
    <t>营业成本增长率</t>
    <phoneticPr fontId="1" type="noConversion"/>
  </si>
  <si>
    <t>毛利</t>
    <phoneticPr fontId="1" type="noConversion"/>
  </si>
  <si>
    <t>毛利率</t>
    <phoneticPr fontId="1" type="noConversion"/>
  </si>
  <si>
    <t>毛利增长率</t>
    <phoneticPr fontId="1" type="noConversion"/>
  </si>
  <si>
    <t>税金及附加</t>
    <phoneticPr fontId="1" type="noConversion"/>
  </si>
  <si>
    <t>税金及附加率</t>
    <phoneticPr fontId="1" type="noConversion"/>
  </si>
  <si>
    <t>销售费用</t>
    <phoneticPr fontId="1" type="noConversion"/>
  </si>
  <si>
    <t>销售费用率</t>
    <phoneticPr fontId="1" type="noConversion"/>
  </si>
  <si>
    <t>管理费用</t>
    <phoneticPr fontId="1" type="noConversion"/>
  </si>
  <si>
    <t>管理费用率</t>
    <phoneticPr fontId="1" type="noConversion"/>
  </si>
  <si>
    <t>资产减值损失</t>
    <phoneticPr fontId="1" type="noConversion"/>
  </si>
  <si>
    <t>财务费用中其他（财务手续费)</t>
    <phoneticPr fontId="1" type="noConversion"/>
  </si>
  <si>
    <t>财务手续费率</t>
    <phoneticPr fontId="1" type="noConversion"/>
  </si>
  <si>
    <t>营业外收支净额</t>
    <phoneticPr fontId="1" type="noConversion"/>
  </si>
  <si>
    <t>营业外收支净额率</t>
    <phoneticPr fontId="1" type="noConversion"/>
  </si>
  <si>
    <t>总费用率</t>
    <phoneticPr fontId="1" type="noConversion"/>
  </si>
  <si>
    <t>息前税后经营利润</t>
    <phoneticPr fontId="1" type="noConversion"/>
  </si>
  <si>
    <t>息前税后经营利润率</t>
    <phoneticPr fontId="1" type="noConversion"/>
  </si>
  <si>
    <t>营业收入增长率%</t>
    <phoneticPr fontId="1" type="noConversion"/>
  </si>
  <si>
    <t>息税前经营利润</t>
    <phoneticPr fontId="1" type="noConversion"/>
  </si>
  <si>
    <t>对联营企业和合营企业的股权投资收益</t>
    <phoneticPr fontId="1" type="noConversion"/>
  </si>
  <si>
    <t>息税前金融资产收益</t>
    <phoneticPr fontId="1" type="noConversion"/>
  </si>
  <si>
    <t>息税前利润</t>
    <phoneticPr fontId="1" type="noConversion"/>
  </si>
  <si>
    <t>息税前利润结构分析</t>
    <phoneticPr fontId="1" type="noConversion"/>
  </si>
  <si>
    <t>息税前经营利润占比</t>
    <phoneticPr fontId="1" type="noConversion"/>
  </si>
  <si>
    <t>对联营企业和合营企业的股权投资收益占比</t>
    <phoneticPr fontId="1" type="noConversion"/>
  </si>
  <si>
    <t>息税前金融资产收益占比</t>
    <phoneticPr fontId="1" type="noConversion"/>
  </si>
  <si>
    <t>财务成本负担率</t>
    <phoneticPr fontId="1" type="noConversion"/>
  </si>
  <si>
    <t>税前利润</t>
    <phoneticPr fontId="1" type="noConversion"/>
  </si>
  <si>
    <t>财务成本负担率=1-税前利润/息税前利润</t>
    <phoneticPr fontId="1" type="noConversion"/>
  </si>
  <si>
    <t>(1) 营业收入</t>
    <phoneticPr fontId="1" type="noConversion"/>
  </si>
  <si>
    <t>(2) 减：营业成本</t>
    <phoneticPr fontId="1" type="noConversion"/>
  </si>
  <si>
    <t>(3)毛利额=1-2</t>
    <phoneticPr fontId="1" type="noConversion"/>
  </si>
  <si>
    <t xml:space="preserve">   毛利率</t>
    <phoneticPr fontId="1" type="noConversion"/>
  </si>
  <si>
    <t>(4) 减：（营业）税金及附加</t>
    <phoneticPr fontId="1" type="noConversion"/>
  </si>
  <si>
    <t>(5) 销售费用</t>
    <phoneticPr fontId="1" type="noConversion"/>
  </si>
  <si>
    <t>(6) 管理费用</t>
    <phoneticPr fontId="1" type="noConversion"/>
  </si>
  <si>
    <t>(7) 资产减值损失</t>
    <phoneticPr fontId="1" type="noConversion"/>
  </si>
  <si>
    <t>(8) 财务费用中其他（与经营活动有关的财务手续费）</t>
    <phoneticPr fontId="1" type="noConversion"/>
  </si>
  <si>
    <t>(9) 加：营业外收入</t>
    <phoneticPr fontId="1" type="noConversion"/>
  </si>
  <si>
    <t>(10) 减：营业外支出</t>
    <phoneticPr fontId="1" type="noConversion"/>
  </si>
  <si>
    <t>(12) 经营利润所得税=11*实际所得税税率</t>
    <phoneticPr fontId="1" type="noConversion"/>
  </si>
  <si>
    <t>(13)息前税后经营利润=11-12</t>
    <phoneticPr fontId="1" type="noConversion"/>
  </si>
  <si>
    <t>(11)息税前经营利润=3-（4+5+6+7+8）+9-10</t>
    <phoneticPr fontId="1" type="noConversion"/>
  </si>
  <si>
    <t xml:space="preserve">    息前税后经营利润率=13/1*100%</t>
    <phoneticPr fontId="1" type="noConversion"/>
  </si>
  <si>
    <t>(14) 对联营企业和合营企业的股权投资收益</t>
    <phoneticPr fontId="1" type="noConversion"/>
  </si>
  <si>
    <t>(15) 公允价值变动净收益</t>
    <phoneticPr fontId="1" type="noConversion"/>
  </si>
  <si>
    <t xml:space="preserve">(16) 财务费用中的利息收入 </t>
    <phoneticPr fontId="1" type="noConversion"/>
  </si>
  <si>
    <t>(17) 短期投资净收益=投资收益-股权投资收益</t>
    <phoneticPr fontId="1" type="noConversion"/>
  </si>
  <si>
    <t>(18) 财务费用中的汇兑净收益</t>
    <phoneticPr fontId="1" type="noConversion"/>
  </si>
  <si>
    <t>(19) 其他综合收益</t>
    <phoneticPr fontId="1" type="noConversion"/>
  </si>
  <si>
    <t>(20) 息税前金融资产收益=15+16+17+18+19</t>
    <phoneticPr fontId="1" type="noConversion"/>
  </si>
  <si>
    <t>(21) 金融资产收益所得税=（20-19）*实际所得税税率</t>
    <phoneticPr fontId="1" type="noConversion"/>
  </si>
  <si>
    <t>(22) 息前税后金融资产收益=20-21</t>
    <phoneticPr fontId="1" type="noConversion"/>
  </si>
  <si>
    <t>(23) 息税前利润=11+14+20</t>
    <phoneticPr fontId="1" type="noConversion"/>
  </si>
  <si>
    <t xml:space="preserve">    息税前利润率=23/1*100%</t>
    <phoneticPr fontId="1" type="noConversion"/>
  </si>
  <si>
    <t>(24) 息前税后利润=13+14+22</t>
    <phoneticPr fontId="1" type="noConversion"/>
  </si>
  <si>
    <t xml:space="preserve">    息前税后利润率=24/1*100%</t>
    <phoneticPr fontId="1" type="noConversion"/>
  </si>
  <si>
    <t>(25) 真实财务费用=利润表中财务费用+16</t>
    <phoneticPr fontId="1" type="noConversion"/>
  </si>
  <si>
    <t>(26) 减：利息支出税收抵扣=25*实际所得税税率</t>
    <phoneticPr fontId="1" type="noConversion"/>
  </si>
  <si>
    <t>(27) 税后财务费用=25-26</t>
    <phoneticPr fontId="1" type="noConversion"/>
  </si>
  <si>
    <t>(28)（息后）税前利润=（23-25）或 （24-27）</t>
    <phoneticPr fontId="1" type="noConversion"/>
  </si>
  <si>
    <t xml:space="preserve">    （息后）税前利润率=28/1*100%</t>
    <phoneticPr fontId="1" type="noConversion"/>
  </si>
  <si>
    <t>(29) 减：所得税费用</t>
    <phoneticPr fontId="1" type="noConversion"/>
  </si>
  <si>
    <t xml:space="preserve">    净利润率=30/1*100%</t>
    <phoneticPr fontId="1" type="noConversion"/>
  </si>
  <si>
    <t>(30)净利润=28-29</t>
    <phoneticPr fontId="1" type="noConversion"/>
  </si>
  <si>
    <t>(31) 减：股权资本成本=所有者权益*股权资本成本率</t>
    <phoneticPr fontId="1" type="noConversion"/>
  </si>
  <si>
    <t xml:space="preserve">     假设股权资本成本率为8%</t>
    <phoneticPr fontId="1" type="noConversion"/>
  </si>
  <si>
    <t>(32) 股权价值增加=30-31</t>
    <phoneticPr fontId="1" type="noConversion"/>
  </si>
  <si>
    <t>净利润、股权价值增加值</t>
    <phoneticPr fontId="1" type="noConversion"/>
  </si>
  <si>
    <t>净利润</t>
    <phoneticPr fontId="1" type="noConversion"/>
  </si>
  <si>
    <t>环比增长</t>
    <phoneticPr fontId="1" type="noConversion"/>
  </si>
  <si>
    <t>股权价值增加值</t>
    <phoneticPr fontId="1" type="noConversion"/>
  </si>
  <si>
    <t>净利润率%</t>
    <phoneticPr fontId="1" type="noConversion"/>
  </si>
  <si>
    <t>利息保障倍数=息税前利润/利息费用(利息费用?)</t>
    <phoneticPr fontId="1" type="noConversion"/>
  </si>
  <si>
    <t>股东权益</t>
    <phoneticPr fontId="1" type="noConversion"/>
  </si>
  <si>
    <t>股东权益回报率=净利润/股东权益</t>
    <phoneticPr fontId="1" type="noConversion"/>
  </si>
  <si>
    <t>(2)资产总额周转率=营业收入/资产总额</t>
    <phoneticPr fontId="1" type="noConversion"/>
  </si>
  <si>
    <t>(3)财务成本效应比率=税前利润/息税前利润</t>
    <phoneticPr fontId="1" type="noConversion"/>
  </si>
  <si>
    <t>(4)财务杠杆倍数=资产总额/股东权益</t>
    <phoneticPr fontId="1" type="noConversion"/>
  </si>
  <si>
    <t>(5)企业所得税效应比率=净利润/税前利润</t>
    <phoneticPr fontId="1" type="noConversion"/>
  </si>
  <si>
    <t>实际所得税税率=1-净利润/税前利润</t>
    <phoneticPr fontId="1" type="noConversion"/>
  </si>
  <si>
    <t>股东权益回报率=1*2*3*4*5</t>
    <phoneticPr fontId="1" type="noConversion"/>
  </si>
  <si>
    <t>(1)息税前利润率=息税前利润/营业收入%</t>
    <phoneticPr fontId="1" type="noConversion"/>
  </si>
  <si>
    <t>息税前资产回报率=息税前利润/资产总额</t>
    <phoneticPr fontId="1" type="noConversion"/>
  </si>
  <si>
    <t xml:space="preserve">财务杠杆效应=财务成本效应比率*财务杠杆倍数 </t>
    <phoneticPr fontId="1" type="noConversion"/>
  </si>
  <si>
    <t>营运资产回报率分析</t>
    <phoneticPr fontId="1" type="noConversion"/>
  </si>
  <si>
    <t>长期股权投资的回报率分析</t>
    <phoneticPr fontId="1" type="noConversion"/>
  </si>
  <si>
    <t>长期股权投资收益</t>
    <phoneticPr fontId="1" type="noConversion"/>
  </si>
  <si>
    <t>长期股权投资</t>
    <phoneticPr fontId="1" type="noConversion"/>
  </si>
  <si>
    <t>长期股权投资收益率</t>
    <phoneticPr fontId="1" type="noConversion"/>
  </si>
  <si>
    <t>金融资产回报率分析</t>
    <phoneticPr fontId="1" type="noConversion"/>
  </si>
  <si>
    <t>(1)营业收入</t>
    <phoneticPr fontId="1" type="noConversion"/>
  </si>
  <si>
    <t>(2)息税前经营利润</t>
    <phoneticPr fontId="1" type="noConversion"/>
  </si>
  <si>
    <t>(3)息税前经营利润率=2/1</t>
    <phoneticPr fontId="1" type="noConversion"/>
  </si>
  <si>
    <t>息前税后金融资产收益</t>
    <phoneticPr fontId="1" type="noConversion"/>
  </si>
  <si>
    <t>金融资产：</t>
    <phoneticPr fontId="1" type="noConversion"/>
  </si>
  <si>
    <t>货币资金</t>
    <phoneticPr fontId="1" type="noConversion"/>
  </si>
  <si>
    <t>以公允价值计量且其变动计入当期损益的金融资产</t>
    <phoneticPr fontId="1" type="noConversion"/>
  </si>
  <si>
    <t>应收利息</t>
    <phoneticPr fontId="1" type="noConversion"/>
  </si>
  <si>
    <t>应收股利</t>
    <phoneticPr fontId="1" type="noConversion"/>
  </si>
  <si>
    <t>可供出售金融资产</t>
    <phoneticPr fontId="1" type="noConversion"/>
  </si>
  <si>
    <t>持有至到期投资</t>
    <phoneticPr fontId="1" type="noConversion"/>
  </si>
  <si>
    <t>投资性房地产</t>
    <phoneticPr fontId="1" type="noConversion"/>
  </si>
  <si>
    <t>买入返售金融资产</t>
    <phoneticPr fontId="1" type="noConversion"/>
  </si>
  <si>
    <t>划分为持有待售的资产</t>
    <phoneticPr fontId="1" type="noConversion"/>
  </si>
  <si>
    <t>金融资产合计</t>
    <phoneticPr fontId="1" type="noConversion"/>
  </si>
  <si>
    <t>税后金融资产收益率</t>
    <phoneticPr fontId="1" type="noConversion"/>
  </si>
  <si>
    <t>息税前资产周转率分析</t>
    <phoneticPr fontId="1" type="noConversion"/>
  </si>
  <si>
    <t>营业收入</t>
    <phoneticPr fontId="1" type="noConversion"/>
  </si>
  <si>
    <t>营运资产总额</t>
    <phoneticPr fontId="1" type="noConversion"/>
  </si>
  <si>
    <t>营运资产周转率</t>
    <phoneticPr fontId="1" type="noConversion"/>
  </si>
  <si>
    <t>长期经营资产总额</t>
    <phoneticPr fontId="1" type="noConversion"/>
  </si>
  <si>
    <t>长期经营资产周转率</t>
    <phoneticPr fontId="1" type="noConversion"/>
  </si>
  <si>
    <t>金融资产总额</t>
    <phoneticPr fontId="1" type="noConversion"/>
  </si>
  <si>
    <t>金融资产周转率</t>
    <phoneticPr fontId="1" type="noConversion"/>
  </si>
  <si>
    <t>长期股权投资周转率</t>
    <phoneticPr fontId="1" type="noConversion"/>
  </si>
  <si>
    <t>营运资本管理效率分析</t>
    <phoneticPr fontId="1" type="noConversion"/>
  </si>
  <si>
    <t>计算周期(天)</t>
    <phoneticPr fontId="1" type="noConversion"/>
  </si>
  <si>
    <t>应收账款+应收票据-预收账款</t>
    <phoneticPr fontId="1" type="noConversion"/>
  </si>
  <si>
    <t>(2)应收账款周转天数</t>
    <phoneticPr fontId="1" type="noConversion"/>
  </si>
  <si>
    <t>营业成本</t>
    <phoneticPr fontId="1" type="noConversion"/>
  </si>
  <si>
    <t>存货</t>
    <phoneticPr fontId="1" type="noConversion"/>
  </si>
  <si>
    <t>(3)存货平均周转率=营业成本/平均存货额</t>
    <phoneticPr fontId="1" type="noConversion"/>
  </si>
  <si>
    <t>(4)存货周转天数</t>
    <phoneticPr fontId="1" type="noConversion"/>
  </si>
  <si>
    <t>应付账款+应付票据-预付账款</t>
    <phoneticPr fontId="1" type="noConversion"/>
  </si>
  <si>
    <t>(5)应付平均周转率=营业成本/平均应付成本</t>
    <phoneticPr fontId="1" type="noConversion"/>
  </si>
  <si>
    <t>(6)应付账款周转天数</t>
    <phoneticPr fontId="1" type="noConversion"/>
  </si>
  <si>
    <t>(7)营业周期(天) = 2+ 4</t>
    <phoneticPr fontId="1" type="noConversion"/>
  </si>
  <si>
    <t>(8)现金周期(天) = 2+4-6</t>
    <phoneticPr fontId="1" type="noConversion"/>
  </si>
  <si>
    <t>占用上下游资金</t>
    <phoneticPr fontId="1" type="noConversion"/>
  </si>
  <si>
    <t>(1)销售商品、提供劳务收到的现金</t>
    <phoneticPr fontId="1" type="noConversion"/>
  </si>
  <si>
    <t>(2)营业总收入</t>
    <phoneticPr fontId="1" type="noConversion"/>
  </si>
  <si>
    <t>营业收入现金含量= ((1)/(1+(3))/(2)</t>
    <phoneticPr fontId="1" type="noConversion"/>
  </si>
  <si>
    <t>(4)购买商品、接受劳务支出的现金</t>
    <phoneticPr fontId="1" type="noConversion"/>
  </si>
  <si>
    <t>(5)支付给职工以及为职工支付的现金</t>
    <phoneticPr fontId="1" type="noConversion"/>
  </si>
  <si>
    <t xml:space="preserve">(6)营业成本 </t>
    <phoneticPr fontId="1" type="noConversion"/>
  </si>
  <si>
    <t>(7)营业税金及附加</t>
    <phoneticPr fontId="1" type="noConversion"/>
  </si>
  <si>
    <t>(8)销售费用</t>
    <phoneticPr fontId="1" type="noConversion"/>
  </si>
  <si>
    <t>(9)管理费用</t>
    <phoneticPr fontId="1" type="noConversion"/>
  </si>
  <si>
    <t>(10)营业总成本=6+7+8+9</t>
    <phoneticPr fontId="1" type="noConversion"/>
  </si>
  <si>
    <t>成本费用付现率=((4)/(1+(3))+(5))/(10)</t>
    <phoneticPr fontId="1" type="noConversion"/>
  </si>
  <si>
    <t>(11)经营活动产生的现金流量净额</t>
    <phoneticPr fontId="1" type="noConversion"/>
  </si>
  <si>
    <t>(12)息前税后经营利润</t>
    <phoneticPr fontId="1" type="noConversion"/>
  </si>
  <si>
    <t>经营利润现金含量=11/12</t>
    <phoneticPr fontId="1" type="noConversion"/>
  </si>
  <si>
    <t>(13)净利润</t>
    <phoneticPr fontId="1" type="noConversion"/>
  </si>
  <si>
    <t>净利润现金含量=11/13</t>
    <phoneticPr fontId="1" type="noConversion"/>
  </si>
  <si>
    <t>(14)资产减值准备</t>
    <phoneticPr fontId="1" type="noConversion"/>
  </si>
  <si>
    <t>(15)固定资产折旧、油气资产折旧、生产性生物资产折旧</t>
    <phoneticPr fontId="1" type="noConversion"/>
  </si>
  <si>
    <t>(16)无形资产摊销</t>
    <phoneticPr fontId="1" type="noConversion"/>
  </si>
  <si>
    <t>(17)长期待摊费用摊销</t>
    <phoneticPr fontId="1" type="noConversion"/>
  </si>
  <si>
    <t>(18)处置固定资产、无形资产和其他长期资产的损失</t>
    <phoneticPr fontId="1" type="noConversion"/>
  </si>
  <si>
    <t>(19)固定资产报废损失</t>
    <phoneticPr fontId="1" type="noConversion"/>
  </si>
  <si>
    <t>非付现成本费用=14+15+16+17+18+19</t>
    <phoneticPr fontId="1" type="noConversion"/>
  </si>
  <si>
    <t>经营活动产生的现金流量净额-非付现成本费用</t>
    <phoneticPr fontId="1" type="noConversion"/>
  </si>
  <si>
    <t>自由现金流增长率</t>
    <phoneticPr fontId="1" type="noConversion"/>
  </si>
  <si>
    <t>(3)增值税销项税率</t>
    <phoneticPr fontId="1" type="noConversion"/>
  </si>
  <si>
    <t>增值税销项税率</t>
    <phoneticPr fontId="1" type="noConversion"/>
  </si>
  <si>
    <t xml:space="preserve">不同公司的自由现金流计算是有差异的。并非所有的公司都要 按照这个公式和口径来计算，要看不同的公司做不同的调整。
</t>
    <phoneticPr fontId="1" type="noConversion"/>
  </si>
  <si>
    <t>一阶段：缓慢增长DCF假设</t>
    <phoneticPr fontId="1" type="noConversion"/>
  </si>
  <si>
    <t>(1)最近一年自由现金流为基准</t>
    <phoneticPr fontId="1" type="noConversion"/>
  </si>
  <si>
    <t>(2)缓慢增长率g</t>
    <phoneticPr fontId="1" type="noConversion"/>
  </si>
  <si>
    <t>(3)贴现率(WACC)</t>
    <phoneticPr fontId="1" type="noConversion"/>
  </si>
  <si>
    <t>(4)经营类资产价值=(1) * (1+g)/(WACC-g)</t>
    <phoneticPr fontId="1" type="noConversion"/>
  </si>
  <si>
    <t>(5)加：金融资产</t>
    <phoneticPr fontId="1" type="noConversion"/>
  </si>
  <si>
    <t>(6)加：股权投资</t>
    <phoneticPr fontId="1" type="noConversion"/>
  </si>
  <si>
    <t>(7)减：公司债务</t>
    <phoneticPr fontId="1" type="noConversion"/>
  </si>
  <si>
    <t>(8)公司价值=（4）+（5）+（6）-（7）</t>
    <phoneticPr fontId="1" type="noConversion"/>
  </si>
  <si>
    <t>(9)少数股东比例</t>
    <phoneticPr fontId="1" type="noConversion"/>
  </si>
  <si>
    <t>(11)股本</t>
    <phoneticPr fontId="1" type="noConversion"/>
  </si>
  <si>
    <t>(12)每股内在价值（元）=（10）/（11）</t>
    <phoneticPr fontId="1" type="noConversion"/>
  </si>
  <si>
    <t>DCF两段</t>
    <phoneticPr fontId="1" type="noConversion"/>
  </si>
  <si>
    <t>n年之内增长率</t>
    <phoneticPr fontId="1" type="noConversion"/>
  </si>
  <si>
    <t>贴现率</t>
    <phoneticPr fontId="1" type="noConversion"/>
  </si>
  <si>
    <t>折现后价值</t>
    <phoneticPr fontId="1" type="noConversion"/>
  </si>
  <si>
    <t>两段合计</t>
    <phoneticPr fontId="1" type="noConversion"/>
  </si>
  <si>
    <t>经营性资产价值</t>
    <phoneticPr fontId="1" type="noConversion"/>
  </si>
  <si>
    <t>加：金融资产价值</t>
    <phoneticPr fontId="1" type="noConversion"/>
  </si>
  <si>
    <t>加：长期股权价值</t>
    <phoneticPr fontId="1" type="noConversion"/>
  </si>
  <si>
    <t>减：公司债务</t>
    <phoneticPr fontId="1" type="noConversion"/>
  </si>
  <si>
    <t>公司价值</t>
    <phoneticPr fontId="1" type="noConversion"/>
  </si>
  <si>
    <t>少数股东比例</t>
    <phoneticPr fontId="1" type="noConversion"/>
  </si>
  <si>
    <t>归属上市公司股东的价值</t>
    <phoneticPr fontId="1" type="noConversion"/>
  </si>
  <si>
    <t>每股内在价值（元）</t>
    <phoneticPr fontId="1" type="noConversion"/>
  </si>
  <si>
    <t>总股本（万股）</t>
    <phoneticPr fontId="1" type="noConversion"/>
  </si>
  <si>
    <t>最近一年自由现金流</t>
    <phoneticPr fontId="1" type="noConversion"/>
  </si>
  <si>
    <t>头5年增长率g1</t>
    <phoneticPr fontId="1" type="noConversion"/>
  </si>
  <si>
    <t>5年后增长率g2</t>
    <phoneticPr fontId="1" type="noConversion"/>
  </si>
  <si>
    <t>安全区间</t>
    <phoneticPr fontId="1" type="noConversion"/>
  </si>
  <si>
    <t>DCF三段</t>
    <phoneticPr fontId="1" type="noConversion"/>
  </si>
  <si>
    <t>三段合计</t>
    <phoneticPr fontId="1" type="noConversion"/>
  </si>
  <si>
    <t>此后增长率g3</t>
    <phoneticPr fontId="1" type="noConversion"/>
  </si>
  <si>
    <t>合计价值</t>
    <phoneticPr fontId="1" type="noConversion"/>
  </si>
  <si>
    <t>公司自由现金流：free cash flow,FCF</t>
    <phoneticPr fontId="1" type="noConversion"/>
  </si>
  <si>
    <t>(10)归属上市公司股东价值= (8) * (1-(9))</t>
    <phoneticPr fontId="1" type="noConversion"/>
  </si>
  <si>
    <t>股本</t>
    <phoneticPr fontId="1" type="noConversion"/>
  </si>
  <si>
    <t>分配股利、利润或偿付利息所支付的现金</t>
  </si>
  <si>
    <t>(1)金融资产</t>
    <phoneticPr fontId="1" type="noConversion"/>
  </si>
  <si>
    <t>(2)长期股权投资</t>
    <phoneticPr fontId="1" type="noConversion"/>
  </si>
  <si>
    <t>金融资产变化率</t>
    <phoneticPr fontId="1" type="noConversion"/>
  </si>
  <si>
    <t>长期股权投资变化率</t>
    <phoneticPr fontId="1" type="noConversion"/>
  </si>
  <si>
    <t>营运资产变化率</t>
    <phoneticPr fontId="1" type="noConversion"/>
  </si>
  <si>
    <t>营运负责变化率</t>
    <phoneticPr fontId="1" type="noConversion"/>
  </si>
  <si>
    <t>(3)营运资本(营运资产-营运负债)</t>
    <phoneticPr fontId="1" type="noConversion"/>
  </si>
  <si>
    <t>长期经营资产变化率</t>
    <phoneticPr fontId="1" type="noConversion"/>
  </si>
  <si>
    <t>短期债务变化率</t>
    <phoneticPr fontId="1" type="noConversion"/>
  </si>
  <si>
    <t>长期债务变化率</t>
    <phoneticPr fontId="1" type="noConversion"/>
  </si>
  <si>
    <t>金融资产占比</t>
    <phoneticPr fontId="1" type="noConversion"/>
  </si>
  <si>
    <t>长期股权投资占比</t>
    <phoneticPr fontId="1" type="noConversion"/>
  </si>
  <si>
    <t>短期债务占比</t>
    <phoneticPr fontId="1" type="noConversion"/>
  </si>
  <si>
    <t>长期债务占比</t>
    <phoneticPr fontId="1" type="noConversion"/>
  </si>
  <si>
    <t>长期经营资产占比</t>
    <phoneticPr fontId="1" type="noConversion"/>
  </si>
  <si>
    <t>5年</t>
    <phoneticPr fontId="1" type="noConversion"/>
  </si>
  <si>
    <t>自由现金流增长率</t>
    <phoneticPr fontId="1" type="noConversion"/>
  </si>
  <si>
    <t>7年</t>
    <phoneticPr fontId="1" type="noConversion"/>
  </si>
  <si>
    <t>复合增长率 = POWER(现有价值/基础价值， 1/年数） -1</t>
    <phoneticPr fontId="1" type="noConversion"/>
  </si>
  <si>
    <t>利息收入(此处填为负数）</t>
    <phoneticPr fontId="1" type="noConversion"/>
  </si>
  <si>
    <t>营运资本变化率</t>
    <phoneticPr fontId="1" type="noConversion"/>
  </si>
  <si>
    <t>营运资本</t>
    <phoneticPr fontId="1" type="noConversion"/>
  </si>
  <si>
    <t>复合增长</t>
  </si>
  <si>
    <t>资产总额</t>
    <phoneticPr fontId="1" type="noConversion"/>
  </si>
  <si>
    <t>营运资产</t>
    <phoneticPr fontId="1" type="noConversion"/>
  </si>
  <si>
    <t>营运负债</t>
    <phoneticPr fontId="1" type="noConversion"/>
  </si>
  <si>
    <t>长期经营资产</t>
    <phoneticPr fontId="1" type="noConversion"/>
  </si>
  <si>
    <t>长期经营资产周转率分析</t>
    <phoneticPr fontId="1" type="noConversion"/>
  </si>
  <si>
    <t>营业收入</t>
    <phoneticPr fontId="1" type="noConversion"/>
  </si>
  <si>
    <t>长期经营资产总额</t>
    <phoneticPr fontId="1" type="noConversion"/>
  </si>
  <si>
    <t>长期经营资产周转率</t>
    <phoneticPr fontId="1" type="noConversion"/>
  </si>
  <si>
    <t>固定资产</t>
    <phoneticPr fontId="1" type="noConversion"/>
  </si>
  <si>
    <t>固定资产周转率</t>
    <phoneticPr fontId="1" type="noConversion"/>
  </si>
  <si>
    <t>在建工程</t>
    <phoneticPr fontId="1" type="noConversion"/>
  </si>
  <si>
    <t>在建工程周转率</t>
    <phoneticPr fontId="1" type="noConversion"/>
  </si>
  <si>
    <t>工程物资</t>
    <phoneticPr fontId="1" type="noConversion"/>
  </si>
  <si>
    <t>固定资产清理</t>
    <phoneticPr fontId="1" type="noConversion"/>
  </si>
  <si>
    <t>生产性生物资产</t>
    <phoneticPr fontId="1" type="noConversion"/>
  </si>
  <si>
    <t>油气资产</t>
    <phoneticPr fontId="1" type="noConversion"/>
  </si>
  <si>
    <t>无形资产</t>
    <phoneticPr fontId="1" type="noConversion"/>
  </si>
  <si>
    <t>开发支出</t>
    <phoneticPr fontId="1" type="noConversion"/>
  </si>
  <si>
    <t>商誉</t>
    <phoneticPr fontId="1" type="noConversion"/>
  </si>
  <si>
    <t>长期待摊费用</t>
    <phoneticPr fontId="1" type="noConversion"/>
  </si>
  <si>
    <t>递延所得税资产</t>
    <phoneticPr fontId="1" type="noConversion"/>
  </si>
  <si>
    <t>减：递延所得税负债</t>
    <phoneticPr fontId="1" type="noConversion"/>
  </si>
  <si>
    <t>其他非流动资产</t>
    <phoneticPr fontId="1" type="noConversion"/>
  </si>
  <si>
    <t>(8)发行债券收到的现金</t>
    <phoneticPr fontId="1" type="noConversion"/>
  </si>
  <si>
    <t>(9)债务筹资净额=4+8-5-6-7</t>
    <phoneticPr fontId="1" type="noConversion"/>
  </si>
  <si>
    <t>近6年营业收入复合增长</t>
    <phoneticPr fontId="1" type="noConversion"/>
  </si>
  <si>
    <t>6年</t>
    <phoneticPr fontId="1" type="noConversion"/>
  </si>
  <si>
    <t>6年</t>
    <phoneticPr fontId="1" type="noConversion"/>
  </si>
  <si>
    <t>复合增长率</t>
    <phoneticPr fontId="1" type="noConversion"/>
  </si>
  <si>
    <t>5年</t>
    <phoneticPr fontId="1" type="noConversion"/>
  </si>
  <si>
    <t>6年</t>
    <phoneticPr fontId="1" type="noConversion"/>
  </si>
  <si>
    <t>7年</t>
    <phoneticPr fontId="1" type="noConversion"/>
  </si>
  <si>
    <t>经营性现金流</t>
    <phoneticPr fontId="1" type="noConversion"/>
  </si>
  <si>
    <t>维斯效应，就是有关市场预期与上市公司价格波动之间的双倍数效应。也就是说当一个公司利润持续增长使得每股收益提高，同时市场给予的估值也提高，股价得到了相乘倍数的上涨，这就叫戴维斯双击；相反，当一个公司业绩下滑时，每股收益减
少或下降，市场给予的估值也下降，股价得到相乘倍数的下跌，这就叫戴维斯双杀。</t>
    <phoneticPr fontId="1" type="noConversion"/>
  </si>
  <si>
    <t xml:space="preserve">    实际所得税税率=29/28</t>
    <phoneticPr fontId="1" type="noConversion"/>
  </si>
  <si>
    <t>PEG测算</t>
    <phoneticPr fontId="1" type="noConversion"/>
  </si>
  <si>
    <t>最高股份日期</t>
    <phoneticPr fontId="1" type="noConversion"/>
  </si>
  <si>
    <t>最高股价（复权）</t>
    <phoneticPr fontId="1" type="noConversion"/>
  </si>
  <si>
    <t>股本（亿股）</t>
    <phoneticPr fontId="1" type="noConversion"/>
  </si>
  <si>
    <t>净利润增长率%</t>
    <phoneticPr fontId="1" type="noConversion"/>
  </si>
  <si>
    <t>收盘价</t>
    <phoneticPr fontId="1" type="noConversion"/>
  </si>
  <si>
    <t>市值</t>
    <phoneticPr fontId="1" type="noConversion"/>
  </si>
  <si>
    <t>最高市值</t>
    <phoneticPr fontId="1" type="noConversion"/>
  </si>
  <si>
    <t>市盈率</t>
    <phoneticPr fontId="1" type="noConversion"/>
  </si>
  <si>
    <t>最高市盈率</t>
    <phoneticPr fontId="1" type="noConversion"/>
  </si>
  <si>
    <t>最高PEG</t>
    <phoneticPr fontId="1" type="noConversion"/>
  </si>
  <si>
    <t>净利润（预测）</t>
    <phoneticPr fontId="1" type="noConversion"/>
  </si>
  <si>
    <t>2018年预测</t>
    <phoneticPr fontId="1" type="noConversion"/>
  </si>
  <si>
    <t>市盈率P/E</t>
    <phoneticPr fontId="1" type="noConversion"/>
  </si>
  <si>
    <t>市值(亿）</t>
    <phoneticPr fontId="1" type="noConversion"/>
  </si>
  <si>
    <t>最高PEG=市盈率除以公司的盈利增长速度</t>
    <phoneticPr fontId="1" type="noConversion"/>
  </si>
  <si>
    <t>根据2018年中报预报,净利润为中报*2</t>
    <phoneticPr fontId="1" type="noConversion"/>
  </si>
  <si>
    <t>根据券商报告预测净利润</t>
    <phoneticPr fontId="1" type="noConversion"/>
  </si>
  <si>
    <t>净利润亿（财报）</t>
    <phoneticPr fontId="1" type="noConversion"/>
  </si>
  <si>
    <t>所谓PEG，是用公司的市盈率（PE）除以公司未来3或5年的（每股收益复合增长率*100）。（PE）仅仅反映了某股票当前价值，PEG则把股票当前的价值和该股未来的成长联系了起来 。比如一只股票当前的市盈率为20倍，其未来5年的预期每股收益复合增长率为20%，那么这只股票的PEG就是1。当PEG等于1时，表明市场赋予这只股票的估值可以充分反映其未来业绩的成长性。
如果PEG大于1，则这只股票的价值就可能被高估，或市场认为这家公司的业绩成长性会高于市场的预期。
通常，那些成长型股票的PEG都会高于1，甚至在2以上，投资者愿意给予其高估值，表明这家公司未来很有可能会保持业绩的快速增长，这样的股票就容易有超出想象的市盈率估值。
当PEG小于1时，要么是市场低估了这只股票的价值，要么是市场认为其业绩成长性可能比预期的要差。通常价值型股票的PEG都会低于1，以反映低业绩增长的预期。投资者需要注意的是，像其他财务指标一样，PEG也不能单独使用，必须要和其他指标结合起来，这里最关键的还是对公司业绩的预期。
由于PEG需要对未来至少3年的业绩增长情况作出判断，而不能只用未来12个月的盈利预测，因此大大提高了准确判断的难度。事实上，只有当投资者有把握对未来3年以上的业绩表现作出比较准确的预测时，PEG的使用效果才会体现出来，否则反而会起误导作用。此外，投资者不能仅看公司自身的PEG来确认它是高估还是低估，如果某公司股票的PEG为1.2,而其他成长性类似的同行业公司股票的PEG都在1.5以上，则该公司的PEG虽然已经高于1，但价值仍可能被低估</t>
    <phoneticPr fontId="1" type="noConversion"/>
  </si>
  <si>
    <t>(21)收回投资收到的现金</t>
    <phoneticPr fontId="1" type="noConversion"/>
  </si>
  <si>
    <t>(22)投资支付的现金</t>
    <phoneticPr fontId="1" type="noConversion"/>
  </si>
  <si>
    <t>(23)投资现金流出净额</t>
    <phoneticPr fontId="1" type="noConversion"/>
  </si>
  <si>
    <t>投资现金流出净额5年复合增长</t>
    <phoneticPr fontId="1" type="noConversion"/>
  </si>
  <si>
    <t>(2)分配股利、利润所支付的现金（当年所支付入现金：上一前的财报数据)</t>
    <phoneticPr fontId="1" type="noConversion"/>
  </si>
  <si>
    <t>百分比</t>
    <phoneticPr fontId="1" type="noConversion"/>
  </si>
  <si>
    <t>后10年增长率g2</t>
    <phoneticPr fontId="1" type="noConversion"/>
  </si>
  <si>
    <t>(5)经营资产合计=3+4</t>
    <phoneticPr fontId="1" type="noConversion"/>
  </si>
  <si>
    <t>(9)有息债务合计=7+8</t>
    <phoneticPr fontId="1" type="noConversion"/>
  </si>
  <si>
    <t>(6)资产总额合计=1+2+5</t>
    <phoneticPr fontId="1" type="noConversion"/>
  </si>
  <si>
    <t>(11)资本合计=9+10</t>
    <phoneticPr fontId="1" type="noConversion"/>
  </si>
  <si>
    <t>资产期限结构分析</t>
    <phoneticPr fontId="1" type="noConversion"/>
  </si>
  <si>
    <t>短期资产合计</t>
    <phoneticPr fontId="1" type="noConversion"/>
  </si>
  <si>
    <t>长期资产合计</t>
    <phoneticPr fontId="1" type="noConversion"/>
  </si>
  <si>
    <t>资产总计</t>
    <phoneticPr fontId="1" type="noConversion"/>
  </si>
  <si>
    <t xml:space="preserve">  金融资产</t>
    <phoneticPr fontId="1" type="noConversion"/>
  </si>
  <si>
    <t xml:space="preserve">  营运资本</t>
    <phoneticPr fontId="1" type="noConversion"/>
  </si>
  <si>
    <t xml:space="preserve">  其中：营运资产</t>
    <phoneticPr fontId="1" type="noConversion"/>
  </si>
  <si>
    <t xml:space="preserve">        营运负债</t>
    <phoneticPr fontId="1" type="noConversion"/>
  </si>
  <si>
    <t xml:space="preserve">  长期股权投资</t>
    <phoneticPr fontId="1" type="noConversion"/>
  </si>
  <si>
    <t xml:space="preserve">  长期经营资产</t>
    <phoneticPr fontId="1" type="noConversion"/>
  </si>
  <si>
    <t>资本来源结构分析</t>
    <phoneticPr fontId="1" type="noConversion"/>
  </si>
  <si>
    <t>短期债务</t>
    <phoneticPr fontId="1" type="noConversion"/>
  </si>
  <si>
    <t>长期债务</t>
    <phoneticPr fontId="1" type="noConversion"/>
  </si>
  <si>
    <t>有息债务合计</t>
    <phoneticPr fontId="1" type="noConversion"/>
  </si>
  <si>
    <t>股东权益</t>
    <phoneticPr fontId="1" type="noConversion"/>
  </si>
  <si>
    <t>资本总额</t>
    <phoneticPr fontId="1" type="noConversion"/>
  </si>
  <si>
    <t>有息债务率=69/74</t>
    <phoneticPr fontId="1" type="noConversion"/>
  </si>
  <si>
    <t>股权资本比率=71/74</t>
    <phoneticPr fontId="1" type="noConversion"/>
  </si>
  <si>
    <t>财务杠杆=74/71 最好在2倍以下</t>
    <phoneticPr fontId="1" type="noConversion"/>
  </si>
  <si>
    <t>资本期限结构分析</t>
    <phoneticPr fontId="1" type="noConversion"/>
  </si>
  <si>
    <t>短期资本合计</t>
    <phoneticPr fontId="1" type="noConversion"/>
  </si>
  <si>
    <t>短期资本比例</t>
    <phoneticPr fontId="1" type="noConversion"/>
  </si>
  <si>
    <t>长期资本合计</t>
    <phoneticPr fontId="1" type="noConversion"/>
  </si>
  <si>
    <t>长期资本比例</t>
    <phoneticPr fontId="1" type="noConversion"/>
  </si>
  <si>
    <t>运营资本长期化率=（8+10-4-2）/3</t>
    <phoneticPr fontId="1" type="noConversion"/>
  </si>
  <si>
    <t>(17)现金自给率=16/15</t>
    <phoneticPr fontId="1" type="noConversion"/>
  </si>
  <si>
    <t>优序筹资理论：
  首选内源筹资，基次为外源筹资，在外源筹资中又首选债务筹资，其次才是股权筹资
筹资时机：
  在股份较高时选择股权筹资，在股份较低时选择债务筹资，以利用较低的筹资成本优势。一家公司在股价被严重低估时选择股权筹资，将极大损害现有股东的利益，就是对现有股东利益的侵蚀。从这个意义上讲，
给现有股东配股筹资要比折扣价定向增发，对现有股东更加公平有利。
  我们可以通过筹资时机分析，判断一家公司的管理层是否认真对待股东的利益，是否是真正负责的管理层</t>
    <phoneticPr fontId="1" type="noConversion"/>
  </si>
  <si>
    <t>WACC增加，股票价值减小;WACC减小，股票价值增加;
基准利率和国债利率上升，则投资者预期回报上升，WACC上升;基准利率和国债利率下降，则投资者预期回报下降，WACC下降;
2016年我国5年期国债利率4.2%左右，换句话说，股东的预期收益率应该大于4.2%</t>
    <phoneticPr fontId="1" type="noConversion"/>
  </si>
  <si>
    <t>资产减值损失率（大比例变动可能操纵利润）</t>
    <phoneticPr fontId="1" type="noConversion"/>
  </si>
  <si>
    <r>
      <rPr>
        <b/>
        <sz val="11"/>
        <color rgb="FFFF0000"/>
        <rFont val="宋体"/>
        <family val="3"/>
        <charset val="134"/>
        <scheme val="minor"/>
      </rPr>
      <t>营业收入：</t>
    </r>
    <r>
      <rPr>
        <b/>
        <sz val="11"/>
        <color theme="1"/>
        <rFont val="宋体"/>
        <family val="3"/>
        <charset val="134"/>
        <scheme val="minor"/>
      </rPr>
      <t xml:space="preserve">
    1，营业收入逐年快速增长的公司，可以称之为成长型公司;营业收入逐年下降的公司，为衰退型公司;营业收入各年间保持稳定的公司，则称为成熟型公司。
    2，一家公司要提高营业收入有两个途径：一是扩大销量，二是提高价格。
    3，营业收入分析的特殊问题：收入的确认问题（虚构收入陷阱，结合现金流分析来规避）
</t>
    </r>
    <r>
      <rPr>
        <b/>
        <sz val="11"/>
        <color rgb="FFFF0000"/>
        <rFont val="宋体"/>
        <family val="3"/>
        <charset val="134"/>
        <scheme val="minor"/>
      </rPr>
      <t>营业成本：</t>
    </r>
    <r>
      <rPr>
        <b/>
        <sz val="11"/>
        <color theme="1"/>
        <rFont val="宋体"/>
        <family val="3"/>
        <charset val="134"/>
        <scheme val="minor"/>
      </rPr>
      <t xml:space="preserve">
    1，对于轻资产行业的固定成本比较低，一旦竞争对手进行恶性竞争，我们可以选择彻底退出，从而相对业说出现产能过剩的情况会少得多;对于进入重资产行业的公司来说，要通过差异化
竞争策略把自己跟其他公司区别开来，才能避免陷入价格战以及周期性产能过剩。
    2，一家公司要控制营业成本有两个途径：一是控制单位固定成本，二是控制单位变动成本 （营业成本=销量*（单位固定成本+单位变动成本）），
        从控制单位固定成本的角度来看，我们需要对公司业务规模做一个大致的预测和判断。在固定成本总额不变的情况下，业务规模越大，则单位固定成本越低。
        从控制单位变动成本的角度来看，我们需要分析公司内部管理的精细化程度，比如采购管理、精益生产方式等。
</t>
    </r>
    <r>
      <rPr>
        <b/>
        <sz val="11"/>
        <color rgb="FFFF0000"/>
        <rFont val="宋体"/>
        <family val="3"/>
        <charset val="134"/>
        <scheme val="minor"/>
      </rPr>
      <t>成本与收入匹配原则：</t>
    </r>
    <r>
      <rPr>
        <b/>
        <sz val="11"/>
        <color theme="1"/>
        <rFont val="宋体"/>
        <family val="3"/>
        <charset val="134"/>
        <scheme val="minor"/>
      </rPr>
      <t xml:space="preserve">
     一家公司某个会计期间或某个会计对象所取得的营业收入应与为取得该收入所发生的营业成本相匹配，以正确计算在该会计期间的营业利润，有些公司为了操纵利润，在某些年度少结转营业
成本，导致虚增公司利润的同时虚增公司存货。此时，我们要结合公司的毛利率以及存货周转率等指标，来进行分析为判断公司是否存在着财报舞弊。
</t>
    </r>
    <r>
      <rPr>
        <b/>
        <sz val="11"/>
        <color rgb="FFFF0000"/>
        <rFont val="宋体"/>
        <family val="3"/>
        <charset val="134"/>
        <scheme val="minor"/>
      </rPr>
      <t>毛利：</t>
    </r>
    <r>
      <rPr>
        <b/>
        <sz val="11"/>
        <color theme="1"/>
        <rFont val="宋体"/>
        <family val="3"/>
        <charset val="134"/>
        <scheme val="minor"/>
      </rPr>
      <t xml:space="preserve">
    在财报中，多数时候一家公司毛利率的高低就是反映其是否有护城河的指标 ：毛利率越高越稳定，护城河越深。
    1，一般而言，毛利率长期低于15%的行业属于过度竞争行业，
    2，毛利率长期在15%~25%的行业属于高度竞争行业，
    3，毛利率长期在25%以上的行业属于竞争格局比较好的行业。
    毛利率波动比较大的行业受外部因素如宏观经济形势，上下游供应链等影响比较大。
    1，对于有发展前景的公司，营业收入应该逐年增加，同时营业成本也会有所增长，但增长幅度应该低于营业收入。因此，毛利应该逐年与营业收入保持同幅度增长，或者更大幅度增长，
    2，反之，如果营业收入逐年增长，但营业成本增幅超过营业收入，则公司增收不增利;
    3，如果营业收入下降，营业成本下降，则公司陷入衰退境地。
费用分析：
    1，销售费用率  2，管理费用率  3，资产减值损失率  4，营业外收支净额率
</t>
    </r>
    <phoneticPr fontId="1" type="noConversion"/>
  </si>
  <si>
    <t>利润分析</t>
    <phoneticPr fontId="1" type="noConversion"/>
  </si>
  <si>
    <t>息税前经营利润</t>
    <phoneticPr fontId="1" type="noConversion"/>
  </si>
  <si>
    <t>息税前经营利润率</t>
    <phoneticPr fontId="1" type="noConversion"/>
  </si>
  <si>
    <t>息前税后经营利润</t>
    <phoneticPr fontId="1" type="noConversion"/>
  </si>
  <si>
    <t>营业收入利润率=息前税后经营利润/营业收入</t>
    <phoneticPr fontId="1" type="noConversion"/>
  </si>
  <si>
    <t>息税前经营利润和息前税后经营利润反映一家公司通过营业活动获取收益的绝对金额。营业收入利润率反映一家公司通过经营活动获取收益的相对能力。
对于一家有发展前景的公司，息前税后经营利润应该稳步上升，营业收入利润率保持稳定或者略有上升;反之，则表明公司发展前景堪忧。</t>
    <phoneticPr fontId="1" type="noConversion"/>
  </si>
  <si>
    <t>资产带来收入和利润。利润包括金融资产收益、长期股权投资收益和经营利润。经营利润是一般工商企业的利润来源，一般而言，经营利润的稳定性和持续性比金融资产
收益和长期股权投资收益要高，因此经营利润构成了一般工商企业的核心利润。</t>
    <phoneticPr fontId="1" type="noConversion"/>
  </si>
  <si>
    <t>实际企业所得税</t>
    <phoneticPr fontId="1" type="noConversion"/>
  </si>
  <si>
    <t>税前利润</t>
    <phoneticPr fontId="1" type="noConversion"/>
  </si>
  <si>
    <t>所得税</t>
    <phoneticPr fontId="1" type="noConversion"/>
  </si>
  <si>
    <t>净利润</t>
    <phoneticPr fontId="1" type="noConversion"/>
  </si>
  <si>
    <t>实际所得税率</t>
    <phoneticPr fontId="1" type="noConversion"/>
  </si>
  <si>
    <t>实际所得税率含义是，一家公司的税前利润中有多少比例用于缴纳企业所得税。该比例越低，则企业税前利润中用于缴纳企业所得税就越少。在15左右可能是享受高新技术企业的所得税优惠政策。</t>
    <phoneticPr fontId="1" type="noConversion"/>
  </si>
  <si>
    <t>如果股权价值增加值为负，则即使净利润为正数，公司也没有给股东创造价值，反而在损毁价值。
如果股权价值增加值接近于零，公司为股东创造了预期回报。
只有在股权价值增加值为正数的情况下，公司才为股东创造超预期回报。
如果一个公司股权价值增加值高，并不一定意味着公司具有广阔发展远景，原因：一：股权价值增加值是基于净利润调整而来，而净利润可以通过利润操纵进行调整;二：利润和现金流量之间具有差异性。</t>
    <phoneticPr fontId="1" type="noConversion"/>
  </si>
  <si>
    <t>(4)经营资产总额</t>
    <phoneticPr fontId="1" type="noConversion"/>
  </si>
  <si>
    <t>(5)经营资产周转率=1/4</t>
    <phoneticPr fontId="1" type="noConversion"/>
  </si>
  <si>
    <t>固定资产平均净值</t>
    <phoneticPr fontId="1" type="noConversion"/>
  </si>
  <si>
    <t>固定资产成新率</t>
    <phoneticPr fontId="1" type="noConversion"/>
  </si>
  <si>
    <t xml:space="preserve">长期经营资产周转率用来衡量长期经营资产的管理效率。长期经营资产包括固定资产、在建工程、无形资产、研发支出、商誉、长期待摊费用、递延所得税资产
长期经营资产除了固定资产和土地使用权外，其他不计算周转率，计算长期资产周转率的意义在于，通过长期经营资产周转率分析来判断一家公司的长期经营资产结构是否合理，管理效率是得到了提升还是下降。
    * 一般在建工程、研发支出属于前期投入阶段，无法带来营业收入，因此不计算这些资产的周转率。
    * 无形资产包括土地使用权、专利权、著作权、商标权等，土地使用权的含义代表了公司的营业规模和营业能力，与固定资产一般，因此对于土地使用权利等无形资产我们计算周转率。
    * 专利权、著作权、商标权，商誉等无形资产并不是通过直接带来营业收入创造价值，而是通过价格上的溢价来体现，因此不计算周转率
    * 长期待摊费用和递延所得税资产也多数与营业收入不存在直接的关系，因此不计算周转率
    1,固定资产一般通过生产各种商品带来收入，因此固定资产和营业收入之间存在非常密切的关系，从而我们会计算固定资产周转率。固定资产周转率主要用于分析对厂房、设备等固定资产的利用效率。比率越高，
      说明利用率越高，管理水平越好。如果固定资产周转率与同行业平均水平相比偏低，则说明公司对固定资产的利用率较低，可能会影响公司的获利能力。
    2,固定资产成新率对大多数公司来说应保持在50%以上，一般在70%以上，如果低于50%，说明公司的固定资产已经严重老化。
</t>
    <phoneticPr fontId="1" type="noConversion"/>
  </si>
  <si>
    <t>无形资产周转率（土地使用权）</t>
    <phoneticPr fontId="1" type="noConversion"/>
  </si>
  <si>
    <t>应收账款周转率：
   表示公司公司从获利应收账款的权利到收回款项、变成现金所需要的时间。一般来说，应收账款周转率越高越好，表明公司收账速度快、平均收账期短、坏账少、资产流动快、偿债能力强。
   影响应收账款周转率和周转天数正确性的因素：首先由于公司生产经营的季节性原因，使应收账款周转率不能正确反映公司销售的实际情况。其次，某些公司在产品销售中大量使用分期付款的方式 。再次，有些公司采取大量收取现金的方式进行销售。最后，有些公司年末销售量大量增加或年末销售大量下降。分析应收账款周转率和周转天数这两个指标应将公司本期指标和前期指标，行业平均水平或其他类似公司相比较，判断指标高低。
存货周转率：
   衡量和评价企业购入存货、投入生产、销售收回等环节管理状况的综合性指标。一般来说，存货周转速度越快（存货周转率或存货周转次数越大，存货周转天数越短），存货占用水平越低，流动性越强，存货转化为现金或应收账款的速度就越快，表明企业的销售能力越强，营运资本占用在存货上的金额也越少。存货周转速度分析利于找出存货管理中存在的问题，尽可能降低资金占用水平。
应付账款周转率：
   反映的是企业应付账款的流动程度。合理的应付账款周转率来自同行业对比和公司历史正常水平。如果应付账款周转率低于行业平均水平，说明公司较同行可以更多占用供应商赀款，显示其重要的市场地位，但同时也要承担较多的还款压力。如果公司应付账款周转率较以前出现快速提高，说明公司占用供应商货款降低，可能反映上游供应商谈判实力增强，要求快速回款的情况，也可能预示原材料供应紧俏甚至吃紧。
营业周期和现金周期：
   用来判断一家公司营运资本的管理效率
   1，营业周期可以帮助我们判断哪一家公司生产、销售产品的速度比较快
   2，现金周期帮助我们判断哪一家公司生产、销售并回收现金速度比较快。
一般来说，同一行业中营业周期和现金周期比较短的公司，其效率要高于其他公司，营运资本需求也比较少。</t>
    <phoneticPr fontId="1" type="noConversion"/>
  </si>
  <si>
    <t>(1)应收平均周转率=营业收入/平均应收额</t>
    <phoneticPr fontId="1" type="noConversion"/>
  </si>
  <si>
    <t>(6)息税前经营资产回报率=3*5</t>
    <phoneticPr fontId="1" type="noConversion"/>
  </si>
  <si>
    <t xml:space="preserve">经营资产 = 营运资产（经营活动...） + 长期经营资产(在建工程...) ，要分析经营资产回报率，从营业资产回报率和长期经营资产回报率来详细分析。
</t>
    <phoneticPr fontId="1" type="noConversion"/>
  </si>
  <si>
    <t>息税前营运资产回报率：
   公司投资和经营活动的效率越高，盈利能力越强，则公司的股东权益回报率越高。
   1、资产周转率反映公司投资和经营活动的管理效率; （提高方法：提高存货周转率，缩短应收账款回收期以及减少销售占用的长期资产数）
   2、息税前经营利润率反映公司资产的盈利能力; （提高方法：1、提高价格或以已快于营业支出增加的速度来提高销售量，从而使销售额上升。2、以快于销售额       减少的速度来压缩营业开支。）
长期股权投资：
   一般来说，长期股权投资收益要高于公司的加权平均资本成本率，则长期股权投资实现了保值增值的目标;反之，如果长期股权投资收益率低于公司的加权平均资本成本率，则长期股权投资的价值需要打折。另外，长期股权投资还需要结合公司的战略安排来分析。有时候长期股权投资是为了保证公司上游供应商和下游渠道的稳定，此时收益回报并非决定性因素。</t>
    <phoneticPr fontId="1" type="noConversion"/>
  </si>
  <si>
    <t>一般来说公司的金融资产是不了应付经营活动的现金需求以防范资金危机和投机性需求，但是对于非金融公司来说，不应该大量持有金融资产，一般占公司资产总额的
5%~10%为宜。</t>
    <phoneticPr fontId="1" type="noConversion"/>
  </si>
  <si>
    <t>金融资产占比</t>
    <phoneticPr fontId="1" type="noConversion"/>
  </si>
  <si>
    <t>股东权益回报率分析:  
   股东权益回报率受息税前经营利润率、资产周转率、财务成本效应比率、财务杠杆倍数、企业所得税效应五个因素影响。
   1、息税前经营利润和资产周转率     -----反映公司的投资和经营活动效率
   2、财务成本效应比率和财务杠杆倍数 -----反映公司的筹资活动效率
   3、企业所得税效应比率            ------反映政府的税收以及公司的税务管理活动
债务筹资对股东权益回报率的影响：
  财务杠杆倍数和财务成本效应比率反映公司的债务筹资活动对股东权益回报率的影响，
  1，财务成本效应比率：财务成本效应比率越高，则公司的财务成本 负担率越低，财务成本越少;财务成本效应比率越低，则公司财务成本负担率越高，财务成本越多
  2，财务杠杆倍数：对于固定规模的公司，当债务增加（减少）时会引起：a:股东权益减少（增加） b:财务杠杆倍数增加（减小） c:股东权益回报率提高（降低)
  3，财务杠杆效应：财务杠杆效应越高，越有助于提升股东权益回报率;财务杠杆效应越低，则越会降低股东权益回报率。因此，提高财务杠杆效应，可以提高股东权益回报率。
而要提高财务杠杆效应，必须综合考虑合理改善财务成本效应比率和财务杠杆倍数：提高财务杠杆倍数会增加财务成本负担率，从而降低财务成本效应比率;降低财务杠杆倍数则
会减少财务成本负担率，从而提高财务成本效应比率。</t>
    <phoneticPr fontId="1" type="noConversion"/>
  </si>
  <si>
    <t>财务成本负担率含义是，一家公司的息税前利润中有多少比例用于支付利息。这一比例越低，息税前利润用于支付利息就越少，公司的财务成本负担越轻;反之，则用于
支付利息的就越多，公司的财务成本负担就越重。有些公司财务成本负担率非常高。达到80%到90%，整个公司都在给银行打工。降低此财务成本负担率的方法：
1，改善资本结构，比如增加股权融资，降低财务成本负担
2，提高运营效率、加强成本控制，提升获利能力。
当然，从根源上讲，公司需要从竞争策略上做出改进--行业的选择以及竞争格局的改变。
利息保障倍数： 应高于1，如果低于1，则意味着公司无法保证债权人的利息支付。该比率越高，债权人的利息保障程度越高。</t>
    <phoneticPr fontId="1" type="noConversion"/>
  </si>
  <si>
    <t>按变现周期，资产分为长期资产和短期资产</t>
    <phoneticPr fontId="1" type="noConversion"/>
  </si>
  <si>
    <t>有息债务：指公司资本总额中债务资本所占比例，有息债务越少越好，预收款项、应付款项等经营负债在正常经营情况下越多越好。
股权资本比率：是指公司资本总额中股权资本所占比例。
财务杠杆：财务杠杆是一柄双刃剑。债务资本成本一般来说低于股权资本成本，举债可以降低公司的综合资金成本。但是，如果财务杠杆倍数过高，会加大公司的财务风险。公司的资产收益率低于资本成本将损害公司的利益，甚至导致公司无法偿还到期债务而陷入破产清算。对投资者而言，公司的财务杠杆倍数最好控制在2以内。</t>
    <phoneticPr fontId="1" type="noConversion"/>
  </si>
  <si>
    <t>资本按照期限分为短期资本和长期资本。一般来说，一年及一年内到期的资本为短期资本，以年以上到期的资本为长期资本。因此，短期债务为短期资本，长期债务为长期资本。</t>
    <phoneticPr fontId="1" type="noConversion"/>
  </si>
  <si>
    <t>项目</t>
    <phoneticPr fontId="1" type="noConversion"/>
  </si>
  <si>
    <t>竞争策略</t>
    <phoneticPr fontId="1" type="noConversion"/>
  </si>
  <si>
    <t>1，核心</t>
    <phoneticPr fontId="1" type="noConversion"/>
  </si>
  <si>
    <t>2，适用性</t>
    <phoneticPr fontId="1" type="noConversion"/>
  </si>
  <si>
    <t>总成本领先策略</t>
    <phoneticPr fontId="1" type="noConversion"/>
  </si>
  <si>
    <t>差异化策略</t>
    <phoneticPr fontId="1" type="noConversion"/>
  </si>
  <si>
    <t>对于成本和费用的控制，将不为客户带来附加价值的产品、服务予以简化</t>
    <phoneticPr fontId="1" type="noConversion"/>
  </si>
  <si>
    <t>取得某种对顾客有价值的独特性</t>
    <phoneticPr fontId="1" type="noConversion"/>
  </si>
  <si>
    <t xml:space="preserve">适合于无法提供差异化产品或服务的行业
</t>
    <phoneticPr fontId="1" type="noConversion"/>
  </si>
  <si>
    <t xml:space="preserve">适合于创新创意、品牌消费等行业
</t>
    <phoneticPr fontId="1" type="noConversion"/>
  </si>
  <si>
    <t>1，资产特征</t>
    <phoneticPr fontId="1" type="noConversion"/>
  </si>
  <si>
    <t>2，资本特征</t>
    <phoneticPr fontId="1" type="noConversion"/>
  </si>
  <si>
    <t>3，资产周转</t>
    <phoneticPr fontId="1" type="noConversion"/>
  </si>
  <si>
    <t>4，营运资本需求</t>
    <phoneticPr fontId="1" type="noConversion"/>
  </si>
  <si>
    <t>5，毛利率的高低</t>
    <phoneticPr fontId="1" type="noConversion"/>
  </si>
  <si>
    <t>6，毛利率的稳定</t>
    <phoneticPr fontId="1" type="noConversion"/>
  </si>
  <si>
    <t>7，费用率</t>
    <phoneticPr fontId="1" type="noConversion"/>
  </si>
  <si>
    <t>财报特征</t>
    <phoneticPr fontId="1" type="noConversion"/>
  </si>
  <si>
    <t xml:space="preserve">以固定资产、无形资产（土地使用权）为主的重资产
</t>
    <phoneticPr fontId="1" type="noConversion"/>
  </si>
  <si>
    <t xml:space="preserve">以流动资产和金融资产为主的轻资产
</t>
    <phoneticPr fontId="1" type="noConversion"/>
  </si>
  <si>
    <t xml:space="preserve">长期资产投入巨大，较高的财务杠杆
</t>
    <phoneticPr fontId="1" type="noConversion"/>
  </si>
  <si>
    <t xml:space="preserve">长期资产投入较少，较低的财务杠杆
</t>
    <phoneticPr fontId="1" type="noConversion"/>
  </si>
  <si>
    <t xml:space="preserve">高速的重资产周转以降低单位固定成本，同时要做好营运资本管理
</t>
    <phoneticPr fontId="1" type="noConversion"/>
  </si>
  <si>
    <t xml:space="preserve">重点在于存货、应收账款和应付账款等营运资本的周转管理
</t>
    <phoneticPr fontId="1" type="noConversion"/>
  </si>
  <si>
    <t xml:space="preserve">在产业链中不具有谈判优势，营运资本投入较大，现金周期较长
</t>
    <phoneticPr fontId="1" type="noConversion"/>
  </si>
  <si>
    <t xml:space="preserve">在产业链中具有谈判优势，营运资本投入较少，现金周期较短甚至为负数
</t>
    <phoneticPr fontId="1" type="noConversion"/>
  </si>
  <si>
    <t>较低的毛利率</t>
    <phoneticPr fontId="1" type="noConversion"/>
  </si>
  <si>
    <t>很高的毛利率</t>
    <phoneticPr fontId="1" type="noConversion"/>
  </si>
  <si>
    <t xml:space="preserve">受竞争环境影响，毛利率波动性比较大
</t>
    <phoneticPr fontId="1" type="noConversion"/>
  </si>
  <si>
    <t xml:space="preserve">取决于自身的核心竞争力，毛利率比较稳定
</t>
    <phoneticPr fontId="1" type="noConversion"/>
  </si>
  <si>
    <t xml:space="preserve">严格的费用控制下较低的费用率
</t>
    <phoneticPr fontId="1" type="noConversion"/>
  </si>
  <si>
    <t xml:space="preserve">保持核心竞争力需要某一方面的较大支出，导致费用率较高
</t>
    <phoneticPr fontId="1" type="noConversion"/>
  </si>
  <si>
    <t xml:space="preserve">不同竞争策略下的公司财报存在着不同特征。成功实施差异化策略的公司通过技术专利、品牌形象等构筑了很深的竞争壁垒，一般的竞争者根本无法跨越竞争壁垒从而保证了其竞争优势，公司的毛利率、销售净利率等比较高且稳定，盈利能力很强。总成本领先策略无法建立起竞争壁垒，进入门槛不高，没有特别核心的技术，对竞争者的要求主要集中在工艺上，新进入者进行追赶甚至替代老公司的难度相对较低，因此市场竞争日益激烈，最后往往只能陷入价格战，公司的毛利率、销售净利率等比较低且波动性很大，甚至会陷入亏损的境地。
</t>
    <phoneticPr fontId="1" type="noConversion"/>
  </si>
  <si>
    <t>不忘实心，方得始终：
    1，公司战略决定投资方向和活动，投资方向和活动决定资产结构和质量;
    2，筹资活动募集现金为了满足投资活动需求，筹资活动决定资本结构及资本成本;
    3，资产结构和资本结构的匹配程度决定公司的短期风险;
    4，资产转化为成本费用的同时带来收入并形成利润，因此资产结构和质量及营运活动效率决定利润结构、质量和多寡，利润与资本成本决定公司创造价值的程度及长期风险;
    5，营业收入、营业成本和利润要转化为经营活动现金流，经营活动现金流决定自由现金流，自由现金流决定公司价值。</t>
    <phoneticPr fontId="1" type="noConversion"/>
  </si>
  <si>
    <t>营业收入现金含量：
   该指标反映公司的营业收入中实际收到现金的比例。从公司的成长过程分析，在公司开始从事经营活动的初期或者快速扩张期，由于公司在销售中需要给予客户信用期而产生较大的应收
账款，形成营业收入已经确认，但 是现金尚未收到的结果，从而有可能使公司在这一时期的营业收入现金含量小于1，这是公司在发展过程中不可避免的状态。但是在公司的平稳经营阶段，
剔除增值税的影响后，营业收入现金含量应该在1左右，否则说明营业收入含量不够高，存在一些水分。
成本费用付现率：
    该指标在公司开始从事经营活动的初期或者快速扩张期会高于1，此时的分析意义不大。其原因有两个：一是公司需要先期支付现金购买原材料，生产为商品，但是尚未销售转入营业成本 
，导致付出的现金多于营业成本费用;二是公司在扩张期需要采购长期资产和支付建设安装的人工费用，该部分现金支出不构成当期的营业成本费用，导致付出的现金多于营业成本。在公司平稳
运营阶段，剔除增值税影响后，考虑到成本费用中包括无须付现的折旧摊销，成本费用付现率应该低于1.在公司平稳经营阶段，该指标可结合公司发展情况，用于预测一家公司以后期间经营活动
中所需支付的现金。
经营利润现金含量、净利润现金含量：
    这两个指标衡量一家公司的经营利润和净利润是不是真金白银的利润。对于成熟稳定的公司来说，该指标应该大于1，否则说明经营利润和净利润质量不高。
经营活动产生的现金流量的一种状态：
    1，经营活动产生的现金流量小于零：这种情况意味着公司通过正常的商品购产销所带来的现金流入量，不足以支付因上述经营活动而引起的现金流出;
    2，经营活动产生的现金流量等于零：这种情况意味着公司通过正常的商品购产销所带来的现金流入量，恰恰能够支付因上述经营活动而引起的现金流出，公司正常经营活动不需要额外补充流
动资金，公司的经营活动也不能为公司的投资活动以及筹资活动贡献现金。但是，必须注意的是，在公司的成本消耗中，有相当一部分属于按照权责发生制原则的要求而确认的摊销成本 ，即非付
现成本，显然，在经营活动产生现金流量等于零时，公司经营活动产生的现金流量不可能为这部分非付现成本的资源消耗提供现金补偿。因此，长期来看，根本不可能维持公司经营活动的现金“简单
现生产”，公司也将陷入经营困境。
    3，经营活动产生的现金流量大于零，但不足以补偿当期的非付现成本：虽然公司在现金流量的压力方面比前两种状态要好，但是如果这种状态持续，也不可能维持公司现金“简单再生产”。
    4，经营活动产生的现金流量大于零，并恰能补偿当期的非付现成本：这种情况，公司摆脱了在经营活动现金流量方面的压力，能维持公司现金“简单再生产”，但总体来看，仍然不能为公司扩大
投资等发展提供现金支持。
    5，经营活动产生的现金流量大于零，并在补偿当期非付现成本后仍有剩余：如果这种状态持续，经营活动产生的现金流量将对公司经营活动的稳定与发展、公司投资规模的扩大起到重要的促进作用。</t>
    <phoneticPr fontId="1" type="noConversion"/>
  </si>
  <si>
    <t>零增长模型：对于一家成熟稳定、没有增长的公司而言，每年的自由现金流也保持在一个稳定的金额水平，类似于永久年金。
不变增长模型：缓慢增长率g每年不变</t>
    <phoneticPr fontId="1" type="noConversion"/>
  </si>
  <si>
    <t>两阶段模型：
    第一阶段被称为详细预测期，通常为3~5年。此期间通过对公司的收入与成本、资产和资本等项目的详细预测，得出第一时间段的现金流。
    第二阶段被称为终值期，此期间现金流的现值和价值被称为终值。
通常，第一阶段采用一个较高的增长率，第二阶段采用一 个较低的增长率。</t>
    <phoneticPr fontId="1" type="noConversion"/>
  </si>
  <si>
    <r>
      <rPr>
        <b/>
        <sz val="11"/>
        <color theme="1"/>
        <rFont val="宋体"/>
        <family val="3"/>
        <charset val="134"/>
        <scheme val="minor"/>
      </rPr>
      <t>三阶段模型：
   假设公司都经历三个阶段：成长阶段、过渡阶段和稳定阶段。三个阶段的增长率由高到低，成长阶段最高，过渡阶段逐步下降，稳定阶段保持较低增长率的不变增长。</t>
    </r>
    <r>
      <rPr>
        <sz val="11"/>
        <color theme="1"/>
        <rFont val="宋体"/>
        <family val="2"/>
        <charset val="134"/>
        <scheme val="minor"/>
      </rPr>
      <t xml:space="preserve">
</t>
    </r>
    <phoneticPr fontId="1" type="noConversion"/>
  </si>
  <si>
    <t>(6)股权资金成本%</t>
    <phoneticPr fontId="1" type="noConversion"/>
  </si>
  <si>
    <t>长期资产扩张性资本支出比例，代表一家公司当期新增加的经营规模和生产能力占前期经营规模和生产能力的比重，反映一家公司扩张的相对程度。
  如果一家公司的长期资产新投资额远远大于零，则这家公司采取了扩张战略。
  如果一家公司的长期资产新投资额远远小于零，则这家公司采取了收缩战略。
  如果一家公司的长期资产新投资额接近于零，则这家公司采取了维持战略。
现金自给率：
  如果现金自给率高于1，则意味着这个公司的战略投资活动现金可以全部来自于公司的经营活动，而无须额外的融资;反之，如果现金自给率低于1，则意味着这个公司的经营活动现金流量无法完全满足战略投资活动现金需求，而需要动
用公司存量资金或者外源筹资。
筹资需求为正，表示资金充足，不需要筹资; 筹资活动产生的现金流量净额为负，表示没有筹资或筹资较少。</t>
    <phoneticPr fontId="1" type="noConversion"/>
  </si>
  <si>
    <t>(1)吸收投资收到的现金（发行股票等方式筹资）</t>
    <phoneticPr fontId="1" type="noConversion"/>
  </si>
  <si>
    <r>
      <rPr>
        <b/>
        <sz val="11"/>
        <color rgb="FF002060"/>
        <rFont val="宋体"/>
        <family val="3"/>
        <charset val="134"/>
        <scheme val="minor"/>
      </rPr>
      <t>流动性分析首先看资产结构和资本结构，然后看营运资本中来自长期资本部分所占比例
  在资产结构和资本结构管理中存在着三种策略，即匹配策略、稳健策略和激进策略，激进策略比较容易出现流动性危机;匹配策略和稳健策略的公司不大存在短期流动风险，不过过于稳健（储备过多现金），
则有可能降低公司的资产回报能力，因此很多公司会采取匹配策略</t>
    </r>
    <r>
      <rPr>
        <b/>
        <sz val="11"/>
        <color rgb="FFFF0000"/>
        <rFont val="宋体"/>
        <family val="3"/>
        <charset val="134"/>
        <scheme val="minor"/>
      </rPr>
      <t xml:space="preserve">
  运营资本长期化率侧重分析营运资本需求的资金结构，更准确地说，就是营运资本需求中来自长期资本的部分。比例越高流动性越好。营运资本为负的公司不能用此指标分析，营运资本为负的公司在产业链
和供应链具有竞争优势的公司，因此不会有流动性风险。改善流动性状况的方法：
1，在资本规模不变的情况下改变资本期限结构，增加长期资本。
2，在不影响经营规模的情况下提升资产效率，改变资产结构，减少长期资产净值的投入。
3，提升营运效率，减少营运资本。 
在下列情况下长期资本会增加：1，申请长期贷款。2，提高权益资本（发行新股）。3，增加留存收益（减少股利）
  长期融资为负，则说明公司存在着短期资本用于资产长期资金的现象，即激进型资产资本结构，非常容易陷入财务困境，如果长期融资净值等于零或者接近于零，则为匹配型资产资本结构。如果长期融资净
值为正，则为稳健型资产资本结构。
  如果短期融资净值为负，则说明公司的金融资产超过了短期资本，现金储备充足，则是上述的稳健资本结构。如果短期融资净值为正，则为激进型资产资本结构。如果短期融资净值等于或者接近于零，则为
匹配型资产资本结构。</t>
    </r>
    <phoneticPr fontId="1" type="noConversion"/>
  </si>
  <si>
    <t>金融资产</t>
    <phoneticPr fontId="1" type="noConversion"/>
  </si>
  <si>
    <t>金融资产每股价值</t>
    <phoneticPr fontId="1" type="noConversion"/>
  </si>
  <si>
    <t>总股本</t>
    <phoneticPr fontId="1" type="noConversion"/>
  </si>
  <si>
    <t>永续年金</t>
    <phoneticPr fontId="1" type="noConversion"/>
  </si>
  <si>
    <t>每股价值</t>
    <phoneticPr fontId="1" type="noConversion"/>
  </si>
  <si>
    <t>WACC</t>
    <phoneticPr fontId="1" type="noConversion"/>
  </si>
  <si>
    <t>股权资本成本</t>
    <phoneticPr fontId="1" type="noConversion"/>
  </si>
  <si>
    <t>自由现金流=经营活动现金流量净额-保全性资本支出=(11)-(19) 
自由现金流=经营活动现金流量净额-资产折旧-资产推销-资产损失 
自由现金流=经营活动现金流量净额-保全性资本支出 + 比基期增加的扩张性营运现金支出（对于扩张公司，自由现金流=经营活动现金流量净额） =E14</t>
    <phoneticPr fontId="1" type="noConversion"/>
  </si>
  <si>
    <t>息税前利润结构分析</t>
    <phoneticPr fontId="1" type="noConversion"/>
  </si>
  <si>
    <t>息税前经营利润</t>
    <phoneticPr fontId="1" type="noConversion"/>
  </si>
  <si>
    <t>息税前金融资产收益</t>
    <phoneticPr fontId="1" type="noConversion"/>
  </si>
  <si>
    <t>息税前利润</t>
    <phoneticPr fontId="1" type="noConversion"/>
  </si>
  <si>
    <t>息税前利润增长率</t>
    <phoneticPr fontId="1" type="noConversion"/>
  </si>
  <si>
    <t>百分比</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</si>
</sst>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_);[Red]\(#,##0\)"/>
    <numFmt numFmtId="177" formatCode="#,##0_ "/>
    <numFmt numFmtId="178" formatCode="0.00_ "/>
    <numFmt numFmtId="179" formatCode="#,##0.00_ "/>
    <numFmt numFmtId="180" formatCode="0.00000000000000_ "/>
  </numFmts>
  <fonts count="31" x14ac:knownFonts="1">
    <font>
      <sz val="11"/>
      <color theme="1"/>
      <name val="宋体"/>
      <family val="2"/>
      <charset val="134"/>
      <scheme val="minor"/>
    </font>
    <font>
      <sz val="9"/>
      <name val="宋体"/>
      <family val="2"/>
      <charset val="134"/>
      <scheme val="minor"/>
    </font>
    <font>
      <sz val="11"/>
      <color rgb="FF006100"/>
      <name val="宋体"/>
      <family val="2"/>
      <charset val="134"/>
      <scheme val="minor"/>
    </font>
    <font>
      <sz val="11"/>
      <color rgb="FF9C0006"/>
      <name val="宋体"/>
      <family val="2"/>
      <charset val="134"/>
      <scheme val="minor"/>
    </font>
    <font>
      <sz val="11"/>
      <color rgb="FFFF0000"/>
      <name val="宋体"/>
      <family val="2"/>
      <charset val="134"/>
      <scheme val="minor"/>
    </font>
    <font>
      <b/>
      <sz val="11"/>
      <color theme="1"/>
      <name val="宋体"/>
      <family val="3"/>
      <charset val="134"/>
      <scheme val="minor"/>
    </font>
    <font>
      <sz val="11"/>
      <color theme="1"/>
      <name val="宋体"/>
      <family val="3"/>
      <charset val="134"/>
      <scheme val="minor"/>
    </font>
    <font>
      <sz val="11"/>
      <color rgb="FFFF0000"/>
      <name val="宋体"/>
      <family val="3"/>
      <charset val="134"/>
      <scheme val="minor"/>
    </font>
    <font>
      <b/>
      <sz val="11"/>
      <name val="宋体"/>
      <family val="3"/>
      <charset val="134"/>
      <scheme val="minor"/>
    </font>
    <font>
      <sz val="11"/>
      <name val="宋体"/>
      <family val="3"/>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sz val="11"/>
      <name val="宋体"/>
      <family val="2"/>
      <charset val="134"/>
      <scheme val="minor"/>
    </font>
    <font>
      <b/>
      <sz val="11"/>
      <color rgb="FF006100"/>
      <name val="宋体"/>
      <family val="3"/>
      <charset val="134"/>
      <scheme val="minor"/>
    </font>
    <font>
      <b/>
      <sz val="11"/>
      <color rgb="FFFF0000"/>
      <name val="宋体"/>
      <family val="3"/>
      <charset val="134"/>
      <scheme val="minor"/>
    </font>
    <font>
      <b/>
      <sz val="11"/>
      <color rgb="FF9C0006"/>
      <name val="宋体"/>
      <family val="3"/>
      <charset val="134"/>
      <scheme val="minor"/>
    </font>
    <font>
      <b/>
      <sz val="11"/>
      <color rgb="FF9C6500"/>
      <name val="宋体"/>
      <family val="3"/>
      <charset val="134"/>
      <scheme val="minor"/>
    </font>
    <font>
      <b/>
      <sz val="11"/>
      <color rgb="FF002060"/>
      <name val="宋体"/>
      <family val="3"/>
      <charset val="134"/>
      <scheme val="minor"/>
    </font>
    <font>
      <b/>
      <sz val="9"/>
      <color rgb="FFFF0000"/>
      <name val="宋体"/>
      <family val="3"/>
      <charset val="134"/>
      <scheme val="minor"/>
    </font>
  </fonts>
  <fills count="46">
    <fill>
      <patternFill patternType="none"/>
    </fill>
    <fill>
      <patternFill patternType="gray125"/>
    </fill>
    <fill>
      <patternFill patternType="solid">
        <fgColor rgb="FFC6EFCE"/>
      </patternFill>
    </fill>
    <fill>
      <patternFill patternType="solid">
        <fgColor rgb="FFFFC7CE"/>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theme="5"/>
        <bgColor indexed="64"/>
      </patternFill>
    </fill>
    <fill>
      <patternFill patternType="solid">
        <fgColor theme="9" tint="0.79998168889431442"/>
        <bgColor indexed="64"/>
      </patternFill>
    </fill>
    <fill>
      <patternFill patternType="solid">
        <fgColor rgb="FFFFC000"/>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indexed="64"/>
      </patternFill>
    </fill>
    <fill>
      <patternFill patternType="solid">
        <fgColor theme="3" tint="0.59999389629810485"/>
        <bgColor indexed="64"/>
      </patternFill>
    </fill>
    <fill>
      <patternFill patternType="solid">
        <fgColor theme="0"/>
        <bgColor indexed="64"/>
      </patternFill>
    </fill>
    <fill>
      <patternFill patternType="solid">
        <fgColor theme="2"/>
        <bgColor indexed="64"/>
      </patternFill>
    </fill>
    <fill>
      <patternFill patternType="solid">
        <fgColor rgb="FFC00000"/>
        <bgColor indexed="64"/>
      </patternFill>
    </fill>
    <fill>
      <patternFill patternType="solid">
        <fgColor rgb="FF00B050"/>
        <bgColor indexed="64"/>
      </patternFill>
    </fill>
    <fill>
      <patternFill patternType="solid">
        <fgColor theme="8" tint="0.39997558519241921"/>
        <bgColor indexed="64"/>
      </patternFill>
    </fill>
  </fills>
  <borders count="37">
    <border>
      <left/>
      <right/>
      <top/>
      <bottom/>
      <diagonal/>
    </border>
    <border>
      <left/>
      <right/>
      <top style="medium">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s>
  <cellStyleXfs count="42">
    <xf numFmtId="0" fontId="0" fillId="0" borderId="0">
      <alignment vertical="center"/>
    </xf>
    <xf numFmtId="0" fontId="2" fillId="2" borderId="0" applyNumberFormat="0" applyBorder="0" applyAlignment="0" applyProtection="0">
      <alignment vertical="center"/>
    </xf>
    <xf numFmtId="0" fontId="3" fillId="3" borderId="0" applyNumberFormat="0" applyBorder="0" applyAlignment="0" applyProtection="0">
      <alignment vertical="center"/>
    </xf>
    <xf numFmtId="0" fontId="11" fillId="0" borderId="0" applyNumberFormat="0" applyFill="0" applyBorder="0" applyAlignment="0" applyProtection="0">
      <alignment vertical="center"/>
    </xf>
    <xf numFmtId="0" fontId="12" fillId="0" borderId="2" applyNumberFormat="0" applyFill="0" applyAlignment="0" applyProtection="0">
      <alignment vertical="center"/>
    </xf>
    <xf numFmtId="0" fontId="13" fillId="0" borderId="3" applyNumberFormat="0" applyFill="0" applyAlignment="0" applyProtection="0">
      <alignment vertical="center"/>
    </xf>
    <xf numFmtId="0" fontId="14" fillId="0" borderId="4" applyNumberFormat="0" applyFill="0" applyAlignment="0" applyProtection="0">
      <alignment vertical="center"/>
    </xf>
    <xf numFmtId="0" fontId="14" fillId="0" borderId="0" applyNumberFormat="0" applyFill="0" applyBorder="0" applyAlignment="0" applyProtection="0">
      <alignment vertical="center"/>
    </xf>
    <xf numFmtId="0" fontId="15" fillId="10" borderId="0" applyNumberFormat="0" applyBorder="0" applyAlignment="0" applyProtection="0">
      <alignment vertical="center"/>
    </xf>
    <xf numFmtId="0" fontId="16" fillId="11" borderId="5" applyNumberFormat="0" applyAlignment="0" applyProtection="0">
      <alignment vertical="center"/>
    </xf>
    <xf numFmtId="0" fontId="17" fillId="12" borderId="6" applyNumberFormat="0" applyAlignment="0" applyProtection="0">
      <alignment vertical="center"/>
    </xf>
    <xf numFmtId="0" fontId="18" fillId="12" borderId="5" applyNumberFormat="0" applyAlignment="0" applyProtection="0">
      <alignment vertical="center"/>
    </xf>
    <xf numFmtId="0" fontId="19" fillId="0" borderId="7" applyNumberFormat="0" applyFill="0" applyAlignment="0" applyProtection="0">
      <alignment vertical="center"/>
    </xf>
    <xf numFmtId="0" fontId="20" fillId="13" borderId="8" applyNumberFormat="0" applyAlignment="0" applyProtection="0">
      <alignment vertical="center"/>
    </xf>
    <xf numFmtId="0" fontId="4" fillId="0" borderId="0" applyNumberFormat="0" applyFill="0" applyBorder="0" applyAlignment="0" applyProtection="0">
      <alignment vertical="center"/>
    </xf>
    <xf numFmtId="0" fontId="10" fillId="14" borderId="9" applyNumberFormat="0" applyFont="0" applyAlignment="0" applyProtection="0">
      <alignment vertical="center"/>
    </xf>
    <xf numFmtId="0" fontId="21" fillId="0" borderId="0" applyNumberFormat="0" applyFill="0" applyBorder="0" applyAlignment="0" applyProtection="0">
      <alignment vertical="center"/>
    </xf>
    <xf numFmtId="0" fontId="22" fillId="0" borderId="10" applyNumberFormat="0" applyFill="0" applyAlignment="0" applyProtection="0">
      <alignment vertical="center"/>
    </xf>
    <xf numFmtId="0" fontId="23" fillId="15" borderId="0" applyNumberFormat="0" applyBorder="0" applyAlignment="0" applyProtection="0">
      <alignment vertical="center"/>
    </xf>
    <xf numFmtId="0" fontId="10" fillId="16" borderId="0" applyNumberFormat="0" applyBorder="0" applyAlignment="0" applyProtection="0">
      <alignment vertical="center"/>
    </xf>
    <xf numFmtId="0" fontId="10" fillId="17" borderId="0" applyNumberFormat="0" applyBorder="0" applyAlignment="0" applyProtection="0">
      <alignment vertical="center"/>
    </xf>
    <xf numFmtId="0" fontId="23" fillId="18" borderId="0" applyNumberFormat="0" applyBorder="0" applyAlignment="0" applyProtection="0">
      <alignment vertical="center"/>
    </xf>
    <xf numFmtId="0" fontId="2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23" fillId="22" borderId="0" applyNumberFormat="0" applyBorder="0" applyAlignment="0" applyProtection="0">
      <alignment vertical="center"/>
    </xf>
    <xf numFmtId="0" fontId="23" fillId="23" borderId="0" applyNumberFormat="0" applyBorder="0" applyAlignment="0" applyProtection="0">
      <alignment vertical="center"/>
    </xf>
    <xf numFmtId="0" fontId="10" fillId="24" borderId="0" applyNumberFormat="0" applyBorder="0" applyAlignment="0" applyProtection="0">
      <alignment vertical="center"/>
    </xf>
    <xf numFmtId="0" fontId="10" fillId="25" borderId="0" applyNumberFormat="0" applyBorder="0" applyAlignment="0" applyProtection="0">
      <alignment vertical="center"/>
    </xf>
    <xf numFmtId="0" fontId="23" fillId="26" borderId="0" applyNumberFormat="0" applyBorder="0" applyAlignment="0" applyProtection="0">
      <alignment vertical="center"/>
    </xf>
    <xf numFmtId="0" fontId="23" fillId="27" borderId="0" applyNumberFormat="0" applyBorder="0" applyAlignment="0" applyProtection="0">
      <alignment vertical="center"/>
    </xf>
    <xf numFmtId="0" fontId="10" fillId="28" borderId="0" applyNumberFormat="0" applyBorder="0" applyAlignment="0" applyProtection="0">
      <alignment vertical="center"/>
    </xf>
    <xf numFmtId="0" fontId="10" fillId="29" borderId="0" applyNumberFormat="0" applyBorder="0" applyAlignment="0" applyProtection="0">
      <alignment vertical="center"/>
    </xf>
    <xf numFmtId="0" fontId="23" fillId="30" borderId="0" applyNumberFormat="0" applyBorder="0" applyAlignment="0" applyProtection="0">
      <alignment vertical="center"/>
    </xf>
    <xf numFmtId="0" fontId="23" fillId="31" borderId="0" applyNumberFormat="0" applyBorder="0" applyAlignment="0" applyProtection="0">
      <alignment vertical="center"/>
    </xf>
    <xf numFmtId="0" fontId="10" fillId="32" borderId="0" applyNumberFormat="0" applyBorder="0" applyAlignment="0" applyProtection="0">
      <alignment vertical="center"/>
    </xf>
    <xf numFmtId="0" fontId="10" fillId="33" borderId="0" applyNumberFormat="0" applyBorder="0" applyAlignment="0" applyProtection="0">
      <alignment vertical="center"/>
    </xf>
    <xf numFmtId="0" fontId="23" fillId="34" borderId="0" applyNumberFormat="0" applyBorder="0" applyAlignment="0" applyProtection="0">
      <alignment vertical="center"/>
    </xf>
    <xf numFmtId="0" fontId="23" fillId="35" borderId="0" applyNumberFormat="0" applyBorder="0" applyAlignment="0" applyProtection="0">
      <alignment vertical="center"/>
    </xf>
    <xf numFmtId="0" fontId="10" fillId="36" borderId="0" applyNumberFormat="0" applyBorder="0" applyAlignment="0" applyProtection="0">
      <alignment vertical="center"/>
    </xf>
    <xf numFmtId="0" fontId="10" fillId="37" borderId="0" applyNumberFormat="0" applyBorder="0" applyAlignment="0" applyProtection="0">
      <alignment vertical="center"/>
    </xf>
    <xf numFmtId="0" fontId="23" fillId="38" borderId="0" applyNumberFormat="0" applyBorder="0" applyAlignment="0" applyProtection="0">
      <alignment vertical="center"/>
    </xf>
  </cellStyleXfs>
  <cellXfs count="319">
    <xf numFmtId="0" fontId="0" fillId="0" borderId="0" xfId="0">
      <alignment vertical="center"/>
    </xf>
    <xf numFmtId="14" fontId="0" fillId="0" borderId="0" xfId="0" applyNumberFormat="1">
      <alignment vertical="center"/>
    </xf>
    <xf numFmtId="0" fontId="5" fillId="0" borderId="0" xfId="0" applyFont="1">
      <alignment vertical="center"/>
    </xf>
    <xf numFmtId="0" fontId="6" fillId="0" borderId="0" xfId="0" applyFont="1">
      <alignment vertical="center"/>
    </xf>
    <xf numFmtId="0" fontId="2" fillId="2" borderId="0" xfId="1">
      <alignment vertical="center"/>
    </xf>
    <xf numFmtId="0" fontId="0" fillId="5" borderId="0" xfId="0" applyFill="1">
      <alignment vertical="center"/>
    </xf>
    <xf numFmtId="0" fontId="0" fillId="6" borderId="0" xfId="0" applyFill="1">
      <alignment vertical="center"/>
    </xf>
    <xf numFmtId="0" fontId="7" fillId="0" borderId="0" xfId="0" applyFont="1">
      <alignment vertical="center"/>
    </xf>
    <xf numFmtId="0" fontId="9" fillId="7" borderId="0" xfId="0" applyFont="1" applyFill="1">
      <alignment vertical="center"/>
    </xf>
    <xf numFmtId="0" fontId="0" fillId="7" borderId="0" xfId="0" applyFill="1">
      <alignment vertical="center"/>
    </xf>
    <xf numFmtId="0" fontId="0" fillId="8" borderId="0" xfId="0" applyFill="1">
      <alignment vertical="center"/>
    </xf>
    <xf numFmtId="0" fontId="0" fillId="0" borderId="0" xfId="0" applyFill="1">
      <alignment vertical="center"/>
    </xf>
    <xf numFmtId="0" fontId="0" fillId="9" borderId="0" xfId="0" applyFill="1">
      <alignment vertical="center"/>
    </xf>
    <xf numFmtId="176" fontId="0" fillId="0" borderId="0" xfId="0" applyNumberFormat="1">
      <alignment vertical="center"/>
    </xf>
    <xf numFmtId="176" fontId="0" fillId="0" borderId="0" xfId="0" applyNumberFormat="1" applyFill="1">
      <alignment vertical="center"/>
    </xf>
    <xf numFmtId="177" fontId="0" fillId="9" borderId="0" xfId="0" applyNumberFormat="1" applyFill="1">
      <alignment vertical="center"/>
    </xf>
    <xf numFmtId="0" fontId="5" fillId="6" borderId="0" xfId="0" applyFont="1" applyFill="1">
      <alignment vertical="center"/>
    </xf>
    <xf numFmtId="49" fontId="0" fillId="0" borderId="0" xfId="0" applyNumberFormat="1">
      <alignment vertical="center"/>
    </xf>
    <xf numFmtId="49" fontId="5" fillId="6" borderId="0" xfId="0" applyNumberFormat="1" applyFont="1" applyFill="1">
      <alignment vertical="center"/>
    </xf>
    <xf numFmtId="49" fontId="0" fillId="0" borderId="0" xfId="0" applyNumberFormat="1" applyAlignment="1">
      <alignment horizontal="left" vertical="center"/>
    </xf>
    <xf numFmtId="49" fontId="5" fillId="0" borderId="0" xfId="0" applyNumberFormat="1" applyFont="1">
      <alignment vertical="center"/>
    </xf>
    <xf numFmtId="49" fontId="4" fillId="0" borderId="0" xfId="0" applyNumberFormat="1" applyFont="1">
      <alignment vertical="center"/>
    </xf>
    <xf numFmtId="49" fontId="2" fillId="2" borderId="0" xfId="1" applyNumberFormat="1">
      <alignment vertical="center"/>
    </xf>
    <xf numFmtId="178" fontId="0" fillId="0" borderId="0" xfId="0" applyNumberFormat="1">
      <alignment vertical="center"/>
    </xf>
    <xf numFmtId="178" fontId="5" fillId="0" borderId="0" xfId="0" applyNumberFormat="1" applyFont="1">
      <alignment vertical="center"/>
    </xf>
    <xf numFmtId="178" fontId="6" fillId="0" borderId="0" xfId="0" applyNumberFormat="1" applyFont="1">
      <alignment vertical="center"/>
    </xf>
    <xf numFmtId="179" fontId="0" fillId="0" borderId="0" xfId="0" applyNumberFormat="1">
      <alignment vertical="center"/>
    </xf>
    <xf numFmtId="179" fontId="6" fillId="0" borderId="0" xfId="0" applyNumberFormat="1" applyFont="1">
      <alignment vertical="center"/>
    </xf>
    <xf numFmtId="179" fontId="5" fillId="0" borderId="0" xfId="0" applyNumberFormat="1" applyFont="1">
      <alignment vertical="center"/>
    </xf>
    <xf numFmtId="179" fontId="7" fillId="0" borderId="0" xfId="0" applyNumberFormat="1" applyFont="1">
      <alignment vertical="center"/>
    </xf>
    <xf numFmtId="179" fontId="5" fillId="6" borderId="0" xfId="0" applyNumberFormat="1" applyFont="1" applyFill="1">
      <alignment vertical="center"/>
    </xf>
    <xf numFmtId="9" fontId="2" fillId="2" borderId="0" xfId="1" applyNumberFormat="1">
      <alignment vertical="center"/>
    </xf>
    <xf numFmtId="178" fontId="0" fillId="0" borderId="0" xfId="0" applyNumberFormat="1" applyFill="1">
      <alignment vertical="center"/>
    </xf>
    <xf numFmtId="179" fontId="0" fillId="5" borderId="0" xfId="0" applyNumberFormat="1" applyFill="1">
      <alignment vertical="center"/>
    </xf>
    <xf numFmtId="179" fontId="0" fillId="0" borderId="0" xfId="0" applyNumberFormat="1" applyFill="1">
      <alignment vertical="center"/>
    </xf>
    <xf numFmtId="179" fontId="0" fillId="8" borderId="0" xfId="0" applyNumberFormat="1" applyFill="1">
      <alignment vertical="center"/>
    </xf>
    <xf numFmtId="179" fontId="0" fillId="9" borderId="0" xfId="0" applyNumberFormat="1" applyFill="1">
      <alignment vertical="center"/>
    </xf>
    <xf numFmtId="179" fontId="0" fillId="7" borderId="0" xfId="0" applyNumberFormat="1" applyFill="1">
      <alignment vertical="center"/>
    </xf>
    <xf numFmtId="179" fontId="9" fillId="7" borderId="0" xfId="0" applyNumberFormat="1" applyFont="1" applyFill="1">
      <alignment vertical="center"/>
    </xf>
    <xf numFmtId="0" fontId="24" fillId="0" borderId="0" xfId="0" applyFont="1">
      <alignment vertical="center"/>
    </xf>
    <xf numFmtId="0" fontId="0" fillId="0" borderId="0" xfId="0">
      <alignment vertical="center"/>
    </xf>
    <xf numFmtId="49" fontId="0" fillId="4" borderId="0" xfId="0" applyNumberFormat="1" applyFill="1">
      <alignment vertical="center"/>
    </xf>
    <xf numFmtId="179" fontId="3" fillId="3" borderId="0" xfId="2" applyNumberFormat="1" applyBorder="1">
      <alignment vertical="center"/>
    </xf>
    <xf numFmtId="179" fontId="3" fillId="3" borderId="0" xfId="2" applyNumberFormat="1">
      <alignment vertical="center"/>
    </xf>
    <xf numFmtId="179" fontId="2" fillId="2" borderId="0" xfId="1" applyNumberFormat="1" applyBorder="1">
      <alignment vertical="center"/>
    </xf>
    <xf numFmtId="0" fontId="5" fillId="39" borderId="0" xfId="0" applyFont="1" applyFill="1">
      <alignment vertical="center"/>
    </xf>
    <xf numFmtId="49" fontId="5" fillId="39" borderId="0" xfId="0" applyNumberFormat="1" applyFont="1" applyFill="1">
      <alignment vertical="center"/>
    </xf>
    <xf numFmtId="179" fontId="0" fillId="40" borderId="0" xfId="0" applyNumberFormat="1" applyFill="1">
      <alignment vertical="center"/>
    </xf>
    <xf numFmtId="179" fontId="5" fillId="39" borderId="0" xfId="0" applyNumberFormat="1" applyFont="1" applyFill="1">
      <alignment vertical="center"/>
    </xf>
    <xf numFmtId="179" fontId="2" fillId="2" borderId="13" xfId="1" applyNumberFormat="1" applyBorder="1">
      <alignment vertical="center"/>
    </xf>
    <xf numFmtId="179" fontId="2" fillId="2" borderId="14" xfId="1" applyNumberFormat="1" applyBorder="1">
      <alignment vertical="center"/>
    </xf>
    <xf numFmtId="179" fontId="2" fillId="2" borderId="1" xfId="1" applyNumberFormat="1" applyBorder="1">
      <alignment vertical="center"/>
    </xf>
    <xf numFmtId="179" fontId="8" fillId="39" borderId="0" xfId="0" applyNumberFormat="1" applyFont="1" applyFill="1">
      <alignment vertical="center"/>
    </xf>
    <xf numFmtId="179" fontId="26" fillId="6" borderId="0" xfId="0" applyNumberFormat="1" applyFont="1" applyFill="1">
      <alignment vertical="center"/>
    </xf>
    <xf numFmtId="179" fontId="2" fillId="41" borderId="0" xfId="1" applyNumberFormat="1" applyFill="1" applyBorder="1">
      <alignment vertical="center"/>
    </xf>
    <xf numFmtId="49" fontId="26" fillId="2" borderId="1" xfId="1" applyNumberFormat="1" applyFont="1" applyBorder="1">
      <alignment vertical="center"/>
    </xf>
    <xf numFmtId="0" fontId="26" fillId="0" borderId="0" xfId="0" applyFont="1">
      <alignment vertical="center"/>
    </xf>
    <xf numFmtId="10" fontId="5" fillId="0" borderId="0" xfId="0" applyNumberFormat="1" applyFont="1">
      <alignment vertical="center"/>
    </xf>
    <xf numFmtId="179" fontId="0" fillId="39" borderId="0" xfId="0" applyNumberFormat="1" applyFill="1">
      <alignment vertical="center"/>
    </xf>
    <xf numFmtId="10" fontId="0" fillId="39" borderId="0" xfId="0" applyNumberFormat="1" applyFill="1">
      <alignment vertical="center"/>
    </xf>
    <xf numFmtId="0" fontId="4" fillId="0" borderId="0" xfId="0" applyFont="1">
      <alignment vertical="center"/>
    </xf>
    <xf numFmtId="179" fontId="15" fillId="10" borderId="0" xfId="8" applyNumberFormat="1">
      <alignment vertical="center"/>
    </xf>
    <xf numFmtId="0" fontId="0" fillId="0" borderId="13" xfId="0" applyBorder="1">
      <alignment vertical="center"/>
    </xf>
    <xf numFmtId="10" fontId="0" fillId="0" borderId="0" xfId="0" applyNumberFormat="1">
      <alignment vertical="center"/>
    </xf>
    <xf numFmtId="0" fontId="0" fillId="0" borderId="16" xfId="0" applyBorder="1">
      <alignment vertical="center"/>
    </xf>
    <xf numFmtId="0" fontId="5" fillId="0" borderId="16" xfId="0" applyFont="1" applyBorder="1">
      <alignment vertical="center"/>
    </xf>
    <xf numFmtId="10" fontId="5" fillId="39" borderId="0" xfId="0" applyNumberFormat="1" applyFont="1" applyFill="1">
      <alignment vertical="center"/>
    </xf>
    <xf numFmtId="49" fontId="26" fillId="0" borderId="0" xfId="0" applyNumberFormat="1" applyFont="1" applyAlignment="1">
      <alignment vertical="center" wrapText="1"/>
    </xf>
    <xf numFmtId="49" fontId="5" fillId="0" borderId="15" xfId="0" applyNumberFormat="1" applyFont="1" applyBorder="1">
      <alignment vertical="center"/>
    </xf>
    <xf numFmtId="49" fontId="0" fillId="0" borderId="11" xfId="0" applyNumberFormat="1" applyBorder="1">
      <alignment vertical="center"/>
    </xf>
    <xf numFmtId="179" fontId="0" fillId="0" borderId="18" xfId="0" applyNumberFormat="1" applyBorder="1">
      <alignment vertical="center"/>
    </xf>
    <xf numFmtId="10" fontId="0" fillId="0" borderId="11" xfId="0" applyNumberFormat="1" applyBorder="1">
      <alignment vertical="center"/>
    </xf>
    <xf numFmtId="10" fontId="0" fillId="0" borderId="18" xfId="0" applyNumberFormat="1" applyBorder="1">
      <alignment vertical="center"/>
    </xf>
    <xf numFmtId="49" fontId="0" fillId="0" borderId="12" xfId="0" applyNumberFormat="1" applyBorder="1">
      <alignment vertical="center"/>
    </xf>
    <xf numFmtId="179" fontId="0" fillId="0" borderId="14"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0" fontId="5" fillId="0" borderId="0" xfId="0" applyFont="1" applyBorder="1">
      <alignment vertical="center"/>
    </xf>
    <xf numFmtId="0" fontId="5" fillId="0" borderId="18" xfId="0" applyFont="1" applyBorder="1">
      <alignment vertical="center"/>
    </xf>
    <xf numFmtId="49" fontId="5" fillId="0" borderId="11" xfId="0" applyNumberFormat="1" applyFont="1" applyBorder="1">
      <alignment vertical="center"/>
    </xf>
    <xf numFmtId="179" fontId="5" fillId="0" borderId="0" xfId="0" applyNumberFormat="1" applyFont="1" applyBorder="1">
      <alignment vertical="center"/>
    </xf>
    <xf numFmtId="49" fontId="5" fillId="0" borderId="12" xfId="0" applyNumberFormat="1" applyFont="1" applyBorder="1">
      <alignment vertical="center"/>
    </xf>
    <xf numFmtId="179" fontId="5" fillId="0" borderId="13" xfId="0" applyNumberFormat="1" applyFont="1" applyBorder="1">
      <alignment vertical="center"/>
    </xf>
    <xf numFmtId="0" fontId="5" fillId="0" borderId="13" xfId="0" applyFont="1" applyBorder="1">
      <alignment vertical="center"/>
    </xf>
    <xf numFmtId="0" fontId="5" fillId="0" borderId="14" xfId="0" applyFont="1" applyBorder="1">
      <alignment vertical="center"/>
    </xf>
    <xf numFmtId="49" fontId="0" fillId="0" borderId="0" xfId="0" applyNumberFormat="1" applyBorder="1">
      <alignment vertical="center"/>
    </xf>
    <xf numFmtId="179" fontId="0" fillId="0" borderId="16" xfId="0" applyNumberFormat="1"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179" fontId="0" fillId="42" borderId="16" xfId="0" applyNumberFormat="1" applyFill="1" applyBorder="1">
      <alignment vertical="center"/>
    </xf>
    <xf numFmtId="10" fontId="26" fillId="42" borderId="16" xfId="0" applyNumberFormat="1" applyFont="1" applyFill="1" applyBorder="1">
      <alignment vertical="center"/>
    </xf>
    <xf numFmtId="0" fontId="2" fillId="2" borderId="16" xfId="1" applyBorder="1">
      <alignment vertical="center"/>
    </xf>
    <xf numFmtId="0" fontId="15" fillId="10" borderId="16" xfId="8" applyBorder="1">
      <alignment vertical="center"/>
    </xf>
    <xf numFmtId="10" fontId="4" fillId="0" borderId="18" xfId="0" applyNumberFormat="1" applyFont="1" applyBorder="1">
      <alignment vertical="center"/>
    </xf>
    <xf numFmtId="179" fontId="0" fillId="42" borderId="16" xfId="0" applyNumberFormat="1" applyFill="1" applyBorder="1" applyAlignment="1">
      <alignment horizontal="right" vertical="center"/>
    </xf>
    <xf numFmtId="179" fontId="26" fillId="0" borderId="0" xfId="0" applyNumberFormat="1" applyFont="1" applyBorder="1">
      <alignment vertical="center"/>
    </xf>
    <xf numFmtId="179" fontId="9" fillId="0" borderId="0" xfId="0" applyNumberFormat="1" applyFont="1" applyBorder="1">
      <alignment vertical="center"/>
    </xf>
    <xf numFmtId="0" fontId="26" fillId="0" borderId="0" xfId="0" applyFont="1" applyBorder="1">
      <alignment vertical="center"/>
    </xf>
    <xf numFmtId="0" fontId="5" fillId="0" borderId="1" xfId="0" applyFont="1" applyBorder="1">
      <alignment vertical="center"/>
    </xf>
    <xf numFmtId="49" fontId="0" fillId="6" borderId="0" xfId="0" applyNumberFormat="1" applyFill="1">
      <alignment vertical="center"/>
    </xf>
    <xf numFmtId="179" fontId="0" fillId="41" borderId="0" xfId="0" applyNumberFormat="1" applyFill="1">
      <alignment vertical="center"/>
    </xf>
    <xf numFmtId="179" fontId="2" fillId="5" borderId="13" xfId="1" applyNumberFormat="1" applyFill="1" applyBorder="1">
      <alignment vertical="center"/>
    </xf>
    <xf numFmtId="10" fontId="2" fillId="2" borderId="23" xfId="1" applyNumberFormat="1" applyBorder="1">
      <alignment vertical="center"/>
    </xf>
    <xf numFmtId="10" fontId="2" fillId="2" borderId="0" xfId="1" applyNumberFormat="1" applyBorder="1">
      <alignment vertical="center"/>
    </xf>
    <xf numFmtId="10" fontId="15" fillId="10" borderId="0" xfId="8" applyNumberFormat="1" applyBorder="1">
      <alignment vertical="center"/>
    </xf>
    <xf numFmtId="10" fontId="2" fillId="2" borderId="26" xfId="1" applyNumberFormat="1" applyBorder="1">
      <alignment vertical="center"/>
    </xf>
    <xf numFmtId="49" fontId="2" fillId="2" borderId="16" xfId="1" applyNumberFormat="1" applyBorder="1">
      <alignment vertical="center"/>
    </xf>
    <xf numFmtId="10" fontId="2" fillId="2" borderId="16" xfId="1" applyNumberFormat="1" applyBorder="1">
      <alignment vertical="center"/>
    </xf>
    <xf numFmtId="49" fontId="3" fillId="3" borderId="16" xfId="2" applyNumberFormat="1" applyBorder="1">
      <alignment vertical="center"/>
    </xf>
    <xf numFmtId="0" fontId="3" fillId="3" borderId="16" xfId="2" applyBorder="1">
      <alignment vertical="center"/>
    </xf>
    <xf numFmtId="10" fontId="3" fillId="3" borderId="16" xfId="2" applyNumberFormat="1" applyBorder="1">
      <alignment vertical="center"/>
    </xf>
    <xf numFmtId="179" fontId="0" fillId="0" borderId="23" xfId="0" applyNumberFormat="1" applyBorder="1">
      <alignment vertical="center"/>
    </xf>
    <xf numFmtId="179" fontId="2" fillId="2" borderId="26" xfId="1" applyNumberFormat="1" applyBorder="1">
      <alignment vertical="center"/>
    </xf>
    <xf numFmtId="49" fontId="5" fillId="0" borderId="27" xfId="0" applyNumberFormat="1" applyFont="1" applyBorder="1">
      <alignment vertical="center"/>
    </xf>
    <xf numFmtId="0" fontId="0" fillId="0" borderId="23" xfId="0" applyBorder="1">
      <alignment vertical="center"/>
    </xf>
    <xf numFmtId="179" fontId="0" fillId="39" borderId="26" xfId="0" applyNumberFormat="1" applyFill="1" applyBorder="1">
      <alignment vertical="center"/>
    </xf>
    <xf numFmtId="49" fontId="0" fillId="5" borderId="0" xfId="0" applyNumberFormat="1" applyFill="1">
      <alignment vertical="center"/>
    </xf>
    <xf numFmtId="49" fontId="5" fillId="0" borderId="0" xfId="0" applyNumberFormat="1" applyFont="1" applyFill="1">
      <alignment vertical="center"/>
    </xf>
    <xf numFmtId="49" fontId="0" fillId="8" borderId="0" xfId="0" applyNumberFormat="1" applyFill="1">
      <alignment vertical="center"/>
    </xf>
    <xf numFmtId="49" fontId="24" fillId="0" borderId="0" xfId="0" applyNumberFormat="1" applyFont="1">
      <alignment vertical="center"/>
    </xf>
    <xf numFmtId="49" fontId="0" fillId="9" borderId="0" xfId="0" applyNumberFormat="1" applyFill="1">
      <alignment vertical="center"/>
    </xf>
    <xf numFmtId="49" fontId="5" fillId="5" borderId="0" xfId="0" applyNumberFormat="1" applyFont="1" applyFill="1">
      <alignment vertical="center"/>
    </xf>
    <xf numFmtId="49" fontId="5" fillId="7" borderId="0" xfId="0" applyNumberFormat="1" applyFont="1" applyFill="1">
      <alignment vertical="center"/>
    </xf>
    <xf numFmtId="49" fontId="6" fillId="0" borderId="0" xfId="0" applyNumberFormat="1" applyFont="1">
      <alignment vertical="center"/>
    </xf>
    <xf numFmtId="49" fontId="6" fillId="5" borderId="0" xfId="0" applyNumberFormat="1" applyFont="1" applyFill="1">
      <alignment vertical="center"/>
    </xf>
    <xf numFmtId="49" fontId="8" fillId="7" borderId="0" xfId="0" applyNumberFormat="1" applyFont="1" applyFill="1">
      <alignment vertical="center"/>
    </xf>
    <xf numFmtId="49" fontId="27" fillId="3" borderId="0" xfId="2" applyNumberFormat="1" applyFont="1" applyBorder="1">
      <alignment vertical="center"/>
    </xf>
    <xf numFmtId="49" fontId="3" fillId="3" borderId="0" xfId="2" applyNumberFormat="1" applyBorder="1">
      <alignment vertical="center"/>
    </xf>
    <xf numFmtId="49" fontId="2" fillId="2" borderId="0" xfId="1" applyNumberFormat="1" applyBorder="1">
      <alignment vertical="center"/>
    </xf>
    <xf numFmtId="49" fontId="5" fillId="0" borderId="0" xfId="0" applyNumberFormat="1" applyFont="1" applyAlignment="1">
      <alignment vertical="center" wrapText="1"/>
    </xf>
    <xf numFmtId="49" fontId="0" fillId="40" borderId="0" xfId="0" applyNumberFormat="1" applyFill="1">
      <alignment vertical="center"/>
    </xf>
    <xf numFmtId="49" fontId="25" fillId="6" borderId="16" xfId="1" applyNumberFormat="1" applyFont="1" applyFill="1" applyBorder="1">
      <alignment vertical="center"/>
    </xf>
    <xf numFmtId="49" fontId="2" fillId="41" borderId="16" xfId="1" applyNumberFormat="1" applyFill="1" applyBorder="1">
      <alignment vertical="center"/>
    </xf>
    <xf numFmtId="49" fontId="2" fillId="2" borderId="12" xfId="1" applyNumberFormat="1" applyBorder="1">
      <alignment vertical="center"/>
    </xf>
    <xf numFmtId="49" fontId="2" fillId="5" borderId="12" xfId="1" applyNumberFormat="1" applyFill="1" applyBorder="1">
      <alignment vertical="center"/>
    </xf>
    <xf numFmtId="49" fontId="26" fillId="6" borderId="0" xfId="0" applyNumberFormat="1" applyFont="1" applyFill="1">
      <alignment vertical="center"/>
    </xf>
    <xf numFmtId="49" fontId="8" fillId="39" borderId="0" xfId="0" applyNumberFormat="1" applyFont="1" applyFill="1">
      <alignment vertical="center"/>
    </xf>
    <xf numFmtId="49" fontId="2" fillId="2" borderId="24" xfId="1" applyNumberFormat="1" applyBorder="1">
      <alignment vertical="center"/>
    </xf>
    <xf numFmtId="49" fontId="15" fillId="10" borderId="24" xfId="8" applyNumberFormat="1" applyBorder="1">
      <alignment vertical="center"/>
    </xf>
    <xf numFmtId="49" fontId="2" fillId="2" borderId="25" xfId="1" applyNumberFormat="1" applyBorder="1">
      <alignment vertical="center"/>
    </xf>
    <xf numFmtId="49" fontId="0" fillId="39" borderId="0" xfId="0" applyNumberFormat="1" applyFill="1">
      <alignment vertical="center"/>
    </xf>
    <xf numFmtId="49" fontId="0" fillId="0" borderId="24" xfId="0" applyNumberFormat="1" applyBorder="1">
      <alignment vertical="center"/>
    </xf>
    <xf numFmtId="49" fontId="5" fillId="0" borderId="24" xfId="0" applyNumberFormat="1" applyFont="1" applyBorder="1">
      <alignment vertical="center"/>
    </xf>
    <xf numFmtId="49" fontId="0" fillId="39" borderId="25" xfId="0" applyNumberFormat="1" applyFill="1" applyBorder="1">
      <alignment vertical="center"/>
    </xf>
    <xf numFmtId="179" fontId="4" fillId="0" borderId="0" xfId="0" applyNumberFormat="1" applyFont="1">
      <alignment vertical="center"/>
    </xf>
    <xf numFmtId="10" fontId="2" fillId="2" borderId="28" xfId="1" applyNumberFormat="1" applyBorder="1">
      <alignment vertical="center"/>
    </xf>
    <xf numFmtId="10" fontId="2" fillId="2" borderId="29" xfId="1" applyNumberFormat="1" applyBorder="1">
      <alignment vertical="center"/>
    </xf>
    <xf numFmtId="10" fontId="2" fillId="2" borderId="30" xfId="1" applyNumberFormat="1" applyBorder="1">
      <alignment vertical="center"/>
    </xf>
    <xf numFmtId="49" fontId="25" fillId="2" borderId="24" xfId="1" applyNumberFormat="1" applyFont="1" applyBorder="1">
      <alignment vertical="center"/>
    </xf>
    <xf numFmtId="179" fontId="25" fillId="2" borderId="0" xfId="1" applyNumberFormat="1" applyFont="1" applyBorder="1">
      <alignment vertical="center"/>
    </xf>
    <xf numFmtId="0" fontId="25" fillId="2" borderId="0" xfId="1" applyFont="1">
      <alignment vertical="center"/>
    </xf>
    <xf numFmtId="179" fontId="2" fillId="2" borderId="0" xfId="1" applyNumberFormat="1">
      <alignment vertical="center"/>
    </xf>
    <xf numFmtId="10" fontId="28" fillId="10" borderId="0" xfId="8" applyNumberFormat="1" applyFont="1">
      <alignment vertical="center"/>
    </xf>
    <xf numFmtId="179" fontId="0" fillId="0" borderId="11" xfId="0" applyNumberFormat="1" applyBorder="1">
      <alignment vertical="center"/>
    </xf>
    <xf numFmtId="10" fontId="5" fillId="0" borderId="12" xfId="0" applyNumberFormat="1" applyFont="1" applyBorder="1">
      <alignment vertical="center"/>
    </xf>
    <xf numFmtId="10" fontId="5" fillId="0" borderId="13" xfId="0" applyNumberFormat="1" applyFont="1" applyBorder="1">
      <alignment vertical="center"/>
    </xf>
    <xf numFmtId="179" fontId="5" fillId="0" borderId="11" xfId="0" applyNumberFormat="1" applyFont="1" applyBorder="1">
      <alignment vertical="center"/>
    </xf>
    <xf numFmtId="14" fontId="5" fillId="0" borderId="0" xfId="0" applyNumberFormat="1" applyFont="1" applyBorder="1">
      <alignment vertical="center"/>
    </xf>
    <xf numFmtId="179" fontId="2" fillId="2" borderId="11" xfId="1" applyNumberFormat="1" applyBorder="1">
      <alignment vertical="center"/>
    </xf>
    <xf numFmtId="179" fontId="15" fillId="10" borderId="0" xfId="8" applyNumberFormat="1" applyBorder="1">
      <alignment vertical="center"/>
    </xf>
    <xf numFmtId="179" fontId="5" fillId="0" borderId="16" xfId="0" applyNumberFormat="1" applyFont="1" applyBorder="1">
      <alignment vertical="center"/>
    </xf>
    <xf numFmtId="14" fontId="5" fillId="0" borderId="16" xfId="0" applyNumberFormat="1" applyFont="1" applyBorder="1">
      <alignment vertical="center"/>
    </xf>
    <xf numFmtId="179" fontId="15" fillId="10" borderId="16" xfId="8" applyNumberFormat="1" applyBorder="1">
      <alignment vertical="center"/>
    </xf>
    <xf numFmtId="179" fontId="5" fillId="0" borderId="31" xfId="0" applyNumberFormat="1" applyFont="1" applyBorder="1">
      <alignment vertical="center"/>
    </xf>
    <xf numFmtId="14" fontId="5" fillId="0" borderId="32" xfId="0" applyNumberFormat="1" applyFont="1" applyBorder="1">
      <alignment vertical="center"/>
    </xf>
    <xf numFmtId="179" fontId="5" fillId="0" borderId="32" xfId="0" applyNumberFormat="1" applyFont="1" applyBorder="1">
      <alignment vertical="center"/>
    </xf>
    <xf numFmtId="179" fontId="15" fillId="10" borderId="32" xfId="8" applyNumberFormat="1" applyBorder="1">
      <alignment vertical="center"/>
    </xf>
    <xf numFmtId="179" fontId="5" fillId="0" borderId="34" xfId="0" applyNumberFormat="1" applyFont="1" applyBorder="1">
      <alignment vertical="center"/>
    </xf>
    <xf numFmtId="14" fontId="5" fillId="0" borderId="19" xfId="0" applyNumberFormat="1" applyFont="1" applyBorder="1">
      <alignment vertical="center"/>
    </xf>
    <xf numFmtId="179" fontId="5" fillId="0" borderId="19" xfId="0" applyNumberFormat="1" applyFont="1" applyBorder="1">
      <alignment vertical="center"/>
    </xf>
    <xf numFmtId="179" fontId="15" fillId="10" borderId="19" xfId="8" applyNumberFormat="1" applyBorder="1">
      <alignment vertical="center"/>
    </xf>
    <xf numFmtId="179" fontId="2" fillId="2" borderId="16" xfId="1" applyNumberFormat="1" applyBorder="1">
      <alignment vertical="center"/>
    </xf>
    <xf numFmtId="49" fontId="25" fillId="2" borderId="16" xfId="1" applyNumberFormat="1" applyFont="1" applyBorder="1" applyAlignment="1">
      <alignment horizontal="left" vertical="center"/>
    </xf>
    <xf numFmtId="14" fontId="15" fillId="10" borderId="16" xfId="8" applyNumberFormat="1" applyBorder="1" applyAlignment="1">
      <alignment horizontal="left" vertical="center"/>
    </xf>
    <xf numFmtId="14" fontId="5" fillId="0" borderId="0" xfId="0" applyNumberFormat="1" applyFont="1">
      <alignment vertical="center"/>
    </xf>
    <xf numFmtId="49" fontId="3" fillId="3" borderId="0" xfId="2" applyNumberFormat="1">
      <alignment vertical="center"/>
    </xf>
    <xf numFmtId="10" fontId="3" fillId="3" borderId="0" xfId="2" applyNumberFormat="1">
      <alignment vertical="center"/>
    </xf>
    <xf numFmtId="180" fontId="0" fillId="0" borderId="16" xfId="0" applyNumberFormat="1" applyBorder="1">
      <alignment vertical="center"/>
    </xf>
    <xf numFmtId="49" fontId="0" fillId="0" borderId="16" xfId="0" applyNumberFormat="1" applyBorder="1">
      <alignment vertical="center"/>
    </xf>
    <xf numFmtId="49" fontId="5" fillId="39" borderId="16" xfId="0" applyNumberFormat="1" applyFont="1" applyFill="1" applyBorder="1">
      <alignment vertical="center"/>
    </xf>
    <xf numFmtId="49" fontId="27" fillId="3" borderId="16" xfId="2" applyNumberFormat="1" applyFont="1" applyBorder="1">
      <alignment vertical="center"/>
    </xf>
    <xf numFmtId="0" fontId="27" fillId="3" borderId="16" xfId="2" applyFont="1" applyBorder="1">
      <alignment vertical="center"/>
    </xf>
    <xf numFmtId="14" fontId="27" fillId="3" borderId="16" xfId="2" applyNumberFormat="1" applyFont="1" applyBorder="1">
      <alignment vertical="center"/>
    </xf>
    <xf numFmtId="0" fontId="27" fillId="3" borderId="0" xfId="2" applyFont="1">
      <alignment vertical="center"/>
    </xf>
    <xf numFmtId="0" fontId="0" fillId="0" borderId="0" xfId="0">
      <alignment vertical="center"/>
    </xf>
    <xf numFmtId="0" fontId="5" fillId="0" borderId="0" xfId="0" applyFont="1">
      <alignment vertical="center"/>
    </xf>
    <xf numFmtId="49" fontId="0" fillId="0" borderId="0" xfId="0" applyNumberFormat="1">
      <alignment vertical="center"/>
    </xf>
    <xf numFmtId="179" fontId="0" fillId="0" borderId="0" xfId="0" applyNumberFormat="1">
      <alignment vertical="center"/>
    </xf>
    <xf numFmtId="0" fontId="0" fillId="0" borderId="13" xfId="0" applyBorder="1">
      <alignment vertical="center"/>
    </xf>
    <xf numFmtId="49" fontId="5" fillId="0" borderId="15" xfId="0" applyNumberFormat="1" applyFont="1" applyBorder="1">
      <alignment vertical="center"/>
    </xf>
    <xf numFmtId="49" fontId="0" fillId="0" borderId="11"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49" fontId="5" fillId="0" borderId="11" xfId="0" applyNumberFormat="1" applyFont="1" applyBorder="1">
      <alignment vertical="center"/>
    </xf>
    <xf numFmtId="49" fontId="5" fillId="0" borderId="12" xfId="0" applyNumberFormat="1" applyFont="1" applyBorder="1">
      <alignment vertical="center"/>
    </xf>
    <xf numFmtId="0" fontId="0" fillId="0" borderId="14" xfId="0"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0" fontId="0" fillId="0" borderId="19" xfId="0" applyBorder="1">
      <alignment vertical="center"/>
    </xf>
    <xf numFmtId="10" fontId="26" fillId="42" borderId="16" xfId="0" applyNumberFormat="1" applyFont="1" applyFill="1" applyBorder="1">
      <alignment vertical="center"/>
    </xf>
    <xf numFmtId="178" fontId="0" fillId="42" borderId="16" xfId="0" applyNumberFormat="1" applyFill="1" applyBorder="1" applyAlignment="1">
      <alignment horizontal="right" vertical="center"/>
    </xf>
    <xf numFmtId="179" fontId="9" fillId="0" borderId="0" xfId="0" applyNumberFormat="1" applyFont="1" applyBorder="1">
      <alignment vertical="center"/>
    </xf>
    <xf numFmtId="49" fontId="26" fillId="0" borderId="11" xfId="0" applyNumberFormat="1" applyFont="1" applyBorder="1">
      <alignment vertical="center"/>
    </xf>
    <xf numFmtId="0" fontId="26" fillId="0" borderId="0" xfId="0" applyFont="1" applyBorder="1">
      <alignment vertical="center"/>
    </xf>
    <xf numFmtId="10" fontId="0" fillId="0" borderId="16" xfId="0" applyNumberFormat="1" applyBorder="1">
      <alignment vertical="center"/>
    </xf>
    <xf numFmtId="178" fontId="0" fillId="0" borderId="16" xfId="0" applyNumberFormat="1" applyBorder="1">
      <alignment vertical="center"/>
    </xf>
    <xf numFmtId="178" fontId="5" fillId="0" borderId="16" xfId="0" applyNumberFormat="1" applyFont="1" applyBorder="1">
      <alignment vertical="center"/>
    </xf>
    <xf numFmtId="178" fontId="15" fillId="10" borderId="16" xfId="8" applyNumberFormat="1" applyBorder="1">
      <alignment vertical="center"/>
    </xf>
    <xf numFmtId="178" fontId="2" fillId="2" borderId="16" xfId="1" applyNumberFormat="1" applyBorder="1">
      <alignment vertical="center"/>
    </xf>
    <xf numFmtId="178" fontId="3" fillId="3" borderId="16" xfId="2" applyNumberFormat="1" applyBorder="1">
      <alignment vertical="center"/>
    </xf>
    <xf numFmtId="10" fontId="0" fillId="4" borderId="0" xfId="0" applyNumberFormat="1" applyFill="1">
      <alignment vertical="center"/>
    </xf>
    <xf numFmtId="179" fontId="0" fillId="4" borderId="0" xfId="0" applyNumberFormat="1" applyFill="1">
      <alignment vertical="center"/>
    </xf>
    <xf numFmtId="49" fontId="0" fillId="4" borderId="16" xfId="0" applyNumberFormat="1" applyFill="1" applyBorder="1">
      <alignment vertical="center"/>
    </xf>
    <xf numFmtId="0" fontId="0" fillId="4" borderId="16" xfId="0" applyFill="1" applyBorder="1">
      <alignment vertical="center"/>
    </xf>
    <xf numFmtId="10" fontId="0" fillId="4" borderId="16" xfId="0" applyNumberFormat="1" applyFill="1" applyBorder="1">
      <alignment vertical="center"/>
    </xf>
    <xf numFmtId="0" fontId="0" fillId="4" borderId="0" xfId="0" applyFill="1">
      <alignment vertical="center"/>
    </xf>
    <xf numFmtId="49" fontId="5" fillId="0" borderId="16" xfId="0" applyNumberFormat="1" applyFont="1" applyBorder="1">
      <alignment vertical="center"/>
    </xf>
    <xf numFmtId="49" fontId="5" fillId="4" borderId="16" xfId="0" applyNumberFormat="1" applyFont="1" applyFill="1" applyBorder="1">
      <alignment vertical="center"/>
    </xf>
    <xf numFmtId="14" fontId="0" fillId="4" borderId="16" xfId="0" applyNumberFormat="1" applyFill="1" applyBorder="1">
      <alignment vertical="center"/>
    </xf>
    <xf numFmtId="49" fontId="5" fillId="7" borderId="16" xfId="0" applyNumberFormat="1" applyFont="1" applyFill="1" applyBorder="1">
      <alignment vertical="center"/>
    </xf>
    <xf numFmtId="0" fontId="0" fillId="7" borderId="16" xfId="0" applyFill="1" applyBorder="1">
      <alignment vertical="center"/>
    </xf>
    <xf numFmtId="14" fontId="0" fillId="7" borderId="16" xfId="0" applyNumberFormat="1" applyFill="1" applyBorder="1">
      <alignment vertical="center"/>
    </xf>
    <xf numFmtId="49" fontId="0" fillId="7" borderId="0" xfId="0" applyNumberFormat="1" applyFill="1">
      <alignment vertical="center"/>
    </xf>
    <xf numFmtId="14" fontId="0" fillId="7" borderId="0" xfId="0" applyNumberFormat="1" applyFill="1">
      <alignment vertical="center"/>
    </xf>
    <xf numFmtId="10" fontId="5" fillId="4" borderId="0" xfId="0" applyNumberFormat="1" applyFont="1" applyFill="1">
      <alignment vertical="center"/>
    </xf>
    <xf numFmtId="49" fontId="5" fillId="4" borderId="0" xfId="0" applyNumberFormat="1" applyFont="1" applyFill="1">
      <alignment vertical="center"/>
    </xf>
    <xf numFmtId="0" fontId="5" fillId="4" borderId="0" xfId="0" applyFont="1" applyFill="1">
      <alignment vertical="center"/>
    </xf>
    <xf numFmtId="178" fontId="5" fillId="4" borderId="0" xfId="0" applyNumberFormat="1" applyFont="1" applyFill="1">
      <alignment vertical="center"/>
    </xf>
    <xf numFmtId="0" fontId="5" fillId="43" borderId="0" xfId="0" applyFont="1" applyFill="1">
      <alignment vertical="center"/>
    </xf>
    <xf numFmtId="49" fontId="5" fillId="43" borderId="16" xfId="0" applyNumberFormat="1" applyFont="1" applyFill="1" applyBorder="1">
      <alignment vertical="center"/>
    </xf>
    <xf numFmtId="0" fontId="5" fillId="43" borderId="16" xfId="0" applyFont="1" applyFill="1" applyBorder="1">
      <alignment vertical="center"/>
    </xf>
    <xf numFmtId="14" fontId="5" fillId="43" borderId="16" xfId="0" applyNumberFormat="1" applyFont="1" applyFill="1" applyBorder="1">
      <alignment vertical="center"/>
    </xf>
    <xf numFmtId="179" fontId="26" fillId="0" borderId="0" xfId="0" applyNumberFormat="1" applyFont="1" applyAlignment="1">
      <alignment vertical="top"/>
    </xf>
    <xf numFmtId="49" fontId="28" fillId="10" borderId="0" xfId="8" applyNumberFormat="1" applyFont="1">
      <alignment vertical="center"/>
    </xf>
    <xf numFmtId="10" fontId="5" fillId="4" borderId="0" xfId="0" applyNumberFormat="1" applyFont="1" applyFill="1" applyBorder="1">
      <alignment vertical="center"/>
    </xf>
    <xf numFmtId="179" fontId="5" fillId="4" borderId="11" xfId="0" applyNumberFormat="1" applyFont="1" applyFill="1" applyBorder="1">
      <alignment vertical="center"/>
    </xf>
    <xf numFmtId="179" fontId="5" fillId="4" borderId="0" xfId="0" applyNumberFormat="1" applyFont="1" applyFill="1" applyBorder="1">
      <alignment vertical="center"/>
    </xf>
    <xf numFmtId="49" fontId="5" fillId="44" borderId="24" xfId="0" applyNumberFormat="1" applyFont="1" applyFill="1" applyBorder="1">
      <alignment vertical="center"/>
    </xf>
    <xf numFmtId="179" fontId="0" fillId="44" borderId="0" xfId="0" applyNumberFormat="1" applyFill="1" applyBorder="1">
      <alignment vertical="center"/>
    </xf>
    <xf numFmtId="49" fontId="5" fillId="44" borderId="15" xfId="0" applyNumberFormat="1" applyFont="1" applyFill="1" applyBorder="1">
      <alignment vertical="center"/>
    </xf>
    <xf numFmtId="0" fontId="0" fillId="44" borderId="1" xfId="0" applyFill="1" applyBorder="1">
      <alignment vertical="center"/>
    </xf>
    <xf numFmtId="49" fontId="25" fillId="2" borderId="11" xfId="1" applyNumberFormat="1" applyFont="1" applyBorder="1">
      <alignment vertical="center"/>
    </xf>
    <xf numFmtId="10" fontId="0" fillId="5" borderId="0" xfId="0" applyNumberFormat="1" applyFill="1" applyBorder="1">
      <alignment vertical="center"/>
    </xf>
    <xf numFmtId="10" fontId="5" fillId="5" borderId="0" xfId="0" applyNumberFormat="1" applyFont="1" applyFill="1" applyBorder="1">
      <alignment vertical="center"/>
    </xf>
    <xf numFmtId="49" fontId="2" fillId="41" borderId="11" xfId="1" applyNumberFormat="1" applyFill="1" applyBorder="1">
      <alignment vertical="center"/>
    </xf>
    <xf numFmtId="49" fontId="5" fillId="5" borderId="24" xfId="0" applyNumberFormat="1" applyFont="1" applyFill="1" applyBorder="1">
      <alignment vertical="center"/>
    </xf>
    <xf numFmtId="179" fontId="5" fillId="5" borderId="0" xfId="0" applyNumberFormat="1" applyFont="1" applyFill="1" applyBorder="1">
      <alignment vertical="center"/>
    </xf>
    <xf numFmtId="0" fontId="5" fillId="4" borderId="16" xfId="0" applyFont="1" applyFill="1" applyBorder="1">
      <alignment vertical="center"/>
    </xf>
    <xf numFmtId="0" fontId="5" fillId="0" borderId="16" xfId="0" applyFont="1" applyBorder="1" applyAlignment="1">
      <alignment horizontal="left" vertical="top" wrapText="1"/>
    </xf>
    <xf numFmtId="0" fontId="5" fillId="0" borderId="16" xfId="0" applyFont="1" applyBorder="1" applyAlignment="1">
      <alignment horizontal="left" vertical="top"/>
    </xf>
    <xf numFmtId="10" fontId="26" fillId="0" borderId="0" xfId="0" applyNumberFormat="1" applyFont="1">
      <alignment vertical="center"/>
    </xf>
    <xf numFmtId="178" fontId="26" fillId="0" borderId="0" xfId="0" applyNumberFormat="1" applyFont="1">
      <alignment vertical="center"/>
    </xf>
    <xf numFmtId="0" fontId="5" fillId="0" borderId="36" xfId="0" applyFont="1" applyBorder="1">
      <alignment vertical="center"/>
    </xf>
    <xf numFmtId="179" fontId="15" fillId="10" borderId="16" xfId="8" applyNumberFormat="1" applyBorder="1" applyAlignment="1">
      <alignment horizontal="left" vertical="center"/>
    </xf>
    <xf numFmtId="179" fontId="15" fillId="10" borderId="18" xfId="8" applyNumberFormat="1" applyBorder="1" applyAlignment="1">
      <alignment horizontal="left" vertical="center"/>
    </xf>
    <xf numFmtId="179" fontId="2" fillId="2" borderId="18" xfId="1" applyNumberFormat="1" applyBorder="1" applyAlignment="1">
      <alignment horizontal="left" vertical="center"/>
    </xf>
    <xf numFmtId="179" fontId="15" fillId="10" borderId="33" xfId="8" applyNumberFormat="1" applyBorder="1" applyAlignment="1">
      <alignment horizontal="left" vertical="center"/>
    </xf>
    <xf numFmtId="179" fontId="15" fillId="10" borderId="35" xfId="8" applyNumberFormat="1" applyBorder="1" applyAlignment="1">
      <alignment horizontal="left" vertical="center"/>
    </xf>
    <xf numFmtId="179" fontId="24" fillId="0" borderId="0" xfId="0" applyNumberFormat="1" applyFont="1" applyBorder="1">
      <alignment vertical="center"/>
    </xf>
    <xf numFmtId="0" fontId="5" fillId="39" borderId="16" xfId="0" applyFont="1" applyFill="1" applyBorder="1">
      <alignment vertical="center"/>
    </xf>
    <xf numFmtId="179" fontId="5" fillId="39" borderId="16" xfId="0" applyNumberFormat="1" applyFont="1" applyFill="1" applyBorder="1">
      <alignment vertical="center"/>
    </xf>
    <xf numFmtId="178" fontId="5" fillId="39" borderId="16" xfId="0" applyNumberFormat="1" applyFont="1" applyFill="1" applyBorder="1">
      <alignment vertical="center"/>
    </xf>
    <xf numFmtId="0" fontId="5" fillId="45" borderId="16" xfId="0" applyFont="1" applyFill="1" applyBorder="1">
      <alignment vertical="center"/>
    </xf>
    <xf numFmtId="179" fontId="5" fillId="45" borderId="16" xfId="0" applyNumberFormat="1" applyFont="1" applyFill="1" applyBorder="1">
      <alignment vertical="center"/>
    </xf>
    <xf numFmtId="10" fontId="5" fillId="0" borderId="36" xfId="0" applyNumberFormat="1" applyFont="1" applyBorder="1" applyAlignment="1">
      <alignment horizontal="center" vertical="center" wrapText="1"/>
    </xf>
    <xf numFmtId="49" fontId="26" fillId="6" borderId="0" xfId="0" applyNumberFormat="1" applyFont="1" applyFill="1" applyAlignment="1">
      <alignment vertical="center" wrapText="1"/>
    </xf>
    <xf numFmtId="179" fontId="30" fillId="6" borderId="0" xfId="0" applyNumberFormat="1" applyFont="1" applyFill="1" applyAlignment="1">
      <alignment horizontal="left" vertical="top" wrapText="1"/>
    </xf>
    <xf numFmtId="179" fontId="30" fillId="6" borderId="0" xfId="0" applyNumberFormat="1" applyFont="1" applyFill="1" applyAlignment="1">
      <alignment horizontal="left" vertical="top"/>
    </xf>
    <xf numFmtId="49" fontId="26" fillId="6" borderId="0" xfId="0" applyNumberFormat="1" applyFont="1" applyFill="1" applyAlignment="1">
      <alignment horizontal="left" vertical="top" wrapText="1"/>
    </xf>
    <xf numFmtId="49" fontId="5" fillId="6" borderId="0" xfId="0" applyNumberFormat="1" applyFont="1" applyFill="1" applyAlignment="1">
      <alignment horizontal="left" vertical="top"/>
    </xf>
    <xf numFmtId="49" fontId="5" fillId="6" borderId="0" xfId="0" applyNumberFormat="1" applyFont="1" applyFill="1" applyAlignment="1">
      <alignment horizontal="left" vertical="top" wrapText="1"/>
    </xf>
    <xf numFmtId="49" fontId="26" fillId="6" borderId="0" xfId="0" applyNumberFormat="1" applyFont="1" applyFill="1" applyAlignment="1">
      <alignment horizontal="left" vertical="top"/>
    </xf>
    <xf numFmtId="49" fontId="5" fillId="6" borderId="23" xfId="0" applyNumberFormat="1" applyFont="1" applyFill="1" applyBorder="1" applyAlignment="1">
      <alignment horizontal="left" vertical="top"/>
    </xf>
    <xf numFmtId="49" fontId="0" fillId="6" borderId="23" xfId="0" applyNumberFormat="1" applyFill="1" applyBorder="1" applyAlignment="1">
      <alignment horizontal="left" vertical="top"/>
    </xf>
    <xf numFmtId="0" fontId="5" fillId="6" borderId="0" xfId="0" applyFont="1" applyFill="1" applyAlignment="1">
      <alignment horizontal="left" vertical="top" wrapText="1"/>
    </xf>
    <xf numFmtId="0" fontId="5" fillId="6" borderId="0" xfId="0" applyFont="1" applyFill="1" applyAlignment="1">
      <alignment horizontal="left" vertical="top"/>
    </xf>
    <xf numFmtId="49" fontId="0" fillId="6" borderId="0" xfId="0" applyNumberFormat="1" applyFill="1" applyAlignment="1">
      <alignment horizontal="left" vertical="top"/>
    </xf>
    <xf numFmtId="49" fontId="5" fillId="4" borderId="16" xfId="0" applyNumberFormat="1" applyFont="1" applyFill="1" applyBorder="1" applyAlignment="1">
      <alignment horizontal="center" vertical="center"/>
    </xf>
    <xf numFmtId="49" fontId="5" fillId="0" borderId="16" xfId="0" applyNumberFormat="1" applyFont="1" applyBorder="1" applyAlignment="1">
      <alignment horizontal="center" vertical="center"/>
    </xf>
    <xf numFmtId="49" fontId="28" fillId="6" borderId="1" xfId="8" applyNumberFormat="1" applyFont="1" applyFill="1" applyBorder="1" applyAlignment="1">
      <alignment horizontal="left" vertical="top" wrapText="1"/>
    </xf>
    <xf numFmtId="49" fontId="28" fillId="6" borderId="1" xfId="8" applyNumberFormat="1" applyFont="1" applyFill="1" applyBorder="1" applyAlignment="1">
      <alignment horizontal="left" vertical="top"/>
    </xf>
    <xf numFmtId="49" fontId="5" fillId="6" borderId="23" xfId="0" applyNumberFormat="1" applyFont="1" applyFill="1" applyBorder="1" applyAlignment="1">
      <alignment horizontal="left" vertical="top" wrapText="1"/>
    </xf>
    <xf numFmtId="49" fontId="28" fillId="10" borderId="1" xfId="8" applyNumberFormat="1" applyFont="1" applyBorder="1" applyAlignment="1">
      <alignment horizontal="left" vertical="top" wrapText="1"/>
    </xf>
    <xf numFmtId="49" fontId="28" fillId="10" borderId="1" xfId="8" applyNumberFormat="1" applyFont="1" applyBorder="1" applyAlignment="1">
      <alignment horizontal="left" vertical="top"/>
    </xf>
    <xf numFmtId="49" fontId="25" fillId="2" borderId="0" xfId="1" applyNumberFormat="1" applyFont="1" applyAlignment="1">
      <alignment horizontal="left" vertical="top" wrapText="1"/>
    </xf>
    <xf numFmtId="49" fontId="25" fillId="2" borderId="0" xfId="1" applyNumberFormat="1" applyFont="1" applyAlignment="1">
      <alignment horizontal="left" vertical="top"/>
    </xf>
    <xf numFmtId="49" fontId="6" fillId="6" borderId="1" xfId="0" applyNumberFormat="1" applyFont="1" applyFill="1" applyBorder="1" applyAlignment="1">
      <alignment horizontal="left" vertical="top" wrapText="1"/>
    </xf>
    <xf numFmtId="49" fontId="0" fillId="6" borderId="1" xfId="0" applyNumberFormat="1" applyFill="1" applyBorder="1" applyAlignment="1">
      <alignment horizontal="left" vertical="top"/>
    </xf>
    <xf numFmtId="179" fontId="0" fillId="0" borderId="20" xfId="0" applyNumberFormat="1" applyBorder="1" applyAlignment="1">
      <alignment horizontal="center" vertical="center"/>
    </xf>
    <xf numFmtId="179" fontId="0" fillId="0" borderId="21" xfId="0" applyNumberFormat="1" applyBorder="1" applyAlignment="1">
      <alignment horizontal="center" vertical="center"/>
    </xf>
    <xf numFmtId="179" fontId="0" fillId="0" borderId="22" xfId="0" applyNumberFormat="1" applyBorder="1" applyAlignment="1">
      <alignment horizontal="center" vertical="center"/>
    </xf>
    <xf numFmtId="49" fontId="5" fillId="42" borderId="16" xfId="0" applyNumberFormat="1" applyFont="1" applyFill="1" applyBorder="1" applyAlignment="1">
      <alignment horizontal="center" vertical="center"/>
    </xf>
    <xf numFmtId="179" fontId="0" fillId="42" borderId="16" xfId="0" applyNumberFormat="1" applyFill="1" applyBorder="1" applyAlignment="1">
      <alignment horizontal="center" vertical="center"/>
    </xf>
    <xf numFmtId="0" fontId="0" fillId="0" borderId="16" xfId="0" applyBorder="1" applyAlignment="1">
      <alignment horizontal="center" vertical="center"/>
    </xf>
    <xf numFmtId="49" fontId="5" fillId="6" borderId="1" xfId="0" applyNumberFormat="1" applyFont="1" applyFill="1" applyBorder="1" applyAlignment="1">
      <alignment horizontal="left" vertical="top" wrapText="1"/>
    </xf>
    <xf numFmtId="49" fontId="5" fillId="6" borderId="1" xfId="0" applyNumberFormat="1" applyFont="1" applyFill="1" applyBorder="1" applyAlignment="1">
      <alignment horizontal="left" vertical="top"/>
    </xf>
    <xf numFmtId="0" fontId="0" fillId="0" borderId="20" xfId="0" applyBorder="1" applyAlignment="1">
      <alignment horizontal="center" vertical="center"/>
    </xf>
    <xf numFmtId="0" fontId="0" fillId="0" borderId="21" xfId="0" applyBorder="1" applyAlignment="1">
      <alignment horizontal="center" vertical="center"/>
    </xf>
    <xf numFmtId="0" fontId="0" fillId="0" borderId="22" xfId="0" applyBorder="1" applyAlignment="1">
      <alignment horizontal="center" vertical="center"/>
    </xf>
    <xf numFmtId="178" fontId="0" fillId="0" borderId="20" xfId="0" applyNumberFormat="1" applyBorder="1" applyAlignment="1">
      <alignment horizontal="center" vertical="center"/>
    </xf>
    <xf numFmtId="178" fontId="0" fillId="0" borderId="21" xfId="0" applyNumberFormat="1" applyBorder="1" applyAlignment="1">
      <alignment horizontal="center" vertical="center"/>
    </xf>
    <xf numFmtId="178" fontId="0" fillId="0" borderId="22" xfId="0" applyNumberFormat="1" applyBorder="1" applyAlignment="1">
      <alignment horizontal="center" vertical="center"/>
    </xf>
    <xf numFmtId="178" fontId="5" fillId="42" borderId="20" xfId="0" applyNumberFormat="1" applyFont="1" applyFill="1" applyBorder="1" applyAlignment="1">
      <alignment horizontal="center" vertical="center"/>
    </xf>
    <xf numFmtId="178" fontId="5" fillId="42" borderId="22" xfId="0" applyNumberFormat="1" applyFont="1" applyFill="1" applyBorder="1" applyAlignment="1">
      <alignment horizontal="center" vertical="center"/>
    </xf>
    <xf numFmtId="179" fontId="0" fillId="42" borderId="20" xfId="0" applyNumberFormat="1" applyFill="1" applyBorder="1" applyAlignment="1">
      <alignment horizontal="center" vertical="center"/>
    </xf>
    <xf numFmtId="179" fontId="0" fillId="42" borderId="22" xfId="0" applyNumberFormat="1" applyFill="1" applyBorder="1" applyAlignment="1">
      <alignment horizontal="center" vertical="center"/>
    </xf>
    <xf numFmtId="178" fontId="0" fillId="42" borderId="20" xfId="0" applyNumberFormat="1" applyFill="1" applyBorder="1" applyAlignment="1">
      <alignment horizontal="center" vertical="center"/>
    </xf>
    <xf numFmtId="178" fontId="0" fillId="42" borderId="22" xfId="0" applyNumberFormat="1" applyFill="1" applyBorder="1" applyAlignment="1">
      <alignment horizontal="center" vertical="center"/>
    </xf>
    <xf numFmtId="49" fontId="0" fillId="0" borderId="16" xfId="0" applyNumberFormat="1" applyBorder="1" applyAlignment="1">
      <alignment horizontal="center" vertical="center"/>
    </xf>
    <xf numFmtId="14" fontId="0" fillId="0" borderId="16" xfId="0" applyNumberFormat="1" applyBorder="1">
      <alignment vertical="center"/>
    </xf>
    <xf numFmtId="14" fontId="0" fillId="0" borderId="17" xfId="0" applyNumberFormat="1" applyBorder="1">
      <alignment vertical="center"/>
    </xf>
  </cellXfs>
  <cellStyles count="42">
    <cellStyle name="20% - 着色 1" xfId="19" builtinId="30" customBuiltin="1"/>
    <cellStyle name="20% - 着色 2" xfId="23" builtinId="34" customBuiltin="1"/>
    <cellStyle name="20% - 着色 3" xfId="27" builtinId="38" customBuiltin="1"/>
    <cellStyle name="20% - 着色 4" xfId="31" builtinId="42" customBuiltin="1"/>
    <cellStyle name="20% - 着色 5" xfId="35" builtinId="46" customBuiltin="1"/>
    <cellStyle name="20% - 着色 6" xfId="39" builtinId="50" customBuiltin="1"/>
    <cellStyle name="40% - 着色 1" xfId="20" builtinId="31" customBuiltin="1"/>
    <cellStyle name="40% - 着色 2" xfId="24" builtinId="35" customBuiltin="1"/>
    <cellStyle name="40% - 着色 3" xfId="28" builtinId="39" customBuiltin="1"/>
    <cellStyle name="40% - 着色 4" xfId="32" builtinId="43" customBuiltin="1"/>
    <cellStyle name="40% - 着色 5" xfId="36" builtinId="47" customBuiltin="1"/>
    <cellStyle name="40% - 着色 6" xfId="40" builtinId="51" customBuiltin="1"/>
    <cellStyle name="60% - 着色 1" xfId="21" builtinId="32" customBuiltin="1"/>
    <cellStyle name="60% - 着色 2" xfId="25" builtinId="36" customBuiltin="1"/>
    <cellStyle name="60% - 着色 3" xfId="29" builtinId="40" customBuiltin="1"/>
    <cellStyle name="60% - 着色 4" xfId="33" builtinId="44" customBuiltin="1"/>
    <cellStyle name="60% - 着色 5" xfId="37" builtinId="48" customBuiltin="1"/>
    <cellStyle name="60% - 着色 6" xfId="41" builtinId="52" customBuiltin="1"/>
    <cellStyle name="标题" xfId="3" builtinId="15" customBuiltin="1"/>
    <cellStyle name="标题 1" xfId="4" builtinId="16" customBuiltin="1"/>
    <cellStyle name="标题 2" xfId="5" builtinId="17" customBuiltin="1"/>
    <cellStyle name="标题 3" xfId="6" builtinId="18" customBuiltin="1"/>
    <cellStyle name="标题 4" xfId="7" builtinId="19" customBuiltin="1"/>
    <cellStyle name="差" xfId="2" builtinId="27" customBuiltin="1"/>
    <cellStyle name="常规" xfId="0" builtinId="0"/>
    <cellStyle name="好" xfId="1"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适中" xfId="8" builtinId="28" customBuiltin="1"/>
    <cellStyle name="输出" xfId="10" builtinId="21" customBuiltin="1"/>
    <cellStyle name="输入" xfId="9" builtinId="20" customBuiltin="1"/>
    <cellStyle name="着色 1" xfId="18" builtinId="29" customBuiltin="1"/>
    <cellStyle name="着色 2" xfId="22" builtinId="33" customBuiltin="1"/>
    <cellStyle name="着色 3" xfId="26" builtinId="37" customBuiltin="1"/>
    <cellStyle name="着色 4" xfId="30" builtinId="41" customBuiltin="1"/>
    <cellStyle name="着色 5" xfId="34" builtinId="45" customBuiltin="1"/>
    <cellStyle name="着色 6" xfId="38" builtinId="49" customBuiltin="1"/>
    <cellStyle name="注释" xfId="15" builtinId="10" customBuiltin="1"/>
  </cellStyles>
  <dxfs count="181">
    <dxf>
      <numFmt numFmtId="30" formatCode="@"/>
    </dxf>
    <dxf>
      <numFmt numFmtId="30" formatCode="@"/>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30" formatCode="@"/>
    </dxf>
    <dxf>
      <numFmt numFmtId="30" formatCode="@"/>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30" formatCode="@"/>
    </dxf>
    <dxf>
      <numFmt numFmtId="30" formatCode="@"/>
      <border diagonalUp="0" diagonalDown="0" outline="0">
        <left/>
        <right/>
        <top/>
        <bottom/>
      </border>
    </dxf>
    <dxf>
      <border outline="0">
        <left style="medium">
          <color indexed="64"/>
        </left>
        <right style="medium">
          <color indexed="64"/>
        </right>
        <top style="medium">
          <color indexed="64"/>
        </top>
        <bottom style="medium">
          <color indexed="64"/>
        </bottom>
      </border>
    </dxf>
    <dxf>
      <numFmt numFmtId="19" formatCode="yyyy/m/d"/>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1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股权价值增加表!$A$7</c:f>
              <c:strCache>
                <c:ptCount val="1"/>
                <c:pt idx="0">
                  <c:v>   毛利率</c:v>
                </c:pt>
              </c:strCache>
            </c:strRef>
          </c:tx>
          <c:val>
            <c:numRef>
              <c:f>股权价值增加表!$B$7:$Y$7</c:f>
              <c:numCache>
                <c:formatCode>0.00%</c:formatCode>
                <c:ptCount val="13"/>
                <c:pt idx="0">
                  <c:v>0.46027880196447662</c:v>
                </c:pt>
                <c:pt idx="1">
                  <c:v>0.47603951276111672</c:v>
                </c:pt>
                <c:pt idx="2">
                  <c:v>0.4671137818263727</c:v>
                </c:pt>
                <c:pt idx="3">
                  <c:v>0.4559064115895709</c:v>
                </c:pt>
                <c:pt idx="4">
                  <c:v>0.47382714846472457</c:v>
                </c:pt>
                <c:pt idx="5">
                  <c:v>0.47465956709160112</c:v>
                </c:pt>
                <c:pt idx="6">
                  <c:v>0.50317215676675964</c:v>
                </c:pt>
                <c:pt idx="7">
                  <c:v>0</c:v>
                </c:pt>
                <c:pt idx="8">
                  <c:v>0</c:v>
                </c:pt>
                <c:pt idx="9">
                  <c:v>0</c:v>
                </c:pt>
                <c:pt idx="10">
                  <c:v>0</c:v>
                </c:pt>
                <c:pt idx="11">
                  <c:v>0</c:v>
                </c:pt>
                <c:pt idx="12">
                  <c:v>0</c:v>
                </c:pt>
              </c:numCache>
            </c:numRef>
          </c:val>
          <c:smooth val="0"/>
          <c:extLst>
            <c:ext xmlns:c16="http://schemas.microsoft.com/office/drawing/2014/chart" uri="{C3380CC4-5D6E-409C-BE32-E72D297353CC}">
              <c16:uniqueId val="{00000000-9CEB-49A7-8EFA-0D38373D5F7D}"/>
            </c:ext>
          </c:extLst>
        </c:ser>
        <c:dLbls>
          <c:showLegendKey val="0"/>
          <c:showVal val="0"/>
          <c:showCatName val="0"/>
          <c:showSerName val="0"/>
          <c:showPercent val="0"/>
          <c:showBubbleSize val="0"/>
        </c:dLbls>
        <c:marker val="1"/>
        <c:smooth val="0"/>
        <c:axId val="226596352"/>
        <c:axId val="220257024"/>
      </c:lineChart>
      <c:catAx>
        <c:axId val="226596352"/>
        <c:scaling>
          <c:orientation val="minMax"/>
        </c:scaling>
        <c:delete val="0"/>
        <c:axPos val="b"/>
        <c:majorTickMark val="out"/>
        <c:minorTickMark val="none"/>
        <c:tickLblPos val="nextTo"/>
        <c:crossAx val="220257024"/>
        <c:crosses val="autoZero"/>
        <c:auto val="1"/>
        <c:lblAlgn val="ctr"/>
        <c:lblOffset val="100"/>
        <c:noMultiLvlLbl val="0"/>
      </c:catAx>
      <c:valAx>
        <c:axId val="220257024"/>
        <c:scaling>
          <c:orientation val="minMax"/>
        </c:scaling>
        <c:delete val="0"/>
        <c:axPos val="l"/>
        <c:majorGridlines/>
        <c:numFmt formatCode="0.00%" sourceLinked="1"/>
        <c:majorTickMark val="out"/>
        <c:minorTickMark val="none"/>
        <c:tickLblPos val="nextTo"/>
        <c:crossAx val="2265963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0602420716518716"/>
          <c:y val="3.3912667315843532E-2"/>
        </c:manualLayout>
      </c:layout>
      <c:overlay val="0"/>
    </c:title>
    <c:autoTitleDeleted val="0"/>
    <c:plotArea>
      <c:layout/>
      <c:lineChart>
        <c:grouping val="stacked"/>
        <c:varyColors val="0"/>
        <c:ser>
          <c:idx val="0"/>
          <c:order val="0"/>
          <c:tx>
            <c:strRef>
              <c:f>股权价值增加表!$A$18</c:f>
              <c:strCache>
                <c:ptCount val="1"/>
                <c:pt idx="0">
                  <c:v>    息前税后经营利润率=13/1*100%</c:v>
                </c:pt>
              </c:strCache>
            </c:strRef>
          </c:tx>
          <c:val>
            <c:numRef>
              <c:f>股权价值增加表!$B$18:$Y$18</c:f>
              <c:numCache>
                <c:formatCode>0.00%</c:formatCode>
                <c:ptCount val="13"/>
                <c:pt idx="0">
                  <c:v>0.17525343041100466</c:v>
                </c:pt>
                <c:pt idx="1">
                  <c:v>0.19586382616854753</c:v>
                </c:pt>
                <c:pt idx="2">
                  <c:v>0.19676808984178054</c:v>
                </c:pt>
                <c:pt idx="3">
                  <c:v>0.19478875442815524</c:v>
                </c:pt>
                <c:pt idx="4">
                  <c:v>0.19214313898353419</c:v>
                </c:pt>
                <c:pt idx="5">
                  <c:v>0.1986145470454749</c:v>
                </c:pt>
                <c:pt idx="6">
                  <c:v>0.21804035417062992</c:v>
                </c:pt>
                <c:pt idx="7">
                  <c:v>0</c:v>
                </c:pt>
                <c:pt idx="8">
                  <c:v>0</c:v>
                </c:pt>
                <c:pt idx="9">
                  <c:v>0</c:v>
                </c:pt>
                <c:pt idx="10">
                  <c:v>0</c:v>
                </c:pt>
                <c:pt idx="11">
                  <c:v>0</c:v>
                </c:pt>
                <c:pt idx="12">
                  <c:v>0</c:v>
                </c:pt>
              </c:numCache>
            </c:numRef>
          </c:val>
          <c:smooth val="0"/>
          <c:extLst>
            <c:ext xmlns:c16="http://schemas.microsoft.com/office/drawing/2014/chart" uri="{C3380CC4-5D6E-409C-BE32-E72D297353CC}">
              <c16:uniqueId val="{00000000-09E8-42E8-95C8-9DB417D006CD}"/>
            </c:ext>
          </c:extLst>
        </c:ser>
        <c:dLbls>
          <c:showLegendKey val="0"/>
          <c:showVal val="0"/>
          <c:showCatName val="0"/>
          <c:showSerName val="0"/>
          <c:showPercent val="0"/>
          <c:showBubbleSize val="0"/>
        </c:dLbls>
        <c:marker val="1"/>
        <c:smooth val="0"/>
        <c:axId val="226597376"/>
        <c:axId val="226886208"/>
      </c:lineChart>
      <c:catAx>
        <c:axId val="226597376"/>
        <c:scaling>
          <c:orientation val="minMax"/>
        </c:scaling>
        <c:delete val="0"/>
        <c:axPos val="b"/>
        <c:majorTickMark val="out"/>
        <c:minorTickMark val="none"/>
        <c:tickLblPos val="nextTo"/>
        <c:crossAx val="226886208"/>
        <c:crosses val="autoZero"/>
        <c:auto val="1"/>
        <c:lblAlgn val="ctr"/>
        <c:lblOffset val="100"/>
        <c:noMultiLvlLbl val="0"/>
      </c:catAx>
      <c:valAx>
        <c:axId val="226886208"/>
        <c:scaling>
          <c:orientation val="minMax"/>
        </c:scaling>
        <c:delete val="0"/>
        <c:axPos val="l"/>
        <c:majorGridlines/>
        <c:numFmt formatCode="0.00%" sourceLinked="1"/>
        <c:majorTickMark val="out"/>
        <c:minorTickMark val="none"/>
        <c:tickLblPos val="nextTo"/>
        <c:crossAx val="22659737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股权价值增加表!$A$32</c:f>
              <c:strCache>
                <c:ptCount val="1"/>
                <c:pt idx="0">
                  <c:v>    息税前利润率=23/1*100%</c:v>
                </c:pt>
              </c:strCache>
            </c:strRef>
          </c:tx>
          <c:val>
            <c:numRef>
              <c:f>股权价值增加表!$B$32:$Y$32</c:f>
              <c:numCache>
                <c:formatCode>0.00%</c:formatCode>
                <c:ptCount val="13"/>
                <c:pt idx="0">
                  <c:v>0.22096240780960927</c:v>
                </c:pt>
                <c:pt idx="1">
                  <c:v>0.23227361159850929</c:v>
                </c:pt>
                <c:pt idx="2">
                  <c:v>0.23366781761171718</c:v>
                </c:pt>
                <c:pt idx="3">
                  <c:v>0.23010448239094775</c:v>
                </c:pt>
                <c:pt idx="4">
                  <c:v>0.23042017511296525</c:v>
                </c:pt>
                <c:pt idx="5">
                  <c:v>0.24421779960748016</c:v>
                </c:pt>
                <c:pt idx="6">
                  <c:v>0.26381320271879261</c:v>
                </c:pt>
                <c:pt idx="7">
                  <c:v>0</c:v>
                </c:pt>
                <c:pt idx="8">
                  <c:v>0</c:v>
                </c:pt>
                <c:pt idx="9">
                  <c:v>0</c:v>
                </c:pt>
                <c:pt idx="10">
                  <c:v>0</c:v>
                </c:pt>
                <c:pt idx="11">
                  <c:v>0</c:v>
                </c:pt>
                <c:pt idx="12">
                  <c:v>0</c:v>
                </c:pt>
              </c:numCache>
            </c:numRef>
          </c:val>
          <c:smooth val="0"/>
          <c:extLst>
            <c:ext xmlns:c16="http://schemas.microsoft.com/office/drawing/2014/chart" uri="{C3380CC4-5D6E-409C-BE32-E72D297353CC}">
              <c16:uniqueId val="{00000000-D860-4AFC-A1A2-C16E64E01DA7}"/>
            </c:ext>
          </c:extLst>
        </c:ser>
        <c:ser>
          <c:idx val="2"/>
          <c:order val="1"/>
          <c:tx>
            <c:strRef>
              <c:f>股权价值增加表!$A$34</c:f>
              <c:strCache>
                <c:ptCount val="1"/>
                <c:pt idx="0">
                  <c:v>    息前税后利润率=24/1*100%</c:v>
                </c:pt>
              </c:strCache>
            </c:strRef>
          </c:tx>
          <c:val>
            <c:numRef>
              <c:f>股权价值增加表!$B$34:$Y$34</c:f>
              <c:numCache>
                <c:formatCode>0.00%</c:formatCode>
                <c:ptCount val="13"/>
                <c:pt idx="0">
                  <c:v>0.18695113404979027</c:v>
                </c:pt>
                <c:pt idx="1">
                  <c:v>0.19802119408505692</c:v>
                </c:pt>
                <c:pt idx="2">
                  <c:v>0.19769711272695309</c:v>
                </c:pt>
                <c:pt idx="3">
                  <c:v>0.19478875442815524</c:v>
                </c:pt>
                <c:pt idx="4">
                  <c:v>0.19214313898353419</c:v>
                </c:pt>
                <c:pt idx="5">
                  <c:v>0.1986145470454749</c:v>
                </c:pt>
                <c:pt idx="6">
                  <c:v>0.21804035417062992</c:v>
                </c:pt>
                <c:pt idx="7">
                  <c:v>0</c:v>
                </c:pt>
                <c:pt idx="8">
                  <c:v>0</c:v>
                </c:pt>
                <c:pt idx="9">
                  <c:v>0</c:v>
                </c:pt>
                <c:pt idx="10">
                  <c:v>0</c:v>
                </c:pt>
                <c:pt idx="11">
                  <c:v>0</c:v>
                </c:pt>
                <c:pt idx="12">
                  <c:v>0</c:v>
                </c:pt>
              </c:numCache>
            </c:numRef>
          </c:val>
          <c:smooth val="0"/>
          <c:extLst>
            <c:ext xmlns:c16="http://schemas.microsoft.com/office/drawing/2014/chart" uri="{C3380CC4-5D6E-409C-BE32-E72D297353CC}">
              <c16:uniqueId val="{00000001-D860-4AFC-A1A2-C16E64E01DA7}"/>
            </c:ext>
          </c:extLst>
        </c:ser>
        <c:ser>
          <c:idx val="7"/>
          <c:order val="2"/>
          <c:tx>
            <c:strRef>
              <c:f>股权价值增加表!$A$39</c:f>
              <c:strCache>
                <c:ptCount val="1"/>
                <c:pt idx="0">
                  <c:v>    （息后）税前利润率=28/1*100%</c:v>
                </c:pt>
              </c:strCache>
            </c:strRef>
          </c:tx>
          <c:val>
            <c:numRef>
              <c:f>股权价值增加表!$B$39:$Y$39</c:f>
              <c:numCache>
                <c:formatCode>0.00%</c:formatCode>
                <c:ptCount val="13"/>
                <c:pt idx="0">
                  <c:v>0.2199828310864515</c:v>
                </c:pt>
                <c:pt idx="1">
                  <c:v>0.22456186266648392</c:v>
                </c:pt>
                <c:pt idx="2">
                  <c:v>0.22319992043673903</c:v>
                </c:pt>
                <c:pt idx="3">
                  <c:v>0.21202736122965787</c:v>
                </c:pt>
                <c:pt idx="4">
                  <c:v>0.2077833423365289</c:v>
                </c:pt>
                <c:pt idx="5">
                  <c:v>0.2442284025039296</c:v>
                </c:pt>
                <c:pt idx="6">
                  <c:v>0.26568032405587588</c:v>
                </c:pt>
                <c:pt idx="7">
                  <c:v>0</c:v>
                </c:pt>
                <c:pt idx="8">
                  <c:v>0</c:v>
                </c:pt>
                <c:pt idx="9">
                  <c:v>0</c:v>
                </c:pt>
                <c:pt idx="10">
                  <c:v>0</c:v>
                </c:pt>
                <c:pt idx="11">
                  <c:v>0</c:v>
                </c:pt>
                <c:pt idx="12">
                  <c:v>0</c:v>
                </c:pt>
              </c:numCache>
            </c:numRef>
          </c:val>
          <c:smooth val="0"/>
          <c:extLst>
            <c:ext xmlns:c16="http://schemas.microsoft.com/office/drawing/2014/chart" uri="{C3380CC4-5D6E-409C-BE32-E72D297353CC}">
              <c16:uniqueId val="{00000002-D860-4AFC-A1A2-C16E64E01DA7}"/>
            </c:ext>
          </c:extLst>
        </c:ser>
        <c:ser>
          <c:idx val="11"/>
          <c:order val="3"/>
          <c:tx>
            <c:strRef>
              <c:f>股权价值增加表!$A$43</c:f>
              <c:strCache>
                <c:ptCount val="1"/>
                <c:pt idx="0">
                  <c:v>    净利润率=30/1*100%</c:v>
                </c:pt>
              </c:strCache>
            </c:strRef>
          </c:tx>
          <c:val>
            <c:numRef>
              <c:f>股权价值增加表!$B$43:$Y$43</c:f>
              <c:numCache>
                <c:formatCode>0.00%</c:formatCode>
                <c:ptCount val="13"/>
                <c:pt idx="0">
                  <c:v>0.18612233705622691</c:v>
                </c:pt>
                <c:pt idx="1">
                  <c:v>0.19144666449689415</c:v>
                </c:pt>
                <c:pt idx="2">
                  <c:v>0.18884063831396986</c:v>
                </c:pt>
                <c:pt idx="3">
                  <c:v>0.17948605420229893</c:v>
                </c:pt>
                <c:pt idx="4">
                  <c:v>0.17326670117084073</c:v>
                </c:pt>
                <c:pt idx="5">
                  <c:v>0.19862317004297572</c:v>
                </c:pt>
                <c:pt idx="6">
                  <c:v>0.21958352105318776</c:v>
                </c:pt>
                <c:pt idx="7">
                  <c:v>0</c:v>
                </c:pt>
                <c:pt idx="8">
                  <c:v>0</c:v>
                </c:pt>
                <c:pt idx="9">
                  <c:v>0</c:v>
                </c:pt>
                <c:pt idx="10">
                  <c:v>0</c:v>
                </c:pt>
                <c:pt idx="11">
                  <c:v>0</c:v>
                </c:pt>
                <c:pt idx="12">
                  <c:v>0</c:v>
                </c:pt>
              </c:numCache>
            </c:numRef>
          </c:val>
          <c:smooth val="0"/>
          <c:extLst>
            <c:ext xmlns:c16="http://schemas.microsoft.com/office/drawing/2014/chart" uri="{C3380CC4-5D6E-409C-BE32-E72D297353CC}">
              <c16:uniqueId val="{00000003-D860-4AFC-A1A2-C16E64E01DA7}"/>
            </c:ext>
          </c:extLst>
        </c:ser>
        <c:dLbls>
          <c:showLegendKey val="0"/>
          <c:showVal val="0"/>
          <c:showCatName val="0"/>
          <c:showSerName val="0"/>
          <c:showPercent val="0"/>
          <c:showBubbleSize val="0"/>
        </c:dLbls>
        <c:marker val="1"/>
        <c:smooth val="0"/>
        <c:axId val="226598400"/>
        <c:axId val="226887936"/>
      </c:lineChart>
      <c:catAx>
        <c:axId val="226598400"/>
        <c:scaling>
          <c:orientation val="minMax"/>
        </c:scaling>
        <c:delete val="0"/>
        <c:axPos val="b"/>
        <c:majorTickMark val="out"/>
        <c:minorTickMark val="none"/>
        <c:tickLblPos val="nextTo"/>
        <c:crossAx val="226887936"/>
        <c:crosses val="autoZero"/>
        <c:auto val="1"/>
        <c:lblAlgn val="ctr"/>
        <c:lblOffset val="100"/>
        <c:noMultiLvlLbl val="0"/>
      </c:catAx>
      <c:valAx>
        <c:axId val="226887936"/>
        <c:scaling>
          <c:orientation val="minMax"/>
        </c:scaling>
        <c:delete val="0"/>
        <c:axPos val="l"/>
        <c:majorGridlines/>
        <c:numFmt formatCode="0.00%" sourceLinked="1"/>
        <c:majorTickMark val="out"/>
        <c:minorTickMark val="none"/>
        <c:tickLblPos val="nextTo"/>
        <c:crossAx val="226598400"/>
        <c:crosses val="autoZero"/>
        <c:crossBetween val="between"/>
      </c:valAx>
    </c:plotArea>
    <c:legend>
      <c:legendPos val="r"/>
      <c:layout>
        <c:manualLayout>
          <c:xMode val="edge"/>
          <c:yMode val="edge"/>
          <c:x val="0.63659612719299752"/>
          <c:y val="0.11744197114340849"/>
          <c:w val="0.33313142875606738"/>
          <c:h val="0.76511570122130557"/>
        </c:manualLayout>
      </c:layout>
      <c:overlay val="0"/>
    </c:legend>
    <c:plotVisOnly val="1"/>
    <c:dispBlanksAs val="zero"/>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股权价值增加表!$A$61</c:f>
              <c:strCache>
                <c:ptCount val="1"/>
                <c:pt idx="0">
                  <c:v>利润总额(万元)</c:v>
                </c:pt>
              </c:strCache>
            </c:strRef>
          </c:cat>
          <c:val>
            <c:numRef>
              <c:f>股权价值增加表!$B$61</c:f>
            </c:numRef>
          </c:val>
          <c:extLst>
            <c:ext xmlns:c16="http://schemas.microsoft.com/office/drawing/2014/chart" uri="{C3380CC4-5D6E-409C-BE32-E72D297353CC}">
              <c16:uniqueId val="{00000000-3FEB-45BD-88F0-19A8C9DFB6F2}"/>
            </c:ext>
          </c:extLst>
        </c:ser>
        <c:ser>
          <c:idx val="1"/>
          <c:order val="1"/>
          <c:invertIfNegative val="0"/>
          <c:cat>
            <c:strRef>
              <c:f>股权价值增加表!$A$61</c:f>
              <c:strCache>
                <c:ptCount val="1"/>
                <c:pt idx="0">
                  <c:v>利润总额(万元)</c:v>
                </c:pt>
              </c:strCache>
            </c:strRef>
          </c:cat>
          <c:val>
            <c:numRef>
              <c:f>股权价值增加表!$C$61</c:f>
            </c:numRef>
          </c:val>
          <c:extLst>
            <c:ext xmlns:c16="http://schemas.microsoft.com/office/drawing/2014/chart" uri="{C3380CC4-5D6E-409C-BE32-E72D297353CC}">
              <c16:uniqueId val="{00000001-3FEB-45BD-88F0-19A8C9DFB6F2}"/>
            </c:ext>
          </c:extLst>
        </c:ser>
        <c:ser>
          <c:idx val="2"/>
          <c:order val="2"/>
          <c:invertIfNegative val="0"/>
          <c:cat>
            <c:strRef>
              <c:f>股权价值增加表!$A$61</c:f>
              <c:strCache>
                <c:ptCount val="1"/>
                <c:pt idx="0">
                  <c:v>利润总额(万元)</c:v>
                </c:pt>
              </c:strCache>
            </c:strRef>
          </c:cat>
          <c:val>
            <c:numRef>
              <c:f>股权价值增加表!$D$61</c:f>
            </c:numRef>
          </c:val>
          <c:extLst>
            <c:ext xmlns:c16="http://schemas.microsoft.com/office/drawing/2014/chart" uri="{C3380CC4-5D6E-409C-BE32-E72D297353CC}">
              <c16:uniqueId val="{00000002-3FEB-45BD-88F0-19A8C9DFB6F2}"/>
            </c:ext>
          </c:extLst>
        </c:ser>
        <c:ser>
          <c:idx val="3"/>
          <c:order val="3"/>
          <c:invertIfNegative val="0"/>
          <c:cat>
            <c:strRef>
              <c:f>股权价值增加表!$A$61</c:f>
              <c:strCache>
                <c:ptCount val="1"/>
                <c:pt idx="0">
                  <c:v>利润总额(万元)</c:v>
                </c:pt>
              </c:strCache>
            </c:strRef>
          </c:cat>
          <c:val>
            <c:numRef>
              <c:f>股权价值增加表!$E$61</c:f>
              <c:numCache>
                <c:formatCode>General</c:formatCode>
                <c:ptCount val="1"/>
                <c:pt idx="0">
                  <c:v>180701153.99000001</c:v>
                </c:pt>
              </c:numCache>
            </c:numRef>
          </c:val>
          <c:extLst>
            <c:ext xmlns:c16="http://schemas.microsoft.com/office/drawing/2014/chart" uri="{C3380CC4-5D6E-409C-BE32-E72D297353CC}">
              <c16:uniqueId val="{00000003-3FEB-45BD-88F0-19A8C9DFB6F2}"/>
            </c:ext>
          </c:extLst>
        </c:ser>
        <c:ser>
          <c:idx val="4"/>
          <c:order val="4"/>
          <c:invertIfNegative val="0"/>
          <c:cat>
            <c:strRef>
              <c:f>股权价值增加表!$A$61</c:f>
              <c:strCache>
                <c:ptCount val="1"/>
                <c:pt idx="0">
                  <c:v>利润总额(万元)</c:v>
                </c:pt>
              </c:strCache>
            </c:strRef>
          </c:cat>
          <c:val>
            <c:numRef>
              <c:f>股权价值增加表!$F$61</c:f>
            </c:numRef>
          </c:val>
          <c:extLst>
            <c:ext xmlns:c16="http://schemas.microsoft.com/office/drawing/2014/chart" uri="{C3380CC4-5D6E-409C-BE32-E72D297353CC}">
              <c16:uniqueId val="{00000004-3FEB-45BD-88F0-19A8C9DFB6F2}"/>
            </c:ext>
          </c:extLst>
        </c:ser>
        <c:ser>
          <c:idx val="5"/>
          <c:order val="5"/>
          <c:invertIfNegative val="0"/>
          <c:cat>
            <c:strRef>
              <c:f>股权价值增加表!$A$61</c:f>
              <c:strCache>
                <c:ptCount val="1"/>
                <c:pt idx="0">
                  <c:v>利润总额(万元)</c:v>
                </c:pt>
              </c:strCache>
            </c:strRef>
          </c:cat>
          <c:val>
            <c:numRef>
              <c:f>股权价值增加表!$G$61</c:f>
            </c:numRef>
          </c:val>
          <c:extLst>
            <c:ext xmlns:c16="http://schemas.microsoft.com/office/drawing/2014/chart" uri="{C3380CC4-5D6E-409C-BE32-E72D297353CC}">
              <c16:uniqueId val="{00000005-3FEB-45BD-88F0-19A8C9DFB6F2}"/>
            </c:ext>
          </c:extLst>
        </c:ser>
        <c:ser>
          <c:idx val="6"/>
          <c:order val="6"/>
          <c:invertIfNegative val="0"/>
          <c:cat>
            <c:strRef>
              <c:f>股权价值增加表!$A$61</c:f>
              <c:strCache>
                <c:ptCount val="1"/>
                <c:pt idx="0">
                  <c:v>利润总额(万元)</c:v>
                </c:pt>
              </c:strCache>
            </c:strRef>
          </c:cat>
          <c:val>
            <c:numRef>
              <c:f>股权价值增加表!$H$61</c:f>
            </c:numRef>
          </c:val>
          <c:extLst>
            <c:ext xmlns:c16="http://schemas.microsoft.com/office/drawing/2014/chart" uri="{C3380CC4-5D6E-409C-BE32-E72D297353CC}">
              <c16:uniqueId val="{00000006-3FEB-45BD-88F0-19A8C9DFB6F2}"/>
            </c:ext>
          </c:extLst>
        </c:ser>
        <c:ser>
          <c:idx val="7"/>
          <c:order val="7"/>
          <c:invertIfNegative val="0"/>
          <c:cat>
            <c:strRef>
              <c:f>股权价值增加表!$A$61</c:f>
              <c:strCache>
                <c:ptCount val="1"/>
                <c:pt idx="0">
                  <c:v>利润总额(万元)</c:v>
                </c:pt>
              </c:strCache>
            </c:strRef>
          </c:cat>
          <c:val>
            <c:numRef>
              <c:f>股权价值增加表!$I$61</c:f>
              <c:numCache>
                <c:formatCode>General</c:formatCode>
                <c:ptCount val="1"/>
                <c:pt idx="0">
                  <c:v>149796047.52000001</c:v>
                </c:pt>
              </c:numCache>
            </c:numRef>
          </c:val>
          <c:extLst>
            <c:ext xmlns:c16="http://schemas.microsoft.com/office/drawing/2014/chart" uri="{C3380CC4-5D6E-409C-BE32-E72D297353CC}">
              <c16:uniqueId val="{00000007-3FEB-45BD-88F0-19A8C9DFB6F2}"/>
            </c:ext>
          </c:extLst>
        </c:ser>
        <c:ser>
          <c:idx val="8"/>
          <c:order val="8"/>
          <c:invertIfNegative val="0"/>
          <c:cat>
            <c:strRef>
              <c:f>股权价值增加表!$A$61</c:f>
              <c:strCache>
                <c:ptCount val="1"/>
                <c:pt idx="0">
                  <c:v>利润总额(万元)</c:v>
                </c:pt>
              </c:strCache>
            </c:strRef>
          </c:cat>
          <c:val>
            <c:numRef>
              <c:f>股权价值增加表!$J$61</c:f>
            </c:numRef>
          </c:val>
          <c:extLst>
            <c:ext xmlns:c16="http://schemas.microsoft.com/office/drawing/2014/chart" uri="{C3380CC4-5D6E-409C-BE32-E72D297353CC}">
              <c16:uniqueId val="{00000008-3FEB-45BD-88F0-19A8C9DFB6F2}"/>
            </c:ext>
          </c:extLst>
        </c:ser>
        <c:ser>
          <c:idx val="9"/>
          <c:order val="9"/>
          <c:invertIfNegative val="0"/>
          <c:cat>
            <c:strRef>
              <c:f>股权价值增加表!$A$61</c:f>
              <c:strCache>
                <c:ptCount val="1"/>
                <c:pt idx="0">
                  <c:v>利润总额(万元)</c:v>
                </c:pt>
              </c:strCache>
            </c:strRef>
          </c:cat>
          <c:val>
            <c:numRef>
              <c:f>股权价值增加表!$K$61</c:f>
            </c:numRef>
          </c:val>
          <c:extLst>
            <c:ext xmlns:c16="http://schemas.microsoft.com/office/drawing/2014/chart" uri="{C3380CC4-5D6E-409C-BE32-E72D297353CC}">
              <c16:uniqueId val="{00000009-3FEB-45BD-88F0-19A8C9DFB6F2}"/>
            </c:ext>
          </c:extLst>
        </c:ser>
        <c:ser>
          <c:idx val="10"/>
          <c:order val="10"/>
          <c:invertIfNegative val="0"/>
          <c:cat>
            <c:strRef>
              <c:f>股权价值增加表!$A$61</c:f>
              <c:strCache>
                <c:ptCount val="1"/>
                <c:pt idx="0">
                  <c:v>利润总额(万元)</c:v>
                </c:pt>
              </c:strCache>
            </c:strRef>
          </c:cat>
          <c:val>
            <c:numRef>
              <c:f>股权价值增加表!$L$61</c:f>
            </c:numRef>
          </c:val>
          <c:extLst>
            <c:ext xmlns:c16="http://schemas.microsoft.com/office/drawing/2014/chart" uri="{C3380CC4-5D6E-409C-BE32-E72D297353CC}">
              <c16:uniqueId val="{0000000A-3FEB-45BD-88F0-19A8C9DFB6F2}"/>
            </c:ext>
          </c:extLst>
        </c:ser>
        <c:ser>
          <c:idx val="11"/>
          <c:order val="11"/>
          <c:invertIfNegative val="0"/>
          <c:cat>
            <c:strRef>
              <c:f>股权价值增加表!$A$61</c:f>
              <c:strCache>
                <c:ptCount val="1"/>
                <c:pt idx="0">
                  <c:v>利润总额(万元)</c:v>
                </c:pt>
              </c:strCache>
            </c:strRef>
          </c:cat>
          <c:val>
            <c:numRef>
              <c:f>股权价值增加表!$M$61</c:f>
              <c:numCache>
                <c:formatCode>General</c:formatCode>
                <c:ptCount val="1"/>
                <c:pt idx="0">
                  <c:v>138852954.72999999</c:v>
                </c:pt>
              </c:numCache>
            </c:numRef>
          </c:val>
          <c:extLst>
            <c:ext xmlns:c16="http://schemas.microsoft.com/office/drawing/2014/chart" uri="{C3380CC4-5D6E-409C-BE32-E72D297353CC}">
              <c16:uniqueId val="{0000000B-3FEB-45BD-88F0-19A8C9DFB6F2}"/>
            </c:ext>
          </c:extLst>
        </c:ser>
        <c:ser>
          <c:idx val="12"/>
          <c:order val="12"/>
          <c:invertIfNegative val="0"/>
          <c:cat>
            <c:strRef>
              <c:f>股权价值增加表!$A$61</c:f>
              <c:strCache>
                <c:ptCount val="1"/>
                <c:pt idx="0">
                  <c:v>利润总额(万元)</c:v>
                </c:pt>
              </c:strCache>
            </c:strRef>
          </c:cat>
          <c:val>
            <c:numRef>
              <c:f>股权价值增加表!$N$61</c:f>
            </c:numRef>
          </c:val>
          <c:extLst>
            <c:ext xmlns:c16="http://schemas.microsoft.com/office/drawing/2014/chart" uri="{C3380CC4-5D6E-409C-BE32-E72D297353CC}">
              <c16:uniqueId val="{0000000C-3FEB-45BD-88F0-19A8C9DFB6F2}"/>
            </c:ext>
          </c:extLst>
        </c:ser>
        <c:ser>
          <c:idx val="13"/>
          <c:order val="13"/>
          <c:invertIfNegative val="0"/>
          <c:cat>
            <c:strRef>
              <c:f>股权价值增加表!$A$61</c:f>
              <c:strCache>
                <c:ptCount val="1"/>
                <c:pt idx="0">
                  <c:v>利润总额(万元)</c:v>
                </c:pt>
              </c:strCache>
            </c:strRef>
          </c:cat>
          <c:val>
            <c:numRef>
              <c:f>股权价值增加表!$O$61</c:f>
              <c:numCache>
                <c:formatCode>General</c:formatCode>
                <c:ptCount val="1"/>
                <c:pt idx="0">
                  <c:v>112122121.2</c:v>
                </c:pt>
              </c:numCache>
            </c:numRef>
          </c:val>
          <c:extLst>
            <c:ext xmlns:c16="http://schemas.microsoft.com/office/drawing/2014/chart" uri="{C3380CC4-5D6E-409C-BE32-E72D297353CC}">
              <c16:uniqueId val="{0000000D-3FEB-45BD-88F0-19A8C9DFB6F2}"/>
            </c:ext>
          </c:extLst>
        </c:ser>
        <c:ser>
          <c:idx val="14"/>
          <c:order val="14"/>
          <c:invertIfNegative val="0"/>
          <c:cat>
            <c:strRef>
              <c:f>股权价值增加表!$A$61</c:f>
              <c:strCache>
                <c:ptCount val="1"/>
                <c:pt idx="0">
                  <c:v>利润总额(万元)</c:v>
                </c:pt>
              </c:strCache>
            </c:strRef>
          </c:cat>
          <c:val>
            <c:numRef>
              <c:f>股权价值增加表!$P$61</c:f>
              <c:numCache>
                <c:formatCode>General</c:formatCode>
                <c:ptCount val="1"/>
                <c:pt idx="0">
                  <c:v>100755792.95999999</c:v>
                </c:pt>
              </c:numCache>
            </c:numRef>
          </c:val>
          <c:extLst>
            <c:ext xmlns:c16="http://schemas.microsoft.com/office/drawing/2014/chart" uri="{C3380CC4-5D6E-409C-BE32-E72D297353CC}">
              <c16:uniqueId val="{0000000E-3FEB-45BD-88F0-19A8C9DFB6F2}"/>
            </c:ext>
          </c:extLst>
        </c:ser>
        <c:ser>
          <c:idx val="15"/>
          <c:order val="15"/>
          <c:invertIfNegative val="0"/>
          <c:cat>
            <c:strRef>
              <c:f>股权价值增加表!$A$61</c:f>
              <c:strCache>
                <c:ptCount val="1"/>
                <c:pt idx="0">
                  <c:v>利润总额(万元)</c:v>
                </c:pt>
              </c:strCache>
            </c:strRef>
          </c:cat>
          <c:val>
            <c:numRef>
              <c:f>股权价值增加表!$Q$61</c:f>
              <c:numCache>
                <c:formatCode>General</c:formatCode>
                <c:ptCount val="1"/>
                <c:pt idx="0">
                  <c:v>96615239.569999993</c:v>
                </c:pt>
              </c:numCache>
            </c:numRef>
          </c:val>
          <c:extLst>
            <c:ext xmlns:c16="http://schemas.microsoft.com/office/drawing/2014/chart" uri="{C3380CC4-5D6E-409C-BE32-E72D297353CC}">
              <c16:uniqueId val="{0000000F-3FEB-45BD-88F0-19A8C9DFB6F2}"/>
            </c:ext>
          </c:extLst>
        </c:ser>
        <c:ser>
          <c:idx val="16"/>
          <c:order val="16"/>
          <c:invertIfNegative val="0"/>
          <c:cat>
            <c:strRef>
              <c:f>股权价值增加表!$A$61</c:f>
              <c:strCache>
                <c:ptCount val="1"/>
                <c:pt idx="0">
                  <c:v>利润总额(万元)</c:v>
                </c:pt>
              </c:strCache>
            </c:strRef>
          </c:cat>
          <c:val>
            <c:numRef>
              <c:f>股权价值增加表!$R$61</c:f>
              <c:numCache>
                <c:formatCode>General</c:formatCode>
                <c:ptCount val="1"/>
                <c:pt idx="0">
                  <c:v>84191840.510000005</c:v>
                </c:pt>
              </c:numCache>
            </c:numRef>
          </c:val>
          <c:extLst>
            <c:ext xmlns:c16="http://schemas.microsoft.com/office/drawing/2014/chart" uri="{C3380CC4-5D6E-409C-BE32-E72D297353CC}">
              <c16:uniqueId val="{00000010-3FEB-45BD-88F0-19A8C9DFB6F2}"/>
            </c:ext>
          </c:extLst>
        </c:ser>
        <c:ser>
          <c:idx val="17"/>
          <c:order val="17"/>
          <c:invertIfNegative val="0"/>
          <c:cat>
            <c:strRef>
              <c:f>股权价值增加表!$A$61</c:f>
              <c:strCache>
                <c:ptCount val="1"/>
                <c:pt idx="0">
                  <c:v>利润总额(万元)</c:v>
                </c:pt>
              </c:strCache>
            </c:strRef>
          </c:cat>
          <c:val>
            <c:numRef>
              <c:f>股权价值增加表!$S$61</c:f>
            </c:numRef>
          </c:val>
          <c:extLst>
            <c:ext xmlns:c16="http://schemas.microsoft.com/office/drawing/2014/chart" uri="{C3380CC4-5D6E-409C-BE32-E72D297353CC}">
              <c16:uniqueId val="{00000011-3FEB-45BD-88F0-19A8C9DFB6F2}"/>
            </c:ext>
          </c:extLst>
        </c:ser>
        <c:ser>
          <c:idx val="18"/>
          <c:order val="18"/>
          <c:invertIfNegative val="0"/>
          <c:cat>
            <c:strRef>
              <c:f>股权价值增加表!$A$61</c:f>
              <c:strCache>
                <c:ptCount val="1"/>
                <c:pt idx="0">
                  <c:v>利润总额(万元)</c:v>
                </c:pt>
              </c:strCache>
            </c:strRef>
          </c:cat>
          <c:val>
            <c:numRef>
              <c:f>股权价值增加表!$T$61</c:f>
              <c:numCache>
                <c:formatCode>General</c:formatCode>
                <c:ptCount val="1"/>
                <c:pt idx="0">
                  <c:v>3668316314.3099999</c:v>
                </c:pt>
              </c:numCache>
            </c:numRef>
          </c:val>
          <c:extLst>
            <c:ext xmlns:c16="http://schemas.microsoft.com/office/drawing/2014/chart" uri="{C3380CC4-5D6E-409C-BE32-E72D297353CC}">
              <c16:uniqueId val="{00000012-3FEB-45BD-88F0-19A8C9DFB6F2}"/>
            </c:ext>
          </c:extLst>
        </c:ser>
        <c:ser>
          <c:idx val="19"/>
          <c:order val="19"/>
          <c:invertIfNegative val="0"/>
          <c:cat>
            <c:strRef>
              <c:f>股权价值增加表!$A$61</c:f>
              <c:strCache>
                <c:ptCount val="1"/>
                <c:pt idx="0">
                  <c:v>利润总额(万元)</c:v>
                </c:pt>
              </c:strCache>
            </c:strRef>
          </c:cat>
          <c:val>
            <c:numRef>
              <c:f>股权价值增加表!$U$61</c:f>
              <c:numCache>
                <c:formatCode>General</c:formatCode>
                <c:ptCount val="1"/>
                <c:pt idx="0">
                  <c:v>11247079416.6</c:v>
                </c:pt>
              </c:numCache>
            </c:numRef>
          </c:val>
          <c:extLst>
            <c:ext xmlns:c16="http://schemas.microsoft.com/office/drawing/2014/chart" uri="{C3380CC4-5D6E-409C-BE32-E72D297353CC}">
              <c16:uniqueId val="{00000013-3FEB-45BD-88F0-19A8C9DFB6F2}"/>
            </c:ext>
          </c:extLst>
        </c:ser>
        <c:ser>
          <c:idx val="20"/>
          <c:order val="20"/>
          <c:invertIfNegative val="0"/>
          <c:cat>
            <c:strRef>
              <c:f>股权价值增加表!$A$61</c:f>
              <c:strCache>
                <c:ptCount val="1"/>
                <c:pt idx="0">
                  <c:v>利润总额(万元)</c:v>
                </c:pt>
              </c:strCache>
            </c:strRef>
          </c:cat>
          <c:val>
            <c:numRef>
              <c:f>股权价值增加表!$V$61</c:f>
              <c:numCache>
                <c:formatCode>General</c:formatCode>
                <c:ptCount val="1"/>
                <c:pt idx="0">
                  <c:v>9844446542.8700008</c:v>
                </c:pt>
              </c:numCache>
            </c:numRef>
          </c:val>
          <c:extLst>
            <c:ext xmlns:c16="http://schemas.microsoft.com/office/drawing/2014/chart" uri="{C3380CC4-5D6E-409C-BE32-E72D297353CC}">
              <c16:uniqueId val="{00000014-3FEB-45BD-88F0-19A8C9DFB6F2}"/>
            </c:ext>
          </c:extLst>
        </c:ser>
        <c:ser>
          <c:idx val="21"/>
          <c:order val="21"/>
          <c:invertIfNegative val="0"/>
          <c:cat>
            <c:strRef>
              <c:f>股权价值增加表!$A$61</c:f>
              <c:strCache>
                <c:ptCount val="1"/>
                <c:pt idx="0">
                  <c:v>利润总额(万元)</c:v>
                </c:pt>
              </c:strCache>
            </c:strRef>
          </c:cat>
          <c:val>
            <c:numRef>
              <c:f>股权价值增加表!$W$61</c:f>
              <c:numCache>
                <c:formatCode>General</c:formatCode>
                <c:ptCount val="1"/>
                <c:pt idx="0">
                  <c:v>8018840509.5699997</c:v>
                </c:pt>
              </c:numCache>
            </c:numRef>
          </c:val>
          <c:extLst>
            <c:ext xmlns:c16="http://schemas.microsoft.com/office/drawing/2014/chart" uri="{C3380CC4-5D6E-409C-BE32-E72D297353CC}">
              <c16:uniqueId val="{00000015-3FEB-45BD-88F0-19A8C9DFB6F2}"/>
            </c:ext>
          </c:extLst>
        </c:ser>
        <c:ser>
          <c:idx val="22"/>
          <c:order val="22"/>
          <c:invertIfNegative val="0"/>
          <c:cat>
            <c:strRef>
              <c:f>股权价值增加表!$A$61</c:f>
              <c:strCache>
                <c:ptCount val="1"/>
                <c:pt idx="0">
                  <c:v>利润总额(万元)</c:v>
                </c:pt>
              </c:strCache>
            </c:strRef>
          </c:cat>
          <c:val>
            <c:numRef>
              <c:f>股权价值增加表!$X$61</c:f>
              <c:numCache>
                <c:formatCode>General</c:formatCode>
                <c:ptCount val="1"/>
                <c:pt idx="0">
                  <c:v>5021265735.6800003</c:v>
                </c:pt>
              </c:numCache>
            </c:numRef>
          </c:val>
          <c:extLst>
            <c:ext xmlns:c16="http://schemas.microsoft.com/office/drawing/2014/chart" uri="{C3380CC4-5D6E-409C-BE32-E72D297353CC}">
              <c16:uniqueId val="{00000016-3FEB-45BD-88F0-19A8C9DFB6F2}"/>
            </c:ext>
          </c:extLst>
        </c:ser>
        <c:ser>
          <c:idx val="23"/>
          <c:order val="23"/>
          <c:invertIfNegative val="0"/>
          <c:cat>
            <c:strRef>
              <c:f>股权价值增加表!$A$61</c:f>
              <c:strCache>
                <c:ptCount val="1"/>
                <c:pt idx="0">
                  <c:v>利润总额(万元)</c:v>
                </c:pt>
              </c:strCache>
            </c:strRef>
          </c:cat>
          <c:val>
            <c:numRef>
              <c:f>股权价值增加表!$Y$61</c:f>
              <c:numCache>
                <c:formatCode>General</c:formatCode>
                <c:ptCount val="1"/>
                <c:pt idx="0">
                  <c:v>13738666127.280001</c:v>
                </c:pt>
              </c:numCache>
            </c:numRef>
          </c:val>
          <c:extLst>
            <c:ext xmlns:c16="http://schemas.microsoft.com/office/drawing/2014/chart" uri="{C3380CC4-5D6E-409C-BE32-E72D297353CC}">
              <c16:uniqueId val="{00000017-3FEB-45BD-88F0-19A8C9DFB6F2}"/>
            </c:ext>
          </c:extLst>
        </c:ser>
        <c:dLbls>
          <c:showLegendKey val="0"/>
          <c:showVal val="0"/>
          <c:showCatName val="0"/>
          <c:showSerName val="0"/>
          <c:showPercent val="0"/>
          <c:showBubbleSize val="0"/>
        </c:dLbls>
        <c:gapWidth val="150"/>
        <c:axId val="227361280"/>
        <c:axId val="226890240"/>
      </c:barChart>
      <c:catAx>
        <c:axId val="227361280"/>
        <c:scaling>
          <c:orientation val="minMax"/>
        </c:scaling>
        <c:delete val="0"/>
        <c:axPos val="b"/>
        <c:numFmt formatCode="General" sourceLinked="1"/>
        <c:majorTickMark val="out"/>
        <c:minorTickMark val="none"/>
        <c:tickLblPos val="nextTo"/>
        <c:crossAx val="226890240"/>
        <c:crosses val="autoZero"/>
        <c:auto val="1"/>
        <c:lblAlgn val="ctr"/>
        <c:lblOffset val="100"/>
        <c:noMultiLvlLbl val="0"/>
      </c:catAx>
      <c:valAx>
        <c:axId val="226890240"/>
        <c:scaling>
          <c:orientation val="minMax"/>
        </c:scaling>
        <c:delete val="0"/>
        <c:axPos val="l"/>
        <c:majorGridlines/>
        <c:numFmt formatCode="General" sourceLinked="1"/>
        <c:majorTickMark val="out"/>
        <c:minorTickMark val="none"/>
        <c:tickLblPos val="nextTo"/>
        <c:crossAx val="22736128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股权价值增加表!$A$47</c:f>
              <c:strCache>
                <c:ptCount val="1"/>
                <c:pt idx="0">
                  <c:v>(32) 股权价值增加=30-31</c:v>
                </c:pt>
              </c:strCache>
            </c:strRef>
          </c:tx>
          <c:invertIfNegative val="0"/>
          <c:val>
            <c:numRef>
              <c:f>股权价值增加表!$B$47:$Y$47</c:f>
              <c:numCache>
                <c:formatCode>#,##0.00_ </c:formatCode>
                <c:ptCount val="13"/>
                <c:pt idx="0">
                  <c:v>52494399.365199998</c:v>
                </c:pt>
                <c:pt idx="1">
                  <c:v>48481079.171599939</c:v>
                </c:pt>
                <c:pt idx="2">
                  <c:v>81757183.258399993</c:v>
                </c:pt>
                <c:pt idx="3">
                  <c:v>74563688.741600037</c:v>
                </c:pt>
                <c:pt idx="4">
                  <c:v>67236857.736000031</c:v>
                </c:pt>
                <c:pt idx="5">
                  <c:v>78574092.780000001</c:v>
                </c:pt>
                <c:pt idx="6">
                  <c:v>69584154.749999985</c:v>
                </c:pt>
                <c:pt idx="7">
                  <c:v>-3868038785.9252005</c:v>
                </c:pt>
                <c:pt idx="8">
                  <c:v>-5049936089.9771996</c:v>
                </c:pt>
                <c:pt idx="9">
                  <c:v>-4645524401.3476</c:v>
                </c:pt>
                <c:pt idx="10">
                  <c:v>-4262542827.1395998</c:v>
                </c:pt>
                <c:pt idx="11">
                  <c:v>-3818321607.2244005</c:v>
                </c:pt>
                <c:pt idx="12">
                  <c:v>-5119375855.2939997</c:v>
                </c:pt>
              </c:numCache>
            </c:numRef>
          </c:val>
          <c:extLst>
            <c:ext xmlns:c16="http://schemas.microsoft.com/office/drawing/2014/chart" uri="{C3380CC4-5D6E-409C-BE32-E72D297353CC}">
              <c16:uniqueId val="{00000000-3EC0-4A6F-9F59-16A48E2AB76F}"/>
            </c:ext>
          </c:extLst>
        </c:ser>
        <c:dLbls>
          <c:showLegendKey val="0"/>
          <c:showVal val="0"/>
          <c:showCatName val="0"/>
          <c:showSerName val="0"/>
          <c:showPercent val="0"/>
          <c:showBubbleSize val="0"/>
        </c:dLbls>
        <c:gapWidth val="150"/>
        <c:axId val="227362304"/>
        <c:axId val="227622912"/>
      </c:barChart>
      <c:catAx>
        <c:axId val="227362304"/>
        <c:scaling>
          <c:orientation val="minMax"/>
        </c:scaling>
        <c:delete val="0"/>
        <c:axPos val="b"/>
        <c:majorTickMark val="out"/>
        <c:minorTickMark val="none"/>
        <c:tickLblPos val="nextTo"/>
        <c:crossAx val="227622912"/>
        <c:crosses val="autoZero"/>
        <c:auto val="1"/>
        <c:lblAlgn val="ctr"/>
        <c:lblOffset val="100"/>
        <c:noMultiLvlLbl val="0"/>
      </c:catAx>
      <c:valAx>
        <c:axId val="227622912"/>
        <c:scaling>
          <c:orientation val="minMax"/>
        </c:scaling>
        <c:delete val="0"/>
        <c:axPos val="l"/>
        <c:majorGridlines/>
        <c:numFmt formatCode="#,##0.00_ " sourceLinked="1"/>
        <c:majorTickMark val="out"/>
        <c:minorTickMark val="none"/>
        <c:tickLblPos val="nextTo"/>
        <c:crossAx val="22736230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股权价值增加表!$A$70</c:f>
              <c:strCache>
                <c:ptCount val="1"/>
                <c:pt idx="0">
                  <c:v>所有者权益</c:v>
                </c:pt>
              </c:strCache>
            </c:strRef>
          </c:cat>
          <c:val>
            <c:numRef>
              <c:f>股权价值增加表!$B$70</c:f>
            </c:numRef>
          </c:val>
          <c:extLst>
            <c:ext xmlns:c16="http://schemas.microsoft.com/office/drawing/2014/chart" uri="{C3380CC4-5D6E-409C-BE32-E72D297353CC}">
              <c16:uniqueId val="{00000000-6556-46EF-9A2F-69B7C2C0F99D}"/>
            </c:ext>
          </c:extLst>
        </c:ser>
        <c:ser>
          <c:idx val="1"/>
          <c:order val="1"/>
          <c:invertIfNegative val="0"/>
          <c:cat>
            <c:strRef>
              <c:f>股权价值增加表!$A$70</c:f>
              <c:strCache>
                <c:ptCount val="1"/>
                <c:pt idx="0">
                  <c:v>所有者权益</c:v>
                </c:pt>
              </c:strCache>
            </c:strRef>
          </c:cat>
          <c:val>
            <c:numRef>
              <c:f>股权价值增加表!$C$70</c:f>
            </c:numRef>
          </c:val>
          <c:extLst>
            <c:ext xmlns:c16="http://schemas.microsoft.com/office/drawing/2014/chart" uri="{C3380CC4-5D6E-409C-BE32-E72D297353CC}">
              <c16:uniqueId val="{00000001-6556-46EF-9A2F-69B7C2C0F99D}"/>
            </c:ext>
          </c:extLst>
        </c:ser>
        <c:ser>
          <c:idx val="2"/>
          <c:order val="2"/>
          <c:invertIfNegative val="0"/>
          <c:cat>
            <c:strRef>
              <c:f>股权价值增加表!$A$70</c:f>
              <c:strCache>
                <c:ptCount val="1"/>
                <c:pt idx="0">
                  <c:v>所有者权益</c:v>
                </c:pt>
              </c:strCache>
            </c:strRef>
          </c:cat>
          <c:val>
            <c:numRef>
              <c:f>股权价值增加表!$D$70</c:f>
            </c:numRef>
          </c:val>
          <c:extLst>
            <c:ext xmlns:c16="http://schemas.microsoft.com/office/drawing/2014/chart" uri="{C3380CC4-5D6E-409C-BE32-E72D297353CC}">
              <c16:uniqueId val="{00000002-6556-46EF-9A2F-69B7C2C0F99D}"/>
            </c:ext>
          </c:extLst>
        </c:ser>
        <c:ser>
          <c:idx val="3"/>
          <c:order val="3"/>
          <c:invertIfNegative val="0"/>
          <c:cat>
            <c:strRef>
              <c:f>股权价值增加表!$A$70</c:f>
              <c:strCache>
                <c:ptCount val="1"/>
                <c:pt idx="0">
                  <c:v>所有者权益</c:v>
                </c:pt>
              </c:strCache>
            </c:strRef>
          </c:cat>
          <c:val>
            <c:numRef>
              <c:f>股权价值增加表!$E$70</c:f>
              <c:numCache>
                <c:formatCode>General</c:formatCode>
                <c:ptCount val="1"/>
                <c:pt idx="0">
                  <c:v>1094321354.0599999</c:v>
                </c:pt>
              </c:numCache>
            </c:numRef>
          </c:val>
          <c:extLst>
            <c:ext xmlns:c16="http://schemas.microsoft.com/office/drawing/2014/chart" uri="{C3380CC4-5D6E-409C-BE32-E72D297353CC}">
              <c16:uniqueId val="{00000003-6556-46EF-9A2F-69B7C2C0F99D}"/>
            </c:ext>
          </c:extLst>
        </c:ser>
        <c:ser>
          <c:idx val="4"/>
          <c:order val="4"/>
          <c:invertIfNegative val="0"/>
          <c:cat>
            <c:strRef>
              <c:f>股权价值增加表!$A$70</c:f>
              <c:strCache>
                <c:ptCount val="1"/>
                <c:pt idx="0">
                  <c:v>所有者权益</c:v>
                </c:pt>
              </c:strCache>
            </c:strRef>
          </c:cat>
          <c:val>
            <c:numRef>
              <c:f>股权价值增加表!$F$70</c:f>
            </c:numRef>
          </c:val>
          <c:extLst>
            <c:ext xmlns:c16="http://schemas.microsoft.com/office/drawing/2014/chart" uri="{C3380CC4-5D6E-409C-BE32-E72D297353CC}">
              <c16:uniqueId val="{00000004-6556-46EF-9A2F-69B7C2C0F99D}"/>
            </c:ext>
          </c:extLst>
        </c:ser>
        <c:ser>
          <c:idx val="5"/>
          <c:order val="5"/>
          <c:invertIfNegative val="0"/>
          <c:cat>
            <c:strRef>
              <c:f>股权价值增加表!$A$70</c:f>
              <c:strCache>
                <c:ptCount val="1"/>
                <c:pt idx="0">
                  <c:v>所有者权益</c:v>
                </c:pt>
              </c:strCache>
            </c:strRef>
          </c:cat>
          <c:val>
            <c:numRef>
              <c:f>股权价值增加表!$G$70</c:f>
            </c:numRef>
          </c:val>
          <c:extLst>
            <c:ext xmlns:c16="http://schemas.microsoft.com/office/drawing/2014/chart" uri="{C3380CC4-5D6E-409C-BE32-E72D297353CC}">
              <c16:uniqueId val="{00000005-6556-46EF-9A2F-69B7C2C0F99D}"/>
            </c:ext>
          </c:extLst>
        </c:ser>
        <c:ser>
          <c:idx val="6"/>
          <c:order val="6"/>
          <c:invertIfNegative val="0"/>
          <c:cat>
            <c:strRef>
              <c:f>股权价值增加表!$A$70</c:f>
              <c:strCache>
                <c:ptCount val="1"/>
                <c:pt idx="0">
                  <c:v>所有者权益</c:v>
                </c:pt>
              </c:strCache>
            </c:strRef>
          </c:cat>
          <c:val>
            <c:numRef>
              <c:f>股权价值增加表!$H$70</c:f>
            </c:numRef>
          </c:val>
          <c:extLst>
            <c:ext xmlns:c16="http://schemas.microsoft.com/office/drawing/2014/chart" uri="{C3380CC4-5D6E-409C-BE32-E72D297353CC}">
              <c16:uniqueId val="{00000006-6556-46EF-9A2F-69B7C2C0F99D}"/>
            </c:ext>
          </c:extLst>
        </c:ser>
        <c:ser>
          <c:idx val="7"/>
          <c:order val="7"/>
          <c:invertIfNegative val="0"/>
          <c:cat>
            <c:strRef>
              <c:f>股权价值增加表!$A$70</c:f>
              <c:strCache>
                <c:ptCount val="1"/>
                <c:pt idx="0">
                  <c:v>所有者权益</c:v>
                </c:pt>
              </c:strCache>
            </c:strRef>
          </c:cat>
          <c:val>
            <c:numRef>
              <c:f>股权价值增加表!$I$70</c:f>
              <c:numCache>
                <c:formatCode>General</c:formatCode>
                <c:ptCount val="1"/>
                <c:pt idx="0">
                  <c:v>985414241.73000002</c:v>
                </c:pt>
              </c:numCache>
            </c:numRef>
          </c:val>
          <c:extLst>
            <c:ext xmlns:c16="http://schemas.microsoft.com/office/drawing/2014/chart" uri="{C3380CC4-5D6E-409C-BE32-E72D297353CC}">
              <c16:uniqueId val="{00000007-6556-46EF-9A2F-69B7C2C0F99D}"/>
            </c:ext>
          </c:extLst>
        </c:ser>
        <c:ser>
          <c:idx val="8"/>
          <c:order val="8"/>
          <c:invertIfNegative val="0"/>
          <c:cat>
            <c:strRef>
              <c:f>股权价值增加表!$A$70</c:f>
              <c:strCache>
                <c:ptCount val="1"/>
                <c:pt idx="0">
                  <c:v>所有者权益</c:v>
                </c:pt>
              </c:strCache>
            </c:strRef>
          </c:cat>
          <c:val>
            <c:numRef>
              <c:f>股权价值增加表!$J$70</c:f>
            </c:numRef>
          </c:val>
          <c:extLst>
            <c:ext xmlns:c16="http://schemas.microsoft.com/office/drawing/2014/chart" uri="{C3380CC4-5D6E-409C-BE32-E72D297353CC}">
              <c16:uniqueId val="{00000008-6556-46EF-9A2F-69B7C2C0F99D}"/>
            </c:ext>
          </c:extLst>
        </c:ser>
        <c:ser>
          <c:idx val="9"/>
          <c:order val="9"/>
          <c:invertIfNegative val="0"/>
          <c:cat>
            <c:strRef>
              <c:f>股权价值增加表!$A$70</c:f>
              <c:strCache>
                <c:ptCount val="1"/>
                <c:pt idx="0">
                  <c:v>所有者权益</c:v>
                </c:pt>
              </c:strCache>
            </c:strRef>
          </c:cat>
          <c:val>
            <c:numRef>
              <c:f>股权价值增加表!$K$70</c:f>
            </c:numRef>
          </c:val>
          <c:extLst>
            <c:ext xmlns:c16="http://schemas.microsoft.com/office/drawing/2014/chart" uri="{C3380CC4-5D6E-409C-BE32-E72D297353CC}">
              <c16:uniqueId val="{00000009-6556-46EF-9A2F-69B7C2C0F99D}"/>
            </c:ext>
          </c:extLst>
        </c:ser>
        <c:ser>
          <c:idx val="10"/>
          <c:order val="10"/>
          <c:invertIfNegative val="0"/>
          <c:cat>
            <c:strRef>
              <c:f>股权价值增加表!$A$70</c:f>
              <c:strCache>
                <c:ptCount val="1"/>
                <c:pt idx="0">
                  <c:v>所有者权益</c:v>
                </c:pt>
              </c:strCache>
            </c:strRef>
          </c:cat>
          <c:val>
            <c:numRef>
              <c:f>股权价值增加表!$L$70</c:f>
            </c:numRef>
          </c:val>
          <c:extLst>
            <c:ext xmlns:c16="http://schemas.microsoft.com/office/drawing/2014/chart" uri="{C3380CC4-5D6E-409C-BE32-E72D297353CC}">
              <c16:uniqueId val="{0000000A-6556-46EF-9A2F-69B7C2C0F99D}"/>
            </c:ext>
          </c:extLst>
        </c:ser>
        <c:ser>
          <c:idx val="11"/>
          <c:order val="11"/>
          <c:invertIfNegative val="0"/>
          <c:cat>
            <c:strRef>
              <c:f>股权价值增加表!$A$70</c:f>
              <c:strCache>
                <c:ptCount val="1"/>
                <c:pt idx="0">
                  <c:v>所有者权益</c:v>
                </c:pt>
              </c:strCache>
            </c:strRef>
          </c:cat>
          <c:val>
            <c:numRef>
              <c:f>股权价值增加表!$M$70</c:f>
              <c:numCache>
                <c:formatCode>General</c:formatCode>
                <c:ptCount val="1"/>
                <c:pt idx="0">
                  <c:v>387347869.01999998</c:v>
                </c:pt>
              </c:numCache>
            </c:numRef>
          </c:val>
          <c:extLst>
            <c:ext xmlns:c16="http://schemas.microsoft.com/office/drawing/2014/chart" uri="{C3380CC4-5D6E-409C-BE32-E72D297353CC}">
              <c16:uniqueId val="{0000000B-6556-46EF-9A2F-69B7C2C0F99D}"/>
            </c:ext>
          </c:extLst>
        </c:ser>
        <c:ser>
          <c:idx val="12"/>
          <c:order val="12"/>
          <c:invertIfNegative val="0"/>
          <c:cat>
            <c:strRef>
              <c:f>股权价值增加表!$A$70</c:f>
              <c:strCache>
                <c:ptCount val="1"/>
                <c:pt idx="0">
                  <c:v>所有者权益</c:v>
                </c:pt>
              </c:strCache>
            </c:strRef>
          </c:cat>
          <c:val>
            <c:numRef>
              <c:f>股权价值增加表!$N$70</c:f>
            </c:numRef>
          </c:val>
          <c:extLst>
            <c:ext xmlns:c16="http://schemas.microsoft.com/office/drawing/2014/chart" uri="{C3380CC4-5D6E-409C-BE32-E72D297353CC}">
              <c16:uniqueId val="{0000000C-6556-46EF-9A2F-69B7C2C0F99D}"/>
            </c:ext>
          </c:extLst>
        </c:ser>
        <c:ser>
          <c:idx val="13"/>
          <c:order val="13"/>
          <c:invertIfNegative val="0"/>
          <c:cat>
            <c:strRef>
              <c:f>股权价值增加表!$A$70</c:f>
              <c:strCache>
                <c:ptCount val="1"/>
                <c:pt idx="0">
                  <c:v>所有者权益</c:v>
                </c:pt>
              </c:strCache>
            </c:strRef>
          </c:cat>
          <c:val>
            <c:numRef>
              <c:f>股权价值增加表!$O$70</c:f>
              <c:numCache>
                <c:formatCode>General</c:formatCode>
                <c:ptCount val="1"/>
                <c:pt idx="0">
                  <c:v>254378428.47999999</c:v>
                </c:pt>
              </c:numCache>
            </c:numRef>
          </c:val>
          <c:extLst>
            <c:ext xmlns:c16="http://schemas.microsoft.com/office/drawing/2014/chart" uri="{C3380CC4-5D6E-409C-BE32-E72D297353CC}">
              <c16:uniqueId val="{0000000D-6556-46EF-9A2F-69B7C2C0F99D}"/>
            </c:ext>
          </c:extLst>
        </c:ser>
        <c:ser>
          <c:idx val="14"/>
          <c:order val="14"/>
          <c:invertIfNegative val="0"/>
          <c:cat>
            <c:strRef>
              <c:f>股权价值增加表!$A$70</c:f>
              <c:strCache>
                <c:ptCount val="1"/>
                <c:pt idx="0">
                  <c:v>所有者权益</c:v>
                </c:pt>
              </c:strCache>
            </c:strRef>
          </c:cat>
          <c:val>
            <c:numRef>
              <c:f>股权价值增加表!$P$70</c:f>
              <c:numCache>
                <c:formatCode>General</c:formatCode>
                <c:ptCount val="1"/>
                <c:pt idx="0">
                  <c:v>209769272.30000001</c:v>
                </c:pt>
              </c:numCache>
            </c:numRef>
          </c:val>
          <c:extLst>
            <c:ext xmlns:c16="http://schemas.microsoft.com/office/drawing/2014/chart" uri="{C3380CC4-5D6E-409C-BE32-E72D297353CC}">
              <c16:uniqueId val="{0000000E-6556-46EF-9A2F-69B7C2C0F99D}"/>
            </c:ext>
          </c:extLst>
        </c:ser>
        <c:ser>
          <c:idx val="15"/>
          <c:order val="15"/>
          <c:invertIfNegative val="0"/>
          <c:cat>
            <c:strRef>
              <c:f>股权价值增加表!$A$70</c:f>
              <c:strCache>
                <c:ptCount val="1"/>
                <c:pt idx="0">
                  <c:v>所有者权益</c:v>
                </c:pt>
              </c:strCache>
            </c:strRef>
          </c:cat>
          <c:val>
            <c:numRef>
              <c:f>股权价值增加表!$Q$70</c:f>
              <c:numCache>
                <c:formatCode>General</c:formatCode>
                <c:ptCount val="1"/>
                <c:pt idx="0">
                  <c:v>0</c:v>
                </c:pt>
              </c:numCache>
            </c:numRef>
          </c:val>
          <c:extLst>
            <c:ext xmlns:c16="http://schemas.microsoft.com/office/drawing/2014/chart" uri="{C3380CC4-5D6E-409C-BE32-E72D297353CC}">
              <c16:uniqueId val="{0000000F-6556-46EF-9A2F-69B7C2C0F99D}"/>
            </c:ext>
          </c:extLst>
        </c:ser>
        <c:ser>
          <c:idx val="16"/>
          <c:order val="16"/>
          <c:invertIfNegative val="0"/>
          <c:cat>
            <c:strRef>
              <c:f>股权价值增加表!$A$70</c:f>
              <c:strCache>
                <c:ptCount val="1"/>
                <c:pt idx="0">
                  <c:v>所有者权益</c:v>
                </c:pt>
              </c:strCache>
            </c:strRef>
          </c:cat>
          <c:val>
            <c:numRef>
              <c:f>股权价值增加表!$R$70</c:f>
              <c:numCache>
                <c:formatCode>General</c:formatCode>
                <c:ptCount val="1"/>
              </c:numCache>
            </c:numRef>
          </c:val>
          <c:extLst>
            <c:ext xmlns:c16="http://schemas.microsoft.com/office/drawing/2014/chart" uri="{C3380CC4-5D6E-409C-BE32-E72D297353CC}">
              <c16:uniqueId val="{00000010-6556-46EF-9A2F-69B7C2C0F99D}"/>
            </c:ext>
          </c:extLst>
        </c:ser>
        <c:ser>
          <c:idx val="17"/>
          <c:order val="17"/>
          <c:invertIfNegative val="0"/>
          <c:cat>
            <c:strRef>
              <c:f>股权价值增加表!$A$70</c:f>
              <c:strCache>
                <c:ptCount val="1"/>
                <c:pt idx="0">
                  <c:v>所有者权益</c:v>
                </c:pt>
              </c:strCache>
            </c:strRef>
          </c:cat>
          <c:val>
            <c:numRef>
              <c:f>股权价值增加表!$S$70</c:f>
            </c:numRef>
          </c:val>
          <c:extLst>
            <c:ext xmlns:c16="http://schemas.microsoft.com/office/drawing/2014/chart" uri="{C3380CC4-5D6E-409C-BE32-E72D297353CC}">
              <c16:uniqueId val="{00000011-6556-46EF-9A2F-69B7C2C0F99D}"/>
            </c:ext>
          </c:extLst>
        </c:ser>
        <c:ser>
          <c:idx val="18"/>
          <c:order val="18"/>
          <c:invertIfNegative val="0"/>
          <c:cat>
            <c:strRef>
              <c:f>股权价值增加表!$A$70</c:f>
              <c:strCache>
                <c:ptCount val="1"/>
                <c:pt idx="0">
                  <c:v>所有者权益</c:v>
                </c:pt>
              </c:strCache>
            </c:strRef>
          </c:cat>
          <c:val>
            <c:numRef>
              <c:f>股权价值增加表!$T$70</c:f>
              <c:numCache>
                <c:formatCode>General</c:formatCode>
                <c:ptCount val="1"/>
                <c:pt idx="0">
                  <c:v>39754833137.690002</c:v>
                </c:pt>
              </c:numCache>
            </c:numRef>
          </c:val>
          <c:extLst>
            <c:ext xmlns:c16="http://schemas.microsoft.com/office/drawing/2014/chart" uri="{C3380CC4-5D6E-409C-BE32-E72D297353CC}">
              <c16:uniqueId val="{00000012-6556-46EF-9A2F-69B7C2C0F99D}"/>
            </c:ext>
          </c:extLst>
        </c:ser>
        <c:ser>
          <c:idx val="19"/>
          <c:order val="19"/>
          <c:invertIfNegative val="0"/>
          <c:cat>
            <c:strRef>
              <c:f>股权价值增加表!$A$70</c:f>
              <c:strCache>
                <c:ptCount val="1"/>
                <c:pt idx="0">
                  <c:v>所有者权益</c:v>
                </c:pt>
              </c:strCache>
            </c:strRef>
          </c:cat>
          <c:val>
            <c:numRef>
              <c:f>股权价值增加表!$U$70</c:f>
              <c:numCache>
                <c:formatCode>General</c:formatCode>
                <c:ptCount val="1"/>
                <c:pt idx="0">
                  <c:v>37019284552.089996</c:v>
                </c:pt>
              </c:numCache>
            </c:numRef>
          </c:val>
          <c:extLst>
            <c:ext xmlns:c16="http://schemas.microsoft.com/office/drawing/2014/chart" uri="{C3380CC4-5D6E-409C-BE32-E72D297353CC}">
              <c16:uniqueId val="{00000013-6556-46EF-9A2F-69B7C2C0F99D}"/>
            </c:ext>
          </c:extLst>
        </c:ser>
        <c:ser>
          <c:idx val="20"/>
          <c:order val="20"/>
          <c:invertIfNegative val="0"/>
          <c:cat>
            <c:strRef>
              <c:f>股权价值增加表!$A$70</c:f>
              <c:strCache>
                <c:ptCount val="1"/>
                <c:pt idx="0">
                  <c:v>所有者权益</c:v>
                </c:pt>
              </c:strCache>
            </c:strRef>
          </c:cat>
          <c:val>
            <c:numRef>
              <c:f>股权价值增加表!$V$70</c:f>
              <c:numCache>
                <c:formatCode>General</c:formatCode>
                <c:ptCount val="1"/>
                <c:pt idx="0">
                  <c:v>35936255140.220001</c:v>
                </c:pt>
              </c:numCache>
            </c:numRef>
          </c:val>
          <c:extLst>
            <c:ext xmlns:c16="http://schemas.microsoft.com/office/drawing/2014/chart" uri="{C3380CC4-5D6E-409C-BE32-E72D297353CC}">
              <c16:uniqueId val="{00000014-6556-46EF-9A2F-69B7C2C0F99D}"/>
            </c:ext>
          </c:extLst>
        </c:ser>
        <c:ser>
          <c:idx val="21"/>
          <c:order val="21"/>
          <c:invertIfNegative val="0"/>
          <c:cat>
            <c:strRef>
              <c:f>股权价值增加表!$A$70</c:f>
              <c:strCache>
                <c:ptCount val="1"/>
                <c:pt idx="0">
                  <c:v>所有者权益</c:v>
                </c:pt>
              </c:strCache>
            </c:strRef>
          </c:cat>
          <c:val>
            <c:numRef>
              <c:f>股权价值增加表!$W$70</c:f>
              <c:numCache>
                <c:formatCode>General</c:formatCode>
                <c:ptCount val="1"/>
                <c:pt idx="0">
                  <c:v>34492053862.870003</c:v>
                </c:pt>
              </c:numCache>
            </c:numRef>
          </c:val>
          <c:extLst>
            <c:ext xmlns:c16="http://schemas.microsoft.com/office/drawing/2014/chart" uri="{C3380CC4-5D6E-409C-BE32-E72D297353CC}">
              <c16:uniqueId val="{00000015-6556-46EF-9A2F-69B7C2C0F99D}"/>
            </c:ext>
          </c:extLst>
        </c:ser>
        <c:ser>
          <c:idx val="22"/>
          <c:order val="22"/>
          <c:invertIfNegative val="0"/>
          <c:cat>
            <c:strRef>
              <c:f>股权价值增加表!$A$70</c:f>
              <c:strCache>
                <c:ptCount val="1"/>
                <c:pt idx="0">
                  <c:v>所有者权益</c:v>
                </c:pt>
              </c:strCache>
            </c:strRef>
          </c:cat>
          <c:val>
            <c:numRef>
              <c:f>股权价值增加表!$X$70</c:f>
              <c:numCache>
                <c:formatCode>General</c:formatCode>
                <c:ptCount val="1"/>
                <c:pt idx="0">
                  <c:v>35275133265.93</c:v>
                </c:pt>
              </c:numCache>
            </c:numRef>
          </c:val>
          <c:extLst>
            <c:ext xmlns:c16="http://schemas.microsoft.com/office/drawing/2014/chart" uri="{C3380CC4-5D6E-409C-BE32-E72D297353CC}">
              <c16:uniqueId val="{00000016-6556-46EF-9A2F-69B7C2C0F99D}"/>
            </c:ext>
          </c:extLst>
        </c:ser>
        <c:ser>
          <c:idx val="23"/>
          <c:order val="23"/>
          <c:invertIfNegative val="0"/>
          <c:cat>
            <c:strRef>
              <c:f>股权价值增加表!$A$70</c:f>
              <c:strCache>
                <c:ptCount val="1"/>
                <c:pt idx="0">
                  <c:v>所有者权益</c:v>
                </c:pt>
              </c:strCache>
            </c:strRef>
          </c:cat>
          <c:val>
            <c:numRef>
              <c:f>股权价值增加表!$Y$70</c:f>
              <c:numCache>
                <c:formatCode>General</c:formatCode>
                <c:ptCount val="1"/>
                <c:pt idx="0">
                  <c:v>31521070553.299999</c:v>
                </c:pt>
              </c:numCache>
            </c:numRef>
          </c:val>
          <c:extLst>
            <c:ext xmlns:c16="http://schemas.microsoft.com/office/drawing/2014/chart" uri="{C3380CC4-5D6E-409C-BE32-E72D297353CC}">
              <c16:uniqueId val="{00000017-6556-46EF-9A2F-69B7C2C0F99D}"/>
            </c:ext>
          </c:extLst>
        </c:ser>
        <c:dLbls>
          <c:showLegendKey val="0"/>
          <c:showVal val="0"/>
          <c:showCatName val="0"/>
          <c:showSerName val="0"/>
          <c:showPercent val="0"/>
          <c:showBubbleSize val="0"/>
        </c:dLbls>
        <c:gapWidth val="150"/>
        <c:axId val="227362816"/>
        <c:axId val="227624640"/>
      </c:barChart>
      <c:catAx>
        <c:axId val="227362816"/>
        <c:scaling>
          <c:orientation val="minMax"/>
        </c:scaling>
        <c:delete val="0"/>
        <c:axPos val="b"/>
        <c:numFmt formatCode="General" sourceLinked="0"/>
        <c:majorTickMark val="out"/>
        <c:minorTickMark val="none"/>
        <c:tickLblPos val="nextTo"/>
        <c:crossAx val="227624640"/>
        <c:crosses val="autoZero"/>
        <c:auto val="1"/>
        <c:lblAlgn val="ctr"/>
        <c:lblOffset val="100"/>
        <c:noMultiLvlLbl val="0"/>
      </c:catAx>
      <c:valAx>
        <c:axId val="227624640"/>
        <c:scaling>
          <c:orientation val="minMax"/>
        </c:scaling>
        <c:delete val="0"/>
        <c:axPos val="l"/>
        <c:majorGridlines/>
        <c:numFmt formatCode="General" sourceLinked="1"/>
        <c:majorTickMark val="out"/>
        <c:minorTickMark val="none"/>
        <c:tickLblPos val="nextTo"/>
        <c:crossAx val="22736281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6045815177748258E-2"/>
          <c:y val="0.39811610930890473"/>
          <c:w val="0.48123402361990814"/>
          <c:h val="0.43463425236576925"/>
        </c:manualLayout>
      </c:layout>
      <c:barChart>
        <c:barDir val="col"/>
        <c:grouping val="clustered"/>
        <c:varyColors val="0"/>
        <c:ser>
          <c:idx val="1"/>
          <c:order val="1"/>
          <c:tx>
            <c:strRef>
              <c:f>投资和筹资活动现金流表!$A$12:$U$12</c:f>
              <c:strCache>
                <c:ptCount val="21"/>
                <c:pt idx="0">
                  <c:v>(10)期初长期资产净值</c:v>
                </c:pt>
                <c:pt idx="4">
                  <c:v>416,358,416.99 </c:v>
                </c:pt>
                <c:pt idx="5">
                  <c:v>409,281,856.69 </c:v>
                </c:pt>
                <c:pt idx="6">
                  <c:v>409,439,801.31 </c:v>
                </c:pt>
                <c:pt idx="7">
                  <c:v>402,209,558.91 </c:v>
                </c:pt>
                <c:pt idx="8">
                  <c:v>382,712,115.78 </c:v>
                </c:pt>
                <c:pt idx="9">
                  <c:v>374,389,056.73 </c:v>
                </c:pt>
                <c:pt idx="10">
                  <c:v>121,825,467.79 </c:v>
                </c:pt>
                <c:pt idx="11">
                  <c:v>95,918,076.37 </c:v>
                </c:pt>
                <c:pt idx="12">
                  <c:v>0.00 </c:v>
                </c:pt>
                <c:pt idx="13">
                  <c:v>0.00 </c:v>
                </c:pt>
                <c:pt idx="14">
                  <c:v>0.00 </c:v>
                </c:pt>
                <c:pt idx="15">
                  <c:v>7,740,932,584.29 </c:v>
                </c:pt>
                <c:pt idx="16">
                  <c:v>7,185,660,413.80 </c:v>
                </c:pt>
                <c:pt idx="17">
                  <c:v>7,206,369,226.26 </c:v>
                </c:pt>
                <c:pt idx="18">
                  <c:v>7,305,520,980.60 </c:v>
                </c:pt>
                <c:pt idx="19">
                  <c:v>7,309,510,343.54 </c:v>
                </c:pt>
                <c:pt idx="20">
                  <c:v>7,323,681,060.21 </c:v>
                </c:pt>
              </c:strCache>
            </c:strRef>
          </c:tx>
          <c:invertIfNegative val="0"/>
          <c:cat>
            <c:numRef>
              <c:f>投资和筹资活动现金流表!$E$12</c:f>
              <c:numCache>
                <c:formatCode>#,##0.00_ </c:formatCode>
                <c:ptCount val="1"/>
                <c:pt idx="0">
                  <c:v>416358416.99000001</c:v>
                </c:pt>
              </c:numCache>
            </c:numRef>
          </c:cat>
          <c:val>
            <c:numRef>
              <c:f>投资和筹资活动现金流表!$E$12:$U$12</c:f>
              <c:numCache>
                <c:formatCode>#,##0.00_ </c:formatCode>
                <c:ptCount val="8"/>
                <c:pt idx="0">
                  <c:v>416358416.99000001</c:v>
                </c:pt>
                <c:pt idx="1">
                  <c:v>382712115.77999997</c:v>
                </c:pt>
                <c:pt idx="2">
                  <c:v>0</c:v>
                </c:pt>
                <c:pt idx="3">
                  <c:v>0</c:v>
                </c:pt>
                <c:pt idx="4">
                  <c:v>7740932584.29</c:v>
                </c:pt>
                <c:pt idx="5">
                  <c:v>7185660413.8000002</c:v>
                </c:pt>
                <c:pt idx="6">
                  <c:v>7206369226.2600002</c:v>
                </c:pt>
                <c:pt idx="7">
                  <c:v>7323681060.21</c:v>
                </c:pt>
              </c:numCache>
            </c:numRef>
          </c:val>
          <c:extLst>
            <c:ext xmlns:c16="http://schemas.microsoft.com/office/drawing/2014/chart" uri="{C3380CC4-5D6E-409C-BE32-E72D297353CC}">
              <c16:uniqueId val="{00000000-E857-40F3-BD63-D5137416C05D}"/>
            </c:ext>
          </c:extLst>
        </c:ser>
        <c:dLbls>
          <c:showLegendKey val="0"/>
          <c:showVal val="0"/>
          <c:showCatName val="0"/>
          <c:showSerName val="0"/>
          <c:showPercent val="0"/>
          <c:showBubbleSize val="0"/>
        </c:dLbls>
        <c:gapWidth val="150"/>
        <c:axId val="611100752"/>
        <c:axId val="611105552"/>
      </c:barChart>
      <c:lineChart>
        <c:grouping val="stacked"/>
        <c:varyColors val="0"/>
        <c:ser>
          <c:idx val="0"/>
          <c:order val="0"/>
          <c:tx>
            <c:strRef>
              <c:f>投资和筹资活动现金流表!$A$13</c:f>
              <c:strCache>
                <c:ptCount val="1"/>
                <c:pt idx="0">
                  <c:v>(11)长期资产扩张性资本支出比例%=9/10*100%</c:v>
                </c:pt>
              </c:strCache>
            </c:strRef>
          </c:tx>
          <c:marker>
            <c:symbol val="none"/>
          </c:marker>
          <c:val>
            <c:numRef>
              <c:f>投资和筹资活动现金流表!$B$13:$U$13</c:f>
              <c:numCache>
                <c:formatCode>0.00%</c:formatCode>
                <c:ptCount val="8"/>
                <c:pt idx="0">
                  <c:v>0.14260628172055442</c:v>
                </c:pt>
                <c:pt idx="1">
                  <c:v>7.1033161739847542E-2</c:v>
                </c:pt>
                <c:pt idx="2">
                  <c:v>0</c:v>
                </c:pt>
                <c:pt idx="3">
                  <c:v>0</c:v>
                </c:pt>
                <c:pt idx="4">
                  <c:v>2.3219582098516094E-2</c:v>
                </c:pt>
                <c:pt idx="5">
                  <c:v>1.3471413532720595E-2</c:v>
                </c:pt>
                <c:pt idx="6">
                  <c:v>2.7531781674052362E-3</c:v>
                </c:pt>
                <c:pt idx="7">
                  <c:v>-4.7203522452421924E-2</c:v>
                </c:pt>
              </c:numCache>
            </c:numRef>
          </c:val>
          <c:smooth val="0"/>
          <c:extLst>
            <c:ext xmlns:c16="http://schemas.microsoft.com/office/drawing/2014/chart" uri="{C3380CC4-5D6E-409C-BE32-E72D297353CC}">
              <c16:uniqueId val="{00000000-D40F-4C19-8FB0-6E03B1ECE96B}"/>
            </c:ext>
          </c:extLst>
        </c:ser>
        <c:dLbls>
          <c:showLegendKey val="0"/>
          <c:showVal val="0"/>
          <c:showCatName val="0"/>
          <c:showSerName val="0"/>
          <c:showPercent val="0"/>
          <c:showBubbleSize val="0"/>
        </c:dLbls>
        <c:marker val="1"/>
        <c:smooth val="0"/>
        <c:axId val="611121232"/>
        <c:axId val="611116112"/>
      </c:lineChart>
      <c:valAx>
        <c:axId val="611105552"/>
        <c:scaling>
          <c:orientation val="minMax"/>
        </c:scaling>
        <c:delete val="0"/>
        <c:axPos val="r"/>
        <c:numFmt formatCode="#,##0.00_ " sourceLinked="1"/>
        <c:majorTickMark val="out"/>
        <c:minorTickMark val="none"/>
        <c:tickLblPos val="nextTo"/>
        <c:crossAx val="611100752"/>
        <c:crosses val="max"/>
        <c:crossBetween val="between"/>
      </c:valAx>
      <c:catAx>
        <c:axId val="611100752"/>
        <c:scaling>
          <c:orientation val="minMax"/>
        </c:scaling>
        <c:delete val="1"/>
        <c:axPos val="b"/>
        <c:numFmt formatCode="#,##0.00_ " sourceLinked="1"/>
        <c:majorTickMark val="out"/>
        <c:minorTickMark val="none"/>
        <c:tickLblPos val="nextTo"/>
        <c:crossAx val="611105552"/>
        <c:crosses val="autoZero"/>
        <c:auto val="1"/>
        <c:lblAlgn val="ctr"/>
        <c:lblOffset val="100"/>
        <c:noMultiLvlLbl val="0"/>
      </c:catAx>
      <c:valAx>
        <c:axId val="611116112"/>
        <c:scaling>
          <c:orientation val="minMax"/>
        </c:scaling>
        <c:delete val="0"/>
        <c:axPos val="l"/>
        <c:numFmt formatCode="0.00%" sourceLinked="1"/>
        <c:majorTickMark val="out"/>
        <c:minorTickMark val="none"/>
        <c:tickLblPos val="nextTo"/>
        <c:crossAx val="611121232"/>
        <c:crosses val="autoZero"/>
        <c:crossBetween val="between"/>
      </c:valAx>
      <c:catAx>
        <c:axId val="611121232"/>
        <c:scaling>
          <c:orientation val="minMax"/>
        </c:scaling>
        <c:delete val="1"/>
        <c:axPos val="b"/>
        <c:majorTickMark val="out"/>
        <c:minorTickMark val="none"/>
        <c:tickLblPos val="nextTo"/>
        <c:crossAx val="611116112"/>
        <c:crosses val="autoZero"/>
        <c:auto val="1"/>
        <c:lblAlgn val="ctr"/>
        <c:lblOffset val="100"/>
        <c:noMultiLvlLbl val="0"/>
      </c:catAx>
    </c:plotArea>
    <c:legend>
      <c:legendPos val="r"/>
      <c:layout>
        <c:manualLayout>
          <c:xMode val="edge"/>
          <c:yMode val="edge"/>
          <c:x val="0.72713953788563301"/>
          <c:y val="4.4657570714642367E-2"/>
          <c:w val="0.26471049725341711"/>
          <c:h val="0.28565735786464236"/>
        </c:manualLayout>
      </c:layout>
      <c:overlay val="0"/>
    </c:legend>
    <c:plotVisOnly val="1"/>
    <c:dispBlanksAs val="zero"/>
    <c:showDLblsOverMax val="0"/>
  </c:chart>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1527954931806925"/>
          <c:y val="3.3347220714838373E-2"/>
        </c:manualLayout>
      </c:layout>
      <c:overlay val="0"/>
    </c:title>
    <c:autoTitleDeleted val="0"/>
    <c:plotArea>
      <c:layout/>
      <c:lineChart>
        <c:grouping val="stacked"/>
        <c:varyColors val="0"/>
        <c:ser>
          <c:idx val="0"/>
          <c:order val="0"/>
          <c:tx>
            <c:strRef>
              <c:f>投资和筹资活动现金流表!$A$21</c:f>
              <c:strCache>
                <c:ptCount val="1"/>
                <c:pt idx="0">
                  <c:v>(17)现金自给率=16/15</c:v>
                </c:pt>
              </c:strCache>
            </c:strRef>
          </c:tx>
          <c:val>
            <c:numRef>
              <c:f>投资和筹资活动现金流表!$B$21:$Y$21</c:f>
              <c:numCache>
                <c:formatCode>#,##0.00_ </c:formatCode>
                <c:ptCount val="9"/>
                <c:pt idx="0">
                  <c:v>1.6395023022859767</c:v>
                </c:pt>
                <c:pt idx="1">
                  <c:v>3.435642816090148</c:v>
                </c:pt>
                <c:pt idx="2">
                  <c:v>3.9143031649511677</c:v>
                </c:pt>
                <c:pt idx="3">
                  <c:v>4.254244556321777</c:v>
                </c:pt>
                <c:pt idx="4">
                  <c:v>0.4834955543219927</c:v>
                </c:pt>
                <c:pt idx="5">
                  <c:v>1.0950456710242547</c:v>
                </c:pt>
                <c:pt idx="6">
                  <c:v>1.6401074053194495</c:v>
                </c:pt>
                <c:pt idx="7">
                  <c:v>4.3194707290998364</c:v>
                </c:pt>
                <c:pt idx="8">
                  <c:v>24.659349284007479</c:v>
                </c:pt>
              </c:numCache>
            </c:numRef>
          </c:val>
          <c:smooth val="0"/>
          <c:extLst>
            <c:ext xmlns:c16="http://schemas.microsoft.com/office/drawing/2014/chart" uri="{C3380CC4-5D6E-409C-BE32-E72D297353CC}">
              <c16:uniqueId val="{00000000-8245-45C7-87C5-C9EA4EB313F9}"/>
            </c:ext>
          </c:extLst>
        </c:ser>
        <c:dLbls>
          <c:showLegendKey val="0"/>
          <c:showVal val="0"/>
          <c:showCatName val="0"/>
          <c:showSerName val="0"/>
          <c:showPercent val="0"/>
          <c:showBubbleSize val="0"/>
        </c:dLbls>
        <c:marker val="1"/>
        <c:smooth val="0"/>
        <c:axId val="223023616"/>
        <c:axId val="227629824"/>
      </c:lineChart>
      <c:catAx>
        <c:axId val="223023616"/>
        <c:scaling>
          <c:orientation val="minMax"/>
        </c:scaling>
        <c:delete val="0"/>
        <c:axPos val="b"/>
        <c:majorTickMark val="out"/>
        <c:minorTickMark val="none"/>
        <c:tickLblPos val="nextTo"/>
        <c:crossAx val="227629824"/>
        <c:crosses val="autoZero"/>
        <c:auto val="1"/>
        <c:lblAlgn val="ctr"/>
        <c:lblOffset val="100"/>
        <c:noMultiLvlLbl val="0"/>
      </c:catAx>
      <c:valAx>
        <c:axId val="227629824"/>
        <c:scaling>
          <c:orientation val="minMax"/>
        </c:scaling>
        <c:delete val="0"/>
        <c:axPos val="l"/>
        <c:majorGridlines/>
        <c:numFmt formatCode="#,##0.00_ " sourceLinked="1"/>
        <c:majorTickMark val="out"/>
        <c:minorTickMark val="none"/>
        <c:tickLblPos val="nextTo"/>
        <c:crossAx val="22302361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1"/>
    <c:plotArea>
      <c:layout/>
      <c:barChart>
        <c:barDir val="col"/>
        <c:grouping val="clustered"/>
        <c:varyColors val="0"/>
        <c:ser>
          <c:idx val="0"/>
          <c:order val="0"/>
          <c:tx>
            <c:strRef>
              <c:f>投资和筹资活动现金流表!$A$5</c:f>
              <c:strCache>
                <c:ptCount val="1"/>
                <c:pt idx="0">
                  <c:v>(3)长期资产净投资额=2-1</c:v>
                </c:pt>
              </c:strCache>
            </c:strRef>
          </c:tx>
          <c:invertIfNegative val="0"/>
          <c:val>
            <c:numRef>
              <c:f>投资和筹资活动现金流表!$B$5:$Y$5</c:f>
              <c:numCache>
                <c:formatCode>#,##0.00_ </c:formatCode>
                <c:ptCount val="9"/>
                <c:pt idx="0">
                  <c:v>94851294.410000011</c:v>
                </c:pt>
                <c:pt idx="1">
                  <c:v>59187114.920000002</c:v>
                </c:pt>
                <c:pt idx="2">
                  <c:v>44651968.810000002</c:v>
                </c:pt>
                <c:pt idx="3">
                  <c:v>33859090.399999999</c:v>
                </c:pt>
                <c:pt idx="4">
                  <c:v>205414887.25</c:v>
                </c:pt>
                <c:pt idx="5">
                  <c:v>96801002.939999998</c:v>
                </c:pt>
                <c:pt idx="6">
                  <c:v>19840418.419999998</c:v>
                </c:pt>
                <c:pt idx="7">
                  <c:v>337752203.54000002</c:v>
                </c:pt>
                <c:pt idx="8">
                  <c:v>354821491.18000001</c:v>
                </c:pt>
              </c:numCache>
            </c:numRef>
          </c:val>
          <c:extLst>
            <c:ext xmlns:c16="http://schemas.microsoft.com/office/drawing/2014/chart" uri="{C3380CC4-5D6E-409C-BE32-E72D297353CC}">
              <c16:uniqueId val="{00000000-84F5-4C49-879D-4573E27D5021}"/>
            </c:ext>
          </c:extLst>
        </c:ser>
        <c:ser>
          <c:idx val="12"/>
          <c:order val="1"/>
          <c:tx>
            <c:strRef>
              <c:f>投资和筹资活动现金流表!$A$17</c:f>
              <c:strCache>
                <c:ptCount val="1"/>
                <c:pt idx="0">
                  <c:v>(14)净合并额=13-12</c:v>
                </c:pt>
              </c:strCache>
            </c:strRef>
          </c:tx>
          <c:invertIfNegative val="0"/>
          <c:val>
            <c:numRef>
              <c:f>投资和筹资活动现金流表!$B$17:$Y$17</c:f>
              <c:numCache>
                <c:formatCode>#,##0.00_ </c:formatCode>
                <c:ptCount val="9"/>
                <c:pt idx="0">
                  <c:v>0</c:v>
                </c:pt>
                <c:pt idx="1">
                  <c:v>0</c:v>
                </c:pt>
                <c:pt idx="2">
                  <c:v>921520.42999999993</c:v>
                </c:pt>
                <c:pt idx="3">
                  <c:v>600000</c:v>
                </c:pt>
                <c:pt idx="4">
                  <c:v>27774600</c:v>
                </c:pt>
                <c:pt idx="5">
                  <c:v>3635607.03</c:v>
                </c:pt>
                <c:pt idx="6">
                  <c:v>37253856.159999996</c:v>
                </c:pt>
                <c:pt idx="7">
                  <c:v>0</c:v>
                </c:pt>
                <c:pt idx="8">
                  <c:v>0</c:v>
                </c:pt>
              </c:numCache>
            </c:numRef>
          </c:val>
          <c:extLst>
            <c:ext xmlns:c16="http://schemas.microsoft.com/office/drawing/2014/chart" uri="{C3380CC4-5D6E-409C-BE32-E72D297353CC}">
              <c16:uniqueId val="{00000001-84F5-4C49-879D-4573E27D5021}"/>
            </c:ext>
          </c:extLst>
        </c:ser>
        <c:ser>
          <c:idx val="15"/>
          <c:order val="2"/>
          <c:tx>
            <c:strRef>
              <c:f>投资和筹资活动现金流表!$A$20</c:f>
              <c:strCache>
                <c:ptCount val="1"/>
                <c:pt idx="0">
                  <c:v>(16)经营活动产生的现金流量净额</c:v>
                </c:pt>
              </c:strCache>
            </c:strRef>
          </c:tx>
          <c:invertIfNegative val="0"/>
          <c:val>
            <c:numRef>
              <c:f>投资和筹资活动现金流表!$B$20:$Y$20</c:f>
              <c:numCache>
                <c:formatCode>General</c:formatCode>
                <c:ptCount val="9"/>
                <c:pt idx="0">
                  <c:v>155508915.56</c:v>
                </c:pt>
                <c:pt idx="1">
                  <c:v>203345786.18000001</c:v>
                </c:pt>
                <c:pt idx="2">
                  <c:v>178388453.16999999</c:v>
                </c:pt>
                <c:pt idx="3">
                  <c:v>146597397.75</c:v>
                </c:pt>
                <c:pt idx="4">
                  <c:v>112746080.40000001</c:v>
                </c:pt>
                <c:pt idx="5">
                  <c:v>109982674.95999999</c:v>
                </c:pt>
                <c:pt idx="6">
                  <c:v>93640742.540000007</c:v>
                </c:pt>
                <c:pt idx="7" formatCode="#,##0.00_ ">
                  <c:v>1458910756.8800001</c:v>
                </c:pt>
                <c:pt idx="8" formatCode="#,##0.00_ ">
                  <c:v>8749667084.4799995</c:v>
                </c:pt>
              </c:numCache>
            </c:numRef>
          </c:val>
          <c:extLst>
            <c:ext xmlns:c16="http://schemas.microsoft.com/office/drawing/2014/chart" uri="{C3380CC4-5D6E-409C-BE32-E72D297353CC}">
              <c16:uniqueId val="{00000002-84F5-4C49-879D-4573E27D5021}"/>
            </c:ext>
          </c:extLst>
        </c:ser>
        <c:ser>
          <c:idx val="19"/>
          <c:order val="3"/>
          <c:tx>
            <c:strRef>
              <c:f>投资和筹资活动现金流表!$A$24</c:f>
              <c:strCache>
                <c:ptCount val="1"/>
                <c:pt idx="0">
                  <c:v>(20)筹资活动产生的现金流量净额</c:v>
                </c:pt>
              </c:strCache>
            </c:strRef>
          </c:tx>
          <c:invertIfNegative val="0"/>
          <c:val>
            <c:numRef>
              <c:f>投资和筹资活动现金流表!$B$24:$Y$24</c:f>
              <c:numCache>
                <c:formatCode>General</c:formatCode>
                <c:ptCount val="9"/>
                <c:pt idx="0">
                  <c:v>-123222270.77</c:v>
                </c:pt>
                <c:pt idx="1">
                  <c:v>365598873.93000001</c:v>
                </c:pt>
                <c:pt idx="2">
                  <c:v>-52083823.039999999</c:v>
                </c:pt>
                <c:pt idx="3">
                  <c:v>-111140469.13</c:v>
                </c:pt>
                <c:pt idx="4">
                  <c:v>72950844.609999999</c:v>
                </c:pt>
                <c:pt idx="5">
                  <c:v>35371287.210000001</c:v>
                </c:pt>
                <c:pt idx="6">
                  <c:v>15274725.51</c:v>
                </c:pt>
                <c:pt idx="7" formatCode="#,##0.00_ ">
                  <c:v>-3219033426.9200001</c:v>
                </c:pt>
                <c:pt idx="8" formatCode="#,##0.00_ ">
                  <c:v>-2113851892.23</c:v>
                </c:pt>
              </c:numCache>
            </c:numRef>
          </c:val>
          <c:extLst>
            <c:ext xmlns:c16="http://schemas.microsoft.com/office/drawing/2014/chart" uri="{C3380CC4-5D6E-409C-BE32-E72D297353CC}">
              <c16:uniqueId val="{00000003-84F5-4C49-879D-4573E27D5021}"/>
            </c:ext>
          </c:extLst>
        </c:ser>
        <c:dLbls>
          <c:showLegendKey val="0"/>
          <c:showVal val="0"/>
          <c:showCatName val="0"/>
          <c:showSerName val="0"/>
          <c:showPercent val="0"/>
          <c:showBubbleSize val="0"/>
        </c:dLbls>
        <c:gapWidth val="150"/>
        <c:axId val="226113024"/>
        <c:axId val="226034240"/>
      </c:barChart>
      <c:catAx>
        <c:axId val="226113024"/>
        <c:scaling>
          <c:orientation val="minMax"/>
        </c:scaling>
        <c:delete val="0"/>
        <c:axPos val="b"/>
        <c:majorTickMark val="none"/>
        <c:minorTickMark val="none"/>
        <c:tickLblPos val="nextTo"/>
        <c:crossAx val="226034240"/>
        <c:crosses val="autoZero"/>
        <c:auto val="1"/>
        <c:lblAlgn val="ctr"/>
        <c:lblOffset val="100"/>
        <c:noMultiLvlLbl val="0"/>
      </c:catAx>
      <c:valAx>
        <c:axId val="226034240"/>
        <c:scaling>
          <c:orientation val="minMax"/>
        </c:scaling>
        <c:delete val="0"/>
        <c:axPos val="l"/>
        <c:majorGridlines/>
        <c:numFmt formatCode="#,##0.00_ " sourceLinked="1"/>
        <c:majorTickMark val="none"/>
        <c:minorTickMark val="none"/>
        <c:tickLblPos val="nextTo"/>
        <c:crossAx val="226113024"/>
        <c:crosses val="autoZero"/>
        <c:crossBetween val="between"/>
      </c:valAx>
    </c:plotArea>
    <c:legend>
      <c:legendPos val="r"/>
      <c:layout>
        <c:manualLayout>
          <c:xMode val="edge"/>
          <c:yMode val="edge"/>
          <c:x val="0.65710932222373564"/>
          <c:y val="6.0558396483167319E-2"/>
          <c:w val="0.34289067777626431"/>
          <c:h val="0.86455319705907574"/>
        </c:manualLayout>
      </c:layout>
      <c:overlay val="0"/>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投资和筹资活动现金流表!$A$42</c:f>
              <c:strCache>
                <c:ptCount val="1"/>
                <c:pt idx="0">
                  <c:v>(3)股东筹资净额=1-2</c:v>
                </c:pt>
              </c:strCache>
            </c:strRef>
          </c:tx>
          <c:invertIfNegative val="0"/>
          <c:val>
            <c:numRef>
              <c:f>投资和筹资活动现金流表!$B$42:$Y$42</c:f>
              <c:numCache>
                <c:formatCode>#,##0.00_ </c:formatCode>
                <c:ptCount val="9"/>
                <c:pt idx="0">
                  <c:v>-44000000</c:v>
                </c:pt>
                <c:pt idx="1">
                  <c:v>484000000</c:v>
                </c:pt>
                <c:pt idx="2">
                  <c:v>-116880000</c:v>
                </c:pt>
                <c:pt idx="3">
                  <c:v>-23000000</c:v>
                </c:pt>
                <c:pt idx="4">
                  <c:v>2172280</c:v>
                </c:pt>
                <c:pt idx="5">
                  <c:v>3000000</c:v>
                </c:pt>
                <c:pt idx="6">
                  <c:v>17450000</c:v>
                </c:pt>
                <c:pt idx="7">
                  <c:v>172467935.24000001</c:v>
                </c:pt>
                <c:pt idx="8">
                  <c:v>0</c:v>
                </c:pt>
              </c:numCache>
            </c:numRef>
          </c:val>
          <c:extLst>
            <c:ext xmlns:c16="http://schemas.microsoft.com/office/drawing/2014/chart" uri="{C3380CC4-5D6E-409C-BE32-E72D297353CC}">
              <c16:uniqueId val="{00000000-1E11-43A8-9C70-5F59CB0B72B4}"/>
            </c:ext>
          </c:extLst>
        </c:ser>
        <c:ser>
          <c:idx val="7"/>
          <c:order val="1"/>
          <c:tx>
            <c:strRef>
              <c:f>投资和筹资活动现金流表!$A$49</c:f>
              <c:strCache>
                <c:ptCount val="1"/>
                <c:pt idx="0">
                  <c:v>(9)债务筹资净额=4+8-5-6-7</c:v>
                </c:pt>
              </c:strCache>
            </c:strRef>
          </c:tx>
          <c:invertIfNegative val="0"/>
          <c:val>
            <c:numRef>
              <c:f>投资和筹资活动现金流表!$B$49:$Y$49</c:f>
              <c:numCache>
                <c:formatCode>#,##0.00_ </c:formatCode>
                <c:ptCount val="9"/>
                <c:pt idx="0">
                  <c:v>-77033701.510000005</c:v>
                </c:pt>
                <c:pt idx="1">
                  <c:v>-18431089.029999994</c:v>
                </c:pt>
                <c:pt idx="2">
                  <c:v>-18421796.050000004</c:v>
                </c:pt>
                <c:pt idx="3">
                  <c:v>-75394914</c:v>
                </c:pt>
                <c:pt idx="4">
                  <c:v>112598585</c:v>
                </c:pt>
                <c:pt idx="5">
                  <c:v>46837129</c:v>
                </c:pt>
                <c:pt idx="6">
                  <c:v>19000000</c:v>
                </c:pt>
                <c:pt idx="7">
                  <c:v>0</c:v>
                </c:pt>
                <c:pt idx="8">
                  <c:v>0</c:v>
                </c:pt>
              </c:numCache>
            </c:numRef>
          </c:val>
          <c:extLst>
            <c:ext xmlns:c16="http://schemas.microsoft.com/office/drawing/2014/chart" uri="{C3380CC4-5D6E-409C-BE32-E72D297353CC}">
              <c16:uniqueId val="{00000001-1E11-43A8-9C70-5F59CB0B72B4}"/>
            </c:ext>
          </c:extLst>
        </c:ser>
        <c:dLbls>
          <c:showLegendKey val="0"/>
          <c:showVal val="0"/>
          <c:showCatName val="0"/>
          <c:showSerName val="0"/>
          <c:showPercent val="0"/>
          <c:showBubbleSize val="0"/>
        </c:dLbls>
        <c:gapWidth val="150"/>
        <c:axId val="226114048"/>
        <c:axId val="226036544"/>
      </c:barChart>
      <c:catAx>
        <c:axId val="226114048"/>
        <c:scaling>
          <c:orientation val="minMax"/>
        </c:scaling>
        <c:delete val="0"/>
        <c:axPos val="b"/>
        <c:majorTickMark val="out"/>
        <c:minorTickMark val="none"/>
        <c:tickLblPos val="nextTo"/>
        <c:crossAx val="226036544"/>
        <c:crosses val="autoZero"/>
        <c:auto val="1"/>
        <c:lblAlgn val="ctr"/>
        <c:lblOffset val="100"/>
        <c:noMultiLvlLbl val="0"/>
      </c:catAx>
      <c:valAx>
        <c:axId val="226036544"/>
        <c:scaling>
          <c:orientation val="minMax"/>
        </c:scaling>
        <c:delete val="0"/>
        <c:axPos val="l"/>
        <c:majorGridlines/>
        <c:numFmt formatCode="#,##0.00_ " sourceLinked="1"/>
        <c:majorTickMark val="out"/>
        <c:minorTickMark val="none"/>
        <c:tickLblPos val="nextTo"/>
        <c:crossAx val="22611404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投资和筹资活动现金流表!$A$44</c:f>
              <c:strCache>
                <c:ptCount val="1"/>
                <c:pt idx="0">
                  <c:v>(4)取得借款收到的现金</c:v>
                </c:pt>
              </c:strCache>
            </c:strRef>
          </c:tx>
          <c:invertIfNegative val="0"/>
          <c:val>
            <c:numRef>
              <c:f>投资和筹资活动现金流表!$B$44:$Y$44</c:f>
              <c:numCache>
                <c:formatCode>General</c:formatCode>
                <c:ptCount val="9"/>
                <c:pt idx="0">
                  <c:v>0</c:v>
                </c:pt>
                <c:pt idx="1">
                  <c:v>52421993.420000002</c:v>
                </c:pt>
                <c:pt idx="2">
                  <c:v>44625725.329999998</c:v>
                </c:pt>
                <c:pt idx="3">
                  <c:v>34603887</c:v>
                </c:pt>
                <c:pt idx="4">
                  <c:v>192098585</c:v>
                </c:pt>
                <c:pt idx="5">
                  <c:v>65837129</c:v>
                </c:pt>
                <c:pt idx="6">
                  <c:v>19000000</c:v>
                </c:pt>
                <c:pt idx="7">
                  <c:v>0</c:v>
                </c:pt>
                <c:pt idx="8">
                  <c:v>0</c:v>
                </c:pt>
              </c:numCache>
            </c:numRef>
          </c:val>
          <c:extLst>
            <c:ext xmlns:c16="http://schemas.microsoft.com/office/drawing/2014/chart" uri="{C3380CC4-5D6E-409C-BE32-E72D297353CC}">
              <c16:uniqueId val="{00000000-849A-4119-836B-2CF44EBD3336}"/>
            </c:ext>
          </c:extLst>
        </c:ser>
        <c:ser>
          <c:idx val="4"/>
          <c:order val="1"/>
          <c:tx>
            <c:strRef>
              <c:f>投资和筹资活动现金流表!$A$48</c:f>
              <c:strCache>
                <c:ptCount val="1"/>
                <c:pt idx="0">
                  <c:v>(8)发行债券收到的现金</c:v>
                </c:pt>
              </c:strCache>
            </c:strRef>
          </c:tx>
          <c:invertIfNegative val="0"/>
          <c:val>
            <c:numRef>
              <c:f>投资和筹资活动现金流表!$B$48:$Y$48</c:f>
              <c:numCache>
                <c:formatCode>General</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1-849A-4119-836B-2CF44EBD3336}"/>
            </c:ext>
          </c:extLst>
        </c:ser>
        <c:dLbls>
          <c:showLegendKey val="0"/>
          <c:showVal val="0"/>
          <c:showCatName val="0"/>
          <c:showSerName val="0"/>
          <c:showPercent val="0"/>
          <c:showBubbleSize val="0"/>
        </c:dLbls>
        <c:gapWidth val="150"/>
        <c:axId val="226114560"/>
        <c:axId val="226038272"/>
      </c:barChart>
      <c:catAx>
        <c:axId val="226114560"/>
        <c:scaling>
          <c:orientation val="minMax"/>
        </c:scaling>
        <c:delete val="0"/>
        <c:axPos val="b"/>
        <c:majorTickMark val="out"/>
        <c:minorTickMark val="none"/>
        <c:tickLblPos val="nextTo"/>
        <c:crossAx val="226038272"/>
        <c:crosses val="autoZero"/>
        <c:auto val="1"/>
        <c:lblAlgn val="ctr"/>
        <c:lblOffset val="100"/>
        <c:noMultiLvlLbl val="0"/>
      </c:catAx>
      <c:valAx>
        <c:axId val="226038272"/>
        <c:scaling>
          <c:orientation val="minMax"/>
        </c:scaling>
        <c:delete val="0"/>
        <c:axPos val="l"/>
        <c:majorGridlines/>
        <c:numFmt formatCode="General" sourceLinked="1"/>
        <c:majorTickMark val="out"/>
        <c:minorTickMark val="none"/>
        <c:tickLblPos val="nextTo"/>
        <c:crossAx val="22611456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投资和筹资活动现金流表!$A$28</c:f>
              <c:strCache>
                <c:ptCount val="1"/>
                <c:pt idx="0">
                  <c:v>(23)投资现金流出净额</c:v>
                </c:pt>
              </c:strCache>
            </c:strRef>
          </c:tx>
          <c:invertIfNegative val="0"/>
          <c:val>
            <c:numRef>
              <c:f>投资和筹资活动现金流表!$B$28:$Y$28</c:f>
              <c:numCache>
                <c:formatCode>#,##0.00_ </c:formatCode>
                <c:ptCount val="9"/>
                <c:pt idx="0">
                  <c:v>33000000</c:v>
                </c:pt>
                <c:pt idx="1">
                  <c:v>0</c:v>
                </c:pt>
                <c:pt idx="2">
                  <c:v>-1000000</c:v>
                </c:pt>
                <c:pt idx="3">
                  <c:v>0</c:v>
                </c:pt>
                <c:pt idx="4">
                  <c:v>0</c:v>
                </c:pt>
                <c:pt idx="5">
                  <c:v>28858831.859999999</c:v>
                </c:pt>
                <c:pt idx="6">
                  <c:v>1000000</c:v>
                </c:pt>
                <c:pt idx="7">
                  <c:v>0</c:v>
                </c:pt>
                <c:pt idx="8">
                  <c:v>0</c:v>
                </c:pt>
              </c:numCache>
            </c:numRef>
          </c:val>
          <c:extLst>
            <c:ext xmlns:c16="http://schemas.microsoft.com/office/drawing/2014/chart" uri="{C3380CC4-5D6E-409C-BE32-E72D297353CC}">
              <c16:uniqueId val="{00000000-97B1-4AD8-8CB9-C7D9ADBE23AB}"/>
            </c:ext>
          </c:extLst>
        </c:ser>
        <c:dLbls>
          <c:showLegendKey val="0"/>
          <c:showVal val="0"/>
          <c:showCatName val="0"/>
          <c:showSerName val="0"/>
          <c:showPercent val="0"/>
          <c:showBubbleSize val="0"/>
        </c:dLbls>
        <c:gapWidth val="150"/>
        <c:axId val="226115072"/>
        <c:axId val="226040000"/>
      </c:barChart>
      <c:catAx>
        <c:axId val="226115072"/>
        <c:scaling>
          <c:orientation val="minMax"/>
        </c:scaling>
        <c:delete val="0"/>
        <c:axPos val="b"/>
        <c:majorTickMark val="out"/>
        <c:minorTickMark val="none"/>
        <c:tickLblPos val="nextTo"/>
        <c:crossAx val="226040000"/>
        <c:crosses val="autoZero"/>
        <c:auto val="1"/>
        <c:lblAlgn val="ctr"/>
        <c:lblOffset val="100"/>
        <c:noMultiLvlLbl val="0"/>
      </c:catAx>
      <c:valAx>
        <c:axId val="226040000"/>
        <c:scaling>
          <c:orientation val="minMax"/>
        </c:scaling>
        <c:delete val="0"/>
        <c:axPos val="l"/>
        <c:majorGridlines/>
        <c:numFmt formatCode="#,##0.00_ " sourceLinked="1"/>
        <c:majorTickMark val="out"/>
        <c:minorTickMark val="none"/>
        <c:tickLblPos val="nextTo"/>
        <c:crossAx val="226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平均资本成本表!$A$3</c:f>
              <c:strCache>
                <c:ptCount val="1"/>
                <c:pt idx="0">
                  <c:v>(1)利息支出</c:v>
                </c:pt>
              </c:strCache>
            </c:strRef>
          </c:tx>
          <c:invertIfNegative val="0"/>
          <c:val>
            <c:numRef>
              <c:f>平均资本成本表!$B$3:$Y$3</c:f>
              <c:numCache>
                <c:formatCode>#,##0.00_ </c:formatCode>
                <c:ptCount val="9"/>
                <c:pt idx="0">
                  <c:v>378508.09</c:v>
                </c:pt>
                <c:pt idx="1">
                  <c:v>4668557.12</c:v>
                </c:pt>
                <c:pt idx="2">
                  <c:v>5798721.3799999999</c:v>
                </c:pt>
                <c:pt idx="3">
                  <c:v>0</c:v>
                </c:pt>
                <c:pt idx="4">
                  <c:v>0</c:v>
                </c:pt>
                <c:pt idx="5">
                  <c:v>0</c:v>
                </c:pt>
                <c:pt idx="6">
                  <c:v>0</c:v>
                </c:pt>
                <c:pt idx="7">
                  <c:v>0</c:v>
                </c:pt>
                <c:pt idx="8">
                  <c:v>0</c:v>
                </c:pt>
              </c:numCache>
            </c:numRef>
          </c:val>
          <c:extLst>
            <c:ext xmlns:c16="http://schemas.microsoft.com/office/drawing/2014/chart" uri="{C3380CC4-5D6E-409C-BE32-E72D297353CC}">
              <c16:uniqueId val="{00000000-77FF-436A-A114-51FF913C5C88}"/>
            </c:ext>
          </c:extLst>
        </c:ser>
        <c:ser>
          <c:idx val="1"/>
          <c:order val="1"/>
          <c:tx>
            <c:strRef>
              <c:f>平均资本成本表!$A$4</c:f>
              <c:strCache>
                <c:ptCount val="1"/>
                <c:pt idx="0">
                  <c:v>(2)有息债务</c:v>
                </c:pt>
              </c:strCache>
            </c:strRef>
          </c:tx>
          <c:invertIfNegative val="0"/>
          <c:val>
            <c:numRef>
              <c:f>平均资本成本表!$B$4:$Y$4</c:f>
              <c:numCache>
                <c:formatCode>#,##0.00_ </c:formatCode>
                <c:ptCount val="9"/>
                <c:pt idx="0">
                  <c:v>0</c:v>
                </c:pt>
                <c:pt idx="1">
                  <c:v>76655193.420000002</c:v>
                </c:pt>
                <c:pt idx="2">
                  <c:v>103040800</c:v>
                </c:pt>
                <c:pt idx="3">
                  <c:v>71213008.239999995</c:v>
                </c:pt>
                <c:pt idx="4">
                  <c:v>23881671.98</c:v>
                </c:pt>
                <c:pt idx="5">
                  <c:v>0</c:v>
                </c:pt>
                <c:pt idx="6">
                  <c:v>0</c:v>
                </c:pt>
                <c:pt idx="7">
                  <c:v>0</c:v>
                </c:pt>
                <c:pt idx="8">
                  <c:v>0</c:v>
                </c:pt>
              </c:numCache>
            </c:numRef>
          </c:val>
          <c:extLst>
            <c:ext xmlns:c16="http://schemas.microsoft.com/office/drawing/2014/chart" uri="{C3380CC4-5D6E-409C-BE32-E72D297353CC}">
              <c16:uniqueId val="{00000001-77FF-436A-A114-51FF913C5C88}"/>
            </c:ext>
          </c:extLst>
        </c:ser>
        <c:ser>
          <c:idx val="5"/>
          <c:order val="2"/>
          <c:tx>
            <c:strRef>
              <c:f>平均资本成本表!$A$8</c:f>
              <c:strCache>
                <c:ptCount val="1"/>
                <c:pt idx="0">
                  <c:v>(5)股东权益</c:v>
                </c:pt>
              </c:strCache>
            </c:strRef>
          </c:tx>
          <c:invertIfNegative val="0"/>
          <c:val>
            <c:numRef>
              <c:f>平均资本成本表!$B$8:$Y$8</c:f>
              <c:numCache>
                <c:formatCode>#,##0.00_ </c:formatCode>
                <c:ptCount val="9"/>
                <c:pt idx="0">
                  <c:v>1094321354.0599999</c:v>
                </c:pt>
                <c:pt idx="1">
                  <c:v>985414241.73000002</c:v>
                </c:pt>
                <c:pt idx="2">
                  <c:v>387347869.01999998</c:v>
                </c:pt>
                <c:pt idx="3">
                  <c:v>254378428.47999999</c:v>
                </c:pt>
                <c:pt idx="4">
                  <c:v>209769272.30000001</c:v>
                </c:pt>
                <c:pt idx="5">
                  <c:v>0</c:v>
                </c:pt>
                <c:pt idx="6">
                  <c:v>39038063287.049995</c:v>
                </c:pt>
                <c:pt idx="7">
                  <c:v>37019284552.089996</c:v>
                </c:pt>
                <c:pt idx="8">
                  <c:v>31521070553.299999</c:v>
                </c:pt>
              </c:numCache>
            </c:numRef>
          </c:val>
          <c:extLst>
            <c:ext xmlns:c16="http://schemas.microsoft.com/office/drawing/2014/chart" uri="{C3380CC4-5D6E-409C-BE32-E72D297353CC}">
              <c16:uniqueId val="{00000002-77FF-436A-A114-51FF913C5C88}"/>
            </c:ext>
          </c:extLst>
        </c:ser>
        <c:ser>
          <c:idx val="7"/>
          <c:order val="3"/>
          <c:tx>
            <c:strRef>
              <c:f>平均资本成本表!$A$10</c:f>
              <c:strCache>
                <c:ptCount val="1"/>
                <c:pt idx="0">
                  <c:v>(7)资本总额</c:v>
                </c:pt>
              </c:strCache>
            </c:strRef>
          </c:tx>
          <c:invertIfNegative val="0"/>
          <c:val>
            <c:numRef>
              <c:f>平均资本成本表!$B$10:$Y$10</c:f>
              <c:numCache>
                <c:formatCode>#,##0.00_ </c:formatCode>
                <c:ptCount val="9"/>
                <c:pt idx="0">
                  <c:v>1094888457.78</c:v>
                </c:pt>
                <c:pt idx="1">
                  <c:v>1062069435.15</c:v>
                </c:pt>
                <c:pt idx="2">
                  <c:v>490388669.01999992</c:v>
                </c:pt>
                <c:pt idx="3">
                  <c:v>329687136.41000009</c:v>
                </c:pt>
                <c:pt idx="4">
                  <c:v>237522643.97</c:v>
                </c:pt>
                <c:pt idx="5">
                  <c:v>0</c:v>
                </c:pt>
                <c:pt idx="6">
                  <c:v>0</c:v>
                </c:pt>
                <c:pt idx="7">
                  <c:v>0</c:v>
                </c:pt>
                <c:pt idx="8">
                  <c:v>0</c:v>
                </c:pt>
              </c:numCache>
            </c:numRef>
          </c:val>
          <c:extLst>
            <c:ext xmlns:c16="http://schemas.microsoft.com/office/drawing/2014/chart" uri="{C3380CC4-5D6E-409C-BE32-E72D297353CC}">
              <c16:uniqueId val="{00000003-77FF-436A-A114-51FF913C5C88}"/>
            </c:ext>
          </c:extLst>
        </c:ser>
        <c:dLbls>
          <c:showLegendKey val="0"/>
          <c:showVal val="0"/>
          <c:showCatName val="0"/>
          <c:showSerName val="0"/>
          <c:showPercent val="0"/>
          <c:showBubbleSize val="0"/>
        </c:dLbls>
        <c:gapWidth val="150"/>
        <c:axId val="227971072"/>
        <c:axId val="228002048"/>
      </c:barChart>
      <c:catAx>
        <c:axId val="227971072"/>
        <c:scaling>
          <c:orientation val="minMax"/>
        </c:scaling>
        <c:delete val="0"/>
        <c:axPos val="b"/>
        <c:majorTickMark val="out"/>
        <c:minorTickMark val="none"/>
        <c:tickLblPos val="nextTo"/>
        <c:crossAx val="228002048"/>
        <c:crosses val="autoZero"/>
        <c:auto val="1"/>
        <c:lblAlgn val="ctr"/>
        <c:lblOffset val="100"/>
        <c:noMultiLvlLbl val="0"/>
      </c:catAx>
      <c:valAx>
        <c:axId val="228002048"/>
        <c:scaling>
          <c:orientation val="minMax"/>
        </c:scaling>
        <c:delete val="0"/>
        <c:axPos val="l"/>
        <c:majorGridlines/>
        <c:numFmt formatCode="#,##0.00_ " sourceLinked="1"/>
        <c:majorTickMark val="out"/>
        <c:minorTickMark val="none"/>
        <c:tickLblPos val="nextTo"/>
        <c:crossAx val="227971072"/>
        <c:crosses val="autoZero"/>
        <c:crossBetween val="between"/>
      </c:valAx>
    </c:plotArea>
    <c:legend>
      <c:legendPos val="r"/>
      <c:layout>
        <c:manualLayout>
          <c:xMode val="edge"/>
          <c:yMode val="edge"/>
          <c:x val="0.79093197725284337"/>
          <c:y val="0.23824547973170021"/>
          <c:w val="0.15849790740855424"/>
          <c:h val="0.27753148246281351"/>
        </c:manualLayout>
      </c:layout>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zh-CN"/>
        </a:p>
      </c:txPr>
    </c:title>
    <c:autoTitleDeleted val="0"/>
    <c:plotArea>
      <c:layout/>
      <c:lineChart>
        <c:grouping val="stacked"/>
        <c:varyColors val="0"/>
        <c:ser>
          <c:idx val="0"/>
          <c:order val="0"/>
          <c:tx>
            <c:strRef>
              <c:f>平均资本成本表!$A$13</c:f>
              <c:strCache>
                <c:ptCount val="1"/>
                <c:pt idx="0">
                  <c:v>(10)加权平均资金成本(WACC)%</c:v>
                </c:pt>
              </c:strCache>
            </c:strRef>
          </c:tx>
          <c:spPr>
            <a:ln w="34925" cap="rnd">
              <a:solidFill>
                <a:schemeClr val="lt1"/>
              </a:solidFill>
              <a:round/>
            </a:ln>
            <a:effectLst>
              <a:outerShdw dist="25400" dir="2700000" algn="tl" rotWithShape="0">
                <a:schemeClr val="accent1"/>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zh-C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val>
            <c:numRef>
              <c:f>平均资本成本表!$B$13:$BV$13</c:f>
              <c:numCache>
                <c:formatCode>0.00%</c:formatCode>
                <c:ptCount val="23"/>
                <c:pt idx="0">
                  <c:v>7.9958563543822539E-2</c:v>
                </c:pt>
                <c:pt idx="1">
                  <c:v>7.7423211434860251E-2</c:v>
                </c:pt>
                <c:pt idx="2">
                  <c:v>8.319924668900805E-2</c:v>
                </c:pt>
                <c:pt idx="3">
                  <c:v>6.1726018491338186E-2</c:v>
                </c:pt>
                <c:pt idx="4">
                  <c:v>7.0652387088279353E-2</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numCache>
            </c:numRef>
          </c:val>
          <c:smooth val="0"/>
          <c:extLst>
            <c:ext xmlns:c16="http://schemas.microsoft.com/office/drawing/2014/chart" uri="{C3380CC4-5D6E-409C-BE32-E72D297353CC}">
              <c16:uniqueId val="{00000000-4FB5-4E5E-9044-369B9CCD7DF3}"/>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smooth val="0"/>
        <c:axId val="580875192"/>
        <c:axId val="580874232"/>
      </c:lineChart>
      <c:catAx>
        <c:axId val="580875192"/>
        <c:scaling>
          <c:orientation val="minMax"/>
        </c:scaling>
        <c:delete val="0"/>
        <c:axPos val="b"/>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zh-CN"/>
          </a:p>
        </c:txPr>
        <c:crossAx val="580874232"/>
        <c:crosses val="autoZero"/>
        <c:auto val="1"/>
        <c:lblAlgn val="ctr"/>
        <c:lblOffset val="100"/>
        <c:noMultiLvlLbl val="0"/>
      </c:catAx>
      <c:valAx>
        <c:axId val="580874232"/>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zh-CN"/>
          </a:p>
        </c:txPr>
        <c:crossAx val="580875192"/>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zh-CN"/>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688038676558807E-2"/>
          <c:y val="0.10645091477089169"/>
          <c:w val="0.77804489816852762"/>
          <c:h val="0.86341846939106237"/>
        </c:manualLayout>
      </c:layout>
      <c:lineChart>
        <c:grouping val="stacked"/>
        <c:varyColors val="0"/>
        <c:ser>
          <c:idx val="0"/>
          <c:order val="0"/>
          <c:tx>
            <c:strRef>
              <c:f>资产资本结构分析表!$A$25</c:f>
              <c:strCache>
                <c:ptCount val="1"/>
                <c:pt idx="0">
                  <c:v>金融资产变化率</c:v>
                </c:pt>
              </c:strCache>
            </c:strRef>
          </c:tx>
          <c:val>
            <c:numRef>
              <c:f>资产资本结构分析表!$B$25:$Y$25</c:f>
              <c:numCache>
                <c:formatCode>0.00%</c:formatCode>
                <c:ptCount val="15"/>
                <c:pt idx="0">
                  <c:v>-0.18627936951868862</c:v>
                </c:pt>
                <c:pt idx="1">
                  <c:v>2.6426555628332489</c:v>
                </c:pt>
                <c:pt idx="2">
                  <c:v>0.90997800670767637</c:v>
                </c:pt>
                <c:pt idx="3">
                  <c:v>0</c:v>
                </c:pt>
                <c:pt idx="4">
                  <c:v>0</c:v>
                </c:pt>
                <c:pt idx="5">
                  <c:v>0</c:v>
                </c:pt>
                <c:pt idx="6">
                  <c:v>0</c:v>
                </c:pt>
                <c:pt idx="7">
                  <c:v>0</c:v>
                </c:pt>
                <c:pt idx="8">
                  <c:v>0</c:v>
                </c:pt>
                <c:pt idx="9">
                  <c:v>0</c:v>
                </c:pt>
                <c:pt idx="10">
                  <c:v>0</c:v>
                </c:pt>
                <c:pt idx="11">
                  <c:v>0</c:v>
                </c:pt>
                <c:pt idx="12">
                  <c:v>0</c:v>
                </c:pt>
                <c:pt idx="13">
                  <c:v>0</c:v>
                </c:pt>
                <c:pt idx="14">
                  <c:v>0</c:v>
                </c:pt>
              </c:numCache>
            </c:numRef>
          </c:val>
          <c:smooth val="0"/>
          <c:extLst>
            <c:ext xmlns:c16="http://schemas.microsoft.com/office/drawing/2014/chart" uri="{C3380CC4-5D6E-409C-BE32-E72D297353CC}">
              <c16:uniqueId val="{00000000-66CE-4B25-907E-89F5250D4056}"/>
            </c:ext>
          </c:extLst>
        </c:ser>
        <c:ser>
          <c:idx val="2"/>
          <c:order val="1"/>
          <c:tx>
            <c:strRef>
              <c:f>资产资本结构分析表!$A$27</c:f>
              <c:strCache>
                <c:ptCount val="1"/>
                <c:pt idx="0">
                  <c:v>长期股权投资变化率</c:v>
                </c:pt>
              </c:strCache>
            </c:strRef>
          </c:tx>
          <c:val>
            <c:numRef>
              <c:f>资产资本结构分析表!$B$27:$Y$27</c:f>
              <c:numCache>
                <c:formatCode>0.00%</c:formatCode>
                <c:ptCount val="15"/>
                <c:pt idx="0">
                  <c:v>0</c:v>
                </c:pt>
                <c:pt idx="1">
                  <c:v>0</c:v>
                </c:pt>
                <c:pt idx="2">
                  <c:v>-1</c:v>
                </c:pt>
                <c:pt idx="3">
                  <c:v>0</c:v>
                </c:pt>
                <c:pt idx="4">
                  <c:v>0</c:v>
                </c:pt>
                <c:pt idx="5">
                  <c:v>0</c:v>
                </c:pt>
                <c:pt idx="6">
                  <c:v>0</c:v>
                </c:pt>
                <c:pt idx="7">
                  <c:v>0</c:v>
                </c:pt>
                <c:pt idx="8">
                  <c:v>0</c:v>
                </c:pt>
                <c:pt idx="9">
                  <c:v>0</c:v>
                </c:pt>
                <c:pt idx="10">
                  <c:v>0</c:v>
                </c:pt>
                <c:pt idx="11">
                  <c:v>0</c:v>
                </c:pt>
                <c:pt idx="12">
                  <c:v>0</c:v>
                </c:pt>
                <c:pt idx="13">
                  <c:v>0</c:v>
                </c:pt>
                <c:pt idx="14">
                  <c:v>0</c:v>
                </c:pt>
              </c:numCache>
            </c:numRef>
          </c:val>
          <c:smooth val="0"/>
          <c:extLst>
            <c:ext xmlns:c16="http://schemas.microsoft.com/office/drawing/2014/chart" uri="{C3380CC4-5D6E-409C-BE32-E72D297353CC}">
              <c16:uniqueId val="{00000001-66CE-4B25-907E-89F5250D4056}"/>
            </c:ext>
          </c:extLst>
        </c:ser>
        <c:ser>
          <c:idx val="4"/>
          <c:order val="2"/>
          <c:tx>
            <c:strRef>
              <c:f>资产资本结构分析表!$A$29</c:f>
              <c:strCache>
                <c:ptCount val="1"/>
                <c:pt idx="0">
                  <c:v>营运资本变化率</c:v>
                </c:pt>
              </c:strCache>
            </c:strRef>
          </c:tx>
          <c:val>
            <c:numRef>
              <c:f>资产资本结构分析表!$B$29:$Y$29</c:f>
              <c:numCache>
                <c:formatCode>0.00%</c:formatCode>
                <c:ptCount val="15"/>
                <c:pt idx="0">
                  <c:v>0.10226949277914017</c:v>
                </c:pt>
                <c:pt idx="1">
                  <c:v>-5.2905683483427488</c:v>
                </c:pt>
                <c:pt idx="2">
                  <c:v>166.55916449506071</c:v>
                </c:pt>
                <c:pt idx="3">
                  <c:v>0</c:v>
                </c:pt>
                <c:pt idx="4">
                  <c:v>0</c:v>
                </c:pt>
                <c:pt idx="5">
                  <c:v>0</c:v>
                </c:pt>
                <c:pt idx="6">
                  <c:v>0</c:v>
                </c:pt>
                <c:pt idx="7">
                  <c:v>0</c:v>
                </c:pt>
                <c:pt idx="8">
                  <c:v>0</c:v>
                </c:pt>
                <c:pt idx="9">
                  <c:v>0</c:v>
                </c:pt>
                <c:pt idx="10">
                  <c:v>0</c:v>
                </c:pt>
                <c:pt idx="11">
                  <c:v>0</c:v>
                </c:pt>
                <c:pt idx="12">
                  <c:v>0</c:v>
                </c:pt>
                <c:pt idx="13">
                  <c:v>0</c:v>
                </c:pt>
                <c:pt idx="14">
                  <c:v>0</c:v>
                </c:pt>
              </c:numCache>
            </c:numRef>
          </c:val>
          <c:smooth val="0"/>
          <c:extLst>
            <c:ext xmlns:c16="http://schemas.microsoft.com/office/drawing/2014/chart" uri="{C3380CC4-5D6E-409C-BE32-E72D297353CC}">
              <c16:uniqueId val="{00000002-66CE-4B25-907E-89F5250D4056}"/>
            </c:ext>
          </c:extLst>
        </c:ser>
        <c:ser>
          <c:idx val="5"/>
          <c:order val="3"/>
          <c:tx>
            <c:strRef>
              <c:f>资产资本结构分析表!$A$30</c:f>
              <c:strCache>
                <c:ptCount val="1"/>
                <c:pt idx="0">
                  <c:v>营运资产变化率</c:v>
                </c:pt>
              </c:strCache>
            </c:strRef>
          </c:tx>
          <c:val>
            <c:numRef>
              <c:f>资产资本结构分析表!$B$30:$Y$30</c:f>
              <c:numCache>
                <c:formatCode>0.00%</c:formatCode>
                <c:ptCount val="15"/>
                <c:pt idx="0">
                  <c:v>0.10398101915288804</c:v>
                </c:pt>
                <c:pt idx="1">
                  <c:v>4.453888054654211</c:v>
                </c:pt>
                <c:pt idx="2">
                  <c:v>0.83368510994203993</c:v>
                </c:pt>
                <c:pt idx="3">
                  <c:v>0</c:v>
                </c:pt>
                <c:pt idx="4">
                  <c:v>0</c:v>
                </c:pt>
                <c:pt idx="5">
                  <c:v>0</c:v>
                </c:pt>
                <c:pt idx="6">
                  <c:v>0</c:v>
                </c:pt>
                <c:pt idx="7">
                  <c:v>0</c:v>
                </c:pt>
                <c:pt idx="8">
                  <c:v>0</c:v>
                </c:pt>
                <c:pt idx="9">
                  <c:v>0</c:v>
                </c:pt>
                <c:pt idx="10">
                  <c:v>0</c:v>
                </c:pt>
                <c:pt idx="11">
                  <c:v>0</c:v>
                </c:pt>
                <c:pt idx="12">
                  <c:v>0</c:v>
                </c:pt>
                <c:pt idx="13">
                  <c:v>0</c:v>
                </c:pt>
                <c:pt idx="14">
                  <c:v>0</c:v>
                </c:pt>
              </c:numCache>
            </c:numRef>
          </c:val>
          <c:smooth val="0"/>
          <c:extLst>
            <c:ext xmlns:c16="http://schemas.microsoft.com/office/drawing/2014/chart" uri="{C3380CC4-5D6E-409C-BE32-E72D297353CC}">
              <c16:uniqueId val="{00000003-66CE-4B25-907E-89F5250D4056}"/>
            </c:ext>
          </c:extLst>
        </c:ser>
        <c:ser>
          <c:idx val="6"/>
          <c:order val="4"/>
          <c:tx>
            <c:strRef>
              <c:f>资产资本结构分析表!$A$31</c:f>
              <c:strCache>
                <c:ptCount val="1"/>
                <c:pt idx="0">
                  <c:v>营运负责变化率</c:v>
                </c:pt>
              </c:strCache>
            </c:strRef>
          </c:tx>
          <c:val>
            <c:numRef>
              <c:f>资产资本结构分析表!$B$31:$Y$31</c:f>
              <c:numCache>
                <c:formatCode>0.00%</c:formatCode>
                <c:ptCount val="15"/>
                <c:pt idx="0">
                  <c:v>0.10535118194975809</c:v>
                </c:pt>
                <c:pt idx="1">
                  <c:v>0.93526768493559631</c:v>
                </c:pt>
                <c:pt idx="2">
                  <c:v>2.1270332666845766</c:v>
                </c:pt>
                <c:pt idx="3">
                  <c:v>0</c:v>
                </c:pt>
                <c:pt idx="4">
                  <c:v>0</c:v>
                </c:pt>
                <c:pt idx="5">
                  <c:v>0</c:v>
                </c:pt>
                <c:pt idx="6">
                  <c:v>0</c:v>
                </c:pt>
                <c:pt idx="7">
                  <c:v>0</c:v>
                </c:pt>
                <c:pt idx="8">
                  <c:v>0</c:v>
                </c:pt>
                <c:pt idx="9">
                  <c:v>0</c:v>
                </c:pt>
                <c:pt idx="10">
                  <c:v>0</c:v>
                </c:pt>
                <c:pt idx="11">
                  <c:v>0</c:v>
                </c:pt>
                <c:pt idx="12">
                  <c:v>0</c:v>
                </c:pt>
                <c:pt idx="13">
                  <c:v>0</c:v>
                </c:pt>
                <c:pt idx="14">
                  <c:v>0</c:v>
                </c:pt>
              </c:numCache>
            </c:numRef>
          </c:val>
          <c:smooth val="0"/>
          <c:extLst>
            <c:ext xmlns:c16="http://schemas.microsoft.com/office/drawing/2014/chart" uri="{C3380CC4-5D6E-409C-BE32-E72D297353CC}">
              <c16:uniqueId val="{00000004-66CE-4B25-907E-89F5250D4056}"/>
            </c:ext>
          </c:extLst>
        </c:ser>
        <c:ser>
          <c:idx val="7"/>
          <c:order val="5"/>
          <c:tx>
            <c:strRef>
              <c:f>资产资本结构分析表!$A$32</c:f>
              <c:strCache>
                <c:ptCount val="1"/>
                <c:pt idx="0">
                  <c:v>长期经营资产变化率</c:v>
                </c:pt>
              </c:strCache>
            </c:strRef>
          </c:tx>
          <c:val>
            <c:numRef>
              <c:f>资产资本结构分析表!$B$32:$Y$32</c:f>
              <c:numCache>
                <c:formatCode>0.00%</c:formatCode>
                <c:ptCount val="15"/>
                <c:pt idx="0">
                  <c:v>0.14435109917701514</c:v>
                </c:pt>
                <c:pt idx="1">
                  <c:v>8.8413565883275341E-2</c:v>
                </c:pt>
                <c:pt idx="2">
                  <c:v>2.3059934037419318</c:v>
                </c:pt>
                <c:pt idx="3">
                  <c:v>0</c:v>
                </c:pt>
                <c:pt idx="4">
                  <c:v>0</c:v>
                </c:pt>
                <c:pt idx="5">
                  <c:v>0</c:v>
                </c:pt>
                <c:pt idx="6">
                  <c:v>0</c:v>
                </c:pt>
                <c:pt idx="7">
                  <c:v>0</c:v>
                </c:pt>
                <c:pt idx="8">
                  <c:v>0</c:v>
                </c:pt>
                <c:pt idx="9">
                  <c:v>0</c:v>
                </c:pt>
                <c:pt idx="10">
                  <c:v>0</c:v>
                </c:pt>
                <c:pt idx="11">
                  <c:v>0</c:v>
                </c:pt>
                <c:pt idx="12">
                  <c:v>0</c:v>
                </c:pt>
                <c:pt idx="13">
                  <c:v>0</c:v>
                </c:pt>
                <c:pt idx="14">
                  <c:v>0</c:v>
                </c:pt>
              </c:numCache>
            </c:numRef>
          </c:val>
          <c:smooth val="0"/>
          <c:extLst>
            <c:ext xmlns:c16="http://schemas.microsoft.com/office/drawing/2014/chart" uri="{C3380CC4-5D6E-409C-BE32-E72D297353CC}">
              <c16:uniqueId val="{00000005-66CE-4B25-907E-89F5250D4056}"/>
            </c:ext>
          </c:extLst>
        </c:ser>
        <c:ser>
          <c:idx val="9"/>
          <c:order val="6"/>
          <c:tx>
            <c:strRef>
              <c:f>资产资本结构分析表!$A$34</c:f>
              <c:strCache>
                <c:ptCount val="1"/>
                <c:pt idx="0">
                  <c:v>短期债务变化率</c:v>
                </c:pt>
              </c:strCache>
            </c:strRef>
          </c:tx>
          <c:val>
            <c:numRef>
              <c:f>资产资本结构分析表!$B$34:$Y$34</c:f>
              <c:numCache>
                <c:formatCode>0.00%</c:formatCode>
                <c:ptCount val="15"/>
                <c:pt idx="0">
                  <c:v>-1</c:v>
                </c:pt>
                <c:pt idx="1">
                  <c:v>0.37051317647058823</c:v>
                </c:pt>
                <c:pt idx="2">
                  <c:v>1.7071434384210524</c:v>
                </c:pt>
                <c:pt idx="3">
                  <c:v>0</c:v>
                </c:pt>
                <c:pt idx="4">
                  <c:v>0</c:v>
                </c:pt>
                <c:pt idx="5">
                  <c:v>0</c:v>
                </c:pt>
                <c:pt idx="6">
                  <c:v>0</c:v>
                </c:pt>
                <c:pt idx="7">
                  <c:v>0</c:v>
                </c:pt>
                <c:pt idx="8">
                  <c:v>0</c:v>
                </c:pt>
                <c:pt idx="9">
                  <c:v>0</c:v>
                </c:pt>
                <c:pt idx="10">
                  <c:v>0</c:v>
                </c:pt>
                <c:pt idx="11">
                  <c:v>0</c:v>
                </c:pt>
                <c:pt idx="12">
                  <c:v>0</c:v>
                </c:pt>
                <c:pt idx="13">
                  <c:v>0</c:v>
                </c:pt>
                <c:pt idx="14">
                  <c:v>0</c:v>
                </c:pt>
              </c:numCache>
            </c:numRef>
          </c:val>
          <c:smooth val="0"/>
          <c:extLst>
            <c:ext xmlns:c16="http://schemas.microsoft.com/office/drawing/2014/chart" uri="{C3380CC4-5D6E-409C-BE32-E72D297353CC}">
              <c16:uniqueId val="{00000006-66CE-4B25-907E-89F5250D4056}"/>
            </c:ext>
          </c:extLst>
        </c:ser>
        <c:ser>
          <c:idx val="11"/>
          <c:order val="7"/>
          <c:tx>
            <c:strRef>
              <c:f>资产资本结构分析表!$A$36</c:f>
              <c:strCache>
                <c:ptCount val="1"/>
                <c:pt idx="0">
                  <c:v>长期债务变化率</c:v>
                </c:pt>
              </c:strCache>
            </c:strRef>
          </c:tx>
          <c:val>
            <c:numRef>
              <c:f>资产资本结构分析表!$B$36:$Y$36</c:f>
              <c:numCache>
                <c:formatCode>0.00%</c:formatCode>
                <c:ptCount val="15"/>
                <c:pt idx="0">
                  <c:v>-1</c:v>
                </c:pt>
                <c:pt idx="1">
                  <c:v>-0.69593425557640465</c:v>
                </c:pt>
                <c:pt idx="2">
                  <c:v>6.9853788127730763</c:v>
                </c:pt>
                <c:pt idx="3">
                  <c:v>0</c:v>
                </c:pt>
                <c:pt idx="4">
                  <c:v>0</c:v>
                </c:pt>
                <c:pt idx="5">
                  <c:v>0</c:v>
                </c:pt>
                <c:pt idx="6">
                  <c:v>0</c:v>
                </c:pt>
                <c:pt idx="7">
                  <c:v>0</c:v>
                </c:pt>
                <c:pt idx="8">
                  <c:v>0</c:v>
                </c:pt>
                <c:pt idx="9">
                  <c:v>0</c:v>
                </c:pt>
                <c:pt idx="10">
                  <c:v>0</c:v>
                </c:pt>
                <c:pt idx="11">
                  <c:v>0</c:v>
                </c:pt>
                <c:pt idx="12">
                  <c:v>0</c:v>
                </c:pt>
                <c:pt idx="13">
                  <c:v>0</c:v>
                </c:pt>
                <c:pt idx="14">
                  <c:v>0</c:v>
                </c:pt>
              </c:numCache>
            </c:numRef>
          </c:val>
          <c:smooth val="0"/>
          <c:extLst>
            <c:ext xmlns:c16="http://schemas.microsoft.com/office/drawing/2014/chart" uri="{C3380CC4-5D6E-409C-BE32-E72D297353CC}">
              <c16:uniqueId val="{00000007-66CE-4B25-907E-89F5250D4056}"/>
            </c:ext>
          </c:extLst>
        </c:ser>
        <c:dLbls>
          <c:showLegendKey val="0"/>
          <c:showVal val="0"/>
          <c:showCatName val="0"/>
          <c:showSerName val="0"/>
          <c:showPercent val="0"/>
          <c:showBubbleSize val="0"/>
        </c:dLbls>
        <c:marker val="1"/>
        <c:smooth val="0"/>
        <c:axId val="227974144"/>
        <c:axId val="228004352"/>
      </c:lineChart>
      <c:catAx>
        <c:axId val="227974144"/>
        <c:scaling>
          <c:orientation val="minMax"/>
        </c:scaling>
        <c:delete val="0"/>
        <c:axPos val="b"/>
        <c:majorTickMark val="out"/>
        <c:minorTickMark val="none"/>
        <c:tickLblPos val="nextTo"/>
        <c:crossAx val="228004352"/>
        <c:crosses val="autoZero"/>
        <c:auto val="1"/>
        <c:lblAlgn val="ctr"/>
        <c:lblOffset val="100"/>
        <c:noMultiLvlLbl val="0"/>
      </c:catAx>
      <c:valAx>
        <c:axId val="228004352"/>
        <c:scaling>
          <c:orientation val="minMax"/>
        </c:scaling>
        <c:delete val="0"/>
        <c:axPos val="l"/>
        <c:majorGridlines/>
        <c:numFmt formatCode="0.00%" sourceLinked="1"/>
        <c:majorTickMark val="out"/>
        <c:minorTickMark val="none"/>
        <c:tickLblPos val="nextTo"/>
        <c:crossAx val="227974144"/>
        <c:crosses val="autoZero"/>
        <c:crossBetween val="between"/>
      </c:valAx>
    </c:plotArea>
    <c:legend>
      <c:legendPos val="r"/>
      <c:layout>
        <c:manualLayout>
          <c:xMode val="edge"/>
          <c:yMode val="edge"/>
          <c:x val="0.7377306959577955"/>
          <c:y val="0.52592443591609872"/>
          <c:w val="0.23871218092464119"/>
          <c:h val="0.32014001499264483"/>
        </c:manualLayout>
      </c:layout>
      <c:overlay val="0"/>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538407203348873"/>
          <c:y val="5.826329223413465E-2"/>
          <c:w val="0.6642098845293064"/>
          <c:h val="0.86918437601763898"/>
        </c:manualLayout>
      </c:layout>
      <c:lineChart>
        <c:grouping val="stacked"/>
        <c:varyColors val="0"/>
        <c:ser>
          <c:idx val="1"/>
          <c:order val="0"/>
          <c:tx>
            <c:strRef>
              <c:f>资产资本结构分析表!$A$26</c:f>
              <c:strCache>
                <c:ptCount val="1"/>
                <c:pt idx="0">
                  <c:v>金融资产占比</c:v>
                </c:pt>
              </c:strCache>
            </c:strRef>
          </c:tx>
          <c:val>
            <c:numRef>
              <c:f>资产资本结构分析表!$B$26:$Y$26</c:f>
              <c:numCache>
                <c:formatCode>0.00%</c:formatCode>
                <c:ptCount val="15"/>
                <c:pt idx="0">
                  <c:v>0.32854873917419702</c:v>
                </c:pt>
                <c:pt idx="1">
                  <c:v>0.4162377303961905</c:v>
                </c:pt>
                <c:pt idx="2">
                  <c:v>0.35829787789832579</c:v>
                </c:pt>
                <c:pt idx="3">
                  <c:v>0.24747755742914701</c:v>
                </c:pt>
                <c:pt idx="4">
                  <c:v>0.24396088058892268</c:v>
                </c:pt>
                <c:pt idx="5">
                  <c:v>0.39849469017989569</c:v>
                </c:pt>
                <c:pt idx="6">
                  <c:v>0.44894427174475343</c:v>
                </c:pt>
                <c:pt idx="7">
                  <c:v>0</c:v>
                </c:pt>
                <c:pt idx="8">
                  <c:v>0</c:v>
                </c:pt>
                <c:pt idx="9">
                  <c:v>0</c:v>
                </c:pt>
                <c:pt idx="10">
                  <c:v>0</c:v>
                </c:pt>
                <c:pt idx="11">
                  <c:v>0</c:v>
                </c:pt>
                <c:pt idx="12">
                  <c:v>0</c:v>
                </c:pt>
                <c:pt idx="13">
                  <c:v>0</c:v>
                </c:pt>
                <c:pt idx="14">
                  <c:v>0</c:v>
                </c:pt>
              </c:numCache>
            </c:numRef>
          </c:val>
          <c:smooth val="0"/>
          <c:extLst>
            <c:ext xmlns:c16="http://schemas.microsoft.com/office/drawing/2014/chart" uri="{C3380CC4-5D6E-409C-BE32-E72D297353CC}">
              <c16:uniqueId val="{00000000-3C44-408F-97A9-A81F77976C01}"/>
            </c:ext>
          </c:extLst>
        </c:ser>
        <c:ser>
          <c:idx val="3"/>
          <c:order val="1"/>
          <c:tx>
            <c:strRef>
              <c:f>资产资本结构分析表!$A$28</c:f>
              <c:strCache>
                <c:ptCount val="1"/>
                <c:pt idx="0">
                  <c:v>长期股权投资占比</c:v>
                </c:pt>
              </c:strCache>
            </c:strRef>
          </c:tx>
          <c:val>
            <c:numRef>
              <c:f>资产资本结构分析表!$B$28:$Y$28</c:f>
              <c:numCache>
                <c:formatCode>0.00%</c:formatCode>
                <c:ptCount val="15"/>
                <c:pt idx="0">
                  <c:v>3.0140056519465851E-2</c:v>
                </c:pt>
                <c:pt idx="1">
                  <c:v>0</c:v>
                </c:pt>
                <c:pt idx="2">
                  <c:v>0</c:v>
                </c:pt>
                <c:pt idx="3">
                  <c:v>0</c:v>
                </c:pt>
                <c:pt idx="4">
                  <c:v>0</c:v>
                </c:pt>
                <c:pt idx="5">
                  <c:v>3.0331787005374589E-3</c:v>
                </c:pt>
                <c:pt idx="6">
                  <c:v>4.2101249097172555E-3</c:v>
                </c:pt>
                <c:pt idx="7">
                  <c:v>0</c:v>
                </c:pt>
                <c:pt idx="8">
                  <c:v>0</c:v>
                </c:pt>
                <c:pt idx="9">
                  <c:v>0</c:v>
                </c:pt>
                <c:pt idx="10">
                  <c:v>0</c:v>
                </c:pt>
                <c:pt idx="11">
                  <c:v>0</c:v>
                </c:pt>
                <c:pt idx="12">
                  <c:v>0</c:v>
                </c:pt>
                <c:pt idx="13">
                  <c:v>0</c:v>
                </c:pt>
                <c:pt idx="14">
                  <c:v>0</c:v>
                </c:pt>
              </c:numCache>
            </c:numRef>
          </c:val>
          <c:smooth val="0"/>
          <c:extLst>
            <c:ext xmlns:c16="http://schemas.microsoft.com/office/drawing/2014/chart" uri="{C3380CC4-5D6E-409C-BE32-E72D297353CC}">
              <c16:uniqueId val="{00000001-3C44-408F-97A9-A81F77976C01}"/>
            </c:ext>
          </c:extLst>
        </c:ser>
        <c:ser>
          <c:idx val="8"/>
          <c:order val="2"/>
          <c:tx>
            <c:strRef>
              <c:f>资产资本结构分析表!$A$33</c:f>
              <c:strCache>
                <c:ptCount val="1"/>
                <c:pt idx="0">
                  <c:v>长期经营资产占比</c:v>
                </c:pt>
              </c:strCache>
            </c:strRef>
          </c:tx>
          <c:val>
            <c:numRef>
              <c:f>资产资本结构分析表!$B$33:$Y$33</c:f>
              <c:numCache>
                <c:formatCode>0.00%</c:formatCode>
                <c:ptCount val="15"/>
                <c:pt idx="0">
                  <c:v>0.46597690823635923</c:v>
                </c:pt>
                <c:pt idx="1">
                  <c:v>0.41978031708165381</c:v>
                </c:pt>
                <c:pt idx="2">
                  <c:v>0.75771180013952333</c:v>
                </c:pt>
                <c:pt idx="3">
                  <c:v>0.83529639868839234</c:v>
                </c:pt>
                <c:pt idx="4">
                  <c:v>0.80462159246572784</c:v>
                </c:pt>
                <c:pt idx="5">
                  <c:v>0.54603872607915194</c:v>
                </c:pt>
                <c:pt idx="6">
                  <c:v>0.54850252739042038</c:v>
                </c:pt>
                <c:pt idx="7">
                  <c:v>0</c:v>
                </c:pt>
                <c:pt idx="8">
                  <c:v>0</c:v>
                </c:pt>
                <c:pt idx="9">
                  <c:v>0</c:v>
                </c:pt>
                <c:pt idx="10">
                  <c:v>0</c:v>
                </c:pt>
                <c:pt idx="11">
                  <c:v>0</c:v>
                </c:pt>
                <c:pt idx="12">
                  <c:v>0</c:v>
                </c:pt>
                <c:pt idx="13">
                  <c:v>0</c:v>
                </c:pt>
                <c:pt idx="14">
                  <c:v>0</c:v>
                </c:pt>
              </c:numCache>
            </c:numRef>
          </c:val>
          <c:smooth val="0"/>
          <c:extLst>
            <c:ext xmlns:c16="http://schemas.microsoft.com/office/drawing/2014/chart" uri="{C3380CC4-5D6E-409C-BE32-E72D297353CC}">
              <c16:uniqueId val="{00000002-3C44-408F-97A9-A81F77976C01}"/>
            </c:ext>
          </c:extLst>
        </c:ser>
        <c:ser>
          <c:idx val="10"/>
          <c:order val="3"/>
          <c:tx>
            <c:strRef>
              <c:f>资产资本结构分析表!$A$35</c:f>
              <c:strCache>
                <c:ptCount val="1"/>
                <c:pt idx="0">
                  <c:v>短期债务占比</c:v>
                </c:pt>
              </c:strCache>
            </c:strRef>
          </c:tx>
          <c:val>
            <c:numRef>
              <c:f>资产资本结构分析表!$B$35:$Y$35</c:f>
              <c:numCache>
                <c:formatCode>0.00%</c:formatCode>
                <c:ptCount val="15"/>
                <c:pt idx="0">
                  <c:v>0</c:v>
                </c:pt>
                <c:pt idx="1">
                  <c:v>0.75985471305069985</c:v>
                </c:pt>
                <c:pt idx="2">
                  <c:v>0.56886772081772297</c:v>
                </c:pt>
                <c:pt idx="3">
                  <c:v>0.41245797781073129</c:v>
                </c:pt>
                <c:pt idx="4">
                  <c:v>0.52061166409769288</c:v>
                </c:pt>
                <c:pt idx="5">
                  <c:v>0.92450987013661379</c:v>
                </c:pt>
                <c:pt idx="6">
                  <c:v>0.79558918721904326</c:v>
                </c:pt>
                <c:pt idx="7">
                  <c:v>0</c:v>
                </c:pt>
                <c:pt idx="8">
                  <c:v>0</c:v>
                </c:pt>
                <c:pt idx="9">
                  <c:v>0</c:v>
                </c:pt>
                <c:pt idx="10">
                  <c:v>0</c:v>
                </c:pt>
                <c:pt idx="11">
                  <c:v>0</c:v>
                </c:pt>
                <c:pt idx="12">
                  <c:v>0</c:v>
                </c:pt>
                <c:pt idx="13">
                  <c:v>0</c:v>
                </c:pt>
                <c:pt idx="14">
                  <c:v>0</c:v>
                </c:pt>
              </c:numCache>
            </c:numRef>
          </c:val>
          <c:smooth val="0"/>
          <c:extLst>
            <c:ext xmlns:c16="http://schemas.microsoft.com/office/drawing/2014/chart" uri="{C3380CC4-5D6E-409C-BE32-E72D297353CC}">
              <c16:uniqueId val="{00000003-3C44-408F-97A9-A81F77976C01}"/>
            </c:ext>
          </c:extLst>
        </c:ser>
        <c:ser>
          <c:idx val="12"/>
          <c:order val="4"/>
          <c:tx>
            <c:strRef>
              <c:f>资产资本结构分析表!$A$37</c:f>
              <c:strCache>
                <c:ptCount val="1"/>
                <c:pt idx="0">
                  <c:v>长期债务占比</c:v>
                </c:pt>
              </c:strCache>
            </c:strRef>
          </c:tx>
          <c:val>
            <c:numRef>
              <c:f>资产资本结构分析表!$B$37:$Y$37</c:f>
              <c:numCache>
                <c:formatCode>0.00%</c:formatCode>
                <c:ptCount val="15"/>
                <c:pt idx="0">
                  <c:v>0</c:v>
                </c:pt>
                <c:pt idx="1">
                  <c:v>0.2401452869493001</c:v>
                </c:pt>
                <c:pt idx="2">
                  <c:v>0.43113227918227703</c:v>
                </c:pt>
                <c:pt idx="3">
                  <c:v>0.58754202218926876</c:v>
                </c:pt>
                <c:pt idx="4">
                  <c:v>0.47938833590230712</c:v>
                </c:pt>
                <c:pt idx="5">
                  <c:v>7.5490129863386324E-2</c:v>
                </c:pt>
                <c:pt idx="6">
                  <c:v>0.20441081278095674</c:v>
                </c:pt>
                <c:pt idx="7">
                  <c:v>0</c:v>
                </c:pt>
                <c:pt idx="8">
                  <c:v>0</c:v>
                </c:pt>
                <c:pt idx="9">
                  <c:v>0</c:v>
                </c:pt>
                <c:pt idx="10">
                  <c:v>0</c:v>
                </c:pt>
                <c:pt idx="11">
                  <c:v>0</c:v>
                </c:pt>
                <c:pt idx="12">
                  <c:v>0</c:v>
                </c:pt>
                <c:pt idx="13">
                  <c:v>0</c:v>
                </c:pt>
                <c:pt idx="14">
                  <c:v>0</c:v>
                </c:pt>
              </c:numCache>
            </c:numRef>
          </c:val>
          <c:smooth val="0"/>
          <c:extLst>
            <c:ext xmlns:c16="http://schemas.microsoft.com/office/drawing/2014/chart" uri="{C3380CC4-5D6E-409C-BE32-E72D297353CC}">
              <c16:uniqueId val="{00000004-3C44-408F-97A9-A81F77976C01}"/>
            </c:ext>
          </c:extLst>
        </c:ser>
        <c:dLbls>
          <c:showLegendKey val="0"/>
          <c:showVal val="0"/>
          <c:showCatName val="0"/>
          <c:showSerName val="0"/>
          <c:showPercent val="0"/>
          <c:showBubbleSize val="0"/>
        </c:dLbls>
        <c:marker val="1"/>
        <c:smooth val="0"/>
        <c:axId val="227974656"/>
        <c:axId val="228006656"/>
      </c:lineChart>
      <c:catAx>
        <c:axId val="227974656"/>
        <c:scaling>
          <c:orientation val="minMax"/>
        </c:scaling>
        <c:delete val="0"/>
        <c:axPos val="b"/>
        <c:majorTickMark val="out"/>
        <c:minorTickMark val="none"/>
        <c:tickLblPos val="nextTo"/>
        <c:crossAx val="228006656"/>
        <c:crosses val="autoZero"/>
        <c:auto val="1"/>
        <c:lblAlgn val="ctr"/>
        <c:lblOffset val="100"/>
        <c:noMultiLvlLbl val="0"/>
      </c:catAx>
      <c:valAx>
        <c:axId val="228006656"/>
        <c:scaling>
          <c:orientation val="minMax"/>
        </c:scaling>
        <c:delete val="0"/>
        <c:axPos val="l"/>
        <c:majorGridlines/>
        <c:numFmt formatCode="0.00%" sourceLinked="1"/>
        <c:majorTickMark val="out"/>
        <c:minorTickMark val="none"/>
        <c:tickLblPos val="nextTo"/>
        <c:crossAx val="227974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资产资本结构分析表!$A$17</c:f>
              <c:strCache>
                <c:ptCount val="1"/>
                <c:pt idx="0">
                  <c:v>运营资本长期化率=（8+10-4-2）/3</c:v>
                </c:pt>
              </c:strCache>
            </c:strRef>
          </c:tx>
          <c:val>
            <c:numRef>
              <c:f>资产资本结构分析表!$B$17:$Y$17</c:f>
              <c:numCache>
                <c:formatCode>0.00%</c:formatCode>
                <c:ptCount val="15"/>
                <c:pt idx="0">
                  <c:v>2.8738418355018784</c:v>
                </c:pt>
                <c:pt idx="1">
                  <c:v>3.2038704469551074</c:v>
                </c:pt>
                <c:pt idx="2">
                  <c:v>-1.3085270795446515</c:v>
                </c:pt>
                <c:pt idx="3">
                  <c:v>-0.94278025005111488</c:v>
                </c:pt>
                <c:pt idx="4">
                  <c:v>-0.16788370862244986</c:v>
                </c:pt>
                <c:pt idx="5">
                  <c:v>4.7914553258429047</c:v>
                </c:pt>
                <c:pt idx="6">
                  <c:v>-221.67278913462309</c:v>
                </c:pt>
                <c:pt idx="7">
                  <c:v>0</c:v>
                </c:pt>
                <c:pt idx="8">
                  <c:v>0</c:v>
                </c:pt>
                <c:pt idx="9">
                  <c:v>0</c:v>
                </c:pt>
                <c:pt idx="10">
                  <c:v>0</c:v>
                </c:pt>
                <c:pt idx="11">
                  <c:v>0</c:v>
                </c:pt>
                <c:pt idx="12">
                  <c:v>0</c:v>
                </c:pt>
                <c:pt idx="13">
                  <c:v>0</c:v>
                </c:pt>
                <c:pt idx="14">
                  <c:v>0</c:v>
                </c:pt>
              </c:numCache>
            </c:numRef>
          </c:val>
          <c:smooth val="0"/>
          <c:extLst>
            <c:ext xmlns:c16="http://schemas.microsoft.com/office/drawing/2014/chart" uri="{C3380CC4-5D6E-409C-BE32-E72D297353CC}">
              <c16:uniqueId val="{00000000-8021-4C50-9973-4D132B4E0554}"/>
            </c:ext>
          </c:extLst>
        </c:ser>
        <c:dLbls>
          <c:showLegendKey val="0"/>
          <c:showVal val="0"/>
          <c:showCatName val="0"/>
          <c:showSerName val="0"/>
          <c:showPercent val="0"/>
          <c:showBubbleSize val="0"/>
        </c:dLbls>
        <c:marker val="1"/>
        <c:smooth val="0"/>
        <c:axId val="229237248"/>
        <c:axId val="229270656"/>
      </c:lineChart>
      <c:catAx>
        <c:axId val="229237248"/>
        <c:scaling>
          <c:orientation val="minMax"/>
        </c:scaling>
        <c:delete val="0"/>
        <c:axPos val="b"/>
        <c:majorTickMark val="out"/>
        <c:minorTickMark val="none"/>
        <c:tickLblPos val="nextTo"/>
        <c:crossAx val="229270656"/>
        <c:crosses val="autoZero"/>
        <c:auto val="1"/>
        <c:lblAlgn val="ctr"/>
        <c:lblOffset val="100"/>
        <c:noMultiLvlLbl val="0"/>
      </c:catAx>
      <c:valAx>
        <c:axId val="229270656"/>
        <c:scaling>
          <c:orientation val="minMax"/>
        </c:scaling>
        <c:delete val="0"/>
        <c:axPos val="l"/>
        <c:majorGridlines/>
        <c:numFmt formatCode="0.00%" sourceLinked="1"/>
        <c:majorTickMark val="out"/>
        <c:minorTickMark val="none"/>
        <c:tickLblPos val="nextTo"/>
        <c:crossAx val="229237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资产资本结构分析表!$A$2</c:f>
              <c:strCache>
                <c:ptCount val="1"/>
                <c:pt idx="0">
                  <c:v>(1)金融资产</c:v>
                </c:pt>
              </c:strCache>
            </c:strRef>
          </c:tx>
          <c:invertIfNegative val="0"/>
          <c:val>
            <c:numRef>
              <c:f>资产资本结构分析表!$B$2:$Y$2</c:f>
              <c:numCache>
                <c:formatCode>#,##0.00_ </c:formatCode>
                <c:ptCount val="15"/>
                <c:pt idx="0">
                  <c:v>359724222.34000003</c:v>
                </c:pt>
                <c:pt idx="1">
                  <c:v>442073371.21000004</c:v>
                </c:pt>
                <c:pt idx="2">
                  <c:v>203669416.86000001</c:v>
                </c:pt>
                <c:pt idx="3">
                  <c:v>121360190</c:v>
                </c:pt>
                <c:pt idx="4">
                  <c:v>121048251.62</c:v>
                </c:pt>
                <c:pt idx="5">
                  <c:v>131378573.28</c:v>
                </c:pt>
                <c:pt idx="6">
                  <c:v>106634430.42</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0-0646-411F-B3E9-99281EA30DD0}"/>
            </c:ext>
          </c:extLst>
        </c:ser>
        <c:ser>
          <c:idx val="1"/>
          <c:order val="1"/>
          <c:tx>
            <c:strRef>
              <c:f>资产资本结构分析表!$A$3</c:f>
              <c:strCache>
                <c:ptCount val="1"/>
                <c:pt idx="0">
                  <c:v>(2)长期股权投资</c:v>
                </c:pt>
              </c:strCache>
            </c:strRef>
          </c:tx>
          <c:invertIfNegative val="0"/>
          <c:val>
            <c:numRef>
              <c:f>资产资本结构分析表!$B$3:$Y$3</c:f>
              <c:numCache>
                <c:formatCode>#,##0.00_ </c:formatCode>
                <c:ptCount val="15"/>
                <c:pt idx="0">
                  <c:v>33000000</c:v>
                </c:pt>
                <c:pt idx="1">
                  <c:v>0</c:v>
                </c:pt>
                <c:pt idx="2">
                  <c:v>0</c:v>
                </c:pt>
                <c:pt idx="3">
                  <c:v>0</c:v>
                </c:pt>
                <c:pt idx="4">
                  <c:v>0</c:v>
                </c:pt>
                <c:pt idx="5">
                  <c:v>1000000</c:v>
                </c:pt>
                <c:pt idx="6">
                  <c:v>1000000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1-0646-411F-B3E9-99281EA30DD0}"/>
            </c:ext>
          </c:extLst>
        </c:ser>
        <c:ser>
          <c:idx val="5"/>
          <c:order val="2"/>
          <c:tx>
            <c:strRef>
              <c:f>资产资本结构分析表!$A$7</c:f>
              <c:strCache>
                <c:ptCount val="1"/>
                <c:pt idx="0">
                  <c:v>(4)长期经营资产</c:v>
                </c:pt>
              </c:strCache>
            </c:strRef>
          </c:tx>
          <c:invertIfNegative val="0"/>
          <c:val>
            <c:numRef>
              <c:f>资产资本结构分析表!$B$7:$Y$7</c:f>
              <c:numCache>
                <c:formatCode>#,##0.00_ </c:formatCode>
                <c:ptCount val="15"/>
                <c:pt idx="0">
                  <c:v>510192738.41999996</c:v>
                </c:pt>
                <c:pt idx="1">
                  <c:v>445835844.24999994</c:v>
                </c:pt>
                <c:pt idx="2">
                  <c:v>430710674</c:v>
                </c:pt>
                <c:pt idx="3">
                  <c:v>409619889.18999994</c:v>
                </c:pt>
                <c:pt idx="4">
                  <c:v>399236290.46000004</c:v>
                </c:pt>
                <c:pt idx="5">
                  <c:v>180021943.97000003</c:v>
                </c:pt>
                <c:pt idx="6">
                  <c:v>130281770.53</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2-0646-411F-B3E9-99281EA30DD0}"/>
            </c:ext>
          </c:extLst>
        </c:ser>
        <c:ser>
          <c:idx val="7"/>
          <c:order val="3"/>
          <c:tx>
            <c:strRef>
              <c:f>资产资本结构分析表!$A$9</c:f>
              <c:strCache>
                <c:ptCount val="1"/>
                <c:pt idx="0">
                  <c:v>(6)资产总额合计=1+2+5</c:v>
                </c:pt>
              </c:strCache>
            </c:strRef>
          </c:tx>
          <c:invertIfNegative val="0"/>
          <c:val>
            <c:numRef>
              <c:f>资产资本结构分析表!$B$9:$Y$9</c:f>
              <c:numCache>
                <c:formatCode>#,##0.00_ </c:formatCode>
                <c:ptCount val="15"/>
                <c:pt idx="0">
                  <c:v>1094888457.78</c:v>
                </c:pt>
                <c:pt idx="1">
                  <c:v>1062069435.15</c:v>
                </c:pt>
                <c:pt idx="2">
                  <c:v>568436012.11000001</c:v>
                </c:pt>
                <c:pt idx="3">
                  <c:v>490388669.01999992</c:v>
                </c:pt>
                <c:pt idx="4">
                  <c:v>496178942.00000006</c:v>
                </c:pt>
                <c:pt idx="5">
                  <c:v>329687136.41000009</c:v>
                </c:pt>
                <c:pt idx="6">
                  <c:v>237522643.97</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3-0646-411F-B3E9-99281EA30DD0}"/>
            </c:ext>
          </c:extLst>
        </c:ser>
        <c:dLbls>
          <c:showLegendKey val="0"/>
          <c:showVal val="0"/>
          <c:showCatName val="0"/>
          <c:showSerName val="0"/>
          <c:showPercent val="0"/>
          <c:showBubbleSize val="0"/>
        </c:dLbls>
        <c:gapWidth val="150"/>
        <c:axId val="229238272"/>
        <c:axId val="229272384"/>
      </c:barChart>
      <c:catAx>
        <c:axId val="229238272"/>
        <c:scaling>
          <c:orientation val="minMax"/>
        </c:scaling>
        <c:delete val="0"/>
        <c:axPos val="b"/>
        <c:majorTickMark val="out"/>
        <c:minorTickMark val="none"/>
        <c:tickLblPos val="nextTo"/>
        <c:crossAx val="229272384"/>
        <c:crosses val="autoZero"/>
        <c:auto val="1"/>
        <c:lblAlgn val="ctr"/>
        <c:lblOffset val="100"/>
        <c:noMultiLvlLbl val="0"/>
      </c:catAx>
      <c:valAx>
        <c:axId val="229272384"/>
        <c:scaling>
          <c:orientation val="minMax"/>
        </c:scaling>
        <c:delete val="0"/>
        <c:axPos val="l"/>
        <c:majorGridlines/>
        <c:numFmt formatCode="#,##0.00_ " sourceLinked="1"/>
        <c:majorTickMark val="out"/>
        <c:minorTickMark val="none"/>
        <c:tickLblPos val="nextTo"/>
        <c:crossAx val="2292382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资产资本结构分析表!$A$10</c:f>
              <c:strCache>
                <c:ptCount val="1"/>
                <c:pt idx="0">
                  <c:v>(7)短期债务</c:v>
                </c:pt>
              </c:strCache>
            </c:strRef>
          </c:tx>
          <c:invertIfNegative val="0"/>
          <c:val>
            <c:numRef>
              <c:f>资产资本结构分析表!$B$10:$Y$10</c:f>
              <c:numCache>
                <c:formatCode>#,##0.00_ </c:formatCode>
                <c:ptCount val="15"/>
                <c:pt idx="0">
                  <c:v>0</c:v>
                </c:pt>
                <c:pt idx="1">
                  <c:v>58246810</c:v>
                </c:pt>
                <c:pt idx="2">
                  <c:v>51435725.329999998</c:v>
                </c:pt>
                <c:pt idx="3">
                  <c:v>42500000</c:v>
                </c:pt>
                <c:pt idx="4">
                  <c:v>92895714</c:v>
                </c:pt>
                <c:pt idx="5">
                  <c:v>65837129</c:v>
                </c:pt>
                <c:pt idx="6">
                  <c:v>19000000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0-28E6-4BA1-AAA1-2ED115E78BF2}"/>
            </c:ext>
          </c:extLst>
        </c:ser>
        <c:ser>
          <c:idx val="1"/>
          <c:order val="1"/>
          <c:tx>
            <c:strRef>
              <c:f>资产资本结构分析表!$A$11</c:f>
              <c:strCache>
                <c:ptCount val="1"/>
                <c:pt idx="0">
                  <c:v>(8)长期债务</c:v>
                </c:pt>
              </c:strCache>
            </c:strRef>
          </c:tx>
          <c:invertIfNegative val="0"/>
          <c:val>
            <c:numRef>
              <c:f>资产资本结构分析表!$B$11:$Y$11</c:f>
              <c:numCache>
                <c:formatCode>#,##0.00_ </c:formatCode>
                <c:ptCount val="15"/>
                <c:pt idx="0">
                  <c:v>0</c:v>
                </c:pt>
                <c:pt idx="1">
                  <c:v>18408383.420000002</c:v>
                </c:pt>
                <c:pt idx="2">
                  <c:v>38982000</c:v>
                </c:pt>
                <c:pt idx="3">
                  <c:v>60540800</c:v>
                </c:pt>
                <c:pt idx="4">
                  <c:v>85540000</c:v>
                </c:pt>
                <c:pt idx="5">
                  <c:v>5375879.2400000002</c:v>
                </c:pt>
                <c:pt idx="6">
                  <c:v>4881671.9800000004</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1-28E6-4BA1-AAA1-2ED115E78BF2}"/>
            </c:ext>
          </c:extLst>
        </c:ser>
        <c:dLbls>
          <c:showLegendKey val="0"/>
          <c:showVal val="0"/>
          <c:showCatName val="0"/>
          <c:showSerName val="0"/>
          <c:showPercent val="0"/>
          <c:showBubbleSize val="0"/>
        </c:dLbls>
        <c:gapWidth val="150"/>
        <c:axId val="229239296"/>
        <c:axId val="229274688"/>
      </c:barChart>
      <c:catAx>
        <c:axId val="229239296"/>
        <c:scaling>
          <c:orientation val="minMax"/>
        </c:scaling>
        <c:delete val="0"/>
        <c:axPos val="b"/>
        <c:majorTickMark val="out"/>
        <c:minorTickMark val="none"/>
        <c:tickLblPos val="nextTo"/>
        <c:crossAx val="229274688"/>
        <c:crosses val="autoZero"/>
        <c:auto val="1"/>
        <c:lblAlgn val="ctr"/>
        <c:lblOffset val="100"/>
        <c:noMultiLvlLbl val="0"/>
      </c:catAx>
      <c:valAx>
        <c:axId val="229274688"/>
        <c:scaling>
          <c:orientation val="minMax"/>
        </c:scaling>
        <c:delete val="0"/>
        <c:axPos val="l"/>
        <c:majorGridlines/>
        <c:numFmt formatCode="#,##0.00_ " sourceLinked="1"/>
        <c:majorTickMark val="out"/>
        <c:minorTickMark val="none"/>
        <c:tickLblPos val="nextTo"/>
        <c:crossAx val="22923929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资产资本结构分析表!$A$15</c:f>
              <c:strCache>
                <c:ptCount val="1"/>
                <c:pt idx="0">
                  <c:v>长期融资净值=8+10-2-3-4</c:v>
                </c:pt>
              </c:strCache>
            </c:strRef>
          </c:tx>
          <c:invertIfNegative val="0"/>
          <c:val>
            <c:numRef>
              <c:f>资产资本结构分析表!$B$15:$Y$15</c:f>
              <c:numCache>
                <c:formatCode>#,##0.00_ </c:formatCode>
                <c:ptCount val="15"/>
                <c:pt idx="0">
                  <c:v>359724222.34000003</c:v>
                </c:pt>
                <c:pt idx="1">
                  <c:v>383826561.20999998</c:v>
                </c:pt>
                <c:pt idx="2">
                  <c:v>152233691.53000009</c:v>
                </c:pt>
                <c:pt idx="3">
                  <c:v>78860190</c:v>
                </c:pt>
                <c:pt idx="4">
                  <c:v>28152537.620000005</c:v>
                </c:pt>
                <c:pt idx="5">
                  <c:v>65541444.280000031</c:v>
                </c:pt>
                <c:pt idx="6">
                  <c:v>87634430.419999987</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0-A43A-4CEE-8666-0EF3D318090A}"/>
            </c:ext>
          </c:extLst>
        </c:ser>
        <c:ser>
          <c:idx val="1"/>
          <c:order val="1"/>
          <c:tx>
            <c:strRef>
              <c:f>资产资本结构分析表!$A$16</c:f>
              <c:strCache>
                <c:ptCount val="1"/>
                <c:pt idx="0">
                  <c:v>短期融资净值=7-1</c:v>
                </c:pt>
              </c:strCache>
            </c:strRef>
          </c:tx>
          <c:invertIfNegative val="0"/>
          <c:val>
            <c:numRef>
              <c:f>资产资本结构分析表!$B$16:$Y$16</c:f>
              <c:numCache>
                <c:formatCode>#,##0.00_ </c:formatCode>
                <c:ptCount val="15"/>
                <c:pt idx="0">
                  <c:v>-359724222.34000003</c:v>
                </c:pt>
                <c:pt idx="1">
                  <c:v>-383826561.21000004</c:v>
                </c:pt>
                <c:pt idx="2">
                  <c:v>-152233691.53000003</c:v>
                </c:pt>
                <c:pt idx="3">
                  <c:v>-78860190</c:v>
                </c:pt>
                <c:pt idx="4">
                  <c:v>-28152537.620000005</c:v>
                </c:pt>
                <c:pt idx="5">
                  <c:v>-65541444.280000001</c:v>
                </c:pt>
                <c:pt idx="6">
                  <c:v>-87634430.420000002</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1-A43A-4CEE-8666-0EF3D318090A}"/>
            </c:ext>
          </c:extLst>
        </c:ser>
        <c:dLbls>
          <c:showLegendKey val="0"/>
          <c:showVal val="0"/>
          <c:showCatName val="0"/>
          <c:showSerName val="0"/>
          <c:showPercent val="0"/>
          <c:showBubbleSize val="0"/>
        </c:dLbls>
        <c:gapWidth val="150"/>
        <c:axId val="229239808"/>
        <c:axId val="229276416"/>
      </c:barChart>
      <c:catAx>
        <c:axId val="229239808"/>
        <c:scaling>
          <c:orientation val="minMax"/>
        </c:scaling>
        <c:delete val="0"/>
        <c:axPos val="b"/>
        <c:majorTickMark val="out"/>
        <c:minorTickMark val="none"/>
        <c:tickLblPos val="nextTo"/>
        <c:crossAx val="229276416"/>
        <c:crosses val="autoZero"/>
        <c:auto val="1"/>
        <c:lblAlgn val="ctr"/>
        <c:lblOffset val="100"/>
        <c:noMultiLvlLbl val="0"/>
      </c:catAx>
      <c:valAx>
        <c:axId val="229276416"/>
        <c:scaling>
          <c:orientation val="minMax"/>
        </c:scaling>
        <c:delete val="0"/>
        <c:axPos val="l"/>
        <c:majorGridlines/>
        <c:numFmt formatCode="#,##0.00_ " sourceLinked="1"/>
        <c:majorTickMark val="out"/>
        <c:minorTickMark val="none"/>
        <c:tickLblPos val="nextTo"/>
        <c:crossAx val="22923980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4935008583971405E-2"/>
          <c:y val="4.7870595016058309E-2"/>
          <c:w val="0.68699859750674575"/>
          <c:h val="0.89251828901179875"/>
        </c:manualLayout>
      </c:layout>
      <c:lineChart>
        <c:grouping val="stacked"/>
        <c:varyColors val="0"/>
        <c:ser>
          <c:idx val="3"/>
          <c:order val="0"/>
          <c:tx>
            <c:strRef>
              <c:f>股权价值增加分析表!$A$5</c:f>
              <c:strCache>
                <c:ptCount val="1"/>
                <c:pt idx="0">
                  <c:v>营业成本率</c:v>
                </c:pt>
              </c:strCache>
            </c:strRef>
          </c:tx>
          <c:val>
            <c:numRef>
              <c:f>股权价值增加分析表!$B$5:$Y$5</c:f>
              <c:numCache>
                <c:formatCode>0.00%</c:formatCode>
                <c:ptCount val="13"/>
                <c:pt idx="0">
                  <c:v>0.53972119803552332</c:v>
                </c:pt>
                <c:pt idx="1">
                  <c:v>0.52396048723888333</c:v>
                </c:pt>
                <c:pt idx="2">
                  <c:v>0.53288621817362725</c:v>
                </c:pt>
                <c:pt idx="3">
                  <c:v>0.5440935884104291</c:v>
                </c:pt>
                <c:pt idx="4">
                  <c:v>0.52617285153527549</c:v>
                </c:pt>
                <c:pt idx="5">
                  <c:v>0.52534043290839894</c:v>
                </c:pt>
                <c:pt idx="6">
                  <c:v>0.49682784323324036</c:v>
                </c:pt>
                <c:pt idx="7">
                  <c:v>0</c:v>
                </c:pt>
                <c:pt idx="8">
                  <c:v>0</c:v>
                </c:pt>
                <c:pt idx="9">
                  <c:v>0</c:v>
                </c:pt>
                <c:pt idx="10">
                  <c:v>0</c:v>
                </c:pt>
                <c:pt idx="11">
                  <c:v>0</c:v>
                </c:pt>
                <c:pt idx="12">
                  <c:v>0</c:v>
                </c:pt>
              </c:numCache>
            </c:numRef>
          </c:val>
          <c:smooth val="0"/>
          <c:extLst>
            <c:ext xmlns:c16="http://schemas.microsoft.com/office/drawing/2014/chart" uri="{C3380CC4-5D6E-409C-BE32-E72D297353CC}">
              <c16:uniqueId val="{00000000-B290-4A85-91F4-5245D26055D6}"/>
            </c:ext>
          </c:extLst>
        </c:ser>
        <c:ser>
          <c:idx val="6"/>
          <c:order val="1"/>
          <c:tx>
            <c:strRef>
              <c:f>股权价值增加分析表!$A$8</c:f>
              <c:strCache>
                <c:ptCount val="1"/>
                <c:pt idx="0">
                  <c:v>毛利率</c:v>
                </c:pt>
              </c:strCache>
            </c:strRef>
          </c:tx>
          <c:val>
            <c:numRef>
              <c:f>股权价值增加分析表!$B$8:$Y$8</c:f>
              <c:numCache>
                <c:formatCode>0.00%</c:formatCode>
                <c:ptCount val="13"/>
                <c:pt idx="0">
                  <c:v>0.46027880196447662</c:v>
                </c:pt>
                <c:pt idx="1">
                  <c:v>0.47603951276111672</c:v>
                </c:pt>
                <c:pt idx="2">
                  <c:v>0.4671137818263727</c:v>
                </c:pt>
                <c:pt idx="3">
                  <c:v>0.4559064115895709</c:v>
                </c:pt>
                <c:pt idx="4">
                  <c:v>0.47382714846472457</c:v>
                </c:pt>
                <c:pt idx="5">
                  <c:v>0.47465956709160112</c:v>
                </c:pt>
                <c:pt idx="6">
                  <c:v>0.50317215676675964</c:v>
                </c:pt>
                <c:pt idx="7">
                  <c:v>0</c:v>
                </c:pt>
                <c:pt idx="8">
                  <c:v>0</c:v>
                </c:pt>
                <c:pt idx="9">
                  <c:v>0</c:v>
                </c:pt>
                <c:pt idx="10">
                  <c:v>0</c:v>
                </c:pt>
                <c:pt idx="11">
                  <c:v>0</c:v>
                </c:pt>
                <c:pt idx="12">
                  <c:v>0</c:v>
                </c:pt>
              </c:numCache>
            </c:numRef>
          </c:val>
          <c:smooth val="0"/>
          <c:extLst>
            <c:ext xmlns:c16="http://schemas.microsoft.com/office/drawing/2014/chart" uri="{C3380CC4-5D6E-409C-BE32-E72D297353CC}">
              <c16:uniqueId val="{00000001-B290-4A85-91F4-5245D26055D6}"/>
            </c:ext>
          </c:extLst>
        </c:ser>
        <c:ser>
          <c:idx val="9"/>
          <c:order val="2"/>
          <c:tx>
            <c:strRef>
              <c:f>股权价值增加分析表!$A$11</c:f>
              <c:strCache>
                <c:ptCount val="1"/>
                <c:pt idx="0">
                  <c:v>税金及附加率</c:v>
                </c:pt>
              </c:strCache>
            </c:strRef>
          </c:tx>
          <c:val>
            <c:numRef>
              <c:f>股权价值增加分析表!$B$11:$Y$11</c:f>
              <c:numCache>
                <c:formatCode>0.00%</c:formatCode>
                <c:ptCount val="13"/>
                <c:pt idx="0">
                  <c:v>6.2650970349010324E-3</c:v>
                </c:pt>
                <c:pt idx="1">
                  <c:v>6.1307419960337567E-3</c:v>
                </c:pt>
                <c:pt idx="2">
                  <c:v>5.7384015197086873E-3</c:v>
                </c:pt>
                <c:pt idx="3">
                  <c:v>6.0232114615277532E-3</c:v>
                </c:pt>
                <c:pt idx="4">
                  <c:v>9.1600679907708846E-3</c:v>
                </c:pt>
                <c:pt idx="5">
                  <c:v>3.4052362607657684E-2</c:v>
                </c:pt>
                <c:pt idx="6">
                  <c:v>5.0201860212045125E-2</c:v>
                </c:pt>
                <c:pt idx="7">
                  <c:v>0</c:v>
                </c:pt>
                <c:pt idx="8">
                  <c:v>0</c:v>
                </c:pt>
                <c:pt idx="9">
                  <c:v>0</c:v>
                </c:pt>
                <c:pt idx="10">
                  <c:v>0</c:v>
                </c:pt>
                <c:pt idx="11">
                  <c:v>0</c:v>
                </c:pt>
                <c:pt idx="12">
                  <c:v>0</c:v>
                </c:pt>
              </c:numCache>
            </c:numRef>
          </c:val>
          <c:smooth val="0"/>
          <c:extLst>
            <c:ext xmlns:c16="http://schemas.microsoft.com/office/drawing/2014/chart" uri="{C3380CC4-5D6E-409C-BE32-E72D297353CC}">
              <c16:uniqueId val="{00000002-B290-4A85-91F4-5245D26055D6}"/>
            </c:ext>
          </c:extLst>
        </c:ser>
        <c:ser>
          <c:idx val="11"/>
          <c:order val="3"/>
          <c:tx>
            <c:strRef>
              <c:f>股权价值增加分析表!$A$13</c:f>
              <c:strCache>
                <c:ptCount val="1"/>
                <c:pt idx="0">
                  <c:v>销售费用率</c:v>
                </c:pt>
              </c:strCache>
            </c:strRef>
          </c:tx>
          <c:val>
            <c:numRef>
              <c:f>股权价值增加分析表!$B$13:$Y$13</c:f>
              <c:numCache>
                <c:formatCode>0.00%</c:formatCode>
                <c:ptCount val="13"/>
                <c:pt idx="0">
                  <c:v>2.8798878199443059E-2</c:v>
                </c:pt>
                <c:pt idx="1">
                  <c:v>2.9381160077168889E-2</c:v>
                </c:pt>
                <c:pt idx="2">
                  <c:v>2.8580287432759546E-2</c:v>
                </c:pt>
                <c:pt idx="3">
                  <c:v>3.1912318485518044E-2</c:v>
                </c:pt>
                <c:pt idx="4">
                  <c:v>3.3734342698347561E-2</c:v>
                </c:pt>
                <c:pt idx="5">
                  <c:v>2.4317433649054195E-2</c:v>
                </c:pt>
                <c:pt idx="6">
                  <c:v>2.2292435600285015E-2</c:v>
                </c:pt>
                <c:pt idx="7">
                  <c:v>0</c:v>
                </c:pt>
                <c:pt idx="8">
                  <c:v>0</c:v>
                </c:pt>
                <c:pt idx="9">
                  <c:v>0</c:v>
                </c:pt>
                <c:pt idx="10">
                  <c:v>0</c:v>
                </c:pt>
                <c:pt idx="11">
                  <c:v>0</c:v>
                </c:pt>
                <c:pt idx="12">
                  <c:v>0</c:v>
                </c:pt>
              </c:numCache>
            </c:numRef>
          </c:val>
          <c:smooth val="0"/>
          <c:extLst>
            <c:ext xmlns:c16="http://schemas.microsoft.com/office/drawing/2014/chart" uri="{C3380CC4-5D6E-409C-BE32-E72D297353CC}">
              <c16:uniqueId val="{00000003-B290-4A85-91F4-5245D26055D6}"/>
            </c:ext>
          </c:extLst>
        </c:ser>
        <c:ser>
          <c:idx val="13"/>
          <c:order val="4"/>
          <c:tx>
            <c:strRef>
              <c:f>股权价值增加分析表!$A$15</c:f>
              <c:strCache>
                <c:ptCount val="1"/>
                <c:pt idx="0">
                  <c:v>管理费用率</c:v>
                </c:pt>
              </c:strCache>
            </c:strRef>
          </c:tx>
          <c:val>
            <c:numRef>
              <c:f>股权价值增加分析表!$B$15:$Y$15</c:f>
              <c:numCache>
                <c:formatCode>0.00%</c:formatCode>
                <c:ptCount val="13"/>
                <c:pt idx="0">
                  <c:v>0.22065105448567834</c:v>
                </c:pt>
                <c:pt idx="1">
                  <c:v>0.23303967035101161</c:v>
                </c:pt>
                <c:pt idx="2">
                  <c:v>0.20508156546521147</c:v>
                </c:pt>
                <c:pt idx="3">
                  <c:v>0.20360990415177094</c:v>
                </c:pt>
                <c:pt idx="4">
                  <c:v>0.21166981594504927</c:v>
                </c:pt>
                <c:pt idx="5">
                  <c:v>0.18079652234569915</c:v>
                </c:pt>
                <c:pt idx="6">
                  <c:v>0.16573293178498275</c:v>
                </c:pt>
                <c:pt idx="7">
                  <c:v>0</c:v>
                </c:pt>
                <c:pt idx="8">
                  <c:v>0</c:v>
                </c:pt>
                <c:pt idx="9">
                  <c:v>0</c:v>
                </c:pt>
                <c:pt idx="10">
                  <c:v>0</c:v>
                </c:pt>
                <c:pt idx="11">
                  <c:v>0</c:v>
                </c:pt>
                <c:pt idx="12">
                  <c:v>0</c:v>
                </c:pt>
              </c:numCache>
            </c:numRef>
          </c:val>
          <c:smooth val="0"/>
          <c:extLst>
            <c:ext xmlns:c16="http://schemas.microsoft.com/office/drawing/2014/chart" uri="{C3380CC4-5D6E-409C-BE32-E72D297353CC}">
              <c16:uniqueId val="{00000004-B290-4A85-91F4-5245D26055D6}"/>
            </c:ext>
          </c:extLst>
        </c:ser>
        <c:ser>
          <c:idx val="15"/>
          <c:order val="5"/>
          <c:tx>
            <c:strRef>
              <c:f>股权价值增加分析表!$A$17</c:f>
              <c:strCache>
                <c:ptCount val="1"/>
                <c:pt idx="0">
                  <c:v>资产减值损失率（大比例变动可能操纵利润）</c:v>
                </c:pt>
              </c:strCache>
            </c:strRef>
          </c:tx>
          <c:val>
            <c:numRef>
              <c:f>股权价值增加分析表!$B$17:$Y$17</c:f>
              <c:numCache>
                <c:formatCode>0.00%</c:formatCode>
                <c:ptCount val="13"/>
                <c:pt idx="0">
                  <c:v>4.8858100615170276E-3</c:v>
                </c:pt>
                <c:pt idx="1">
                  <c:v>4.3023346024469149E-3</c:v>
                </c:pt>
                <c:pt idx="2">
                  <c:v>3.8267102950871918E-3</c:v>
                </c:pt>
                <c:pt idx="3">
                  <c:v>3.1403343215580934E-3</c:v>
                </c:pt>
                <c:pt idx="4">
                  <c:v>3.0359117098810052E-3</c:v>
                </c:pt>
                <c:pt idx="5">
                  <c:v>2.1748492519014823E-3</c:v>
                </c:pt>
                <c:pt idx="6">
                  <c:v>2.4648843593685354E-3</c:v>
                </c:pt>
                <c:pt idx="7">
                  <c:v>0</c:v>
                </c:pt>
                <c:pt idx="8">
                  <c:v>0</c:v>
                </c:pt>
                <c:pt idx="9">
                  <c:v>0</c:v>
                </c:pt>
                <c:pt idx="10">
                  <c:v>0</c:v>
                </c:pt>
                <c:pt idx="11">
                  <c:v>0</c:v>
                </c:pt>
                <c:pt idx="12">
                  <c:v>0</c:v>
                </c:pt>
              </c:numCache>
            </c:numRef>
          </c:val>
          <c:smooth val="0"/>
          <c:extLst>
            <c:ext xmlns:c16="http://schemas.microsoft.com/office/drawing/2014/chart" uri="{C3380CC4-5D6E-409C-BE32-E72D297353CC}">
              <c16:uniqueId val="{00000005-B290-4A85-91F4-5245D26055D6}"/>
            </c:ext>
          </c:extLst>
        </c:ser>
        <c:ser>
          <c:idx val="17"/>
          <c:order val="6"/>
          <c:tx>
            <c:strRef>
              <c:f>股权价值增加分析表!$A$19</c:f>
              <c:strCache>
                <c:ptCount val="1"/>
                <c:pt idx="0">
                  <c:v>财务手续费率</c:v>
                </c:pt>
              </c:strCache>
            </c:strRef>
          </c:tx>
          <c:val>
            <c:numRef>
              <c:f>股权价值增加分析表!$B$19:$Y$19</c:f>
              <c:numCache>
                <c:formatCode>0.00%</c:formatCode>
                <c:ptCount val="13"/>
                <c:pt idx="0">
                  <c:v>4.7634695404986845E-4</c:v>
                </c:pt>
                <c:pt idx="1">
                  <c:v>6.9148286043160996E-4</c:v>
                </c:pt>
                <c:pt idx="2">
                  <c:v>8.6144277511009393E-3</c:v>
                </c:pt>
                <c:pt idx="3">
                  <c:v>0</c:v>
                </c:pt>
                <c:pt idx="4">
                  <c:v>0</c:v>
                </c:pt>
                <c:pt idx="5">
                  <c:v>0</c:v>
                </c:pt>
                <c:pt idx="6">
                  <c:v>0</c:v>
                </c:pt>
                <c:pt idx="7">
                  <c:v>0</c:v>
                </c:pt>
                <c:pt idx="8">
                  <c:v>0</c:v>
                </c:pt>
                <c:pt idx="9">
                  <c:v>0</c:v>
                </c:pt>
                <c:pt idx="10">
                  <c:v>0</c:v>
                </c:pt>
                <c:pt idx="11">
                  <c:v>0</c:v>
                </c:pt>
                <c:pt idx="12">
                  <c:v>0</c:v>
                </c:pt>
              </c:numCache>
            </c:numRef>
          </c:val>
          <c:smooth val="0"/>
          <c:extLst>
            <c:ext xmlns:c16="http://schemas.microsoft.com/office/drawing/2014/chart" uri="{C3380CC4-5D6E-409C-BE32-E72D297353CC}">
              <c16:uniqueId val="{00000006-B290-4A85-91F4-5245D26055D6}"/>
            </c:ext>
          </c:extLst>
        </c:ser>
        <c:ser>
          <c:idx val="19"/>
          <c:order val="7"/>
          <c:tx>
            <c:strRef>
              <c:f>股权价值增加分析表!$A$21</c:f>
              <c:strCache>
                <c:ptCount val="1"/>
                <c:pt idx="0">
                  <c:v>营业外收支净额率</c:v>
                </c:pt>
              </c:strCache>
            </c:strRef>
          </c:tx>
          <c:val>
            <c:numRef>
              <c:f>股权价值增加分析表!$B$21:$Y$21</c:f>
              <c:numCache>
                <c:formatCode>0.00%</c:formatCode>
                <c:ptCount val="13"/>
                <c:pt idx="0">
                  <c:v>7.9349724004554745E-3</c:v>
                </c:pt>
                <c:pt idx="1">
                  <c:v>2.724895334502923E-2</c:v>
                </c:pt>
                <c:pt idx="2">
                  <c:v>1.7297370988308223E-2</c:v>
                </c:pt>
                <c:pt idx="3">
                  <c:v>1.8883839221751689E-2</c:v>
                </c:pt>
                <c:pt idx="4">
                  <c:v>1.4193164992289408E-2</c:v>
                </c:pt>
                <c:pt idx="5">
                  <c:v>1.089940037019157E-2</c:v>
                </c:pt>
                <c:pt idx="6">
                  <c:v>1.3331579087144134E-3</c:v>
                </c:pt>
                <c:pt idx="7">
                  <c:v>0</c:v>
                </c:pt>
                <c:pt idx="8">
                  <c:v>0</c:v>
                </c:pt>
                <c:pt idx="9">
                  <c:v>0</c:v>
                </c:pt>
                <c:pt idx="10">
                  <c:v>0</c:v>
                </c:pt>
                <c:pt idx="11">
                  <c:v>0</c:v>
                </c:pt>
                <c:pt idx="12">
                  <c:v>0</c:v>
                </c:pt>
              </c:numCache>
            </c:numRef>
          </c:val>
          <c:smooth val="0"/>
          <c:extLst>
            <c:ext xmlns:c16="http://schemas.microsoft.com/office/drawing/2014/chart" uri="{C3380CC4-5D6E-409C-BE32-E72D297353CC}">
              <c16:uniqueId val="{00000007-B290-4A85-91F4-5245D26055D6}"/>
            </c:ext>
          </c:extLst>
        </c:ser>
        <c:ser>
          <c:idx val="20"/>
          <c:order val="8"/>
          <c:tx>
            <c:strRef>
              <c:f>股权价值增加分析表!$A$22</c:f>
              <c:strCache>
                <c:ptCount val="1"/>
                <c:pt idx="0">
                  <c:v>总费用率</c:v>
                </c:pt>
              </c:strCache>
            </c:strRef>
          </c:tx>
          <c:val>
            <c:numRef>
              <c:f>股权价值增加分析表!$B$22:$Y$22</c:f>
              <c:numCache>
                <c:formatCode>0.00%</c:formatCode>
                <c:ptCount val="13"/>
                <c:pt idx="0">
                  <c:v>0.26901215913604476</c:v>
                </c:pt>
                <c:pt idx="1">
                  <c:v>0.30079434323212201</c:v>
                </c:pt>
                <c:pt idx="2">
                  <c:v>0.26913876345217608</c:v>
                </c:pt>
                <c:pt idx="3">
                  <c:v>0.2635696076421265</c:v>
                </c:pt>
                <c:pt idx="4">
                  <c:v>0.27179330333633811</c:v>
                </c:pt>
                <c:pt idx="5">
                  <c:v>0.25224056822450408</c:v>
                </c:pt>
                <c:pt idx="6">
                  <c:v>0.24202526986539583</c:v>
                </c:pt>
                <c:pt idx="7">
                  <c:v>0</c:v>
                </c:pt>
                <c:pt idx="8">
                  <c:v>0</c:v>
                </c:pt>
                <c:pt idx="9">
                  <c:v>0</c:v>
                </c:pt>
                <c:pt idx="10">
                  <c:v>0</c:v>
                </c:pt>
                <c:pt idx="11">
                  <c:v>0</c:v>
                </c:pt>
                <c:pt idx="12">
                  <c:v>0</c:v>
                </c:pt>
              </c:numCache>
            </c:numRef>
          </c:val>
          <c:smooth val="0"/>
          <c:extLst>
            <c:ext xmlns:c16="http://schemas.microsoft.com/office/drawing/2014/chart" uri="{C3380CC4-5D6E-409C-BE32-E72D297353CC}">
              <c16:uniqueId val="{00000008-B290-4A85-91F4-5245D26055D6}"/>
            </c:ext>
          </c:extLst>
        </c:ser>
        <c:ser>
          <c:idx val="22"/>
          <c:order val="9"/>
          <c:tx>
            <c:strRef>
              <c:f>股权价值增加分析表!$A$24</c:f>
              <c:strCache>
                <c:ptCount val="1"/>
                <c:pt idx="0">
                  <c:v>息前税后经营利润率</c:v>
                </c:pt>
              </c:strCache>
            </c:strRef>
          </c:tx>
          <c:val>
            <c:numRef>
              <c:f>股权价值增加分析表!$B$24:$Y$24</c:f>
              <c:numCache>
                <c:formatCode>0.00%</c:formatCode>
                <c:ptCount val="13"/>
                <c:pt idx="0">
                  <c:v>0.17525343041100466</c:v>
                </c:pt>
                <c:pt idx="1">
                  <c:v>0.19586382616854753</c:v>
                </c:pt>
                <c:pt idx="2">
                  <c:v>0.19676808984178054</c:v>
                </c:pt>
                <c:pt idx="3">
                  <c:v>0.19478875442815524</c:v>
                </c:pt>
                <c:pt idx="4">
                  <c:v>0.19214313898353419</c:v>
                </c:pt>
                <c:pt idx="5">
                  <c:v>0.1986145470454749</c:v>
                </c:pt>
                <c:pt idx="6">
                  <c:v>0.21804035417062992</c:v>
                </c:pt>
                <c:pt idx="7">
                  <c:v>0</c:v>
                </c:pt>
                <c:pt idx="8">
                  <c:v>0</c:v>
                </c:pt>
                <c:pt idx="9">
                  <c:v>0</c:v>
                </c:pt>
                <c:pt idx="10">
                  <c:v>0</c:v>
                </c:pt>
                <c:pt idx="11">
                  <c:v>0</c:v>
                </c:pt>
                <c:pt idx="12">
                  <c:v>0</c:v>
                </c:pt>
              </c:numCache>
            </c:numRef>
          </c:val>
          <c:smooth val="0"/>
          <c:extLst>
            <c:ext xmlns:c16="http://schemas.microsoft.com/office/drawing/2014/chart" uri="{C3380CC4-5D6E-409C-BE32-E72D297353CC}">
              <c16:uniqueId val="{00000009-B290-4A85-91F4-5245D26055D6}"/>
            </c:ext>
          </c:extLst>
        </c:ser>
        <c:dLbls>
          <c:showLegendKey val="0"/>
          <c:showVal val="0"/>
          <c:showCatName val="0"/>
          <c:showSerName val="0"/>
          <c:showPercent val="0"/>
          <c:showBubbleSize val="0"/>
        </c:dLbls>
        <c:marker val="1"/>
        <c:smooth val="0"/>
        <c:axId val="229524480"/>
        <c:axId val="228868672"/>
      </c:lineChart>
      <c:catAx>
        <c:axId val="229524480"/>
        <c:scaling>
          <c:orientation val="minMax"/>
        </c:scaling>
        <c:delete val="0"/>
        <c:axPos val="b"/>
        <c:majorTickMark val="out"/>
        <c:minorTickMark val="none"/>
        <c:tickLblPos val="nextTo"/>
        <c:crossAx val="228868672"/>
        <c:crosses val="autoZero"/>
        <c:auto val="1"/>
        <c:lblAlgn val="ctr"/>
        <c:lblOffset val="100"/>
        <c:noMultiLvlLbl val="0"/>
      </c:catAx>
      <c:valAx>
        <c:axId val="228868672"/>
        <c:scaling>
          <c:orientation val="minMax"/>
        </c:scaling>
        <c:delete val="0"/>
        <c:axPos val="l"/>
        <c:majorGridlines/>
        <c:numFmt formatCode="0.00%" sourceLinked="1"/>
        <c:majorTickMark val="out"/>
        <c:minorTickMark val="none"/>
        <c:tickLblPos val="nextTo"/>
        <c:crossAx val="229524480"/>
        <c:crosses val="autoZero"/>
        <c:crossBetween val="between"/>
      </c:valAx>
    </c:plotArea>
    <c:legend>
      <c:legendPos val="r"/>
      <c:layout>
        <c:manualLayout>
          <c:xMode val="edge"/>
          <c:yMode val="edge"/>
          <c:x val="0.79215388376967444"/>
          <c:y val="7.0258151426999163E-2"/>
          <c:w val="0.20784611623032548"/>
          <c:h val="0.90045588014849187"/>
        </c:manualLayout>
      </c:layout>
      <c:overlay val="0"/>
    </c:legend>
    <c:plotVisOnly val="1"/>
    <c:dispBlanksAs val="zero"/>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6709445064421219E-2"/>
          <c:y val="4.6309449148692401E-2"/>
          <c:w val="0.55930247247173037"/>
          <c:h val="0.80809401502946276"/>
        </c:manualLayout>
      </c:layout>
      <c:lineChart>
        <c:grouping val="stacked"/>
        <c:varyColors val="0"/>
        <c:ser>
          <c:idx val="1"/>
          <c:order val="0"/>
          <c:tx>
            <c:strRef>
              <c:f>股权价值增加分析表!$A$29</c:f>
              <c:strCache>
                <c:ptCount val="1"/>
                <c:pt idx="0">
                  <c:v>息税前经营利润占比</c:v>
                </c:pt>
              </c:strCache>
            </c:strRef>
          </c:tx>
          <c:val>
            <c:numRef>
              <c:f>股权价值增加分析表!$B$29:$Y$29</c:f>
              <c:numCache>
                <c:formatCode>0.00%</c:formatCode>
                <c:ptCount val="13"/>
                <c:pt idx="0">
                  <c:v>0.9374290843527584</c:v>
                </c:pt>
                <c:pt idx="1">
                  <c:v>0.98910536861229748</c:v>
                </c:pt>
                <c:pt idx="2">
                  <c:v>0.99530077666609307</c:v>
                </c:pt>
                <c:pt idx="3">
                  <c:v>1</c:v>
                </c:pt>
                <c:pt idx="4">
                  <c:v>1</c:v>
                </c:pt>
                <c:pt idx="5">
                  <c:v>1</c:v>
                </c:pt>
                <c:pt idx="6">
                  <c:v>1</c:v>
                </c:pt>
                <c:pt idx="7">
                  <c:v>0</c:v>
                </c:pt>
                <c:pt idx="8">
                  <c:v>7.0645929211098782E-3</c:v>
                </c:pt>
                <c:pt idx="9">
                  <c:v>0</c:v>
                </c:pt>
                <c:pt idx="10">
                  <c:v>0</c:v>
                </c:pt>
                <c:pt idx="11">
                  <c:v>0</c:v>
                </c:pt>
                <c:pt idx="12">
                  <c:v>1.518950113071451E-2</c:v>
                </c:pt>
              </c:numCache>
            </c:numRef>
          </c:val>
          <c:smooth val="0"/>
          <c:extLst>
            <c:ext xmlns:c16="http://schemas.microsoft.com/office/drawing/2014/chart" uri="{C3380CC4-5D6E-409C-BE32-E72D297353CC}">
              <c16:uniqueId val="{00000000-A253-42D4-8495-3D4866AEF9C5}"/>
            </c:ext>
          </c:extLst>
        </c:ser>
        <c:ser>
          <c:idx val="3"/>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smooth val="0"/>
          <c:extLst>
            <c:ext xmlns:c16="http://schemas.microsoft.com/office/drawing/2014/chart" uri="{C3380CC4-5D6E-409C-BE32-E72D297353CC}">
              <c16:uniqueId val="{00000001-A253-42D4-8495-3D4866AEF9C5}"/>
            </c:ext>
          </c:extLst>
        </c:ser>
        <c:ser>
          <c:idx val="5"/>
          <c:order val="2"/>
          <c:tx>
            <c:strRef>
              <c:f>股权价值增加分析表!$A$33</c:f>
              <c:strCache>
                <c:ptCount val="1"/>
                <c:pt idx="0">
                  <c:v>息税前金融资产收益占比</c:v>
                </c:pt>
              </c:strCache>
            </c:strRef>
          </c:tx>
          <c:val>
            <c:numRef>
              <c:f>股权价值增加分析表!$B$33:$Y$33</c:f>
              <c:numCache>
                <c:formatCode>0.00%</c:formatCode>
                <c:ptCount val="13"/>
                <c:pt idx="0">
                  <c:v>6.2570915647241654E-2</c:v>
                </c:pt>
                <c:pt idx="1">
                  <c:v>1.0894631387702497E-2</c:v>
                </c:pt>
                <c:pt idx="2">
                  <c:v>4.6992233339068828E-3</c:v>
                </c:pt>
                <c:pt idx="3">
                  <c:v>0</c:v>
                </c:pt>
                <c:pt idx="4">
                  <c:v>0</c:v>
                </c:pt>
                <c:pt idx="5">
                  <c:v>0</c:v>
                </c:pt>
                <c:pt idx="6">
                  <c:v>0</c:v>
                </c:pt>
                <c:pt idx="7">
                  <c:v>0</c:v>
                </c:pt>
                <c:pt idx="8">
                  <c:v>0.99293540707889016</c:v>
                </c:pt>
                <c:pt idx="9">
                  <c:v>1</c:v>
                </c:pt>
                <c:pt idx="10">
                  <c:v>1</c:v>
                </c:pt>
                <c:pt idx="11">
                  <c:v>0</c:v>
                </c:pt>
                <c:pt idx="12">
                  <c:v>0.98481049886928551</c:v>
                </c:pt>
              </c:numCache>
            </c:numRef>
          </c:val>
          <c:smooth val="0"/>
          <c:extLst>
            <c:ext xmlns:c16="http://schemas.microsoft.com/office/drawing/2014/chart" uri="{C3380CC4-5D6E-409C-BE32-E72D297353CC}">
              <c16:uniqueId val="{00000002-A253-42D4-8495-3D4866AEF9C5}"/>
            </c:ext>
          </c:extLst>
        </c:ser>
        <c:dLbls>
          <c:showLegendKey val="0"/>
          <c:showVal val="0"/>
          <c:showCatName val="0"/>
          <c:showSerName val="0"/>
          <c:showPercent val="0"/>
          <c:showBubbleSize val="0"/>
        </c:dLbls>
        <c:marker val="1"/>
        <c:smooth val="0"/>
        <c:axId val="229524992"/>
        <c:axId val="228870976"/>
      </c:lineChart>
      <c:catAx>
        <c:axId val="229524992"/>
        <c:scaling>
          <c:orientation val="minMax"/>
        </c:scaling>
        <c:delete val="0"/>
        <c:axPos val="b"/>
        <c:majorTickMark val="out"/>
        <c:minorTickMark val="none"/>
        <c:tickLblPos val="nextTo"/>
        <c:crossAx val="228870976"/>
        <c:crosses val="autoZero"/>
        <c:auto val="1"/>
        <c:lblAlgn val="ctr"/>
        <c:lblOffset val="100"/>
        <c:noMultiLvlLbl val="0"/>
      </c:catAx>
      <c:valAx>
        <c:axId val="228870976"/>
        <c:scaling>
          <c:orientation val="minMax"/>
        </c:scaling>
        <c:delete val="0"/>
        <c:axPos val="l"/>
        <c:majorGridlines/>
        <c:numFmt formatCode="0.00%" sourceLinked="1"/>
        <c:majorTickMark val="out"/>
        <c:minorTickMark val="none"/>
        <c:tickLblPos val="nextTo"/>
        <c:crossAx val="2295249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股权价值增加分析表!$A$48</c:f>
              <c:strCache>
                <c:ptCount val="1"/>
                <c:pt idx="0">
                  <c:v>净利润率%</c:v>
                </c:pt>
              </c:strCache>
            </c:strRef>
          </c:tx>
          <c:val>
            <c:numRef>
              <c:f>股权价值增加分析表!$B$48:$AC$48</c:f>
              <c:numCache>
                <c:formatCode>0.00%</c:formatCode>
                <c:ptCount val="17"/>
                <c:pt idx="0">
                  <c:v>0.18612233705622691</c:v>
                </c:pt>
                <c:pt idx="1">
                  <c:v>0.19144666449689415</c:v>
                </c:pt>
                <c:pt idx="2">
                  <c:v>0.18884063831396986</c:v>
                </c:pt>
                <c:pt idx="3">
                  <c:v>0.17948605420229893</c:v>
                </c:pt>
                <c:pt idx="4">
                  <c:v>0.17326670117084073</c:v>
                </c:pt>
                <c:pt idx="5">
                  <c:v>0.19862317004297572</c:v>
                </c:pt>
                <c:pt idx="6">
                  <c:v>0.21958352105318776</c:v>
                </c:pt>
                <c:pt idx="7">
                  <c:v>0</c:v>
                </c:pt>
                <c:pt idx="8">
                  <c:v>0</c:v>
                </c:pt>
                <c:pt idx="9">
                  <c:v>0</c:v>
                </c:pt>
                <c:pt idx="10">
                  <c:v>0</c:v>
                </c:pt>
                <c:pt idx="11">
                  <c:v>0</c:v>
                </c:pt>
                <c:pt idx="12">
                  <c:v>0</c:v>
                </c:pt>
                <c:pt idx="13">
                  <c:v>0</c:v>
                </c:pt>
                <c:pt idx="14">
                  <c:v>0</c:v>
                </c:pt>
                <c:pt idx="15">
                  <c:v>0</c:v>
                </c:pt>
                <c:pt idx="16">
                  <c:v>0</c:v>
                </c:pt>
              </c:numCache>
            </c:numRef>
          </c:val>
          <c:smooth val="0"/>
          <c:extLst>
            <c:ext xmlns:c16="http://schemas.microsoft.com/office/drawing/2014/chart" uri="{C3380CC4-5D6E-409C-BE32-E72D297353CC}">
              <c16:uniqueId val="{00000000-A3A6-4A66-B00C-111931E3F90C}"/>
            </c:ext>
          </c:extLst>
        </c:ser>
        <c:dLbls>
          <c:showLegendKey val="0"/>
          <c:showVal val="0"/>
          <c:showCatName val="0"/>
          <c:showSerName val="0"/>
          <c:showPercent val="0"/>
          <c:showBubbleSize val="0"/>
        </c:dLbls>
        <c:marker val="1"/>
        <c:smooth val="0"/>
        <c:axId val="229525504"/>
        <c:axId val="228873280"/>
      </c:lineChart>
      <c:catAx>
        <c:axId val="229525504"/>
        <c:scaling>
          <c:orientation val="minMax"/>
        </c:scaling>
        <c:delete val="0"/>
        <c:axPos val="b"/>
        <c:majorTickMark val="out"/>
        <c:minorTickMark val="none"/>
        <c:tickLblPos val="nextTo"/>
        <c:crossAx val="228873280"/>
        <c:crosses val="autoZero"/>
        <c:auto val="1"/>
        <c:lblAlgn val="ctr"/>
        <c:lblOffset val="100"/>
        <c:noMultiLvlLbl val="0"/>
      </c:catAx>
      <c:valAx>
        <c:axId val="228873280"/>
        <c:scaling>
          <c:orientation val="minMax"/>
        </c:scaling>
        <c:delete val="0"/>
        <c:axPos val="l"/>
        <c:majorGridlines/>
        <c:numFmt formatCode="0.00%" sourceLinked="1"/>
        <c:majorTickMark val="out"/>
        <c:minorTickMark val="none"/>
        <c:tickLblPos val="nextTo"/>
        <c:crossAx val="2295255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股权价值增加分析表!$A$29</c:f>
              <c:strCache>
                <c:ptCount val="1"/>
                <c:pt idx="0">
                  <c:v>息税前经营利润占比</c:v>
                </c:pt>
              </c:strCache>
            </c:strRef>
          </c:tx>
          <c:val>
            <c:numRef>
              <c:f>股权价值增加分析表!$B$29:$Y$29</c:f>
              <c:numCache>
                <c:formatCode>0.00%</c:formatCode>
                <c:ptCount val="13"/>
                <c:pt idx="0">
                  <c:v>0.9374290843527584</c:v>
                </c:pt>
                <c:pt idx="1">
                  <c:v>0.98910536861229748</c:v>
                </c:pt>
                <c:pt idx="2">
                  <c:v>0.99530077666609307</c:v>
                </c:pt>
                <c:pt idx="3">
                  <c:v>1</c:v>
                </c:pt>
                <c:pt idx="4">
                  <c:v>1</c:v>
                </c:pt>
                <c:pt idx="5">
                  <c:v>1</c:v>
                </c:pt>
                <c:pt idx="6">
                  <c:v>1</c:v>
                </c:pt>
                <c:pt idx="7">
                  <c:v>0</c:v>
                </c:pt>
                <c:pt idx="8">
                  <c:v>7.0645929211098782E-3</c:v>
                </c:pt>
                <c:pt idx="9">
                  <c:v>0</c:v>
                </c:pt>
                <c:pt idx="10">
                  <c:v>0</c:v>
                </c:pt>
                <c:pt idx="11">
                  <c:v>0</c:v>
                </c:pt>
                <c:pt idx="12">
                  <c:v>1.518950113071451E-2</c:v>
                </c:pt>
              </c:numCache>
            </c:numRef>
          </c:val>
          <c:smooth val="0"/>
          <c:extLst>
            <c:ext xmlns:c16="http://schemas.microsoft.com/office/drawing/2014/chart" uri="{C3380CC4-5D6E-409C-BE32-E72D297353CC}">
              <c16:uniqueId val="{00000000-6E34-409E-8362-C08B62357644}"/>
            </c:ext>
          </c:extLst>
        </c:ser>
        <c:ser>
          <c:idx val="2"/>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smooth val="0"/>
          <c:extLst>
            <c:ext xmlns:c16="http://schemas.microsoft.com/office/drawing/2014/chart" uri="{C3380CC4-5D6E-409C-BE32-E72D297353CC}">
              <c16:uniqueId val="{00000001-6E34-409E-8362-C08B62357644}"/>
            </c:ext>
          </c:extLst>
        </c:ser>
        <c:ser>
          <c:idx val="4"/>
          <c:order val="2"/>
          <c:tx>
            <c:strRef>
              <c:f>股权价值增加分析表!$A$33</c:f>
              <c:strCache>
                <c:ptCount val="1"/>
                <c:pt idx="0">
                  <c:v>息税前金融资产收益占比</c:v>
                </c:pt>
              </c:strCache>
            </c:strRef>
          </c:tx>
          <c:val>
            <c:numRef>
              <c:f>股权价值增加分析表!$B$33:$Y$33</c:f>
              <c:numCache>
                <c:formatCode>0.00%</c:formatCode>
                <c:ptCount val="13"/>
                <c:pt idx="0">
                  <c:v>6.2570915647241654E-2</c:v>
                </c:pt>
                <c:pt idx="1">
                  <c:v>1.0894631387702497E-2</c:v>
                </c:pt>
                <c:pt idx="2">
                  <c:v>4.6992233339068828E-3</c:v>
                </c:pt>
                <c:pt idx="3">
                  <c:v>0</c:v>
                </c:pt>
                <c:pt idx="4">
                  <c:v>0</c:v>
                </c:pt>
                <c:pt idx="5">
                  <c:v>0</c:v>
                </c:pt>
                <c:pt idx="6">
                  <c:v>0</c:v>
                </c:pt>
                <c:pt idx="7">
                  <c:v>0</c:v>
                </c:pt>
                <c:pt idx="8">
                  <c:v>0.99293540707889016</c:v>
                </c:pt>
                <c:pt idx="9">
                  <c:v>1</c:v>
                </c:pt>
                <c:pt idx="10">
                  <c:v>1</c:v>
                </c:pt>
                <c:pt idx="11">
                  <c:v>0</c:v>
                </c:pt>
                <c:pt idx="12">
                  <c:v>0.98481049886928551</c:v>
                </c:pt>
              </c:numCache>
            </c:numRef>
          </c:val>
          <c:smooth val="0"/>
          <c:extLst>
            <c:ext xmlns:c16="http://schemas.microsoft.com/office/drawing/2014/chart" uri="{C3380CC4-5D6E-409C-BE32-E72D297353CC}">
              <c16:uniqueId val="{00000002-6E34-409E-8362-C08B62357644}"/>
            </c:ext>
          </c:extLst>
        </c:ser>
        <c:dLbls>
          <c:showLegendKey val="0"/>
          <c:showVal val="0"/>
          <c:showCatName val="0"/>
          <c:showSerName val="0"/>
          <c:showPercent val="0"/>
          <c:showBubbleSize val="0"/>
        </c:dLbls>
        <c:marker val="1"/>
        <c:smooth val="0"/>
        <c:axId val="230150144"/>
        <c:axId val="230056512"/>
      </c:lineChart>
      <c:catAx>
        <c:axId val="230150144"/>
        <c:scaling>
          <c:orientation val="minMax"/>
        </c:scaling>
        <c:delete val="0"/>
        <c:axPos val="b"/>
        <c:majorTickMark val="out"/>
        <c:minorTickMark val="none"/>
        <c:tickLblPos val="nextTo"/>
        <c:crossAx val="230056512"/>
        <c:crosses val="autoZero"/>
        <c:auto val="1"/>
        <c:lblAlgn val="ctr"/>
        <c:lblOffset val="100"/>
        <c:noMultiLvlLbl val="0"/>
      </c:catAx>
      <c:valAx>
        <c:axId val="230056512"/>
        <c:scaling>
          <c:orientation val="minMax"/>
        </c:scaling>
        <c:delete val="0"/>
        <c:axPos val="l"/>
        <c:majorGridlines/>
        <c:numFmt formatCode="0.00%" sourceLinked="1"/>
        <c:majorTickMark val="out"/>
        <c:minorTickMark val="none"/>
        <c:tickLblPos val="nextTo"/>
        <c:crossAx val="230150144"/>
        <c:crosses val="autoZero"/>
        <c:crossBetween val="between"/>
      </c:valAx>
    </c:plotArea>
    <c:legend>
      <c:legendPos val="r"/>
      <c:layout>
        <c:manualLayout>
          <c:xMode val="edge"/>
          <c:yMode val="edge"/>
          <c:x val="0.68025564039343567"/>
          <c:y val="7.0117440689319516E-3"/>
          <c:w val="0.31974420463629094"/>
          <c:h val="0.76295675205281288"/>
        </c:manualLayout>
      </c:layout>
      <c:overlay val="0"/>
    </c:legend>
    <c:plotVisOnly val="1"/>
    <c:dispBlanksAs val="zero"/>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9.2576500942475576E-2"/>
          <c:y val="5.2820206907861121E-2"/>
        </c:manualLayout>
      </c:layout>
      <c:overlay val="0"/>
    </c:title>
    <c:autoTitleDeleted val="0"/>
    <c:plotArea>
      <c:layout/>
      <c:lineChart>
        <c:grouping val="stacked"/>
        <c:varyColors val="0"/>
        <c:ser>
          <c:idx val="0"/>
          <c:order val="0"/>
          <c:tx>
            <c:strRef>
              <c:f>股权价值增加分析表!$A$41</c:f>
              <c:strCache>
                <c:ptCount val="1"/>
                <c:pt idx="0">
                  <c:v>财务成本负担率=1-税前利润/息税前利润</c:v>
                </c:pt>
              </c:strCache>
            </c:strRef>
          </c:tx>
          <c:val>
            <c:numRef>
              <c:f>股权价值增加分析表!$B$41:$Y$41</c:f>
              <c:numCache>
                <c:formatCode>0.00%</c:formatCode>
                <c:ptCount val="13"/>
                <c:pt idx="0">
                  <c:v>4.4332279543305431E-3</c:v>
                </c:pt>
                <c:pt idx="1">
                  <c:v>3.320114101189986E-2</c:v>
                </c:pt>
                <c:pt idx="2">
                  <c:v>4.4798198065822303E-2</c:v>
                </c:pt>
                <c:pt idx="3">
                  <c:v>7.8560491188419568E-2</c:v>
                </c:pt>
                <c:pt idx="4">
                  <c:v>9.8241539680014922E-2</c:v>
                </c:pt>
                <c:pt idx="5">
                  <c:v>-4.3415739829244515E-5</c:v>
                </c:pt>
                <c:pt idx="6">
                  <c:v>-7.0774370571342615E-3</c:v>
                </c:pt>
                <c:pt idx="7">
                  <c:v>0</c:v>
                </c:pt>
                <c:pt idx="8">
                  <c:v>-6.7888825451387635E-3</c:v>
                </c:pt>
                <c:pt idx="9">
                  <c:v>-176.66928344170117</c:v>
                </c:pt>
                <c:pt idx="10">
                  <c:v>-126.44470457436741</c:v>
                </c:pt>
                <c:pt idx="11">
                  <c:v>0</c:v>
                </c:pt>
                <c:pt idx="12">
                  <c:v>-1.5307164788183503E-2</c:v>
                </c:pt>
              </c:numCache>
            </c:numRef>
          </c:val>
          <c:smooth val="0"/>
          <c:extLst>
            <c:ext xmlns:c16="http://schemas.microsoft.com/office/drawing/2014/chart" uri="{C3380CC4-5D6E-409C-BE32-E72D297353CC}">
              <c16:uniqueId val="{00000000-6916-475F-A94C-4DF209EFC443}"/>
            </c:ext>
          </c:extLst>
        </c:ser>
        <c:dLbls>
          <c:showLegendKey val="0"/>
          <c:showVal val="0"/>
          <c:showCatName val="0"/>
          <c:showSerName val="0"/>
          <c:showPercent val="0"/>
          <c:showBubbleSize val="0"/>
        </c:dLbls>
        <c:marker val="1"/>
        <c:smooth val="0"/>
        <c:axId val="230150656"/>
        <c:axId val="230058816"/>
      </c:lineChart>
      <c:catAx>
        <c:axId val="230150656"/>
        <c:scaling>
          <c:orientation val="minMax"/>
        </c:scaling>
        <c:delete val="0"/>
        <c:axPos val="b"/>
        <c:majorTickMark val="out"/>
        <c:minorTickMark val="none"/>
        <c:tickLblPos val="nextTo"/>
        <c:crossAx val="230058816"/>
        <c:crosses val="autoZero"/>
        <c:auto val="1"/>
        <c:lblAlgn val="ctr"/>
        <c:lblOffset val="100"/>
        <c:noMultiLvlLbl val="0"/>
      </c:catAx>
      <c:valAx>
        <c:axId val="230058816"/>
        <c:scaling>
          <c:orientation val="minMax"/>
        </c:scaling>
        <c:delete val="0"/>
        <c:axPos val="l"/>
        <c:majorGridlines/>
        <c:numFmt formatCode="0.00%" sourceLinked="1"/>
        <c:majorTickMark val="out"/>
        <c:minorTickMark val="none"/>
        <c:tickLblPos val="nextTo"/>
        <c:crossAx val="230150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股权价值增加分析表!$A$2</c:f>
              <c:strCache>
                <c:ptCount val="1"/>
                <c:pt idx="0">
                  <c:v>营业收入</c:v>
                </c:pt>
              </c:strCache>
            </c:strRef>
          </c:tx>
          <c:invertIfNegative val="0"/>
          <c:val>
            <c:numRef>
              <c:f>股权价值增加分析表!$B$2:$Y$2</c:f>
              <c:numCache>
                <c:formatCode>#,##0.00_ </c:formatCode>
                <c:ptCount val="13"/>
                <c:pt idx="0">
                  <c:v>752408925.78999996</c:v>
                </c:pt>
                <c:pt idx="1">
                  <c:v>665011421.55999994</c:v>
                </c:pt>
                <c:pt idx="2">
                  <c:v>597037871.64999998</c:v>
                </c:pt>
                <c:pt idx="3">
                  <c:v>528809680.74000001</c:v>
                </c:pt>
                <c:pt idx="4">
                  <c:v>484907942.22000003</c:v>
                </c:pt>
                <c:pt idx="5">
                  <c:v>395593790.81</c:v>
                </c:pt>
                <c:pt idx="6">
                  <c:v>316891515.43000001</c:v>
                </c:pt>
                <c:pt idx="7">
                  <c:v>0</c:v>
                </c:pt>
                <c:pt idx="8">
                  <c:v>0</c:v>
                </c:pt>
                <c:pt idx="9">
                  <c:v>0</c:v>
                </c:pt>
                <c:pt idx="10">
                  <c:v>0</c:v>
                </c:pt>
                <c:pt idx="11">
                  <c:v>0</c:v>
                </c:pt>
                <c:pt idx="12">
                  <c:v>0</c:v>
                </c:pt>
              </c:numCache>
            </c:numRef>
          </c:val>
          <c:extLst>
            <c:ext xmlns:c16="http://schemas.microsoft.com/office/drawing/2014/chart" uri="{C3380CC4-5D6E-409C-BE32-E72D297353CC}">
              <c16:uniqueId val="{00000000-A93B-4798-8212-4DDF301A19D2}"/>
            </c:ext>
          </c:extLst>
        </c:ser>
        <c:ser>
          <c:idx val="2"/>
          <c:order val="1"/>
          <c:tx>
            <c:strRef>
              <c:f>股权价值增加分析表!$A$4</c:f>
              <c:strCache>
                <c:ptCount val="1"/>
                <c:pt idx="0">
                  <c:v>营业成本</c:v>
                </c:pt>
              </c:strCache>
            </c:strRef>
          </c:tx>
          <c:invertIfNegative val="0"/>
          <c:val>
            <c:numRef>
              <c:f>股权价值增加分析表!$B$4:$Y$4</c:f>
              <c:numCache>
                <c:formatCode>#,##0.00_ </c:formatCode>
                <c:ptCount val="13"/>
                <c:pt idx="0">
                  <c:v>406091046.83999997</c:v>
                </c:pt>
                <c:pt idx="1">
                  <c:v>348439708.45999998</c:v>
                </c:pt>
                <c:pt idx="2">
                  <c:v>318153253.52999997</c:v>
                </c:pt>
                <c:pt idx="3">
                  <c:v>287721956.77999997</c:v>
                </c:pt>
                <c:pt idx="4">
                  <c:v>255145394.69</c:v>
                </c:pt>
                <c:pt idx="5">
                  <c:v>207821413.31999999</c:v>
                </c:pt>
                <c:pt idx="6">
                  <c:v>157440528.15000001</c:v>
                </c:pt>
                <c:pt idx="7">
                  <c:v>0</c:v>
                </c:pt>
                <c:pt idx="8">
                  <c:v>0</c:v>
                </c:pt>
                <c:pt idx="9">
                  <c:v>0</c:v>
                </c:pt>
                <c:pt idx="10">
                  <c:v>0</c:v>
                </c:pt>
                <c:pt idx="11">
                  <c:v>0</c:v>
                </c:pt>
                <c:pt idx="12">
                  <c:v>0</c:v>
                </c:pt>
              </c:numCache>
            </c:numRef>
          </c:val>
          <c:extLst>
            <c:ext xmlns:c16="http://schemas.microsoft.com/office/drawing/2014/chart" uri="{C3380CC4-5D6E-409C-BE32-E72D297353CC}">
              <c16:uniqueId val="{00000001-A93B-4798-8212-4DDF301A19D2}"/>
            </c:ext>
          </c:extLst>
        </c:ser>
        <c:ser>
          <c:idx val="5"/>
          <c:order val="2"/>
          <c:tx>
            <c:strRef>
              <c:f>股权价值增加分析表!$A$7</c:f>
              <c:strCache>
                <c:ptCount val="1"/>
                <c:pt idx="0">
                  <c:v>毛利</c:v>
                </c:pt>
              </c:strCache>
            </c:strRef>
          </c:tx>
          <c:invertIfNegative val="0"/>
          <c:val>
            <c:numRef>
              <c:f>股权价值增加分析表!$B$7:$Y$7</c:f>
              <c:numCache>
                <c:formatCode>#,##0.00_ </c:formatCode>
                <c:ptCount val="13"/>
                <c:pt idx="0">
                  <c:v>346317878.94999999</c:v>
                </c:pt>
                <c:pt idx="1">
                  <c:v>316571713.09999996</c:v>
                </c:pt>
                <c:pt idx="2">
                  <c:v>278884618.12</c:v>
                </c:pt>
                <c:pt idx="3">
                  <c:v>241087723.96000004</c:v>
                </c:pt>
                <c:pt idx="4">
                  <c:v>229762547.53000003</c:v>
                </c:pt>
                <c:pt idx="5">
                  <c:v>187772377.49000001</c:v>
                </c:pt>
                <c:pt idx="6">
                  <c:v>159450987.28</c:v>
                </c:pt>
                <c:pt idx="7">
                  <c:v>0</c:v>
                </c:pt>
                <c:pt idx="8">
                  <c:v>0</c:v>
                </c:pt>
                <c:pt idx="9">
                  <c:v>0</c:v>
                </c:pt>
                <c:pt idx="10">
                  <c:v>0</c:v>
                </c:pt>
                <c:pt idx="11">
                  <c:v>0</c:v>
                </c:pt>
                <c:pt idx="12">
                  <c:v>0</c:v>
                </c:pt>
              </c:numCache>
            </c:numRef>
          </c:val>
          <c:extLst>
            <c:ext xmlns:c16="http://schemas.microsoft.com/office/drawing/2014/chart" uri="{C3380CC4-5D6E-409C-BE32-E72D297353CC}">
              <c16:uniqueId val="{00000002-A93B-4798-8212-4DDF301A19D2}"/>
            </c:ext>
          </c:extLst>
        </c:ser>
        <c:dLbls>
          <c:showLegendKey val="0"/>
          <c:showVal val="0"/>
          <c:showCatName val="0"/>
          <c:showSerName val="0"/>
          <c:showPercent val="0"/>
          <c:showBubbleSize val="0"/>
        </c:dLbls>
        <c:gapWidth val="150"/>
        <c:axId val="230151168"/>
        <c:axId val="230060544"/>
      </c:barChart>
      <c:catAx>
        <c:axId val="230151168"/>
        <c:scaling>
          <c:orientation val="minMax"/>
        </c:scaling>
        <c:delete val="0"/>
        <c:axPos val="b"/>
        <c:majorTickMark val="out"/>
        <c:minorTickMark val="none"/>
        <c:tickLblPos val="nextTo"/>
        <c:crossAx val="230060544"/>
        <c:crosses val="autoZero"/>
        <c:auto val="1"/>
        <c:lblAlgn val="ctr"/>
        <c:lblOffset val="100"/>
        <c:noMultiLvlLbl val="0"/>
      </c:catAx>
      <c:valAx>
        <c:axId val="230060544"/>
        <c:scaling>
          <c:orientation val="minMax"/>
        </c:scaling>
        <c:delete val="0"/>
        <c:axPos val="l"/>
        <c:majorGridlines/>
        <c:numFmt formatCode="#,##0.00_ " sourceLinked="1"/>
        <c:majorTickMark val="out"/>
        <c:minorTickMark val="none"/>
        <c:tickLblPos val="nextTo"/>
        <c:crossAx val="23015116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股东权益回报率分析表!$A$28</c:f>
              <c:strCache>
                <c:ptCount val="1"/>
                <c:pt idx="0">
                  <c:v>长期股权投资收益率</c:v>
                </c:pt>
              </c:strCache>
            </c:strRef>
          </c:tx>
          <c:val>
            <c:numRef>
              <c:f>股东权益回报率分析表!$B$28:$Y$28</c:f>
              <c:numCache>
                <c:formatCode>0.00%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smooth val="0"/>
          <c:extLst>
            <c:ext xmlns:c16="http://schemas.microsoft.com/office/drawing/2014/chart" uri="{C3380CC4-5D6E-409C-BE32-E72D297353CC}">
              <c16:uniqueId val="{00000000-BD4E-4A09-A91C-6471F6D59232}"/>
            </c:ext>
          </c:extLst>
        </c:ser>
        <c:dLbls>
          <c:showLegendKey val="0"/>
          <c:showVal val="0"/>
          <c:showCatName val="0"/>
          <c:showSerName val="0"/>
          <c:showPercent val="0"/>
          <c:showBubbleSize val="0"/>
        </c:dLbls>
        <c:marker val="1"/>
        <c:smooth val="0"/>
        <c:axId val="229526528"/>
        <c:axId val="230286464"/>
      </c:lineChart>
      <c:catAx>
        <c:axId val="229526528"/>
        <c:scaling>
          <c:orientation val="minMax"/>
        </c:scaling>
        <c:delete val="0"/>
        <c:axPos val="b"/>
        <c:majorTickMark val="out"/>
        <c:minorTickMark val="none"/>
        <c:tickLblPos val="nextTo"/>
        <c:crossAx val="230286464"/>
        <c:crosses val="autoZero"/>
        <c:auto val="1"/>
        <c:lblAlgn val="ctr"/>
        <c:lblOffset val="100"/>
        <c:noMultiLvlLbl val="0"/>
      </c:catAx>
      <c:valAx>
        <c:axId val="230286464"/>
        <c:scaling>
          <c:orientation val="minMax"/>
        </c:scaling>
        <c:delete val="0"/>
        <c:axPos val="l"/>
        <c:majorGridlines/>
        <c:numFmt formatCode="0.00%" sourceLinked="1"/>
        <c:majorTickMark val="out"/>
        <c:minorTickMark val="none"/>
        <c:tickLblPos val="nextTo"/>
        <c:crossAx val="22952652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股东权益回报率分析表!$A$44</c:f>
              <c:strCache>
                <c:ptCount val="1"/>
                <c:pt idx="0">
                  <c:v>税后金融资产收益率</c:v>
                </c:pt>
              </c:strCache>
            </c:strRef>
          </c:tx>
          <c:val>
            <c:numRef>
              <c:f>股东权益回报率分析表!$B$44:$Y$44</c:f>
              <c:numCache>
                <c:formatCode>0.00%</c:formatCode>
                <c:ptCount val="13"/>
                <c:pt idx="0">
                  <c:v>2.446723373759797E-2</c:v>
                </c:pt>
                <c:pt idx="1">
                  <c:v>3.2453307491898771E-3</c:v>
                </c:pt>
                <c:pt idx="2">
                  <c:v>4.5703772058822752E-3</c:v>
                </c:pt>
                <c:pt idx="3">
                  <c:v>0</c:v>
                </c:pt>
                <c:pt idx="4">
                  <c:v>0</c:v>
                </c:pt>
                <c:pt idx="5">
                  <c:v>0</c:v>
                </c:pt>
                <c:pt idx="6">
                  <c:v>0</c:v>
                </c:pt>
                <c:pt idx="7">
                  <c:v>0</c:v>
                </c:pt>
                <c:pt idx="8">
                  <c:v>0</c:v>
                </c:pt>
                <c:pt idx="9">
                  <c:v>0</c:v>
                </c:pt>
                <c:pt idx="10">
                  <c:v>0</c:v>
                </c:pt>
                <c:pt idx="11">
                  <c:v>0</c:v>
                </c:pt>
                <c:pt idx="12">
                  <c:v>0</c:v>
                </c:pt>
              </c:numCache>
            </c:numRef>
          </c:val>
          <c:smooth val="0"/>
          <c:extLst>
            <c:ext xmlns:c16="http://schemas.microsoft.com/office/drawing/2014/chart" uri="{C3380CC4-5D6E-409C-BE32-E72D297353CC}">
              <c16:uniqueId val="{00000000-AAAE-4A4E-8657-F1871AEF5DD2}"/>
            </c:ext>
          </c:extLst>
        </c:ser>
        <c:dLbls>
          <c:showLegendKey val="0"/>
          <c:showVal val="0"/>
          <c:showCatName val="0"/>
          <c:showSerName val="0"/>
          <c:showPercent val="0"/>
          <c:showBubbleSize val="0"/>
        </c:dLbls>
        <c:marker val="1"/>
        <c:smooth val="0"/>
        <c:axId val="229642240"/>
        <c:axId val="230288192"/>
      </c:lineChart>
      <c:catAx>
        <c:axId val="229642240"/>
        <c:scaling>
          <c:orientation val="minMax"/>
        </c:scaling>
        <c:delete val="0"/>
        <c:axPos val="b"/>
        <c:majorTickMark val="out"/>
        <c:minorTickMark val="none"/>
        <c:tickLblPos val="nextTo"/>
        <c:crossAx val="230288192"/>
        <c:crosses val="autoZero"/>
        <c:auto val="1"/>
        <c:lblAlgn val="ctr"/>
        <c:lblOffset val="100"/>
        <c:noMultiLvlLbl val="0"/>
      </c:catAx>
      <c:valAx>
        <c:axId val="230288192"/>
        <c:scaling>
          <c:orientation val="minMax"/>
        </c:scaling>
        <c:delete val="0"/>
        <c:axPos val="l"/>
        <c:majorGridlines/>
        <c:numFmt formatCode="0.00%" sourceLinked="1"/>
        <c:majorTickMark val="out"/>
        <c:minorTickMark val="none"/>
        <c:tickLblPos val="nextTo"/>
        <c:crossAx val="2296422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股东权益回报率分析表!$A$51</c:f>
              <c:strCache>
                <c:ptCount val="1"/>
                <c:pt idx="0">
                  <c:v>营运资产周转率</c:v>
                </c:pt>
              </c:strCache>
            </c:strRef>
          </c:tx>
          <c:val>
            <c:numRef>
              <c:f>股东权益回报率分析表!$B$51:$Y$51</c:f>
              <c:numCache>
                <c:formatCode>#,##0.00_ </c:formatCode>
                <c:ptCount val="13"/>
                <c:pt idx="0">
                  <c:v>3.9193783320427644</c:v>
                </c:pt>
                <c:pt idx="1">
                  <c:v>3.8183887385058446</c:v>
                </c:pt>
                <c:pt idx="2">
                  <c:v>-14.708478201411541</c:v>
                </c:pt>
                <c:pt idx="3">
                  <c:v>30.590694215305408</c:v>
                </c:pt>
                <c:pt idx="4">
                  <c:v>-1232.1162293195634</c:v>
                </c:pt>
                <c:pt idx="5">
                  <c:v>0</c:v>
                </c:pt>
                <c:pt idx="6">
                  <c:v>0</c:v>
                </c:pt>
                <c:pt idx="7">
                  <c:v>0</c:v>
                </c:pt>
                <c:pt idx="8">
                  <c:v>0</c:v>
                </c:pt>
                <c:pt idx="9">
                  <c:v>0</c:v>
                </c:pt>
                <c:pt idx="10">
                  <c:v>0</c:v>
                </c:pt>
                <c:pt idx="11">
                  <c:v>0</c:v>
                </c:pt>
                <c:pt idx="12">
                  <c:v>0</c:v>
                </c:pt>
              </c:numCache>
            </c:numRef>
          </c:val>
          <c:smooth val="0"/>
          <c:extLst>
            <c:ext xmlns:c16="http://schemas.microsoft.com/office/drawing/2014/chart" uri="{C3380CC4-5D6E-409C-BE32-E72D297353CC}">
              <c16:uniqueId val="{00000000-8D13-4A33-B71F-8CEA27669388}"/>
            </c:ext>
          </c:extLst>
        </c:ser>
        <c:ser>
          <c:idx val="2"/>
          <c:order val="1"/>
          <c:tx>
            <c:strRef>
              <c:f>股东权益回报率分析表!$A$53</c:f>
              <c:strCache>
                <c:ptCount val="1"/>
                <c:pt idx="0">
                  <c:v>长期经营资产周转率</c:v>
                </c:pt>
              </c:strCache>
            </c:strRef>
          </c:tx>
          <c:val>
            <c:numRef>
              <c:f>股东权益回报率分析表!$B$53:$Y$53</c:f>
              <c:numCache>
                <c:formatCode>#,##0.00_ </c:formatCode>
                <c:ptCount val="13"/>
                <c:pt idx="0">
                  <c:v>1.4747542823132131</c:v>
                </c:pt>
                <c:pt idx="1">
                  <c:v>1.4916060028298186</c:v>
                </c:pt>
                <c:pt idx="2">
                  <c:v>1.4575412166401598</c:v>
                </c:pt>
                <c:pt idx="3">
                  <c:v>2.9374734495041568</c:v>
                </c:pt>
                <c:pt idx="4">
                  <c:v>3.721993800416922</c:v>
                </c:pt>
                <c:pt idx="5">
                  <c:v>0</c:v>
                </c:pt>
                <c:pt idx="6">
                  <c:v>0</c:v>
                </c:pt>
                <c:pt idx="7">
                  <c:v>0</c:v>
                </c:pt>
                <c:pt idx="8">
                  <c:v>0</c:v>
                </c:pt>
                <c:pt idx="9">
                  <c:v>0</c:v>
                </c:pt>
                <c:pt idx="10">
                  <c:v>0</c:v>
                </c:pt>
                <c:pt idx="11">
                  <c:v>0</c:v>
                </c:pt>
                <c:pt idx="12">
                  <c:v>0</c:v>
                </c:pt>
              </c:numCache>
            </c:numRef>
          </c:val>
          <c:smooth val="0"/>
          <c:extLst>
            <c:ext xmlns:c16="http://schemas.microsoft.com/office/drawing/2014/chart" uri="{C3380CC4-5D6E-409C-BE32-E72D297353CC}">
              <c16:uniqueId val="{00000001-8D13-4A33-B71F-8CEA27669388}"/>
            </c:ext>
          </c:extLst>
        </c:ser>
        <c:ser>
          <c:idx val="4"/>
          <c:order val="2"/>
          <c:tx>
            <c:strRef>
              <c:f>股东权益回报率分析表!$A$55</c:f>
              <c:strCache>
                <c:ptCount val="1"/>
                <c:pt idx="0">
                  <c:v>金融资产周转率</c:v>
                </c:pt>
              </c:strCache>
            </c:strRef>
          </c:tx>
          <c:val>
            <c:numRef>
              <c:f>股东权益回报率分析表!$B$55:$Y$55</c:f>
              <c:numCache>
                <c:formatCode>#,##0.00_ </c:formatCode>
                <c:ptCount val="13"/>
                <c:pt idx="0">
                  <c:v>2.0916270828124737</c:v>
                </c:pt>
                <c:pt idx="1">
                  <c:v>1.5043010162313004</c:v>
                </c:pt>
                <c:pt idx="2">
                  <c:v>4.9195528752056168</c:v>
                </c:pt>
                <c:pt idx="3">
                  <c:v>4.0250831436034602</c:v>
                </c:pt>
                <c:pt idx="4">
                  <c:v>4.5473862457941383</c:v>
                </c:pt>
                <c:pt idx="5">
                  <c:v>0</c:v>
                </c:pt>
                <c:pt idx="6">
                  <c:v>0</c:v>
                </c:pt>
                <c:pt idx="7">
                  <c:v>0</c:v>
                </c:pt>
                <c:pt idx="8">
                  <c:v>0</c:v>
                </c:pt>
                <c:pt idx="9">
                  <c:v>0</c:v>
                </c:pt>
                <c:pt idx="10">
                  <c:v>0</c:v>
                </c:pt>
                <c:pt idx="11">
                  <c:v>0</c:v>
                </c:pt>
                <c:pt idx="12">
                  <c:v>0</c:v>
                </c:pt>
              </c:numCache>
            </c:numRef>
          </c:val>
          <c:smooth val="0"/>
          <c:extLst>
            <c:ext xmlns:c16="http://schemas.microsoft.com/office/drawing/2014/chart" uri="{C3380CC4-5D6E-409C-BE32-E72D297353CC}">
              <c16:uniqueId val="{00000002-8D13-4A33-B71F-8CEA27669388}"/>
            </c:ext>
          </c:extLst>
        </c:ser>
        <c:ser>
          <c:idx val="6"/>
          <c:order val="3"/>
          <c:tx>
            <c:strRef>
              <c:f>股东权益回报率分析表!$A$57</c:f>
              <c:strCache>
                <c:ptCount val="1"/>
                <c:pt idx="0">
                  <c:v>长期股权投资周转率</c:v>
                </c:pt>
              </c:strCache>
            </c:strRef>
          </c:tx>
          <c:val>
            <c:numRef>
              <c:f>股东权益回报率分析表!$B$57:$Y$57</c:f>
              <c:numCache>
                <c:formatCode>#,##0.00_ </c:formatCode>
                <c:ptCount val="13"/>
                <c:pt idx="0">
                  <c:v>22.800270478484848</c:v>
                </c:pt>
                <c:pt idx="1">
                  <c:v>0</c:v>
                </c:pt>
                <c:pt idx="2">
                  <c:v>0</c:v>
                </c:pt>
                <c:pt idx="3">
                  <c:v>528.80968073999998</c:v>
                </c:pt>
                <c:pt idx="4">
                  <c:v>484.90794222000005</c:v>
                </c:pt>
                <c:pt idx="5">
                  <c:v>0</c:v>
                </c:pt>
                <c:pt idx="6">
                  <c:v>0</c:v>
                </c:pt>
                <c:pt idx="7">
                  <c:v>0</c:v>
                </c:pt>
                <c:pt idx="8">
                  <c:v>0</c:v>
                </c:pt>
                <c:pt idx="9">
                  <c:v>0</c:v>
                </c:pt>
                <c:pt idx="10">
                  <c:v>0</c:v>
                </c:pt>
                <c:pt idx="11">
                  <c:v>0</c:v>
                </c:pt>
                <c:pt idx="12">
                  <c:v>0</c:v>
                </c:pt>
              </c:numCache>
            </c:numRef>
          </c:val>
          <c:smooth val="0"/>
          <c:extLst>
            <c:ext xmlns:c16="http://schemas.microsoft.com/office/drawing/2014/chart" uri="{C3380CC4-5D6E-409C-BE32-E72D297353CC}">
              <c16:uniqueId val="{00000003-8D13-4A33-B71F-8CEA27669388}"/>
            </c:ext>
          </c:extLst>
        </c:ser>
        <c:dLbls>
          <c:showLegendKey val="0"/>
          <c:showVal val="0"/>
          <c:showCatName val="0"/>
          <c:showSerName val="0"/>
          <c:showPercent val="0"/>
          <c:showBubbleSize val="0"/>
        </c:dLbls>
        <c:marker val="1"/>
        <c:smooth val="0"/>
        <c:axId val="229642752"/>
        <c:axId val="230289920"/>
      </c:lineChart>
      <c:catAx>
        <c:axId val="229642752"/>
        <c:scaling>
          <c:orientation val="minMax"/>
        </c:scaling>
        <c:delete val="0"/>
        <c:axPos val="b"/>
        <c:majorTickMark val="out"/>
        <c:minorTickMark val="none"/>
        <c:tickLblPos val="nextTo"/>
        <c:crossAx val="230289920"/>
        <c:crosses val="autoZero"/>
        <c:auto val="1"/>
        <c:lblAlgn val="ctr"/>
        <c:lblOffset val="100"/>
        <c:noMultiLvlLbl val="0"/>
      </c:catAx>
      <c:valAx>
        <c:axId val="230289920"/>
        <c:scaling>
          <c:orientation val="minMax"/>
        </c:scaling>
        <c:delete val="0"/>
        <c:axPos val="l"/>
        <c:majorGridlines/>
        <c:numFmt formatCode="#,##0.00_ " sourceLinked="1"/>
        <c:majorTickMark val="out"/>
        <c:minorTickMark val="none"/>
        <c:tickLblPos val="nextTo"/>
        <c:crossAx val="2296427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股东权益回报率分析表!$A$83</c:f>
              <c:strCache>
                <c:ptCount val="1"/>
                <c:pt idx="0">
                  <c:v>长期经营资产周转率</c:v>
                </c:pt>
              </c:strCache>
            </c:strRef>
          </c:tx>
          <c:val>
            <c:numRef>
              <c:f>股东权益回报率分析表!$B$83:$Y$83</c:f>
              <c:numCache>
                <c:formatCode>#,##0.00_ </c:formatCode>
                <c:ptCount val="13"/>
                <c:pt idx="0">
                  <c:v>1.4639119106434102</c:v>
                </c:pt>
                <c:pt idx="1">
                  <c:v>1.5972090257418095</c:v>
                </c:pt>
                <c:pt idx="2">
                  <c:v>1.5600182148223498</c:v>
                </c:pt>
                <c:pt idx="3">
                  <c:v>4.3407153720234453</c:v>
                </c:pt>
                <c:pt idx="4">
                  <c:v>5.0554385635246453</c:v>
                </c:pt>
                <c:pt idx="5">
                  <c:v>0</c:v>
                </c:pt>
                <c:pt idx="6">
                  <c:v>0</c:v>
                </c:pt>
                <c:pt idx="7">
                  <c:v>0</c:v>
                </c:pt>
                <c:pt idx="8">
                  <c:v>0</c:v>
                </c:pt>
                <c:pt idx="9">
                  <c:v>0</c:v>
                </c:pt>
                <c:pt idx="10">
                  <c:v>0</c:v>
                </c:pt>
                <c:pt idx="11">
                  <c:v>0</c:v>
                </c:pt>
                <c:pt idx="12">
                  <c:v>0</c:v>
                </c:pt>
              </c:numCache>
            </c:numRef>
          </c:val>
          <c:smooth val="0"/>
          <c:extLst>
            <c:ext xmlns:c16="http://schemas.microsoft.com/office/drawing/2014/chart" uri="{C3380CC4-5D6E-409C-BE32-E72D297353CC}">
              <c16:uniqueId val="{00000000-0099-4DAD-A4F5-0113A8B0EAAB}"/>
            </c:ext>
          </c:extLst>
        </c:ser>
        <c:ser>
          <c:idx val="2"/>
          <c:order val="1"/>
          <c:tx>
            <c:strRef>
              <c:f>股东权益回报率分析表!$A$85</c:f>
              <c:strCache>
                <c:ptCount val="1"/>
                <c:pt idx="0">
                  <c:v>固定资产周转率</c:v>
                </c:pt>
              </c:strCache>
            </c:strRef>
          </c:tx>
          <c:val>
            <c:numRef>
              <c:f>股东权益回报率分析表!$B$85:$Y$85</c:f>
              <c:numCache>
                <c:formatCode>#,##0.00_ </c:formatCode>
                <c:ptCount val="13"/>
                <c:pt idx="0">
                  <c:v>2.3557604114777506</c:v>
                </c:pt>
                <c:pt idx="1">
                  <c:v>2.5508578070937977</c:v>
                </c:pt>
                <c:pt idx="2">
                  <c:v>2.7161157127329396</c:v>
                </c:pt>
                <c:pt idx="3">
                  <c:v>5.2543098589827633</c:v>
                </c:pt>
                <c:pt idx="4">
                  <c:v>5.7666579129900333</c:v>
                </c:pt>
                <c:pt idx="5">
                  <c:v>0</c:v>
                </c:pt>
                <c:pt idx="6">
                  <c:v>0</c:v>
                </c:pt>
                <c:pt idx="7">
                  <c:v>0</c:v>
                </c:pt>
                <c:pt idx="8">
                  <c:v>0</c:v>
                </c:pt>
                <c:pt idx="9">
                  <c:v>0</c:v>
                </c:pt>
                <c:pt idx="10">
                  <c:v>0</c:v>
                </c:pt>
                <c:pt idx="11">
                  <c:v>0</c:v>
                </c:pt>
                <c:pt idx="12">
                  <c:v>0</c:v>
                </c:pt>
              </c:numCache>
            </c:numRef>
          </c:val>
          <c:smooth val="0"/>
          <c:extLst>
            <c:ext xmlns:c16="http://schemas.microsoft.com/office/drawing/2014/chart" uri="{C3380CC4-5D6E-409C-BE32-E72D297353CC}">
              <c16:uniqueId val="{00000001-0099-4DAD-A4F5-0113A8B0EAAB}"/>
            </c:ext>
          </c:extLst>
        </c:ser>
        <c:ser>
          <c:idx val="4"/>
          <c:order val="2"/>
          <c:tx>
            <c:strRef>
              <c:f>股东权益回报率分析表!$A$87</c:f>
              <c:strCache>
                <c:ptCount val="1"/>
                <c:pt idx="0">
                  <c:v>在建工程周转率</c:v>
                </c:pt>
              </c:strCache>
            </c:strRef>
          </c:tx>
          <c:val>
            <c:numRef>
              <c:f>股东权益回报率分析表!$B$87:$Y$87</c:f>
              <c:numCache>
                <c:formatCode>#,##0.00_ </c:formatCode>
                <c:ptCount val="13"/>
                <c:pt idx="0">
                  <c:v>15.581136280710211</c:v>
                </c:pt>
                <c:pt idx="1">
                  <c:v>12.462892219918631</c:v>
                </c:pt>
                <c:pt idx="2">
                  <c:v>11.843974767457324</c:v>
                </c:pt>
                <c:pt idx="3">
                  <c:v>0</c:v>
                </c:pt>
                <c:pt idx="4">
                  <c:v>0</c:v>
                </c:pt>
                <c:pt idx="5">
                  <c:v>0</c:v>
                </c:pt>
                <c:pt idx="6">
                  <c:v>0</c:v>
                </c:pt>
                <c:pt idx="7">
                  <c:v>0</c:v>
                </c:pt>
                <c:pt idx="8">
                  <c:v>0</c:v>
                </c:pt>
                <c:pt idx="9">
                  <c:v>0</c:v>
                </c:pt>
                <c:pt idx="10">
                  <c:v>0</c:v>
                </c:pt>
                <c:pt idx="11">
                  <c:v>0</c:v>
                </c:pt>
                <c:pt idx="12">
                  <c:v>0</c:v>
                </c:pt>
              </c:numCache>
            </c:numRef>
          </c:val>
          <c:smooth val="0"/>
          <c:extLst>
            <c:ext xmlns:c16="http://schemas.microsoft.com/office/drawing/2014/chart" uri="{C3380CC4-5D6E-409C-BE32-E72D297353CC}">
              <c16:uniqueId val="{00000002-0099-4DAD-A4F5-0113A8B0EAAB}"/>
            </c:ext>
          </c:extLst>
        </c:ser>
        <c:ser>
          <c:idx val="10"/>
          <c:order val="3"/>
          <c:tx>
            <c:strRef>
              <c:f>股东权益回报率分析表!$A$93</c:f>
              <c:strCache>
                <c:ptCount val="1"/>
                <c:pt idx="0">
                  <c:v>无形资产周转率（土地使用权）</c:v>
                </c:pt>
              </c:strCache>
            </c:strRef>
          </c:tx>
          <c:val>
            <c:numRef>
              <c:f>股东权益回报率分析表!$B$93:$Y$93</c:f>
              <c:numCache>
                <c:formatCode>#,##0.00_ </c:formatCode>
                <c:ptCount val="13"/>
                <c:pt idx="0">
                  <c:v>13.551517060523418</c:v>
                </c:pt>
                <c:pt idx="1">
                  <c:v>11.685833991991124</c:v>
                </c:pt>
                <c:pt idx="2">
                  <c:v>8.9635240386310766</c:v>
                </c:pt>
                <c:pt idx="3">
                  <c:v>45.348105519854471</c:v>
                </c:pt>
                <c:pt idx="4">
                  <c:v>111.4195798237248</c:v>
                </c:pt>
                <c:pt idx="5">
                  <c:v>0</c:v>
                </c:pt>
                <c:pt idx="6">
                  <c:v>0</c:v>
                </c:pt>
                <c:pt idx="7">
                  <c:v>0</c:v>
                </c:pt>
                <c:pt idx="8">
                  <c:v>0</c:v>
                </c:pt>
                <c:pt idx="9">
                  <c:v>0</c:v>
                </c:pt>
                <c:pt idx="10">
                  <c:v>0</c:v>
                </c:pt>
                <c:pt idx="11">
                  <c:v>0</c:v>
                </c:pt>
                <c:pt idx="12">
                  <c:v>0</c:v>
                </c:pt>
              </c:numCache>
            </c:numRef>
          </c:val>
          <c:smooth val="0"/>
          <c:extLst>
            <c:ext xmlns:c16="http://schemas.microsoft.com/office/drawing/2014/chart" uri="{C3380CC4-5D6E-409C-BE32-E72D297353CC}">
              <c16:uniqueId val="{00000003-0099-4DAD-A4F5-0113A8B0EAAB}"/>
            </c:ext>
          </c:extLst>
        </c:ser>
        <c:dLbls>
          <c:showLegendKey val="0"/>
          <c:showVal val="0"/>
          <c:showCatName val="0"/>
          <c:showSerName val="0"/>
          <c:showPercent val="0"/>
          <c:showBubbleSize val="0"/>
        </c:dLbls>
        <c:marker val="1"/>
        <c:smooth val="0"/>
        <c:axId val="229643776"/>
        <c:axId val="230292224"/>
      </c:lineChart>
      <c:catAx>
        <c:axId val="229643776"/>
        <c:scaling>
          <c:orientation val="minMax"/>
        </c:scaling>
        <c:delete val="0"/>
        <c:axPos val="b"/>
        <c:majorTickMark val="out"/>
        <c:minorTickMark val="none"/>
        <c:tickLblPos val="nextTo"/>
        <c:crossAx val="230292224"/>
        <c:crosses val="autoZero"/>
        <c:auto val="1"/>
        <c:lblAlgn val="ctr"/>
        <c:lblOffset val="100"/>
        <c:noMultiLvlLbl val="0"/>
      </c:catAx>
      <c:valAx>
        <c:axId val="230292224"/>
        <c:scaling>
          <c:orientation val="minMax"/>
        </c:scaling>
        <c:delete val="0"/>
        <c:axPos val="l"/>
        <c:majorGridlines/>
        <c:numFmt formatCode="#,##0.00_ " sourceLinked="1"/>
        <c:majorTickMark val="out"/>
        <c:minorTickMark val="none"/>
        <c:tickLblPos val="nextTo"/>
        <c:crossAx val="229643776"/>
        <c:crosses val="autoZero"/>
        <c:crossBetween val="between"/>
      </c:valAx>
    </c:plotArea>
    <c:legend>
      <c:legendPos val="r"/>
      <c:layout>
        <c:manualLayout>
          <c:xMode val="edge"/>
          <c:yMode val="edge"/>
          <c:x val="0.64983155699556117"/>
          <c:y val="0.20568305568006853"/>
          <c:w val="0.30073106715319126"/>
          <c:h val="0.60225579776341187"/>
        </c:manualLayout>
      </c:layout>
      <c:overlay val="0"/>
    </c:legend>
    <c:plotVisOnly val="1"/>
    <c:dispBlanksAs val="zero"/>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股东权益回报率分析表!$A$65</c:f>
              <c:strCache>
                <c:ptCount val="1"/>
                <c:pt idx="0">
                  <c:v>(1)应收平均周转率=营业收入/平均应收额</c:v>
                </c:pt>
              </c:strCache>
            </c:strRef>
          </c:tx>
          <c:val>
            <c:numRef>
              <c:f>股东权益回报率分析表!$B$65:$Y$65</c:f>
              <c:numCache>
                <c:formatCode>#,##0.00_ </c:formatCode>
                <c:ptCount val="13"/>
                <c:pt idx="0">
                  <c:v>-29.030392628383336</c:v>
                </c:pt>
                <c:pt idx="1">
                  <c:v>-36.014579011171236</c:v>
                </c:pt>
                <c:pt idx="2">
                  <c:v>-82.379271871561315</c:v>
                </c:pt>
                <c:pt idx="3">
                  <c:v>-75.008337360241342</c:v>
                </c:pt>
                <c:pt idx="4">
                  <c:v>-611.66242940012341</c:v>
                </c:pt>
                <c:pt idx="5">
                  <c:v>0</c:v>
                </c:pt>
                <c:pt idx="6">
                  <c:v>0</c:v>
                </c:pt>
                <c:pt idx="7">
                  <c:v>0</c:v>
                </c:pt>
                <c:pt idx="8">
                  <c:v>0</c:v>
                </c:pt>
                <c:pt idx="9">
                  <c:v>0</c:v>
                </c:pt>
                <c:pt idx="10">
                  <c:v>0</c:v>
                </c:pt>
                <c:pt idx="11">
                  <c:v>0</c:v>
                </c:pt>
                <c:pt idx="12">
                  <c:v>0</c:v>
                </c:pt>
              </c:numCache>
            </c:numRef>
          </c:val>
          <c:smooth val="0"/>
          <c:extLst>
            <c:ext xmlns:c16="http://schemas.microsoft.com/office/drawing/2014/chart" uri="{C3380CC4-5D6E-409C-BE32-E72D297353CC}">
              <c16:uniqueId val="{00000000-4A07-4E81-9AE6-5A4A8E2A4B5B}"/>
            </c:ext>
          </c:extLst>
        </c:ser>
        <c:ser>
          <c:idx val="4"/>
          <c:order val="1"/>
          <c:tx>
            <c:strRef>
              <c:f>股东权益回报率分析表!$A$69</c:f>
              <c:strCache>
                <c:ptCount val="1"/>
                <c:pt idx="0">
                  <c:v>(3)存货平均周转率=营业成本/平均存货额</c:v>
                </c:pt>
              </c:strCache>
            </c:strRef>
          </c:tx>
          <c:val>
            <c:numRef>
              <c:f>股东权益回报率分析表!$B$69:$Y$69</c:f>
              <c:numCache>
                <c:formatCode>#,##0.00_ </c:formatCode>
                <c:ptCount val="13"/>
                <c:pt idx="0">
                  <c:v>32.872119943275472</c:v>
                </c:pt>
                <c:pt idx="1">
                  <c:v>35.186402469377001</c:v>
                </c:pt>
                <c:pt idx="2">
                  <c:v>88.182591962322505</c:v>
                </c:pt>
                <c:pt idx="3">
                  <c:v>92.998734074170031</c:v>
                </c:pt>
                <c:pt idx="4">
                  <c:v>113.33443478565277</c:v>
                </c:pt>
                <c:pt idx="5">
                  <c:v>0</c:v>
                </c:pt>
                <c:pt idx="6">
                  <c:v>0</c:v>
                </c:pt>
                <c:pt idx="7">
                  <c:v>0</c:v>
                </c:pt>
                <c:pt idx="8">
                  <c:v>0</c:v>
                </c:pt>
                <c:pt idx="9">
                  <c:v>0</c:v>
                </c:pt>
                <c:pt idx="10">
                  <c:v>0</c:v>
                </c:pt>
                <c:pt idx="11">
                  <c:v>0</c:v>
                </c:pt>
                <c:pt idx="12">
                  <c:v>0</c:v>
                </c:pt>
              </c:numCache>
            </c:numRef>
          </c:val>
          <c:smooth val="0"/>
          <c:extLst>
            <c:ext xmlns:c16="http://schemas.microsoft.com/office/drawing/2014/chart" uri="{C3380CC4-5D6E-409C-BE32-E72D297353CC}">
              <c16:uniqueId val="{00000001-4A07-4E81-9AE6-5A4A8E2A4B5B}"/>
            </c:ext>
          </c:extLst>
        </c:ser>
        <c:ser>
          <c:idx val="7"/>
          <c:order val="2"/>
          <c:tx>
            <c:strRef>
              <c:f>股东权益回报率分析表!$A$72</c:f>
              <c:strCache>
                <c:ptCount val="1"/>
                <c:pt idx="0">
                  <c:v>(5)应付平均周转率=营业成本/平均应付成本</c:v>
                </c:pt>
              </c:strCache>
            </c:strRef>
          </c:tx>
          <c:val>
            <c:numRef>
              <c:f>股东权益回报率分析表!$B$72:$Y$72</c:f>
              <c:numCache>
                <c:formatCode>#,##0.00_ </c:formatCode>
                <c:ptCount val="13"/>
                <c:pt idx="0">
                  <c:v>-29.187802809533867</c:v>
                </c:pt>
                <c:pt idx="1">
                  <c:v>-83.0512704924367</c:v>
                </c:pt>
                <c:pt idx="2">
                  <c:v>-469.77698701470155</c:v>
                </c:pt>
                <c:pt idx="3">
                  <c:v>-8.1689187762428954</c:v>
                </c:pt>
                <c:pt idx="4">
                  <c:v>-58.801363149208498</c:v>
                </c:pt>
                <c:pt idx="5">
                  <c:v>0</c:v>
                </c:pt>
                <c:pt idx="6">
                  <c:v>0</c:v>
                </c:pt>
                <c:pt idx="7">
                  <c:v>0</c:v>
                </c:pt>
                <c:pt idx="8">
                  <c:v>0</c:v>
                </c:pt>
                <c:pt idx="9">
                  <c:v>0</c:v>
                </c:pt>
                <c:pt idx="10">
                  <c:v>0</c:v>
                </c:pt>
                <c:pt idx="11">
                  <c:v>0</c:v>
                </c:pt>
                <c:pt idx="12">
                  <c:v>0</c:v>
                </c:pt>
              </c:numCache>
            </c:numRef>
          </c:val>
          <c:smooth val="0"/>
          <c:extLst>
            <c:ext xmlns:c16="http://schemas.microsoft.com/office/drawing/2014/chart" uri="{C3380CC4-5D6E-409C-BE32-E72D297353CC}">
              <c16:uniqueId val="{00000002-4A07-4E81-9AE6-5A4A8E2A4B5B}"/>
            </c:ext>
          </c:extLst>
        </c:ser>
        <c:dLbls>
          <c:showLegendKey val="0"/>
          <c:showVal val="0"/>
          <c:showCatName val="0"/>
          <c:showSerName val="0"/>
          <c:showPercent val="0"/>
          <c:showBubbleSize val="0"/>
        </c:dLbls>
        <c:marker val="1"/>
        <c:smooth val="0"/>
        <c:axId val="229645824"/>
        <c:axId val="233771520"/>
      </c:lineChart>
      <c:catAx>
        <c:axId val="229645824"/>
        <c:scaling>
          <c:orientation val="minMax"/>
        </c:scaling>
        <c:delete val="0"/>
        <c:axPos val="b"/>
        <c:majorTickMark val="out"/>
        <c:minorTickMark val="none"/>
        <c:tickLblPos val="nextTo"/>
        <c:crossAx val="233771520"/>
        <c:crosses val="autoZero"/>
        <c:auto val="1"/>
        <c:lblAlgn val="ctr"/>
        <c:lblOffset val="100"/>
        <c:noMultiLvlLbl val="0"/>
      </c:catAx>
      <c:valAx>
        <c:axId val="233771520"/>
        <c:scaling>
          <c:orientation val="minMax"/>
        </c:scaling>
        <c:delete val="0"/>
        <c:axPos val="l"/>
        <c:majorGridlines/>
        <c:numFmt formatCode="#,##0.00_ " sourceLinked="1"/>
        <c:majorTickMark val="out"/>
        <c:minorTickMark val="none"/>
        <c:tickLblPos val="nextTo"/>
        <c:crossAx val="22964582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6775699912510936"/>
          <c:y val="2.3148148148148147E-2"/>
        </c:manualLayout>
      </c:layout>
      <c:overlay val="0"/>
    </c:title>
    <c:autoTitleDeleted val="0"/>
    <c:plotArea>
      <c:layout/>
      <c:lineChart>
        <c:grouping val="stacked"/>
        <c:varyColors val="0"/>
        <c:ser>
          <c:idx val="0"/>
          <c:order val="0"/>
          <c:tx>
            <c:strRef>
              <c:f>股东权益回报率分析表!$A$24</c:f>
              <c:strCache>
                <c:ptCount val="1"/>
                <c:pt idx="0">
                  <c:v>(6)息税前经营资产回报率=3*5</c:v>
                </c:pt>
              </c:strCache>
            </c:strRef>
          </c:tx>
          <c:val>
            <c:numRef>
              <c:f>股东权益回报率分析表!$B$24:$Y$24</c:f>
              <c:numCache>
                <c:formatCode>0.00%</c:formatCode>
                <c:ptCount val="13"/>
                <c:pt idx="0">
                  <c:v>0.22195863805614968</c:v>
                </c:pt>
                <c:pt idx="1">
                  <c:v>0.24642377362702966</c:v>
                </c:pt>
                <c:pt idx="2">
                  <c:v>0.37626623045121321</c:v>
                </c:pt>
                <c:pt idx="3">
                  <c:v>0.6167065227160371</c:v>
                </c:pt>
                <c:pt idx="4">
                  <c:v>0.86022103088660162</c:v>
                </c:pt>
                <c:pt idx="5">
                  <c:v>0</c:v>
                </c:pt>
                <c:pt idx="6">
                  <c:v>0</c:v>
                </c:pt>
                <c:pt idx="7">
                  <c:v>0</c:v>
                </c:pt>
                <c:pt idx="8">
                  <c:v>0</c:v>
                </c:pt>
                <c:pt idx="9">
                  <c:v>0</c:v>
                </c:pt>
                <c:pt idx="10">
                  <c:v>0</c:v>
                </c:pt>
                <c:pt idx="11">
                  <c:v>0</c:v>
                </c:pt>
                <c:pt idx="12">
                  <c:v>0</c:v>
                </c:pt>
              </c:numCache>
            </c:numRef>
          </c:val>
          <c:smooth val="0"/>
          <c:extLst>
            <c:ext xmlns:c16="http://schemas.microsoft.com/office/drawing/2014/chart" uri="{C3380CC4-5D6E-409C-BE32-E72D297353CC}">
              <c16:uniqueId val="{00000000-16CA-4673-A52E-8D6FAC68D0E3}"/>
            </c:ext>
          </c:extLst>
        </c:ser>
        <c:dLbls>
          <c:showLegendKey val="0"/>
          <c:showVal val="0"/>
          <c:showCatName val="0"/>
          <c:showSerName val="0"/>
          <c:showPercent val="0"/>
          <c:showBubbleSize val="0"/>
        </c:dLbls>
        <c:marker val="1"/>
        <c:smooth val="0"/>
        <c:axId val="233915904"/>
        <c:axId val="233773824"/>
      </c:lineChart>
      <c:catAx>
        <c:axId val="233915904"/>
        <c:scaling>
          <c:orientation val="minMax"/>
        </c:scaling>
        <c:delete val="0"/>
        <c:axPos val="b"/>
        <c:majorTickMark val="out"/>
        <c:minorTickMark val="none"/>
        <c:tickLblPos val="nextTo"/>
        <c:crossAx val="233773824"/>
        <c:crosses val="autoZero"/>
        <c:auto val="1"/>
        <c:lblAlgn val="ctr"/>
        <c:lblOffset val="100"/>
        <c:noMultiLvlLbl val="0"/>
      </c:catAx>
      <c:valAx>
        <c:axId val="233773824"/>
        <c:scaling>
          <c:orientation val="minMax"/>
        </c:scaling>
        <c:delete val="0"/>
        <c:axPos val="l"/>
        <c:majorGridlines/>
        <c:numFmt formatCode="0.00%" sourceLinked="1"/>
        <c:majorTickMark val="out"/>
        <c:minorTickMark val="none"/>
        <c:tickLblPos val="nextTo"/>
        <c:crossAx val="2339159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股东权益回报率分析表!$A$21</c:f>
              <c:strCache>
                <c:ptCount val="1"/>
                <c:pt idx="0">
                  <c:v>(3)息税前经营利润率=2/1</c:v>
                </c:pt>
              </c:strCache>
            </c:strRef>
          </c:tx>
          <c:val>
            <c:numRef>
              <c:f>股东权益回报率分析表!$B$21:$Y$21</c:f>
              <c:numCache>
                <c:formatCode>0.00%</c:formatCode>
                <c:ptCount val="13"/>
                <c:pt idx="0">
                  <c:v>0.20713658762934281</c:v>
                </c:pt>
                <c:pt idx="1">
                  <c:v>0.22974307621905316</c:v>
                </c:pt>
                <c:pt idx="2">
                  <c:v>0.23256976035081309</c:v>
                </c:pt>
                <c:pt idx="3">
                  <c:v>0.23010448239094775</c:v>
                </c:pt>
                <c:pt idx="4">
                  <c:v>0.23042017511296525</c:v>
                </c:pt>
                <c:pt idx="5">
                  <c:v>0.24421779960748016</c:v>
                </c:pt>
                <c:pt idx="6">
                  <c:v>0.26381320271879261</c:v>
                </c:pt>
                <c:pt idx="7">
                  <c:v>0</c:v>
                </c:pt>
                <c:pt idx="8">
                  <c:v>0</c:v>
                </c:pt>
                <c:pt idx="9">
                  <c:v>0</c:v>
                </c:pt>
                <c:pt idx="10">
                  <c:v>0</c:v>
                </c:pt>
                <c:pt idx="11">
                  <c:v>0</c:v>
                </c:pt>
                <c:pt idx="12">
                  <c:v>0</c:v>
                </c:pt>
              </c:numCache>
            </c:numRef>
          </c:val>
          <c:smooth val="0"/>
          <c:extLst>
            <c:ext xmlns:c16="http://schemas.microsoft.com/office/drawing/2014/chart" uri="{C3380CC4-5D6E-409C-BE32-E72D297353CC}">
              <c16:uniqueId val="{00000000-2EE4-4ABF-AB4C-487436BAFE64}"/>
            </c:ext>
          </c:extLst>
        </c:ser>
        <c:dLbls>
          <c:showLegendKey val="0"/>
          <c:showVal val="0"/>
          <c:showCatName val="0"/>
          <c:showSerName val="0"/>
          <c:showPercent val="0"/>
          <c:showBubbleSize val="0"/>
        </c:dLbls>
        <c:marker val="1"/>
        <c:smooth val="0"/>
        <c:axId val="233917440"/>
        <c:axId val="233996864"/>
      </c:lineChart>
      <c:catAx>
        <c:axId val="233917440"/>
        <c:scaling>
          <c:orientation val="minMax"/>
        </c:scaling>
        <c:delete val="0"/>
        <c:axPos val="b"/>
        <c:majorTickMark val="out"/>
        <c:minorTickMark val="none"/>
        <c:tickLblPos val="nextTo"/>
        <c:crossAx val="233996864"/>
        <c:crosses val="autoZero"/>
        <c:auto val="1"/>
        <c:lblAlgn val="ctr"/>
        <c:lblOffset val="100"/>
        <c:noMultiLvlLbl val="0"/>
      </c:catAx>
      <c:valAx>
        <c:axId val="233996864"/>
        <c:scaling>
          <c:orientation val="minMax"/>
        </c:scaling>
        <c:delete val="0"/>
        <c:axPos val="l"/>
        <c:majorGridlines/>
        <c:numFmt formatCode="0.00%" sourceLinked="1"/>
        <c:majorTickMark val="out"/>
        <c:minorTickMark val="none"/>
        <c:tickLblPos val="nextTo"/>
        <c:crossAx val="2339174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c:f>
              <c:strCache>
                <c:ptCount val="1"/>
                <c:pt idx="0">
                  <c:v>净利润</c:v>
                </c:pt>
              </c:strCache>
            </c:strRef>
          </c:tx>
          <c:invertIfNegative val="0"/>
          <c:val>
            <c:numRef>
              <c:f>股东权益回报率分析表!$B$2:$Y$2</c:f>
              <c:numCache>
                <c:formatCode>#,##0.00_ </c:formatCode>
                <c:ptCount val="13"/>
                <c:pt idx="0">
                  <c:v>140040107.69</c:v>
                </c:pt>
                <c:pt idx="1">
                  <c:v>127314218.50999995</c:v>
                </c:pt>
                <c:pt idx="2">
                  <c:v>112745012.78</c:v>
                </c:pt>
                <c:pt idx="3">
                  <c:v>94913963.020000041</c:v>
                </c:pt>
                <c:pt idx="4">
                  <c:v>84018399.520000041</c:v>
                </c:pt>
                <c:pt idx="5">
                  <c:v>78574092.780000001</c:v>
                </c:pt>
                <c:pt idx="6">
                  <c:v>69584154.749999985</c:v>
                </c:pt>
                <c:pt idx="7">
                  <c:v>-687652134.91000009</c:v>
                </c:pt>
                <c:pt idx="8">
                  <c:v>-2088393325.8100002</c:v>
                </c:pt>
                <c:pt idx="9">
                  <c:v>-1770623990.1299999</c:v>
                </c:pt>
                <c:pt idx="10">
                  <c:v>-1503178518.1099999</c:v>
                </c:pt>
                <c:pt idx="11">
                  <c:v>-996310945.95000005</c:v>
                </c:pt>
                <c:pt idx="12">
                  <c:v>-2597690211.0299997</c:v>
                </c:pt>
              </c:numCache>
            </c:numRef>
          </c:val>
          <c:extLst>
            <c:ext xmlns:c16="http://schemas.microsoft.com/office/drawing/2014/chart" uri="{C3380CC4-5D6E-409C-BE32-E72D297353CC}">
              <c16:uniqueId val="{00000000-5B87-4ECE-9A45-66AEF86BEF5F}"/>
            </c:ext>
          </c:extLst>
        </c:ser>
        <c:ser>
          <c:idx val="1"/>
          <c:order val="1"/>
          <c:tx>
            <c:strRef>
              <c:f>股东权益回报率分析表!$A$3</c:f>
              <c:strCache>
                <c:ptCount val="1"/>
                <c:pt idx="0">
                  <c:v>股东权益</c:v>
                </c:pt>
              </c:strCache>
            </c:strRef>
          </c:tx>
          <c:invertIfNegative val="0"/>
          <c:val>
            <c:numRef>
              <c:f>股东权益回报率分析表!$B$3:$Y$3</c:f>
              <c:numCache>
                <c:formatCode>#,##0.00_ </c:formatCode>
                <c:ptCount val="13"/>
                <c:pt idx="0">
                  <c:v>1094321354.0599999</c:v>
                </c:pt>
                <c:pt idx="1">
                  <c:v>985414241.73000002</c:v>
                </c:pt>
                <c:pt idx="2">
                  <c:v>387347869.01999998</c:v>
                </c:pt>
                <c:pt idx="3">
                  <c:v>254378428.47999999</c:v>
                </c:pt>
                <c:pt idx="4">
                  <c:v>209769272.30000001</c:v>
                </c:pt>
                <c:pt idx="5">
                  <c:v>0</c:v>
                </c:pt>
                <c:pt idx="6">
                  <c:v>39038063287.049995</c:v>
                </c:pt>
                <c:pt idx="7">
                  <c:v>39754833137.689995</c:v>
                </c:pt>
                <c:pt idx="8">
                  <c:v>37019284552.089996</c:v>
                </c:pt>
                <c:pt idx="9">
                  <c:v>35936255140.220001</c:v>
                </c:pt>
                <c:pt idx="10">
                  <c:v>34492053862.870003</c:v>
                </c:pt>
                <c:pt idx="11">
                  <c:v>35275133265.93</c:v>
                </c:pt>
                <c:pt idx="12">
                  <c:v>31521070553.299999</c:v>
                </c:pt>
              </c:numCache>
            </c:numRef>
          </c:val>
          <c:extLst>
            <c:ext xmlns:c16="http://schemas.microsoft.com/office/drawing/2014/chart" uri="{C3380CC4-5D6E-409C-BE32-E72D297353CC}">
              <c16:uniqueId val="{00000001-5B87-4ECE-9A45-66AEF86BEF5F}"/>
            </c:ext>
          </c:extLst>
        </c:ser>
        <c:dLbls>
          <c:showLegendKey val="0"/>
          <c:showVal val="0"/>
          <c:showCatName val="0"/>
          <c:showSerName val="0"/>
          <c:showPercent val="0"/>
          <c:showBubbleSize val="0"/>
        </c:dLbls>
        <c:gapWidth val="150"/>
        <c:axId val="233917952"/>
        <c:axId val="233998592"/>
      </c:barChart>
      <c:catAx>
        <c:axId val="233917952"/>
        <c:scaling>
          <c:orientation val="minMax"/>
        </c:scaling>
        <c:delete val="0"/>
        <c:axPos val="b"/>
        <c:majorTickMark val="out"/>
        <c:minorTickMark val="none"/>
        <c:tickLblPos val="nextTo"/>
        <c:crossAx val="233998592"/>
        <c:crosses val="autoZero"/>
        <c:auto val="1"/>
        <c:lblAlgn val="ctr"/>
        <c:lblOffset val="100"/>
        <c:noMultiLvlLbl val="0"/>
      </c:catAx>
      <c:valAx>
        <c:axId val="233998592"/>
        <c:scaling>
          <c:orientation val="minMax"/>
        </c:scaling>
        <c:delete val="0"/>
        <c:axPos val="l"/>
        <c:majorGridlines/>
        <c:numFmt formatCode="#,##0.00_ " sourceLinked="1"/>
        <c:majorTickMark val="out"/>
        <c:minorTickMark val="none"/>
        <c:tickLblPos val="nextTo"/>
        <c:crossAx val="23391795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股东权益回报率分析表!$A$19</c:f>
              <c:strCache>
                <c:ptCount val="1"/>
                <c:pt idx="0">
                  <c:v>(1)营业收入</c:v>
                </c:pt>
              </c:strCache>
            </c:strRef>
          </c:tx>
          <c:invertIfNegative val="0"/>
          <c:val>
            <c:numRef>
              <c:f>股东权益回报率分析表!$B$19:$Y$19</c:f>
              <c:numCache>
                <c:formatCode>#,##0.00_ </c:formatCode>
                <c:ptCount val="13"/>
                <c:pt idx="0">
                  <c:v>752408925.78999996</c:v>
                </c:pt>
                <c:pt idx="1">
                  <c:v>665011421.55999994</c:v>
                </c:pt>
                <c:pt idx="2">
                  <c:v>597037871.64999998</c:v>
                </c:pt>
                <c:pt idx="3">
                  <c:v>528809680.74000001</c:v>
                </c:pt>
                <c:pt idx="4">
                  <c:v>484907942.22000003</c:v>
                </c:pt>
                <c:pt idx="5">
                  <c:v>395593790.81</c:v>
                </c:pt>
                <c:pt idx="6">
                  <c:v>316891515.43000001</c:v>
                </c:pt>
                <c:pt idx="7">
                  <c:v>0</c:v>
                </c:pt>
                <c:pt idx="8">
                  <c:v>0</c:v>
                </c:pt>
                <c:pt idx="9">
                  <c:v>0</c:v>
                </c:pt>
                <c:pt idx="10">
                  <c:v>0</c:v>
                </c:pt>
                <c:pt idx="11">
                  <c:v>0</c:v>
                </c:pt>
                <c:pt idx="12">
                  <c:v>0</c:v>
                </c:pt>
              </c:numCache>
            </c:numRef>
          </c:val>
          <c:extLst>
            <c:ext xmlns:c16="http://schemas.microsoft.com/office/drawing/2014/chart" uri="{C3380CC4-5D6E-409C-BE32-E72D297353CC}">
              <c16:uniqueId val="{00000000-3C24-4402-B9BD-B6F8A313C4C2}"/>
            </c:ext>
          </c:extLst>
        </c:ser>
        <c:ser>
          <c:idx val="1"/>
          <c:order val="1"/>
          <c:tx>
            <c:strRef>
              <c:f>股东权益回报率分析表!$A$20</c:f>
              <c:strCache>
                <c:ptCount val="1"/>
                <c:pt idx="0">
                  <c:v>(2)息税前经营利润</c:v>
                </c:pt>
              </c:strCache>
            </c:strRef>
          </c:tx>
          <c:invertIfNegative val="0"/>
          <c:val>
            <c:numRef>
              <c:f>股东权益回报率分析表!$B$20:$Y$20</c:f>
              <c:numCache>
                <c:formatCode>#,##0.00_ </c:formatCode>
                <c:ptCount val="13"/>
                <c:pt idx="0">
                  <c:v>155851417.39000002</c:v>
                </c:pt>
                <c:pt idx="1">
                  <c:v>152781769.70999995</c:v>
                </c:pt>
                <c:pt idx="2">
                  <c:v>138852954.72999999</c:v>
                </c:pt>
                <c:pt idx="3">
                  <c:v>121681477.87000003</c:v>
                </c:pt>
                <c:pt idx="4">
                  <c:v>111732572.96000004</c:v>
                </c:pt>
                <c:pt idx="5">
                  <c:v>96611045.13000001</c:v>
                </c:pt>
                <c:pt idx="6">
                  <c:v>83600165.599999994</c:v>
                </c:pt>
                <c:pt idx="7">
                  <c:v>0</c:v>
                </c:pt>
                <c:pt idx="8">
                  <c:v>5869478</c:v>
                </c:pt>
                <c:pt idx="9">
                  <c:v>0</c:v>
                </c:pt>
                <c:pt idx="10">
                  <c:v>0</c:v>
                </c:pt>
                <c:pt idx="11">
                  <c:v>0</c:v>
                </c:pt>
                <c:pt idx="12">
                  <c:v>12046824.75</c:v>
                </c:pt>
              </c:numCache>
            </c:numRef>
          </c:val>
          <c:extLst>
            <c:ext xmlns:c16="http://schemas.microsoft.com/office/drawing/2014/chart" uri="{C3380CC4-5D6E-409C-BE32-E72D297353CC}">
              <c16:uniqueId val="{00000001-3C24-4402-B9BD-B6F8A313C4C2}"/>
            </c:ext>
          </c:extLst>
        </c:ser>
        <c:dLbls>
          <c:showLegendKey val="0"/>
          <c:showVal val="0"/>
          <c:showCatName val="0"/>
          <c:showSerName val="0"/>
          <c:showPercent val="0"/>
          <c:showBubbleSize val="0"/>
        </c:dLbls>
        <c:gapWidth val="150"/>
        <c:axId val="234115072"/>
        <c:axId val="234000320"/>
      </c:barChart>
      <c:catAx>
        <c:axId val="234115072"/>
        <c:scaling>
          <c:orientation val="minMax"/>
        </c:scaling>
        <c:delete val="0"/>
        <c:axPos val="b"/>
        <c:majorTickMark val="out"/>
        <c:minorTickMark val="none"/>
        <c:tickLblPos val="nextTo"/>
        <c:crossAx val="234000320"/>
        <c:crosses val="autoZero"/>
        <c:auto val="1"/>
        <c:lblAlgn val="ctr"/>
        <c:lblOffset val="100"/>
        <c:noMultiLvlLbl val="0"/>
      </c:catAx>
      <c:valAx>
        <c:axId val="234000320"/>
        <c:scaling>
          <c:orientation val="minMax"/>
        </c:scaling>
        <c:delete val="0"/>
        <c:axPos val="l"/>
        <c:majorGridlines/>
        <c:numFmt formatCode="#,##0.00_ " sourceLinked="1"/>
        <c:majorTickMark val="out"/>
        <c:minorTickMark val="none"/>
        <c:tickLblPos val="nextTo"/>
        <c:crossAx val="234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股东权益回报率分析表!$A$26</c:f>
              <c:strCache>
                <c:ptCount val="1"/>
                <c:pt idx="0">
                  <c:v>长期股权投资收益</c:v>
                </c:pt>
              </c:strCache>
            </c:strRef>
          </c:tx>
          <c:invertIfNegative val="0"/>
          <c:val>
            <c:numRef>
              <c:f>股东权益回报率分析表!$B$26:$Y$26</c:f>
              <c:numCache>
                <c:formatCode>#,##0.00_ </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C423-41B7-9567-510B805D7BC6}"/>
            </c:ext>
          </c:extLst>
        </c:ser>
        <c:ser>
          <c:idx val="1"/>
          <c:order val="1"/>
          <c:tx>
            <c:strRef>
              <c:f>股东权益回报率分析表!$A$27</c:f>
              <c:strCache>
                <c:ptCount val="1"/>
                <c:pt idx="0">
                  <c:v>长期股权投资</c:v>
                </c:pt>
              </c:strCache>
            </c:strRef>
          </c:tx>
          <c:invertIfNegative val="0"/>
          <c:val>
            <c:numRef>
              <c:f>股东权益回报率分析表!$B$27:$Y$27</c:f>
              <c:numCache>
                <c:formatCode>#,##0.00_ </c:formatCode>
                <c:ptCount val="13"/>
                <c:pt idx="0">
                  <c:v>33000000</c:v>
                </c:pt>
                <c:pt idx="1">
                  <c:v>0</c:v>
                </c:pt>
                <c:pt idx="2">
                  <c:v>0</c:v>
                </c:pt>
                <c:pt idx="3">
                  <c:v>1000000</c:v>
                </c:pt>
                <c:pt idx="4">
                  <c:v>1000000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1-C423-41B7-9567-510B805D7BC6}"/>
            </c:ext>
          </c:extLst>
        </c:ser>
        <c:dLbls>
          <c:showLegendKey val="0"/>
          <c:showVal val="0"/>
          <c:showCatName val="0"/>
          <c:showSerName val="0"/>
          <c:showPercent val="0"/>
          <c:showBubbleSize val="0"/>
        </c:dLbls>
        <c:gapWidth val="150"/>
        <c:axId val="234115584"/>
        <c:axId val="234002048"/>
      </c:barChart>
      <c:catAx>
        <c:axId val="234115584"/>
        <c:scaling>
          <c:orientation val="minMax"/>
        </c:scaling>
        <c:delete val="0"/>
        <c:axPos val="b"/>
        <c:majorTickMark val="out"/>
        <c:minorTickMark val="none"/>
        <c:tickLblPos val="nextTo"/>
        <c:crossAx val="234002048"/>
        <c:crosses val="autoZero"/>
        <c:auto val="1"/>
        <c:lblAlgn val="ctr"/>
        <c:lblOffset val="100"/>
        <c:noMultiLvlLbl val="0"/>
      </c:catAx>
      <c:valAx>
        <c:axId val="234002048"/>
        <c:scaling>
          <c:orientation val="minMax"/>
        </c:scaling>
        <c:delete val="0"/>
        <c:axPos val="l"/>
        <c:majorGridlines/>
        <c:numFmt formatCode="#,##0.00_ " sourceLinked="1"/>
        <c:majorTickMark val="out"/>
        <c:minorTickMark val="none"/>
        <c:tickLblPos val="nextTo"/>
        <c:crossAx val="234115584"/>
        <c:crosses val="autoZero"/>
        <c:crossBetween val="between"/>
      </c:valAx>
    </c:plotArea>
    <c:legend>
      <c:legendPos val="r"/>
      <c:layout>
        <c:manualLayout>
          <c:xMode val="edge"/>
          <c:yMode val="edge"/>
          <c:x val="0.66056222138899301"/>
          <c:y val="0.17961086067348608"/>
          <c:w val="0.33943777861100694"/>
          <c:h val="0.6202172102318857"/>
        </c:manualLayout>
      </c:layout>
      <c:overlay val="0"/>
    </c:legend>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自由现金流分析表!$A$5</c:f>
              <c:strCache>
                <c:ptCount val="1"/>
                <c:pt idx="0">
                  <c:v>营业收入现金含量= ((1)/(1+(3))/(2)</c:v>
                </c:pt>
              </c:strCache>
            </c:strRef>
          </c:tx>
          <c:val>
            <c:numRef>
              <c:f>自由现金流分析表!$B$5:$Y$5</c:f>
              <c:numCache>
                <c:formatCode>#,##0.00_ </c:formatCode>
                <c:ptCount val="9"/>
                <c:pt idx="0">
                  <c:v>0.910081488524912</c:v>
                </c:pt>
                <c:pt idx="1">
                  <c:v>0.91425717439173315</c:v>
                </c:pt>
                <c:pt idx="2">
                  <c:v>0.9125544579974576</c:v>
                </c:pt>
                <c:pt idx="3">
                  <c:v>0.91333919093527371</c:v>
                </c:pt>
                <c:pt idx="4">
                  <c:v>0.90936906099469261</c:v>
                </c:pt>
                <c:pt idx="5">
                  <c:v>0.90861264850498236</c:v>
                </c:pt>
                <c:pt idx="6">
                  <c:v>0.87689618734883246</c:v>
                </c:pt>
                <c:pt idx="7">
                  <c:v>0</c:v>
                </c:pt>
                <c:pt idx="8">
                  <c:v>0</c:v>
                </c:pt>
              </c:numCache>
            </c:numRef>
          </c:val>
          <c:smooth val="0"/>
          <c:extLst>
            <c:ext xmlns:c16="http://schemas.microsoft.com/office/drawing/2014/chart" uri="{C3380CC4-5D6E-409C-BE32-E72D297353CC}">
              <c16:uniqueId val="{00000000-6F20-4359-8763-C43AAF890BCE}"/>
            </c:ext>
          </c:extLst>
        </c:ser>
        <c:ser>
          <c:idx val="8"/>
          <c:order val="1"/>
          <c:tx>
            <c:strRef>
              <c:f>自由现金流分析表!$A$13</c:f>
              <c:strCache>
                <c:ptCount val="1"/>
                <c:pt idx="0">
                  <c:v>成本费用付现率=((4)/(1+(3))+(5))/(10)</c:v>
                </c:pt>
              </c:strCache>
            </c:strRef>
          </c:tx>
          <c:val>
            <c:numRef>
              <c:f>自由现金流分析表!$B$13:$Y$13</c:f>
              <c:numCache>
                <c:formatCode>#,##0.00_ </c:formatCode>
                <c:ptCount val="9"/>
                <c:pt idx="0">
                  <c:v>0.81272439873856683</c:v>
                </c:pt>
                <c:pt idx="1">
                  <c:v>0.77622149581955668</c:v>
                </c:pt>
                <c:pt idx="2">
                  <c:v>0.79260201097490013</c:v>
                </c:pt>
                <c:pt idx="3">
                  <c:v>0.77440812191955832</c:v>
                </c:pt>
                <c:pt idx="4">
                  <c:v>0.77907422179111407</c:v>
                </c:pt>
                <c:pt idx="5">
                  <c:v>0.73956715847805299</c:v>
                </c:pt>
                <c:pt idx="6">
                  <c:v>0.69908482942987427</c:v>
                </c:pt>
                <c:pt idx="7">
                  <c:v>0</c:v>
                </c:pt>
                <c:pt idx="8">
                  <c:v>0</c:v>
                </c:pt>
              </c:numCache>
            </c:numRef>
          </c:val>
          <c:smooth val="0"/>
          <c:extLst>
            <c:ext xmlns:c16="http://schemas.microsoft.com/office/drawing/2014/chart" uri="{C3380CC4-5D6E-409C-BE32-E72D297353CC}">
              <c16:uniqueId val="{00000001-6F20-4359-8763-C43AAF890BCE}"/>
            </c:ext>
          </c:extLst>
        </c:ser>
        <c:ser>
          <c:idx val="11"/>
          <c:order val="2"/>
          <c:tx>
            <c:strRef>
              <c:f>自由现金流分析表!$A$16</c:f>
              <c:strCache>
                <c:ptCount val="1"/>
                <c:pt idx="0">
                  <c:v>经营利润现金含量=11/12</c:v>
                </c:pt>
              </c:strCache>
            </c:strRef>
          </c:tx>
          <c:val>
            <c:numRef>
              <c:f>自由现金流分析表!$B$16:$Y$16</c:f>
              <c:numCache>
                <c:formatCode>#,##0.00_ </c:formatCode>
                <c:ptCount val="9"/>
                <c:pt idx="0">
                  <c:v>1.1793285878507214</c:v>
                </c:pt>
                <c:pt idx="1">
                  <c:v>1.5611759010027901</c:v>
                </c:pt>
                <c:pt idx="2">
                  <c:v>1.518483893063914</c:v>
                </c:pt>
                <c:pt idx="3">
                  <c:v>1.4231903281433107</c:v>
                </c:pt>
                <c:pt idx="4">
                  <c:v>1.2100888906413343</c:v>
                </c:pt>
                <c:pt idx="5">
                  <c:v>1.3997928076262516</c:v>
                </c:pt>
                <c:pt idx="6">
                  <c:v>1.3552435800955127</c:v>
                </c:pt>
                <c:pt idx="7">
                  <c:v>0</c:v>
                </c:pt>
                <c:pt idx="8">
                  <c:v>0</c:v>
                </c:pt>
              </c:numCache>
            </c:numRef>
          </c:val>
          <c:smooth val="0"/>
          <c:extLst>
            <c:ext xmlns:c16="http://schemas.microsoft.com/office/drawing/2014/chart" uri="{C3380CC4-5D6E-409C-BE32-E72D297353CC}">
              <c16:uniqueId val="{00000002-6F20-4359-8763-C43AAF890BCE}"/>
            </c:ext>
          </c:extLst>
        </c:ser>
        <c:ser>
          <c:idx val="13"/>
          <c:order val="3"/>
          <c:tx>
            <c:strRef>
              <c:f>自由现金流分析表!$A$18</c:f>
              <c:strCache>
                <c:ptCount val="1"/>
                <c:pt idx="0">
                  <c:v>净利润现金含量=11/13</c:v>
                </c:pt>
              </c:strCache>
            </c:strRef>
          </c:tx>
          <c:val>
            <c:numRef>
              <c:f>自由现金流分析表!$B$18:$Y$18</c:f>
              <c:numCache>
                <c:formatCode>#,##0.00_ </c:formatCode>
                <c:ptCount val="9"/>
                <c:pt idx="0">
                  <c:v>1.1104598398641805</c:v>
                </c:pt>
                <c:pt idx="1">
                  <c:v>1.597196201334167</c:v>
                </c:pt>
                <c:pt idx="2">
                  <c:v>1.5822292159218645</c:v>
                </c:pt>
                <c:pt idx="3">
                  <c:v>1.5445293093399688</c:v>
                </c:pt>
                <c:pt idx="4">
                  <c:v>1.3419213058582664</c:v>
                </c:pt>
                <c:pt idx="5">
                  <c:v>1.3997320372242927</c:v>
                </c:pt>
                <c:pt idx="6">
                  <c:v>1.3457193361970101</c:v>
                </c:pt>
                <c:pt idx="7">
                  <c:v>0</c:v>
                </c:pt>
                <c:pt idx="8">
                  <c:v>0</c:v>
                </c:pt>
              </c:numCache>
            </c:numRef>
          </c:val>
          <c:smooth val="0"/>
          <c:extLst>
            <c:ext xmlns:c16="http://schemas.microsoft.com/office/drawing/2014/chart" uri="{C3380CC4-5D6E-409C-BE32-E72D297353CC}">
              <c16:uniqueId val="{00000003-6F20-4359-8763-C43AAF890BCE}"/>
            </c:ext>
          </c:extLst>
        </c:ser>
        <c:dLbls>
          <c:showLegendKey val="0"/>
          <c:showVal val="0"/>
          <c:showCatName val="0"/>
          <c:showSerName val="0"/>
          <c:showPercent val="0"/>
          <c:showBubbleSize val="0"/>
        </c:dLbls>
        <c:marker val="1"/>
        <c:smooth val="0"/>
        <c:axId val="230152192"/>
        <c:axId val="234003200"/>
      </c:lineChart>
      <c:catAx>
        <c:axId val="230152192"/>
        <c:scaling>
          <c:orientation val="minMax"/>
        </c:scaling>
        <c:delete val="0"/>
        <c:axPos val="b"/>
        <c:majorTickMark val="out"/>
        <c:minorTickMark val="none"/>
        <c:tickLblPos val="nextTo"/>
        <c:crossAx val="234003200"/>
        <c:crosses val="autoZero"/>
        <c:auto val="1"/>
        <c:lblAlgn val="ctr"/>
        <c:lblOffset val="100"/>
        <c:noMultiLvlLbl val="0"/>
      </c:catAx>
      <c:valAx>
        <c:axId val="234003200"/>
        <c:scaling>
          <c:orientation val="minMax"/>
        </c:scaling>
        <c:delete val="0"/>
        <c:axPos val="l"/>
        <c:majorGridlines/>
        <c:numFmt formatCode="#,##0.00_ " sourceLinked="1"/>
        <c:majorTickMark val="out"/>
        <c:minorTickMark val="none"/>
        <c:tickLblPos val="nextTo"/>
        <c:crossAx val="2301521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自由现金流分析表!$A$28</c:f>
              <c:strCache>
                <c:ptCount val="1"/>
                <c:pt idx="0">
                  <c:v>自由现金流增长率</c:v>
                </c:pt>
              </c:strCache>
            </c:strRef>
          </c:tx>
          <c:val>
            <c:numRef>
              <c:f>自由现金流分析表!$B$28:$Y$28</c:f>
              <c:numCache>
                <c:formatCode>0.00%</c:formatCode>
                <c:ptCount val="9"/>
                <c:pt idx="0">
                  <c:v>-0.30938466657583774</c:v>
                </c:pt>
                <c:pt idx="1">
                  <c:v>0.16117963373298377</c:v>
                </c:pt>
                <c:pt idx="2">
                  <c:v>0.31926468739527003</c:v>
                </c:pt>
                <c:pt idx="3">
                  <c:v>0.37909762869686159</c:v>
                </c:pt>
                <c:pt idx="4">
                  <c:v>-0.22169309719796962</c:v>
                </c:pt>
                <c:pt idx="5">
                  <c:v>0.1745173305628081</c:v>
                </c:pt>
                <c:pt idx="6">
                  <c:v>0</c:v>
                </c:pt>
                <c:pt idx="7">
                  <c:v>0</c:v>
                </c:pt>
                <c:pt idx="8">
                  <c:v>0</c:v>
                </c:pt>
              </c:numCache>
            </c:numRef>
          </c:val>
          <c:smooth val="0"/>
          <c:extLst>
            <c:ext xmlns:c16="http://schemas.microsoft.com/office/drawing/2014/chart" uri="{C3380CC4-5D6E-409C-BE32-E72D297353CC}">
              <c16:uniqueId val="{00000000-4B43-45FA-BD48-A987D369EAB0}"/>
            </c:ext>
          </c:extLst>
        </c:ser>
        <c:dLbls>
          <c:showLegendKey val="0"/>
          <c:showVal val="0"/>
          <c:showCatName val="0"/>
          <c:showSerName val="0"/>
          <c:showPercent val="0"/>
          <c:showBubbleSize val="0"/>
        </c:dLbls>
        <c:marker val="1"/>
        <c:smooth val="0"/>
        <c:axId val="192372736"/>
        <c:axId val="230753984"/>
      </c:lineChart>
      <c:catAx>
        <c:axId val="192372736"/>
        <c:scaling>
          <c:orientation val="minMax"/>
        </c:scaling>
        <c:delete val="0"/>
        <c:axPos val="b"/>
        <c:majorTickMark val="out"/>
        <c:minorTickMark val="none"/>
        <c:tickLblPos val="nextTo"/>
        <c:crossAx val="230753984"/>
        <c:crosses val="autoZero"/>
        <c:auto val="1"/>
        <c:lblAlgn val="ctr"/>
        <c:lblOffset val="100"/>
        <c:noMultiLvlLbl val="0"/>
      </c:catAx>
      <c:valAx>
        <c:axId val="230753984"/>
        <c:scaling>
          <c:orientation val="minMax"/>
        </c:scaling>
        <c:delete val="0"/>
        <c:axPos val="l"/>
        <c:majorGridlines/>
        <c:numFmt formatCode="0.00%" sourceLinked="1"/>
        <c:majorTickMark val="out"/>
        <c:minorTickMark val="none"/>
        <c:tickLblPos val="nextTo"/>
        <c:crossAx val="19237273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自由现金流分析表!$A$14</c:f>
              <c:strCache>
                <c:ptCount val="1"/>
                <c:pt idx="0">
                  <c:v>(11)经营活动产生的现金流量净额</c:v>
                </c:pt>
              </c:strCache>
            </c:strRef>
          </c:tx>
          <c:val>
            <c:numRef>
              <c:f>自由现金流分析表!$B$14:$Y$14</c:f>
              <c:numCache>
                <c:formatCode>#,##0.00_ </c:formatCode>
                <c:ptCount val="9"/>
                <c:pt idx="0">
                  <c:v>155508915.56</c:v>
                </c:pt>
                <c:pt idx="1">
                  <c:v>203345786.18000001</c:v>
                </c:pt>
                <c:pt idx="2">
                  <c:v>178388453.16999999</c:v>
                </c:pt>
                <c:pt idx="3">
                  <c:v>146597397.75</c:v>
                </c:pt>
                <c:pt idx="4">
                  <c:v>112746080.40000001</c:v>
                </c:pt>
                <c:pt idx="5">
                  <c:v>109982674.95999999</c:v>
                </c:pt>
                <c:pt idx="6">
                  <c:v>93640742.540000007</c:v>
                </c:pt>
                <c:pt idx="7">
                  <c:v>0</c:v>
                </c:pt>
                <c:pt idx="8">
                  <c:v>0</c:v>
                </c:pt>
              </c:numCache>
            </c:numRef>
          </c:val>
          <c:smooth val="0"/>
          <c:extLst>
            <c:ext xmlns:c16="http://schemas.microsoft.com/office/drawing/2014/chart" uri="{C3380CC4-5D6E-409C-BE32-E72D297353CC}">
              <c16:uniqueId val="{00000000-2680-42A4-A570-10B65A76252D}"/>
            </c:ext>
          </c:extLst>
        </c:ser>
        <c:ser>
          <c:idx val="1"/>
          <c:order val="1"/>
          <c:tx>
            <c:strRef>
              <c:f>自由现金流分析表!$A$15</c:f>
              <c:strCache>
                <c:ptCount val="1"/>
                <c:pt idx="0">
                  <c:v>(12)息前税后经营利润</c:v>
                </c:pt>
              </c:strCache>
            </c:strRef>
          </c:tx>
          <c:val>
            <c:numRef>
              <c:f>自由现金流分析表!$B$15:$Y$15</c:f>
              <c:numCache>
                <c:formatCode>#,##0.00_ </c:formatCode>
                <c:ptCount val="9"/>
                <c:pt idx="0">
                  <c:v>131862245.31655653</c:v>
                </c:pt>
                <c:pt idx="1">
                  <c:v>130251681.47252651</c:v>
                </c:pt>
                <c:pt idx="2">
                  <c:v>117478001.56777264</c:v>
                </c:pt>
                <c:pt idx="3">
                  <c:v>103006179.04089503</c:v>
                </c:pt>
                <c:pt idx="4">
                  <c:v>93171734.136197031</c:v>
                </c:pt>
                <c:pt idx="5">
                  <c:v>78570681.575730503</c:v>
                </c:pt>
                <c:pt idx="6">
                  <c:v>69095138.258024842</c:v>
                </c:pt>
                <c:pt idx="7">
                  <c:v>-14654163.3124847</c:v>
                </c:pt>
                <c:pt idx="8">
                  <c:v>-38862740.031897604</c:v>
                </c:pt>
              </c:numCache>
            </c:numRef>
          </c:val>
          <c:smooth val="0"/>
          <c:extLst>
            <c:ext xmlns:c16="http://schemas.microsoft.com/office/drawing/2014/chart" uri="{C3380CC4-5D6E-409C-BE32-E72D297353CC}">
              <c16:uniqueId val="{00000001-2680-42A4-A570-10B65A76252D}"/>
            </c:ext>
          </c:extLst>
        </c:ser>
        <c:ser>
          <c:idx val="3"/>
          <c:order val="2"/>
          <c:tx>
            <c:strRef>
              <c:f>自由现金流分析表!$A$17</c:f>
              <c:strCache>
                <c:ptCount val="1"/>
                <c:pt idx="0">
                  <c:v>(13)净利润</c:v>
                </c:pt>
              </c:strCache>
            </c:strRef>
          </c:tx>
          <c:val>
            <c:numRef>
              <c:f>自由现金流分析表!$B$17:$Y$17</c:f>
              <c:numCache>
                <c:formatCode>#,##0.00_ </c:formatCode>
                <c:ptCount val="9"/>
                <c:pt idx="0">
                  <c:v>140040107.69</c:v>
                </c:pt>
                <c:pt idx="1">
                  <c:v>127314218.50999995</c:v>
                </c:pt>
                <c:pt idx="2">
                  <c:v>112745012.78</c:v>
                </c:pt>
                <c:pt idx="3">
                  <c:v>94913963.020000041</c:v>
                </c:pt>
                <c:pt idx="4">
                  <c:v>84018399.520000041</c:v>
                </c:pt>
                <c:pt idx="5">
                  <c:v>78574092.780000001</c:v>
                </c:pt>
                <c:pt idx="6">
                  <c:v>69584154.749999985</c:v>
                </c:pt>
                <c:pt idx="7">
                  <c:v>-2088393325.8100002</c:v>
                </c:pt>
                <c:pt idx="8">
                  <c:v>-2597690211.0299997</c:v>
                </c:pt>
              </c:numCache>
            </c:numRef>
          </c:val>
          <c:smooth val="0"/>
          <c:extLst>
            <c:ext xmlns:c16="http://schemas.microsoft.com/office/drawing/2014/chart" uri="{C3380CC4-5D6E-409C-BE32-E72D297353CC}">
              <c16:uniqueId val="{00000002-2680-42A4-A570-10B65A76252D}"/>
            </c:ext>
          </c:extLst>
        </c:ser>
        <c:dLbls>
          <c:showLegendKey val="0"/>
          <c:showVal val="0"/>
          <c:showCatName val="0"/>
          <c:showSerName val="0"/>
          <c:showPercent val="0"/>
          <c:showBubbleSize val="0"/>
        </c:dLbls>
        <c:marker val="1"/>
        <c:smooth val="0"/>
        <c:axId val="192373248"/>
        <c:axId val="230755712"/>
      </c:lineChart>
      <c:catAx>
        <c:axId val="192373248"/>
        <c:scaling>
          <c:orientation val="minMax"/>
        </c:scaling>
        <c:delete val="0"/>
        <c:axPos val="b"/>
        <c:majorTickMark val="out"/>
        <c:minorTickMark val="none"/>
        <c:tickLblPos val="nextTo"/>
        <c:crossAx val="230755712"/>
        <c:crosses val="autoZero"/>
        <c:auto val="1"/>
        <c:lblAlgn val="ctr"/>
        <c:lblOffset val="100"/>
        <c:noMultiLvlLbl val="0"/>
      </c:catAx>
      <c:valAx>
        <c:axId val="230755712"/>
        <c:scaling>
          <c:orientation val="minMax"/>
        </c:scaling>
        <c:delete val="0"/>
        <c:axPos val="l"/>
        <c:majorGridlines/>
        <c:numFmt formatCode="#,##0.00_ " sourceLinked="1"/>
        <c:majorTickMark val="out"/>
        <c:minorTickMark val="none"/>
        <c:tickLblPos val="nextTo"/>
        <c:crossAx val="192373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 Id="rId6" Type="http://schemas.openxmlformats.org/officeDocument/2006/relationships/chart" Target="../charts/chart26.xml"/><Relationship Id="rId5" Type="http://schemas.openxmlformats.org/officeDocument/2006/relationships/chart" Target="../charts/chart25.xml"/><Relationship Id="rId4" Type="http://schemas.openxmlformats.org/officeDocument/2006/relationships/chart" Target="../charts/chart24.xml"/></Relationships>
</file>

<file path=xl/drawings/_rels/drawing7.xml.rels><?xml version="1.0" encoding="UTF-8" standalone="yes"?>
<Relationships xmlns="http://schemas.openxmlformats.org/package/2006/relationships"><Relationship Id="rId8" Type="http://schemas.openxmlformats.org/officeDocument/2006/relationships/chart" Target="../charts/chart34.xml"/><Relationship Id="rId3" Type="http://schemas.openxmlformats.org/officeDocument/2006/relationships/chart" Target="../charts/chart29.xml"/><Relationship Id="rId7" Type="http://schemas.openxmlformats.org/officeDocument/2006/relationships/chart" Target="../charts/chart33.xml"/><Relationship Id="rId2" Type="http://schemas.openxmlformats.org/officeDocument/2006/relationships/chart" Target="../charts/chart28.xml"/><Relationship Id="rId1" Type="http://schemas.openxmlformats.org/officeDocument/2006/relationships/chart" Target="../charts/chart27.xml"/><Relationship Id="rId6" Type="http://schemas.openxmlformats.org/officeDocument/2006/relationships/chart" Target="../charts/chart32.xml"/><Relationship Id="rId5" Type="http://schemas.openxmlformats.org/officeDocument/2006/relationships/chart" Target="../charts/chart31.xml"/><Relationship Id="rId10" Type="http://schemas.openxmlformats.org/officeDocument/2006/relationships/chart" Target="../charts/chart36.xml"/><Relationship Id="rId4" Type="http://schemas.openxmlformats.org/officeDocument/2006/relationships/chart" Target="../charts/chart30.xml"/><Relationship Id="rId9" Type="http://schemas.openxmlformats.org/officeDocument/2006/relationships/chart" Target="../charts/chart35.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8.xml"/><Relationship Id="rId2" Type="http://schemas.openxmlformats.org/officeDocument/2006/relationships/chart" Target="../charts/chart37.xml"/><Relationship Id="rId1" Type="http://schemas.openxmlformats.org/officeDocument/2006/relationships/image" Target="../media/image1.png"/><Relationship Id="rId4" Type="http://schemas.openxmlformats.org/officeDocument/2006/relationships/chart" Target="../charts/chart39.xml"/></Relationships>
</file>

<file path=xl/drawings/_rels/drawing9.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37</xdr:col>
      <xdr:colOff>184785</xdr:colOff>
      <xdr:row>0</xdr:row>
      <xdr:rowOff>44767</xdr:rowOff>
    </xdr:from>
    <xdr:to>
      <xdr:col>38</xdr:col>
      <xdr:colOff>1257300</xdr:colOff>
      <xdr:row>9</xdr:row>
      <xdr:rowOff>1905</xdr:rowOff>
    </xdr:to>
    <xdr:graphicFrame macro="">
      <xdr:nvGraphicFramePr>
        <xdr:cNvPr id="2" name="图表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37</xdr:col>
      <xdr:colOff>160020</xdr:colOff>
      <xdr:row>9</xdr:row>
      <xdr:rowOff>52387</xdr:rowOff>
    </xdr:from>
    <xdr:to>
      <xdr:col>38</xdr:col>
      <xdr:colOff>1165860</xdr:colOff>
      <xdr:row>21</xdr:row>
      <xdr:rowOff>104775</xdr:rowOff>
    </xdr:to>
    <xdr:graphicFrame macro="">
      <xdr:nvGraphicFramePr>
        <xdr:cNvPr id="3" name="图表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35</xdr:col>
      <xdr:colOff>1207769</xdr:colOff>
      <xdr:row>21</xdr:row>
      <xdr:rowOff>180021</xdr:rowOff>
    </xdr:from>
    <xdr:to>
      <xdr:col>39</xdr:col>
      <xdr:colOff>906780</xdr:colOff>
      <xdr:row>37</xdr:row>
      <xdr:rowOff>59054</xdr:rowOff>
    </xdr:to>
    <xdr:graphicFrame macro="">
      <xdr:nvGraphicFramePr>
        <xdr:cNvPr id="4" name="图表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274320</xdr:colOff>
      <xdr:row>56</xdr:row>
      <xdr:rowOff>8572</xdr:rowOff>
    </xdr:from>
    <xdr:to>
      <xdr:col>32</xdr:col>
      <xdr:colOff>274320</xdr:colOff>
      <xdr:row>62</xdr:row>
      <xdr:rowOff>13335</xdr:rowOff>
    </xdr:to>
    <xdr:graphicFrame macro="">
      <xdr:nvGraphicFramePr>
        <xdr:cNvPr id="15" name="图表 14">
          <a:extLst>
            <a:ext uri="{FF2B5EF4-FFF2-40B4-BE49-F238E27FC236}">
              <a16:creationId xmlns:a16="http://schemas.microsoft.com/office/drawing/2014/main" id="{00000000-0008-0000-04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190500</xdr:colOff>
      <xdr:row>38</xdr:row>
      <xdr:rowOff>147637</xdr:rowOff>
    </xdr:from>
    <xdr:to>
      <xdr:col>33</xdr:col>
      <xdr:colOff>342899</xdr:colOff>
      <xdr:row>49</xdr:row>
      <xdr:rowOff>152400</xdr:rowOff>
    </xdr:to>
    <xdr:graphicFrame macro="">
      <xdr:nvGraphicFramePr>
        <xdr:cNvPr id="16" name="图表 15">
          <a:extLst>
            <a:ext uri="{FF2B5EF4-FFF2-40B4-BE49-F238E27FC236}">
              <a16:creationId xmlns:a16="http://schemas.microsoft.com/office/drawing/2014/main" id="{00000000-0008-0000-04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280035</xdr:colOff>
      <xdr:row>62</xdr:row>
      <xdr:rowOff>96202</xdr:rowOff>
    </xdr:from>
    <xdr:to>
      <xdr:col>32</xdr:col>
      <xdr:colOff>281940</xdr:colOff>
      <xdr:row>69</xdr:row>
      <xdr:rowOff>177165</xdr:rowOff>
    </xdr:to>
    <xdr:graphicFrame macro="">
      <xdr:nvGraphicFramePr>
        <xdr:cNvPr id="17" name="图表 16">
          <a:extLst>
            <a:ext uri="{FF2B5EF4-FFF2-40B4-BE49-F238E27FC236}">
              <a16:creationId xmlns:a16="http://schemas.microsoft.com/office/drawing/2014/main" id="{00000000-0008-0000-04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34</xdr:col>
      <xdr:colOff>721895</xdr:colOff>
      <xdr:row>0</xdr:row>
      <xdr:rowOff>14837</xdr:rowOff>
    </xdr:from>
    <xdr:to>
      <xdr:col>44</xdr:col>
      <xdr:colOff>1013861</xdr:colOff>
      <xdr:row>10</xdr:row>
      <xdr:rowOff>60558</xdr:rowOff>
    </xdr:to>
    <xdr:graphicFrame macro="">
      <xdr:nvGraphicFramePr>
        <xdr:cNvPr id="3" name="图表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34</xdr:col>
      <xdr:colOff>730416</xdr:colOff>
      <xdr:row>10</xdr:row>
      <xdr:rowOff>107431</xdr:rowOff>
    </xdr:from>
    <xdr:to>
      <xdr:col>40</xdr:col>
      <xdr:colOff>1472967</xdr:colOff>
      <xdr:row>23</xdr:row>
      <xdr:rowOff>13435</xdr:rowOff>
    </xdr:to>
    <xdr:graphicFrame macro="">
      <xdr:nvGraphicFramePr>
        <xdr:cNvPr id="2" name="图表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34</xdr:col>
      <xdr:colOff>865572</xdr:colOff>
      <xdr:row>23</xdr:row>
      <xdr:rowOff>43062</xdr:rowOff>
    </xdr:from>
    <xdr:to>
      <xdr:col>44</xdr:col>
      <xdr:colOff>584835</xdr:colOff>
      <xdr:row>24</xdr:row>
      <xdr:rowOff>1631082</xdr:rowOff>
    </xdr:to>
    <xdr:graphicFrame macro="">
      <xdr:nvGraphicFramePr>
        <xdr:cNvPr id="5" name="图表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76200</xdr:colOff>
      <xdr:row>51</xdr:row>
      <xdr:rowOff>61911</xdr:rowOff>
    </xdr:from>
    <xdr:to>
      <xdr:col>8</xdr:col>
      <xdr:colOff>523875</xdr:colOff>
      <xdr:row>65</xdr:row>
      <xdr:rowOff>152400</xdr:rowOff>
    </xdr:to>
    <xdr:graphicFrame macro="">
      <xdr:nvGraphicFramePr>
        <xdr:cNvPr id="6" name="图表 5">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571500</xdr:colOff>
      <xdr:row>51</xdr:row>
      <xdr:rowOff>119062</xdr:rowOff>
    </xdr:from>
    <xdr:to>
      <xdr:col>20</xdr:col>
      <xdr:colOff>1171575</xdr:colOff>
      <xdr:row>65</xdr:row>
      <xdr:rowOff>19050</xdr:rowOff>
    </xdr:to>
    <xdr:graphicFrame macro="">
      <xdr:nvGraphicFramePr>
        <xdr:cNvPr id="7" name="图表 6">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136359</xdr:colOff>
      <xdr:row>28</xdr:row>
      <xdr:rowOff>42861</xdr:rowOff>
    </xdr:from>
    <xdr:to>
      <xdr:col>32</xdr:col>
      <xdr:colOff>742951</xdr:colOff>
      <xdr:row>37</xdr:row>
      <xdr:rowOff>24063</xdr:rowOff>
    </xdr:to>
    <xdr:graphicFrame macro="">
      <xdr:nvGraphicFramePr>
        <xdr:cNvPr id="4" name="图表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0.10474</cdr:x>
      <cdr:y>0.10976</cdr:y>
    </cdr:from>
    <cdr:to>
      <cdr:x>0.37747</cdr:x>
      <cdr:y>0.26423</cdr:y>
    </cdr:to>
    <cdr:sp macro="" textlink="">
      <cdr:nvSpPr>
        <cdr:cNvPr id="2" name="文本框 1">
          <a:extLst xmlns:a="http://schemas.openxmlformats.org/drawingml/2006/main">
            <a:ext uri="{FF2B5EF4-FFF2-40B4-BE49-F238E27FC236}">
              <a16:creationId xmlns:a16="http://schemas.microsoft.com/office/drawing/2014/main" id="{4FABAE61-282B-4A9D-AF3B-399C988D86DC}"/>
            </a:ext>
          </a:extLst>
        </cdr:cNvPr>
        <cdr:cNvSpPr txBox="1"/>
      </cdr:nvSpPr>
      <cdr:spPr>
        <a:xfrm xmlns:a="http://schemas.openxmlformats.org/drawingml/2006/main">
          <a:off x="807720" y="205741"/>
          <a:ext cx="2103120" cy="28956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zh-CN" altLang="en-US" sz="1100"/>
        </a:p>
      </cdr:txBody>
    </cdr:sp>
  </cdr:relSizeAnchor>
</c:userShapes>
</file>

<file path=xl/drawings/drawing4.xml><?xml version="1.0" encoding="utf-8"?>
<xdr:wsDr xmlns:xdr="http://schemas.openxmlformats.org/drawingml/2006/spreadsheetDrawing" xmlns:a="http://schemas.openxmlformats.org/drawingml/2006/main">
  <xdr:twoCellAnchor>
    <xdr:from>
      <xdr:col>12</xdr:col>
      <xdr:colOff>142874</xdr:colOff>
      <xdr:row>16</xdr:row>
      <xdr:rowOff>42862</xdr:rowOff>
    </xdr:from>
    <xdr:to>
      <xdr:col>24</xdr:col>
      <xdr:colOff>1171575</xdr:colOff>
      <xdr:row>35</xdr:row>
      <xdr:rowOff>95250</xdr:rowOff>
    </xdr:to>
    <xdr:graphicFrame macro="">
      <xdr:nvGraphicFramePr>
        <xdr:cNvPr id="3" name="图表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685800</xdr:colOff>
      <xdr:row>16</xdr:row>
      <xdr:rowOff>167640</xdr:rowOff>
    </xdr:from>
    <xdr:to>
      <xdr:col>8</xdr:col>
      <xdr:colOff>853440</xdr:colOff>
      <xdr:row>31</xdr:row>
      <xdr:rowOff>167640</xdr:rowOff>
    </xdr:to>
    <xdr:graphicFrame macro="">
      <xdr:nvGraphicFramePr>
        <xdr:cNvPr id="4" name="图表 3">
          <a:extLst>
            <a:ext uri="{FF2B5EF4-FFF2-40B4-BE49-F238E27FC236}">
              <a16:creationId xmlns:a16="http://schemas.microsoft.com/office/drawing/2014/main" id="{25D3B83F-E24F-4E26-8179-B8DB84403A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16</xdr:col>
      <xdr:colOff>281940</xdr:colOff>
      <xdr:row>18</xdr:row>
      <xdr:rowOff>110491</xdr:rowOff>
    </xdr:from>
    <xdr:to>
      <xdr:col>44</xdr:col>
      <xdr:colOff>1127760</xdr:colOff>
      <xdr:row>36</xdr:row>
      <xdr:rowOff>15240</xdr:rowOff>
    </xdr:to>
    <xdr:graphicFrame macro="">
      <xdr:nvGraphicFramePr>
        <xdr:cNvPr id="3" name="图表 2" title="变化率">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38100</xdr:colOff>
      <xdr:row>38</xdr:row>
      <xdr:rowOff>42861</xdr:rowOff>
    </xdr:from>
    <xdr:to>
      <xdr:col>36</xdr:col>
      <xdr:colOff>38100</xdr:colOff>
      <xdr:row>52</xdr:row>
      <xdr:rowOff>68580</xdr:rowOff>
    </xdr:to>
    <xdr:graphicFrame macro="">
      <xdr:nvGraphicFramePr>
        <xdr:cNvPr id="4" name="图表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1676399</xdr:colOff>
      <xdr:row>0</xdr:row>
      <xdr:rowOff>23812</xdr:rowOff>
    </xdr:from>
    <xdr:to>
      <xdr:col>39</xdr:col>
      <xdr:colOff>1457325</xdr:colOff>
      <xdr:row>9</xdr:row>
      <xdr:rowOff>104775</xdr:rowOff>
    </xdr:to>
    <xdr:graphicFrame macro="">
      <xdr:nvGraphicFramePr>
        <xdr:cNvPr id="5" name="图表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1142999</xdr:colOff>
      <xdr:row>0</xdr:row>
      <xdr:rowOff>42861</xdr:rowOff>
    </xdr:from>
    <xdr:to>
      <xdr:col>29</xdr:col>
      <xdr:colOff>0</xdr:colOff>
      <xdr:row>9</xdr:row>
      <xdr:rowOff>104775</xdr:rowOff>
    </xdr:to>
    <xdr:graphicFrame macro="">
      <xdr:nvGraphicFramePr>
        <xdr:cNvPr id="2" name="图表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1485899</xdr:colOff>
      <xdr:row>9</xdr:row>
      <xdr:rowOff>133350</xdr:rowOff>
    </xdr:from>
    <xdr:to>
      <xdr:col>40</xdr:col>
      <xdr:colOff>123824</xdr:colOff>
      <xdr:row>15</xdr:row>
      <xdr:rowOff>161925</xdr:rowOff>
    </xdr:to>
    <xdr:graphicFrame macro="">
      <xdr:nvGraphicFramePr>
        <xdr:cNvPr id="6" name="图表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1152524</xdr:colOff>
      <xdr:row>9</xdr:row>
      <xdr:rowOff>119063</xdr:rowOff>
    </xdr:from>
    <xdr:to>
      <xdr:col>28</xdr:col>
      <xdr:colOff>1402080</xdr:colOff>
      <xdr:row>16</xdr:row>
      <xdr:rowOff>9525</xdr:rowOff>
    </xdr:to>
    <xdr:graphicFrame macro="">
      <xdr:nvGraphicFramePr>
        <xdr:cNvPr id="7" name="图表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28</xdr:col>
      <xdr:colOff>533399</xdr:colOff>
      <xdr:row>0</xdr:row>
      <xdr:rowOff>0</xdr:rowOff>
    </xdr:from>
    <xdr:to>
      <xdr:col>34</xdr:col>
      <xdr:colOff>542922</xdr:colOff>
      <xdr:row>15</xdr:row>
      <xdr:rowOff>28575</xdr:rowOff>
    </xdr:to>
    <xdr:graphicFrame macro="">
      <xdr:nvGraphicFramePr>
        <xdr:cNvPr id="3" name="图表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533400</xdr:colOff>
      <xdr:row>15</xdr:row>
      <xdr:rowOff>80961</xdr:rowOff>
    </xdr:from>
    <xdr:to>
      <xdr:col>34</xdr:col>
      <xdr:colOff>495300</xdr:colOff>
      <xdr:row>24</xdr:row>
      <xdr:rowOff>171451</xdr:rowOff>
    </xdr:to>
    <xdr:graphicFrame macro="">
      <xdr:nvGraphicFramePr>
        <xdr:cNvPr id="4" name="图表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1293495</xdr:colOff>
      <xdr:row>43</xdr:row>
      <xdr:rowOff>42862</xdr:rowOff>
    </xdr:from>
    <xdr:to>
      <xdr:col>40</xdr:col>
      <xdr:colOff>1236345</xdr:colOff>
      <xdr:row>50</xdr:row>
      <xdr:rowOff>432435</xdr:rowOff>
    </xdr:to>
    <xdr:graphicFrame macro="">
      <xdr:nvGraphicFramePr>
        <xdr:cNvPr id="6" name="图表 5">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28</xdr:col>
      <xdr:colOff>312420</xdr:colOff>
      <xdr:row>25</xdr:row>
      <xdr:rowOff>109537</xdr:rowOff>
    </xdr:from>
    <xdr:to>
      <xdr:col>34</xdr:col>
      <xdr:colOff>518160</xdr:colOff>
      <xdr:row>33</xdr:row>
      <xdr:rowOff>91440</xdr:rowOff>
    </xdr:to>
    <xdr:graphicFrame macro="">
      <xdr:nvGraphicFramePr>
        <xdr:cNvPr id="8" name="图表 7">
          <a:extLst>
            <a:ext uri="{FF2B5EF4-FFF2-40B4-BE49-F238E27FC236}">
              <a16:creationId xmlns:a16="http://schemas.microsoft.com/office/drawing/2014/main" id="{00000000-0008-0000-0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146685</xdr:colOff>
      <xdr:row>34</xdr:row>
      <xdr:rowOff>96202</xdr:rowOff>
    </xdr:from>
    <xdr:to>
      <xdr:col>34</xdr:col>
      <xdr:colOff>708660</xdr:colOff>
      <xdr:row>42</xdr:row>
      <xdr:rowOff>26670</xdr:rowOff>
    </xdr:to>
    <xdr:graphicFrame macro="">
      <xdr:nvGraphicFramePr>
        <xdr:cNvPr id="5" name="图表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22</xdr:col>
      <xdr:colOff>885825</xdr:colOff>
      <xdr:row>0</xdr:row>
      <xdr:rowOff>52387</xdr:rowOff>
    </xdr:from>
    <xdr:to>
      <xdr:col>26</xdr:col>
      <xdr:colOff>1257300</xdr:colOff>
      <xdr:row>13</xdr:row>
      <xdr:rowOff>161925</xdr:rowOff>
    </xdr:to>
    <xdr:graphicFrame macro="">
      <xdr:nvGraphicFramePr>
        <xdr:cNvPr id="9" name="图表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24</xdr:col>
      <xdr:colOff>1036320</xdr:colOff>
      <xdr:row>24</xdr:row>
      <xdr:rowOff>17145</xdr:rowOff>
    </xdr:from>
    <xdr:to>
      <xdr:col>36</xdr:col>
      <xdr:colOff>1255395</xdr:colOff>
      <xdr:row>31</xdr:row>
      <xdr:rowOff>140970</xdr:rowOff>
    </xdr:to>
    <xdr:graphicFrame macro="">
      <xdr:nvGraphicFramePr>
        <xdr:cNvPr id="2" name="图表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285749</xdr:colOff>
      <xdr:row>31</xdr:row>
      <xdr:rowOff>119062</xdr:rowOff>
    </xdr:from>
    <xdr:to>
      <xdr:col>33</xdr:col>
      <xdr:colOff>1028699</xdr:colOff>
      <xdr:row>42</xdr:row>
      <xdr:rowOff>152400</xdr:rowOff>
    </xdr:to>
    <xdr:graphicFrame macro="">
      <xdr:nvGraphicFramePr>
        <xdr:cNvPr id="3" name="图表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285750</xdr:colOff>
      <xdr:row>44</xdr:row>
      <xdr:rowOff>90486</xdr:rowOff>
    </xdr:from>
    <xdr:to>
      <xdr:col>33</xdr:col>
      <xdr:colOff>1133475</xdr:colOff>
      <xdr:row>58</xdr:row>
      <xdr:rowOff>171449</xdr:rowOff>
    </xdr:to>
    <xdr:graphicFrame macro="">
      <xdr:nvGraphicFramePr>
        <xdr:cNvPr id="4" name="图表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0</xdr:colOff>
      <xdr:row>77</xdr:row>
      <xdr:rowOff>166688</xdr:rowOff>
    </xdr:from>
    <xdr:to>
      <xdr:col>40</xdr:col>
      <xdr:colOff>388620</xdr:colOff>
      <xdr:row>94</xdr:row>
      <xdr:rowOff>95251</xdr:rowOff>
    </xdr:to>
    <xdr:graphicFrame macro="">
      <xdr:nvGraphicFramePr>
        <xdr:cNvPr id="5" name="图表 4">
          <a:extLst>
            <a:ext uri="{FF2B5EF4-FFF2-40B4-BE49-F238E27FC236}">
              <a16:creationId xmlns:a16="http://schemas.microsoft.com/office/drawing/2014/main" id="{00000000-0008-0000-0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79</xdr:col>
      <xdr:colOff>960119</xdr:colOff>
      <xdr:row>57</xdr:row>
      <xdr:rowOff>315277</xdr:rowOff>
    </xdr:from>
    <xdr:to>
      <xdr:col>83</xdr:col>
      <xdr:colOff>876300</xdr:colOff>
      <xdr:row>72</xdr:row>
      <xdr:rowOff>5715</xdr:rowOff>
    </xdr:to>
    <xdr:graphicFrame macro="">
      <xdr:nvGraphicFramePr>
        <xdr:cNvPr id="7" name="图表 6">
          <a:extLst>
            <a:ext uri="{FF2B5EF4-FFF2-40B4-BE49-F238E27FC236}">
              <a16:creationId xmlns:a16="http://schemas.microsoft.com/office/drawing/2014/main" id="{00000000-0008-0000-09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32</xdr:col>
      <xdr:colOff>647700</xdr:colOff>
      <xdr:row>14</xdr:row>
      <xdr:rowOff>90488</xdr:rowOff>
    </xdr:from>
    <xdr:to>
      <xdr:col>42</xdr:col>
      <xdr:colOff>600075</xdr:colOff>
      <xdr:row>23</xdr:row>
      <xdr:rowOff>38100</xdr:rowOff>
    </xdr:to>
    <xdr:graphicFrame macro="">
      <xdr:nvGraphicFramePr>
        <xdr:cNvPr id="8" name="图表 7">
          <a:extLst>
            <a:ext uri="{FF2B5EF4-FFF2-40B4-BE49-F238E27FC236}">
              <a16:creationId xmlns:a16="http://schemas.microsoft.com/office/drawing/2014/main" id="{00000000-0008-0000-09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24</xdr:col>
      <xdr:colOff>769620</xdr:colOff>
      <xdr:row>14</xdr:row>
      <xdr:rowOff>25716</xdr:rowOff>
    </xdr:from>
    <xdr:to>
      <xdr:col>32</xdr:col>
      <xdr:colOff>525780</xdr:colOff>
      <xdr:row>23</xdr:row>
      <xdr:rowOff>78105</xdr:rowOff>
    </xdr:to>
    <xdr:graphicFrame macro="">
      <xdr:nvGraphicFramePr>
        <xdr:cNvPr id="9" name="图表 8">
          <a:extLst>
            <a:ext uri="{FF2B5EF4-FFF2-40B4-BE49-F238E27FC236}">
              <a16:creationId xmlns:a16="http://schemas.microsoft.com/office/drawing/2014/main" id="{00000000-0008-0000-09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24</xdr:col>
      <xdr:colOff>741046</xdr:colOff>
      <xdr:row>0</xdr:row>
      <xdr:rowOff>0</xdr:rowOff>
    </xdr:from>
    <xdr:to>
      <xdr:col>32</xdr:col>
      <xdr:colOff>798196</xdr:colOff>
      <xdr:row>13</xdr:row>
      <xdr:rowOff>142874</xdr:rowOff>
    </xdr:to>
    <xdr:graphicFrame macro="">
      <xdr:nvGraphicFramePr>
        <xdr:cNvPr id="10" name="图表 9">
          <a:extLst>
            <a:ext uri="{FF2B5EF4-FFF2-40B4-BE49-F238E27FC236}">
              <a16:creationId xmlns:a16="http://schemas.microsoft.com/office/drawing/2014/main" id="{00000000-0008-0000-09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110490</xdr:colOff>
      <xdr:row>15</xdr:row>
      <xdr:rowOff>92392</xdr:rowOff>
    </xdr:from>
    <xdr:to>
      <xdr:col>52</xdr:col>
      <xdr:colOff>377189</xdr:colOff>
      <xdr:row>23</xdr:row>
      <xdr:rowOff>125730</xdr:rowOff>
    </xdr:to>
    <xdr:graphicFrame macro="">
      <xdr:nvGraphicFramePr>
        <xdr:cNvPr id="11" name="图表 10">
          <a:extLst>
            <a:ext uri="{FF2B5EF4-FFF2-40B4-BE49-F238E27FC236}">
              <a16:creationId xmlns:a16="http://schemas.microsoft.com/office/drawing/2014/main" id="{00000000-0008-0000-09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40</xdr:col>
      <xdr:colOff>76200</xdr:colOff>
      <xdr:row>24</xdr:row>
      <xdr:rowOff>164782</xdr:rowOff>
    </xdr:from>
    <xdr:to>
      <xdr:col>48</xdr:col>
      <xdr:colOff>152400</xdr:colOff>
      <xdr:row>31</xdr:row>
      <xdr:rowOff>120015</xdr:rowOff>
    </xdr:to>
    <xdr:graphicFrame macro="">
      <xdr:nvGraphicFramePr>
        <xdr:cNvPr id="12" name="图表 11">
          <a:extLst>
            <a:ext uri="{FF2B5EF4-FFF2-40B4-BE49-F238E27FC236}">
              <a16:creationId xmlns:a16="http://schemas.microsoft.com/office/drawing/2014/main" id="{00000000-0008-0000-09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114300</xdr:colOff>
      <xdr:row>34</xdr:row>
      <xdr:rowOff>9525</xdr:rowOff>
    </xdr:from>
    <xdr:to>
      <xdr:col>4</xdr:col>
      <xdr:colOff>77468</xdr:colOff>
      <xdr:row>38</xdr:row>
      <xdr:rowOff>9439</xdr:rowOff>
    </xdr:to>
    <xdr:pic>
      <xdr:nvPicPr>
        <xdr:cNvPr id="2" name="图片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114300" y="5667375"/>
          <a:ext cx="5095238" cy="685714"/>
        </a:xfrm>
        <a:prstGeom prst="rect">
          <a:avLst/>
        </a:prstGeom>
      </xdr:spPr>
    </xdr:pic>
    <xdr:clientData/>
  </xdr:twoCellAnchor>
  <xdr:twoCellAnchor>
    <xdr:from>
      <xdr:col>24</xdr:col>
      <xdr:colOff>676275</xdr:colOff>
      <xdr:row>1</xdr:row>
      <xdr:rowOff>52387</xdr:rowOff>
    </xdr:from>
    <xdr:to>
      <xdr:col>33</xdr:col>
      <xdr:colOff>790575</xdr:colOff>
      <xdr:row>17</xdr:row>
      <xdr:rowOff>52387</xdr:rowOff>
    </xdr:to>
    <xdr:graphicFrame macro="">
      <xdr:nvGraphicFramePr>
        <xdr:cNvPr id="4" name="图表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600075</xdr:colOff>
      <xdr:row>17</xdr:row>
      <xdr:rowOff>138112</xdr:rowOff>
    </xdr:from>
    <xdr:to>
      <xdr:col>35</xdr:col>
      <xdr:colOff>9524</xdr:colOff>
      <xdr:row>29</xdr:row>
      <xdr:rowOff>638175</xdr:rowOff>
    </xdr:to>
    <xdr:graphicFrame macro="">
      <xdr:nvGraphicFramePr>
        <xdr:cNvPr id="3" name="图表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198120</xdr:colOff>
      <xdr:row>33</xdr:row>
      <xdr:rowOff>67627</xdr:rowOff>
    </xdr:from>
    <xdr:to>
      <xdr:col>28</xdr:col>
      <xdr:colOff>312420</xdr:colOff>
      <xdr:row>47</xdr:row>
      <xdr:rowOff>67627</xdr:rowOff>
    </xdr:to>
    <xdr:graphicFrame macro="">
      <xdr:nvGraphicFramePr>
        <xdr:cNvPr id="5" name="图表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914400</xdr:colOff>
      <xdr:row>22</xdr:row>
      <xdr:rowOff>114300</xdr:rowOff>
    </xdr:from>
    <xdr:to>
      <xdr:col>4</xdr:col>
      <xdr:colOff>334791</xdr:colOff>
      <xdr:row>27</xdr:row>
      <xdr:rowOff>38002</xdr:rowOff>
    </xdr:to>
    <xdr:pic>
      <xdr:nvPicPr>
        <xdr:cNvPr id="2" name="图片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5924550" y="3895725"/>
          <a:ext cx="3914286" cy="780952"/>
        </a:xfrm>
        <a:prstGeom prst="rect">
          <a:avLst/>
        </a:prstGeom>
      </xdr:spPr>
    </xdr:pic>
    <xdr:clientData/>
  </xdr:twoCellAnchor>
  <xdr:twoCellAnchor editAs="oneCell">
    <xdr:from>
      <xdr:col>2</xdr:col>
      <xdr:colOff>541020</xdr:colOff>
      <xdr:row>2</xdr:row>
      <xdr:rowOff>30480</xdr:rowOff>
    </xdr:from>
    <xdr:to>
      <xdr:col>2</xdr:col>
      <xdr:colOff>2064830</xdr:colOff>
      <xdr:row>5</xdr:row>
      <xdr:rowOff>127560</xdr:rowOff>
    </xdr:to>
    <xdr:pic>
      <xdr:nvPicPr>
        <xdr:cNvPr id="3" name="图片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stretch>
          <a:fillRect/>
        </a:stretch>
      </xdr:blipFill>
      <xdr:spPr>
        <a:xfrm>
          <a:off x="5166360" y="419100"/>
          <a:ext cx="1523810" cy="645720"/>
        </a:xfrm>
        <a:prstGeom prst="rect">
          <a:avLst/>
        </a:prstGeom>
      </xdr:spPr>
    </xdr:pic>
    <xdr:clientData/>
  </xdr:twoCellAnchor>
  <xdr:twoCellAnchor editAs="oneCell">
    <xdr:from>
      <xdr:col>2</xdr:col>
      <xdr:colOff>847725</xdr:colOff>
      <xdr:row>43</xdr:row>
      <xdr:rowOff>47625</xdr:rowOff>
    </xdr:from>
    <xdr:to>
      <xdr:col>4</xdr:col>
      <xdr:colOff>982385</xdr:colOff>
      <xdr:row>47</xdr:row>
      <xdr:rowOff>38016</xdr:rowOff>
    </xdr:to>
    <xdr:pic>
      <xdr:nvPicPr>
        <xdr:cNvPr id="4" name="图片 3">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3"/>
        <a:stretch>
          <a:fillRect/>
        </a:stretch>
      </xdr:blipFill>
      <xdr:spPr>
        <a:xfrm>
          <a:off x="5857875" y="7439025"/>
          <a:ext cx="4761905" cy="676191"/>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表1" displayName="表1" ref="A51:CK56" headerRowCount="0" totalsRowShown="0" headerRowDxfId="180" tableBorderDxfId="179" headerRowCellStyle="好" dataCellStyle="好">
  <tableColumns count="89">
    <tableColumn id="1" xr3:uid="{00000000-0010-0000-0000-000001000000}" name="列1" headerRowDxfId="178" dataDxfId="177" headerRowCellStyle="好" dataCellStyle="好"/>
    <tableColumn id="2" xr3:uid="{00000000-0010-0000-0000-000002000000}" name="列2" headerRowDxfId="176" headerRowCellStyle="好" dataCellStyle="好"/>
    <tableColumn id="3" xr3:uid="{00000000-0010-0000-0000-000003000000}" name="列3" headerRowDxfId="175" headerRowCellStyle="好" dataCellStyle="好"/>
    <tableColumn id="4" xr3:uid="{00000000-0010-0000-0000-000004000000}" name="列4" headerRowDxfId="174" headerRowCellStyle="好" dataCellStyle="好"/>
    <tableColumn id="5" xr3:uid="{00000000-0010-0000-0000-000005000000}" name="列5" headerRowDxfId="173" headerRowCellStyle="好" dataCellStyle="好"/>
    <tableColumn id="6" xr3:uid="{00000000-0010-0000-0000-000006000000}" name="列6" headerRowDxfId="172" headerRowCellStyle="好" dataCellStyle="好"/>
    <tableColumn id="7" xr3:uid="{00000000-0010-0000-0000-000007000000}" name="列7" headerRowDxfId="171" headerRowCellStyle="好" dataCellStyle="好"/>
    <tableColumn id="8" xr3:uid="{00000000-0010-0000-0000-000008000000}" name="列8" headerRowDxfId="170" headerRowCellStyle="好" dataCellStyle="好"/>
    <tableColumn id="9" xr3:uid="{00000000-0010-0000-0000-000009000000}" name="列9" headerRowDxfId="169" headerRowCellStyle="好" dataCellStyle="好"/>
    <tableColumn id="10" xr3:uid="{00000000-0010-0000-0000-00000A000000}" name="列10" headerRowDxfId="168" headerRowCellStyle="好" dataCellStyle="好"/>
    <tableColumn id="11" xr3:uid="{00000000-0010-0000-0000-00000B000000}" name="列11" headerRowDxfId="167" headerRowCellStyle="好" dataCellStyle="好"/>
    <tableColumn id="12" xr3:uid="{00000000-0010-0000-0000-00000C000000}" name="列12" headerRowDxfId="166" headerRowCellStyle="好" dataCellStyle="好"/>
    <tableColumn id="13" xr3:uid="{00000000-0010-0000-0000-00000D000000}" name="列13" headerRowDxfId="165" headerRowCellStyle="好" dataCellStyle="好"/>
    <tableColumn id="14" xr3:uid="{00000000-0010-0000-0000-00000E000000}" name="列14" headerRowDxfId="164" headerRowCellStyle="好" dataCellStyle="好"/>
    <tableColumn id="15" xr3:uid="{00000000-0010-0000-0000-00000F000000}" name="列15" headerRowDxfId="163" headerRowCellStyle="好" dataCellStyle="好"/>
    <tableColumn id="16" xr3:uid="{00000000-0010-0000-0000-000010000000}" name="列16" headerRowDxfId="162" headerRowCellStyle="好" dataCellStyle="好"/>
    <tableColumn id="17" xr3:uid="{00000000-0010-0000-0000-000011000000}" name="列17" headerRowDxfId="161" headerRowCellStyle="好" dataCellStyle="好"/>
    <tableColumn id="18" xr3:uid="{00000000-0010-0000-0000-000012000000}" name="列18" headerRowDxfId="160" headerRowCellStyle="好" dataCellStyle="好"/>
    <tableColumn id="19" xr3:uid="{00000000-0010-0000-0000-000013000000}" name="列19" headerRowDxfId="159" headerRowCellStyle="好" dataCellStyle="好"/>
    <tableColumn id="20" xr3:uid="{00000000-0010-0000-0000-000014000000}" name="列20" headerRowDxfId="158" headerRowCellStyle="好" dataCellStyle="好"/>
    <tableColumn id="21" xr3:uid="{00000000-0010-0000-0000-000015000000}" name="列21" headerRowDxfId="157" headerRowCellStyle="好" dataCellStyle="好"/>
    <tableColumn id="22" xr3:uid="{00000000-0010-0000-0000-000016000000}" name="列22" headerRowDxfId="156" headerRowCellStyle="好" dataCellStyle="好"/>
    <tableColumn id="23" xr3:uid="{00000000-0010-0000-0000-000017000000}" name="列23" headerRowDxfId="155" headerRowCellStyle="好" dataCellStyle="好"/>
    <tableColumn id="24" xr3:uid="{00000000-0010-0000-0000-000018000000}" name="列24" headerRowDxfId="154" headerRowCellStyle="好" dataCellStyle="好"/>
    <tableColumn id="25" xr3:uid="{00000000-0010-0000-0000-000019000000}" name="列25" headerRowDxfId="153" headerRowCellStyle="好" dataCellStyle="好"/>
    <tableColumn id="26" xr3:uid="{00000000-0010-0000-0000-00001A000000}" name="列26" headerRowDxfId="152" headerRowCellStyle="好" dataCellStyle="好"/>
    <tableColumn id="27" xr3:uid="{00000000-0010-0000-0000-00001B000000}" name="列27" headerRowDxfId="151" headerRowCellStyle="好" dataCellStyle="好"/>
    <tableColumn id="28" xr3:uid="{00000000-0010-0000-0000-00001C000000}" name="列28" headerRowDxfId="150" headerRowCellStyle="好" dataCellStyle="好"/>
    <tableColumn id="29" xr3:uid="{00000000-0010-0000-0000-00001D000000}" name="列29" headerRowDxfId="149" headerRowCellStyle="好" dataCellStyle="好"/>
    <tableColumn id="30" xr3:uid="{00000000-0010-0000-0000-00001E000000}" name="列30" headerRowDxfId="148" headerRowCellStyle="好" dataCellStyle="好"/>
    <tableColumn id="31" xr3:uid="{00000000-0010-0000-0000-00001F000000}" name="列31" headerRowDxfId="147" headerRowCellStyle="好" dataCellStyle="好"/>
    <tableColumn id="32" xr3:uid="{00000000-0010-0000-0000-000020000000}" name="列32" headerRowDxfId="146" headerRowCellStyle="好" dataCellStyle="好"/>
    <tableColumn id="33" xr3:uid="{00000000-0010-0000-0000-000021000000}" name="列33" headerRowDxfId="145" headerRowCellStyle="好" dataCellStyle="好"/>
    <tableColumn id="34" xr3:uid="{00000000-0010-0000-0000-000022000000}" name="列34" headerRowDxfId="144" headerRowCellStyle="好" dataCellStyle="好"/>
    <tableColumn id="35" xr3:uid="{00000000-0010-0000-0000-000023000000}" name="列35" headerRowDxfId="143" headerRowCellStyle="好" dataCellStyle="好"/>
    <tableColumn id="36" xr3:uid="{00000000-0010-0000-0000-000024000000}" name="列36" headerRowDxfId="142" headerRowCellStyle="好" dataCellStyle="好"/>
    <tableColumn id="37" xr3:uid="{00000000-0010-0000-0000-000025000000}" name="列37" headerRowDxfId="141" headerRowCellStyle="好" dataCellStyle="好"/>
    <tableColumn id="38" xr3:uid="{00000000-0010-0000-0000-000026000000}" name="列38" headerRowDxfId="140" headerRowCellStyle="好" dataCellStyle="好"/>
    <tableColumn id="39" xr3:uid="{00000000-0010-0000-0000-000027000000}" name="列39" headerRowDxfId="139" headerRowCellStyle="好" dataCellStyle="好"/>
    <tableColumn id="40" xr3:uid="{00000000-0010-0000-0000-000028000000}" name="列40" headerRowDxfId="138" headerRowCellStyle="好" dataCellStyle="好"/>
    <tableColumn id="41" xr3:uid="{00000000-0010-0000-0000-000029000000}" name="列41" headerRowDxfId="137" headerRowCellStyle="好" dataCellStyle="好"/>
    <tableColumn id="42" xr3:uid="{00000000-0010-0000-0000-00002A000000}" name="列42" headerRowDxfId="136" headerRowCellStyle="好" dataCellStyle="好"/>
    <tableColumn id="43" xr3:uid="{00000000-0010-0000-0000-00002B000000}" name="列43" headerRowDxfId="135" headerRowCellStyle="好" dataCellStyle="好"/>
    <tableColumn id="44" xr3:uid="{00000000-0010-0000-0000-00002C000000}" name="列44" headerRowDxfId="134" headerRowCellStyle="好" dataCellStyle="好"/>
    <tableColumn id="45" xr3:uid="{00000000-0010-0000-0000-00002D000000}" name="列45" headerRowDxfId="133" headerRowCellStyle="好" dataCellStyle="好"/>
    <tableColumn id="46" xr3:uid="{00000000-0010-0000-0000-00002E000000}" name="列46" headerRowDxfId="132" headerRowCellStyle="好" dataCellStyle="好"/>
    <tableColumn id="47" xr3:uid="{00000000-0010-0000-0000-00002F000000}" name="列47" headerRowDxfId="131" headerRowCellStyle="好" dataCellStyle="好"/>
    <tableColumn id="48" xr3:uid="{00000000-0010-0000-0000-000030000000}" name="列48" headerRowDxfId="130" headerRowCellStyle="好" dataCellStyle="好"/>
    <tableColumn id="49" xr3:uid="{00000000-0010-0000-0000-000031000000}" name="列49" headerRowDxfId="129" headerRowCellStyle="好" dataCellStyle="好"/>
    <tableColumn id="50" xr3:uid="{00000000-0010-0000-0000-000032000000}" name="列50" headerRowDxfId="128" headerRowCellStyle="好" dataCellStyle="好"/>
    <tableColumn id="51" xr3:uid="{00000000-0010-0000-0000-000033000000}" name="列51" headerRowDxfId="127" headerRowCellStyle="好" dataCellStyle="好"/>
    <tableColumn id="52" xr3:uid="{00000000-0010-0000-0000-000034000000}" name="列52" headerRowDxfId="126" headerRowCellStyle="好" dataCellStyle="好"/>
    <tableColumn id="53" xr3:uid="{00000000-0010-0000-0000-000035000000}" name="列53" headerRowDxfId="125" headerRowCellStyle="好" dataCellStyle="好"/>
    <tableColumn id="54" xr3:uid="{00000000-0010-0000-0000-000036000000}" name="列54" headerRowDxfId="124" headerRowCellStyle="好" dataCellStyle="好"/>
    <tableColumn id="55" xr3:uid="{00000000-0010-0000-0000-000037000000}" name="列55" headerRowDxfId="123" headerRowCellStyle="好" dataCellStyle="好"/>
    <tableColumn id="56" xr3:uid="{00000000-0010-0000-0000-000038000000}" name="列56" headerRowDxfId="122" headerRowCellStyle="好" dataCellStyle="好"/>
    <tableColumn id="57" xr3:uid="{00000000-0010-0000-0000-000039000000}" name="列57" headerRowDxfId="121" headerRowCellStyle="好" dataCellStyle="好"/>
    <tableColumn id="58" xr3:uid="{00000000-0010-0000-0000-00003A000000}" name="列58" headerRowDxfId="120" headerRowCellStyle="好" dataCellStyle="好"/>
    <tableColumn id="59" xr3:uid="{00000000-0010-0000-0000-00003B000000}" name="列59" headerRowDxfId="119" headerRowCellStyle="好" dataCellStyle="好"/>
    <tableColumn id="60" xr3:uid="{00000000-0010-0000-0000-00003C000000}" name="列60" headerRowDxfId="118" headerRowCellStyle="好" dataCellStyle="好"/>
    <tableColumn id="61" xr3:uid="{00000000-0010-0000-0000-00003D000000}" name="列61" headerRowDxfId="117" headerRowCellStyle="好" dataCellStyle="好"/>
    <tableColumn id="62" xr3:uid="{00000000-0010-0000-0000-00003E000000}" name="列62" headerRowDxfId="116" headerRowCellStyle="好" dataCellStyle="好"/>
    <tableColumn id="63" xr3:uid="{00000000-0010-0000-0000-00003F000000}" name="列63" headerRowDxfId="115" headerRowCellStyle="好" dataCellStyle="好"/>
    <tableColumn id="64" xr3:uid="{00000000-0010-0000-0000-000040000000}" name="列64" headerRowDxfId="114" headerRowCellStyle="好" dataCellStyle="好"/>
    <tableColumn id="65" xr3:uid="{00000000-0010-0000-0000-000041000000}" name="列65" headerRowDxfId="113" headerRowCellStyle="好" dataCellStyle="好"/>
    <tableColumn id="66" xr3:uid="{00000000-0010-0000-0000-000042000000}" name="列66" headerRowDxfId="112" headerRowCellStyle="好" dataCellStyle="好"/>
    <tableColumn id="67" xr3:uid="{00000000-0010-0000-0000-000043000000}" name="列67" headerRowDxfId="111" headerRowCellStyle="好" dataCellStyle="好"/>
    <tableColumn id="68" xr3:uid="{00000000-0010-0000-0000-000044000000}" name="列68" headerRowDxfId="110" headerRowCellStyle="好" dataCellStyle="好"/>
    <tableColumn id="69" xr3:uid="{00000000-0010-0000-0000-000045000000}" name="列69" headerRowDxfId="109" headerRowCellStyle="好" dataCellStyle="好"/>
    <tableColumn id="70" xr3:uid="{00000000-0010-0000-0000-000046000000}" name="列70" headerRowDxfId="108" headerRowCellStyle="好" dataCellStyle="好"/>
    <tableColumn id="71" xr3:uid="{00000000-0010-0000-0000-000047000000}" name="列71" headerRowDxfId="107" headerRowCellStyle="好" dataCellStyle="好"/>
    <tableColumn id="72" xr3:uid="{00000000-0010-0000-0000-000048000000}" name="列72" headerRowDxfId="106" headerRowCellStyle="好" dataCellStyle="好"/>
    <tableColumn id="73" xr3:uid="{00000000-0010-0000-0000-000049000000}" name="列73" headerRowDxfId="105" headerRowCellStyle="好" dataCellStyle="好"/>
    <tableColumn id="74" xr3:uid="{00000000-0010-0000-0000-00004A000000}" name="列74" headerRowDxfId="104" headerRowCellStyle="好" dataCellStyle="好"/>
    <tableColumn id="75" xr3:uid="{00000000-0010-0000-0000-00004B000000}" name="列75" headerRowDxfId="103" headerRowCellStyle="好" dataCellStyle="好"/>
    <tableColumn id="76" xr3:uid="{00000000-0010-0000-0000-00004C000000}" name="列76" headerRowDxfId="102" headerRowCellStyle="好" dataCellStyle="好"/>
    <tableColumn id="77" xr3:uid="{00000000-0010-0000-0000-00004D000000}" name="列77" headerRowDxfId="101" headerRowCellStyle="好" dataCellStyle="好"/>
    <tableColumn id="78" xr3:uid="{00000000-0010-0000-0000-00004E000000}" name="列78" headerRowDxfId="100" headerRowCellStyle="好" dataCellStyle="好"/>
    <tableColumn id="79" xr3:uid="{00000000-0010-0000-0000-00004F000000}" name="列79" headerRowDxfId="99" headerRowCellStyle="好" dataCellStyle="好"/>
    <tableColumn id="80" xr3:uid="{00000000-0010-0000-0000-000050000000}" name="列80" headerRowDxfId="98" headerRowCellStyle="好" dataCellStyle="好"/>
    <tableColumn id="81" xr3:uid="{00000000-0010-0000-0000-000051000000}" name="列81" headerRowDxfId="97" headerRowCellStyle="好" dataCellStyle="好"/>
    <tableColumn id="82" xr3:uid="{00000000-0010-0000-0000-000052000000}" name="列82" headerRowDxfId="96" headerRowCellStyle="好" dataCellStyle="好"/>
    <tableColumn id="83" xr3:uid="{00000000-0010-0000-0000-000053000000}" name="列83" headerRowDxfId="95" headerRowCellStyle="好" dataCellStyle="好"/>
    <tableColumn id="84" xr3:uid="{00000000-0010-0000-0000-000054000000}" name="列84" headerRowDxfId="94" headerRowCellStyle="好" dataCellStyle="好"/>
    <tableColumn id="85" xr3:uid="{00000000-0010-0000-0000-000055000000}" name="列85" headerRowDxfId="93" headerRowCellStyle="好" dataCellStyle="好"/>
    <tableColumn id="86" xr3:uid="{00000000-0010-0000-0000-000056000000}" name="列86" headerRowDxfId="92" headerRowCellStyle="好" dataCellStyle="好"/>
    <tableColumn id="87" xr3:uid="{00000000-0010-0000-0000-000057000000}" name="列87" headerRowDxfId="91" headerRowCellStyle="好" dataCellStyle="好"/>
    <tableColumn id="88" xr3:uid="{00000000-0010-0000-0000-000058000000}" name="列88" headerRowDxfId="90" headerRowCellStyle="好" dataCellStyle="好"/>
    <tableColumn id="89" xr3:uid="{00000000-0010-0000-0000-000059000000}" name="列89" headerRowDxfId="89" headerRowCellStyle="好" dataCellStyle="好"/>
  </tableColumns>
  <tableStyleInfo name="TableStyleLight1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表2" displayName="表2" ref="A59:CK62" headerRowCount="0" totalsRowShown="0">
  <tableColumns count="89">
    <tableColumn id="1" xr3:uid="{00000000-0010-0000-0100-000001000000}" name="列1" headerRowDxfId="88" dataDxfId="87" dataCellStyle="好"/>
    <tableColumn id="2" xr3:uid="{00000000-0010-0000-0100-000002000000}" name="列2" dataCellStyle="好"/>
    <tableColumn id="3" xr3:uid="{00000000-0010-0000-0100-000003000000}" name="列3" dataCellStyle="好"/>
    <tableColumn id="4" xr3:uid="{00000000-0010-0000-0100-000004000000}" name="列4" dataCellStyle="好"/>
    <tableColumn id="5" xr3:uid="{00000000-0010-0000-0100-000005000000}" name="列5" dataDxfId="86" dataCellStyle="好"/>
    <tableColumn id="6" xr3:uid="{00000000-0010-0000-0100-000006000000}" name="列6" dataDxfId="85" dataCellStyle="好"/>
    <tableColumn id="7" xr3:uid="{00000000-0010-0000-0100-000007000000}" name="列7" dataDxfId="84" dataCellStyle="好"/>
    <tableColumn id="8" xr3:uid="{00000000-0010-0000-0100-000008000000}" name="列8" dataDxfId="83" dataCellStyle="好"/>
    <tableColumn id="9" xr3:uid="{00000000-0010-0000-0100-000009000000}" name="列9" dataDxfId="82" dataCellStyle="好"/>
    <tableColumn id="10" xr3:uid="{00000000-0010-0000-0100-00000A000000}" name="列10" dataDxfId="81" dataCellStyle="好"/>
    <tableColumn id="11" xr3:uid="{00000000-0010-0000-0100-00000B000000}" name="列11" dataDxfId="80" dataCellStyle="好"/>
    <tableColumn id="12" xr3:uid="{00000000-0010-0000-0100-00000C000000}" name="列12" dataDxfId="79" dataCellStyle="好"/>
    <tableColumn id="13" xr3:uid="{00000000-0010-0000-0100-00000D000000}" name="列13" dataDxfId="78" dataCellStyle="好"/>
    <tableColumn id="14" xr3:uid="{00000000-0010-0000-0100-00000E000000}" name="列14" dataDxfId="77" dataCellStyle="好"/>
    <tableColumn id="15" xr3:uid="{00000000-0010-0000-0100-00000F000000}" name="列15" dataDxfId="76" dataCellStyle="好"/>
    <tableColumn id="16" xr3:uid="{00000000-0010-0000-0100-000010000000}" name="列16" dataDxfId="75" dataCellStyle="好"/>
    <tableColumn id="17" xr3:uid="{00000000-0010-0000-0100-000011000000}" name="列17" dataDxfId="74" dataCellStyle="好"/>
    <tableColumn id="18" xr3:uid="{00000000-0010-0000-0100-000012000000}" name="列18" dataDxfId="73" dataCellStyle="好"/>
    <tableColumn id="19" xr3:uid="{00000000-0010-0000-0100-000013000000}" name="列19" dataDxfId="72" dataCellStyle="好"/>
    <tableColumn id="20" xr3:uid="{00000000-0010-0000-0100-000014000000}" name="列20" dataDxfId="71" dataCellStyle="好"/>
    <tableColumn id="21" xr3:uid="{00000000-0010-0000-0100-000015000000}" name="列21" dataDxfId="70" dataCellStyle="好"/>
    <tableColumn id="22" xr3:uid="{00000000-0010-0000-0100-000016000000}" name="列22" dataDxfId="69" dataCellStyle="好"/>
    <tableColumn id="23" xr3:uid="{00000000-0010-0000-0100-000017000000}" name="列23" dataDxfId="68" dataCellStyle="好"/>
    <tableColumn id="24" xr3:uid="{00000000-0010-0000-0100-000018000000}" name="列24" dataDxfId="67" dataCellStyle="好"/>
    <tableColumn id="25" xr3:uid="{00000000-0010-0000-0100-000019000000}" name="列25" dataDxfId="66" dataCellStyle="好"/>
    <tableColumn id="26" xr3:uid="{00000000-0010-0000-0100-00001A000000}" name="列26" dataDxfId="65" dataCellStyle="好"/>
    <tableColumn id="27" xr3:uid="{00000000-0010-0000-0100-00001B000000}" name="列27" dataDxfId="64" dataCellStyle="好"/>
    <tableColumn id="28" xr3:uid="{00000000-0010-0000-0100-00001C000000}" name="列28" dataDxfId="63" dataCellStyle="好"/>
    <tableColumn id="29" xr3:uid="{00000000-0010-0000-0100-00001D000000}" name="列29" dataDxfId="62" dataCellStyle="好"/>
    <tableColumn id="30" xr3:uid="{00000000-0010-0000-0100-00001E000000}" name="列30" dataDxfId="61" dataCellStyle="好"/>
    <tableColumn id="31" xr3:uid="{00000000-0010-0000-0100-00001F000000}" name="列31" dataDxfId="60" dataCellStyle="好"/>
    <tableColumn id="32" xr3:uid="{00000000-0010-0000-0100-000020000000}" name="列32" dataDxfId="59" dataCellStyle="好"/>
    <tableColumn id="33" xr3:uid="{00000000-0010-0000-0100-000021000000}" name="列33" dataDxfId="58" dataCellStyle="好"/>
    <tableColumn id="34" xr3:uid="{00000000-0010-0000-0100-000022000000}" name="列34" dataDxfId="57" dataCellStyle="好"/>
    <tableColumn id="35" xr3:uid="{00000000-0010-0000-0100-000023000000}" name="列35" dataDxfId="56" dataCellStyle="好"/>
    <tableColumn id="36" xr3:uid="{00000000-0010-0000-0100-000024000000}" name="列36" dataDxfId="55" dataCellStyle="好"/>
    <tableColumn id="37" xr3:uid="{00000000-0010-0000-0100-000025000000}" name="列37" dataDxfId="54" dataCellStyle="好"/>
    <tableColumn id="38" xr3:uid="{00000000-0010-0000-0100-000026000000}" name="列38" dataDxfId="53" dataCellStyle="好"/>
    <tableColumn id="39" xr3:uid="{00000000-0010-0000-0100-000027000000}" name="列39" dataDxfId="52" dataCellStyle="好"/>
    <tableColumn id="40" xr3:uid="{00000000-0010-0000-0100-000028000000}" name="列40" dataDxfId="51" dataCellStyle="好"/>
    <tableColumn id="41" xr3:uid="{00000000-0010-0000-0100-000029000000}" name="列41" dataDxfId="50" dataCellStyle="好"/>
    <tableColumn id="42" xr3:uid="{00000000-0010-0000-0100-00002A000000}" name="列42" dataDxfId="49" dataCellStyle="好"/>
    <tableColumn id="43" xr3:uid="{00000000-0010-0000-0100-00002B000000}" name="列43" dataDxfId="48" dataCellStyle="好"/>
    <tableColumn id="44" xr3:uid="{00000000-0010-0000-0100-00002C000000}" name="列44" dataDxfId="47" dataCellStyle="好"/>
    <tableColumn id="45" xr3:uid="{00000000-0010-0000-0100-00002D000000}" name="列45" dataDxfId="46" dataCellStyle="好"/>
    <tableColumn id="46" xr3:uid="{00000000-0010-0000-0100-00002E000000}" name="列46" dataDxfId="45" dataCellStyle="好"/>
    <tableColumn id="47" xr3:uid="{00000000-0010-0000-0100-00002F000000}" name="列47" dataDxfId="44" dataCellStyle="好"/>
    <tableColumn id="48" xr3:uid="{00000000-0010-0000-0100-000030000000}" name="列48" dataDxfId="43" dataCellStyle="好"/>
    <tableColumn id="49" xr3:uid="{00000000-0010-0000-0100-000031000000}" name="列49" dataDxfId="42" dataCellStyle="好"/>
    <tableColumn id="50" xr3:uid="{00000000-0010-0000-0100-000032000000}" name="列50" dataDxfId="41" dataCellStyle="好"/>
    <tableColumn id="51" xr3:uid="{00000000-0010-0000-0100-000033000000}" name="列51" dataDxfId="40" dataCellStyle="好"/>
    <tableColumn id="52" xr3:uid="{00000000-0010-0000-0100-000034000000}" name="列52" dataDxfId="39" dataCellStyle="好"/>
    <tableColumn id="53" xr3:uid="{00000000-0010-0000-0100-000035000000}" name="列53" dataDxfId="38" dataCellStyle="好"/>
    <tableColumn id="54" xr3:uid="{00000000-0010-0000-0100-000036000000}" name="列54" dataDxfId="37" dataCellStyle="好"/>
    <tableColumn id="55" xr3:uid="{00000000-0010-0000-0100-000037000000}" name="列55" dataDxfId="36" dataCellStyle="好"/>
    <tableColumn id="56" xr3:uid="{00000000-0010-0000-0100-000038000000}" name="列56" dataDxfId="35" dataCellStyle="好"/>
    <tableColumn id="57" xr3:uid="{00000000-0010-0000-0100-000039000000}" name="列57" dataDxfId="34" dataCellStyle="好"/>
    <tableColumn id="58" xr3:uid="{00000000-0010-0000-0100-00003A000000}" name="列58" dataDxfId="33" dataCellStyle="好"/>
    <tableColumn id="59" xr3:uid="{00000000-0010-0000-0100-00003B000000}" name="列59" dataDxfId="32" dataCellStyle="好"/>
    <tableColumn id="60" xr3:uid="{00000000-0010-0000-0100-00003C000000}" name="列60" dataDxfId="31" dataCellStyle="好"/>
    <tableColumn id="61" xr3:uid="{00000000-0010-0000-0100-00003D000000}" name="列61" dataDxfId="30" dataCellStyle="好"/>
    <tableColumn id="62" xr3:uid="{00000000-0010-0000-0100-00003E000000}" name="列62" dataDxfId="29" dataCellStyle="好"/>
    <tableColumn id="63" xr3:uid="{00000000-0010-0000-0100-00003F000000}" name="列63" dataDxfId="28" dataCellStyle="好"/>
    <tableColumn id="64" xr3:uid="{00000000-0010-0000-0100-000040000000}" name="列64" dataDxfId="27" dataCellStyle="好"/>
    <tableColumn id="65" xr3:uid="{00000000-0010-0000-0100-000041000000}" name="列65" dataDxfId="26" dataCellStyle="好"/>
    <tableColumn id="66" xr3:uid="{00000000-0010-0000-0100-000042000000}" name="列66" dataDxfId="25" dataCellStyle="好"/>
    <tableColumn id="67" xr3:uid="{00000000-0010-0000-0100-000043000000}" name="列67" dataDxfId="24" dataCellStyle="好"/>
    <tableColumn id="68" xr3:uid="{00000000-0010-0000-0100-000044000000}" name="列68" dataDxfId="23" dataCellStyle="好"/>
    <tableColumn id="69" xr3:uid="{00000000-0010-0000-0100-000045000000}" name="列69" dataDxfId="22" dataCellStyle="好"/>
    <tableColumn id="70" xr3:uid="{00000000-0010-0000-0100-000046000000}" name="列70" dataDxfId="21" dataCellStyle="好"/>
    <tableColumn id="71" xr3:uid="{00000000-0010-0000-0100-000047000000}" name="列71" dataDxfId="20" dataCellStyle="好"/>
    <tableColumn id="72" xr3:uid="{00000000-0010-0000-0100-000048000000}" name="列72" dataDxfId="19" dataCellStyle="好"/>
    <tableColumn id="73" xr3:uid="{00000000-0010-0000-0100-000049000000}" name="列73" dataDxfId="18" dataCellStyle="好"/>
    <tableColumn id="74" xr3:uid="{00000000-0010-0000-0100-00004A000000}" name="列74" dataDxfId="17" dataCellStyle="好"/>
    <tableColumn id="75" xr3:uid="{00000000-0010-0000-0100-00004B000000}" name="列75" dataDxfId="16" dataCellStyle="好"/>
    <tableColumn id="76" xr3:uid="{00000000-0010-0000-0100-00004C000000}" name="列76" dataDxfId="15" dataCellStyle="好"/>
    <tableColumn id="77" xr3:uid="{00000000-0010-0000-0100-00004D000000}" name="列77" dataDxfId="14" dataCellStyle="好"/>
    <tableColumn id="78" xr3:uid="{00000000-0010-0000-0100-00004E000000}" name="列78" dataDxfId="13" dataCellStyle="好"/>
    <tableColumn id="79" xr3:uid="{00000000-0010-0000-0100-00004F000000}" name="列79" dataDxfId="12" dataCellStyle="好"/>
    <tableColumn id="80" xr3:uid="{00000000-0010-0000-0100-000050000000}" name="列80" dataDxfId="11" dataCellStyle="好"/>
    <tableColumn id="81" xr3:uid="{00000000-0010-0000-0100-000051000000}" name="列81" dataDxfId="10" dataCellStyle="好"/>
    <tableColumn id="82" xr3:uid="{00000000-0010-0000-0100-000052000000}" name="列82" dataDxfId="9" dataCellStyle="好"/>
    <tableColumn id="83" xr3:uid="{00000000-0010-0000-0100-000053000000}" name="列83" dataDxfId="8" dataCellStyle="好"/>
    <tableColumn id="84" xr3:uid="{00000000-0010-0000-0100-000054000000}" name="列84" dataDxfId="7" dataCellStyle="好"/>
    <tableColumn id="85" xr3:uid="{00000000-0010-0000-0100-000055000000}" name="列85" dataDxfId="6" dataCellStyle="好"/>
    <tableColumn id="86" xr3:uid="{00000000-0010-0000-0100-000056000000}" name="列86" dataDxfId="5" dataCellStyle="好"/>
    <tableColumn id="87" xr3:uid="{00000000-0010-0000-0100-000057000000}" name="列87" dataDxfId="4" dataCellStyle="好"/>
    <tableColumn id="88" xr3:uid="{00000000-0010-0000-0100-000058000000}" name="列88" dataDxfId="3" dataCellStyle="好"/>
    <tableColumn id="89" xr3:uid="{00000000-0010-0000-0100-000059000000}" name="列89" dataDxfId="2" dataCellStyle="好"/>
  </tableColumns>
  <tableStyleInfo name="TableStyleLight2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表3" displayName="表3" ref="A65:CK70" headerRowCount="0" totalsRowShown="0" headerRowCellStyle="好" dataCellStyle="好">
  <tableColumns count="89">
    <tableColumn id="1" xr3:uid="{00000000-0010-0000-0200-000001000000}" name="列1" headerRowDxfId="1" dataDxfId="0" headerRowCellStyle="好" dataCellStyle="好"/>
    <tableColumn id="2" xr3:uid="{00000000-0010-0000-0200-000002000000}" name="列2" headerRowCellStyle="好" dataCellStyle="好"/>
    <tableColumn id="3" xr3:uid="{00000000-0010-0000-0200-000003000000}" name="列3" headerRowCellStyle="好" dataCellStyle="好"/>
    <tableColumn id="4" xr3:uid="{00000000-0010-0000-0200-000004000000}" name="列4" headerRowCellStyle="好" dataCellStyle="好"/>
    <tableColumn id="5" xr3:uid="{00000000-0010-0000-0200-000005000000}" name="列5" headerRowCellStyle="好" dataCellStyle="好"/>
    <tableColumn id="6" xr3:uid="{00000000-0010-0000-0200-000006000000}" name="列6" headerRowCellStyle="好" dataCellStyle="好"/>
    <tableColumn id="7" xr3:uid="{00000000-0010-0000-0200-000007000000}" name="列7" headerRowCellStyle="好" dataCellStyle="好"/>
    <tableColumn id="8" xr3:uid="{00000000-0010-0000-0200-000008000000}" name="列8" headerRowCellStyle="好" dataCellStyle="好"/>
    <tableColumn id="9" xr3:uid="{00000000-0010-0000-0200-000009000000}" name="列9" headerRowCellStyle="好" dataCellStyle="好"/>
    <tableColumn id="10" xr3:uid="{00000000-0010-0000-0200-00000A000000}" name="列10" headerRowCellStyle="好" dataCellStyle="好"/>
    <tableColumn id="11" xr3:uid="{00000000-0010-0000-0200-00000B000000}" name="列11" headerRowCellStyle="好" dataCellStyle="好"/>
    <tableColumn id="12" xr3:uid="{00000000-0010-0000-0200-00000C000000}" name="列12" headerRowCellStyle="好" dataCellStyle="好"/>
    <tableColumn id="13" xr3:uid="{00000000-0010-0000-0200-00000D000000}" name="列13" headerRowCellStyle="好" dataCellStyle="好"/>
    <tableColumn id="14" xr3:uid="{00000000-0010-0000-0200-00000E000000}" name="列14" headerRowCellStyle="好" dataCellStyle="好"/>
    <tableColumn id="15" xr3:uid="{00000000-0010-0000-0200-00000F000000}" name="列15" headerRowCellStyle="好" dataCellStyle="好"/>
    <tableColumn id="16" xr3:uid="{00000000-0010-0000-0200-000010000000}" name="列16" headerRowCellStyle="好" dataCellStyle="好"/>
    <tableColumn id="17" xr3:uid="{00000000-0010-0000-0200-000011000000}" name="列17" headerRowCellStyle="好" dataCellStyle="好"/>
    <tableColumn id="18" xr3:uid="{00000000-0010-0000-0200-000012000000}" name="列18" headerRowCellStyle="好" dataCellStyle="好"/>
    <tableColumn id="19" xr3:uid="{00000000-0010-0000-0200-000013000000}" name="列19" headerRowCellStyle="好" dataCellStyle="好"/>
    <tableColumn id="20" xr3:uid="{00000000-0010-0000-0200-000014000000}" name="列20" headerRowCellStyle="好" dataCellStyle="好"/>
    <tableColumn id="21" xr3:uid="{00000000-0010-0000-0200-000015000000}" name="列21" headerRowCellStyle="好" dataCellStyle="好"/>
    <tableColumn id="22" xr3:uid="{00000000-0010-0000-0200-000016000000}" name="列22" headerRowCellStyle="好" dataCellStyle="好"/>
    <tableColumn id="23" xr3:uid="{00000000-0010-0000-0200-000017000000}" name="列23" headerRowCellStyle="好" dataCellStyle="好"/>
    <tableColumn id="24" xr3:uid="{00000000-0010-0000-0200-000018000000}" name="列24" headerRowCellStyle="好" dataCellStyle="好"/>
    <tableColumn id="25" xr3:uid="{00000000-0010-0000-0200-000019000000}" name="列25" headerRowCellStyle="好" dataCellStyle="好"/>
    <tableColumn id="26" xr3:uid="{00000000-0010-0000-0200-00001A000000}" name="列26" headerRowCellStyle="好" dataCellStyle="好"/>
    <tableColumn id="27" xr3:uid="{00000000-0010-0000-0200-00001B000000}" name="列27" headerRowCellStyle="好" dataCellStyle="好"/>
    <tableColumn id="28" xr3:uid="{00000000-0010-0000-0200-00001C000000}" name="列28" headerRowCellStyle="好" dataCellStyle="好"/>
    <tableColumn id="29" xr3:uid="{00000000-0010-0000-0200-00001D000000}" name="列29" headerRowCellStyle="好" dataCellStyle="好"/>
    <tableColumn id="30" xr3:uid="{00000000-0010-0000-0200-00001E000000}" name="列30" headerRowCellStyle="好" dataCellStyle="好"/>
    <tableColumn id="31" xr3:uid="{00000000-0010-0000-0200-00001F000000}" name="列31" headerRowCellStyle="好" dataCellStyle="好"/>
    <tableColumn id="32" xr3:uid="{00000000-0010-0000-0200-000020000000}" name="列32" headerRowCellStyle="好" dataCellStyle="好"/>
    <tableColumn id="33" xr3:uid="{00000000-0010-0000-0200-000021000000}" name="列33" headerRowCellStyle="好" dataCellStyle="好"/>
    <tableColumn id="34" xr3:uid="{00000000-0010-0000-0200-000022000000}" name="列34" headerRowCellStyle="好" dataCellStyle="好"/>
    <tableColumn id="35" xr3:uid="{00000000-0010-0000-0200-000023000000}" name="列35" headerRowCellStyle="好" dataCellStyle="好"/>
    <tableColumn id="36" xr3:uid="{00000000-0010-0000-0200-000024000000}" name="列36" headerRowCellStyle="好" dataCellStyle="好"/>
    <tableColumn id="37" xr3:uid="{00000000-0010-0000-0200-000025000000}" name="列37" headerRowCellStyle="好" dataCellStyle="好"/>
    <tableColumn id="38" xr3:uid="{00000000-0010-0000-0200-000026000000}" name="列38" headerRowCellStyle="好" dataCellStyle="好"/>
    <tableColumn id="39" xr3:uid="{00000000-0010-0000-0200-000027000000}" name="列39" headerRowCellStyle="好" dataCellStyle="好"/>
    <tableColumn id="40" xr3:uid="{00000000-0010-0000-0200-000028000000}" name="列40" headerRowCellStyle="好" dataCellStyle="好"/>
    <tableColumn id="41" xr3:uid="{00000000-0010-0000-0200-000029000000}" name="列41" headerRowCellStyle="好" dataCellStyle="好"/>
    <tableColumn id="42" xr3:uid="{00000000-0010-0000-0200-00002A000000}" name="列42" headerRowCellStyle="好" dataCellStyle="好"/>
    <tableColumn id="43" xr3:uid="{00000000-0010-0000-0200-00002B000000}" name="列43" headerRowCellStyle="好" dataCellStyle="好"/>
    <tableColumn id="44" xr3:uid="{00000000-0010-0000-0200-00002C000000}" name="列44" headerRowCellStyle="好" dataCellStyle="好"/>
    <tableColumn id="45" xr3:uid="{00000000-0010-0000-0200-00002D000000}" name="列45" headerRowCellStyle="好" dataCellStyle="好"/>
    <tableColumn id="46" xr3:uid="{00000000-0010-0000-0200-00002E000000}" name="列46" headerRowCellStyle="好" dataCellStyle="好"/>
    <tableColumn id="47" xr3:uid="{00000000-0010-0000-0200-00002F000000}" name="列47" headerRowCellStyle="好" dataCellStyle="好"/>
    <tableColumn id="48" xr3:uid="{00000000-0010-0000-0200-000030000000}" name="列48" headerRowCellStyle="好" dataCellStyle="好"/>
    <tableColumn id="49" xr3:uid="{00000000-0010-0000-0200-000031000000}" name="列49" headerRowCellStyle="好" dataCellStyle="好"/>
    <tableColumn id="50" xr3:uid="{00000000-0010-0000-0200-000032000000}" name="列50" headerRowCellStyle="好" dataCellStyle="好"/>
    <tableColumn id="51" xr3:uid="{00000000-0010-0000-0200-000033000000}" name="列51" headerRowCellStyle="好" dataCellStyle="好"/>
    <tableColumn id="52" xr3:uid="{00000000-0010-0000-0200-000034000000}" name="列52" headerRowCellStyle="好" dataCellStyle="好"/>
    <tableColumn id="53" xr3:uid="{00000000-0010-0000-0200-000035000000}" name="列53" headerRowCellStyle="好" dataCellStyle="好"/>
    <tableColumn id="54" xr3:uid="{00000000-0010-0000-0200-000036000000}" name="列54" headerRowCellStyle="好" dataCellStyle="好"/>
    <tableColumn id="55" xr3:uid="{00000000-0010-0000-0200-000037000000}" name="列55" headerRowCellStyle="好" dataCellStyle="好"/>
    <tableColumn id="56" xr3:uid="{00000000-0010-0000-0200-000038000000}" name="列56" headerRowCellStyle="好" dataCellStyle="好"/>
    <tableColumn id="57" xr3:uid="{00000000-0010-0000-0200-000039000000}" name="列57" headerRowCellStyle="好" dataCellStyle="好"/>
    <tableColumn id="58" xr3:uid="{00000000-0010-0000-0200-00003A000000}" name="列58" headerRowCellStyle="好" dataCellStyle="好"/>
    <tableColumn id="59" xr3:uid="{00000000-0010-0000-0200-00003B000000}" name="列59" headerRowCellStyle="好" dataCellStyle="好"/>
    <tableColumn id="60" xr3:uid="{00000000-0010-0000-0200-00003C000000}" name="列60" headerRowCellStyle="好" dataCellStyle="好"/>
    <tableColumn id="61" xr3:uid="{00000000-0010-0000-0200-00003D000000}" name="列61" headerRowCellStyle="好" dataCellStyle="好"/>
    <tableColumn id="62" xr3:uid="{00000000-0010-0000-0200-00003E000000}" name="列62" headerRowCellStyle="好" dataCellStyle="好"/>
    <tableColumn id="63" xr3:uid="{00000000-0010-0000-0200-00003F000000}" name="列63" headerRowCellStyle="好" dataCellStyle="好"/>
    <tableColumn id="64" xr3:uid="{00000000-0010-0000-0200-000040000000}" name="列64" headerRowCellStyle="好" dataCellStyle="好"/>
    <tableColumn id="65" xr3:uid="{00000000-0010-0000-0200-000041000000}" name="列65" headerRowCellStyle="好" dataCellStyle="好"/>
    <tableColumn id="66" xr3:uid="{00000000-0010-0000-0200-000042000000}" name="列66" headerRowCellStyle="好" dataCellStyle="好"/>
    <tableColumn id="67" xr3:uid="{00000000-0010-0000-0200-000043000000}" name="列67" headerRowCellStyle="好" dataCellStyle="好"/>
    <tableColumn id="68" xr3:uid="{00000000-0010-0000-0200-000044000000}" name="列68" headerRowCellStyle="好" dataCellStyle="好"/>
    <tableColumn id="69" xr3:uid="{00000000-0010-0000-0200-000045000000}" name="列69" headerRowCellStyle="好" dataCellStyle="好"/>
    <tableColumn id="70" xr3:uid="{00000000-0010-0000-0200-000046000000}" name="列70" headerRowCellStyle="好" dataCellStyle="好"/>
    <tableColumn id="71" xr3:uid="{00000000-0010-0000-0200-000047000000}" name="列71" headerRowCellStyle="好" dataCellStyle="好"/>
    <tableColumn id="72" xr3:uid="{00000000-0010-0000-0200-000048000000}" name="列72" headerRowCellStyle="好" dataCellStyle="好"/>
    <tableColumn id="73" xr3:uid="{00000000-0010-0000-0200-000049000000}" name="列73" headerRowCellStyle="好" dataCellStyle="好"/>
    <tableColumn id="74" xr3:uid="{00000000-0010-0000-0200-00004A000000}" name="列74" headerRowCellStyle="好" dataCellStyle="好"/>
    <tableColumn id="75" xr3:uid="{00000000-0010-0000-0200-00004B000000}" name="列75" headerRowCellStyle="好" dataCellStyle="好"/>
    <tableColumn id="76" xr3:uid="{00000000-0010-0000-0200-00004C000000}" name="列76" headerRowCellStyle="好" dataCellStyle="好"/>
    <tableColumn id="77" xr3:uid="{00000000-0010-0000-0200-00004D000000}" name="列77" headerRowCellStyle="好" dataCellStyle="好"/>
    <tableColumn id="78" xr3:uid="{00000000-0010-0000-0200-00004E000000}" name="列78" headerRowCellStyle="好" dataCellStyle="好"/>
    <tableColumn id="79" xr3:uid="{00000000-0010-0000-0200-00004F000000}" name="列79" headerRowCellStyle="好" dataCellStyle="好"/>
    <tableColumn id="80" xr3:uid="{00000000-0010-0000-0200-000050000000}" name="列80" headerRowCellStyle="好" dataCellStyle="好"/>
    <tableColumn id="81" xr3:uid="{00000000-0010-0000-0200-000051000000}" name="列81" headerRowCellStyle="好" dataCellStyle="好"/>
    <tableColumn id="82" xr3:uid="{00000000-0010-0000-0200-000052000000}" name="列82" headerRowCellStyle="好" dataCellStyle="好"/>
    <tableColumn id="83" xr3:uid="{00000000-0010-0000-0200-000053000000}" name="列83" headerRowCellStyle="好" dataCellStyle="好"/>
    <tableColumn id="84" xr3:uid="{00000000-0010-0000-0200-000054000000}" name="列84" headerRowCellStyle="好" dataCellStyle="好"/>
    <tableColumn id="85" xr3:uid="{00000000-0010-0000-0200-000055000000}" name="列85" headerRowCellStyle="好" dataCellStyle="好"/>
    <tableColumn id="86" xr3:uid="{00000000-0010-0000-0200-000056000000}" name="列86" headerRowCellStyle="好" dataCellStyle="好"/>
    <tableColumn id="87" xr3:uid="{00000000-0010-0000-0200-000057000000}" name="列87" headerRowCellStyle="好" dataCellStyle="好"/>
    <tableColumn id="88" xr3:uid="{00000000-0010-0000-0200-000058000000}" name="列88" headerRowCellStyle="好" dataCellStyle="好"/>
    <tableColumn id="89" xr3:uid="{00000000-0010-0000-0200-000059000000}" name="列89" headerRowCellStyle="好" dataCellStyle="好"/>
  </tableColumns>
  <tableStyleInfo name="TableStyleLight18"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table" Target="../tables/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资产负债表"/>
  <dimension ref="A1:Q85"/>
  <sheetViews>
    <sheetView workbookViewId="0">
      <selection activeCell="Y25" sqref="Y25"/>
    </sheetView>
  </sheetViews>
  <sheetFormatPr defaultRowHeight="14.4" x14ac:dyDescent="0.25"/>
  <cols>
    <col min="1" max="1" width="35.88671875" style="188" bestFit="1" customWidth="1"/>
    <col min="2" max="4" width="12.77734375" style="188" hidden="1" customWidth="1"/>
    <col min="5" max="5" width="12.77734375" style="188" bestFit="1" customWidth="1"/>
    <col min="6" max="8" width="12.77734375" style="188" hidden="1" customWidth="1"/>
    <col min="9" max="9" width="12.77734375" style="188" bestFit="1" customWidth="1"/>
    <col min="10" max="11" width="12.77734375" style="188" hidden="1" customWidth="1"/>
    <col min="12" max="16" width="12.77734375" style="188" bestFit="1" customWidth="1"/>
    <col min="17" max="17" width="9.5546875" style="188" hidden="1" customWidth="1"/>
    <col min="18" max="16384" width="8.88671875" style="188"/>
  </cols>
  <sheetData>
    <row r="1" spans="1:17" x14ac:dyDescent="0.25">
      <c r="A1" s="188">
        <v>603060</v>
      </c>
      <c r="B1" s="188">
        <v>20180930</v>
      </c>
      <c r="C1" s="188">
        <v>20180630</v>
      </c>
      <c r="D1" s="188">
        <v>20180331</v>
      </c>
      <c r="E1" s="188">
        <v>20171231</v>
      </c>
      <c r="F1" s="188">
        <v>20170930</v>
      </c>
      <c r="G1" s="188">
        <v>20170630</v>
      </c>
      <c r="H1" s="188">
        <v>20170331</v>
      </c>
      <c r="I1" s="188">
        <v>20161231</v>
      </c>
      <c r="J1" s="188">
        <v>20160930</v>
      </c>
      <c r="K1" s="188">
        <v>20160630</v>
      </c>
      <c r="L1" s="188">
        <v>20151231</v>
      </c>
      <c r="M1" s="188">
        <v>20141231</v>
      </c>
      <c r="N1" s="188">
        <v>20131231</v>
      </c>
      <c r="O1" s="188">
        <v>20121231</v>
      </c>
      <c r="P1" s="188">
        <v>20111231</v>
      </c>
      <c r="Q1" s="188">
        <v>19700101</v>
      </c>
    </row>
    <row r="2" spans="1:17" x14ac:dyDescent="0.25">
      <c r="A2" s="188" t="s">
        <v>105</v>
      </c>
      <c r="B2" s="188" t="s">
        <v>106</v>
      </c>
      <c r="C2" s="188" t="s">
        <v>106</v>
      </c>
      <c r="D2" s="188" t="s">
        <v>106</v>
      </c>
      <c r="E2" s="188" t="s">
        <v>106</v>
      </c>
      <c r="F2" s="188" t="s">
        <v>106</v>
      </c>
      <c r="G2" s="188" t="s">
        <v>106</v>
      </c>
      <c r="H2" s="188" t="s">
        <v>106</v>
      </c>
      <c r="I2" s="188" t="s">
        <v>106</v>
      </c>
      <c r="J2" s="188" t="s">
        <v>106</v>
      </c>
      <c r="K2" s="188" t="s">
        <v>106</v>
      </c>
      <c r="L2" s="188" t="s">
        <v>106</v>
      </c>
      <c r="M2" s="188" t="s">
        <v>106</v>
      </c>
      <c r="N2" s="188" t="s">
        <v>106</v>
      </c>
      <c r="O2" s="188" t="s">
        <v>106</v>
      </c>
      <c r="P2" s="188" t="s">
        <v>106</v>
      </c>
    </row>
    <row r="3" spans="1:17" x14ac:dyDescent="0.25">
      <c r="A3" s="188" t="s">
        <v>107</v>
      </c>
    </row>
    <row r="4" spans="1:17" x14ac:dyDescent="0.25">
      <c r="A4" s="188" t="s">
        <v>108</v>
      </c>
      <c r="B4" s="188">
        <v>187902000.50999999</v>
      </c>
      <c r="C4" s="188">
        <v>199548286.19999999</v>
      </c>
      <c r="D4" s="188">
        <v>168531632.84999999</v>
      </c>
      <c r="E4" s="188">
        <v>326019035.54000002</v>
      </c>
      <c r="F4" s="188">
        <v>239821834.81</v>
      </c>
      <c r="G4" s="188">
        <v>327855534.62</v>
      </c>
      <c r="H4" s="188">
        <v>509672126.22000003</v>
      </c>
      <c r="I4" s="188">
        <v>408833913.93000001</v>
      </c>
      <c r="J4" s="188">
        <v>139991968.87</v>
      </c>
      <c r="K4" s="188">
        <v>92104488.760000005</v>
      </c>
      <c r="L4" s="188">
        <v>169591310.78</v>
      </c>
      <c r="M4" s="188">
        <v>86443435.120000005</v>
      </c>
      <c r="N4" s="188">
        <v>85292847.939999998</v>
      </c>
      <c r="O4" s="188">
        <v>131378573.28</v>
      </c>
      <c r="P4" s="188">
        <v>106634430.42</v>
      </c>
      <c r="Q4" s="188">
        <v>0</v>
      </c>
    </row>
    <row r="5" spans="1:17" x14ac:dyDescent="0.25">
      <c r="A5" s="188" t="s">
        <v>109</v>
      </c>
      <c r="B5" s="188">
        <v>0</v>
      </c>
      <c r="C5" s="188">
        <v>0</v>
      </c>
      <c r="D5" s="188">
        <v>0</v>
      </c>
      <c r="E5" s="188">
        <v>0</v>
      </c>
      <c r="F5" s="188">
        <v>0</v>
      </c>
      <c r="G5" s="188">
        <v>0</v>
      </c>
      <c r="H5" s="188">
        <v>0</v>
      </c>
      <c r="I5" s="188">
        <v>0</v>
      </c>
      <c r="J5" s="188">
        <v>0</v>
      </c>
      <c r="K5" s="188">
        <v>0</v>
      </c>
      <c r="L5" s="188">
        <v>0</v>
      </c>
      <c r="M5" s="188">
        <v>0</v>
      </c>
      <c r="N5" s="188">
        <v>0</v>
      </c>
      <c r="O5" s="188">
        <v>0</v>
      </c>
      <c r="P5" s="188">
        <v>0</v>
      </c>
      <c r="Q5" s="188">
        <v>0</v>
      </c>
    </row>
    <row r="6" spans="1:17" x14ac:dyDescent="0.25">
      <c r="A6" s="188" t="s">
        <v>110</v>
      </c>
      <c r="B6" s="188">
        <v>0</v>
      </c>
      <c r="C6" s="188">
        <v>0</v>
      </c>
      <c r="D6" s="188">
        <v>0</v>
      </c>
      <c r="E6" s="188">
        <v>0</v>
      </c>
      <c r="F6" s="188">
        <v>0</v>
      </c>
      <c r="G6" s="188">
        <v>0</v>
      </c>
      <c r="H6" s="188">
        <v>0</v>
      </c>
      <c r="I6" s="188">
        <v>0</v>
      </c>
      <c r="J6" s="188">
        <v>0</v>
      </c>
      <c r="K6" s="188">
        <v>0</v>
      </c>
      <c r="L6" s="188">
        <v>0</v>
      </c>
      <c r="M6" s="188">
        <v>0</v>
      </c>
      <c r="N6" s="188">
        <v>0</v>
      </c>
      <c r="O6" s="188">
        <v>0</v>
      </c>
      <c r="P6" s="188">
        <v>0</v>
      </c>
      <c r="Q6" s="188">
        <v>0</v>
      </c>
    </row>
    <row r="7" spans="1:17" x14ac:dyDescent="0.25">
      <c r="A7" s="188" t="s">
        <v>111</v>
      </c>
      <c r="B7" s="188">
        <v>5199053.92</v>
      </c>
      <c r="C7" s="188">
        <v>3648514.72</v>
      </c>
      <c r="D7" s="188">
        <v>1245108</v>
      </c>
      <c r="E7" s="188">
        <v>720088</v>
      </c>
      <c r="F7" s="188">
        <v>2115758</v>
      </c>
      <c r="G7" s="188">
        <v>829112</v>
      </c>
      <c r="H7" s="188">
        <v>1282961.99</v>
      </c>
      <c r="I7" s="188">
        <v>1825000</v>
      </c>
      <c r="J7" s="188">
        <v>1500000</v>
      </c>
      <c r="K7" s="188">
        <v>394719.46</v>
      </c>
      <c r="L7" s="188">
        <v>1252000</v>
      </c>
      <c r="M7" s="188">
        <v>702499.52</v>
      </c>
      <c r="N7" s="188">
        <v>480000</v>
      </c>
      <c r="O7" s="188">
        <v>836000</v>
      </c>
      <c r="P7" s="188">
        <v>550000</v>
      </c>
      <c r="Q7" s="188">
        <v>0</v>
      </c>
    </row>
    <row r="8" spans="1:17" x14ac:dyDescent="0.25">
      <c r="A8" s="188" t="s">
        <v>112</v>
      </c>
      <c r="B8" s="188">
        <v>125212660.15000001</v>
      </c>
      <c r="C8" s="188">
        <v>123548286.2</v>
      </c>
      <c r="D8" s="188">
        <v>88230106.799999997</v>
      </c>
      <c r="E8" s="188">
        <v>89932350.730000004</v>
      </c>
      <c r="F8" s="188">
        <v>93801644.189999998</v>
      </c>
      <c r="G8" s="188">
        <v>90911558.549999997</v>
      </c>
      <c r="H8" s="188">
        <v>67513681.430000007</v>
      </c>
      <c r="I8" s="188">
        <v>67335435.269999996</v>
      </c>
      <c r="J8" s="188">
        <v>68859063.090000004</v>
      </c>
      <c r="K8" s="188">
        <v>75380548.560000002</v>
      </c>
      <c r="L8" s="188">
        <v>58118663.490000002</v>
      </c>
      <c r="M8" s="188">
        <v>45098704.270000003</v>
      </c>
      <c r="N8" s="188">
        <v>38201523.140000001</v>
      </c>
      <c r="O8" s="188">
        <v>27982712.039999999</v>
      </c>
      <c r="P8" s="188">
        <v>22282694.469999999</v>
      </c>
      <c r="Q8" s="188">
        <v>0</v>
      </c>
    </row>
    <row r="9" spans="1:17" x14ac:dyDescent="0.25">
      <c r="A9" s="188" t="s">
        <v>113</v>
      </c>
      <c r="B9" s="188">
        <v>98753885.299999997</v>
      </c>
      <c r="C9" s="188">
        <v>79718888.640000001</v>
      </c>
      <c r="D9" s="188">
        <v>111174068.3</v>
      </c>
      <c r="E9" s="188">
        <v>47474507.119999997</v>
      </c>
      <c r="F9" s="188">
        <v>67078797.5</v>
      </c>
      <c r="G9" s="188">
        <v>41636974.009999998</v>
      </c>
      <c r="H9" s="188">
        <v>39832117.380000003</v>
      </c>
      <c r="I9" s="188">
        <v>31210016.84</v>
      </c>
      <c r="J9" s="188">
        <v>57241531.32</v>
      </c>
      <c r="K9" s="188">
        <v>38196818.43</v>
      </c>
      <c r="L9" s="188">
        <v>20179670.890000001</v>
      </c>
      <c r="M9" s="188">
        <v>14965128.539999999</v>
      </c>
      <c r="N9" s="188">
        <v>17834380.370000001</v>
      </c>
      <c r="O9" s="188">
        <v>82432352.989999995</v>
      </c>
      <c r="P9" s="188">
        <v>17928567.52</v>
      </c>
      <c r="Q9" s="188">
        <v>0</v>
      </c>
    </row>
    <row r="10" spans="1:17" x14ac:dyDescent="0.25">
      <c r="A10" s="188" t="s">
        <v>114</v>
      </c>
      <c r="B10" s="188">
        <v>0</v>
      </c>
      <c r="C10" s="188">
        <v>0</v>
      </c>
      <c r="D10" s="188">
        <v>0</v>
      </c>
      <c r="E10" s="188">
        <v>0</v>
      </c>
      <c r="F10" s="188">
        <v>0</v>
      </c>
      <c r="G10" s="188">
        <v>0</v>
      </c>
      <c r="H10" s="188">
        <v>0</v>
      </c>
      <c r="I10" s="188">
        <v>0</v>
      </c>
      <c r="J10" s="188">
        <v>0</v>
      </c>
      <c r="K10" s="188">
        <v>0</v>
      </c>
      <c r="L10" s="188">
        <v>0</v>
      </c>
      <c r="M10" s="188">
        <v>0</v>
      </c>
      <c r="N10" s="188">
        <v>0</v>
      </c>
      <c r="O10" s="188">
        <v>0</v>
      </c>
      <c r="P10" s="188">
        <v>0</v>
      </c>
      <c r="Q10" s="188">
        <v>0</v>
      </c>
    </row>
    <row r="11" spans="1:17" x14ac:dyDescent="0.25">
      <c r="A11" s="188" t="s">
        <v>115</v>
      </c>
      <c r="B11" s="188">
        <v>0</v>
      </c>
      <c r="C11" s="188">
        <v>0</v>
      </c>
      <c r="D11" s="188">
        <v>0</v>
      </c>
      <c r="E11" s="188">
        <v>0</v>
      </c>
      <c r="F11" s="188">
        <v>0</v>
      </c>
      <c r="G11" s="188">
        <v>0</v>
      </c>
      <c r="H11" s="188">
        <v>0</v>
      </c>
      <c r="I11" s="188">
        <v>0</v>
      </c>
      <c r="J11" s="188">
        <v>0</v>
      </c>
      <c r="K11" s="188">
        <v>0</v>
      </c>
      <c r="L11" s="188">
        <v>0</v>
      </c>
      <c r="M11" s="188">
        <v>0</v>
      </c>
      <c r="N11" s="188">
        <v>0</v>
      </c>
      <c r="O11" s="188">
        <v>0</v>
      </c>
      <c r="P11" s="188">
        <v>0</v>
      </c>
      <c r="Q11" s="188">
        <v>0</v>
      </c>
    </row>
    <row r="12" spans="1:17" x14ac:dyDescent="0.25">
      <c r="A12" s="188" t="s">
        <v>116</v>
      </c>
      <c r="B12" s="188">
        <v>16139414.6</v>
      </c>
      <c r="C12" s="188">
        <v>17518667.739999998</v>
      </c>
      <c r="D12" s="188">
        <v>15609644.17</v>
      </c>
      <c r="E12" s="188">
        <v>12397053.27</v>
      </c>
      <c r="F12" s="188">
        <v>15420521.49</v>
      </c>
      <c r="G12" s="188">
        <v>9476003.0199999996</v>
      </c>
      <c r="H12" s="188">
        <v>9391762.6400000006</v>
      </c>
      <c r="I12" s="188">
        <v>7976791.7199999997</v>
      </c>
      <c r="J12" s="188">
        <v>10148269.23</v>
      </c>
      <c r="K12" s="188">
        <v>7729919.8099999996</v>
      </c>
      <c r="L12" s="188">
        <v>6237675.7400000002</v>
      </c>
      <c r="M12" s="188">
        <v>3840200</v>
      </c>
      <c r="N12" s="188">
        <v>2574462.85</v>
      </c>
      <c r="O12" s="188">
        <v>8740143.8900000006</v>
      </c>
      <c r="P12" s="188">
        <v>4771786.5599999996</v>
      </c>
      <c r="Q12" s="188">
        <v>0</v>
      </c>
    </row>
    <row r="13" spans="1:17" x14ac:dyDescent="0.25">
      <c r="A13" s="188" t="s">
        <v>117</v>
      </c>
      <c r="B13" s="188">
        <v>0</v>
      </c>
      <c r="C13" s="188">
        <v>0</v>
      </c>
      <c r="D13" s="188">
        <v>0</v>
      </c>
      <c r="E13" s="188">
        <v>0</v>
      </c>
      <c r="F13" s="188">
        <v>0</v>
      </c>
      <c r="G13" s="188">
        <v>0</v>
      </c>
      <c r="H13" s="188">
        <v>0</v>
      </c>
      <c r="I13" s="188">
        <v>0</v>
      </c>
      <c r="J13" s="188">
        <v>0</v>
      </c>
      <c r="K13" s="188">
        <v>0</v>
      </c>
      <c r="L13" s="188">
        <v>0</v>
      </c>
      <c r="M13" s="188">
        <v>0</v>
      </c>
      <c r="N13" s="188">
        <v>0</v>
      </c>
      <c r="O13" s="188">
        <v>0</v>
      </c>
      <c r="P13" s="188">
        <v>0</v>
      </c>
      <c r="Q13" s="188">
        <v>0</v>
      </c>
    </row>
    <row r="14" spans="1:17" x14ac:dyDescent="0.25">
      <c r="A14" s="188" t="s">
        <v>118</v>
      </c>
      <c r="B14" s="188">
        <v>15528183.74</v>
      </c>
      <c r="C14" s="188">
        <v>12483626.75</v>
      </c>
      <c r="D14" s="188">
        <v>13958775.08</v>
      </c>
      <c r="E14" s="188">
        <v>12117745.539999999</v>
      </c>
      <c r="F14" s="188">
        <v>12503960.84</v>
      </c>
      <c r="G14" s="188">
        <v>13673254.140000001</v>
      </c>
      <c r="H14" s="188">
        <v>12157989.869999999</v>
      </c>
      <c r="I14" s="188">
        <v>12589577.720000001</v>
      </c>
      <c r="J14" s="188">
        <v>10846087.970000001</v>
      </c>
      <c r="K14" s="188">
        <v>8984778.7699999996</v>
      </c>
      <c r="L14" s="188">
        <v>5961470.6200000001</v>
      </c>
      <c r="M14" s="188">
        <v>7215783.6699999999</v>
      </c>
      <c r="N14" s="188">
        <v>8664830.7799999993</v>
      </c>
      <c r="O14" s="188">
        <v>6187653.1900000004</v>
      </c>
      <c r="P14" s="188">
        <v>4502522.03</v>
      </c>
      <c r="Q14" s="188">
        <v>0</v>
      </c>
    </row>
    <row r="15" spans="1:17" x14ac:dyDescent="0.25">
      <c r="A15" s="188" t="s">
        <v>119</v>
      </c>
      <c r="B15" s="188">
        <v>0</v>
      </c>
      <c r="C15" s="188">
        <v>0</v>
      </c>
      <c r="D15" s="188">
        <v>0</v>
      </c>
      <c r="E15" s="188">
        <v>0</v>
      </c>
      <c r="F15" s="188">
        <v>0</v>
      </c>
      <c r="G15" s="188">
        <v>0</v>
      </c>
      <c r="H15" s="188">
        <v>0</v>
      </c>
      <c r="I15" s="188">
        <v>0</v>
      </c>
      <c r="J15" s="188">
        <v>0</v>
      </c>
      <c r="K15" s="188">
        <v>0</v>
      </c>
      <c r="L15" s="188">
        <v>0</v>
      </c>
      <c r="M15" s="188">
        <v>0</v>
      </c>
      <c r="N15" s="188">
        <v>0</v>
      </c>
      <c r="O15" s="188">
        <v>0</v>
      </c>
      <c r="P15" s="188">
        <v>0</v>
      </c>
      <c r="Q15" s="188">
        <v>0</v>
      </c>
    </row>
    <row r="16" spans="1:17" x14ac:dyDescent="0.25">
      <c r="A16" s="188" t="s">
        <v>120</v>
      </c>
      <c r="B16" s="188">
        <v>0</v>
      </c>
      <c r="C16" s="188">
        <v>0</v>
      </c>
      <c r="D16" s="188">
        <v>0</v>
      </c>
      <c r="E16" s="188">
        <v>0</v>
      </c>
      <c r="F16" s="188">
        <v>0</v>
      </c>
      <c r="G16" s="188">
        <v>0</v>
      </c>
      <c r="H16" s="188">
        <v>0</v>
      </c>
      <c r="I16" s="188">
        <v>0</v>
      </c>
      <c r="J16" s="188">
        <v>0</v>
      </c>
      <c r="K16" s="188">
        <v>0</v>
      </c>
      <c r="L16" s="188">
        <v>0</v>
      </c>
      <c r="M16" s="188">
        <v>0</v>
      </c>
      <c r="N16" s="188">
        <v>0</v>
      </c>
      <c r="O16" s="188">
        <v>0</v>
      </c>
      <c r="P16" s="188">
        <v>0</v>
      </c>
      <c r="Q16" s="188">
        <v>0</v>
      </c>
    </row>
    <row r="17" spans="1:17" x14ac:dyDescent="0.25">
      <c r="A17" s="188" t="s">
        <v>121</v>
      </c>
      <c r="B17" s="188">
        <v>0</v>
      </c>
      <c r="C17" s="188">
        <v>0</v>
      </c>
      <c r="D17" s="188">
        <v>0</v>
      </c>
      <c r="E17" s="188">
        <v>0</v>
      </c>
      <c r="F17" s="188">
        <v>0</v>
      </c>
      <c r="G17" s="188">
        <v>0</v>
      </c>
      <c r="H17" s="188">
        <v>0</v>
      </c>
      <c r="I17" s="188">
        <v>0</v>
      </c>
      <c r="J17" s="188">
        <v>0</v>
      </c>
      <c r="K17" s="188">
        <v>0</v>
      </c>
      <c r="L17" s="188">
        <v>0</v>
      </c>
      <c r="M17" s="188">
        <v>0</v>
      </c>
      <c r="N17" s="188">
        <v>0</v>
      </c>
      <c r="O17" s="188">
        <v>0</v>
      </c>
      <c r="P17" s="188">
        <v>0</v>
      </c>
      <c r="Q17" s="188">
        <v>0</v>
      </c>
    </row>
    <row r="18" spans="1:17" x14ac:dyDescent="0.25">
      <c r="A18" s="188" t="s">
        <v>122</v>
      </c>
      <c r="B18" s="188">
        <v>0</v>
      </c>
      <c r="C18" s="188">
        <v>0</v>
      </c>
      <c r="D18" s="188">
        <v>0</v>
      </c>
      <c r="E18" s="188">
        <v>0</v>
      </c>
      <c r="F18" s="188">
        <v>0</v>
      </c>
      <c r="G18" s="188">
        <v>0</v>
      </c>
      <c r="H18" s="188">
        <v>0</v>
      </c>
      <c r="I18" s="188">
        <v>0</v>
      </c>
      <c r="J18" s="188">
        <v>0</v>
      </c>
      <c r="K18" s="188">
        <v>0</v>
      </c>
      <c r="L18" s="188">
        <v>0</v>
      </c>
      <c r="M18" s="188">
        <v>0</v>
      </c>
      <c r="N18" s="188">
        <v>0</v>
      </c>
      <c r="O18" s="188">
        <v>0</v>
      </c>
      <c r="P18" s="188">
        <v>0</v>
      </c>
      <c r="Q18" s="188">
        <v>0</v>
      </c>
    </row>
    <row r="19" spans="1:17" x14ac:dyDescent="0.25">
      <c r="A19" s="188" t="s">
        <v>123</v>
      </c>
      <c r="B19" s="188">
        <v>391032485.85000002</v>
      </c>
      <c r="C19" s="188">
        <v>325665211.44</v>
      </c>
      <c r="D19" s="188">
        <v>360886555.61000001</v>
      </c>
      <c r="E19" s="188">
        <v>269799622.24000001</v>
      </c>
      <c r="F19" s="188">
        <v>370327329.44999999</v>
      </c>
      <c r="G19" s="188">
        <v>266904158.88999999</v>
      </c>
      <c r="H19" s="188">
        <v>137730505.25999999</v>
      </c>
      <c r="I19" s="188">
        <v>270774049.74000001</v>
      </c>
      <c r="J19" s="188">
        <v>0</v>
      </c>
      <c r="K19" s="188">
        <v>0</v>
      </c>
      <c r="L19" s="188">
        <v>0</v>
      </c>
      <c r="M19" s="188">
        <v>0</v>
      </c>
      <c r="N19" s="188">
        <v>0</v>
      </c>
      <c r="O19" s="188">
        <v>0</v>
      </c>
      <c r="P19" s="188">
        <v>0</v>
      </c>
      <c r="Q19" s="188">
        <v>0</v>
      </c>
    </row>
    <row r="20" spans="1:17" x14ac:dyDescent="0.25">
      <c r="A20" s="188" t="s">
        <v>124</v>
      </c>
      <c r="B20" s="188">
        <v>839767684.07000005</v>
      </c>
      <c r="C20" s="188">
        <v>762131481.69000006</v>
      </c>
      <c r="D20" s="188">
        <v>759635890.80999994</v>
      </c>
      <c r="E20" s="188">
        <v>758460402.44000006</v>
      </c>
      <c r="F20" s="188">
        <v>801069846.27999997</v>
      </c>
      <c r="G20" s="188">
        <v>751286595.23000002</v>
      </c>
      <c r="H20" s="188">
        <v>777581144.78999996</v>
      </c>
      <c r="I20" s="188">
        <v>800544785.22000003</v>
      </c>
      <c r="J20" s="188">
        <v>288586920.48000002</v>
      </c>
      <c r="K20" s="188">
        <v>222791273.78999999</v>
      </c>
      <c r="L20" s="188">
        <v>261340791.52000001</v>
      </c>
      <c r="M20" s="188">
        <v>158265751.12</v>
      </c>
      <c r="N20" s="188">
        <v>153048045.08000001</v>
      </c>
      <c r="O20" s="188">
        <v>257557435.38999999</v>
      </c>
      <c r="P20" s="188">
        <v>156670001</v>
      </c>
      <c r="Q20" s="188">
        <v>0</v>
      </c>
    </row>
    <row r="21" spans="1:17" x14ac:dyDescent="0.25">
      <c r="A21" s="188" t="s">
        <v>125</v>
      </c>
    </row>
    <row r="22" spans="1:17" x14ac:dyDescent="0.25">
      <c r="A22" s="188" t="s">
        <v>126</v>
      </c>
      <c r="B22" s="188">
        <v>0</v>
      </c>
      <c r="C22" s="188">
        <v>0</v>
      </c>
      <c r="D22" s="188">
        <v>0</v>
      </c>
      <c r="E22" s="188">
        <v>0</v>
      </c>
      <c r="F22" s="188">
        <v>0</v>
      </c>
      <c r="G22" s="188">
        <v>0</v>
      </c>
      <c r="H22" s="188">
        <v>0</v>
      </c>
      <c r="I22" s="188">
        <v>0</v>
      </c>
      <c r="J22" s="188">
        <v>0</v>
      </c>
      <c r="K22" s="188">
        <v>0</v>
      </c>
      <c r="L22" s="188">
        <v>0</v>
      </c>
      <c r="M22" s="188">
        <v>0</v>
      </c>
      <c r="N22" s="188">
        <v>0</v>
      </c>
      <c r="O22" s="188">
        <v>0</v>
      </c>
      <c r="P22" s="188">
        <v>0</v>
      </c>
      <c r="Q22" s="188">
        <v>0</v>
      </c>
    </row>
    <row r="23" spans="1:17" x14ac:dyDescent="0.25">
      <c r="A23" s="188" t="s">
        <v>127</v>
      </c>
      <c r="B23" s="188">
        <v>1000000</v>
      </c>
      <c r="C23" s="188">
        <v>1000000</v>
      </c>
      <c r="D23" s="188">
        <v>1000000</v>
      </c>
      <c r="E23" s="188">
        <v>1000000</v>
      </c>
      <c r="F23" s="188">
        <v>1000000</v>
      </c>
      <c r="G23" s="188">
        <v>1000000</v>
      </c>
      <c r="H23" s="188">
        <v>1000000</v>
      </c>
      <c r="I23" s="188">
        <v>1000000</v>
      </c>
      <c r="J23" s="188">
        <v>1000000</v>
      </c>
      <c r="K23" s="188">
        <v>1000000</v>
      </c>
      <c r="L23" s="188">
        <v>1000000</v>
      </c>
      <c r="M23" s="188">
        <v>1000000</v>
      </c>
      <c r="N23" s="188">
        <v>1000000</v>
      </c>
      <c r="O23" s="188">
        <v>0</v>
      </c>
      <c r="P23" s="188">
        <v>0</v>
      </c>
      <c r="Q23" s="188">
        <v>0</v>
      </c>
    </row>
    <row r="24" spans="1:17" x14ac:dyDescent="0.25">
      <c r="A24" s="188" t="s">
        <v>128</v>
      </c>
      <c r="B24" s="188">
        <v>0</v>
      </c>
      <c r="C24" s="188">
        <v>0</v>
      </c>
      <c r="D24" s="188">
        <v>0</v>
      </c>
      <c r="E24" s="188">
        <v>0</v>
      </c>
      <c r="F24" s="188">
        <v>0</v>
      </c>
      <c r="G24" s="188">
        <v>0</v>
      </c>
      <c r="H24" s="188">
        <v>0</v>
      </c>
      <c r="I24" s="188">
        <v>0</v>
      </c>
      <c r="J24" s="188">
        <v>0</v>
      </c>
      <c r="K24" s="188">
        <v>0</v>
      </c>
      <c r="L24" s="188">
        <v>0</v>
      </c>
      <c r="M24" s="188">
        <v>0</v>
      </c>
      <c r="N24" s="188">
        <v>0</v>
      </c>
      <c r="O24" s="188">
        <v>0</v>
      </c>
      <c r="P24" s="188">
        <v>0</v>
      </c>
      <c r="Q24" s="188">
        <v>0</v>
      </c>
    </row>
    <row r="25" spans="1:17" x14ac:dyDescent="0.25">
      <c r="A25" s="188" t="s">
        <v>129</v>
      </c>
      <c r="B25" s="188">
        <v>0</v>
      </c>
      <c r="C25" s="188">
        <v>0</v>
      </c>
      <c r="D25" s="188">
        <v>0</v>
      </c>
      <c r="E25" s="188">
        <v>0</v>
      </c>
      <c r="F25" s="188">
        <v>0</v>
      </c>
      <c r="G25" s="188">
        <v>0</v>
      </c>
      <c r="H25" s="188">
        <v>0</v>
      </c>
      <c r="I25" s="188">
        <v>0</v>
      </c>
      <c r="J25" s="188">
        <v>0</v>
      </c>
      <c r="K25" s="188">
        <v>0</v>
      </c>
      <c r="L25" s="188">
        <v>0</v>
      </c>
      <c r="M25" s="188">
        <v>0</v>
      </c>
      <c r="N25" s="188">
        <v>0</v>
      </c>
      <c r="O25" s="188">
        <v>0</v>
      </c>
      <c r="P25" s="188">
        <v>0</v>
      </c>
      <c r="Q25" s="188">
        <v>0</v>
      </c>
    </row>
    <row r="26" spans="1:17" x14ac:dyDescent="0.25">
      <c r="A26" s="188" t="s">
        <v>130</v>
      </c>
      <c r="B26" s="188">
        <v>32819170.129999999</v>
      </c>
      <c r="C26" s="188">
        <v>32819170.129999999</v>
      </c>
      <c r="D26" s="188">
        <v>33000000</v>
      </c>
      <c r="E26" s="188">
        <v>33000000</v>
      </c>
      <c r="F26" s="188">
        <v>0</v>
      </c>
      <c r="G26" s="188">
        <v>0</v>
      </c>
      <c r="H26" s="188">
        <v>0</v>
      </c>
      <c r="I26" s="188">
        <v>0</v>
      </c>
      <c r="J26" s="188">
        <v>0</v>
      </c>
      <c r="K26" s="188">
        <v>0</v>
      </c>
      <c r="L26" s="188">
        <v>0</v>
      </c>
      <c r="M26" s="188">
        <v>0</v>
      </c>
      <c r="N26" s="188">
        <v>0</v>
      </c>
      <c r="O26" s="188">
        <v>1000000</v>
      </c>
      <c r="P26" s="188">
        <v>1000000</v>
      </c>
      <c r="Q26" s="188">
        <v>0</v>
      </c>
    </row>
    <row r="27" spans="1:17" x14ac:dyDescent="0.25">
      <c r="A27" s="188" t="s">
        <v>131</v>
      </c>
      <c r="B27" s="188">
        <v>22623344.309999999</v>
      </c>
      <c r="C27" s="188">
        <v>32269266.760000002</v>
      </c>
      <c r="D27" s="188">
        <v>32487226.780000001</v>
      </c>
      <c r="E27" s="188">
        <v>32705186.800000001</v>
      </c>
      <c r="F27" s="188">
        <v>31922835.780000001</v>
      </c>
      <c r="G27" s="188">
        <v>32134569.809999999</v>
      </c>
      <c r="H27" s="188">
        <v>32346303.84</v>
      </c>
      <c r="I27" s="188">
        <v>32239457.280000001</v>
      </c>
      <c r="J27" s="188">
        <v>32449119.48</v>
      </c>
      <c r="K27" s="188">
        <v>32658781.68</v>
      </c>
      <c r="L27" s="188">
        <v>33078106.079999998</v>
      </c>
      <c r="M27" s="188">
        <v>33916754.880000003</v>
      </c>
      <c r="N27" s="188">
        <v>34755403.68</v>
      </c>
      <c r="O27" s="188">
        <v>0</v>
      </c>
      <c r="P27" s="188">
        <v>0</v>
      </c>
      <c r="Q27" s="188">
        <v>0</v>
      </c>
    </row>
    <row r="28" spans="1:17" x14ac:dyDescent="0.25">
      <c r="A28" s="188" t="s">
        <v>132</v>
      </c>
      <c r="B28" s="188">
        <v>373810305.35000002</v>
      </c>
      <c r="C28" s="188">
        <v>359489220.79000002</v>
      </c>
      <c r="D28" s="188">
        <v>329044971.12</v>
      </c>
      <c r="E28" s="188">
        <v>319391107.06</v>
      </c>
      <c r="F28" s="188">
        <v>267304832.13</v>
      </c>
      <c r="G28" s="188">
        <v>263148285.97999999</v>
      </c>
      <c r="H28" s="188">
        <v>258002324.71000001</v>
      </c>
      <c r="I28" s="188">
        <v>260701094.24000001</v>
      </c>
      <c r="J28" s="188">
        <v>228037011.72</v>
      </c>
      <c r="K28" s="188">
        <v>228140943.62</v>
      </c>
      <c r="L28" s="188">
        <v>232212647.59999999</v>
      </c>
      <c r="M28" s="188">
        <v>219813120.94</v>
      </c>
      <c r="N28" s="188">
        <v>215450318.12</v>
      </c>
      <c r="O28" s="188">
        <v>100643033.04000001</v>
      </c>
      <c r="P28" s="188">
        <v>84088210.109999999</v>
      </c>
      <c r="Q28" s="188">
        <v>0</v>
      </c>
    </row>
    <row r="29" spans="1:17" x14ac:dyDescent="0.25">
      <c r="A29" s="188" t="s">
        <v>133</v>
      </c>
      <c r="B29" s="188">
        <v>59032185.189999998</v>
      </c>
      <c r="C29" s="188">
        <v>48498833.020000003</v>
      </c>
      <c r="D29" s="188">
        <v>50085419.869999997</v>
      </c>
      <c r="E29" s="188">
        <v>48289733.960000001</v>
      </c>
      <c r="F29" s="188">
        <v>70180899.620000005</v>
      </c>
      <c r="G29" s="188">
        <v>67669223.189999998</v>
      </c>
      <c r="H29" s="188">
        <v>67064214.490000002</v>
      </c>
      <c r="I29" s="188">
        <v>53359317.390000001</v>
      </c>
      <c r="J29" s="188">
        <v>69635501.519999996</v>
      </c>
      <c r="K29" s="188">
        <v>68701890.849999994</v>
      </c>
      <c r="L29" s="188">
        <v>56098042</v>
      </c>
      <c r="M29" s="188">
        <v>50408573.420000002</v>
      </c>
      <c r="N29" s="188">
        <v>57075147.840000004</v>
      </c>
      <c r="O29" s="188">
        <v>0</v>
      </c>
      <c r="P29" s="188">
        <v>0</v>
      </c>
      <c r="Q29" s="188">
        <v>0</v>
      </c>
    </row>
    <row r="30" spans="1:17" x14ac:dyDescent="0.25">
      <c r="A30" s="188" t="s">
        <v>134</v>
      </c>
      <c r="B30" s="188">
        <v>0</v>
      </c>
      <c r="C30" s="188">
        <v>0</v>
      </c>
      <c r="D30" s="188">
        <v>0</v>
      </c>
      <c r="E30" s="188">
        <v>0</v>
      </c>
      <c r="F30" s="188">
        <v>0</v>
      </c>
      <c r="G30" s="188">
        <v>0</v>
      </c>
      <c r="H30" s="188">
        <v>0</v>
      </c>
      <c r="I30" s="188">
        <v>0</v>
      </c>
      <c r="J30" s="188">
        <v>0</v>
      </c>
      <c r="K30" s="188">
        <v>0</v>
      </c>
      <c r="L30" s="188">
        <v>0</v>
      </c>
      <c r="M30" s="188">
        <v>0</v>
      </c>
      <c r="N30" s="188">
        <v>0</v>
      </c>
      <c r="O30" s="188">
        <v>0</v>
      </c>
      <c r="P30" s="188">
        <v>0</v>
      </c>
      <c r="Q30" s="188">
        <v>0</v>
      </c>
    </row>
    <row r="31" spans="1:17" x14ac:dyDescent="0.25">
      <c r="A31" s="188" t="s">
        <v>135</v>
      </c>
      <c r="B31" s="188">
        <v>0</v>
      </c>
      <c r="C31" s="188">
        <v>0</v>
      </c>
      <c r="D31" s="188">
        <v>0</v>
      </c>
      <c r="E31" s="188">
        <v>0</v>
      </c>
      <c r="F31" s="188">
        <v>0</v>
      </c>
      <c r="G31" s="188">
        <v>0</v>
      </c>
      <c r="H31" s="188">
        <v>0</v>
      </c>
      <c r="I31" s="188">
        <v>0</v>
      </c>
      <c r="J31" s="188">
        <v>0</v>
      </c>
      <c r="K31" s="188">
        <v>0</v>
      </c>
      <c r="L31" s="188">
        <v>0</v>
      </c>
      <c r="M31" s="188">
        <v>0</v>
      </c>
      <c r="N31" s="188">
        <v>0</v>
      </c>
      <c r="O31" s="188">
        <v>0</v>
      </c>
      <c r="P31" s="188">
        <v>0</v>
      </c>
      <c r="Q31" s="188">
        <v>0</v>
      </c>
    </row>
    <row r="32" spans="1:17" x14ac:dyDescent="0.25">
      <c r="A32" s="188" t="s">
        <v>136</v>
      </c>
      <c r="B32" s="188">
        <v>0</v>
      </c>
      <c r="C32" s="188">
        <v>0</v>
      </c>
      <c r="D32" s="188">
        <v>0</v>
      </c>
      <c r="E32" s="188">
        <v>0</v>
      </c>
      <c r="F32" s="188">
        <v>0</v>
      </c>
      <c r="G32" s="188">
        <v>0</v>
      </c>
      <c r="H32" s="188">
        <v>0</v>
      </c>
      <c r="I32" s="188">
        <v>0</v>
      </c>
      <c r="J32" s="188">
        <v>0</v>
      </c>
      <c r="K32" s="188">
        <v>0</v>
      </c>
      <c r="L32" s="188">
        <v>0</v>
      </c>
      <c r="M32" s="188">
        <v>0</v>
      </c>
      <c r="N32" s="188">
        <v>0</v>
      </c>
      <c r="O32" s="188">
        <v>0</v>
      </c>
      <c r="P32" s="188">
        <v>0</v>
      </c>
      <c r="Q32" s="188">
        <v>0</v>
      </c>
    </row>
    <row r="33" spans="1:17" x14ac:dyDescent="0.25">
      <c r="A33" s="188" t="s">
        <v>137</v>
      </c>
      <c r="B33" s="188">
        <v>0</v>
      </c>
      <c r="C33" s="188">
        <v>0</v>
      </c>
      <c r="D33" s="188">
        <v>0</v>
      </c>
      <c r="E33" s="188">
        <v>0</v>
      </c>
      <c r="F33" s="188">
        <v>0</v>
      </c>
      <c r="G33" s="188">
        <v>0</v>
      </c>
      <c r="H33" s="188">
        <v>0</v>
      </c>
      <c r="I33" s="188">
        <v>0</v>
      </c>
      <c r="J33" s="188">
        <v>0</v>
      </c>
      <c r="K33" s="188">
        <v>0</v>
      </c>
      <c r="L33" s="188">
        <v>0</v>
      </c>
      <c r="M33" s="188">
        <v>0</v>
      </c>
      <c r="N33" s="188">
        <v>0</v>
      </c>
      <c r="O33" s="188">
        <v>0</v>
      </c>
      <c r="P33" s="188">
        <v>0</v>
      </c>
      <c r="Q33" s="188">
        <v>0</v>
      </c>
    </row>
    <row r="34" spans="1:17" x14ac:dyDescent="0.25">
      <c r="A34" s="188" t="s">
        <v>138</v>
      </c>
      <c r="B34" s="188">
        <v>0</v>
      </c>
      <c r="C34" s="188">
        <v>0</v>
      </c>
      <c r="D34" s="188">
        <v>0</v>
      </c>
      <c r="E34" s="188">
        <v>0</v>
      </c>
      <c r="F34" s="188">
        <v>0</v>
      </c>
      <c r="G34" s="188">
        <v>0</v>
      </c>
      <c r="H34" s="188">
        <v>0</v>
      </c>
      <c r="I34" s="188">
        <v>0</v>
      </c>
      <c r="J34" s="188">
        <v>0</v>
      </c>
      <c r="K34" s="188">
        <v>0</v>
      </c>
      <c r="L34" s="188">
        <v>0</v>
      </c>
      <c r="M34" s="188">
        <v>0</v>
      </c>
      <c r="N34" s="188">
        <v>0</v>
      </c>
      <c r="O34" s="188">
        <v>0</v>
      </c>
      <c r="P34" s="188">
        <v>0</v>
      </c>
      <c r="Q34" s="188">
        <v>0</v>
      </c>
    </row>
    <row r="35" spans="1:17" x14ac:dyDescent="0.25">
      <c r="A35" s="188" t="s">
        <v>139</v>
      </c>
      <c r="B35" s="188">
        <v>55534924.060000002</v>
      </c>
      <c r="C35" s="188">
        <v>55650916.25</v>
      </c>
      <c r="D35" s="188">
        <v>54909373.960000001</v>
      </c>
      <c r="E35" s="188">
        <v>55522117.740000002</v>
      </c>
      <c r="F35" s="188">
        <v>55376172.719999999</v>
      </c>
      <c r="G35" s="188">
        <v>55591959.420000002</v>
      </c>
      <c r="H35" s="188">
        <v>56545406.509999998</v>
      </c>
      <c r="I35" s="188">
        <v>56907484.909999996</v>
      </c>
      <c r="J35" s="188">
        <v>65440239.509999998</v>
      </c>
      <c r="K35" s="188">
        <v>66009379.030000001</v>
      </c>
      <c r="L35" s="188">
        <v>67270884.709999993</v>
      </c>
      <c r="M35" s="188">
        <v>66607493.780000001</v>
      </c>
      <c r="N35" s="188">
        <v>57043974.93</v>
      </c>
      <c r="O35" s="188">
        <v>11661119.57</v>
      </c>
      <c r="P35" s="188">
        <v>4352089.13</v>
      </c>
      <c r="Q35" s="188">
        <v>0</v>
      </c>
    </row>
    <row r="36" spans="1:17" x14ac:dyDescent="0.25">
      <c r="A36" s="188" t="s">
        <v>140</v>
      </c>
      <c r="B36" s="188">
        <v>0</v>
      </c>
      <c r="C36" s="188">
        <v>0</v>
      </c>
      <c r="D36" s="188">
        <v>0</v>
      </c>
      <c r="E36" s="188">
        <v>0</v>
      </c>
      <c r="F36" s="188">
        <v>0</v>
      </c>
      <c r="G36" s="188">
        <v>0</v>
      </c>
      <c r="H36" s="188">
        <v>0</v>
      </c>
      <c r="I36" s="188">
        <v>0</v>
      </c>
      <c r="J36" s="188">
        <v>0</v>
      </c>
      <c r="K36" s="188">
        <v>0</v>
      </c>
      <c r="L36" s="188">
        <v>0</v>
      </c>
      <c r="M36" s="188">
        <v>0</v>
      </c>
      <c r="N36" s="188">
        <v>0</v>
      </c>
      <c r="O36" s="188">
        <v>0</v>
      </c>
      <c r="P36" s="188">
        <v>0</v>
      </c>
      <c r="Q36" s="188">
        <v>0</v>
      </c>
    </row>
    <row r="37" spans="1:17" x14ac:dyDescent="0.25">
      <c r="A37" s="188" t="s">
        <v>141</v>
      </c>
      <c r="B37" s="188">
        <v>80234108.319999993</v>
      </c>
      <c r="C37" s="188">
        <v>80234108.319999993</v>
      </c>
      <c r="D37" s="188">
        <v>62947457.899999999</v>
      </c>
      <c r="E37" s="188">
        <v>62947457.899999999</v>
      </c>
      <c r="F37" s="188">
        <v>62947457.899999999</v>
      </c>
      <c r="G37" s="188">
        <v>62947457.899999999</v>
      </c>
      <c r="H37" s="188">
        <v>62947457.899999999</v>
      </c>
      <c r="I37" s="188">
        <v>62947457.899999999</v>
      </c>
      <c r="J37" s="188">
        <v>62947457.899999999</v>
      </c>
      <c r="K37" s="188">
        <v>62947457.899999999</v>
      </c>
      <c r="L37" s="188">
        <v>62947457.899999999</v>
      </c>
      <c r="M37" s="188">
        <v>62082734.619999997</v>
      </c>
      <c r="N37" s="188">
        <v>62082734.619999997</v>
      </c>
      <c r="O37" s="188">
        <v>62082734.619999997</v>
      </c>
      <c r="P37" s="188">
        <v>36083966.270000003</v>
      </c>
      <c r="Q37" s="188">
        <v>0</v>
      </c>
    </row>
    <row r="38" spans="1:17" x14ac:dyDescent="0.25">
      <c r="A38" s="188" t="s">
        <v>142</v>
      </c>
      <c r="B38" s="188">
        <v>13467738.970000001</v>
      </c>
      <c r="C38" s="188">
        <v>14511415.01</v>
      </c>
      <c r="D38" s="188">
        <v>10827544.130000001</v>
      </c>
      <c r="E38" s="188">
        <v>10456250.720000001</v>
      </c>
      <c r="F38" s="188">
        <v>9860098.1400000006</v>
      </c>
      <c r="G38" s="188">
        <v>10678917.27</v>
      </c>
      <c r="H38" s="188">
        <v>11193269.960000001</v>
      </c>
      <c r="I38" s="188">
        <v>11742230.220000001</v>
      </c>
      <c r="J38" s="188">
        <v>12237893.699999999</v>
      </c>
      <c r="K38" s="188">
        <v>12478785.4</v>
      </c>
      <c r="L38" s="188">
        <v>12476028.9</v>
      </c>
      <c r="M38" s="188">
        <v>11175137.050000001</v>
      </c>
      <c r="N38" s="188">
        <v>9058705.0399999991</v>
      </c>
      <c r="O38" s="188">
        <v>7781969.0499999998</v>
      </c>
      <c r="P38" s="188">
        <v>5988595.79</v>
      </c>
      <c r="Q38" s="188">
        <v>0</v>
      </c>
    </row>
    <row r="39" spans="1:17" x14ac:dyDescent="0.25">
      <c r="A39" s="188" t="s">
        <v>143</v>
      </c>
      <c r="B39" s="188">
        <v>2718847.41</v>
      </c>
      <c r="C39" s="188">
        <v>2565909.73</v>
      </c>
      <c r="D39" s="188">
        <v>2013329.79</v>
      </c>
      <c r="E39" s="188">
        <v>1877052.63</v>
      </c>
      <c r="F39" s="188">
        <v>2031495.54</v>
      </c>
      <c r="G39" s="188">
        <v>1778307.05</v>
      </c>
      <c r="H39" s="188">
        <v>1450899.23</v>
      </c>
      <c r="I39" s="188">
        <v>1408832.95</v>
      </c>
      <c r="J39" s="188">
        <v>1482090.76</v>
      </c>
      <c r="K39" s="188">
        <v>1450020.73</v>
      </c>
      <c r="L39" s="188">
        <v>1073849.6200000001</v>
      </c>
      <c r="M39" s="188">
        <v>791035.71</v>
      </c>
      <c r="N39" s="188">
        <v>1005507.12</v>
      </c>
      <c r="O39" s="188">
        <v>739346.13</v>
      </c>
      <c r="P39" s="188">
        <v>489181.34</v>
      </c>
      <c r="Q39" s="188">
        <v>0</v>
      </c>
    </row>
    <row r="40" spans="1:17" x14ac:dyDescent="0.25">
      <c r="A40" s="188" t="s">
        <v>144</v>
      </c>
      <c r="B40" s="188">
        <v>12730000</v>
      </c>
      <c r="C40" s="188">
        <v>12730000</v>
      </c>
      <c r="D40" s="188">
        <v>12730000</v>
      </c>
      <c r="E40" s="188">
        <v>12730000</v>
      </c>
      <c r="F40" s="188">
        <v>0</v>
      </c>
      <c r="G40" s="188">
        <v>0</v>
      </c>
      <c r="H40" s="188">
        <v>0</v>
      </c>
      <c r="I40" s="188">
        <v>0</v>
      </c>
      <c r="J40" s="188">
        <v>0</v>
      </c>
      <c r="K40" s="188">
        <v>0</v>
      </c>
      <c r="L40" s="188">
        <v>0</v>
      </c>
      <c r="M40" s="188">
        <v>0</v>
      </c>
      <c r="N40" s="188">
        <v>0</v>
      </c>
      <c r="O40" s="188">
        <v>0</v>
      </c>
      <c r="P40" s="188">
        <v>0</v>
      </c>
      <c r="Q40" s="188">
        <v>0</v>
      </c>
    </row>
    <row r="41" spans="1:17" x14ac:dyDescent="0.25">
      <c r="A41" s="188" t="s">
        <v>145</v>
      </c>
      <c r="B41" s="188">
        <v>653970623.74000001</v>
      </c>
      <c r="C41" s="188">
        <v>639768840.00999999</v>
      </c>
      <c r="D41" s="188">
        <v>589045323.54999995</v>
      </c>
      <c r="E41" s="188">
        <v>577918906.80999994</v>
      </c>
      <c r="F41" s="188">
        <v>500623791.82999998</v>
      </c>
      <c r="G41" s="188">
        <v>494948720.62</v>
      </c>
      <c r="H41" s="188">
        <v>490549876.63999999</v>
      </c>
      <c r="I41" s="188">
        <v>480305874.88999999</v>
      </c>
      <c r="J41" s="188">
        <v>473229314.58999997</v>
      </c>
      <c r="K41" s="188">
        <v>473387259.20999998</v>
      </c>
      <c r="L41" s="188">
        <v>466157016.81</v>
      </c>
      <c r="M41" s="188">
        <v>445794850.39999998</v>
      </c>
      <c r="N41" s="188">
        <v>437471791.35000002</v>
      </c>
      <c r="O41" s="188">
        <v>183908202.41</v>
      </c>
      <c r="P41" s="188">
        <v>132002042.64</v>
      </c>
      <c r="Q41" s="188">
        <v>0</v>
      </c>
    </row>
    <row r="42" spans="1:17" x14ac:dyDescent="0.25">
      <c r="A42" s="188" t="s">
        <v>146</v>
      </c>
      <c r="B42" s="188">
        <v>1493738307.8099999</v>
      </c>
      <c r="C42" s="188">
        <v>1401900321.7</v>
      </c>
      <c r="D42" s="188">
        <v>1348681214.3599999</v>
      </c>
      <c r="E42" s="188">
        <v>1336379309.25</v>
      </c>
      <c r="F42" s="188">
        <v>1301693638.1099999</v>
      </c>
      <c r="G42" s="188">
        <v>1246235315.8499999</v>
      </c>
      <c r="H42" s="188">
        <v>1268131021.4300001</v>
      </c>
      <c r="I42" s="188">
        <v>1280850660.1099999</v>
      </c>
      <c r="J42" s="188">
        <v>761816235.07000005</v>
      </c>
      <c r="K42" s="188">
        <v>696178533</v>
      </c>
      <c r="L42" s="188">
        <v>727497808.33000004</v>
      </c>
      <c r="M42" s="188">
        <v>604060601.51999998</v>
      </c>
      <c r="N42" s="188">
        <v>590519836.42999995</v>
      </c>
      <c r="O42" s="188">
        <v>441465637.80000001</v>
      </c>
      <c r="P42" s="188">
        <v>288672043.63999999</v>
      </c>
      <c r="Q42" s="188">
        <v>0</v>
      </c>
    </row>
    <row r="43" spans="1:17" x14ac:dyDescent="0.25">
      <c r="A43" s="188" t="s">
        <v>147</v>
      </c>
    </row>
    <row r="44" spans="1:17" x14ac:dyDescent="0.25">
      <c r="A44" s="188" t="s">
        <v>148</v>
      </c>
      <c r="B44" s="188">
        <v>0</v>
      </c>
      <c r="C44" s="188">
        <v>0</v>
      </c>
      <c r="D44" s="188">
        <v>0</v>
      </c>
      <c r="E44" s="188">
        <v>0</v>
      </c>
      <c r="F44" s="188">
        <v>0</v>
      </c>
      <c r="G44" s="188">
        <v>0</v>
      </c>
      <c r="H44" s="188">
        <v>11600000</v>
      </c>
      <c r="I44" s="188">
        <v>42916810</v>
      </c>
      <c r="J44" s="188">
        <v>72922535.329999998</v>
      </c>
      <c r="K44" s="188">
        <v>72922535.329999998</v>
      </c>
      <c r="L44" s="188">
        <v>43935725.329999998</v>
      </c>
      <c r="M44" s="188">
        <v>30000000</v>
      </c>
      <c r="N44" s="188">
        <v>85395714</v>
      </c>
      <c r="O44" s="188">
        <v>65837129</v>
      </c>
      <c r="P44" s="188">
        <v>19000000</v>
      </c>
      <c r="Q44" s="188">
        <v>0</v>
      </c>
    </row>
    <row r="45" spans="1:17" x14ac:dyDescent="0.25">
      <c r="A45" s="188" t="s">
        <v>149</v>
      </c>
      <c r="B45" s="188">
        <v>0</v>
      </c>
      <c r="C45" s="188">
        <v>0</v>
      </c>
      <c r="D45" s="188">
        <v>0</v>
      </c>
      <c r="E45" s="188">
        <v>0</v>
      </c>
      <c r="F45" s="188">
        <v>0</v>
      </c>
      <c r="G45" s="188">
        <v>0</v>
      </c>
      <c r="H45" s="188">
        <v>0</v>
      </c>
      <c r="I45" s="188">
        <v>0</v>
      </c>
      <c r="J45" s="188">
        <v>0</v>
      </c>
      <c r="K45" s="188">
        <v>0</v>
      </c>
      <c r="L45" s="188">
        <v>0</v>
      </c>
      <c r="M45" s="188">
        <v>0</v>
      </c>
      <c r="N45" s="188">
        <v>0</v>
      </c>
      <c r="O45" s="188">
        <v>0</v>
      </c>
      <c r="P45" s="188">
        <v>0</v>
      </c>
      <c r="Q45" s="188">
        <v>0</v>
      </c>
    </row>
    <row r="46" spans="1:17" x14ac:dyDescent="0.25">
      <c r="A46" s="188" t="s">
        <v>150</v>
      </c>
      <c r="B46" s="188">
        <v>0</v>
      </c>
      <c r="C46" s="188">
        <v>0</v>
      </c>
      <c r="D46" s="188">
        <v>0</v>
      </c>
      <c r="E46" s="188">
        <v>0</v>
      </c>
      <c r="F46" s="188">
        <v>0</v>
      </c>
      <c r="G46" s="188">
        <v>0</v>
      </c>
      <c r="H46" s="188">
        <v>0</v>
      </c>
      <c r="I46" s="188">
        <v>0</v>
      </c>
      <c r="J46" s="188">
        <v>0</v>
      </c>
      <c r="K46" s="188">
        <v>0</v>
      </c>
      <c r="L46" s="188">
        <v>0</v>
      </c>
      <c r="M46" s="188">
        <v>0</v>
      </c>
      <c r="N46" s="188">
        <v>0</v>
      </c>
      <c r="O46" s="188">
        <v>0</v>
      </c>
      <c r="P46" s="188">
        <v>0</v>
      </c>
      <c r="Q46" s="188">
        <v>0</v>
      </c>
    </row>
    <row r="47" spans="1:17" x14ac:dyDescent="0.25">
      <c r="A47" s="188" t="s">
        <v>151</v>
      </c>
      <c r="B47" s="188">
        <v>0</v>
      </c>
      <c r="C47" s="188">
        <v>21072775.23</v>
      </c>
      <c r="D47" s="188">
        <v>23805543.710000001</v>
      </c>
      <c r="E47" s="188">
        <v>26684896.559999999</v>
      </c>
      <c r="F47" s="188">
        <v>23489182.59</v>
      </c>
      <c r="G47" s="188">
        <v>27088420.690000001</v>
      </c>
      <c r="H47" s="188">
        <v>21954398.149999999</v>
      </c>
      <c r="I47" s="188">
        <v>24173548.850000001</v>
      </c>
      <c r="J47" s="188">
        <v>14368780.27</v>
      </c>
      <c r="K47" s="188">
        <v>13307494.48</v>
      </c>
      <c r="L47" s="188">
        <v>14975145</v>
      </c>
      <c r="M47" s="188">
        <v>13610642.210000001</v>
      </c>
      <c r="N47" s="188">
        <v>10539377.300000001</v>
      </c>
      <c r="O47" s="188">
        <v>11989258.949999999</v>
      </c>
      <c r="P47" s="188">
        <v>9250353.9199999999</v>
      </c>
      <c r="Q47" s="188">
        <v>0</v>
      </c>
    </row>
    <row r="48" spans="1:17" x14ac:dyDescent="0.25">
      <c r="A48" s="188" t="s">
        <v>152</v>
      </c>
      <c r="B48" s="188">
        <v>148385241.72</v>
      </c>
      <c r="C48" s="188">
        <v>128197164.84999999</v>
      </c>
      <c r="D48" s="188">
        <v>113261614.64</v>
      </c>
      <c r="E48" s="188">
        <v>120053117.72</v>
      </c>
      <c r="F48" s="188">
        <v>114627725.93000001</v>
      </c>
      <c r="G48" s="188">
        <v>113230300.17</v>
      </c>
      <c r="H48" s="188">
        <v>98184675.569999993</v>
      </c>
      <c r="I48" s="188">
        <v>91595701.829999998</v>
      </c>
      <c r="J48" s="188">
        <v>101211357.90000001</v>
      </c>
      <c r="K48" s="188">
        <v>94876287.590000004</v>
      </c>
      <c r="L48" s="188">
        <v>75303557.980000004</v>
      </c>
      <c r="M48" s="188">
        <v>60296060.520000003</v>
      </c>
      <c r="N48" s="188">
        <v>50030370.259999998</v>
      </c>
      <c r="O48" s="188">
        <v>42918736.100000001</v>
      </c>
      <c r="P48" s="188">
        <v>24418235.510000002</v>
      </c>
      <c r="Q48" s="188">
        <v>0</v>
      </c>
    </row>
    <row r="49" spans="1:17" x14ac:dyDescent="0.25">
      <c r="A49" s="188" t="s">
        <v>153</v>
      </c>
      <c r="B49" s="188">
        <v>0</v>
      </c>
      <c r="C49" s="188">
        <v>0</v>
      </c>
      <c r="D49" s="188">
        <v>0</v>
      </c>
      <c r="E49" s="188">
        <v>0</v>
      </c>
      <c r="F49" s="188">
        <v>0</v>
      </c>
      <c r="G49" s="188">
        <v>0</v>
      </c>
      <c r="H49" s="188">
        <v>0</v>
      </c>
      <c r="I49" s="188">
        <v>0</v>
      </c>
      <c r="J49" s="188">
        <v>0</v>
      </c>
      <c r="K49" s="188">
        <v>0</v>
      </c>
      <c r="L49" s="188">
        <v>0</v>
      </c>
      <c r="M49" s="188">
        <v>0</v>
      </c>
      <c r="N49" s="188">
        <v>0</v>
      </c>
      <c r="O49" s="188">
        <v>0</v>
      </c>
      <c r="P49" s="188">
        <v>0</v>
      </c>
      <c r="Q49" s="188">
        <v>0</v>
      </c>
    </row>
    <row r="50" spans="1:17" x14ac:dyDescent="0.25">
      <c r="A50" s="188" t="s">
        <v>154</v>
      </c>
      <c r="B50" s="188">
        <v>20467602.600000001</v>
      </c>
      <c r="C50" s="188">
        <v>14903356.49</v>
      </c>
      <c r="D50" s="188">
        <v>10680537.25</v>
      </c>
      <c r="E50" s="188">
        <v>8170558.8700000001</v>
      </c>
      <c r="F50" s="188">
        <v>15142921.58</v>
      </c>
      <c r="G50" s="188">
        <v>13533638.300000001</v>
      </c>
      <c r="H50" s="188">
        <v>10830993.4</v>
      </c>
      <c r="I50" s="188">
        <v>9489546.7300000004</v>
      </c>
      <c r="J50" s="188">
        <v>12521854.380000001</v>
      </c>
      <c r="K50" s="188">
        <v>11496488.359999999</v>
      </c>
      <c r="L50" s="188">
        <v>10129941.09</v>
      </c>
      <c r="M50" s="188">
        <v>9193258.1500000004</v>
      </c>
      <c r="N50" s="188">
        <v>8900574.2699999996</v>
      </c>
      <c r="O50" s="188">
        <v>8906854.6400000006</v>
      </c>
      <c r="P50" s="188">
        <v>4513601.68</v>
      </c>
      <c r="Q50" s="188">
        <v>0</v>
      </c>
    </row>
    <row r="51" spans="1:17" x14ac:dyDescent="0.25">
      <c r="A51" s="188" t="s">
        <v>155</v>
      </c>
      <c r="B51" s="188">
        <v>20443983.670000002</v>
      </c>
      <c r="C51" s="188">
        <v>13890846.109999999</v>
      </c>
      <c r="D51" s="188">
        <v>11907071.220000001</v>
      </c>
      <c r="E51" s="188">
        <v>14439712.59</v>
      </c>
      <c r="F51" s="188">
        <v>17247322.530000001</v>
      </c>
      <c r="G51" s="188">
        <v>13785653.859999999</v>
      </c>
      <c r="H51" s="188">
        <v>12391222.91</v>
      </c>
      <c r="I51" s="188">
        <v>16353223.52</v>
      </c>
      <c r="J51" s="188">
        <v>16085288.16</v>
      </c>
      <c r="K51" s="188">
        <v>12567886.960000001</v>
      </c>
      <c r="L51" s="188">
        <v>12949155.01</v>
      </c>
      <c r="M51" s="188">
        <v>11925485.59</v>
      </c>
      <c r="N51" s="188">
        <v>11869292.460000001</v>
      </c>
      <c r="O51" s="188">
        <v>18845016.690000001</v>
      </c>
      <c r="P51" s="188">
        <v>6730391.4800000004</v>
      </c>
      <c r="Q51" s="188">
        <v>0</v>
      </c>
    </row>
    <row r="52" spans="1:17" x14ac:dyDescent="0.25">
      <c r="A52" s="188" t="s">
        <v>156</v>
      </c>
      <c r="B52" s="188">
        <v>0</v>
      </c>
      <c r="C52" s="188">
        <v>0</v>
      </c>
      <c r="D52" s="188">
        <v>0</v>
      </c>
      <c r="E52" s="188">
        <v>0</v>
      </c>
      <c r="F52" s="188">
        <v>0</v>
      </c>
      <c r="G52" s="188">
        <v>0</v>
      </c>
      <c r="H52" s="188">
        <v>0</v>
      </c>
      <c r="I52" s="188">
        <v>0</v>
      </c>
      <c r="J52" s="188">
        <v>0</v>
      </c>
      <c r="K52" s="188">
        <v>0</v>
      </c>
      <c r="L52" s="188">
        <v>0</v>
      </c>
      <c r="M52" s="188">
        <v>0</v>
      </c>
      <c r="N52" s="188">
        <v>0</v>
      </c>
      <c r="O52" s="188">
        <v>0</v>
      </c>
      <c r="P52" s="188">
        <v>0</v>
      </c>
      <c r="Q52" s="188">
        <v>0</v>
      </c>
    </row>
    <row r="53" spans="1:17" x14ac:dyDescent="0.25">
      <c r="A53" s="188" t="s">
        <v>157</v>
      </c>
      <c r="B53" s="188">
        <v>960345.13</v>
      </c>
      <c r="C53" s="188">
        <v>960345.13</v>
      </c>
      <c r="D53" s="188">
        <v>8155220</v>
      </c>
      <c r="E53" s="188">
        <v>567103.72</v>
      </c>
      <c r="F53" s="188">
        <v>567103.72</v>
      </c>
      <c r="G53" s="188">
        <v>567103.72</v>
      </c>
      <c r="H53" s="188">
        <v>10550000</v>
      </c>
      <c r="I53" s="188">
        <v>0</v>
      </c>
      <c r="J53" s="188">
        <v>900000</v>
      </c>
      <c r="K53" s="188">
        <v>900000</v>
      </c>
      <c r="L53" s="188">
        <v>0</v>
      </c>
      <c r="M53" s="188">
        <v>0</v>
      </c>
      <c r="N53" s="188">
        <v>0</v>
      </c>
      <c r="O53" s="188">
        <v>4095699.69</v>
      </c>
      <c r="P53" s="188">
        <v>3871699.69</v>
      </c>
      <c r="Q53" s="188">
        <v>0</v>
      </c>
    </row>
    <row r="54" spans="1:17" x14ac:dyDescent="0.25">
      <c r="A54" s="188" t="s">
        <v>158</v>
      </c>
      <c r="B54" s="188">
        <v>25224491.100000001</v>
      </c>
      <c r="C54" s="188">
        <v>22077445.870000001</v>
      </c>
      <c r="D54" s="188">
        <v>19733787.27</v>
      </c>
      <c r="E54" s="188">
        <v>14439889.460000001</v>
      </c>
      <c r="F54" s="188">
        <v>24275596.039999999</v>
      </c>
      <c r="G54" s="188">
        <v>20897435.510000002</v>
      </c>
      <c r="H54" s="188">
        <v>21287300.050000001</v>
      </c>
      <c r="I54" s="188">
        <v>21021321.73</v>
      </c>
      <c r="J54" s="188">
        <v>11081311.4</v>
      </c>
      <c r="K54" s="188">
        <v>8152834.1900000004</v>
      </c>
      <c r="L54" s="188">
        <v>6104017.5599999996</v>
      </c>
      <c r="M54" s="188">
        <v>6160149.7300000004</v>
      </c>
      <c r="N54" s="188">
        <v>5606792.2400000002</v>
      </c>
      <c r="O54" s="188">
        <v>26232376.57</v>
      </c>
      <c r="P54" s="188">
        <v>5516544.9699999997</v>
      </c>
      <c r="Q54" s="188">
        <v>0</v>
      </c>
    </row>
    <row r="55" spans="1:17" x14ac:dyDescent="0.25">
      <c r="A55" s="188" t="s">
        <v>159</v>
      </c>
      <c r="B55" s="188">
        <v>0</v>
      </c>
      <c r="C55" s="188">
        <v>0</v>
      </c>
      <c r="D55" s="188">
        <v>0</v>
      </c>
      <c r="E55" s="188">
        <v>0</v>
      </c>
      <c r="F55" s="188">
        <v>0</v>
      </c>
      <c r="G55" s="188">
        <v>0</v>
      </c>
      <c r="H55" s="188">
        <v>0</v>
      </c>
      <c r="I55" s="188">
        <v>0</v>
      </c>
      <c r="J55" s="188">
        <v>0</v>
      </c>
      <c r="K55" s="188">
        <v>0</v>
      </c>
      <c r="L55" s="188">
        <v>0</v>
      </c>
      <c r="M55" s="188">
        <v>0</v>
      </c>
      <c r="N55" s="188">
        <v>0</v>
      </c>
      <c r="O55" s="188">
        <v>0</v>
      </c>
      <c r="P55" s="188">
        <v>0</v>
      </c>
      <c r="Q55" s="188">
        <v>0</v>
      </c>
    </row>
    <row r="56" spans="1:17" x14ac:dyDescent="0.25">
      <c r="A56" s="188" t="s">
        <v>160</v>
      </c>
      <c r="B56" s="188">
        <v>0</v>
      </c>
      <c r="C56" s="188">
        <v>0</v>
      </c>
      <c r="D56" s="188">
        <v>0</v>
      </c>
      <c r="E56" s="188">
        <v>0</v>
      </c>
      <c r="F56" s="188">
        <v>0</v>
      </c>
      <c r="G56" s="188">
        <v>0</v>
      </c>
      <c r="H56" s="188">
        <v>0</v>
      </c>
      <c r="I56" s="188">
        <v>0</v>
      </c>
      <c r="J56" s="188">
        <v>0</v>
      </c>
      <c r="K56" s="188">
        <v>0</v>
      </c>
      <c r="L56" s="188">
        <v>0</v>
      </c>
      <c r="M56" s="188">
        <v>0</v>
      </c>
      <c r="N56" s="188">
        <v>0</v>
      </c>
      <c r="O56" s="188">
        <v>0</v>
      </c>
      <c r="P56" s="188">
        <v>0</v>
      </c>
      <c r="Q56" s="188">
        <v>0</v>
      </c>
    </row>
    <row r="57" spans="1:17" x14ac:dyDescent="0.25">
      <c r="A57" s="188" t="s">
        <v>161</v>
      </c>
      <c r="B57" s="188">
        <v>0</v>
      </c>
      <c r="C57" s="188">
        <v>0</v>
      </c>
      <c r="D57" s="188">
        <v>0</v>
      </c>
      <c r="E57" s="188">
        <v>0</v>
      </c>
      <c r="F57" s="188">
        <v>0</v>
      </c>
      <c r="G57" s="188">
        <v>0</v>
      </c>
      <c r="H57" s="188">
        <v>0</v>
      </c>
      <c r="I57" s="188">
        <v>0</v>
      </c>
      <c r="J57" s="188">
        <v>0</v>
      </c>
      <c r="K57" s="188">
        <v>0</v>
      </c>
      <c r="L57" s="188">
        <v>0</v>
      </c>
      <c r="M57" s="188">
        <v>0</v>
      </c>
      <c r="N57" s="188">
        <v>0</v>
      </c>
      <c r="O57" s="188">
        <v>0</v>
      </c>
      <c r="P57" s="188">
        <v>0</v>
      </c>
      <c r="Q57" s="188">
        <v>0</v>
      </c>
    </row>
    <row r="58" spans="1:17" x14ac:dyDescent="0.25">
      <c r="A58" s="188" t="s">
        <v>162</v>
      </c>
      <c r="B58" s="188">
        <v>0</v>
      </c>
      <c r="C58" s="188">
        <v>0</v>
      </c>
      <c r="D58" s="188">
        <v>0</v>
      </c>
      <c r="E58" s="188">
        <v>0</v>
      </c>
      <c r="F58" s="188">
        <v>0</v>
      </c>
      <c r="G58" s="188">
        <v>0</v>
      </c>
      <c r="H58" s="188">
        <v>22160703.5</v>
      </c>
      <c r="I58" s="188">
        <v>15330000</v>
      </c>
      <c r="J58" s="188">
        <v>11320000</v>
      </c>
      <c r="K58" s="188">
        <v>11320000</v>
      </c>
      <c r="L58" s="188">
        <v>7500000</v>
      </c>
      <c r="M58" s="188">
        <v>12500000</v>
      </c>
      <c r="N58" s="188">
        <v>7500000</v>
      </c>
      <c r="O58" s="188">
        <v>0</v>
      </c>
      <c r="P58" s="188">
        <v>0</v>
      </c>
      <c r="Q58" s="188">
        <v>0</v>
      </c>
    </row>
    <row r="59" spans="1:17" x14ac:dyDescent="0.25">
      <c r="A59" s="188" t="s">
        <v>163</v>
      </c>
      <c r="B59" s="188">
        <v>0</v>
      </c>
      <c r="C59" s="188">
        <v>0</v>
      </c>
      <c r="D59" s="188">
        <v>0</v>
      </c>
      <c r="E59" s="188">
        <v>0</v>
      </c>
      <c r="F59" s="188">
        <v>0</v>
      </c>
      <c r="G59" s="188">
        <v>0</v>
      </c>
      <c r="H59" s="188">
        <v>0</v>
      </c>
      <c r="I59" s="188">
        <v>0</v>
      </c>
      <c r="J59" s="188">
        <v>0</v>
      </c>
      <c r="K59" s="188">
        <v>0</v>
      </c>
      <c r="L59" s="188">
        <v>0</v>
      </c>
      <c r="M59" s="188">
        <v>0</v>
      </c>
      <c r="N59" s="188">
        <v>0</v>
      </c>
      <c r="O59" s="188">
        <v>0</v>
      </c>
      <c r="P59" s="188">
        <v>0</v>
      </c>
      <c r="Q59" s="188">
        <v>0</v>
      </c>
    </row>
    <row r="60" spans="1:17" x14ac:dyDescent="0.25">
      <c r="A60" s="188" t="s">
        <v>164</v>
      </c>
      <c r="B60" s="188">
        <v>232905736.87</v>
      </c>
      <c r="C60" s="188">
        <v>201101933.68000001</v>
      </c>
      <c r="D60" s="188">
        <v>187543774.09</v>
      </c>
      <c r="E60" s="188">
        <v>184355278.91999999</v>
      </c>
      <c r="F60" s="188">
        <v>195349852.38999999</v>
      </c>
      <c r="G60" s="188">
        <v>189102552.25</v>
      </c>
      <c r="H60" s="188">
        <v>208959293.58000001</v>
      </c>
      <c r="I60" s="188">
        <v>220880152.66</v>
      </c>
      <c r="J60" s="188">
        <v>240411127.44</v>
      </c>
      <c r="K60" s="188">
        <v>225543526.91</v>
      </c>
      <c r="L60" s="188">
        <v>170897541.97</v>
      </c>
      <c r="M60" s="188">
        <v>143685596.19999999</v>
      </c>
      <c r="N60" s="188">
        <v>179842120.53</v>
      </c>
      <c r="O60" s="188">
        <v>178825071.63999999</v>
      </c>
      <c r="P60" s="188">
        <v>73300827.25</v>
      </c>
      <c r="Q60" s="188">
        <v>0</v>
      </c>
    </row>
    <row r="61" spans="1:17" x14ac:dyDescent="0.25">
      <c r="A61" s="188" t="s">
        <v>165</v>
      </c>
    </row>
    <row r="62" spans="1:17" x14ac:dyDescent="0.25">
      <c r="A62" s="188" t="s">
        <v>166</v>
      </c>
      <c r="B62" s="188">
        <v>0</v>
      </c>
      <c r="C62" s="188">
        <v>0</v>
      </c>
      <c r="D62" s="188">
        <v>0</v>
      </c>
      <c r="E62" s="188">
        <v>0</v>
      </c>
      <c r="F62" s="188">
        <v>0</v>
      </c>
      <c r="G62" s="188">
        <v>0</v>
      </c>
      <c r="H62" s="188">
        <v>9890479.9199999999</v>
      </c>
      <c r="I62" s="188">
        <v>18408383.420000002</v>
      </c>
      <c r="J62" s="188">
        <v>28105583.420000002</v>
      </c>
      <c r="K62" s="188">
        <v>27650855.510000002</v>
      </c>
      <c r="L62" s="188">
        <v>38982000</v>
      </c>
      <c r="M62" s="188">
        <v>60540800</v>
      </c>
      <c r="N62" s="188">
        <v>85540000</v>
      </c>
      <c r="O62" s="188">
        <v>0</v>
      </c>
      <c r="P62" s="188">
        <v>0</v>
      </c>
      <c r="Q62" s="188">
        <v>0</v>
      </c>
    </row>
    <row r="63" spans="1:17" x14ac:dyDescent="0.25">
      <c r="A63" s="188" t="s">
        <v>167</v>
      </c>
      <c r="B63" s="188">
        <v>0</v>
      </c>
      <c r="C63" s="188">
        <v>0</v>
      </c>
      <c r="D63" s="188">
        <v>0</v>
      </c>
      <c r="E63" s="188">
        <v>0</v>
      </c>
      <c r="F63" s="188">
        <v>0</v>
      </c>
      <c r="G63" s="188">
        <v>0</v>
      </c>
      <c r="H63" s="188">
        <v>0</v>
      </c>
      <c r="I63" s="188">
        <v>0</v>
      </c>
      <c r="J63" s="188">
        <v>0</v>
      </c>
      <c r="K63" s="188">
        <v>0</v>
      </c>
      <c r="L63" s="188">
        <v>0</v>
      </c>
      <c r="M63" s="188">
        <v>0</v>
      </c>
      <c r="N63" s="188">
        <v>0</v>
      </c>
      <c r="O63" s="188">
        <v>0</v>
      </c>
      <c r="P63" s="188">
        <v>0</v>
      </c>
      <c r="Q63" s="188">
        <v>0</v>
      </c>
    </row>
    <row r="64" spans="1:17" x14ac:dyDescent="0.25">
      <c r="A64" s="188" t="s">
        <v>168</v>
      </c>
      <c r="B64" s="188">
        <v>0</v>
      </c>
      <c r="C64" s="188">
        <v>0</v>
      </c>
      <c r="D64" s="188">
        <v>0</v>
      </c>
      <c r="E64" s="188">
        <v>0</v>
      </c>
      <c r="F64" s="188">
        <v>0</v>
      </c>
      <c r="G64" s="188">
        <v>0</v>
      </c>
      <c r="H64" s="188">
        <v>0</v>
      </c>
      <c r="I64" s="188">
        <v>0</v>
      </c>
      <c r="J64" s="188">
        <v>0</v>
      </c>
      <c r="K64" s="188">
        <v>0</v>
      </c>
      <c r="L64" s="188">
        <v>0</v>
      </c>
      <c r="M64" s="188">
        <v>0</v>
      </c>
      <c r="N64" s="188">
        <v>0</v>
      </c>
      <c r="O64" s="188">
        <v>0</v>
      </c>
      <c r="P64" s="188">
        <v>0</v>
      </c>
      <c r="Q64" s="188">
        <v>0</v>
      </c>
    </row>
    <row r="65" spans="1:17" x14ac:dyDescent="0.25">
      <c r="A65" s="188" t="s">
        <v>169</v>
      </c>
      <c r="B65" s="188">
        <v>0</v>
      </c>
      <c r="C65" s="188">
        <v>0</v>
      </c>
      <c r="D65" s="188">
        <v>0</v>
      </c>
      <c r="E65" s="188">
        <v>0</v>
      </c>
      <c r="F65" s="188">
        <v>0</v>
      </c>
      <c r="G65" s="188">
        <v>0</v>
      </c>
      <c r="H65" s="188">
        <v>0</v>
      </c>
      <c r="I65" s="188">
        <v>0</v>
      </c>
      <c r="J65" s="188">
        <v>0</v>
      </c>
      <c r="K65" s="188">
        <v>0</v>
      </c>
      <c r="L65" s="188">
        <v>0</v>
      </c>
      <c r="M65" s="188">
        <v>0</v>
      </c>
      <c r="N65" s="188">
        <v>0</v>
      </c>
      <c r="O65" s="188">
        <v>0</v>
      </c>
      <c r="P65" s="188">
        <v>0</v>
      </c>
      <c r="Q65" s="188">
        <v>0</v>
      </c>
    </row>
    <row r="66" spans="1:17" x14ac:dyDescent="0.25">
      <c r="A66" s="188" t="s">
        <v>170</v>
      </c>
      <c r="B66" s="188">
        <v>0</v>
      </c>
      <c r="C66" s="188">
        <v>0</v>
      </c>
      <c r="D66" s="188">
        <v>0</v>
      </c>
      <c r="E66" s="188">
        <v>0</v>
      </c>
      <c r="F66" s="188">
        <v>0</v>
      </c>
      <c r="G66" s="188">
        <v>0</v>
      </c>
      <c r="H66" s="188">
        <v>0</v>
      </c>
      <c r="I66" s="188">
        <v>0</v>
      </c>
      <c r="J66" s="188">
        <v>0</v>
      </c>
      <c r="K66" s="188">
        <v>0</v>
      </c>
      <c r="L66" s="188">
        <v>0</v>
      </c>
      <c r="M66" s="188">
        <v>0</v>
      </c>
      <c r="N66" s="188">
        <v>0</v>
      </c>
      <c r="O66" s="188">
        <v>0</v>
      </c>
      <c r="P66" s="188">
        <v>0</v>
      </c>
      <c r="Q66" s="188">
        <v>0</v>
      </c>
    </row>
    <row r="67" spans="1:17" x14ac:dyDescent="0.25">
      <c r="A67" s="188" t="s">
        <v>171</v>
      </c>
      <c r="B67" s="188">
        <v>0</v>
      </c>
      <c r="C67" s="188">
        <v>0</v>
      </c>
      <c r="D67" s="188">
        <v>0</v>
      </c>
      <c r="E67" s="188">
        <v>0</v>
      </c>
      <c r="F67" s="188">
        <v>0</v>
      </c>
      <c r="G67" s="188">
        <v>0</v>
      </c>
      <c r="H67" s="188">
        <v>0</v>
      </c>
      <c r="I67" s="188">
        <v>0</v>
      </c>
      <c r="J67" s="188">
        <v>0</v>
      </c>
      <c r="K67" s="188">
        <v>0</v>
      </c>
      <c r="L67" s="188">
        <v>0</v>
      </c>
      <c r="M67" s="188">
        <v>0</v>
      </c>
      <c r="N67" s="188">
        <v>0</v>
      </c>
      <c r="O67" s="188">
        <v>0</v>
      </c>
      <c r="P67" s="188">
        <v>0</v>
      </c>
      <c r="Q67" s="188">
        <v>0</v>
      </c>
    </row>
    <row r="68" spans="1:17" x14ac:dyDescent="0.25">
      <c r="A68" s="188" t="s">
        <v>172</v>
      </c>
      <c r="B68" s="188">
        <v>872618.03</v>
      </c>
      <c r="C68" s="188">
        <v>928017.97</v>
      </c>
      <c r="D68" s="188">
        <v>856873.5</v>
      </c>
      <c r="E68" s="188">
        <v>1020981.59</v>
      </c>
      <c r="F68" s="188">
        <v>1072764.8600000001</v>
      </c>
      <c r="G68" s="188">
        <v>1124560.6299999999</v>
      </c>
      <c r="H68" s="188">
        <v>1176343.8799999999</v>
      </c>
      <c r="I68" s="188">
        <v>1230573.3600000001</v>
      </c>
      <c r="J68" s="188">
        <v>1285465.9099999999</v>
      </c>
      <c r="K68" s="188">
        <v>1340333.4099999999</v>
      </c>
      <c r="L68" s="188">
        <v>1368236.73</v>
      </c>
      <c r="M68" s="188">
        <v>1258206.33</v>
      </c>
      <c r="N68" s="188">
        <v>2480097.21</v>
      </c>
      <c r="O68" s="188">
        <v>2886258.44</v>
      </c>
      <c r="P68" s="188">
        <v>720272.11</v>
      </c>
      <c r="Q68" s="188">
        <v>0</v>
      </c>
    </row>
    <row r="69" spans="1:17" x14ac:dyDescent="0.25">
      <c r="A69" s="188" t="s">
        <v>173</v>
      </c>
      <c r="B69" s="188">
        <v>54595655.280000001</v>
      </c>
      <c r="C69" s="188">
        <v>56758360.18</v>
      </c>
      <c r="D69" s="188">
        <v>54523002.539999999</v>
      </c>
      <c r="E69" s="188">
        <v>56681694.68</v>
      </c>
      <c r="F69" s="188">
        <v>51506546.460000001</v>
      </c>
      <c r="G69" s="188">
        <v>54952976.710000001</v>
      </c>
      <c r="H69" s="188">
        <v>56306918.93</v>
      </c>
      <c r="I69" s="188">
        <v>54917308.939999998</v>
      </c>
      <c r="J69" s="188">
        <v>47569365.140000001</v>
      </c>
      <c r="K69" s="188">
        <v>42367421.420000002</v>
      </c>
      <c r="L69" s="188">
        <v>38231742.850000001</v>
      </c>
      <c r="M69" s="188">
        <v>11228129.970000001</v>
      </c>
      <c r="N69" s="188">
        <v>4914390.6900000004</v>
      </c>
      <c r="O69" s="188">
        <v>0</v>
      </c>
      <c r="P69" s="188">
        <v>0</v>
      </c>
      <c r="Q69" s="188">
        <v>0</v>
      </c>
    </row>
    <row r="70" spans="1:17" x14ac:dyDescent="0.25">
      <c r="A70" s="188" t="s">
        <v>174</v>
      </c>
      <c r="B70" s="188">
        <v>0</v>
      </c>
      <c r="C70" s="188">
        <v>0</v>
      </c>
      <c r="D70" s="188">
        <v>0</v>
      </c>
      <c r="E70" s="188">
        <v>0</v>
      </c>
      <c r="F70" s="188">
        <v>0</v>
      </c>
      <c r="G70" s="188">
        <v>0</v>
      </c>
      <c r="H70" s="188">
        <v>0</v>
      </c>
      <c r="I70" s="188">
        <v>0</v>
      </c>
      <c r="J70" s="188">
        <v>0</v>
      </c>
      <c r="K70" s="188">
        <v>0</v>
      </c>
      <c r="L70" s="188">
        <v>0</v>
      </c>
      <c r="M70" s="188">
        <v>0</v>
      </c>
      <c r="N70" s="188">
        <v>0</v>
      </c>
      <c r="O70" s="188">
        <v>5375879.2400000002</v>
      </c>
      <c r="P70" s="188">
        <v>4881671.9800000004</v>
      </c>
      <c r="Q70" s="188">
        <v>0</v>
      </c>
    </row>
    <row r="71" spans="1:17" x14ac:dyDescent="0.25">
      <c r="A71" s="188" t="s">
        <v>175</v>
      </c>
      <c r="B71" s="188">
        <v>55468273.310000002</v>
      </c>
      <c r="C71" s="188">
        <v>57686378.149999999</v>
      </c>
      <c r="D71" s="188">
        <v>55379876.039999999</v>
      </c>
      <c r="E71" s="188">
        <v>57702676.270000003</v>
      </c>
      <c r="F71" s="188">
        <v>52579311.32</v>
      </c>
      <c r="G71" s="188">
        <v>56077537.340000004</v>
      </c>
      <c r="H71" s="188">
        <v>67373742.730000004</v>
      </c>
      <c r="I71" s="188">
        <v>74556265.719999999</v>
      </c>
      <c r="J71" s="188">
        <v>76960414.469999999</v>
      </c>
      <c r="K71" s="188">
        <v>71358610.340000004</v>
      </c>
      <c r="L71" s="188">
        <v>78581979.579999998</v>
      </c>
      <c r="M71" s="188">
        <v>73027136.299999997</v>
      </c>
      <c r="N71" s="188">
        <v>92934487.900000006</v>
      </c>
      <c r="O71" s="188">
        <v>8262137.6799999997</v>
      </c>
      <c r="P71" s="188">
        <v>5601944.0899999999</v>
      </c>
      <c r="Q71" s="188">
        <v>0</v>
      </c>
    </row>
    <row r="72" spans="1:17" x14ac:dyDescent="0.25">
      <c r="A72" s="188" t="s">
        <v>176</v>
      </c>
      <c r="B72" s="188">
        <v>288374010.18000001</v>
      </c>
      <c r="C72" s="188">
        <v>258788311.83000001</v>
      </c>
      <c r="D72" s="188">
        <v>242923650.13</v>
      </c>
      <c r="E72" s="188">
        <v>242057955.19</v>
      </c>
      <c r="F72" s="188">
        <v>247929163.71000001</v>
      </c>
      <c r="G72" s="188">
        <v>245180089.59</v>
      </c>
      <c r="H72" s="188">
        <v>276333036.31</v>
      </c>
      <c r="I72" s="188">
        <v>295436418.38</v>
      </c>
      <c r="J72" s="188">
        <v>317371541.91000003</v>
      </c>
      <c r="K72" s="188">
        <v>296902137.25</v>
      </c>
      <c r="L72" s="188">
        <v>249479521.55000001</v>
      </c>
      <c r="M72" s="188">
        <v>216712732.5</v>
      </c>
      <c r="N72" s="188">
        <v>272776608.43000001</v>
      </c>
      <c r="O72" s="188">
        <v>187087209.31999999</v>
      </c>
      <c r="P72" s="188">
        <v>78902771.340000004</v>
      </c>
      <c r="Q72" s="188">
        <v>0</v>
      </c>
    </row>
    <row r="73" spans="1:17" x14ac:dyDescent="0.25">
      <c r="A73" s="188" t="s">
        <v>177</v>
      </c>
    </row>
    <row r="74" spans="1:17" x14ac:dyDescent="0.25">
      <c r="A74" s="188" t="s">
        <v>178</v>
      </c>
      <c r="B74" s="188">
        <v>220000000</v>
      </c>
      <c r="C74" s="188">
        <v>220000000</v>
      </c>
      <c r="D74" s="188">
        <v>220000000</v>
      </c>
      <c r="E74" s="188">
        <v>220000000</v>
      </c>
      <c r="F74" s="188">
        <v>220000000</v>
      </c>
      <c r="G74" s="188">
        <v>220000000</v>
      </c>
      <c r="H74" s="188">
        <v>220000000</v>
      </c>
      <c r="I74" s="188">
        <v>220000000</v>
      </c>
      <c r="J74" s="188">
        <v>165000000</v>
      </c>
      <c r="K74" s="188">
        <v>165000000</v>
      </c>
      <c r="L74" s="188">
        <v>165000000</v>
      </c>
      <c r="M74" s="188">
        <v>165000000</v>
      </c>
      <c r="N74" s="188">
        <v>165000000</v>
      </c>
      <c r="O74" s="188">
        <v>120000000</v>
      </c>
      <c r="P74" s="188">
        <v>120000000</v>
      </c>
      <c r="Q74" s="188">
        <v>0</v>
      </c>
    </row>
    <row r="75" spans="1:17" x14ac:dyDescent="0.25">
      <c r="A75" s="188" t="s">
        <v>179</v>
      </c>
      <c r="B75" s="188">
        <v>437605497.49000001</v>
      </c>
      <c r="C75" s="188">
        <v>437605497.49000001</v>
      </c>
      <c r="D75" s="188">
        <v>437868907.13</v>
      </c>
      <c r="E75" s="188">
        <v>444112288.20999998</v>
      </c>
      <c r="F75" s="188">
        <v>444127345.81</v>
      </c>
      <c r="G75" s="188">
        <v>447414712.44</v>
      </c>
      <c r="H75" s="188">
        <v>447414712.44</v>
      </c>
      <c r="I75" s="188">
        <v>452749000</v>
      </c>
      <c r="J75" s="188">
        <v>0</v>
      </c>
      <c r="K75" s="188">
        <v>0</v>
      </c>
      <c r="L75" s="188">
        <v>0</v>
      </c>
      <c r="M75" s="188">
        <v>0</v>
      </c>
      <c r="N75" s="188">
        <v>0</v>
      </c>
      <c r="O75" s="188">
        <v>8283573.2199999997</v>
      </c>
      <c r="P75" s="188">
        <v>32158303.510000002</v>
      </c>
      <c r="Q75" s="188">
        <v>0</v>
      </c>
    </row>
    <row r="76" spans="1:17" x14ac:dyDescent="0.25">
      <c r="A76" s="188" t="s">
        <v>180</v>
      </c>
      <c r="B76" s="188">
        <v>0</v>
      </c>
      <c r="C76" s="188">
        <v>0</v>
      </c>
      <c r="D76" s="188">
        <v>0</v>
      </c>
      <c r="E76" s="188">
        <v>0</v>
      </c>
      <c r="F76" s="188">
        <v>0</v>
      </c>
      <c r="G76" s="188">
        <v>0</v>
      </c>
      <c r="H76" s="188">
        <v>0</v>
      </c>
      <c r="I76" s="188">
        <v>0</v>
      </c>
      <c r="J76" s="188">
        <v>0</v>
      </c>
      <c r="K76" s="188">
        <v>0</v>
      </c>
      <c r="L76" s="188">
        <v>0</v>
      </c>
      <c r="M76" s="188">
        <v>0</v>
      </c>
      <c r="N76" s="188">
        <v>0</v>
      </c>
      <c r="O76" s="188">
        <v>0</v>
      </c>
      <c r="P76" s="188">
        <v>0</v>
      </c>
      <c r="Q76" s="188">
        <v>0</v>
      </c>
    </row>
    <row r="77" spans="1:17" x14ac:dyDescent="0.25">
      <c r="A77" s="188" t="s">
        <v>181</v>
      </c>
      <c r="B77" s="188">
        <v>0</v>
      </c>
      <c r="C77" s="188">
        <v>0</v>
      </c>
      <c r="D77" s="188">
        <v>0</v>
      </c>
      <c r="E77" s="188">
        <v>0</v>
      </c>
      <c r="F77" s="188">
        <v>0</v>
      </c>
      <c r="G77" s="188">
        <v>0</v>
      </c>
      <c r="H77" s="188">
        <v>0</v>
      </c>
      <c r="I77" s="188">
        <v>0</v>
      </c>
      <c r="J77" s="188">
        <v>0</v>
      </c>
      <c r="K77" s="188">
        <v>0</v>
      </c>
      <c r="L77" s="188">
        <v>0</v>
      </c>
      <c r="M77" s="188">
        <v>0</v>
      </c>
      <c r="N77" s="188">
        <v>0</v>
      </c>
      <c r="O77" s="188">
        <v>0</v>
      </c>
      <c r="P77" s="188">
        <v>0</v>
      </c>
      <c r="Q77" s="188">
        <v>0</v>
      </c>
    </row>
    <row r="78" spans="1:17" x14ac:dyDescent="0.25">
      <c r="A78" s="188" t="s">
        <v>182</v>
      </c>
      <c r="B78" s="188">
        <v>0</v>
      </c>
      <c r="C78" s="188">
        <v>0</v>
      </c>
      <c r="D78" s="188">
        <v>0</v>
      </c>
      <c r="E78" s="188">
        <v>0</v>
      </c>
      <c r="F78" s="188">
        <v>0</v>
      </c>
      <c r="G78" s="188">
        <v>0</v>
      </c>
      <c r="H78" s="188">
        <v>0</v>
      </c>
      <c r="I78" s="188">
        <v>0</v>
      </c>
      <c r="J78" s="188">
        <v>0</v>
      </c>
      <c r="K78" s="188">
        <v>0</v>
      </c>
      <c r="L78" s="188">
        <v>0</v>
      </c>
      <c r="M78" s="188">
        <v>0</v>
      </c>
      <c r="N78" s="188">
        <v>0</v>
      </c>
      <c r="O78" s="188">
        <v>0</v>
      </c>
      <c r="P78" s="188">
        <v>0</v>
      </c>
      <c r="Q78" s="188">
        <v>0</v>
      </c>
    </row>
    <row r="79" spans="1:17" x14ac:dyDescent="0.25">
      <c r="A79" s="188" t="s">
        <v>183</v>
      </c>
      <c r="B79" s="188">
        <v>54901547.390000001</v>
      </c>
      <c r="C79" s="188">
        <v>54901547.390000001</v>
      </c>
      <c r="D79" s="188">
        <v>54901547.390000001</v>
      </c>
      <c r="E79" s="188">
        <v>54901547.390000001</v>
      </c>
      <c r="F79" s="188">
        <v>41649772.039999999</v>
      </c>
      <c r="G79" s="188">
        <v>41649772.039999999</v>
      </c>
      <c r="H79" s="188">
        <v>41649772.039999999</v>
      </c>
      <c r="I79" s="188">
        <v>41649772.039999999</v>
      </c>
      <c r="J79" s="188">
        <v>32313868.780000001</v>
      </c>
      <c r="K79" s="188">
        <v>32313868.780000001</v>
      </c>
      <c r="L79" s="188">
        <v>32313868.780000001</v>
      </c>
      <c r="M79" s="188">
        <v>23879820.050000001</v>
      </c>
      <c r="N79" s="188">
        <v>17792276.98</v>
      </c>
      <c r="O79" s="188">
        <v>11499826.24</v>
      </c>
      <c r="P79" s="188">
        <v>5716209.9100000001</v>
      </c>
      <c r="Q79" s="188">
        <v>0</v>
      </c>
    </row>
    <row r="80" spans="1:17" x14ac:dyDescent="0.25">
      <c r="A80" s="188" t="s">
        <v>184</v>
      </c>
      <c r="B80" s="188">
        <v>0</v>
      </c>
      <c r="C80" s="188">
        <v>0</v>
      </c>
      <c r="D80" s="188">
        <v>0</v>
      </c>
      <c r="E80" s="188">
        <v>0</v>
      </c>
      <c r="F80" s="188">
        <v>0</v>
      </c>
      <c r="G80" s="188">
        <v>0</v>
      </c>
      <c r="H80" s="188">
        <v>0</v>
      </c>
      <c r="I80" s="188">
        <v>0</v>
      </c>
      <c r="J80" s="188">
        <v>0</v>
      </c>
      <c r="K80" s="188">
        <v>0</v>
      </c>
      <c r="L80" s="188">
        <v>0</v>
      </c>
      <c r="M80" s="188">
        <v>0</v>
      </c>
      <c r="N80" s="188">
        <v>0</v>
      </c>
      <c r="O80" s="188">
        <v>0</v>
      </c>
      <c r="P80" s="188">
        <v>0</v>
      </c>
      <c r="Q80" s="188">
        <v>0</v>
      </c>
    </row>
    <row r="81" spans="1:17" x14ac:dyDescent="0.25">
      <c r="A81" s="188" t="s">
        <v>185</v>
      </c>
      <c r="B81" s="188">
        <v>405130426.11000001</v>
      </c>
      <c r="C81" s="188">
        <v>344730687.36000001</v>
      </c>
      <c r="D81" s="188">
        <v>329161186.69</v>
      </c>
      <c r="E81" s="188">
        <v>309730685.50999999</v>
      </c>
      <c r="F81" s="188">
        <v>285431724.88999999</v>
      </c>
      <c r="G81" s="188">
        <v>235465084.58000001</v>
      </c>
      <c r="H81" s="188">
        <v>229618761.40000001</v>
      </c>
      <c r="I81" s="188">
        <v>213958299.72</v>
      </c>
      <c r="J81" s="188">
        <v>192528751.72</v>
      </c>
      <c r="K81" s="188">
        <v>150876634.36000001</v>
      </c>
      <c r="L81" s="188">
        <v>225650846.91999999</v>
      </c>
      <c r="M81" s="188">
        <v>152205707.21000001</v>
      </c>
      <c r="N81" s="188">
        <v>96151137.299999997</v>
      </c>
      <c r="O81" s="188">
        <v>81318205.790000007</v>
      </c>
      <c r="P81" s="188">
        <v>25548975.48</v>
      </c>
      <c r="Q81" s="188">
        <v>0</v>
      </c>
    </row>
    <row r="82" spans="1:17" x14ac:dyDescent="0.25">
      <c r="A82" s="188" t="s">
        <v>186</v>
      </c>
      <c r="B82" s="188">
        <v>1117637470.99</v>
      </c>
      <c r="C82" s="188">
        <v>1057237732.24</v>
      </c>
      <c r="D82" s="188">
        <v>1041931641.21</v>
      </c>
      <c r="E82" s="188">
        <v>1028744521.11</v>
      </c>
      <c r="F82" s="188">
        <v>991208842.74000001</v>
      </c>
      <c r="G82" s="188">
        <v>944529569.05999994</v>
      </c>
      <c r="H82" s="188">
        <v>938683245.88</v>
      </c>
      <c r="I82" s="188">
        <v>928357071.75999999</v>
      </c>
      <c r="J82" s="188">
        <v>389842620.5</v>
      </c>
      <c r="K82" s="188">
        <v>348190503.13999999</v>
      </c>
      <c r="L82" s="188">
        <v>422964715.69999999</v>
      </c>
      <c r="M82" s="188">
        <v>341085527.25999999</v>
      </c>
      <c r="N82" s="188">
        <v>278943414.27999997</v>
      </c>
      <c r="O82" s="188">
        <v>221101605.25</v>
      </c>
      <c r="P82" s="188">
        <v>183423488.90000001</v>
      </c>
      <c r="Q82" s="188">
        <v>0</v>
      </c>
    </row>
    <row r="83" spans="1:17" x14ac:dyDescent="0.25">
      <c r="A83" s="188" t="s">
        <v>187</v>
      </c>
      <c r="B83" s="188">
        <v>87726826.640000001</v>
      </c>
      <c r="C83" s="188">
        <v>85874277.629999995</v>
      </c>
      <c r="D83" s="188">
        <v>63825923.020000003</v>
      </c>
      <c r="E83" s="188">
        <v>65576832.950000003</v>
      </c>
      <c r="F83" s="188">
        <v>62555631.659999996</v>
      </c>
      <c r="G83" s="188">
        <v>56525657.200000003</v>
      </c>
      <c r="H83" s="188">
        <v>53114739.240000002</v>
      </c>
      <c r="I83" s="188">
        <v>57057169.969999999</v>
      </c>
      <c r="J83" s="188">
        <v>54602072.659999996</v>
      </c>
      <c r="K83" s="188">
        <v>51085892.609999999</v>
      </c>
      <c r="L83" s="188">
        <v>55053571.079999998</v>
      </c>
      <c r="M83" s="188">
        <v>46262341.759999998</v>
      </c>
      <c r="N83" s="188">
        <v>38799813.719999999</v>
      </c>
      <c r="O83" s="188">
        <v>33276823.23</v>
      </c>
      <c r="P83" s="188">
        <v>26345783.399999999</v>
      </c>
      <c r="Q83" s="188">
        <v>0</v>
      </c>
    </row>
    <row r="84" spans="1:17" x14ac:dyDescent="0.25">
      <c r="A84" s="188" t="s">
        <v>188</v>
      </c>
      <c r="B84" s="188">
        <v>1205364297.6300001</v>
      </c>
      <c r="C84" s="188">
        <v>1143112009.8699999</v>
      </c>
      <c r="D84" s="188">
        <v>1105757564.23</v>
      </c>
      <c r="E84" s="188">
        <v>1094321354.0599999</v>
      </c>
      <c r="F84" s="188">
        <v>1053764474.4</v>
      </c>
      <c r="G84" s="188">
        <v>1001055226.26</v>
      </c>
      <c r="H84" s="188">
        <v>991797985.12</v>
      </c>
      <c r="I84" s="188">
        <v>985414241.73000002</v>
      </c>
      <c r="J84" s="188">
        <v>444444693.16000003</v>
      </c>
      <c r="K84" s="188">
        <v>399276395.75</v>
      </c>
      <c r="L84" s="188">
        <v>478018286.77999997</v>
      </c>
      <c r="M84" s="188">
        <v>387347869.01999998</v>
      </c>
      <c r="N84" s="188">
        <v>317743228</v>
      </c>
      <c r="O84" s="188">
        <v>254378428.47999999</v>
      </c>
      <c r="P84" s="188">
        <v>209769272.30000001</v>
      </c>
      <c r="Q84" s="188">
        <v>0</v>
      </c>
    </row>
    <row r="85" spans="1:17" x14ac:dyDescent="0.25">
      <c r="A85" s="188" t="s">
        <v>189</v>
      </c>
      <c r="B85" s="188">
        <v>1493738307.8099999</v>
      </c>
      <c r="C85" s="188">
        <v>1401900321.7</v>
      </c>
      <c r="D85" s="188">
        <v>1348681214.3599999</v>
      </c>
      <c r="E85" s="188">
        <v>1336379309.25</v>
      </c>
      <c r="F85" s="188">
        <v>1301693638.1099999</v>
      </c>
      <c r="G85" s="188">
        <v>1246235315.8499999</v>
      </c>
      <c r="H85" s="188">
        <v>1268131021.4300001</v>
      </c>
      <c r="I85" s="188">
        <v>1280850660.1099999</v>
      </c>
      <c r="J85" s="188">
        <v>761816235.07000005</v>
      </c>
      <c r="K85" s="188">
        <v>696178533</v>
      </c>
      <c r="L85" s="188">
        <v>727497808.33000004</v>
      </c>
      <c r="M85" s="188">
        <v>604060601.51999998</v>
      </c>
      <c r="N85" s="188">
        <v>590519836.42999995</v>
      </c>
      <c r="O85" s="188">
        <v>441465637.80000001</v>
      </c>
      <c r="P85" s="188">
        <v>288672043.63999999</v>
      </c>
      <c r="Q85" s="188">
        <v>0</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利润表"/>
  <dimension ref="A1:S31"/>
  <sheetViews>
    <sheetView workbookViewId="0">
      <selection activeCell="A2" sqref="A2"/>
    </sheetView>
  </sheetViews>
  <sheetFormatPr defaultRowHeight="14.4" x14ac:dyDescent="0.25"/>
  <cols>
    <col min="1" max="1" width="39.109375" style="188" bestFit="1" customWidth="1"/>
    <col min="2" max="4" width="12.77734375" style="188" hidden="1" customWidth="1"/>
    <col min="5" max="5" width="12.77734375" style="188" bestFit="1" customWidth="1"/>
    <col min="6" max="8" width="12.77734375" style="188" hidden="1" customWidth="1"/>
    <col min="9" max="9" width="12.77734375" style="188" bestFit="1" customWidth="1"/>
    <col min="10" max="12" width="12.77734375" style="188" hidden="1" customWidth="1"/>
    <col min="13" max="13" width="12.77734375" style="188" bestFit="1" customWidth="1"/>
    <col min="14" max="14" width="12.77734375" style="188" hidden="1" customWidth="1"/>
    <col min="15" max="18" width="12.77734375" style="188" bestFit="1" customWidth="1"/>
    <col min="19" max="19" width="9.5546875" style="188" hidden="1" customWidth="1"/>
    <col min="20" max="16384" width="8.88671875" style="188"/>
  </cols>
  <sheetData>
    <row r="1" spans="1:19" x14ac:dyDescent="0.25">
      <c r="A1" s="188">
        <v>603060</v>
      </c>
      <c r="B1" s="188">
        <v>20180930</v>
      </c>
      <c r="C1" s="188">
        <v>20180630</v>
      </c>
      <c r="D1" s="188">
        <v>20180331</v>
      </c>
      <c r="E1" s="188">
        <v>20171231</v>
      </c>
      <c r="F1" s="188">
        <v>20170930</v>
      </c>
      <c r="G1" s="188">
        <v>20170630</v>
      </c>
      <c r="H1" s="188">
        <v>20170331</v>
      </c>
      <c r="I1" s="188">
        <v>20161231</v>
      </c>
      <c r="J1" s="188">
        <v>20160930</v>
      </c>
      <c r="K1" s="188">
        <v>20160630</v>
      </c>
      <c r="L1" s="188">
        <v>20160331</v>
      </c>
      <c r="M1" s="188">
        <v>20151231</v>
      </c>
      <c r="N1" s="188">
        <v>20150930</v>
      </c>
      <c r="O1" s="188">
        <v>20141231</v>
      </c>
      <c r="P1" s="188">
        <v>20131231</v>
      </c>
      <c r="Q1" s="188">
        <v>20121231</v>
      </c>
      <c r="R1" s="188">
        <v>20111231</v>
      </c>
      <c r="S1" s="188">
        <v>19700101</v>
      </c>
    </row>
    <row r="2" spans="1:19" x14ac:dyDescent="0.25">
      <c r="A2" s="188" t="s">
        <v>105</v>
      </c>
      <c r="B2" s="188" t="s">
        <v>106</v>
      </c>
      <c r="C2" s="188" t="s">
        <v>106</v>
      </c>
      <c r="D2" s="188" t="s">
        <v>106</v>
      </c>
      <c r="E2" s="188" t="s">
        <v>106</v>
      </c>
      <c r="F2" s="188" t="s">
        <v>106</v>
      </c>
      <c r="G2" s="188" t="s">
        <v>106</v>
      </c>
      <c r="H2" s="188" t="s">
        <v>106</v>
      </c>
      <c r="I2" s="188" t="s">
        <v>106</v>
      </c>
      <c r="J2" s="188" t="s">
        <v>106</v>
      </c>
      <c r="K2" s="188" t="s">
        <v>106</v>
      </c>
      <c r="L2" s="188" t="s">
        <v>106</v>
      </c>
      <c r="M2" s="188" t="s">
        <v>106</v>
      </c>
      <c r="N2" s="188" t="s">
        <v>106</v>
      </c>
      <c r="O2" s="188" t="s">
        <v>106</v>
      </c>
      <c r="P2" s="188" t="s">
        <v>106</v>
      </c>
      <c r="Q2" s="188" t="s">
        <v>106</v>
      </c>
      <c r="R2" s="188" t="s">
        <v>106</v>
      </c>
    </row>
    <row r="3" spans="1:19" x14ac:dyDescent="0.25">
      <c r="A3" s="188" t="s">
        <v>190</v>
      </c>
      <c r="B3" s="188">
        <v>626649436.39999998</v>
      </c>
      <c r="C3" s="188">
        <v>392876131.64999998</v>
      </c>
      <c r="D3" s="188">
        <v>172354512.02000001</v>
      </c>
      <c r="E3" s="188">
        <v>752408925.78999996</v>
      </c>
      <c r="F3" s="188">
        <v>525772942.17000002</v>
      </c>
      <c r="G3" s="188">
        <v>339770745.41000003</v>
      </c>
      <c r="H3" s="188">
        <v>153700781.78999999</v>
      </c>
      <c r="I3" s="188">
        <v>665011421.55999994</v>
      </c>
      <c r="J3" s="188">
        <v>454007921.24000001</v>
      </c>
      <c r="K3" s="188">
        <v>283257330.20999998</v>
      </c>
      <c r="L3" s="188">
        <v>124302689.18000001</v>
      </c>
      <c r="M3" s="188">
        <v>597037871.64999998</v>
      </c>
      <c r="N3" s="188">
        <v>409475329.64999998</v>
      </c>
      <c r="O3" s="188">
        <v>528809680.74000001</v>
      </c>
      <c r="P3" s="188">
        <v>484907942.22000003</v>
      </c>
      <c r="Q3" s="188">
        <v>395593790.81</v>
      </c>
      <c r="R3" s="188">
        <v>316891515.43000001</v>
      </c>
      <c r="S3" s="188">
        <v>0</v>
      </c>
    </row>
    <row r="4" spans="1:19" x14ac:dyDescent="0.25">
      <c r="A4" s="188" t="s">
        <v>191</v>
      </c>
      <c r="B4" s="188">
        <v>626649436.39999998</v>
      </c>
      <c r="C4" s="188">
        <v>392876131.64999998</v>
      </c>
      <c r="D4" s="188">
        <v>172354512.02000001</v>
      </c>
      <c r="E4" s="188">
        <v>752408925.78999996</v>
      </c>
      <c r="F4" s="188">
        <v>525772942.17000002</v>
      </c>
      <c r="G4" s="188">
        <v>339770745.41000003</v>
      </c>
      <c r="H4" s="188">
        <v>153700781.78999999</v>
      </c>
      <c r="I4" s="188">
        <v>665011421.55999994</v>
      </c>
      <c r="J4" s="188">
        <v>454007921.24000001</v>
      </c>
      <c r="K4" s="188">
        <v>283257330.20999998</v>
      </c>
      <c r="L4" s="188">
        <v>124302689.18000001</v>
      </c>
      <c r="M4" s="188">
        <v>597037871.64999998</v>
      </c>
      <c r="N4" s="188">
        <v>409475329.64999998</v>
      </c>
      <c r="O4" s="188">
        <v>528809680.74000001</v>
      </c>
      <c r="P4" s="188">
        <v>484907942.22000003</v>
      </c>
      <c r="Q4" s="188">
        <v>395593790.81</v>
      </c>
      <c r="R4" s="188">
        <v>316891515.43000001</v>
      </c>
      <c r="S4" s="188">
        <v>0</v>
      </c>
    </row>
    <row r="5" spans="1:19" x14ac:dyDescent="0.25">
      <c r="A5" s="188" t="s">
        <v>192</v>
      </c>
      <c r="B5" s="188">
        <v>488054679.17000002</v>
      </c>
      <c r="C5" s="188">
        <v>315476991.39999998</v>
      </c>
      <c r="D5" s="188">
        <v>160220923.65000001</v>
      </c>
      <c r="E5" s="188">
        <v>600734577.75</v>
      </c>
      <c r="F5" s="188">
        <v>409384604.44</v>
      </c>
      <c r="G5" s="188">
        <v>274438604.85000002</v>
      </c>
      <c r="H5" s="188">
        <v>134989423.28</v>
      </c>
      <c r="I5" s="188">
        <v>533672750.88999999</v>
      </c>
      <c r="J5" s="188">
        <v>352406895.89999998</v>
      </c>
      <c r="K5" s="188">
        <v>233424928.65000001</v>
      </c>
      <c r="L5" s="188">
        <v>116386964.67</v>
      </c>
      <c r="M5" s="188">
        <v>468512102.48000002</v>
      </c>
      <c r="N5" s="188">
        <v>321874182.82999998</v>
      </c>
      <c r="O5" s="188">
        <v>426673516.52999997</v>
      </c>
      <c r="P5" s="188">
        <v>391034527.69</v>
      </c>
      <c r="Q5" s="188">
        <v>303290286.35000002</v>
      </c>
      <c r="R5" s="188">
        <v>233122141.34999999</v>
      </c>
      <c r="S5" s="188">
        <v>0</v>
      </c>
    </row>
    <row r="6" spans="1:19" x14ac:dyDescent="0.25">
      <c r="A6" s="188" t="s">
        <v>193</v>
      </c>
      <c r="B6" s="188">
        <v>319507261.20999998</v>
      </c>
      <c r="C6" s="188">
        <v>205508609.28999999</v>
      </c>
      <c r="D6" s="188">
        <v>108278238.17</v>
      </c>
      <c r="E6" s="188">
        <v>406091046.83999997</v>
      </c>
      <c r="F6" s="188">
        <v>271365768.27999997</v>
      </c>
      <c r="G6" s="188">
        <v>181470105.86000001</v>
      </c>
      <c r="H6" s="188">
        <v>91249713.920000002</v>
      </c>
      <c r="I6" s="188">
        <v>348439708.45999998</v>
      </c>
      <c r="J6" s="188">
        <v>228589200.88</v>
      </c>
      <c r="K6" s="188">
        <v>149382777.41999999</v>
      </c>
      <c r="L6" s="188">
        <v>74864949.950000003</v>
      </c>
      <c r="M6" s="188">
        <v>318153253.52999997</v>
      </c>
      <c r="N6" s="188">
        <v>215473046.52000001</v>
      </c>
      <c r="O6" s="188">
        <v>287721956.77999997</v>
      </c>
      <c r="P6" s="188">
        <v>255145394.69</v>
      </c>
      <c r="Q6" s="188">
        <v>207821413.31999999</v>
      </c>
      <c r="R6" s="188">
        <v>157440528.15000001</v>
      </c>
      <c r="S6" s="188">
        <v>0</v>
      </c>
    </row>
    <row r="7" spans="1:19" x14ac:dyDescent="0.25">
      <c r="A7" s="188" t="s">
        <v>194</v>
      </c>
      <c r="B7" s="188">
        <v>3338613.63</v>
      </c>
      <c r="C7" s="188">
        <v>2097807.5099999998</v>
      </c>
      <c r="D7" s="188">
        <v>678109.79</v>
      </c>
      <c r="E7" s="188">
        <v>4713914.93</v>
      </c>
      <c r="F7" s="188">
        <v>3122552.32</v>
      </c>
      <c r="G7" s="188">
        <v>2242285.31</v>
      </c>
      <c r="H7" s="188">
        <v>741441.45</v>
      </c>
      <c r="I7" s="188">
        <v>4077013.45</v>
      </c>
      <c r="J7" s="188">
        <v>2478089.7400000002</v>
      </c>
      <c r="K7" s="188">
        <v>1674570.11</v>
      </c>
      <c r="L7" s="188">
        <v>761096.69</v>
      </c>
      <c r="M7" s="188">
        <v>3426043.03</v>
      </c>
      <c r="N7" s="188">
        <v>2528370.9500000002</v>
      </c>
      <c r="O7" s="188">
        <v>3185132.53</v>
      </c>
      <c r="P7" s="188">
        <v>4441789.72</v>
      </c>
      <c r="Q7" s="188">
        <v>13470903.210000001</v>
      </c>
      <c r="R7" s="188">
        <v>15908543.560000001</v>
      </c>
      <c r="S7" s="188">
        <v>0</v>
      </c>
    </row>
    <row r="8" spans="1:19" x14ac:dyDescent="0.25">
      <c r="A8" s="188" t="s">
        <v>195</v>
      </c>
      <c r="B8" s="188">
        <v>19614822.73</v>
      </c>
      <c r="C8" s="188">
        <v>12943635.039999999</v>
      </c>
      <c r="D8" s="188">
        <v>5945114.6299999999</v>
      </c>
      <c r="E8" s="188">
        <v>21668533.010000002</v>
      </c>
      <c r="F8" s="188">
        <v>13228844.43</v>
      </c>
      <c r="G8" s="188">
        <v>9180163.4299999997</v>
      </c>
      <c r="H8" s="188">
        <v>5012251.4000000004</v>
      </c>
      <c r="I8" s="188">
        <v>19538807.030000001</v>
      </c>
      <c r="J8" s="188">
        <v>12545397.220000001</v>
      </c>
      <c r="K8" s="188">
        <v>8046351.9000000004</v>
      </c>
      <c r="L8" s="188">
        <v>3789818.57</v>
      </c>
      <c r="M8" s="188">
        <v>17063513.98</v>
      </c>
      <c r="N8" s="188">
        <v>11785946.41</v>
      </c>
      <c r="O8" s="188">
        <v>16875542.949999999</v>
      </c>
      <c r="P8" s="188">
        <v>16358050.699999999</v>
      </c>
      <c r="Q8" s="188">
        <v>9619825.7599999998</v>
      </c>
      <c r="R8" s="188">
        <v>7064283.7000000002</v>
      </c>
      <c r="S8" s="188">
        <v>0</v>
      </c>
    </row>
    <row r="9" spans="1:19" x14ac:dyDescent="0.25">
      <c r="A9" s="188" t="s">
        <v>196</v>
      </c>
      <c r="B9" s="188">
        <v>89584612.290000007</v>
      </c>
      <c r="C9" s="188">
        <v>92580103.870000005</v>
      </c>
      <c r="D9" s="188">
        <v>44799856.780000001</v>
      </c>
      <c r="E9" s="188">
        <v>166019822.88</v>
      </c>
      <c r="F9" s="188">
        <v>117685777.28</v>
      </c>
      <c r="G9" s="188">
        <v>79178722.430000007</v>
      </c>
      <c r="H9" s="188">
        <v>37534449.25</v>
      </c>
      <c r="I9" s="188">
        <v>154974042.46000001</v>
      </c>
      <c r="J9" s="188">
        <v>103999553.73999999</v>
      </c>
      <c r="K9" s="188">
        <v>70613526.260000005</v>
      </c>
      <c r="L9" s="188">
        <v>35456383.57</v>
      </c>
      <c r="M9" s="188">
        <v>122441461.36</v>
      </c>
      <c r="N9" s="188">
        <v>86931351.890000001</v>
      </c>
      <c r="O9" s="188">
        <v>107670888.41</v>
      </c>
      <c r="P9" s="188">
        <v>102640374.88</v>
      </c>
      <c r="Q9" s="188">
        <v>71521981.640000001</v>
      </c>
      <c r="R9" s="188">
        <v>52519359.909999996</v>
      </c>
      <c r="S9" s="188">
        <v>0</v>
      </c>
    </row>
    <row r="10" spans="1:19" x14ac:dyDescent="0.25">
      <c r="A10" s="188" t="s">
        <v>197</v>
      </c>
      <c r="B10" s="188">
        <v>-1166585.8899999999</v>
      </c>
      <c r="C10" s="188">
        <v>-879288.47</v>
      </c>
      <c r="D10" s="188">
        <v>-630229.32999999996</v>
      </c>
      <c r="E10" s="188">
        <v>-1434867.01</v>
      </c>
      <c r="F10" s="188">
        <v>-758922.69</v>
      </c>
      <c r="G10" s="188">
        <v>-281346.90000000002</v>
      </c>
      <c r="H10" s="188">
        <v>183351.79</v>
      </c>
      <c r="I10" s="188">
        <v>3782077.84</v>
      </c>
      <c r="J10" s="188">
        <v>3238675.13</v>
      </c>
      <c r="K10" s="188">
        <v>1975386.39</v>
      </c>
      <c r="L10" s="188">
        <v>993260.07</v>
      </c>
      <c r="M10" s="188">
        <v>5143139.6100000003</v>
      </c>
      <c r="N10" s="188">
        <v>4223801.82</v>
      </c>
      <c r="O10" s="188">
        <v>9559356.6699999999</v>
      </c>
      <c r="P10" s="188">
        <v>10976780</v>
      </c>
      <c r="Q10" s="188">
        <v>-4194.4399999999996</v>
      </c>
      <c r="R10" s="188">
        <v>-591674.91</v>
      </c>
      <c r="S10" s="188">
        <v>0</v>
      </c>
    </row>
    <row r="11" spans="1:19" x14ac:dyDescent="0.25">
      <c r="A11" s="188" t="s">
        <v>198</v>
      </c>
      <c r="B11" s="188">
        <v>4541033.96</v>
      </c>
      <c r="C11" s="188">
        <v>3226124.16</v>
      </c>
      <c r="D11" s="188">
        <v>1149833.6100000001</v>
      </c>
      <c r="E11" s="188">
        <v>3676127.1</v>
      </c>
      <c r="F11" s="188">
        <v>4740584.82</v>
      </c>
      <c r="G11" s="188">
        <v>2648674.7200000002</v>
      </c>
      <c r="H11" s="188">
        <v>268215.46999999997</v>
      </c>
      <c r="I11" s="188">
        <v>2861101.65</v>
      </c>
      <c r="J11" s="188">
        <v>1555979.19</v>
      </c>
      <c r="K11" s="188">
        <v>1732316.57</v>
      </c>
      <c r="L11" s="188">
        <v>521455.82</v>
      </c>
      <c r="M11" s="188">
        <v>2284690.9700000002</v>
      </c>
      <c r="N11" s="188">
        <v>931665.24</v>
      </c>
      <c r="O11" s="188">
        <v>1660639.19</v>
      </c>
      <c r="P11" s="188">
        <v>1472137.7</v>
      </c>
      <c r="Q11" s="188">
        <v>860356.86</v>
      </c>
      <c r="R11" s="188">
        <v>781100.94</v>
      </c>
      <c r="S11" s="188">
        <v>0</v>
      </c>
    </row>
    <row r="12" spans="1:19" x14ac:dyDescent="0.25">
      <c r="A12" s="188" t="s">
        <v>199</v>
      </c>
      <c r="B12" s="188">
        <v>0</v>
      </c>
      <c r="C12" s="188">
        <v>0</v>
      </c>
      <c r="D12" s="188">
        <v>0</v>
      </c>
      <c r="E12" s="188">
        <v>0</v>
      </c>
      <c r="F12" s="188">
        <v>0</v>
      </c>
      <c r="G12" s="188">
        <v>0</v>
      </c>
      <c r="H12" s="188">
        <v>0</v>
      </c>
      <c r="I12" s="188">
        <v>0</v>
      </c>
      <c r="J12" s="188">
        <v>0</v>
      </c>
      <c r="K12" s="188">
        <v>0</v>
      </c>
      <c r="L12" s="188">
        <v>0</v>
      </c>
      <c r="M12" s="188">
        <v>0</v>
      </c>
      <c r="N12" s="188">
        <v>0</v>
      </c>
      <c r="O12" s="188">
        <v>0</v>
      </c>
      <c r="P12" s="188">
        <v>0</v>
      </c>
      <c r="Q12" s="188">
        <v>0</v>
      </c>
      <c r="R12" s="188">
        <v>0</v>
      </c>
      <c r="S12" s="188">
        <v>0</v>
      </c>
    </row>
    <row r="13" spans="1:19" x14ac:dyDescent="0.25">
      <c r="A13" s="188" t="s">
        <v>200</v>
      </c>
      <c r="B13" s="188">
        <v>10097461.369999999</v>
      </c>
      <c r="C13" s="188">
        <v>6298289.5899999999</v>
      </c>
      <c r="D13" s="188">
        <v>4090676.54</v>
      </c>
      <c r="E13" s="188">
        <v>8230887.71</v>
      </c>
      <c r="F13" s="188">
        <v>5563118.3600000003</v>
      </c>
      <c r="G13" s="188">
        <v>2828229.63</v>
      </c>
      <c r="H13" s="188">
        <v>741331</v>
      </c>
      <c r="I13" s="188">
        <v>336511.65</v>
      </c>
      <c r="J13" s="188">
        <v>95728.77</v>
      </c>
      <c r="K13" s="188">
        <v>59769.87</v>
      </c>
      <c r="L13" s="188">
        <v>0</v>
      </c>
      <c r="M13" s="188">
        <v>0</v>
      </c>
      <c r="N13" s="188">
        <v>107261.55</v>
      </c>
      <c r="O13" s="188">
        <v>0</v>
      </c>
      <c r="P13" s="188">
        <v>0</v>
      </c>
      <c r="Q13" s="188">
        <v>0</v>
      </c>
      <c r="R13" s="188">
        <v>0</v>
      </c>
      <c r="S13" s="188">
        <v>0</v>
      </c>
    </row>
    <row r="14" spans="1:19" x14ac:dyDescent="0.25">
      <c r="A14" s="188" t="s">
        <v>201</v>
      </c>
      <c r="B14" s="188">
        <v>0</v>
      </c>
      <c r="C14" s="188">
        <v>0</v>
      </c>
      <c r="D14" s="188">
        <v>0</v>
      </c>
      <c r="E14" s="188">
        <v>0</v>
      </c>
      <c r="F14" s="188">
        <v>0</v>
      </c>
      <c r="G14" s="188">
        <v>0</v>
      </c>
      <c r="H14" s="188">
        <v>0</v>
      </c>
      <c r="I14" s="188">
        <v>0</v>
      </c>
      <c r="J14" s="188">
        <v>0</v>
      </c>
      <c r="K14" s="188">
        <v>0</v>
      </c>
      <c r="L14" s="188">
        <v>0</v>
      </c>
      <c r="M14" s="188">
        <v>0</v>
      </c>
      <c r="N14" s="188">
        <v>0</v>
      </c>
      <c r="O14" s="188">
        <v>0</v>
      </c>
      <c r="P14" s="188">
        <v>0</v>
      </c>
      <c r="Q14" s="188">
        <v>0</v>
      </c>
      <c r="R14" s="188">
        <v>0</v>
      </c>
      <c r="S14" s="188">
        <v>0</v>
      </c>
    </row>
    <row r="15" spans="1:19" x14ac:dyDescent="0.25">
      <c r="A15" s="188" t="s">
        <v>202</v>
      </c>
      <c r="B15" s="188">
        <v>0</v>
      </c>
      <c r="C15" s="188">
        <v>0</v>
      </c>
      <c r="D15" s="188">
        <v>0</v>
      </c>
      <c r="E15" s="188">
        <v>0</v>
      </c>
      <c r="F15" s="188">
        <v>0</v>
      </c>
      <c r="G15" s="188">
        <v>0</v>
      </c>
      <c r="H15" s="188">
        <v>0</v>
      </c>
      <c r="I15" s="188">
        <v>0</v>
      </c>
      <c r="J15" s="188">
        <v>0</v>
      </c>
      <c r="K15" s="188">
        <v>0</v>
      </c>
      <c r="L15" s="188">
        <v>0</v>
      </c>
      <c r="M15" s="188">
        <v>0</v>
      </c>
      <c r="N15" s="188">
        <v>0</v>
      </c>
      <c r="O15" s="188">
        <v>0</v>
      </c>
      <c r="P15" s="188">
        <v>0</v>
      </c>
      <c r="Q15" s="188">
        <v>0</v>
      </c>
      <c r="R15" s="188">
        <v>0</v>
      </c>
      <c r="S15" s="188">
        <v>0</v>
      </c>
    </row>
    <row r="16" spans="1:19" x14ac:dyDescent="0.25">
      <c r="A16" s="188" t="s">
        <v>203</v>
      </c>
      <c r="B16" s="188">
        <v>161801078.66999999</v>
      </c>
      <c r="C16" s="188">
        <v>92506812.459999993</v>
      </c>
      <c r="D16" s="188">
        <v>20877505.170000002</v>
      </c>
      <c r="E16" s="188">
        <v>174730809.93000001</v>
      </c>
      <c r="F16" s="188">
        <v>132166195.56999999</v>
      </c>
      <c r="G16" s="188">
        <v>73494579.420000002</v>
      </c>
      <c r="H16" s="188">
        <v>19452689.510000002</v>
      </c>
      <c r="I16" s="188">
        <v>131675182.31999999</v>
      </c>
      <c r="J16" s="188">
        <v>101696754.11</v>
      </c>
      <c r="K16" s="188">
        <v>49892171.43</v>
      </c>
      <c r="L16" s="188">
        <v>7915724.5099999998</v>
      </c>
      <c r="M16" s="188">
        <v>128525769.17</v>
      </c>
      <c r="N16" s="188">
        <v>87708408.370000005</v>
      </c>
      <c r="O16" s="188">
        <v>102136164.20999999</v>
      </c>
      <c r="P16" s="188">
        <v>93873414.530000001</v>
      </c>
      <c r="Q16" s="188">
        <v>92303504.459999993</v>
      </c>
      <c r="R16" s="188">
        <v>83769374.079999998</v>
      </c>
      <c r="S16" s="188">
        <v>0</v>
      </c>
    </row>
    <row r="17" spans="1:19" x14ac:dyDescent="0.25">
      <c r="A17" s="188" t="s">
        <v>204</v>
      </c>
      <c r="B17" s="188">
        <v>9658682.9600000009</v>
      </c>
      <c r="C17" s="188">
        <v>6113335.8399999999</v>
      </c>
      <c r="D17" s="188">
        <v>3986830.23</v>
      </c>
      <c r="E17" s="188">
        <v>6642281.1200000001</v>
      </c>
      <c r="F17" s="188">
        <v>2973384.32</v>
      </c>
      <c r="G17" s="188">
        <v>815125.21</v>
      </c>
      <c r="H17" s="188">
        <v>1746001.04</v>
      </c>
      <c r="I17" s="188">
        <v>18745445.350000001</v>
      </c>
      <c r="J17" s="188">
        <v>9657025.8300000001</v>
      </c>
      <c r="K17" s="188">
        <v>7838512.2300000004</v>
      </c>
      <c r="L17" s="188">
        <v>2974519.12</v>
      </c>
      <c r="M17" s="188">
        <v>12691476.43</v>
      </c>
      <c r="N17" s="188">
        <v>8343327.8399999999</v>
      </c>
      <c r="O17" s="188">
        <v>10732730.42</v>
      </c>
      <c r="P17" s="188">
        <v>7956926.2000000002</v>
      </c>
      <c r="Q17" s="188">
        <v>4563168.58</v>
      </c>
      <c r="R17" s="188">
        <v>842082.41</v>
      </c>
      <c r="S17" s="188">
        <v>0</v>
      </c>
    </row>
    <row r="18" spans="1:19" x14ac:dyDescent="0.25">
      <c r="A18" s="188" t="s">
        <v>205</v>
      </c>
      <c r="B18" s="188">
        <v>374038.64</v>
      </c>
      <c r="C18" s="188">
        <v>207835.13</v>
      </c>
      <c r="D18" s="188">
        <v>26352.16</v>
      </c>
      <c r="E18" s="188">
        <v>671937.06</v>
      </c>
      <c r="F18" s="188">
        <v>222435.24</v>
      </c>
      <c r="G18" s="188">
        <v>151234.70000000001</v>
      </c>
      <c r="H18" s="188">
        <v>45300.33</v>
      </c>
      <c r="I18" s="188">
        <v>624580.15</v>
      </c>
      <c r="J18" s="188">
        <v>355927.35</v>
      </c>
      <c r="K18" s="188">
        <v>152289.14000000001</v>
      </c>
      <c r="L18" s="188">
        <v>26163.48</v>
      </c>
      <c r="M18" s="188">
        <v>2364290.87</v>
      </c>
      <c r="N18" s="188">
        <v>1541431.11</v>
      </c>
      <c r="O18" s="188">
        <v>746773.43</v>
      </c>
      <c r="P18" s="188">
        <v>1074547.77</v>
      </c>
      <c r="Q18" s="188">
        <v>251433.47</v>
      </c>
      <c r="R18" s="188">
        <v>419615.98</v>
      </c>
      <c r="S18" s="188">
        <v>0</v>
      </c>
    </row>
    <row r="19" spans="1:19" x14ac:dyDescent="0.25">
      <c r="A19" s="188" t="s">
        <v>206</v>
      </c>
      <c r="B19" s="188">
        <v>0</v>
      </c>
      <c r="C19" s="188">
        <v>0</v>
      </c>
      <c r="D19" s="188">
        <v>0</v>
      </c>
      <c r="E19" s="188">
        <v>0</v>
      </c>
      <c r="F19" s="188">
        <v>126214.14</v>
      </c>
      <c r="G19" s="188">
        <v>58987.66</v>
      </c>
      <c r="H19" s="188">
        <v>32752.98</v>
      </c>
      <c r="I19" s="188">
        <v>547035.85</v>
      </c>
      <c r="J19" s="188">
        <v>348066</v>
      </c>
      <c r="K19" s="188">
        <v>149848.67000000001</v>
      </c>
      <c r="L19" s="188">
        <v>26156.95</v>
      </c>
      <c r="M19" s="188">
        <v>1059629.52</v>
      </c>
      <c r="N19" s="188">
        <v>250877.28</v>
      </c>
      <c r="O19" s="188">
        <v>746773.43</v>
      </c>
      <c r="P19" s="188">
        <v>1009593.45</v>
      </c>
      <c r="Q19" s="188">
        <v>223537.89</v>
      </c>
      <c r="R19" s="188">
        <v>217109.99</v>
      </c>
      <c r="S19" s="188">
        <v>0</v>
      </c>
    </row>
    <row r="20" spans="1:19" x14ac:dyDescent="0.25">
      <c r="A20" s="188" t="s">
        <v>207</v>
      </c>
      <c r="B20" s="188">
        <v>171085722.99000001</v>
      </c>
      <c r="C20" s="188">
        <v>98412313.170000002</v>
      </c>
      <c r="D20" s="188">
        <v>24837983.239999998</v>
      </c>
      <c r="E20" s="188">
        <v>180701153.99000001</v>
      </c>
      <c r="F20" s="188">
        <v>134917144.65000001</v>
      </c>
      <c r="G20" s="188">
        <v>74158469.930000007</v>
      </c>
      <c r="H20" s="188">
        <v>21153390.219999999</v>
      </c>
      <c r="I20" s="188">
        <v>149796047.52000001</v>
      </c>
      <c r="J20" s="188">
        <v>110997852.59</v>
      </c>
      <c r="K20" s="188">
        <v>57578394.520000003</v>
      </c>
      <c r="L20" s="188">
        <v>10864080.15</v>
      </c>
      <c r="M20" s="188">
        <v>138852954.72999999</v>
      </c>
      <c r="N20" s="188">
        <v>94510305.099999994</v>
      </c>
      <c r="O20" s="188">
        <v>112122121.2</v>
      </c>
      <c r="P20" s="188">
        <v>100755792.95999999</v>
      </c>
      <c r="Q20" s="188">
        <v>96615239.569999993</v>
      </c>
      <c r="R20" s="188">
        <v>84191840.510000005</v>
      </c>
      <c r="S20" s="188">
        <v>0</v>
      </c>
    </row>
    <row r="21" spans="1:19" x14ac:dyDescent="0.25">
      <c r="A21" s="188" t="s">
        <v>208</v>
      </c>
      <c r="B21" s="188">
        <v>24055102.030000001</v>
      </c>
      <c r="C21" s="188">
        <v>14833979.970000001</v>
      </c>
      <c r="D21" s="188">
        <v>5246553.07</v>
      </c>
      <c r="E21" s="188">
        <v>25476937.940000001</v>
      </c>
      <c r="F21" s="188">
        <v>20249808.260000002</v>
      </c>
      <c r="G21" s="188">
        <v>12200381.68</v>
      </c>
      <c r="H21" s="188">
        <v>4219646.83</v>
      </c>
      <c r="I21" s="188">
        <v>22021985.010000002</v>
      </c>
      <c r="J21" s="188">
        <v>17539446.210000001</v>
      </c>
      <c r="K21" s="188">
        <v>9288285.5500000007</v>
      </c>
      <c r="L21" s="188">
        <v>2029810.56</v>
      </c>
      <c r="M21" s="188">
        <v>20513792.670000002</v>
      </c>
      <c r="N21" s="188">
        <v>15626808.42</v>
      </c>
      <c r="O21" s="188">
        <v>17208158.18</v>
      </c>
      <c r="P21" s="188">
        <v>16737393.439999999</v>
      </c>
      <c r="Q21" s="188">
        <v>18041146.789999999</v>
      </c>
      <c r="R21" s="188">
        <v>14607685.76</v>
      </c>
      <c r="S21" s="188">
        <v>0</v>
      </c>
    </row>
    <row r="22" spans="1:19" x14ac:dyDescent="0.25">
      <c r="A22" s="188" t="s">
        <v>209</v>
      </c>
      <c r="B22" s="188">
        <v>147030620.96000001</v>
      </c>
      <c r="C22" s="188">
        <v>83578333.200000003</v>
      </c>
      <c r="D22" s="188">
        <v>19591430.170000002</v>
      </c>
      <c r="E22" s="188">
        <v>155224216.05000001</v>
      </c>
      <c r="F22" s="188">
        <v>114667336.39</v>
      </c>
      <c r="G22" s="188">
        <v>61958088.25</v>
      </c>
      <c r="H22" s="188">
        <v>16933743.390000001</v>
      </c>
      <c r="I22" s="188">
        <v>127774062.51000001</v>
      </c>
      <c r="J22" s="188">
        <v>93458406.379999995</v>
      </c>
      <c r="K22" s="188">
        <v>48290108.969999999</v>
      </c>
      <c r="L22" s="188">
        <v>8834269.5899999999</v>
      </c>
      <c r="M22" s="188">
        <v>118339162.06</v>
      </c>
      <c r="N22" s="188">
        <v>78883496.680000007</v>
      </c>
      <c r="O22" s="188">
        <v>94913963.019999996</v>
      </c>
      <c r="P22" s="188">
        <v>84018399.519999996</v>
      </c>
      <c r="Q22" s="188">
        <v>78574092.780000001</v>
      </c>
      <c r="R22" s="188">
        <v>69584154.75</v>
      </c>
      <c r="S22" s="188">
        <v>0</v>
      </c>
    </row>
    <row r="23" spans="1:19" x14ac:dyDescent="0.25">
      <c r="A23" s="188" t="s">
        <v>210</v>
      </c>
      <c r="B23" s="188">
        <v>139399740.59999999</v>
      </c>
      <c r="C23" s="188">
        <v>79000001.849999994</v>
      </c>
      <c r="D23" s="188">
        <v>19430501.170000002</v>
      </c>
      <c r="E23" s="188">
        <v>144224161.13999999</v>
      </c>
      <c r="F23" s="188">
        <v>106673425.17</v>
      </c>
      <c r="G23" s="188">
        <v>56706784.859999999</v>
      </c>
      <c r="H23" s="188">
        <v>15660461.68</v>
      </c>
      <c r="I23" s="188">
        <v>115773356.06</v>
      </c>
      <c r="J23" s="188">
        <v>85007904.799999997</v>
      </c>
      <c r="K23" s="188">
        <v>43355787.439999998</v>
      </c>
      <c r="L23" s="188">
        <v>6613940.6299999999</v>
      </c>
      <c r="M23" s="188">
        <v>104879188.44</v>
      </c>
      <c r="N23" s="188">
        <v>68857786.689999998</v>
      </c>
      <c r="O23" s="188">
        <v>85142112.980000004</v>
      </c>
      <c r="P23" s="188">
        <v>77841809.030000001</v>
      </c>
      <c r="Q23" s="188">
        <v>73628488.819999993</v>
      </c>
      <c r="R23" s="188">
        <v>65045129.409999996</v>
      </c>
      <c r="S23" s="188">
        <v>0</v>
      </c>
    </row>
    <row r="24" spans="1:19" x14ac:dyDescent="0.25">
      <c r="A24" s="188" t="s">
        <v>211</v>
      </c>
      <c r="B24" s="188">
        <v>7630880.3600000003</v>
      </c>
      <c r="C24" s="188">
        <v>4578331.3499999996</v>
      </c>
      <c r="D24" s="188">
        <v>160929</v>
      </c>
      <c r="E24" s="188">
        <v>11000054.91</v>
      </c>
      <c r="F24" s="188">
        <v>7993911.2199999997</v>
      </c>
      <c r="G24" s="188">
        <v>5251303.3899999997</v>
      </c>
      <c r="H24" s="188">
        <v>1273281.71</v>
      </c>
      <c r="I24" s="188">
        <v>12000706.449999999</v>
      </c>
      <c r="J24" s="188">
        <v>8450501.5800000001</v>
      </c>
      <c r="K24" s="188">
        <v>4934321.53</v>
      </c>
      <c r="L24" s="188">
        <v>2220328.96</v>
      </c>
      <c r="M24" s="188">
        <v>13459973.619999999</v>
      </c>
      <c r="N24" s="188">
        <v>10025709.99</v>
      </c>
      <c r="O24" s="188">
        <v>9771850.0399999991</v>
      </c>
      <c r="P24" s="188">
        <v>6176590.4900000002</v>
      </c>
      <c r="Q24" s="188">
        <v>4945603.96</v>
      </c>
      <c r="R24" s="188">
        <v>4539025.34</v>
      </c>
      <c r="S24" s="188">
        <v>0</v>
      </c>
    </row>
    <row r="25" spans="1:19" x14ac:dyDescent="0.25">
      <c r="A25" s="188" t="s">
        <v>212</v>
      </c>
    </row>
    <row r="26" spans="1:19" x14ac:dyDescent="0.25">
      <c r="A26" s="188" t="s">
        <v>213</v>
      </c>
      <c r="B26" s="188">
        <v>0.63360000000000005</v>
      </c>
      <c r="C26" s="188">
        <v>0.35909999999999997</v>
      </c>
      <c r="D26" s="188">
        <v>8.8300000000000003E-2</v>
      </c>
      <c r="E26" s="188">
        <v>0.65559999999999996</v>
      </c>
      <c r="F26" s="188">
        <v>0.4849</v>
      </c>
      <c r="G26" s="188">
        <v>0.25779999999999997</v>
      </c>
      <c r="H26" s="188">
        <v>7.1199999999999999E-2</v>
      </c>
      <c r="I26" s="188">
        <v>0.68269999999999997</v>
      </c>
      <c r="J26" s="188">
        <v>0</v>
      </c>
      <c r="K26" s="188">
        <v>0.26279999999999998</v>
      </c>
      <c r="L26" s="188">
        <v>4.0099999999999997E-2</v>
      </c>
      <c r="M26" s="188">
        <v>0.63560000000000005</v>
      </c>
      <c r="N26" s="188">
        <v>0</v>
      </c>
      <c r="O26" s="188">
        <v>0.51600000000000001</v>
      </c>
      <c r="P26" s="188">
        <v>0.4718</v>
      </c>
      <c r="Q26" s="188">
        <v>0.44619999999999999</v>
      </c>
      <c r="R26" s="188">
        <v>0.39419999999999999</v>
      </c>
      <c r="S26" s="188">
        <v>0</v>
      </c>
    </row>
    <row r="27" spans="1:19" x14ac:dyDescent="0.25">
      <c r="A27" s="188" t="s">
        <v>214</v>
      </c>
      <c r="B27" s="188">
        <v>0.63360000000000005</v>
      </c>
      <c r="C27" s="188">
        <v>0.35909999999999997</v>
      </c>
      <c r="D27" s="188">
        <v>8.8300000000000003E-2</v>
      </c>
      <c r="E27" s="188">
        <v>0.65559999999999996</v>
      </c>
      <c r="F27" s="188">
        <v>0.4849</v>
      </c>
      <c r="G27" s="188">
        <v>0.25779999999999997</v>
      </c>
      <c r="H27" s="188">
        <v>7.1199999999999999E-2</v>
      </c>
      <c r="I27" s="188">
        <v>0.68269999999999997</v>
      </c>
      <c r="J27" s="188">
        <v>0</v>
      </c>
      <c r="K27" s="188">
        <v>0.26279999999999998</v>
      </c>
      <c r="L27" s="188">
        <v>4.0099999999999997E-2</v>
      </c>
      <c r="M27" s="188">
        <v>0.63560000000000005</v>
      </c>
      <c r="N27" s="188">
        <v>0</v>
      </c>
      <c r="O27" s="188">
        <v>0.51600000000000001</v>
      </c>
      <c r="P27" s="188">
        <v>0.4718</v>
      </c>
      <c r="Q27" s="188">
        <v>0.44619999999999999</v>
      </c>
      <c r="R27" s="188">
        <v>0.39419999999999999</v>
      </c>
      <c r="S27" s="188">
        <v>0</v>
      </c>
    </row>
    <row r="28" spans="1:19" x14ac:dyDescent="0.25">
      <c r="A28" s="188" t="s">
        <v>215</v>
      </c>
      <c r="B28" s="188">
        <v>0</v>
      </c>
      <c r="C28" s="188">
        <v>0</v>
      </c>
      <c r="D28" s="188">
        <v>0</v>
      </c>
      <c r="E28" s="188">
        <v>0</v>
      </c>
      <c r="F28" s="188">
        <v>0</v>
      </c>
      <c r="G28" s="188">
        <v>0</v>
      </c>
      <c r="H28" s="188">
        <v>0</v>
      </c>
      <c r="I28" s="188">
        <v>0</v>
      </c>
      <c r="J28" s="188">
        <v>0</v>
      </c>
      <c r="K28" s="188">
        <v>0</v>
      </c>
      <c r="L28" s="188">
        <v>0</v>
      </c>
      <c r="M28" s="188">
        <v>0</v>
      </c>
      <c r="N28" s="188">
        <v>0</v>
      </c>
      <c r="O28" s="188">
        <v>0</v>
      </c>
      <c r="P28" s="188">
        <v>0</v>
      </c>
      <c r="Q28" s="188">
        <v>0</v>
      </c>
      <c r="R28" s="188">
        <v>0</v>
      </c>
      <c r="S28" s="188">
        <v>0</v>
      </c>
    </row>
    <row r="29" spans="1:19" x14ac:dyDescent="0.25">
      <c r="A29" s="188" t="s">
        <v>216</v>
      </c>
      <c r="B29" s="188">
        <v>147030620.96000001</v>
      </c>
      <c r="C29" s="188">
        <v>83578333.200000003</v>
      </c>
      <c r="D29" s="188">
        <v>19591430.170000002</v>
      </c>
      <c r="E29" s="188">
        <v>155224216.05000001</v>
      </c>
      <c r="F29" s="188">
        <v>114667336.39</v>
      </c>
      <c r="G29" s="188">
        <v>61958088.25</v>
      </c>
      <c r="H29" s="188">
        <v>16933743.390000001</v>
      </c>
      <c r="I29" s="188">
        <v>127774062.51000001</v>
      </c>
      <c r="J29" s="188">
        <v>0</v>
      </c>
      <c r="K29" s="188">
        <v>48290108.969999999</v>
      </c>
      <c r="L29" s="188">
        <v>8834269.5899999999</v>
      </c>
      <c r="M29" s="188">
        <v>118339162.06</v>
      </c>
      <c r="N29" s="188">
        <v>0</v>
      </c>
      <c r="O29" s="188">
        <v>94913963.019999996</v>
      </c>
      <c r="P29" s="188">
        <v>84018399.519999996</v>
      </c>
      <c r="Q29" s="188">
        <v>0</v>
      </c>
      <c r="R29" s="188">
        <v>0</v>
      </c>
      <c r="S29" s="188">
        <v>0</v>
      </c>
    </row>
    <row r="30" spans="1:19" x14ac:dyDescent="0.25">
      <c r="A30" s="188" t="s">
        <v>217</v>
      </c>
      <c r="B30" s="188">
        <v>139399740.59999999</v>
      </c>
      <c r="C30" s="188">
        <v>79000001.849999994</v>
      </c>
      <c r="D30" s="188">
        <v>19430501.170000002</v>
      </c>
      <c r="E30" s="188">
        <v>144224161.13999999</v>
      </c>
      <c r="F30" s="188">
        <v>106673425.17</v>
      </c>
      <c r="G30" s="188">
        <v>56706784.859999999</v>
      </c>
      <c r="H30" s="188">
        <v>15660461.68</v>
      </c>
      <c r="I30" s="188">
        <v>115773356.06</v>
      </c>
      <c r="J30" s="188">
        <v>0</v>
      </c>
      <c r="K30" s="188">
        <v>43355787.439999998</v>
      </c>
      <c r="L30" s="188">
        <v>6613940.6299999999</v>
      </c>
      <c r="M30" s="188">
        <v>104879188.44</v>
      </c>
      <c r="N30" s="188">
        <v>0</v>
      </c>
      <c r="O30" s="188">
        <v>85142112.980000004</v>
      </c>
      <c r="P30" s="188">
        <v>77841809.030000001</v>
      </c>
      <c r="Q30" s="188">
        <v>0</v>
      </c>
      <c r="R30" s="188">
        <v>0</v>
      </c>
      <c r="S30" s="188">
        <v>0</v>
      </c>
    </row>
    <row r="31" spans="1:19" x14ac:dyDescent="0.25">
      <c r="A31" s="188" t="s">
        <v>218</v>
      </c>
      <c r="B31" s="188">
        <v>7630880.3600000003</v>
      </c>
      <c r="C31" s="188">
        <v>4578331.3499999996</v>
      </c>
      <c r="D31" s="188">
        <v>160929</v>
      </c>
      <c r="E31" s="188">
        <v>11000054.91</v>
      </c>
      <c r="F31" s="188">
        <v>7993911.2199999997</v>
      </c>
      <c r="G31" s="188">
        <v>5251303.3899999997</v>
      </c>
      <c r="H31" s="188">
        <v>1273281.71</v>
      </c>
      <c r="I31" s="188">
        <v>12000706.449999999</v>
      </c>
      <c r="J31" s="188">
        <v>0</v>
      </c>
      <c r="K31" s="188">
        <v>4934321.53</v>
      </c>
      <c r="L31" s="188">
        <v>2220328.96</v>
      </c>
      <c r="M31" s="188">
        <v>13459973.619999999</v>
      </c>
      <c r="N31" s="188">
        <v>0</v>
      </c>
      <c r="O31" s="188">
        <v>9771850.0399999991</v>
      </c>
      <c r="P31" s="188">
        <v>6176590.4900000002</v>
      </c>
      <c r="Q31" s="188">
        <v>0</v>
      </c>
      <c r="R31" s="188">
        <v>0</v>
      </c>
      <c r="S31" s="188">
        <v>0</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现金流量表"/>
  <dimension ref="A1:S77"/>
  <sheetViews>
    <sheetView workbookViewId="0">
      <selection activeCell="A31" sqref="A31"/>
    </sheetView>
  </sheetViews>
  <sheetFormatPr defaultRowHeight="14.4" x14ac:dyDescent="0.25"/>
  <cols>
    <col min="1" max="1" width="57.77734375" style="188" bestFit="1" customWidth="1"/>
    <col min="2" max="4" width="13.88671875" style="188" hidden="1" customWidth="1"/>
    <col min="5" max="5" width="13.88671875" style="188" bestFit="1" customWidth="1"/>
    <col min="6" max="8" width="13.88671875" style="188" hidden="1" customWidth="1"/>
    <col min="9" max="9" width="13.88671875" style="188" bestFit="1" customWidth="1"/>
    <col min="10" max="12" width="13.88671875" style="188" hidden="1" customWidth="1"/>
    <col min="13" max="13" width="13.88671875" style="188" bestFit="1" customWidth="1"/>
    <col min="14" max="14" width="13.88671875" style="188" hidden="1" customWidth="1"/>
    <col min="15" max="18" width="13.88671875" style="188" bestFit="1" customWidth="1"/>
    <col min="19" max="19" width="9.5546875" style="188" hidden="1" customWidth="1"/>
    <col min="20" max="16384" width="8.88671875" style="188"/>
  </cols>
  <sheetData>
    <row r="1" spans="1:19" x14ac:dyDescent="0.25">
      <c r="A1" s="188">
        <v>603060</v>
      </c>
      <c r="B1" s="188">
        <v>20180930</v>
      </c>
      <c r="C1" s="188">
        <v>20180630</v>
      </c>
      <c r="D1" s="188">
        <v>20180331</v>
      </c>
      <c r="E1" s="188">
        <v>20171231</v>
      </c>
      <c r="F1" s="188">
        <v>20170930</v>
      </c>
      <c r="G1" s="188">
        <v>20170630</v>
      </c>
      <c r="H1" s="188">
        <v>20170331</v>
      </c>
      <c r="I1" s="188">
        <v>20161231</v>
      </c>
      <c r="J1" s="188">
        <v>20160930</v>
      </c>
      <c r="K1" s="188">
        <v>20160630</v>
      </c>
      <c r="L1" s="188">
        <v>20160331</v>
      </c>
      <c r="M1" s="188">
        <v>20151231</v>
      </c>
      <c r="N1" s="188">
        <v>20150930</v>
      </c>
      <c r="O1" s="188">
        <v>20141231</v>
      </c>
      <c r="P1" s="188">
        <v>20131231</v>
      </c>
      <c r="Q1" s="188">
        <v>20121231</v>
      </c>
      <c r="R1" s="188">
        <v>20111231</v>
      </c>
      <c r="S1" s="188">
        <v>19700101</v>
      </c>
    </row>
    <row r="2" spans="1:19" x14ac:dyDescent="0.25">
      <c r="A2" s="188" t="s">
        <v>105</v>
      </c>
      <c r="B2" s="188" t="s">
        <v>106</v>
      </c>
      <c r="C2" s="188" t="s">
        <v>106</v>
      </c>
      <c r="D2" s="188" t="s">
        <v>106</v>
      </c>
      <c r="E2" s="188" t="s">
        <v>106</v>
      </c>
      <c r="F2" s="188" t="s">
        <v>106</v>
      </c>
      <c r="G2" s="188" t="s">
        <v>106</v>
      </c>
      <c r="H2" s="188" t="s">
        <v>106</v>
      </c>
      <c r="I2" s="188" t="s">
        <v>106</v>
      </c>
      <c r="J2" s="188" t="s">
        <v>106</v>
      </c>
      <c r="K2" s="188" t="s">
        <v>106</v>
      </c>
      <c r="L2" s="188" t="s">
        <v>106</v>
      </c>
      <c r="M2" s="188" t="s">
        <v>106</v>
      </c>
      <c r="N2" s="188" t="s">
        <v>106</v>
      </c>
      <c r="O2" s="188" t="s">
        <v>106</v>
      </c>
      <c r="P2" s="188" t="s">
        <v>106</v>
      </c>
      <c r="Q2" s="188" t="s">
        <v>106</v>
      </c>
      <c r="R2" s="188" t="s">
        <v>106</v>
      </c>
    </row>
    <row r="3" spans="1:19" x14ac:dyDescent="0.25">
      <c r="A3" s="188" t="s">
        <v>219</v>
      </c>
    </row>
    <row r="4" spans="1:19" x14ac:dyDescent="0.25">
      <c r="A4" s="188" t="s">
        <v>220</v>
      </c>
      <c r="B4" s="188">
        <v>659665560.52999997</v>
      </c>
      <c r="C4" s="188">
        <v>392892543.87</v>
      </c>
      <c r="D4" s="188">
        <v>177583663.96000001</v>
      </c>
      <c r="E4" s="188">
        <v>801161519.13999999</v>
      </c>
      <c r="F4" s="188">
        <v>554516123.82000005</v>
      </c>
      <c r="G4" s="188">
        <v>360711308.88</v>
      </c>
      <c r="H4" s="188">
        <v>170192175.44999999</v>
      </c>
      <c r="I4" s="188">
        <v>711350011.96000004</v>
      </c>
      <c r="J4" s="188">
        <v>498709587.62</v>
      </c>
      <c r="K4" s="188">
        <v>305322938.24000001</v>
      </c>
      <c r="L4" s="188">
        <v>127848330.19</v>
      </c>
      <c r="M4" s="188">
        <v>637450598.5</v>
      </c>
      <c r="N4" s="188">
        <v>454338256.08999997</v>
      </c>
      <c r="O4" s="188">
        <v>565089648.98000002</v>
      </c>
      <c r="P4" s="188">
        <v>515923527.69999999</v>
      </c>
      <c r="Q4" s="188">
        <v>420546580.74000001</v>
      </c>
      <c r="R4" s="188">
        <v>325120725.17000002</v>
      </c>
      <c r="S4" s="188">
        <v>0</v>
      </c>
    </row>
    <row r="5" spans="1:19" x14ac:dyDescent="0.25">
      <c r="A5" s="188" t="s">
        <v>221</v>
      </c>
      <c r="B5" s="188">
        <v>0</v>
      </c>
      <c r="C5" s="188">
        <v>0</v>
      </c>
      <c r="D5" s="188">
        <v>0</v>
      </c>
      <c r="E5" s="188">
        <v>0</v>
      </c>
      <c r="F5" s="188">
        <v>0</v>
      </c>
      <c r="G5" s="188">
        <v>0</v>
      </c>
      <c r="H5" s="188">
        <v>0</v>
      </c>
      <c r="I5" s="188">
        <v>0</v>
      </c>
      <c r="J5" s="188">
        <v>0</v>
      </c>
      <c r="K5" s="188">
        <v>0</v>
      </c>
      <c r="L5" s="188">
        <v>0</v>
      </c>
      <c r="M5" s="188">
        <v>0</v>
      </c>
      <c r="N5" s="188">
        <v>0</v>
      </c>
      <c r="O5" s="188">
        <v>0</v>
      </c>
      <c r="P5" s="188">
        <v>0</v>
      </c>
      <c r="Q5" s="188">
        <v>0</v>
      </c>
      <c r="R5" s="188">
        <v>0</v>
      </c>
      <c r="S5" s="188">
        <v>0</v>
      </c>
    </row>
    <row r="6" spans="1:19" x14ac:dyDescent="0.25">
      <c r="A6" s="188" t="s">
        <v>222</v>
      </c>
      <c r="B6" s="188">
        <v>43315066.299999997</v>
      </c>
      <c r="C6" s="188">
        <v>29693139.300000001</v>
      </c>
      <c r="D6" s="188">
        <v>14280324.74</v>
      </c>
      <c r="E6" s="188">
        <v>36262909.530000001</v>
      </c>
      <c r="F6" s="188">
        <v>26061897.059999999</v>
      </c>
      <c r="G6" s="188">
        <v>15841524.33</v>
      </c>
      <c r="H6" s="188">
        <v>8300628.6100000003</v>
      </c>
      <c r="I6" s="188">
        <v>55617980.659999996</v>
      </c>
      <c r="J6" s="188">
        <v>34584149.729999997</v>
      </c>
      <c r="K6" s="188">
        <v>16355101.470000001</v>
      </c>
      <c r="L6" s="188">
        <v>7646073.4199999999</v>
      </c>
      <c r="M6" s="188">
        <v>47304988.530000001</v>
      </c>
      <c r="N6" s="188">
        <v>35062391.770000003</v>
      </c>
      <c r="O6" s="188">
        <v>24025024.07</v>
      </c>
      <c r="P6" s="188">
        <v>9740805.0199999996</v>
      </c>
      <c r="Q6" s="188">
        <v>5284780.84</v>
      </c>
      <c r="R6" s="188">
        <v>6450921.5499999998</v>
      </c>
      <c r="S6" s="188">
        <v>0</v>
      </c>
    </row>
    <row r="7" spans="1:19" x14ac:dyDescent="0.25">
      <c r="A7" s="188" t="s">
        <v>223</v>
      </c>
      <c r="B7" s="188">
        <v>702980626.83000004</v>
      </c>
      <c r="C7" s="188">
        <v>422585683.17000002</v>
      </c>
      <c r="D7" s="188">
        <v>191863988.69999999</v>
      </c>
      <c r="E7" s="188">
        <v>837424428.66999996</v>
      </c>
      <c r="F7" s="188">
        <v>580578020.88</v>
      </c>
      <c r="G7" s="188">
        <v>376552833.20999998</v>
      </c>
      <c r="H7" s="188">
        <v>178492804.06</v>
      </c>
      <c r="I7" s="188">
        <v>766967992.62</v>
      </c>
      <c r="J7" s="188">
        <v>533293737.35000002</v>
      </c>
      <c r="K7" s="188">
        <v>321678039.70999998</v>
      </c>
      <c r="L7" s="188">
        <v>135494403.61000001</v>
      </c>
      <c r="M7" s="188">
        <v>684755587.02999997</v>
      </c>
      <c r="N7" s="188">
        <v>489400647.86000001</v>
      </c>
      <c r="O7" s="188">
        <v>589114673.04999995</v>
      </c>
      <c r="P7" s="188">
        <v>525664332.72000003</v>
      </c>
      <c r="Q7" s="188">
        <v>425831361.57999998</v>
      </c>
      <c r="R7" s="188">
        <v>331571646.72000003</v>
      </c>
      <c r="S7" s="188">
        <v>0</v>
      </c>
    </row>
    <row r="8" spans="1:19" x14ac:dyDescent="0.25">
      <c r="A8" s="188" t="s">
        <v>224</v>
      </c>
      <c r="B8" s="188">
        <v>229663185.24000001</v>
      </c>
      <c r="C8" s="188">
        <v>143330980.00999999</v>
      </c>
      <c r="D8" s="188">
        <v>82253001.049999997</v>
      </c>
      <c r="E8" s="188">
        <v>244840380.53</v>
      </c>
      <c r="F8" s="188">
        <v>169857410.24000001</v>
      </c>
      <c r="G8" s="188">
        <v>106075990.33</v>
      </c>
      <c r="H8" s="188">
        <v>59586637.090000004</v>
      </c>
      <c r="I8" s="188">
        <v>182420074.81999999</v>
      </c>
      <c r="J8" s="188">
        <v>133080799.20999999</v>
      </c>
      <c r="K8" s="188">
        <v>81681480.540000007</v>
      </c>
      <c r="L8" s="188">
        <v>42162364.82</v>
      </c>
      <c r="M8" s="188">
        <v>179496995.66</v>
      </c>
      <c r="N8" s="188">
        <v>147693214.06999999</v>
      </c>
      <c r="O8" s="188">
        <v>156711904.91999999</v>
      </c>
      <c r="P8" s="188">
        <v>161425714.91</v>
      </c>
      <c r="Q8" s="188">
        <v>122925383.56999999</v>
      </c>
      <c r="R8" s="188">
        <v>91605157.790000007</v>
      </c>
      <c r="S8" s="188">
        <v>0</v>
      </c>
    </row>
    <row r="9" spans="1:19" x14ac:dyDescent="0.25">
      <c r="A9" s="188" t="s">
        <v>225</v>
      </c>
      <c r="B9" s="188">
        <v>228546068.62</v>
      </c>
      <c r="C9" s="188">
        <v>157753123.15000001</v>
      </c>
      <c r="D9" s="188">
        <v>85608887.620000005</v>
      </c>
      <c r="E9" s="188">
        <v>277144839.24000001</v>
      </c>
      <c r="F9" s="188">
        <v>193003150.27000001</v>
      </c>
      <c r="G9" s="188">
        <v>131935658.45999999</v>
      </c>
      <c r="H9" s="188">
        <v>72149341.040000007</v>
      </c>
      <c r="I9" s="188">
        <v>253177088.38999999</v>
      </c>
      <c r="J9" s="188">
        <v>170156535.68000001</v>
      </c>
      <c r="K9" s="188">
        <v>117396651.3</v>
      </c>
      <c r="L9" s="188">
        <v>66175167.109999999</v>
      </c>
      <c r="M9" s="188">
        <v>212040085.53</v>
      </c>
      <c r="N9" s="188">
        <v>149971279.61000001</v>
      </c>
      <c r="O9" s="188">
        <v>187788781.61000001</v>
      </c>
      <c r="P9" s="188">
        <v>156975592.97999999</v>
      </c>
      <c r="Q9" s="188">
        <v>118605915.26000001</v>
      </c>
      <c r="R9" s="188">
        <v>84544720.900000006</v>
      </c>
      <c r="S9" s="188">
        <v>0</v>
      </c>
    </row>
    <row r="10" spans="1:19" x14ac:dyDescent="0.25">
      <c r="A10" s="188" t="s">
        <v>226</v>
      </c>
      <c r="B10" s="188">
        <v>44051968.299999997</v>
      </c>
      <c r="C10" s="188">
        <v>29341479.859999999</v>
      </c>
      <c r="D10" s="188">
        <v>12061329.85</v>
      </c>
      <c r="E10" s="188">
        <v>59964090.539999999</v>
      </c>
      <c r="F10" s="188">
        <v>45147841.590000004</v>
      </c>
      <c r="G10" s="188">
        <v>31462655.48</v>
      </c>
      <c r="H10" s="188">
        <v>13874624.289999999</v>
      </c>
      <c r="I10" s="188">
        <v>52500098.460000001</v>
      </c>
      <c r="J10" s="188">
        <v>41470887.240000002</v>
      </c>
      <c r="K10" s="188">
        <v>25257564.039999999</v>
      </c>
      <c r="L10" s="188">
        <v>12358083.92</v>
      </c>
      <c r="M10" s="188">
        <v>53793332.039999999</v>
      </c>
      <c r="N10" s="188">
        <v>41343522.07</v>
      </c>
      <c r="O10" s="188">
        <v>47908966.039999999</v>
      </c>
      <c r="P10" s="188">
        <v>42141585.780000001</v>
      </c>
      <c r="Q10" s="188">
        <v>35892772.869999997</v>
      </c>
      <c r="R10" s="188">
        <v>31171477.239999998</v>
      </c>
      <c r="S10" s="188">
        <v>0</v>
      </c>
    </row>
    <row r="11" spans="1:19" x14ac:dyDescent="0.25">
      <c r="A11" s="188" t="s">
        <v>227</v>
      </c>
      <c r="B11" s="188">
        <v>75217756.060000002</v>
      </c>
      <c r="C11" s="188">
        <v>47533156.920000002</v>
      </c>
      <c r="D11" s="188">
        <v>19598458.370000001</v>
      </c>
      <c r="E11" s="188">
        <v>99966202.799999997</v>
      </c>
      <c r="F11" s="188">
        <v>62789560.590000004</v>
      </c>
      <c r="G11" s="188">
        <v>40058981.840000004</v>
      </c>
      <c r="H11" s="188">
        <v>13805909.039999999</v>
      </c>
      <c r="I11" s="188">
        <v>75524944.769999996</v>
      </c>
      <c r="J11" s="188">
        <v>50916290.060000002</v>
      </c>
      <c r="K11" s="188">
        <v>30741716.789999999</v>
      </c>
      <c r="L11" s="188">
        <v>10537052.390000001</v>
      </c>
      <c r="M11" s="188">
        <v>61036720.630000003</v>
      </c>
      <c r="N11" s="188">
        <v>64627878.990000002</v>
      </c>
      <c r="O11" s="188">
        <v>50107622.729999997</v>
      </c>
      <c r="P11" s="188">
        <v>52375358.649999999</v>
      </c>
      <c r="Q11" s="188">
        <v>38424614.920000002</v>
      </c>
      <c r="R11" s="188">
        <v>30609548.25</v>
      </c>
      <c r="S11" s="188">
        <v>0</v>
      </c>
    </row>
    <row r="12" spans="1:19" x14ac:dyDescent="0.25">
      <c r="A12" s="188" t="s">
        <v>228</v>
      </c>
      <c r="B12" s="188">
        <v>577478978.22000003</v>
      </c>
      <c r="C12" s="188">
        <v>377958739.94</v>
      </c>
      <c r="D12" s="188">
        <v>199521676.88999999</v>
      </c>
      <c r="E12" s="188">
        <v>681915513.11000001</v>
      </c>
      <c r="F12" s="188">
        <v>470797962.69</v>
      </c>
      <c r="G12" s="188">
        <v>309533286.11000001</v>
      </c>
      <c r="H12" s="188">
        <v>159416511.46000001</v>
      </c>
      <c r="I12" s="188">
        <v>563622206.44000006</v>
      </c>
      <c r="J12" s="188">
        <v>395624512.19</v>
      </c>
      <c r="K12" s="188">
        <v>255077412.66999999</v>
      </c>
      <c r="L12" s="188">
        <v>131232668.23999999</v>
      </c>
      <c r="M12" s="188">
        <v>506367133.86000001</v>
      </c>
      <c r="N12" s="188">
        <v>403635894.74000001</v>
      </c>
      <c r="O12" s="188">
        <v>442517275.30000001</v>
      </c>
      <c r="P12" s="188">
        <v>412918252.31999999</v>
      </c>
      <c r="Q12" s="188">
        <v>315848686.62</v>
      </c>
      <c r="R12" s="188">
        <v>237930904.18000001</v>
      </c>
      <c r="S12" s="188">
        <v>0</v>
      </c>
    </row>
    <row r="13" spans="1:19" x14ac:dyDescent="0.25">
      <c r="A13" s="188" t="s">
        <v>229</v>
      </c>
      <c r="B13" s="188">
        <v>125501648.61</v>
      </c>
      <c r="C13" s="188">
        <v>44626943.229999997</v>
      </c>
      <c r="D13" s="188">
        <v>-7657688.1900000004</v>
      </c>
      <c r="E13" s="188">
        <v>155508915.56</v>
      </c>
      <c r="F13" s="188">
        <v>109780058.19</v>
      </c>
      <c r="G13" s="188">
        <v>67019547.100000001</v>
      </c>
      <c r="H13" s="188">
        <v>19076292.600000001</v>
      </c>
      <c r="I13" s="188">
        <v>203345786.18000001</v>
      </c>
      <c r="J13" s="188">
        <v>137669225.16</v>
      </c>
      <c r="K13" s="188">
        <v>66600627.039999999</v>
      </c>
      <c r="L13" s="188">
        <v>4261735.37</v>
      </c>
      <c r="M13" s="188">
        <v>178388453.16999999</v>
      </c>
      <c r="N13" s="188">
        <v>85764753.120000005</v>
      </c>
      <c r="O13" s="188">
        <v>146597397.75</v>
      </c>
      <c r="P13" s="188">
        <v>112746080.40000001</v>
      </c>
      <c r="Q13" s="188">
        <v>109982674.95999999</v>
      </c>
      <c r="R13" s="188">
        <v>93640742.540000007</v>
      </c>
      <c r="S13" s="188">
        <v>0</v>
      </c>
    </row>
    <row r="14" spans="1:19" x14ac:dyDescent="0.25">
      <c r="A14" s="188" t="s">
        <v>230</v>
      </c>
    </row>
    <row r="15" spans="1:19" x14ac:dyDescent="0.25">
      <c r="A15" s="188" t="s">
        <v>231</v>
      </c>
      <c r="B15" s="188">
        <v>0</v>
      </c>
      <c r="C15" s="188">
        <v>0</v>
      </c>
      <c r="D15" s="188">
        <v>0</v>
      </c>
      <c r="E15" s="188">
        <v>0</v>
      </c>
      <c r="F15" s="188">
        <v>0</v>
      </c>
      <c r="G15" s="188">
        <v>0</v>
      </c>
      <c r="H15" s="188">
        <v>0</v>
      </c>
      <c r="I15" s="188">
        <v>0</v>
      </c>
      <c r="J15" s="188">
        <v>0</v>
      </c>
      <c r="K15" s="188">
        <v>0</v>
      </c>
      <c r="L15" s="188">
        <v>0</v>
      </c>
      <c r="M15" s="188">
        <v>1000000</v>
      </c>
      <c r="N15" s="188">
        <v>1000000</v>
      </c>
      <c r="O15" s="188">
        <v>0</v>
      </c>
      <c r="P15" s="188">
        <v>0</v>
      </c>
      <c r="Q15" s="188">
        <v>0</v>
      </c>
      <c r="R15" s="188">
        <v>0</v>
      </c>
      <c r="S15" s="188">
        <v>0</v>
      </c>
    </row>
    <row r="16" spans="1:19" x14ac:dyDescent="0.25">
      <c r="A16" s="188" t="s">
        <v>232</v>
      </c>
      <c r="B16" s="188">
        <v>10278291.24</v>
      </c>
      <c r="C16" s="188">
        <v>6479119.46</v>
      </c>
      <c r="D16" s="188">
        <v>4090676.54</v>
      </c>
      <c r="E16" s="188">
        <v>8230887.71</v>
      </c>
      <c r="F16" s="188">
        <v>5563118.3600000003</v>
      </c>
      <c r="G16" s="188">
        <v>2828229.63</v>
      </c>
      <c r="H16" s="188">
        <v>741331</v>
      </c>
      <c r="I16" s="188">
        <v>336511.65</v>
      </c>
      <c r="J16" s="188">
        <v>95728.77</v>
      </c>
      <c r="K16" s="188">
        <v>59769.87</v>
      </c>
      <c r="L16" s="188">
        <v>0</v>
      </c>
      <c r="M16" s="188">
        <v>0</v>
      </c>
      <c r="N16" s="188">
        <v>0</v>
      </c>
      <c r="O16" s="188">
        <v>0</v>
      </c>
      <c r="P16" s="188">
        <v>0</v>
      </c>
      <c r="Q16" s="188">
        <v>0</v>
      </c>
      <c r="R16" s="188">
        <v>0</v>
      </c>
      <c r="S16" s="188">
        <v>0</v>
      </c>
    </row>
    <row r="17" spans="1:19" x14ac:dyDescent="0.25">
      <c r="A17" s="188" t="s">
        <v>233</v>
      </c>
      <c r="B17" s="188">
        <v>55629.26</v>
      </c>
      <c r="C17" s="188">
        <v>52629.26</v>
      </c>
      <c r="D17" s="188">
        <v>37795.65</v>
      </c>
      <c r="E17" s="188">
        <v>370072.1</v>
      </c>
      <c r="F17" s="188">
        <v>436200</v>
      </c>
      <c r="G17" s="188">
        <v>424700</v>
      </c>
      <c r="H17" s="188">
        <v>281880</v>
      </c>
      <c r="I17" s="188">
        <v>9612025.1600000001</v>
      </c>
      <c r="J17" s="188">
        <v>49163.3</v>
      </c>
      <c r="K17" s="188">
        <v>17833</v>
      </c>
      <c r="L17" s="188">
        <v>7689</v>
      </c>
      <c r="M17" s="188">
        <v>67792.53</v>
      </c>
      <c r="N17" s="188">
        <v>45745.03</v>
      </c>
      <c r="O17" s="188">
        <v>176528</v>
      </c>
      <c r="P17" s="188">
        <v>119436</v>
      </c>
      <c r="Q17" s="188">
        <v>1219188.68</v>
      </c>
      <c r="R17" s="188">
        <v>374680.55</v>
      </c>
      <c r="S17" s="188">
        <v>0</v>
      </c>
    </row>
    <row r="18" spans="1:19" x14ac:dyDescent="0.25">
      <c r="A18" s="188" t="s">
        <v>234</v>
      </c>
      <c r="B18" s="188">
        <v>0</v>
      </c>
      <c r="C18" s="188">
        <v>0</v>
      </c>
      <c r="D18" s="188">
        <v>0</v>
      </c>
      <c r="E18" s="188">
        <v>0</v>
      </c>
      <c r="F18" s="188">
        <v>0</v>
      </c>
      <c r="G18" s="188">
        <v>0</v>
      </c>
      <c r="H18" s="188">
        <v>0</v>
      </c>
      <c r="I18" s="188">
        <v>0</v>
      </c>
      <c r="J18" s="188">
        <v>0</v>
      </c>
      <c r="K18" s="188">
        <v>0</v>
      </c>
      <c r="L18" s="188">
        <v>0</v>
      </c>
      <c r="M18" s="188">
        <v>107261.55</v>
      </c>
      <c r="N18" s="188">
        <v>107261.55</v>
      </c>
      <c r="O18" s="188">
        <v>0</v>
      </c>
      <c r="P18" s="188">
        <v>0</v>
      </c>
      <c r="Q18" s="188">
        <v>0</v>
      </c>
      <c r="R18" s="188">
        <v>0</v>
      </c>
      <c r="S18" s="188">
        <v>0</v>
      </c>
    </row>
    <row r="19" spans="1:19" x14ac:dyDescent="0.25">
      <c r="A19" s="188" t="s">
        <v>235</v>
      </c>
      <c r="B19" s="188">
        <v>873000000</v>
      </c>
      <c r="C19" s="188">
        <v>558000000</v>
      </c>
      <c r="D19" s="188">
        <v>313000000</v>
      </c>
      <c r="E19" s="188">
        <v>1175270000</v>
      </c>
      <c r="F19" s="188">
        <v>880270000</v>
      </c>
      <c r="G19" s="188">
        <v>453570000</v>
      </c>
      <c r="H19" s="188">
        <v>217770000</v>
      </c>
      <c r="I19" s="188">
        <v>224500000</v>
      </c>
      <c r="J19" s="188">
        <v>0</v>
      </c>
      <c r="K19" s="188">
        <v>0</v>
      </c>
      <c r="L19" s="188">
        <v>102000000</v>
      </c>
      <c r="M19" s="188">
        <v>0</v>
      </c>
      <c r="N19" s="188">
        <v>0</v>
      </c>
      <c r="O19" s="188">
        <v>0</v>
      </c>
      <c r="P19" s="188">
        <v>0</v>
      </c>
      <c r="Q19" s="188">
        <v>10000000</v>
      </c>
      <c r="R19" s="188">
        <v>0</v>
      </c>
      <c r="S19" s="188">
        <v>0</v>
      </c>
    </row>
    <row r="20" spans="1:19" x14ac:dyDescent="0.25">
      <c r="A20" s="188" t="s">
        <v>236</v>
      </c>
      <c r="B20" s="188">
        <v>883333920.5</v>
      </c>
      <c r="C20" s="188">
        <v>564531748.72000003</v>
      </c>
      <c r="D20" s="188">
        <v>317128472.19</v>
      </c>
      <c r="E20" s="188">
        <v>1183870959.8099999</v>
      </c>
      <c r="F20" s="188">
        <v>886269318.36000001</v>
      </c>
      <c r="G20" s="188">
        <v>456822929.63</v>
      </c>
      <c r="H20" s="188">
        <v>218793211</v>
      </c>
      <c r="I20" s="188">
        <v>234448536.81</v>
      </c>
      <c r="J20" s="188">
        <v>144892.07</v>
      </c>
      <c r="K20" s="188">
        <v>77602.87</v>
      </c>
      <c r="L20" s="188">
        <v>102007689</v>
      </c>
      <c r="M20" s="188">
        <v>1175054.08</v>
      </c>
      <c r="N20" s="188">
        <v>1153006.58</v>
      </c>
      <c r="O20" s="188">
        <v>176528</v>
      </c>
      <c r="P20" s="188">
        <v>119436</v>
      </c>
      <c r="Q20" s="188">
        <v>11219188.68</v>
      </c>
      <c r="R20" s="188">
        <v>374680.55</v>
      </c>
      <c r="S20" s="188">
        <v>0</v>
      </c>
    </row>
    <row r="21" spans="1:19" x14ac:dyDescent="0.25">
      <c r="A21" s="188" t="s">
        <v>237</v>
      </c>
      <c r="B21" s="188">
        <v>74805991.439999998</v>
      </c>
      <c r="C21" s="188">
        <v>44863084.299999997</v>
      </c>
      <c r="D21" s="188">
        <v>20165188.25</v>
      </c>
      <c r="E21" s="188">
        <v>95221366.510000005</v>
      </c>
      <c r="F21" s="188">
        <v>59997371.659999996</v>
      </c>
      <c r="G21" s="188">
        <v>30176346.969999999</v>
      </c>
      <c r="H21" s="188">
        <v>17617551.010000002</v>
      </c>
      <c r="I21" s="188">
        <v>68799140.079999998</v>
      </c>
      <c r="J21" s="188">
        <v>56123747.530000001</v>
      </c>
      <c r="K21" s="188">
        <v>33793913.229999997</v>
      </c>
      <c r="L21" s="188">
        <v>16034616.74</v>
      </c>
      <c r="M21" s="188">
        <v>44719761.340000004</v>
      </c>
      <c r="N21" s="188">
        <v>28732733.170000002</v>
      </c>
      <c r="O21" s="188">
        <v>34035618.399999999</v>
      </c>
      <c r="P21" s="188">
        <v>205534323.25</v>
      </c>
      <c r="Q21" s="188">
        <v>98020191.620000005</v>
      </c>
      <c r="R21" s="188">
        <v>20215098.969999999</v>
      </c>
      <c r="S21" s="188">
        <v>0</v>
      </c>
    </row>
    <row r="22" spans="1:19" x14ac:dyDescent="0.25">
      <c r="A22" s="188" t="s">
        <v>238</v>
      </c>
      <c r="B22" s="188">
        <v>0</v>
      </c>
      <c r="C22" s="188">
        <v>0</v>
      </c>
      <c r="D22" s="188">
        <v>40559669</v>
      </c>
      <c r="E22" s="188">
        <v>33000000</v>
      </c>
      <c r="F22" s="188">
        <v>0</v>
      </c>
      <c r="G22" s="188">
        <v>0</v>
      </c>
      <c r="H22" s="188">
        <v>0</v>
      </c>
      <c r="I22" s="188">
        <v>0</v>
      </c>
      <c r="J22" s="188">
        <v>0</v>
      </c>
      <c r="K22" s="188">
        <v>0</v>
      </c>
      <c r="L22" s="188">
        <v>0</v>
      </c>
      <c r="M22" s="188">
        <v>0</v>
      </c>
      <c r="N22" s="188">
        <v>0</v>
      </c>
      <c r="O22" s="188">
        <v>0</v>
      </c>
      <c r="P22" s="188">
        <v>0</v>
      </c>
      <c r="Q22" s="188">
        <v>28858831.859999999</v>
      </c>
      <c r="R22" s="188">
        <v>1000000</v>
      </c>
      <c r="S22" s="188">
        <v>0</v>
      </c>
    </row>
    <row r="23" spans="1:19" x14ac:dyDescent="0.25">
      <c r="A23" s="188" t="s">
        <v>239</v>
      </c>
      <c r="B23" s="188">
        <v>21781052.800000001</v>
      </c>
      <c r="C23" s="188">
        <v>21781052.800000001</v>
      </c>
      <c r="D23" s="188">
        <v>0</v>
      </c>
      <c r="E23" s="188">
        <v>0</v>
      </c>
      <c r="F23" s="188">
        <v>0</v>
      </c>
      <c r="G23" s="188">
        <v>0</v>
      </c>
      <c r="H23" s="188">
        <v>0</v>
      </c>
      <c r="I23" s="188">
        <v>0</v>
      </c>
      <c r="J23" s="188">
        <v>0</v>
      </c>
      <c r="K23" s="188">
        <v>0</v>
      </c>
      <c r="L23" s="188">
        <v>0</v>
      </c>
      <c r="M23" s="188">
        <v>1028781.98</v>
      </c>
      <c r="N23" s="188">
        <v>1028781.98</v>
      </c>
      <c r="O23" s="188">
        <v>600000</v>
      </c>
      <c r="P23" s="188">
        <v>27774600</v>
      </c>
      <c r="Q23" s="188">
        <v>3635607.03</v>
      </c>
      <c r="R23" s="188">
        <v>37253856.159999996</v>
      </c>
      <c r="S23" s="188">
        <v>0</v>
      </c>
    </row>
    <row r="24" spans="1:19" x14ac:dyDescent="0.25">
      <c r="A24" s="188" t="s">
        <v>240</v>
      </c>
      <c r="B24" s="188">
        <v>996000000</v>
      </c>
      <c r="C24" s="188">
        <v>616000000</v>
      </c>
      <c r="D24" s="188">
        <v>406000000</v>
      </c>
      <c r="E24" s="188">
        <v>1172700000</v>
      </c>
      <c r="F24" s="188">
        <v>980700000</v>
      </c>
      <c r="G24" s="188">
        <v>450700000</v>
      </c>
      <c r="H24" s="188">
        <v>85000000</v>
      </c>
      <c r="I24" s="188">
        <v>494070000</v>
      </c>
      <c r="J24" s="188">
        <v>0</v>
      </c>
      <c r="K24" s="188">
        <v>0</v>
      </c>
      <c r="L24" s="188">
        <v>102000000</v>
      </c>
      <c r="M24" s="188">
        <v>0</v>
      </c>
      <c r="N24" s="188">
        <v>0</v>
      </c>
      <c r="O24" s="188">
        <v>0</v>
      </c>
      <c r="P24" s="188">
        <v>0</v>
      </c>
      <c r="Q24" s="188">
        <v>1314377.48</v>
      </c>
      <c r="R24" s="188">
        <v>20069857.199999999</v>
      </c>
      <c r="S24" s="188">
        <v>0</v>
      </c>
    </row>
    <row r="25" spans="1:19" x14ac:dyDescent="0.25">
      <c r="A25" s="188" t="s">
        <v>241</v>
      </c>
      <c r="B25" s="188">
        <v>1092587044.24</v>
      </c>
      <c r="C25" s="188">
        <v>682644137.10000002</v>
      </c>
      <c r="D25" s="188">
        <v>466724857.25</v>
      </c>
      <c r="E25" s="188">
        <v>1300921366.51</v>
      </c>
      <c r="F25" s="188">
        <v>1040697371.66</v>
      </c>
      <c r="G25" s="188">
        <v>480876346.97000003</v>
      </c>
      <c r="H25" s="188">
        <v>102617551.01000001</v>
      </c>
      <c r="I25" s="188">
        <v>562869140.08000004</v>
      </c>
      <c r="J25" s="188">
        <v>56123747.530000001</v>
      </c>
      <c r="K25" s="188">
        <v>33793913.229999997</v>
      </c>
      <c r="L25" s="188">
        <v>118034616.73999999</v>
      </c>
      <c r="M25" s="188">
        <v>45748543.32</v>
      </c>
      <c r="N25" s="188">
        <v>29761515.149999999</v>
      </c>
      <c r="O25" s="188">
        <v>34635618.399999999</v>
      </c>
      <c r="P25" s="188">
        <v>233308923.25</v>
      </c>
      <c r="Q25" s="188">
        <v>131829007.98999999</v>
      </c>
      <c r="R25" s="188">
        <v>78538812.329999998</v>
      </c>
      <c r="S25" s="188">
        <v>0</v>
      </c>
    </row>
    <row r="26" spans="1:19" x14ac:dyDescent="0.25">
      <c r="A26" s="188" t="s">
        <v>242</v>
      </c>
      <c r="B26" s="188">
        <v>-209253123.74000001</v>
      </c>
      <c r="C26" s="188">
        <v>-118112388.38</v>
      </c>
      <c r="D26" s="188">
        <v>-149596385.06</v>
      </c>
      <c r="E26" s="188">
        <v>-117050406.7</v>
      </c>
      <c r="F26" s="188">
        <v>-154428053.30000001</v>
      </c>
      <c r="G26" s="188">
        <v>-24053417.34</v>
      </c>
      <c r="H26" s="188">
        <v>116175659.98999999</v>
      </c>
      <c r="I26" s="188">
        <v>-328420603.26999998</v>
      </c>
      <c r="J26" s="188">
        <v>-55978855.460000001</v>
      </c>
      <c r="K26" s="188">
        <v>-33716310.359999999</v>
      </c>
      <c r="L26" s="188">
        <v>-16026927.74</v>
      </c>
      <c r="M26" s="188">
        <v>-44573489.240000002</v>
      </c>
      <c r="N26" s="188">
        <v>-28608508.57</v>
      </c>
      <c r="O26" s="188">
        <v>-34459090.399999999</v>
      </c>
      <c r="P26" s="188">
        <v>-233189487.25</v>
      </c>
      <c r="Q26" s="188">
        <v>-120609819.31</v>
      </c>
      <c r="R26" s="188">
        <v>-78164131.780000001</v>
      </c>
      <c r="S26" s="188">
        <v>0</v>
      </c>
    </row>
    <row r="27" spans="1:19" x14ac:dyDescent="0.25">
      <c r="A27" s="188" t="s">
        <v>243</v>
      </c>
    </row>
    <row r="28" spans="1:19" x14ac:dyDescent="0.25">
      <c r="A28" s="188" t="s">
        <v>244</v>
      </c>
      <c r="B28" s="188">
        <v>0</v>
      </c>
      <c r="C28" s="188">
        <v>0</v>
      </c>
      <c r="D28" s="188">
        <v>0</v>
      </c>
      <c r="E28" s="188">
        <v>0</v>
      </c>
      <c r="F28" s="188">
        <v>0</v>
      </c>
      <c r="G28" s="188">
        <v>0</v>
      </c>
      <c r="H28" s="188">
        <v>0</v>
      </c>
      <c r="I28" s="188">
        <v>519200000</v>
      </c>
      <c r="J28" s="188">
        <v>0</v>
      </c>
      <c r="K28" s="188">
        <v>0</v>
      </c>
      <c r="L28" s="188">
        <v>0</v>
      </c>
      <c r="M28" s="188">
        <v>1250000</v>
      </c>
      <c r="N28" s="188">
        <v>0</v>
      </c>
      <c r="O28" s="188">
        <v>0</v>
      </c>
      <c r="P28" s="188">
        <v>2172280</v>
      </c>
      <c r="Q28" s="188">
        <v>3000000</v>
      </c>
      <c r="R28" s="188">
        <v>17450000</v>
      </c>
      <c r="S28" s="188">
        <v>0</v>
      </c>
    </row>
    <row r="29" spans="1:19" x14ac:dyDescent="0.25">
      <c r="A29" s="188" t="s">
        <v>245</v>
      </c>
      <c r="B29" s="188">
        <v>0</v>
      </c>
      <c r="C29" s="188">
        <v>0</v>
      </c>
      <c r="D29" s="188">
        <v>0</v>
      </c>
      <c r="E29" s="188">
        <v>0</v>
      </c>
      <c r="F29" s="188">
        <v>0</v>
      </c>
      <c r="G29" s="188">
        <v>0</v>
      </c>
      <c r="H29" s="188">
        <v>0</v>
      </c>
      <c r="I29" s="188">
        <v>0</v>
      </c>
      <c r="J29" s="188">
        <v>0</v>
      </c>
      <c r="K29" s="188">
        <v>0</v>
      </c>
      <c r="L29" s="188">
        <v>0</v>
      </c>
      <c r="M29" s="188">
        <v>1250000</v>
      </c>
      <c r="N29" s="188">
        <v>0</v>
      </c>
      <c r="O29" s="188">
        <v>0</v>
      </c>
      <c r="P29" s="188">
        <v>2172280</v>
      </c>
      <c r="Q29" s="188">
        <v>0</v>
      </c>
      <c r="R29" s="188">
        <v>0</v>
      </c>
      <c r="S29" s="188">
        <v>0</v>
      </c>
    </row>
    <row r="30" spans="1:19" x14ac:dyDescent="0.25">
      <c r="A30" s="188" t="s">
        <v>246</v>
      </c>
      <c r="B30" s="188">
        <v>0</v>
      </c>
      <c r="C30" s="188">
        <v>0</v>
      </c>
      <c r="D30" s="188">
        <v>0</v>
      </c>
      <c r="E30" s="188">
        <v>0</v>
      </c>
      <c r="F30" s="188">
        <v>0</v>
      </c>
      <c r="G30" s="188">
        <v>0</v>
      </c>
      <c r="H30" s="188">
        <v>0</v>
      </c>
      <c r="I30" s="188">
        <v>52421993.420000002</v>
      </c>
      <c r="J30" s="188">
        <v>49821993.420000002</v>
      </c>
      <c r="K30" s="188">
        <v>47680065.509999998</v>
      </c>
      <c r="L30" s="188">
        <v>26660263.5</v>
      </c>
      <c r="M30" s="188">
        <v>44625725.329999998</v>
      </c>
      <c r="N30" s="188">
        <v>11330000</v>
      </c>
      <c r="O30" s="188">
        <v>34603887</v>
      </c>
      <c r="P30" s="188">
        <v>192098585</v>
      </c>
      <c r="Q30" s="188">
        <v>65837129</v>
      </c>
      <c r="R30" s="188">
        <v>19000000</v>
      </c>
      <c r="S30" s="188">
        <v>0</v>
      </c>
    </row>
    <row r="31" spans="1:19" x14ac:dyDescent="0.25">
      <c r="A31" s="188" t="s">
        <v>247</v>
      </c>
      <c r="B31" s="188">
        <v>0</v>
      </c>
      <c r="C31" s="188">
        <v>0</v>
      </c>
      <c r="D31" s="188">
        <v>0</v>
      </c>
      <c r="E31" s="188">
        <v>0</v>
      </c>
      <c r="F31" s="188">
        <v>0</v>
      </c>
      <c r="G31" s="188">
        <v>0</v>
      </c>
      <c r="H31" s="188">
        <v>0</v>
      </c>
      <c r="I31" s="188">
        <v>0</v>
      </c>
      <c r="J31" s="188">
        <v>0</v>
      </c>
      <c r="K31" s="188">
        <v>0</v>
      </c>
      <c r="L31" s="188">
        <v>0</v>
      </c>
      <c r="M31" s="188">
        <v>0</v>
      </c>
      <c r="N31" s="188">
        <v>0</v>
      </c>
      <c r="O31" s="188">
        <v>0</v>
      </c>
      <c r="P31" s="188">
        <v>0</v>
      </c>
      <c r="Q31" s="188">
        <v>0</v>
      </c>
      <c r="R31" s="188">
        <v>0</v>
      </c>
      <c r="S31" s="188">
        <v>0</v>
      </c>
    </row>
    <row r="32" spans="1:19" x14ac:dyDescent="0.25">
      <c r="A32" s="188" t="s">
        <v>248</v>
      </c>
      <c r="B32" s="188">
        <v>0</v>
      </c>
      <c r="C32" s="188">
        <v>0</v>
      </c>
      <c r="D32" s="188">
        <v>0</v>
      </c>
      <c r="E32" s="188">
        <v>0</v>
      </c>
      <c r="F32" s="188">
        <v>0</v>
      </c>
      <c r="G32" s="188">
        <v>0</v>
      </c>
      <c r="H32" s="188">
        <v>0</v>
      </c>
      <c r="I32" s="188">
        <v>0</v>
      </c>
      <c r="J32" s="188">
        <v>0</v>
      </c>
      <c r="K32" s="188">
        <v>0</v>
      </c>
      <c r="L32" s="188">
        <v>0</v>
      </c>
      <c r="M32" s="188">
        <v>0</v>
      </c>
      <c r="N32" s="188">
        <v>0</v>
      </c>
      <c r="O32" s="188">
        <v>0</v>
      </c>
      <c r="P32" s="188">
        <v>0</v>
      </c>
      <c r="Q32" s="188">
        <v>0</v>
      </c>
      <c r="R32" s="188">
        <v>0</v>
      </c>
      <c r="S32" s="188">
        <v>0</v>
      </c>
    </row>
    <row r="33" spans="1:19" x14ac:dyDescent="0.25">
      <c r="A33" s="188" t="s">
        <v>249</v>
      </c>
      <c r="B33" s="188">
        <v>0</v>
      </c>
      <c r="C33" s="188">
        <v>0</v>
      </c>
      <c r="D33" s="188">
        <v>0</v>
      </c>
      <c r="E33" s="188">
        <v>0</v>
      </c>
      <c r="F33" s="188">
        <v>0</v>
      </c>
      <c r="G33" s="188">
        <v>0</v>
      </c>
      <c r="H33" s="188">
        <v>0</v>
      </c>
      <c r="I33" s="188">
        <v>571621993.41999996</v>
      </c>
      <c r="J33" s="188">
        <v>49821993.420000002</v>
      </c>
      <c r="K33" s="188">
        <v>47680065.509999998</v>
      </c>
      <c r="L33" s="188">
        <v>26660263.5</v>
      </c>
      <c r="M33" s="188">
        <v>45875725.329999998</v>
      </c>
      <c r="N33" s="188">
        <v>11330000</v>
      </c>
      <c r="O33" s="188">
        <v>34603887</v>
      </c>
      <c r="P33" s="188">
        <v>194270865</v>
      </c>
      <c r="Q33" s="188">
        <v>68837129</v>
      </c>
      <c r="R33" s="188">
        <v>36450000</v>
      </c>
      <c r="S33" s="188">
        <v>0</v>
      </c>
    </row>
    <row r="34" spans="1:19" x14ac:dyDescent="0.25">
      <c r="A34" s="188" t="s">
        <v>250</v>
      </c>
      <c r="B34" s="188">
        <v>0</v>
      </c>
      <c r="C34" s="188">
        <v>0</v>
      </c>
      <c r="D34" s="188">
        <v>0</v>
      </c>
      <c r="E34" s="188">
        <v>76655193.420000002</v>
      </c>
      <c r="F34" s="188">
        <v>76655193.420000002</v>
      </c>
      <c r="G34" s="188">
        <v>76655193.420000002</v>
      </c>
      <c r="H34" s="188">
        <v>33004010</v>
      </c>
      <c r="I34" s="188">
        <v>66184525.329999998</v>
      </c>
      <c r="J34" s="188">
        <v>27891600</v>
      </c>
      <c r="K34" s="188">
        <v>26204400</v>
      </c>
      <c r="L34" s="188">
        <v>9187200</v>
      </c>
      <c r="M34" s="188">
        <v>57248800</v>
      </c>
      <c r="N34" s="188">
        <v>21561600</v>
      </c>
      <c r="O34" s="188">
        <v>109998801</v>
      </c>
      <c r="P34" s="188">
        <v>79500000</v>
      </c>
      <c r="Q34" s="188">
        <v>19000000</v>
      </c>
      <c r="R34" s="188">
        <v>0</v>
      </c>
      <c r="S34" s="188">
        <v>0</v>
      </c>
    </row>
    <row r="35" spans="1:19" x14ac:dyDescent="0.25">
      <c r="A35" s="188" t="s">
        <v>550</v>
      </c>
      <c r="B35" s="188">
        <v>53497103.719999999</v>
      </c>
      <c r="C35" s="188">
        <v>52297103.719999999</v>
      </c>
      <c r="D35" s="188">
        <v>567103.72</v>
      </c>
      <c r="E35" s="188">
        <v>46567077.350000001</v>
      </c>
      <c r="F35" s="188">
        <v>46567077.350000001</v>
      </c>
      <c r="G35" s="188">
        <v>46567077.350000001</v>
      </c>
      <c r="H35" s="188">
        <v>685762.36</v>
      </c>
      <c r="I35" s="188">
        <v>133101204.90000001</v>
      </c>
      <c r="J35" s="188">
        <v>130357588.36</v>
      </c>
      <c r="K35" s="188">
        <v>128806872.48999999</v>
      </c>
      <c r="L35" s="188">
        <v>1206431.31</v>
      </c>
      <c r="M35" s="188">
        <v>39991880.43</v>
      </c>
      <c r="N35" s="188">
        <v>38899233.530000001</v>
      </c>
      <c r="O35" s="188">
        <v>35295555.130000003</v>
      </c>
      <c r="P35" s="188">
        <v>38078510.979999997</v>
      </c>
      <c r="Q35" s="188">
        <v>14465841.789999999</v>
      </c>
      <c r="R35" s="188">
        <v>21090851.629999999</v>
      </c>
      <c r="S35" s="188">
        <v>0</v>
      </c>
    </row>
    <row r="36" spans="1:19" x14ac:dyDescent="0.25">
      <c r="A36" s="188" t="s">
        <v>251</v>
      </c>
      <c r="B36" s="188">
        <v>9497103.7200000007</v>
      </c>
      <c r="C36" s="188">
        <v>8297103.7199999997</v>
      </c>
      <c r="D36" s="188">
        <v>567103.72</v>
      </c>
      <c r="E36" s="188">
        <v>10550000</v>
      </c>
      <c r="F36" s="188">
        <v>10550000</v>
      </c>
      <c r="G36" s="188">
        <v>10550000</v>
      </c>
      <c r="H36" s="188">
        <v>0</v>
      </c>
      <c r="I36" s="188">
        <v>9997107.5600000005</v>
      </c>
      <c r="J36" s="188">
        <v>8902000</v>
      </c>
      <c r="K36" s="188">
        <v>8902000</v>
      </c>
      <c r="L36" s="188">
        <v>0</v>
      </c>
      <c r="M36" s="188">
        <v>11193159.050000001</v>
      </c>
      <c r="N36" s="188">
        <v>11193364.210000001</v>
      </c>
      <c r="O36" s="188">
        <v>2309322</v>
      </c>
      <c r="P36" s="188">
        <v>2825880</v>
      </c>
      <c r="Q36" s="188">
        <v>0</v>
      </c>
      <c r="R36" s="188">
        <v>0</v>
      </c>
      <c r="S36" s="188">
        <v>0</v>
      </c>
    </row>
    <row r="37" spans="1:19" x14ac:dyDescent="0.25">
      <c r="A37" s="188" t="s">
        <v>252</v>
      </c>
      <c r="B37" s="188">
        <v>0</v>
      </c>
      <c r="C37" s="188">
        <v>0</v>
      </c>
      <c r="D37" s="188">
        <v>0</v>
      </c>
      <c r="E37" s="188">
        <v>0</v>
      </c>
      <c r="F37" s="188">
        <v>0</v>
      </c>
      <c r="G37" s="188">
        <v>0</v>
      </c>
      <c r="H37" s="188">
        <v>0</v>
      </c>
      <c r="I37" s="188">
        <v>6737389.2599999998</v>
      </c>
      <c r="J37" s="188">
        <v>1583018.87</v>
      </c>
      <c r="K37" s="188">
        <v>1515945</v>
      </c>
      <c r="L37" s="188">
        <v>0</v>
      </c>
      <c r="M37" s="188">
        <v>718867.94</v>
      </c>
      <c r="N37" s="188">
        <v>652830.19999999995</v>
      </c>
      <c r="O37" s="188">
        <v>450000</v>
      </c>
      <c r="P37" s="188">
        <v>3741509.41</v>
      </c>
      <c r="Q37" s="188">
        <v>0</v>
      </c>
      <c r="R37" s="188">
        <v>84422.86</v>
      </c>
      <c r="S37" s="188">
        <v>0</v>
      </c>
    </row>
    <row r="38" spans="1:19" x14ac:dyDescent="0.25">
      <c r="A38" s="188" t="s">
        <v>253</v>
      </c>
      <c r="B38" s="188">
        <v>53497103.719999999</v>
      </c>
      <c r="C38" s="188">
        <v>52297103.719999999</v>
      </c>
      <c r="D38" s="188">
        <v>567103.72</v>
      </c>
      <c r="E38" s="188">
        <v>123222270.77</v>
      </c>
      <c r="F38" s="188">
        <v>123222270.77</v>
      </c>
      <c r="G38" s="188">
        <v>123222270.77</v>
      </c>
      <c r="H38" s="188">
        <v>33689772.359999999</v>
      </c>
      <c r="I38" s="188">
        <v>206023119.49000001</v>
      </c>
      <c r="J38" s="188">
        <v>159832207.22999999</v>
      </c>
      <c r="K38" s="188">
        <v>156527217.49000001</v>
      </c>
      <c r="L38" s="188">
        <v>10393631.310000001</v>
      </c>
      <c r="M38" s="188">
        <v>97959548.370000005</v>
      </c>
      <c r="N38" s="188">
        <v>61113663.729999997</v>
      </c>
      <c r="O38" s="188">
        <v>145744356.13</v>
      </c>
      <c r="P38" s="188">
        <v>121320020.39</v>
      </c>
      <c r="Q38" s="188">
        <v>33465841.789999999</v>
      </c>
      <c r="R38" s="188">
        <v>21175274.489999998</v>
      </c>
      <c r="S38" s="188">
        <v>0</v>
      </c>
    </row>
    <row r="39" spans="1:19" x14ac:dyDescent="0.25">
      <c r="A39" s="188" t="s">
        <v>254</v>
      </c>
      <c r="B39" s="188">
        <v>-53497103.719999999</v>
      </c>
      <c r="C39" s="188">
        <v>-52297103.719999999</v>
      </c>
      <c r="D39" s="188">
        <v>-567103.72</v>
      </c>
      <c r="E39" s="188">
        <v>-123222270.77</v>
      </c>
      <c r="F39" s="188">
        <v>-123222270.77</v>
      </c>
      <c r="G39" s="188">
        <v>-123222270.77</v>
      </c>
      <c r="H39" s="188">
        <v>-33689772.359999999</v>
      </c>
      <c r="I39" s="188">
        <v>365598873.93000001</v>
      </c>
      <c r="J39" s="188">
        <v>-110010213.81</v>
      </c>
      <c r="K39" s="188">
        <v>-108847151.98</v>
      </c>
      <c r="L39" s="188">
        <v>16266632.189999999</v>
      </c>
      <c r="M39" s="188">
        <v>-52083823.039999999</v>
      </c>
      <c r="N39" s="188">
        <v>-49783663.729999997</v>
      </c>
      <c r="O39" s="188">
        <v>-111140469.13</v>
      </c>
      <c r="P39" s="188">
        <v>72950844.609999999</v>
      </c>
      <c r="Q39" s="188">
        <v>35371287.210000001</v>
      </c>
      <c r="R39" s="188">
        <v>15274725.51</v>
      </c>
      <c r="S39" s="188">
        <v>0</v>
      </c>
    </row>
    <row r="40" spans="1:19" x14ac:dyDescent="0.25">
      <c r="A40" s="188" t="s">
        <v>255</v>
      </c>
      <c r="B40" s="188">
        <v>0</v>
      </c>
      <c r="C40" s="188">
        <v>0</v>
      </c>
      <c r="D40" s="188">
        <v>0</v>
      </c>
      <c r="E40" s="188">
        <v>0</v>
      </c>
      <c r="F40" s="188">
        <v>0</v>
      </c>
      <c r="G40" s="188">
        <v>0</v>
      </c>
      <c r="H40" s="188">
        <v>0</v>
      </c>
      <c r="I40" s="188">
        <v>0</v>
      </c>
      <c r="J40" s="188">
        <v>0</v>
      </c>
      <c r="K40" s="188">
        <v>0</v>
      </c>
      <c r="L40" s="188">
        <v>0</v>
      </c>
      <c r="M40" s="188">
        <v>0</v>
      </c>
      <c r="N40" s="188">
        <v>0</v>
      </c>
      <c r="O40" s="188">
        <v>0</v>
      </c>
      <c r="P40" s="188">
        <v>0</v>
      </c>
      <c r="Q40" s="188">
        <v>0</v>
      </c>
      <c r="R40" s="188">
        <v>0</v>
      </c>
      <c r="S40" s="188">
        <v>0</v>
      </c>
    </row>
    <row r="41" spans="1:19" x14ac:dyDescent="0.25">
      <c r="A41" s="188" t="s">
        <v>256</v>
      </c>
      <c r="B41" s="188">
        <v>-137248578.84999999</v>
      </c>
      <c r="C41" s="188">
        <v>-125782548.87</v>
      </c>
      <c r="D41" s="188">
        <v>-157821176.97</v>
      </c>
      <c r="E41" s="188">
        <v>-84763761.909999996</v>
      </c>
      <c r="F41" s="188">
        <v>-167870265.88</v>
      </c>
      <c r="G41" s="188">
        <v>-80256141.010000005</v>
      </c>
      <c r="H41" s="188">
        <v>101562180.23</v>
      </c>
      <c r="I41" s="188">
        <v>240524056.84</v>
      </c>
      <c r="J41" s="188">
        <v>-28319844.109999999</v>
      </c>
      <c r="K41" s="188">
        <v>-75962835.299999997</v>
      </c>
      <c r="L41" s="188">
        <v>4501439.82</v>
      </c>
      <c r="M41" s="188">
        <v>81731140.890000001</v>
      </c>
      <c r="N41" s="188">
        <v>7372580.8200000003</v>
      </c>
      <c r="O41" s="188">
        <v>997838.22</v>
      </c>
      <c r="P41" s="188">
        <v>-47492562.240000002</v>
      </c>
      <c r="Q41" s="188">
        <v>24744142.859999999</v>
      </c>
      <c r="R41" s="188">
        <v>30751336.27</v>
      </c>
      <c r="S41" s="188">
        <v>0</v>
      </c>
    </row>
    <row r="42" spans="1:19" x14ac:dyDescent="0.25">
      <c r="A42" s="188" t="s">
        <v>257</v>
      </c>
      <c r="B42" s="188">
        <v>322375285.07999998</v>
      </c>
      <c r="C42" s="188">
        <v>322375285.07999998</v>
      </c>
      <c r="D42" s="188">
        <v>322375285.07999998</v>
      </c>
      <c r="E42" s="188">
        <v>407139046.99000001</v>
      </c>
      <c r="F42" s="188">
        <v>407139046.99000001</v>
      </c>
      <c r="G42" s="188">
        <v>407139046.99000001</v>
      </c>
      <c r="H42" s="188">
        <v>407139046.99000001</v>
      </c>
      <c r="I42" s="188">
        <v>166614990.15000001</v>
      </c>
      <c r="J42" s="188">
        <v>166614990.15000001</v>
      </c>
      <c r="K42" s="188">
        <v>166614990.15000001</v>
      </c>
      <c r="L42" s="188">
        <v>166614990.15000001</v>
      </c>
      <c r="M42" s="188">
        <v>84883849.260000005</v>
      </c>
      <c r="N42" s="188">
        <v>84883849.260000005</v>
      </c>
      <c r="O42" s="188">
        <v>83886011.040000007</v>
      </c>
      <c r="P42" s="188">
        <v>131378573.28</v>
      </c>
      <c r="Q42" s="188">
        <v>106634430.42</v>
      </c>
      <c r="R42" s="188">
        <v>75883094.150000006</v>
      </c>
      <c r="S42" s="188">
        <v>0</v>
      </c>
    </row>
    <row r="43" spans="1:19" x14ac:dyDescent="0.25">
      <c r="A43" s="188" t="s">
        <v>258</v>
      </c>
      <c r="B43" s="188">
        <v>185126706.22999999</v>
      </c>
      <c r="C43" s="188">
        <v>196592736.21000001</v>
      </c>
      <c r="D43" s="188">
        <v>164554108.11000001</v>
      </c>
      <c r="E43" s="188">
        <v>322375285.07999998</v>
      </c>
      <c r="F43" s="188">
        <v>239268781.11000001</v>
      </c>
      <c r="G43" s="188">
        <v>326882905.98000002</v>
      </c>
      <c r="H43" s="188">
        <v>508701227.22000003</v>
      </c>
      <c r="I43" s="188">
        <v>407139046.99000001</v>
      </c>
      <c r="J43" s="188">
        <v>138295146.03999999</v>
      </c>
      <c r="K43" s="188">
        <v>90652154.849999994</v>
      </c>
      <c r="L43" s="188">
        <v>171116429.97</v>
      </c>
      <c r="M43" s="188">
        <v>166614990.15000001</v>
      </c>
      <c r="N43" s="188">
        <v>92256430.079999998</v>
      </c>
      <c r="O43" s="188">
        <v>84883849.260000005</v>
      </c>
      <c r="P43" s="188">
        <v>83886011.040000007</v>
      </c>
      <c r="Q43" s="188">
        <v>131378573.28</v>
      </c>
      <c r="R43" s="188">
        <v>106634430.42</v>
      </c>
      <c r="S43" s="188">
        <v>0</v>
      </c>
    </row>
    <row r="44" spans="1:19" x14ac:dyDescent="0.25">
      <c r="A44" s="188" t="s">
        <v>259</v>
      </c>
    </row>
    <row r="45" spans="1:19" x14ac:dyDescent="0.25">
      <c r="A45" s="188" t="s">
        <v>260</v>
      </c>
      <c r="B45" s="188">
        <v>0</v>
      </c>
      <c r="C45" s="188">
        <v>83578333.200000003</v>
      </c>
      <c r="D45" s="188">
        <v>0</v>
      </c>
      <c r="E45" s="188">
        <v>155224216.05000001</v>
      </c>
      <c r="F45" s="188">
        <v>0</v>
      </c>
      <c r="G45" s="188">
        <v>61958088.25</v>
      </c>
      <c r="H45" s="188">
        <v>0</v>
      </c>
      <c r="I45" s="188">
        <v>127774062.51000001</v>
      </c>
      <c r="J45" s="188">
        <v>0</v>
      </c>
      <c r="K45" s="188">
        <v>48290108.969999999</v>
      </c>
      <c r="L45" s="188">
        <v>0</v>
      </c>
      <c r="M45" s="188">
        <v>118339162.06</v>
      </c>
      <c r="N45" s="188">
        <v>0</v>
      </c>
      <c r="O45" s="188">
        <v>94913963.019999996</v>
      </c>
      <c r="P45" s="188">
        <v>84018399.519999996</v>
      </c>
      <c r="Q45" s="188">
        <v>0</v>
      </c>
      <c r="R45" s="188">
        <v>0</v>
      </c>
      <c r="S45" s="188">
        <v>0</v>
      </c>
    </row>
    <row r="46" spans="1:19" x14ac:dyDescent="0.25">
      <c r="A46" s="188" t="s">
        <v>187</v>
      </c>
      <c r="B46" s="188">
        <v>0</v>
      </c>
      <c r="C46" s="188">
        <v>0</v>
      </c>
      <c r="D46" s="188">
        <v>0</v>
      </c>
      <c r="E46" s="188">
        <v>0</v>
      </c>
      <c r="F46" s="188">
        <v>0</v>
      </c>
      <c r="G46" s="188">
        <v>0</v>
      </c>
      <c r="H46" s="188">
        <v>0</v>
      </c>
      <c r="I46" s="188">
        <v>0</v>
      </c>
      <c r="J46" s="188">
        <v>0</v>
      </c>
      <c r="K46" s="188">
        <v>0</v>
      </c>
      <c r="L46" s="188">
        <v>0</v>
      </c>
      <c r="M46" s="188">
        <v>0</v>
      </c>
      <c r="N46" s="188">
        <v>0</v>
      </c>
      <c r="O46" s="188">
        <v>0</v>
      </c>
      <c r="P46" s="188">
        <v>0</v>
      </c>
      <c r="Q46" s="188">
        <v>0</v>
      </c>
      <c r="R46" s="188">
        <v>0</v>
      </c>
      <c r="S46" s="188">
        <v>0</v>
      </c>
    </row>
    <row r="47" spans="1:19" x14ac:dyDescent="0.25">
      <c r="A47" s="188" t="s">
        <v>261</v>
      </c>
      <c r="B47" s="188">
        <v>0</v>
      </c>
      <c r="C47" s="188">
        <v>0</v>
      </c>
      <c r="D47" s="188">
        <v>0</v>
      </c>
      <c r="E47" s="188">
        <v>0</v>
      </c>
      <c r="F47" s="188">
        <v>0</v>
      </c>
      <c r="G47" s="188">
        <v>0</v>
      </c>
      <c r="H47" s="188">
        <v>0</v>
      </c>
      <c r="I47" s="188">
        <v>0</v>
      </c>
      <c r="J47" s="188">
        <v>0</v>
      </c>
      <c r="K47" s="188">
        <v>0</v>
      </c>
      <c r="L47" s="188">
        <v>0</v>
      </c>
      <c r="M47" s="188">
        <v>0</v>
      </c>
      <c r="N47" s="188">
        <v>0</v>
      </c>
      <c r="O47" s="188">
        <v>0</v>
      </c>
      <c r="P47" s="188">
        <v>0</v>
      </c>
      <c r="Q47" s="188">
        <v>0</v>
      </c>
      <c r="R47" s="188">
        <v>0</v>
      </c>
      <c r="S47" s="188">
        <v>0</v>
      </c>
    </row>
    <row r="48" spans="1:19" x14ac:dyDescent="0.25">
      <c r="A48" s="188" t="s">
        <v>262</v>
      </c>
      <c r="B48" s="188">
        <v>0</v>
      </c>
      <c r="C48" s="188">
        <v>3226124.16</v>
      </c>
      <c r="D48" s="188">
        <v>0</v>
      </c>
      <c r="E48" s="188">
        <v>3676127.1</v>
      </c>
      <c r="F48" s="188">
        <v>0</v>
      </c>
      <c r="G48" s="188">
        <v>2648674.7200000002</v>
      </c>
      <c r="H48" s="188">
        <v>0</v>
      </c>
      <c r="I48" s="188">
        <v>2861101.65</v>
      </c>
      <c r="J48" s="188">
        <v>0</v>
      </c>
      <c r="K48" s="188">
        <v>1732316.57</v>
      </c>
      <c r="L48" s="188">
        <v>0</v>
      </c>
      <c r="M48" s="188">
        <v>2284690.9700000002</v>
      </c>
      <c r="N48" s="188">
        <v>0</v>
      </c>
      <c r="O48" s="188">
        <v>1660639.19</v>
      </c>
      <c r="P48" s="188">
        <v>1472137.7</v>
      </c>
      <c r="Q48" s="188">
        <v>0</v>
      </c>
      <c r="R48" s="188">
        <v>0</v>
      </c>
      <c r="S48" s="188">
        <v>0</v>
      </c>
    </row>
    <row r="49" spans="1:19" x14ac:dyDescent="0.25">
      <c r="A49" s="188" t="s">
        <v>263</v>
      </c>
      <c r="B49" s="188">
        <v>0</v>
      </c>
      <c r="C49" s="188">
        <v>16895591.510000002</v>
      </c>
      <c r="D49" s="188">
        <v>0</v>
      </c>
      <c r="E49" s="188">
        <v>26809345.239999998</v>
      </c>
      <c r="F49" s="188">
        <v>0</v>
      </c>
      <c r="G49" s="188">
        <v>12871866.01</v>
      </c>
      <c r="H49" s="188">
        <v>0</v>
      </c>
      <c r="I49" s="188">
        <v>23950808.620000001</v>
      </c>
      <c r="J49" s="188">
        <v>0</v>
      </c>
      <c r="K49" s="188">
        <v>11482492.609999999</v>
      </c>
      <c r="L49" s="188">
        <v>0</v>
      </c>
      <c r="M49" s="188">
        <v>22725146.620000001</v>
      </c>
      <c r="N49" s="188">
        <v>0</v>
      </c>
      <c r="O49" s="188">
        <v>19959625.489999998</v>
      </c>
      <c r="P49" s="188">
        <v>18635575.57</v>
      </c>
      <c r="Q49" s="188">
        <v>0</v>
      </c>
      <c r="R49" s="188">
        <v>0</v>
      </c>
      <c r="S49" s="188">
        <v>0</v>
      </c>
    </row>
    <row r="50" spans="1:19" x14ac:dyDescent="0.25">
      <c r="A50" s="188" t="s">
        <v>264</v>
      </c>
      <c r="B50" s="188">
        <v>0</v>
      </c>
      <c r="C50" s="188">
        <v>1815688.67</v>
      </c>
      <c r="D50" s="188">
        <v>0</v>
      </c>
      <c r="E50" s="188">
        <v>3381039.48</v>
      </c>
      <c r="F50" s="188">
        <v>0</v>
      </c>
      <c r="G50" s="188">
        <v>1613504.83</v>
      </c>
      <c r="H50" s="188">
        <v>0</v>
      </c>
      <c r="I50" s="188">
        <v>3232061.94</v>
      </c>
      <c r="J50" s="188">
        <v>0</v>
      </c>
      <c r="K50" s="188">
        <v>1592210.19</v>
      </c>
      <c r="L50" s="188">
        <v>0</v>
      </c>
      <c r="M50" s="188">
        <v>3041889.61</v>
      </c>
      <c r="N50" s="188">
        <v>0</v>
      </c>
      <c r="O50" s="188">
        <v>2568358.56</v>
      </c>
      <c r="P50" s="188">
        <v>2197792.02</v>
      </c>
      <c r="Q50" s="188">
        <v>0</v>
      </c>
      <c r="R50" s="188">
        <v>0</v>
      </c>
      <c r="S50" s="188">
        <v>0</v>
      </c>
    </row>
    <row r="51" spans="1:19" x14ac:dyDescent="0.25">
      <c r="A51" s="188" t="s">
        <v>265</v>
      </c>
      <c r="B51" s="188">
        <v>0</v>
      </c>
      <c r="C51" s="188">
        <v>2934456.31</v>
      </c>
      <c r="D51" s="188">
        <v>0</v>
      </c>
      <c r="E51" s="188">
        <v>5093971.0599999996</v>
      </c>
      <c r="F51" s="188">
        <v>0</v>
      </c>
      <c r="G51" s="188">
        <v>2722045.52</v>
      </c>
      <c r="H51" s="188">
        <v>0</v>
      </c>
      <c r="I51" s="188">
        <v>4709691.8600000003</v>
      </c>
      <c r="J51" s="188">
        <v>0</v>
      </c>
      <c r="K51" s="188">
        <v>2343474.65</v>
      </c>
      <c r="L51" s="188">
        <v>0</v>
      </c>
      <c r="M51" s="188">
        <v>4194991.1500000004</v>
      </c>
      <c r="N51" s="188">
        <v>0</v>
      </c>
      <c r="O51" s="188">
        <v>3655631.76</v>
      </c>
      <c r="P51" s="188">
        <v>3868753.34</v>
      </c>
      <c r="Q51" s="188">
        <v>0</v>
      </c>
      <c r="R51" s="188">
        <v>0</v>
      </c>
      <c r="S51" s="188">
        <v>0</v>
      </c>
    </row>
    <row r="52" spans="1:19" x14ac:dyDescent="0.25">
      <c r="A52" s="188" t="s">
        <v>266</v>
      </c>
      <c r="B52" s="188">
        <v>0</v>
      </c>
      <c r="C52" s="188">
        <v>0</v>
      </c>
      <c r="D52" s="188">
        <v>0</v>
      </c>
      <c r="E52" s="188">
        <v>0</v>
      </c>
      <c r="F52" s="188">
        <v>0</v>
      </c>
      <c r="G52" s="188">
        <v>0</v>
      </c>
      <c r="H52" s="188">
        <v>0</v>
      </c>
      <c r="I52" s="188">
        <v>0</v>
      </c>
      <c r="J52" s="188">
        <v>0</v>
      </c>
      <c r="K52" s="188">
        <v>0</v>
      </c>
      <c r="L52" s="188">
        <v>0</v>
      </c>
      <c r="M52" s="188">
        <v>0</v>
      </c>
      <c r="N52" s="188">
        <v>0</v>
      </c>
      <c r="O52" s="188">
        <v>0</v>
      </c>
      <c r="P52" s="188">
        <v>0</v>
      </c>
      <c r="Q52" s="188">
        <v>0</v>
      </c>
      <c r="R52" s="188">
        <v>0</v>
      </c>
      <c r="S52" s="188">
        <v>0</v>
      </c>
    </row>
    <row r="53" spans="1:19" x14ac:dyDescent="0.25">
      <c r="A53" s="188" t="s">
        <v>267</v>
      </c>
      <c r="B53" s="188">
        <v>0</v>
      </c>
      <c r="C53" s="188">
        <v>0</v>
      </c>
      <c r="D53" s="188">
        <v>0</v>
      </c>
      <c r="E53" s="188">
        <v>0</v>
      </c>
      <c r="F53" s="188">
        <v>0</v>
      </c>
      <c r="G53" s="188">
        <v>0</v>
      </c>
      <c r="H53" s="188">
        <v>0</v>
      </c>
      <c r="I53" s="188">
        <v>0</v>
      </c>
      <c r="J53" s="188">
        <v>0</v>
      </c>
      <c r="K53" s="188">
        <v>0</v>
      </c>
      <c r="L53" s="188">
        <v>0</v>
      </c>
      <c r="M53" s="188">
        <v>0</v>
      </c>
      <c r="N53" s="188">
        <v>0</v>
      </c>
      <c r="O53" s="188">
        <v>0</v>
      </c>
      <c r="P53" s="188">
        <v>0</v>
      </c>
      <c r="Q53" s="188">
        <v>0</v>
      </c>
      <c r="R53" s="188">
        <v>0</v>
      </c>
      <c r="S53" s="188">
        <v>0</v>
      </c>
    </row>
    <row r="54" spans="1:19" x14ac:dyDescent="0.25">
      <c r="A54" s="188" t="s">
        <v>268</v>
      </c>
      <c r="B54" s="188">
        <v>0</v>
      </c>
      <c r="C54" s="188">
        <v>174958.78</v>
      </c>
      <c r="D54" s="188">
        <v>0</v>
      </c>
      <c r="E54" s="188">
        <v>-305982.92</v>
      </c>
      <c r="F54" s="188">
        <v>0</v>
      </c>
      <c r="G54" s="188">
        <v>-239730.3</v>
      </c>
      <c r="H54" s="188">
        <v>0</v>
      </c>
      <c r="I54" s="188">
        <v>109300.88</v>
      </c>
      <c r="J54" s="188">
        <v>0</v>
      </c>
      <c r="K54" s="188">
        <v>137951.65</v>
      </c>
      <c r="L54" s="188">
        <v>0</v>
      </c>
      <c r="M54" s="188">
        <v>1045475.52</v>
      </c>
      <c r="N54" s="188">
        <v>0</v>
      </c>
      <c r="O54" s="188">
        <v>702006.33</v>
      </c>
      <c r="P54" s="188">
        <v>971546.66</v>
      </c>
      <c r="Q54" s="188">
        <v>0</v>
      </c>
      <c r="R54" s="188">
        <v>0</v>
      </c>
      <c r="S54" s="188">
        <v>0</v>
      </c>
    </row>
    <row r="55" spans="1:19" x14ac:dyDescent="0.25">
      <c r="A55" s="188" t="s">
        <v>269</v>
      </c>
      <c r="B55" s="188">
        <v>0</v>
      </c>
      <c r="C55" s="188">
        <v>0</v>
      </c>
      <c r="D55" s="188">
        <v>0</v>
      </c>
      <c r="E55" s="188">
        <v>497595.84</v>
      </c>
      <c r="F55" s="188">
        <v>0</v>
      </c>
      <c r="G55" s="188">
        <v>0</v>
      </c>
      <c r="H55" s="188">
        <v>0</v>
      </c>
      <c r="I55" s="188">
        <v>0</v>
      </c>
      <c r="J55" s="188">
        <v>0</v>
      </c>
      <c r="K55" s="188">
        <v>0</v>
      </c>
      <c r="L55" s="188">
        <v>0</v>
      </c>
      <c r="M55" s="188">
        <v>0</v>
      </c>
      <c r="N55" s="188">
        <v>0</v>
      </c>
      <c r="O55" s="188">
        <v>0</v>
      </c>
      <c r="P55" s="188">
        <v>0</v>
      </c>
      <c r="Q55" s="188">
        <v>0</v>
      </c>
      <c r="R55" s="188">
        <v>0</v>
      </c>
      <c r="S55" s="188">
        <v>0</v>
      </c>
    </row>
    <row r="56" spans="1:19" x14ac:dyDescent="0.25">
      <c r="A56" s="188" t="s">
        <v>270</v>
      </c>
      <c r="B56" s="188">
        <v>0</v>
      </c>
      <c r="C56" s="188">
        <v>0</v>
      </c>
      <c r="D56" s="188">
        <v>0</v>
      </c>
      <c r="E56" s="188">
        <v>0</v>
      </c>
      <c r="F56" s="188">
        <v>0</v>
      </c>
      <c r="G56" s="188">
        <v>0</v>
      </c>
      <c r="H56" s="188">
        <v>0</v>
      </c>
      <c r="I56" s="188">
        <v>0</v>
      </c>
      <c r="J56" s="188">
        <v>0</v>
      </c>
      <c r="K56" s="188">
        <v>0</v>
      </c>
      <c r="L56" s="188">
        <v>0</v>
      </c>
      <c r="M56" s="188">
        <v>0</v>
      </c>
      <c r="N56" s="188">
        <v>0</v>
      </c>
      <c r="O56" s="188">
        <v>0</v>
      </c>
      <c r="P56" s="188">
        <v>0</v>
      </c>
      <c r="Q56" s="188">
        <v>0</v>
      </c>
      <c r="R56" s="188">
        <v>0</v>
      </c>
      <c r="S56" s="188">
        <v>0</v>
      </c>
    </row>
    <row r="57" spans="1:19" x14ac:dyDescent="0.25">
      <c r="A57" s="188" t="s">
        <v>271</v>
      </c>
      <c r="B57" s="188">
        <v>0</v>
      </c>
      <c r="C57" s="188">
        <v>0</v>
      </c>
      <c r="D57" s="188">
        <v>0</v>
      </c>
      <c r="E57" s="188">
        <v>0</v>
      </c>
      <c r="F57" s="188">
        <v>0</v>
      </c>
      <c r="G57" s="188">
        <v>0</v>
      </c>
      <c r="H57" s="188">
        <v>0</v>
      </c>
      <c r="I57" s="188">
        <v>0</v>
      </c>
      <c r="J57" s="188">
        <v>0</v>
      </c>
      <c r="K57" s="188">
        <v>0</v>
      </c>
      <c r="L57" s="188">
        <v>0</v>
      </c>
      <c r="M57" s="188">
        <v>0</v>
      </c>
      <c r="N57" s="188">
        <v>0</v>
      </c>
      <c r="O57" s="188">
        <v>0</v>
      </c>
      <c r="P57" s="188">
        <v>0</v>
      </c>
      <c r="Q57" s="188">
        <v>0</v>
      </c>
      <c r="R57" s="188">
        <v>0</v>
      </c>
      <c r="S57" s="188">
        <v>0</v>
      </c>
    </row>
    <row r="58" spans="1:19" x14ac:dyDescent="0.25">
      <c r="A58" s="188" t="s">
        <v>272</v>
      </c>
      <c r="B58" s="188">
        <v>0</v>
      </c>
      <c r="C58" s="188">
        <v>0</v>
      </c>
      <c r="D58" s="188">
        <v>0</v>
      </c>
      <c r="E58" s="188">
        <v>0</v>
      </c>
      <c r="F58" s="188">
        <v>0</v>
      </c>
      <c r="G58" s="188">
        <v>0</v>
      </c>
      <c r="H58" s="188">
        <v>0</v>
      </c>
      <c r="I58" s="188">
        <v>0</v>
      </c>
      <c r="J58" s="188">
        <v>0</v>
      </c>
      <c r="K58" s="188">
        <v>0</v>
      </c>
      <c r="L58" s="188">
        <v>0</v>
      </c>
      <c r="M58" s="188">
        <v>0</v>
      </c>
      <c r="N58" s="188">
        <v>0</v>
      </c>
      <c r="O58" s="188">
        <v>0</v>
      </c>
      <c r="P58" s="188">
        <v>0</v>
      </c>
      <c r="Q58" s="188">
        <v>0</v>
      </c>
      <c r="R58" s="188">
        <v>0</v>
      </c>
      <c r="S58" s="188">
        <v>0</v>
      </c>
    </row>
    <row r="59" spans="1:19" x14ac:dyDescent="0.25">
      <c r="A59" s="188" t="s">
        <v>197</v>
      </c>
      <c r="B59" s="188">
        <v>0</v>
      </c>
      <c r="C59" s="188">
        <v>0</v>
      </c>
      <c r="D59" s="188">
        <v>0</v>
      </c>
      <c r="E59" s="188">
        <v>378508.09</v>
      </c>
      <c r="F59" s="188">
        <v>0</v>
      </c>
      <c r="G59" s="188">
        <v>674708.09</v>
      </c>
      <c r="H59" s="188">
        <v>0</v>
      </c>
      <c r="I59" s="188">
        <v>4668557.12</v>
      </c>
      <c r="J59" s="188">
        <v>0</v>
      </c>
      <c r="K59" s="188">
        <v>2552343.5</v>
      </c>
      <c r="L59" s="188">
        <v>0</v>
      </c>
      <c r="M59" s="188">
        <v>5798721.3799999999</v>
      </c>
      <c r="N59" s="188">
        <v>0</v>
      </c>
      <c r="O59" s="188">
        <v>9986233.1300000008</v>
      </c>
      <c r="P59" s="188">
        <v>11156931.289999999</v>
      </c>
      <c r="Q59" s="188">
        <v>0</v>
      </c>
      <c r="R59" s="188">
        <v>0</v>
      </c>
      <c r="S59" s="188">
        <v>0</v>
      </c>
    </row>
    <row r="60" spans="1:19" x14ac:dyDescent="0.25">
      <c r="A60" s="188" t="s">
        <v>273</v>
      </c>
      <c r="B60" s="188">
        <v>0</v>
      </c>
      <c r="C60" s="188">
        <v>-6298289.5899999999</v>
      </c>
      <c r="D60" s="188">
        <v>0</v>
      </c>
      <c r="E60" s="188">
        <v>-8230887.71</v>
      </c>
      <c r="F60" s="188">
        <v>0</v>
      </c>
      <c r="G60" s="188">
        <v>-2828229.63</v>
      </c>
      <c r="H60" s="188">
        <v>0</v>
      </c>
      <c r="I60" s="188">
        <v>-336511.65</v>
      </c>
      <c r="J60" s="188">
        <v>0</v>
      </c>
      <c r="K60" s="188">
        <v>-59769.87</v>
      </c>
      <c r="L60" s="188">
        <v>0</v>
      </c>
      <c r="M60" s="188">
        <v>0</v>
      </c>
      <c r="N60" s="188">
        <v>0</v>
      </c>
      <c r="O60" s="188">
        <v>0</v>
      </c>
      <c r="P60" s="188">
        <v>0</v>
      </c>
      <c r="Q60" s="188">
        <v>0</v>
      </c>
      <c r="R60" s="188">
        <v>0</v>
      </c>
      <c r="S60" s="188">
        <v>0</v>
      </c>
    </row>
    <row r="61" spans="1:19" x14ac:dyDescent="0.25">
      <c r="A61" s="188" t="s">
        <v>274</v>
      </c>
      <c r="B61" s="188">
        <v>0</v>
      </c>
      <c r="C61" s="188">
        <v>-688857.1</v>
      </c>
      <c r="D61" s="188">
        <v>0</v>
      </c>
      <c r="E61" s="188">
        <v>-468219.68</v>
      </c>
      <c r="F61" s="188">
        <v>0</v>
      </c>
      <c r="G61" s="188">
        <v>-369474.1</v>
      </c>
      <c r="H61" s="188">
        <v>0</v>
      </c>
      <c r="I61" s="188">
        <v>-334983.33</v>
      </c>
      <c r="J61" s="188">
        <v>0</v>
      </c>
      <c r="K61" s="188">
        <v>-376171.11</v>
      </c>
      <c r="L61" s="188">
        <v>0</v>
      </c>
      <c r="M61" s="188">
        <v>-245768.52</v>
      </c>
      <c r="N61" s="188">
        <v>0</v>
      </c>
      <c r="O61" s="188">
        <v>214471.41</v>
      </c>
      <c r="P61" s="188">
        <v>-266160.99</v>
      </c>
      <c r="Q61" s="188">
        <v>0</v>
      </c>
      <c r="R61" s="188">
        <v>0</v>
      </c>
      <c r="S61" s="188">
        <v>0</v>
      </c>
    </row>
    <row r="62" spans="1:19" x14ac:dyDescent="0.25">
      <c r="A62" s="188" t="s">
        <v>275</v>
      </c>
      <c r="B62" s="188">
        <v>0</v>
      </c>
      <c r="C62" s="188">
        <v>-92963.62</v>
      </c>
      <c r="D62" s="188">
        <v>0</v>
      </c>
      <c r="E62" s="188">
        <v>-209591.77</v>
      </c>
      <c r="F62" s="188">
        <v>0</v>
      </c>
      <c r="G62" s="188">
        <v>-106012.73</v>
      </c>
      <c r="H62" s="188">
        <v>0</v>
      </c>
      <c r="I62" s="188">
        <v>-137663.37</v>
      </c>
      <c r="J62" s="188">
        <v>0</v>
      </c>
      <c r="K62" s="188">
        <v>-27903.32</v>
      </c>
      <c r="L62" s="188">
        <v>0</v>
      </c>
      <c r="M62" s="188">
        <v>-327799.8</v>
      </c>
      <c r="N62" s="188">
        <v>0</v>
      </c>
      <c r="O62" s="188">
        <v>-1221890.8799999999</v>
      </c>
      <c r="P62" s="188">
        <v>-406161.23</v>
      </c>
      <c r="Q62" s="188">
        <v>0</v>
      </c>
      <c r="R62" s="188">
        <v>0</v>
      </c>
      <c r="S62" s="188">
        <v>0</v>
      </c>
    </row>
    <row r="63" spans="1:19" x14ac:dyDescent="0.25">
      <c r="A63" s="188" t="s">
        <v>276</v>
      </c>
      <c r="B63" s="188">
        <v>0</v>
      </c>
      <c r="C63" s="188">
        <v>-365881.21</v>
      </c>
      <c r="D63" s="188">
        <v>0</v>
      </c>
      <c r="E63" s="188">
        <v>471832.18</v>
      </c>
      <c r="F63" s="188">
        <v>0</v>
      </c>
      <c r="G63" s="188">
        <v>-1083676.42</v>
      </c>
      <c r="H63" s="188">
        <v>0</v>
      </c>
      <c r="I63" s="188">
        <v>-6628107.0999999996</v>
      </c>
      <c r="J63" s="188">
        <v>0</v>
      </c>
      <c r="K63" s="188">
        <v>-3023308.15</v>
      </c>
      <c r="L63" s="188">
        <v>0</v>
      </c>
      <c r="M63" s="188">
        <v>1254313.05</v>
      </c>
      <c r="N63" s="188">
        <v>0</v>
      </c>
      <c r="O63" s="188">
        <v>1449047.11</v>
      </c>
      <c r="P63" s="188">
        <v>-2477177.59</v>
      </c>
      <c r="Q63" s="188">
        <v>0</v>
      </c>
      <c r="R63" s="188">
        <v>0</v>
      </c>
      <c r="S63" s="188">
        <v>0</v>
      </c>
    </row>
    <row r="64" spans="1:19" x14ac:dyDescent="0.25">
      <c r="A64" s="188" t="s">
        <v>277</v>
      </c>
      <c r="B64" s="188">
        <v>0</v>
      </c>
      <c r="C64" s="188">
        <v>-66721700.090000004</v>
      </c>
      <c r="D64" s="188">
        <v>0</v>
      </c>
      <c r="E64" s="188">
        <v>-86524571.530000001</v>
      </c>
      <c r="F64" s="188">
        <v>0</v>
      </c>
      <c r="G64" s="188">
        <v>-33379175.120000001</v>
      </c>
      <c r="H64" s="188">
        <v>0</v>
      </c>
      <c r="I64" s="188">
        <v>-40699017.789999999</v>
      </c>
      <c r="J64" s="188">
        <v>0</v>
      </c>
      <c r="K64" s="188">
        <v>-21376080.02</v>
      </c>
      <c r="L64" s="188">
        <v>0</v>
      </c>
      <c r="M64" s="188">
        <v>-24418583.870000001</v>
      </c>
      <c r="N64" s="188">
        <v>0</v>
      </c>
      <c r="O64" s="188">
        <v>-7808128.8200000003</v>
      </c>
      <c r="P64" s="188">
        <v>-11835375.74</v>
      </c>
      <c r="Q64" s="188">
        <v>0</v>
      </c>
      <c r="R64" s="188">
        <v>0</v>
      </c>
      <c r="S64" s="188">
        <v>0</v>
      </c>
    </row>
    <row r="65" spans="1:19" x14ac:dyDescent="0.25">
      <c r="A65" s="188" t="s">
        <v>278</v>
      </c>
      <c r="B65" s="188">
        <v>0</v>
      </c>
      <c r="C65" s="188">
        <v>10169482.210000001</v>
      </c>
      <c r="D65" s="188">
        <v>0</v>
      </c>
      <c r="E65" s="188">
        <v>55715534.130000003</v>
      </c>
      <c r="F65" s="188">
        <v>0</v>
      </c>
      <c r="G65" s="188">
        <v>22536957.98</v>
      </c>
      <c r="H65" s="188">
        <v>0</v>
      </c>
      <c r="I65" s="188">
        <v>84176484.840000004</v>
      </c>
      <c r="J65" s="188">
        <v>0</v>
      </c>
      <c r="K65" s="188">
        <v>23332961.370000001</v>
      </c>
      <c r="L65" s="188">
        <v>0</v>
      </c>
      <c r="M65" s="188">
        <v>44696215</v>
      </c>
      <c r="N65" s="188">
        <v>0</v>
      </c>
      <c r="O65" s="188">
        <v>20517441.449999999</v>
      </c>
      <c r="P65" s="188">
        <v>5409819.8499999996</v>
      </c>
      <c r="Q65" s="188">
        <v>0</v>
      </c>
      <c r="R65" s="188">
        <v>0</v>
      </c>
      <c r="S65" s="188">
        <v>0</v>
      </c>
    </row>
    <row r="66" spans="1:19" x14ac:dyDescent="0.25">
      <c r="A66" s="188" t="s">
        <v>279</v>
      </c>
      <c r="B66" s="188">
        <v>0</v>
      </c>
      <c r="C66" s="188">
        <v>0</v>
      </c>
      <c r="D66" s="188">
        <v>0</v>
      </c>
      <c r="E66" s="188">
        <v>0</v>
      </c>
      <c r="F66" s="188">
        <v>0</v>
      </c>
      <c r="G66" s="188">
        <v>0</v>
      </c>
      <c r="H66" s="188">
        <v>0</v>
      </c>
      <c r="I66" s="188">
        <v>0</v>
      </c>
      <c r="J66" s="188">
        <v>0</v>
      </c>
      <c r="K66" s="188">
        <v>0</v>
      </c>
      <c r="L66" s="188">
        <v>0</v>
      </c>
      <c r="M66" s="188">
        <v>0</v>
      </c>
      <c r="N66" s="188">
        <v>0</v>
      </c>
      <c r="O66" s="188">
        <v>0</v>
      </c>
      <c r="P66" s="188">
        <v>0</v>
      </c>
      <c r="Q66" s="188">
        <v>0</v>
      </c>
      <c r="R66" s="188">
        <v>0</v>
      </c>
      <c r="S66" s="188">
        <v>0</v>
      </c>
    </row>
    <row r="67" spans="1:19" x14ac:dyDescent="0.25">
      <c r="A67" s="188" t="s">
        <v>280</v>
      </c>
      <c r="B67" s="188">
        <v>0</v>
      </c>
      <c r="C67" s="188">
        <v>0</v>
      </c>
      <c r="D67" s="188">
        <v>0</v>
      </c>
      <c r="E67" s="188">
        <v>0</v>
      </c>
      <c r="F67" s="188">
        <v>0</v>
      </c>
      <c r="G67" s="188">
        <v>0</v>
      </c>
      <c r="H67" s="188">
        <v>0</v>
      </c>
      <c r="I67" s="188">
        <v>0</v>
      </c>
      <c r="J67" s="188">
        <v>0</v>
      </c>
      <c r="K67" s="188">
        <v>0</v>
      </c>
      <c r="L67" s="188">
        <v>0</v>
      </c>
      <c r="M67" s="188">
        <v>0</v>
      </c>
      <c r="N67" s="188">
        <v>0</v>
      </c>
      <c r="O67" s="188">
        <v>0</v>
      </c>
      <c r="P67" s="188">
        <v>0</v>
      </c>
      <c r="Q67" s="188">
        <v>0</v>
      </c>
      <c r="R67" s="188">
        <v>0</v>
      </c>
      <c r="S67" s="188">
        <v>0</v>
      </c>
    </row>
    <row r="68" spans="1:19" x14ac:dyDescent="0.25">
      <c r="A68" s="188" t="s">
        <v>281</v>
      </c>
      <c r="B68" s="188">
        <v>0</v>
      </c>
      <c r="C68" s="188">
        <v>0</v>
      </c>
      <c r="D68" s="188">
        <v>0</v>
      </c>
      <c r="E68" s="188">
        <v>0</v>
      </c>
      <c r="F68" s="188">
        <v>0</v>
      </c>
      <c r="G68" s="188">
        <v>0</v>
      </c>
      <c r="H68" s="188">
        <v>0</v>
      </c>
      <c r="I68" s="188">
        <v>0</v>
      </c>
      <c r="J68" s="188">
        <v>0</v>
      </c>
      <c r="K68" s="188">
        <v>0</v>
      </c>
      <c r="L68" s="188">
        <v>0</v>
      </c>
      <c r="M68" s="188">
        <v>0</v>
      </c>
      <c r="N68" s="188">
        <v>0</v>
      </c>
      <c r="O68" s="188">
        <v>0</v>
      </c>
      <c r="P68" s="188">
        <v>0</v>
      </c>
      <c r="Q68" s="188">
        <v>0</v>
      </c>
      <c r="R68" s="188">
        <v>0</v>
      </c>
      <c r="S68" s="188">
        <v>0</v>
      </c>
    </row>
    <row r="69" spans="1:19" x14ac:dyDescent="0.25">
      <c r="A69" s="188" t="s">
        <v>282</v>
      </c>
      <c r="B69" s="188">
        <v>0</v>
      </c>
      <c r="C69" s="188">
        <v>44626943.229999997</v>
      </c>
      <c r="D69" s="188">
        <v>0</v>
      </c>
      <c r="E69" s="188">
        <v>155508915.56</v>
      </c>
      <c r="F69" s="188">
        <v>0</v>
      </c>
      <c r="G69" s="188">
        <v>67019547.100000001</v>
      </c>
      <c r="H69" s="188">
        <v>0</v>
      </c>
      <c r="I69" s="188">
        <v>203345786.18000001</v>
      </c>
      <c r="J69" s="188">
        <v>0</v>
      </c>
      <c r="K69" s="188">
        <v>66600627.039999999</v>
      </c>
      <c r="L69" s="188">
        <v>0</v>
      </c>
      <c r="M69" s="188">
        <v>178388453.16999999</v>
      </c>
      <c r="N69" s="188">
        <v>0</v>
      </c>
      <c r="O69" s="188">
        <v>146597397.75</v>
      </c>
      <c r="P69" s="188">
        <v>112746080.40000001</v>
      </c>
      <c r="Q69" s="188">
        <v>0</v>
      </c>
      <c r="R69" s="188">
        <v>0</v>
      </c>
      <c r="S69" s="188">
        <v>0</v>
      </c>
    </row>
    <row r="70" spans="1:19" x14ac:dyDescent="0.25">
      <c r="A70" s="188" t="s">
        <v>283</v>
      </c>
      <c r="B70" s="188">
        <v>0</v>
      </c>
      <c r="C70" s="188">
        <v>0</v>
      </c>
      <c r="D70" s="188">
        <v>0</v>
      </c>
      <c r="E70" s="188">
        <v>0</v>
      </c>
      <c r="F70" s="188">
        <v>0</v>
      </c>
      <c r="G70" s="188">
        <v>0</v>
      </c>
      <c r="H70" s="188">
        <v>0</v>
      </c>
      <c r="I70" s="188">
        <v>0</v>
      </c>
      <c r="J70" s="188">
        <v>0</v>
      </c>
      <c r="K70" s="188">
        <v>0</v>
      </c>
      <c r="L70" s="188">
        <v>0</v>
      </c>
      <c r="M70" s="188">
        <v>0</v>
      </c>
      <c r="N70" s="188">
        <v>0</v>
      </c>
      <c r="O70" s="188">
        <v>0</v>
      </c>
      <c r="P70" s="188">
        <v>0</v>
      </c>
      <c r="Q70" s="188">
        <v>0</v>
      </c>
      <c r="R70" s="188">
        <v>0</v>
      </c>
      <c r="S70" s="188">
        <v>0</v>
      </c>
    </row>
    <row r="71" spans="1:19" x14ac:dyDescent="0.25">
      <c r="A71" s="188" t="s">
        <v>284</v>
      </c>
      <c r="B71" s="188">
        <v>0</v>
      </c>
      <c r="C71" s="188">
        <v>0</v>
      </c>
      <c r="D71" s="188">
        <v>0</v>
      </c>
      <c r="E71" s="188">
        <v>0</v>
      </c>
      <c r="F71" s="188">
        <v>0</v>
      </c>
      <c r="G71" s="188">
        <v>0</v>
      </c>
      <c r="H71" s="188">
        <v>0</v>
      </c>
      <c r="I71" s="188">
        <v>0</v>
      </c>
      <c r="J71" s="188">
        <v>0</v>
      </c>
      <c r="K71" s="188">
        <v>0</v>
      </c>
      <c r="L71" s="188">
        <v>0</v>
      </c>
      <c r="M71" s="188">
        <v>0</v>
      </c>
      <c r="N71" s="188">
        <v>0</v>
      </c>
      <c r="O71" s="188">
        <v>0</v>
      </c>
      <c r="P71" s="188">
        <v>0</v>
      </c>
      <c r="Q71" s="188">
        <v>0</v>
      </c>
      <c r="R71" s="188">
        <v>0</v>
      </c>
      <c r="S71" s="188">
        <v>0</v>
      </c>
    </row>
    <row r="72" spans="1:19" x14ac:dyDescent="0.25">
      <c r="A72" s="188" t="s">
        <v>285</v>
      </c>
      <c r="B72" s="188">
        <v>0</v>
      </c>
      <c r="C72" s="188">
        <v>0</v>
      </c>
      <c r="D72" s="188">
        <v>0</v>
      </c>
      <c r="E72" s="188">
        <v>0</v>
      </c>
      <c r="F72" s="188">
        <v>0</v>
      </c>
      <c r="G72" s="188">
        <v>0</v>
      </c>
      <c r="H72" s="188">
        <v>0</v>
      </c>
      <c r="I72" s="188">
        <v>0</v>
      </c>
      <c r="J72" s="188">
        <v>0</v>
      </c>
      <c r="K72" s="188">
        <v>0</v>
      </c>
      <c r="L72" s="188">
        <v>0</v>
      </c>
      <c r="M72" s="188">
        <v>0</v>
      </c>
      <c r="N72" s="188">
        <v>0</v>
      </c>
      <c r="O72" s="188">
        <v>0</v>
      </c>
      <c r="P72" s="188">
        <v>0</v>
      </c>
      <c r="Q72" s="188">
        <v>0</v>
      </c>
      <c r="R72" s="188">
        <v>0</v>
      </c>
      <c r="S72" s="188">
        <v>0</v>
      </c>
    </row>
    <row r="73" spans="1:19" x14ac:dyDescent="0.25">
      <c r="A73" s="188" t="s">
        <v>286</v>
      </c>
      <c r="B73" s="188">
        <v>0</v>
      </c>
      <c r="C73" s="188">
        <v>196592736.21000001</v>
      </c>
      <c r="D73" s="188">
        <v>0</v>
      </c>
      <c r="E73" s="188">
        <v>322375285.07999998</v>
      </c>
      <c r="F73" s="188">
        <v>0</v>
      </c>
      <c r="G73" s="188">
        <v>326882905.98000002</v>
      </c>
      <c r="H73" s="188">
        <v>0</v>
      </c>
      <c r="I73" s="188">
        <v>407139046.99000001</v>
      </c>
      <c r="J73" s="188">
        <v>0</v>
      </c>
      <c r="K73" s="188">
        <v>90652154.849999994</v>
      </c>
      <c r="L73" s="188">
        <v>0</v>
      </c>
      <c r="M73" s="188">
        <v>166614990.15000001</v>
      </c>
      <c r="N73" s="188">
        <v>0</v>
      </c>
      <c r="O73" s="188">
        <v>84883849.260000005</v>
      </c>
      <c r="P73" s="188">
        <v>83886011.040000007</v>
      </c>
      <c r="Q73" s="188">
        <v>0</v>
      </c>
      <c r="R73" s="188">
        <v>0</v>
      </c>
      <c r="S73" s="188">
        <v>0</v>
      </c>
    </row>
    <row r="74" spans="1:19" x14ac:dyDescent="0.25">
      <c r="A74" s="188" t="s">
        <v>287</v>
      </c>
      <c r="B74" s="188">
        <v>0</v>
      </c>
      <c r="C74" s="188">
        <v>322375285.07999998</v>
      </c>
      <c r="D74" s="188">
        <v>0</v>
      </c>
      <c r="E74" s="188">
        <v>407139046.99000001</v>
      </c>
      <c r="F74" s="188">
        <v>0</v>
      </c>
      <c r="G74" s="188">
        <v>407139046.99000001</v>
      </c>
      <c r="H74" s="188">
        <v>0</v>
      </c>
      <c r="I74" s="188">
        <v>166614990.15000001</v>
      </c>
      <c r="J74" s="188">
        <v>0</v>
      </c>
      <c r="K74" s="188">
        <v>166614990.15000001</v>
      </c>
      <c r="L74" s="188">
        <v>0</v>
      </c>
      <c r="M74" s="188">
        <v>84883849.260000005</v>
      </c>
      <c r="N74" s="188">
        <v>0</v>
      </c>
      <c r="O74" s="188">
        <v>83886011.040000007</v>
      </c>
      <c r="P74" s="188">
        <v>131378573.28</v>
      </c>
      <c r="Q74" s="188">
        <v>0</v>
      </c>
      <c r="R74" s="188">
        <v>0</v>
      </c>
      <c r="S74" s="188">
        <v>0</v>
      </c>
    </row>
    <row r="75" spans="1:19" x14ac:dyDescent="0.25">
      <c r="A75" s="188" t="s">
        <v>288</v>
      </c>
      <c r="B75" s="188">
        <v>0</v>
      </c>
      <c r="C75" s="188">
        <v>0</v>
      </c>
      <c r="D75" s="188">
        <v>0</v>
      </c>
      <c r="E75" s="188">
        <v>0</v>
      </c>
      <c r="F75" s="188">
        <v>0</v>
      </c>
      <c r="G75" s="188">
        <v>0</v>
      </c>
      <c r="H75" s="188">
        <v>0</v>
      </c>
      <c r="I75" s="188">
        <v>0</v>
      </c>
      <c r="J75" s="188">
        <v>0</v>
      </c>
      <c r="K75" s="188">
        <v>0</v>
      </c>
      <c r="L75" s="188">
        <v>0</v>
      </c>
      <c r="M75" s="188">
        <v>0</v>
      </c>
      <c r="N75" s="188">
        <v>0</v>
      </c>
      <c r="O75" s="188">
        <v>0</v>
      </c>
      <c r="P75" s="188">
        <v>0</v>
      </c>
      <c r="Q75" s="188">
        <v>0</v>
      </c>
      <c r="R75" s="188">
        <v>0</v>
      </c>
      <c r="S75" s="188">
        <v>0</v>
      </c>
    </row>
    <row r="76" spans="1:19" x14ac:dyDescent="0.25">
      <c r="A76" s="188" t="s">
        <v>289</v>
      </c>
      <c r="B76" s="188">
        <v>0</v>
      </c>
      <c r="C76" s="188">
        <v>0</v>
      </c>
      <c r="D76" s="188">
        <v>0</v>
      </c>
      <c r="E76" s="188">
        <v>0</v>
      </c>
      <c r="F76" s="188">
        <v>0</v>
      </c>
      <c r="G76" s="188">
        <v>0</v>
      </c>
      <c r="H76" s="188">
        <v>0</v>
      </c>
      <c r="I76" s="188">
        <v>0</v>
      </c>
      <c r="J76" s="188">
        <v>0</v>
      </c>
      <c r="K76" s="188">
        <v>0</v>
      </c>
      <c r="L76" s="188">
        <v>0</v>
      </c>
      <c r="M76" s="188">
        <v>0</v>
      </c>
      <c r="N76" s="188">
        <v>0</v>
      </c>
      <c r="O76" s="188">
        <v>0</v>
      </c>
      <c r="P76" s="188">
        <v>0</v>
      </c>
      <c r="Q76" s="188">
        <v>0</v>
      </c>
      <c r="R76" s="188">
        <v>0</v>
      </c>
      <c r="S76" s="188">
        <v>0</v>
      </c>
    </row>
    <row r="77" spans="1:19" x14ac:dyDescent="0.25">
      <c r="A77" s="188" t="s">
        <v>290</v>
      </c>
      <c r="B77" s="188">
        <v>0</v>
      </c>
      <c r="C77" s="188">
        <v>-125782548.87</v>
      </c>
      <c r="D77" s="188">
        <v>0</v>
      </c>
      <c r="E77" s="188">
        <v>-84763761.909999996</v>
      </c>
      <c r="F77" s="188">
        <v>0</v>
      </c>
      <c r="G77" s="188">
        <v>-80256141.010000005</v>
      </c>
      <c r="H77" s="188">
        <v>0</v>
      </c>
      <c r="I77" s="188">
        <v>240524056.84</v>
      </c>
      <c r="J77" s="188">
        <v>0</v>
      </c>
      <c r="K77" s="188">
        <v>-75962835.299999997</v>
      </c>
      <c r="L77" s="188">
        <v>0</v>
      </c>
      <c r="M77" s="188">
        <v>81731140.890000001</v>
      </c>
      <c r="N77" s="188">
        <v>0</v>
      </c>
      <c r="O77" s="188">
        <v>997838.22</v>
      </c>
      <c r="P77" s="188">
        <v>-47492562.240000002</v>
      </c>
      <c r="Q77" s="188">
        <v>0</v>
      </c>
      <c r="R77" s="188">
        <v>0</v>
      </c>
      <c r="S77" s="188">
        <v>0</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资产资本表"/>
  <dimension ref="A1:CL110"/>
  <sheetViews>
    <sheetView workbookViewId="0">
      <selection activeCell="E69" sqref="E69"/>
    </sheetView>
  </sheetViews>
  <sheetFormatPr defaultRowHeight="14.4" x14ac:dyDescent="0.25"/>
  <cols>
    <col min="1" max="1" width="33.6640625" style="17" bestFit="1" customWidth="1"/>
    <col min="2" max="4" width="19.33203125" hidden="1" customWidth="1"/>
    <col min="5" max="5" width="19.33203125" bestFit="1" customWidth="1"/>
    <col min="6" max="8" width="19.33203125" hidden="1" customWidth="1"/>
    <col min="9" max="9" width="19.33203125" bestFit="1" customWidth="1"/>
    <col min="10" max="11" width="17.77734375" hidden="1" customWidth="1"/>
    <col min="12" max="16" width="17.77734375" bestFit="1" customWidth="1"/>
    <col min="17" max="17" width="9.5546875" hidden="1" customWidth="1"/>
    <col min="18" max="44" width="20.44140625" bestFit="1" customWidth="1"/>
    <col min="45" max="78" width="19.33203125" bestFit="1" customWidth="1"/>
    <col min="79" max="81" width="17.21875" bestFit="1" customWidth="1"/>
    <col min="82" max="82" width="7.109375" bestFit="1" customWidth="1"/>
    <col min="83" max="84" width="19.33203125" bestFit="1" customWidth="1"/>
    <col min="85" max="87" width="17.21875" bestFit="1" customWidth="1"/>
    <col min="88" max="89" width="16.109375" bestFit="1" customWidth="1"/>
    <col min="90" max="90" width="7.109375" bestFit="1" customWidth="1"/>
  </cols>
  <sheetData>
    <row r="1" spans="1:90" s="41" customFormat="1" x14ac:dyDescent="0.25">
      <c r="A1" s="41">
        <v>603060</v>
      </c>
      <c r="B1" s="188">
        <v>20180930</v>
      </c>
      <c r="C1" s="188">
        <v>20180630</v>
      </c>
      <c r="D1" s="188">
        <v>20180331</v>
      </c>
      <c r="E1" s="188">
        <v>20171231</v>
      </c>
      <c r="F1" s="188">
        <v>20170930</v>
      </c>
      <c r="G1" s="188">
        <v>20170630</v>
      </c>
      <c r="H1" s="188">
        <v>20170331</v>
      </c>
      <c r="I1" s="188">
        <v>20161231</v>
      </c>
      <c r="J1" s="188">
        <v>20160930</v>
      </c>
      <c r="K1" s="188">
        <v>20160630</v>
      </c>
      <c r="L1" s="188">
        <v>20151231</v>
      </c>
      <c r="M1" s="188">
        <v>20141231</v>
      </c>
      <c r="N1" s="188">
        <v>20131231</v>
      </c>
      <c r="O1" s="188">
        <v>20121231</v>
      </c>
      <c r="P1" s="188">
        <v>20111231</v>
      </c>
      <c r="Q1" s="188">
        <v>19700101</v>
      </c>
      <c r="R1" s="188"/>
      <c r="S1" s="188"/>
      <c r="T1" s="188"/>
      <c r="U1" s="188"/>
      <c r="V1" s="188"/>
      <c r="W1" s="188"/>
      <c r="X1" s="188"/>
      <c r="Y1" s="188"/>
      <c r="Z1" s="188"/>
      <c r="AA1" s="188"/>
      <c r="AB1" s="188"/>
      <c r="AC1" s="188"/>
      <c r="AD1" s="188"/>
      <c r="AE1" s="188"/>
      <c r="AF1" s="188"/>
      <c r="AG1" s="188"/>
      <c r="AH1" s="188"/>
      <c r="AI1" s="188"/>
      <c r="AJ1" s="188"/>
      <c r="AK1" s="188"/>
      <c r="AL1" s="188"/>
      <c r="AM1" s="188"/>
      <c r="AN1" s="188"/>
      <c r="AO1" s="188"/>
      <c r="AP1" s="188"/>
      <c r="AQ1" s="188"/>
      <c r="AR1" s="188"/>
      <c r="AS1" s="188"/>
      <c r="AT1" s="188"/>
      <c r="AU1" s="188"/>
      <c r="AV1" s="188"/>
      <c r="AW1" s="188"/>
      <c r="AX1" s="188"/>
      <c r="AY1" s="188"/>
      <c r="AZ1" s="188"/>
      <c r="BA1" s="188"/>
      <c r="BB1" s="188"/>
      <c r="BC1" s="188"/>
      <c r="BD1" s="188"/>
      <c r="BE1" s="188"/>
      <c r="BF1" s="188"/>
      <c r="BG1" s="188"/>
      <c r="BH1" s="188"/>
      <c r="BI1" s="188"/>
      <c r="BJ1" s="188"/>
      <c r="BK1" s="188"/>
      <c r="BL1" s="188"/>
      <c r="BM1" s="188"/>
      <c r="BN1" s="188"/>
      <c r="BO1" s="188"/>
      <c r="BP1" s="188"/>
      <c r="BQ1" s="188"/>
      <c r="BR1" s="188"/>
      <c r="BS1" s="188"/>
      <c r="BT1" s="188"/>
      <c r="BU1" s="188"/>
      <c r="BV1" s="188"/>
      <c r="BW1" s="188"/>
      <c r="BX1" s="188"/>
      <c r="BY1" s="188"/>
      <c r="BZ1" s="188"/>
      <c r="CA1" s="188"/>
      <c r="CB1" s="188"/>
      <c r="CC1" s="188"/>
      <c r="CD1" s="188"/>
      <c r="CE1" s="188"/>
      <c r="CF1" s="188"/>
      <c r="CG1" s="188"/>
      <c r="CH1" s="188"/>
      <c r="CI1" s="188"/>
      <c r="CJ1" s="188"/>
      <c r="CK1" s="188"/>
      <c r="CL1" s="188"/>
    </row>
    <row r="2" spans="1:90" x14ac:dyDescent="0.25">
      <c r="A2" s="20" t="s">
        <v>0</v>
      </c>
      <c r="B2" s="26"/>
      <c r="C2" s="26"/>
      <c r="D2" s="26"/>
      <c r="E2" s="26"/>
      <c r="F2" s="26"/>
      <c r="G2" s="26"/>
      <c r="H2" s="26"/>
      <c r="I2" s="26"/>
      <c r="J2" s="26"/>
      <c r="K2" s="26"/>
      <c r="L2" s="23"/>
    </row>
    <row r="3" spans="1:90" x14ac:dyDescent="0.25">
      <c r="A3" s="20" t="s">
        <v>316</v>
      </c>
      <c r="B3" s="26"/>
      <c r="C3" s="26"/>
      <c r="D3" s="26"/>
      <c r="E3" s="26"/>
      <c r="F3" s="26"/>
      <c r="G3" s="26"/>
      <c r="H3" s="26"/>
      <c r="I3" s="26"/>
      <c r="J3" s="26"/>
      <c r="K3" s="26"/>
      <c r="L3" s="23"/>
    </row>
    <row r="4" spans="1:90" x14ac:dyDescent="0.25">
      <c r="A4" s="17" t="s">
        <v>1</v>
      </c>
      <c r="B4" s="188">
        <v>187902000.50999999</v>
      </c>
      <c r="C4" s="188">
        <v>199548286.19999999</v>
      </c>
      <c r="D4" s="188">
        <v>168531632.84999999</v>
      </c>
      <c r="E4" s="188">
        <v>326019035.54000002</v>
      </c>
      <c r="F4" s="188">
        <v>239821834.81</v>
      </c>
      <c r="G4" s="188">
        <v>327855534.62</v>
      </c>
      <c r="H4" s="188">
        <v>509672126.22000003</v>
      </c>
      <c r="I4" s="188">
        <v>408833913.93000001</v>
      </c>
      <c r="J4" s="188">
        <v>139991968.87</v>
      </c>
      <c r="K4" s="188">
        <v>92104488.760000005</v>
      </c>
      <c r="L4" s="188">
        <v>169591310.78</v>
      </c>
      <c r="M4" s="188">
        <v>86443435.120000005</v>
      </c>
      <c r="N4" s="188">
        <v>85292847.939999998</v>
      </c>
      <c r="O4" s="188">
        <v>131378573.28</v>
      </c>
      <c r="P4" s="188">
        <v>106634430.42</v>
      </c>
      <c r="Q4" s="188">
        <v>0</v>
      </c>
      <c r="R4" s="188"/>
      <c r="S4" s="188"/>
      <c r="T4" s="188"/>
      <c r="U4" s="188"/>
      <c r="V4" s="188"/>
      <c r="W4" s="188"/>
      <c r="X4" s="188"/>
      <c r="Y4" s="188"/>
      <c r="Z4" s="188"/>
      <c r="AA4" s="188"/>
      <c r="AB4" s="188"/>
      <c r="AC4" s="188"/>
      <c r="AD4" s="188"/>
      <c r="AE4" s="188"/>
      <c r="AF4" s="188"/>
      <c r="AG4" s="188"/>
      <c r="AH4" s="188"/>
      <c r="AI4" s="188"/>
      <c r="AJ4" s="188"/>
      <c r="AK4" s="188"/>
      <c r="AL4" s="188"/>
      <c r="AM4" s="188"/>
      <c r="AN4" s="188"/>
      <c r="AO4" s="188"/>
      <c r="AP4" s="188"/>
      <c r="AQ4" s="188"/>
      <c r="AR4" s="188"/>
      <c r="AS4" s="188"/>
      <c r="AT4" s="188"/>
      <c r="AU4" s="188"/>
      <c r="AV4" s="188"/>
      <c r="AW4" s="188"/>
      <c r="AX4" s="188"/>
      <c r="AY4" s="188"/>
      <c r="AZ4" s="188"/>
      <c r="BA4" s="188"/>
      <c r="BB4" s="188"/>
      <c r="BC4" s="188"/>
      <c r="BD4" s="188"/>
      <c r="BE4" s="188"/>
      <c r="BF4" s="188"/>
      <c r="BG4" s="188"/>
      <c r="BH4" s="188"/>
      <c r="BI4" s="188"/>
      <c r="BJ4" s="188"/>
      <c r="BK4" s="188"/>
      <c r="BL4" s="188"/>
      <c r="BM4" s="188"/>
      <c r="BN4" s="188"/>
      <c r="BO4" s="188"/>
      <c r="BP4" s="188"/>
      <c r="BQ4" s="188"/>
      <c r="BR4" s="188"/>
      <c r="BS4" s="188"/>
      <c r="BT4" s="188"/>
      <c r="BU4" s="188"/>
      <c r="BV4" s="188"/>
      <c r="BW4" s="188"/>
      <c r="BX4" s="188"/>
      <c r="BY4" s="188"/>
      <c r="BZ4" s="188"/>
      <c r="CA4" s="188"/>
      <c r="CB4" s="188"/>
      <c r="CC4" s="188"/>
      <c r="CD4" s="188"/>
      <c r="CE4" s="188"/>
      <c r="CF4" s="188"/>
      <c r="CG4" s="188"/>
      <c r="CH4" s="188"/>
      <c r="CI4" s="188"/>
      <c r="CJ4" s="188"/>
      <c r="CK4" s="188"/>
      <c r="CL4" s="188"/>
    </row>
    <row r="5" spans="1:90" x14ac:dyDescent="0.25">
      <c r="A5" s="17" t="s">
        <v>2</v>
      </c>
      <c r="B5" s="188">
        <v>0</v>
      </c>
      <c r="C5" s="188">
        <v>0</v>
      </c>
      <c r="D5" s="188">
        <v>0</v>
      </c>
      <c r="E5" s="188">
        <v>0</v>
      </c>
      <c r="F5" s="188">
        <v>0</v>
      </c>
      <c r="G5" s="188">
        <v>0</v>
      </c>
      <c r="H5" s="188">
        <v>0</v>
      </c>
      <c r="I5" s="188">
        <v>0</v>
      </c>
      <c r="J5" s="188">
        <v>0</v>
      </c>
      <c r="K5" s="188">
        <v>0</v>
      </c>
      <c r="L5" s="188">
        <v>0</v>
      </c>
      <c r="M5" s="188">
        <v>0</v>
      </c>
      <c r="N5" s="188">
        <v>0</v>
      </c>
      <c r="O5" s="188">
        <v>0</v>
      </c>
      <c r="P5" s="188">
        <v>0</v>
      </c>
      <c r="Q5" s="188">
        <v>0</v>
      </c>
      <c r="R5" s="188"/>
      <c r="S5" s="188"/>
      <c r="T5" s="188"/>
      <c r="U5" s="188"/>
      <c r="V5" s="188"/>
      <c r="W5" s="188"/>
      <c r="X5" s="188"/>
      <c r="Y5" s="188"/>
      <c r="Z5" s="188"/>
      <c r="AA5" s="188"/>
      <c r="AB5" s="188"/>
      <c r="AC5" s="188"/>
      <c r="AD5" s="188"/>
      <c r="AE5" s="188"/>
      <c r="AF5" s="188"/>
      <c r="AG5" s="188"/>
      <c r="AH5" s="188"/>
      <c r="AI5" s="188"/>
      <c r="AJ5" s="188"/>
      <c r="AK5" s="188"/>
      <c r="AL5" s="188"/>
      <c r="AM5" s="188"/>
      <c r="AN5" s="188"/>
      <c r="AO5" s="188"/>
      <c r="AP5" s="188"/>
      <c r="AQ5" s="188"/>
      <c r="AR5" s="188"/>
      <c r="AS5" s="188"/>
      <c r="AT5" s="188"/>
      <c r="AU5" s="188"/>
      <c r="AV5" s="188"/>
      <c r="AW5" s="188"/>
      <c r="AX5" s="188"/>
      <c r="AY5" s="188"/>
      <c r="AZ5" s="188"/>
      <c r="BA5" s="188"/>
      <c r="BB5" s="188"/>
      <c r="BC5" s="188"/>
      <c r="BD5" s="188"/>
      <c r="BE5" s="188"/>
      <c r="BF5" s="188"/>
      <c r="BG5" s="188"/>
      <c r="BH5" s="188"/>
      <c r="BI5" s="188"/>
      <c r="BJ5" s="188"/>
      <c r="BK5" s="188"/>
      <c r="BL5" s="188"/>
      <c r="BM5" s="188"/>
      <c r="BN5" s="188"/>
      <c r="BO5" s="188"/>
      <c r="BP5" s="188"/>
      <c r="BQ5" s="188"/>
      <c r="BR5" s="188"/>
      <c r="BS5" s="188"/>
      <c r="BT5" s="188"/>
      <c r="BU5" s="188"/>
      <c r="BV5" s="188"/>
      <c r="BW5" s="188"/>
      <c r="BX5" s="188"/>
      <c r="BY5" s="188"/>
      <c r="BZ5" s="188"/>
      <c r="CA5" s="188"/>
      <c r="CB5" s="188"/>
      <c r="CC5" s="188"/>
      <c r="CD5" s="188"/>
      <c r="CE5" s="188"/>
      <c r="CF5" s="188"/>
      <c r="CG5" s="188"/>
      <c r="CH5" s="188"/>
      <c r="CI5" s="188"/>
      <c r="CJ5" s="188"/>
      <c r="CK5" s="188"/>
      <c r="CL5" s="188"/>
    </row>
    <row r="6" spans="1:90" x14ac:dyDescent="0.25">
      <c r="A6" s="17" t="s">
        <v>13</v>
      </c>
      <c r="B6" s="188">
        <v>0</v>
      </c>
      <c r="C6" s="188">
        <v>0</v>
      </c>
      <c r="D6" s="188">
        <v>0</v>
      </c>
      <c r="E6" s="188">
        <v>0</v>
      </c>
      <c r="F6" s="188">
        <v>0</v>
      </c>
      <c r="G6" s="188">
        <v>0</v>
      </c>
      <c r="H6" s="188">
        <v>0</v>
      </c>
      <c r="I6" s="188">
        <v>0</v>
      </c>
      <c r="J6" s="188">
        <v>0</v>
      </c>
      <c r="K6" s="188">
        <v>0</v>
      </c>
      <c r="L6" s="188">
        <v>0</v>
      </c>
      <c r="M6" s="188">
        <v>0</v>
      </c>
      <c r="N6" s="188">
        <v>0</v>
      </c>
      <c r="O6" s="188">
        <v>0</v>
      </c>
      <c r="P6" s="188">
        <v>0</v>
      </c>
      <c r="Q6" s="188">
        <v>0</v>
      </c>
      <c r="R6" s="188"/>
      <c r="S6" s="188"/>
      <c r="T6" s="188"/>
      <c r="U6" s="188"/>
      <c r="V6" s="188"/>
      <c r="W6" s="188"/>
      <c r="X6" s="188"/>
      <c r="Y6" s="188"/>
      <c r="Z6" s="188"/>
      <c r="AA6" s="188"/>
      <c r="AB6" s="188"/>
      <c r="AC6" s="188"/>
      <c r="AD6" s="188"/>
      <c r="AE6" s="188"/>
      <c r="AF6" s="188"/>
      <c r="AG6" s="188"/>
      <c r="AH6" s="188"/>
      <c r="AI6" s="188"/>
      <c r="AJ6" s="188"/>
      <c r="AK6" s="188"/>
      <c r="AL6" s="188"/>
      <c r="AM6" s="188"/>
      <c r="AN6" s="188"/>
      <c r="AO6" s="188"/>
      <c r="AP6" s="188"/>
      <c r="AQ6" s="188"/>
      <c r="AR6" s="188"/>
      <c r="AS6" s="188"/>
      <c r="AT6" s="188"/>
      <c r="AU6" s="188"/>
      <c r="AV6" s="188"/>
      <c r="AW6" s="188"/>
      <c r="AX6" s="188"/>
      <c r="AY6" s="188"/>
      <c r="AZ6" s="188"/>
      <c r="BA6" s="188"/>
      <c r="BB6" s="188"/>
      <c r="BC6" s="188"/>
      <c r="BD6" s="188"/>
      <c r="BE6" s="188"/>
      <c r="BF6" s="188"/>
      <c r="BG6" s="188"/>
      <c r="BH6" s="188"/>
      <c r="BI6" s="188"/>
      <c r="BJ6" s="188"/>
      <c r="BK6" s="188"/>
      <c r="BL6" s="188"/>
      <c r="BM6" s="188"/>
      <c r="BN6" s="188"/>
      <c r="BO6" s="188"/>
      <c r="BP6" s="188"/>
      <c r="BQ6" s="188"/>
      <c r="BR6" s="188"/>
      <c r="BS6" s="188"/>
      <c r="BT6" s="188"/>
      <c r="BU6" s="188"/>
      <c r="BV6" s="188"/>
      <c r="BW6" s="188"/>
      <c r="BX6" s="188"/>
      <c r="BY6" s="188"/>
      <c r="BZ6" s="188"/>
      <c r="CA6" s="188"/>
      <c r="CB6" s="188"/>
      <c r="CC6" s="188"/>
      <c r="CD6" s="188"/>
      <c r="CE6" s="188"/>
      <c r="CF6" s="188"/>
      <c r="CG6" s="188"/>
      <c r="CH6" s="188"/>
      <c r="CI6" s="188"/>
      <c r="CJ6" s="188"/>
      <c r="CK6" s="188"/>
      <c r="CL6" s="188"/>
    </row>
    <row r="7" spans="1:90" x14ac:dyDescent="0.25">
      <c r="A7" s="17" t="s">
        <v>4</v>
      </c>
      <c r="B7" s="188">
        <v>0</v>
      </c>
      <c r="C7" s="188">
        <v>0</v>
      </c>
      <c r="D7" s="188">
        <v>0</v>
      </c>
      <c r="E7" s="188">
        <v>0</v>
      </c>
      <c r="F7" s="188">
        <v>0</v>
      </c>
      <c r="G7" s="188">
        <v>0</v>
      </c>
      <c r="H7" s="188">
        <v>0</v>
      </c>
      <c r="I7" s="188">
        <v>0</v>
      </c>
      <c r="J7" s="188">
        <v>0</v>
      </c>
      <c r="K7" s="188">
        <v>0</v>
      </c>
      <c r="L7" s="188">
        <v>0</v>
      </c>
      <c r="M7" s="188">
        <v>0</v>
      </c>
      <c r="N7" s="188">
        <v>0</v>
      </c>
      <c r="O7" s="188">
        <v>0</v>
      </c>
      <c r="P7" s="188">
        <v>0</v>
      </c>
      <c r="Q7" s="188">
        <v>0</v>
      </c>
      <c r="R7" s="188"/>
      <c r="S7" s="188"/>
      <c r="T7" s="188"/>
      <c r="U7" s="188"/>
      <c r="V7" s="188"/>
      <c r="W7" s="188"/>
      <c r="X7" s="188"/>
      <c r="Y7" s="188"/>
      <c r="Z7" s="188"/>
      <c r="AA7" s="188"/>
      <c r="AB7" s="188"/>
      <c r="AC7" s="188"/>
      <c r="AD7" s="188"/>
      <c r="AE7" s="188"/>
      <c r="AF7" s="188"/>
      <c r="AG7" s="188"/>
      <c r="AH7" s="188"/>
      <c r="AI7" s="188"/>
      <c r="AJ7" s="188"/>
      <c r="AK7" s="188"/>
      <c r="AL7" s="188"/>
      <c r="AM7" s="188"/>
      <c r="AN7" s="188"/>
      <c r="AO7" s="188"/>
      <c r="AP7" s="188"/>
      <c r="AQ7" s="188"/>
      <c r="AR7" s="188"/>
      <c r="AS7" s="188"/>
      <c r="AT7" s="188"/>
      <c r="AU7" s="188"/>
      <c r="AV7" s="188"/>
      <c r="AW7" s="188"/>
      <c r="AX7" s="188"/>
      <c r="AY7" s="188"/>
      <c r="AZ7" s="188"/>
      <c r="BA7" s="188"/>
      <c r="BB7" s="188"/>
      <c r="BC7" s="188"/>
      <c r="BD7" s="188"/>
      <c r="BE7" s="188"/>
      <c r="BF7" s="188"/>
      <c r="BG7" s="188"/>
      <c r="BH7" s="188"/>
      <c r="BI7" s="188"/>
      <c r="BJ7" s="188"/>
      <c r="BK7" s="188"/>
      <c r="BL7" s="188"/>
      <c r="BM7" s="188"/>
      <c r="BN7" s="188"/>
      <c r="BO7" s="188"/>
      <c r="BP7" s="188"/>
      <c r="BQ7" s="188"/>
      <c r="BR7" s="188"/>
      <c r="BS7" s="188"/>
      <c r="BT7" s="188"/>
      <c r="BU7" s="188"/>
      <c r="BV7" s="188"/>
      <c r="BW7" s="188"/>
      <c r="BX7" s="188"/>
      <c r="BY7" s="188"/>
      <c r="BZ7" s="188"/>
      <c r="CA7" s="188"/>
      <c r="CB7" s="188"/>
      <c r="CC7" s="188"/>
      <c r="CD7" s="188"/>
      <c r="CE7" s="188"/>
      <c r="CF7" s="188"/>
      <c r="CG7" s="188"/>
      <c r="CH7" s="188"/>
      <c r="CI7" s="188"/>
      <c r="CJ7" s="188"/>
      <c r="CK7" s="188"/>
      <c r="CL7" s="188"/>
    </row>
    <row r="8" spans="1:90" x14ac:dyDescent="0.25">
      <c r="A8" s="17" t="s">
        <v>5</v>
      </c>
      <c r="B8" s="188">
        <v>1000000</v>
      </c>
      <c r="C8" s="188">
        <v>1000000</v>
      </c>
      <c r="D8" s="188">
        <v>1000000</v>
      </c>
      <c r="E8" s="188">
        <v>1000000</v>
      </c>
      <c r="F8" s="188">
        <v>1000000</v>
      </c>
      <c r="G8" s="188">
        <v>1000000</v>
      </c>
      <c r="H8" s="188">
        <v>1000000</v>
      </c>
      <c r="I8" s="188">
        <v>1000000</v>
      </c>
      <c r="J8" s="188">
        <v>1000000</v>
      </c>
      <c r="K8" s="188">
        <v>1000000</v>
      </c>
      <c r="L8" s="188">
        <v>1000000</v>
      </c>
      <c r="M8" s="188">
        <v>1000000</v>
      </c>
      <c r="N8" s="188">
        <v>1000000</v>
      </c>
      <c r="O8" s="188">
        <v>0</v>
      </c>
      <c r="P8" s="188">
        <v>0</v>
      </c>
      <c r="Q8" s="188">
        <v>0</v>
      </c>
      <c r="R8" s="188"/>
      <c r="S8" s="188"/>
      <c r="T8" s="188"/>
      <c r="U8" s="188"/>
      <c r="V8" s="188"/>
      <c r="W8" s="188"/>
      <c r="X8" s="188"/>
      <c r="Y8" s="188"/>
      <c r="Z8" s="188"/>
      <c r="AA8" s="188"/>
      <c r="AB8" s="188"/>
      <c r="AC8" s="188"/>
      <c r="AD8" s="188"/>
      <c r="AE8" s="188"/>
      <c r="AF8" s="188"/>
      <c r="AG8" s="188"/>
      <c r="AH8" s="188"/>
      <c r="AI8" s="188"/>
      <c r="AJ8" s="188"/>
      <c r="AK8" s="188"/>
      <c r="AL8" s="188"/>
      <c r="AM8" s="188"/>
      <c r="AN8" s="188"/>
      <c r="AO8" s="188"/>
      <c r="AP8" s="188"/>
      <c r="AQ8" s="188"/>
      <c r="AR8" s="188"/>
      <c r="AS8" s="188"/>
      <c r="AT8" s="188"/>
      <c r="AU8" s="188"/>
      <c r="AV8" s="188"/>
      <c r="AW8" s="188"/>
      <c r="AX8" s="188"/>
      <c r="AY8" s="188"/>
      <c r="AZ8" s="188"/>
      <c r="BA8" s="188"/>
      <c r="BB8" s="188"/>
      <c r="BC8" s="188"/>
      <c r="BD8" s="188"/>
      <c r="BE8" s="188"/>
      <c r="BF8" s="188"/>
      <c r="BG8" s="188"/>
      <c r="BH8" s="188"/>
      <c r="BI8" s="188"/>
      <c r="BJ8" s="188"/>
      <c r="BK8" s="188"/>
      <c r="BL8" s="188"/>
      <c r="BM8" s="188"/>
      <c r="BN8" s="188"/>
      <c r="BO8" s="188"/>
      <c r="BP8" s="188"/>
      <c r="BQ8" s="188"/>
      <c r="BR8" s="188"/>
      <c r="BS8" s="188"/>
      <c r="BT8" s="188"/>
      <c r="BU8" s="188"/>
      <c r="BV8" s="188"/>
      <c r="BW8" s="188"/>
      <c r="BX8" s="188"/>
      <c r="BY8" s="188"/>
      <c r="BZ8" s="188"/>
      <c r="CA8" s="188"/>
      <c r="CB8" s="188"/>
      <c r="CC8" s="188"/>
      <c r="CD8" s="188"/>
      <c r="CE8" s="188"/>
      <c r="CF8" s="188"/>
      <c r="CG8" s="188"/>
      <c r="CH8" s="188"/>
      <c r="CI8" s="188"/>
      <c r="CJ8" s="188"/>
      <c r="CK8" s="188"/>
      <c r="CL8" s="188"/>
    </row>
    <row r="9" spans="1:90" x14ac:dyDescent="0.25">
      <c r="A9" s="17" t="s">
        <v>6</v>
      </c>
      <c r="B9" s="188">
        <v>0</v>
      </c>
      <c r="C9" s="188">
        <v>0</v>
      </c>
      <c r="D9" s="188">
        <v>0</v>
      </c>
      <c r="E9" s="188">
        <v>0</v>
      </c>
      <c r="F9" s="188">
        <v>0</v>
      </c>
      <c r="G9" s="188">
        <v>0</v>
      </c>
      <c r="H9" s="188">
        <v>0</v>
      </c>
      <c r="I9" s="188">
        <v>0</v>
      </c>
      <c r="J9" s="188">
        <v>0</v>
      </c>
      <c r="K9" s="188">
        <v>0</v>
      </c>
      <c r="L9" s="188">
        <v>0</v>
      </c>
      <c r="M9" s="188">
        <v>0</v>
      </c>
      <c r="N9" s="188">
        <v>0</v>
      </c>
      <c r="O9" s="188">
        <v>0</v>
      </c>
      <c r="P9" s="188">
        <v>0</v>
      </c>
      <c r="Q9" s="188">
        <v>0</v>
      </c>
      <c r="R9" s="188"/>
      <c r="S9" s="188"/>
      <c r="T9" s="188"/>
      <c r="U9" s="188"/>
      <c r="V9" s="188"/>
      <c r="W9" s="188"/>
      <c r="X9" s="188"/>
      <c r="Y9" s="188"/>
      <c r="Z9" s="188"/>
      <c r="AA9" s="188"/>
      <c r="AB9" s="188"/>
      <c r="AC9" s="188"/>
      <c r="AD9" s="188"/>
      <c r="AE9" s="188"/>
      <c r="AF9" s="188"/>
      <c r="AG9" s="188"/>
      <c r="AH9" s="188"/>
      <c r="AI9" s="188"/>
      <c r="AJ9" s="188"/>
      <c r="AK9" s="188"/>
      <c r="AL9" s="188"/>
      <c r="AM9" s="188"/>
      <c r="AN9" s="188"/>
      <c r="AO9" s="188"/>
      <c r="AP9" s="188"/>
      <c r="AQ9" s="188"/>
      <c r="AR9" s="188"/>
      <c r="AS9" s="188"/>
      <c r="AT9" s="188"/>
      <c r="AU9" s="188"/>
      <c r="AV9" s="188"/>
      <c r="AW9" s="188"/>
      <c r="AX9" s="188"/>
      <c r="AY9" s="188"/>
      <c r="AZ9" s="188"/>
      <c r="BA9" s="188"/>
      <c r="BB9" s="188"/>
      <c r="BC9" s="188"/>
      <c r="BD9" s="188"/>
      <c r="BE9" s="188"/>
      <c r="BF9" s="188"/>
      <c r="BG9" s="188"/>
      <c r="BH9" s="188"/>
      <c r="BI9" s="188"/>
      <c r="BJ9" s="188"/>
      <c r="BK9" s="188"/>
      <c r="BL9" s="188"/>
      <c r="BM9" s="188"/>
      <c r="BN9" s="188"/>
      <c r="BO9" s="188"/>
      <c r="BP9" s="188"/>
      <c r="BQ9" s="188"/>
      <c r="BR9" s="188"/>
      <c r="BS9" s="188"/>
      <c r="BT9" s="188"/>
      <c r="BU9" s="188"/>
      <c r="BV9" s="188"/>
      <c r="BW9" s="188"/>
      <c r="BX9" s="188"/>
      <c r="BY9" s="188"/>
      <c r="BZ9" s="188"/>
      <c r="CA9" s="188"/>
      <c r="CB9" s="188"/>
      <c r="CC9" s="188"/>
      <c r="CD9" s="188"/>
      <c r="CE9" s="188"/>
      <c r="CF9" s="188"/>
      <c r="CG9" s="188"/>
      <c r="CH9" s="188"/>
      <c r="CI9" s="188"/>
      <c r="CJ9" s="188"/>
      <c r="CK9" s="188"/>
      <c r="CL9" s="188"/>
    </row>
    <row r="10" spans="1:90" x14ac:dyDescent="0.25">
      <c r="A10" s="19" t="s">
        <v>7</v>
      </c>
      <c r="B10" s="188">
        <v>22623344.309999999</v>
      </c>
      <c r="C10" s="188">
        <v>32269266.760000002</v>
      </c>
      <c r="D10" s="188">
        <v>32487226.780000001</v>
      </c>
      <c r="E10" s="188">
        <v>32705186.800000001</v>
      </c>
      <c r="F10" s="188">
        <v>31922835.780000001</v>
      </c>
      <c r="G10" s="188">
        <v>32134569.809999999</v>
      </c>
      <c r="H10" s="188">
        <v>32346303.84</v>
      </c>
      <c r="I10" s="188">
        <v>32239457.280000001</v>
      </c>
      <c r="J10" s="188">
        <v>32449119.48</v>
      </c>
      <c r="K10" s="188">
        <v>32658781.68</v>
      </c>
      <c r="L10" s="188">
        <v>33078106.079999998</v>
      </c>
      <c r="M10" s="188">
        <v>33916754.880000003</v>
      </c>
      <c r="N10" s="188">
        <v>34755403.68</v>
      </c>
      <c r="O10" s="188">
        <v>0</v>
      </c>
      <c r="P10" s="188">
        <v>0</v>
      </c>
      <c r="Q10" s="188">
        <v>0</v>
      </c>
      <c r="R10" s="188"/>
      <c r="S10" s="188"/>
      <c r="T10" s="188"/>
      <c r="U10" s="188"/>
      <c r="V10" s="188"/>
      <c r="W10" s="188"/>
      <c r="X10" s="188"/>
      <c r="Y10" s="188"/>
      <c r="Z10" s="188"/>
      <c r="AA10" s="188"/>
      <c r="AB10" s="188"/>
      <c r="AC10" s="188"/>
      <c r="AD10" s="188"/>
      <c r="AE10" s="188"/>
      <c r="AF10" s="188"/>
      <c r="AG10" s="188"/>
      <c r="AH10" s="188"/>
      <c r="AI10" s="188"/>
      <c r="AJ10" s="188"/>
      <c r="AK10" s="188"/>
      <c r="AL10" s="188"/>
      <c r="AM10" s="188"/>
      <c r="AN10" s="188"/>
      <c r="AO10" s="188"/>
      <c r="AP10" s="188"/>
      <c r="AQ10" s="188"/>
      <c r="AR10" s="188"/>
      <c r="AS10" s="188"/>
      <c r="AT10" s="188"/>
      <c r="AU10" s="188"/>
      <c r="AV10" s="188"/>
      <c r="AW10" s="188"/>
      <c r="AX10" s="188"/>
      <c r="AY10" s="188"/>
      <c r="AZ10" s="188"/>
      <c r="BA10" s="188"/>
      <c r="BB10" s="188"/>
      <c r="BC10" s="188"/>
      <c r="BD10" s="188"/>
      <c r="BE10" s="188"/>
      <c r="BF10" s="188"/>
      <c r="BG10" s="188"/>
      <c r="BH10" s="188"/>
      <c r="BI10" s="188"/>
      <c r="BJ10" s="188"/>
      <c r="BK10" s="188"/>
      <c r="BL10" s="188"/>
      <c r="BM10" s="188"/>
      <c r="BN10" s="188"/>
      <c r="BO10" s="188"/>
      <c r="BP10" s="188"/>
      <c r="BQ10" s="188"/>
      <c r="BR10" s="188"/>
      <c r="BS10" s="188"/>
      <c r="BT10" s="188"/>
      <c r="BU10" s="188"/>
      <c r="BV10" s="188"/>
      <c r="BW10" s="188"/>
      <c r="BX10" s="188"/>
      <c r="BY10" s="188"/>
      <c r="BZ10" s="188"/>
      <c r="CA10" s="188"/>
      <c r="CB10" s="188"/>
      <c r="CC10" s="188"/>
      <c r="CD10" s="188"/>
      <c r="CE10" s="188"/>
      <c r="CF10" s="188"/>
      <c r="CG10" s="188"/>
      <c r="CH10" s="188"/>
      <c r="CI10" s="188"/>
      <c r="CJ10" s="188"/>
      <c r="CK10" s="188"/>
      <c r="CL10" s="188"/>
    </row>
    <row r="11" spans="1:90" x14ac:dyDescent="0.25">
      <c r="A11" s="17" t="s">
        <v>8</v>
      </c>
      <c r="B11" s="188">
        <v>0</v>
      </c>
      <c r="C11" s="188">
        <v>0</v>
      </c>
      <c r="D11" s="188">
        <v>0</v>
      </c>
      <c r="E11" s="188">
        <v>0</v>
      </c>
      <c r="F11" s="188">
        <v>0</v>
      </c>
      <c r="G11" s="188">
        <v>0</v>
      </c>
      <c r="H11" s="188">
        <v>0</v>
      </c>
      <c r="I11" s="188">
        <v>0</v>
      </c>
      <c r="J11" s="188">
        <v>0</v>
      </c>
      <c r="K11" s="188">
        <v>0</v>
      </c>
      <c r="L11" s="188">
        <v>0</v>
      </c>
      <c r="M11" s="188">
        <v>0</v>
      </c>
      <c r="N11" s="188">
        <v>0</v>
      </c>
      <c r="O11" s="188">
        <v>0</v>
      </c>
      <c r="P11" s="188">
        <v>0</v>
      </c>
      <c r="Q11" s="188">
        <v>0</v>
      </c>
      <c r="R11" s="188"/>
      <c r="S11" s="188"/>
      <c r="T11" s="188"/>
      <c r="U11" s="188"/>
      <c r="V11" s="188"/>
      <c r="W11" s="188"/>
      <c r="X11" s="188"/>
      <c r="Y11" s="188"/>
      <c r="Z11" s="188"/>
      <c r="AA11" s="188"/>
      <c r="AB11" s="188"/>
      <c r="AC11" s="188"/>
      <c r="AD11" s="188"/>
      <c r="AE11" s="188"/>
      <c r="AF11" s="188"/>
      <c r="AG11" s="188"/>
      <c r="AH11" s="188"/>
      <c r="AI11" s="188"/>
      <c r="AJ11" s="188"/>
      <c r="AK11" s="188"/>
      <c r="AL11" s="188"/>
      <c r="AM11" s="188"/>
      <c r="AN11" s="188"/>
      <c r="AO11" s="188"/>
      <c r="AP11" s="188"/>
      <c r="AQ11" s="188"/>
      <c r="AR11" s="188"/>
      <c r="AS11" s="188"/>
      <c r="AT11" s="188"/>
      <c r="AU11" s="188"/>
      <c r="AV11" s="188"/>
      <c r="AW11" s="188"/>
      <c r="AX11" s="188"/>
      <c r="AY11" s="188"/>
      <c r="AZ11" s="188"/>
      <c r="BA11" s="188"/>
      <c r="BB11" s="188"/>
      <c r="BC11" s="188"/>
      <c r="BD11" s="188"/>
      <c r="BE11" s="188"/>
      <c r="BF11" s="188"/>
      <c r="BG11" s="188"/>
      <c r="BH11" s="188"/>
      <c r="BI11" s="188"/>
      <c r="BJ11" s="188"/>
      <c r="BK11" s="188"/>
      <c r="BL11" s="188"/>
      <c r="BM11" s="188"/>
      <c r="BN11" s="188"/>
      <c r="BO11" s="188"/>
      <c r="BP11" s="188"/>
      <c r="BQ11" s="188"/>
      <c r="BR11" s="188"/>
      <c r="BS11" s="188"/>
      <c r="BT11" s="188"/>
      <c r="BU11" s="188"/>
      <c r="BV11" s="188"/>
      <c r="BW11" s="188"/>
      <c r="BX11" s="188"/>
      <c r="BY11" s="188"/>
      <c r="BZ11" s="188"/>
      <c r="CA11" s="188"/>
      <c r="CB11" s="188"/>
      <c r="CC11" s="188"/>
      <c r="CD11" s="188"/>
      <c r="CE11" s="188"/>
      <c r="CF11" s="188"/>
      <c r="CG11" s="188"/>
      <c r="CH11" s="188"/>
      <c r="CI11" s="188"/>
      <c r="CJ11" s="188"/>
      <c r="CK11" s="188"/>
      <c r="CL11" s="188"/>
    </row>
    <row r="12" spans="1:90" x14ac:dyDescent="0.25">
      <c r="A12" s="17" t="s">
        <v>9</v>
      </c>
      <c r="B12" s="188">
        <v>0</v>
      </c>
      <c r="C12" s="188">
        <v>0</v>
      </c>
      <c r="D12" s="188">
        <v>0</v>
      </c>
      <c r="E12" s="188">
        <v>0</v>
      </c>
      <c r="F12" s="188">
        <v>0</v>
      </c>
      <c r="G12" s="188">
        <v>0</v>
      </c>
      <c r="H12" s="188">
        <v>0</v>
      </c>
      <c r="I12" s="188">
        <v>0</v>
      </c>
      <c r="J12" s="188">
        <v>0</v>
      </c>
      <c r="K12" s="188">
        <v>0</v>
      </c>
      <c r="L12" s="188">
        <v>0</v>
      </c>
      <c r="M12" s="188">
        <v>0</v>
      </c>
      <c r="N12" s="188">
        <v>0</v>
      </c>
      <c r="O12" s="188">
        <v>0</v>
      </c>
      <c r="P12" s="188">
        <v>0</v>
      </c>
      <c r="Q12" s="188">
        <v>0</v>
      </c>
      <c r="R12" s="188"/>
      <c r="S12" s="188"/>
      <c r="T12" s="188"/>
      <c r="U12" s="188"/>
      <c r="V12" s="188"/>
      <c r="W12" s="188"/>
      <c r="X12" s="188"/>
      <c r="Y12" s="188"/>
      <c r="Z12" s="188"/>
      <c r="AA12" s="188"/>
      <c r="AB12" s="188"/>
      <c r="AC12" s="188"/>
      <c r="AD12" s="188"/>
      <c r="AE12" s="188"/>
      <c r="AF12" s="188"/>
      <c r="AG12" s="188"/>
      <c r="AH12" s="188"/>
      <c r="AI12" s="188"/>
      <c r="AJ12" s="188"/>
      <c r="AK12" s="188"/>
      <c r="AL12" s="188"/>
      <c r="AM12" s="188"/>
      <c r="AN12" s="188"/>
      <c r="AO12" s="188"/>
      <c r="AP12" s="188"/>
      <c r="AQ12" s="188"/>
      <c r="AR12" s="188"/>
      <c r="AS12" s="188"/>
      <c r="AT12" s="188"/>
      <c r="AU12" s="188"/>
      <c r="AV12" s="188"/>
      <c r="AW12" s="188"/>
      <c r="AX12" s="188"/>
      <c r="AY12" s="188"/>
      <c r="AZ12" s="188"/>
      <c r="BA12" s="188"/>
      <c r="BB12" s="188"/>
      <c r="BC12" s="188"/>
      <c r="BD12" s="188"/>
      <c r="BE12" s="188"/>
      <c r="BF12" s="188"/>
      <c r="BG12" s="188"/>
      <c r="BH12" s="188"/>
      <c r="BI12" s="188"/>
      <c r="BJ12" s="188"/>
      <c r="BK12" s="188"/>
      <c r="BL12" s="188"/>
      <c r="BM12" s="188"/>
      <c r="BN12" s="188"/>
      <c r="BO12" s="188"/>
      <c r="BP12" s="188"/>
      <c r="BQ12" s="188"/>
      <c r="BR12" s="188"/>
      <c r="BS12" s="188"/>
      <c r="BT12" s="188"/>
      <c r="BU12" s="188"/>
      <c r="BV12" s="188"/>
      <c r="BW12" s="188"/>
      <c r="BX12" s="188"/>
      <c r="BY12" s="188"/>
      <c r="BZ12" s="188"/>
      <c r="CA12" s="188"/>
      <c r="CB12" s="188"/>
      <c r="CC12" s="188"/>
      <c r="CD12" s="188"/>
      <c r="CE12" s="188"/>
      <c r="CF12" s="188"/>
      <c r="CG12" s="188"/>
      <c r="CH12" s="188"/>
      <c r="CI12" s="188"/>
      <c r="CJ12" s="188"/>
      <c r="CK12" s="188"/>
      <c r="CL12" s="188"/>
    </row>
    <row r="13" spans="1:90" x14ac:dyDescent="0.25">
      <c r="A13" s="17" t="s">
        <v>10</v>
      </c>
      <c r="B13" s="188">
        <v>0</v>
      </c>
      <c r="C13" s="188">
        <v>0</v>
      </c>
      <c r="D13" s="188">
        <v>0</v>
      </c>
      <c r="E13" s="188">
        <v>0</v>
      </c>
      <c r="F13" s="188">
        <v>0</v>
      </c>
      <c r="G13" s="188">
        <v>0</v>
      </c>
      <c r="H13" s="188">
        <v>0</v>
      </c>
      <c r="I13" s="188">
        <v>0</v>
      </c>
      <c r="J13" s="188">
        <v>0</v>
      </c>
      <c r="K13" s="188">
        <v>0</v>
      </c>
      <c r="L13" s="188">
        <v>0</v>
      </c>
      <c r="M13" s="188">
        <v>0</v>
      </c>
      <c r="N13" s="188">
        <v>0</v>
      </c>
      <c r="O13" s="188">
        <v>0</v>
      </c>
      <c r="P13" s="188">
        <v>0</v>
      </c>
      <c r="Q13" s="188">
        <v>0</v>
      </c>
      <c r="R13" s="188"/>
      <c r="S13" s="188"/>
      <c r="T13" s="188"/>
      <c r="U13" s="188"/>
      <c r="V13" s="188"/>
      <c r="W13" s="188"/>
      <c r="X13" s="188"/>
      <c r="Y13" s="188"/>
      <c r="Z13" s="188"/>
      <c r="AA13" s="188"/>
      <c r="AB13" s="188"/>
      <c r="AC13" s="188"/>
      <c r="AD13" s="188"/>
      <c r="AE13" s="188"/>
      <c r="AF13" s="188"/>
      <c r="AG13" s="188"/>
      <c r="AH13" s="188"/>
      <c r="AI13" s="188"/>
      <c r="AJ13" s="188"/>
      <c r="AK13" s="188"/>
      <c r="AL13" s="188"/>
      <c r="AM13" s="188"/>
      <c r="AN13" s="188"/>
      <c r="AO13" s="188"/>
      <c r="AP13" s="188"/>
      <c r="AQ13" s="188"/>
      <c r="AR13" s="188"/>
      <c r="AS13" s="188"/>
      <c r="AT13" s="188"/>
      <c r="AU13" s="188"/>
      <c r="AV13" s="188"/>
      <c r="AW13" s="188"/>
      <c r="AX13" s="188"/>
      <c r="AY13" s="188"/>
      <c r="AZ13" s="188"/>
      <c r="BA13" s="188"/>
      <c r="BB13" s="188"/>
      <c r="BC13" s="188"/>
      <c r="BD13" s="188"/>
      <c r="BE13" s="188"/>
      <c r="BF13" s="188"/>
      <c r="BG13" s="188"/>
      <c r="BH13" s="188"/>
      <c r="BI13" s="188"/>
      <c r="BJ13" s="188"/>
      <c r="BK13" s="188"/>
      <c r="BL13" s="188"/>
      <c r="BM13" s="188"/>
      <c r="BN13" s="188"/>
      <c r="BO13" s="188"/>
      <c r="BP13" s="188"/>
      <c r="BQ13" s="188"/>
      <c r="BR13" s="188"/>
      <c r="BS13" s="188"/>
      <c r="BT13" s="188"/>
      <c r="BU13" s="188"/>
      <c r="BV13" s="188"/>
      <c r="BW13" s="188"/>
      <c r="BX13" s="188"/>
      <c r="BY13" s="188"/>
      <c r="BZ13" s="188"/>
      <c r="CA13" s="188"/>
      <c r="CB13" s="188"/>
      <c r="CC13" s="188"/>
      <c r="CD13" s="188"/>
      <c r="CE13" s="188"/>
      <c r="CF13" s="188"/>
      <c r="CG13" s="188"/>
      <c r="CH13" s="188"/>
      <c r="CI13" s="188"/>
      <c r="CJ13" s="188"/>
      <c r="CK13" s="188"/>
      <c r="CL13" s="188"/>
    </row>
    <row r="14" spans="1:90" hidden="1" x14ac:dyDescent="0.25">
      <c r="B14" s="26"/>
      <c r="C14" s="26"/>
      <c r="D14" s="26"/>
      <c r="E14" s="26"/>
      <c r="F14" s="26"/>
      <c r="G14" s="26"/>
      <c r="H14" s="26"/>
      <c r="I14" s="26"/>
      <c r="J14" s="26"/>
      <c r="K14" s="26"/>
      <c r="L14" s="23"/>
    </row>
    <row r="15" spans="1:90" hidden="1" x14ac:dyDescent="0.25">
      <c r="B15" s="26"/>
      <c r="C15" s="26"/>
      <c r="D15" s="26"/>
      <c r="E15" s="26"/>
      <c r="F15" s="26"/>
      <c r="G15" s="26"/>
      <c r="H15" s="26"/>
      <c r="I15" s="26"/>
      <c r="J15" s="26"/>
      <c r="K15" s="26"/>
      <c r="L15" s="23"/>
    </row>
    <row r="16" spans="1:90" hidden="1" x14ac:dyDescent="0.25">
      <c r="B16" s="26"/>
      <c r="C16" s="26"/>
      <c r="D16" s="26"/>
      <c r="E16" s="26"/>
      <c r="F16" s="26"/>
      <c r="G16" s="26"/>
      <c r="H16" s="26"/>
      <c r="I16" s="26"/>
      <c r="J16" s="26"/>
      <c r="K16" s="26"/>
      <c r="L16" s="23"/>
    </row>
    <row r="17" spans="1:90" s="5" customFormat="1" x14ac:dyDescent="0.25">
      <c r="A17" s="120" t="s">
        <v>11</v>
      </c>
      <c r="B17" s="33">
        <f>SUM(B4:B13)</f>
        <v>211525344.81999999</v>
      </c>
      <c r="C17" s="33">
        <f t="shared" ref="C17:BN17" si="0">SUM(C4:C13)</f>
        <v>232817552.95999998</v>
      </c>
      <c r="D17" s="33">
        <f t="shared" si="0"/>
        <v>202018859.63</v>
      </c>
      <c r="E17" s="33">
        <f t="shared" si="0"/>
        <v>359724222.34000003</v>
      </c>
      <c r="F17" s="33">
        <f t="shared" si="0"/>
        <v>272744670.59000003</v>
      </c>
      <c r="G17" s="33">
        <f t="shared" si="0"/>
        <v>360990104.43000001</v>
      </c>
      <c r="H17" s="33">
        <f t="shared" si="0"/>
        <v>543018430.06000006</v>
      </c>
      <c r="I17" s="33">
        <f t="shared" si="0"/>
        <v>442073371.21000004</v>
      </c>
      <c r="J17" s="33">
        <f t="shared" si="0"/>
        <v>173441088.34999999</v>
      </c>
      <c r="K17" s="33">
        <f t="shared" si="0"/>
        <v>125763270.44</v>
      </c>
      <c r="L17" s="33">
        <f t="shared" si="0"/>
        <v>203669416.86000001</v>
      </c>
      <c r="M17" s="33">
        <f t="shared" si="0"/>
        <v>121360190</v>
      </c>
      <c r="N17" s="33">
        <f t="shared" si="0"/>
        <v>121048251.62</v>
      </c>
      <c r="O17" s="33">
        <f t="shared" si="0"/>
        <v>131378573.28</v>
      </c>
      <c r="P17" s="33">
        <f t="shared" si="0"/>
        <v>106634430.42</v>
      </c>
      <c r="Q17" s="33">
        <f t="shared" si="0"/>
        <v>0</v>
      </c>
      <c r="R17" s="33">
        <f t="shared" si="0"/>
        <v>0</v>
      </c>
      <c r="S17" s="33">
        <f t="shared" si="0"/>
        <v>0</v>
      </c>
      <c r="T17" s="33">
        <f t="shared" si="0"/>
        <v>0</v>
      </c>
      <c r="U17" s="33">
        <f t="shared" si="0"/>
        <v>0</v>
      </c>
      <c r="V17" s="33">
        <f t="shared" si="0"/>
        <v>0</v>
      </c>
      <c r="W17" s="33">
        <f t="shared" si="0"/>
        <v>0</v>
      </c>
      <c r="X17" s="33">
        <f t="shared" si="0"/>
        <v>0</v>
      </c>
      <c r="Y17" s="33">
        <f t="shared" si="0"/>
        <v>0</v>
      </c>
      <c r="Z17" s="33">
        <f t="shared" si="0"/>
        <v>0</v>
      </c>
      <c r="AA17" s="33">
        <f t="shared" si="0"/>
        <v>0</v>
      </c>
      <c r="AB17" s="33">
        <f t="shared" si="0"/>
        <v>0</v>
      </c>
      <c r="AC17" s="33">
        <f t="shared" si="0"/>
        <v>0</v>
      </c>
      <c r="AD17" s="33">
        <f t="shared" si="0"/>
        <v>0</v>
      </c>
      <c r="AE17" s="33">
        <f t="shared" si="0"/>
        <v>0</v>
      </c>
      <c r="AF17" s="33">
        <f t="shared" si="0"/>
        <v>0</v>
      </c>
      <c r="AG17" s="33">
        <f t="shared" si="0"/>
        <v>0</v>
      </c>
      <c r="AH17" s="33">
        <f t="shared" si="0"/>
        <v>0</v>
      </c>
      <c r="AI17" s="33">
        <f t="shared" si="0"/>
        <v>0</v>
      </c>
      <c r="AJ17" s="33">
        <f t="shared" si="0"/>
        <v>0</v>
      </c>
      <c r="AK17" s="33">
        <f t="shared" si="0"/>
        <v>0</v>
      </c>
      <c r="AL17" s="33">
        <f t="shared" si="0"/>
        <v>0</v>
      </c>
      <c r="AM17" s="33">
        <f t="shared" si="0"/>
        <v>0</v>
      </c>
      <c r="AN17" s="33">
        <f t="shared" si="0"/>
        <v>0</v>
      </c>
      <c r="AO17" s="33">
        <f t="shared" si="0"/>
        <v>0</v>
      </c>
      <c r="AP17" s="33">
        <f t="shared" si="0"/>
        <v>0</v>
      </c>
      <c r="AQ17" s="33">
        <f t="shared" si="0"/>
        <v>0</v>
      </c>
      <c r="AR17" s="33">
        <f t="shared" si="0"/>
        <v>0</v>
      </c>
      <c r="AS17" s="33">
        <f t="shared" si="0"/>
        <v>0</v>
      </c>
      <c r="AT17" s="33">
        <f t="shared" si="0"/>
        <v>0</v>
      </c>
      <c r="AU17" s="33">
        <f t="shared" si="0"/>
        <v>0</v>
      </c>
      <c r="AV17" s="33">
        <f t="shared" si="0"/>
        <v>0</v>
      </c>
      <c r="AW17" s="33">
        <f t="shared" si="0"/>
        <v>0</v>
      </c>
      <c r="AX17" s="33">
        <f t="shared" si="0"/>
        <v>0</v>
      </c>
      <c r="AY17" s="33">
        <f t="shared" si="0"/>
        <v>0</v>
      </c>
      <c r="AZ17" s="33">
        <f t="shared" si="0"/>
        <v>0</v>
      </c>
      <c r="BA17" s="33">
        <f t="shared" si="0"/>
        <v>0</v>
      </c>
      <c r="BB17" s="33">
        <f t="shared" si="0"/>
        <v>0</v>
      </c>
      <c r="BC17" s="33">
        <f t="shared" si="0"/>
        <v>0</v>
      </c>
      <c r="BD17" s="33">
        <f t="shared" si="0"/>
        <v>0</v>
      </c>
      <c r="BE17" s="33">
        <f t="shared" si="0"/>
        <v>0</v>
      </c>
      <c r="BF17" s="33">
        <f t="shared" si="0"/>
        <v>0</v>
      </c>
      <c r="BG17" s="33">
        <f t="shared" si="0"/>
        <v>0</v>
      </c>
      <c r="BH17" s="33">
        <f t="shared" si="0"/>
        <v>0</v>
      </c>
      <c r="BI17" s="33">
        <f t="shared" si="0"/>
        <v>0</v>
      </c>
      <c r="BJ17" s="33">
        <f t="shared" si="0"/>
        <v>0</v>
      </c>
      <c r="BK17" s="33">
        <f t="shared" si="0"/>
        <v>0</v>
      </c>
      <c r="BL17" s="33">
        <f t="shared" si="0"/>
        <v>0</v>
      </c>
      <c r="BM17" s="33">
        <f t="shared" si="0"/>
        <v>0</v>
      </c>
      <c r="BN17" s="33">
        <f t="shared" si="0"/>
        <v>0</v>
      </c>
      <c r="BO17" s="33">
        <f t="shared" ref="BO17:CK17" si="1">SUM(BO4:BO13)</f>
        <v>0</v>
      </c>
      <c r="BP17" s="33">
        <f t="shared" si="1"/>
        <v>0</v>
      </c>
      <c r="BQ17" s="33">
        <f t="shared" si="1"/>
        <v>0</v>
      </c>
      <c r="BR17" s="33">
        <f t="shared" si="1"/>
        <v>0</v>
      </c>
      <c r="BS17" s="33">
        <f t="shared" si="1"/>
        <v>0</v>
      </c>
      <c r="BT17" s="33">
        <f t="shared" si="1"/>
        <v>0</v>
      </c>
      <c r="BU17" s="33">
        <f t="shared" si="1"/>
        <v>0</v>
      </c>
      <c r="BV17" s="33">
        <f t="shared" si="1"/>
        <v>0</v>
      </c>
      <c r="BW17" s="33">
        <f t="shared" si="1"/>
        <v>0</v>
      </c>
      <c r="BX17" s="33">
        <f t="shared" si="1"/>
        <v>0</v>
      </c>
      <c r="BY17" s="33">
        <f t="shared" si="1"/>
        <v>0</v>
      </c>
      <c r="BZ17" s="33">
        <f t="shared" si="1"/>
        <v>0</v>
      </c>
      <c r="CA17" s="33">
        <f t="shared" si="1"/>
        <v>0</v>
      </c>
      <c r="CB17" s="33">
        <f t="shared" si="1"/>
        <v>0</v>
      </c>
      <c r="CC17" s="33">
        <f t="shared" si="1"/>
        <v>0</v>
      </c>
      <c r="CD17" s="33">
        <f t="shared" si="1"/>
        <v>0</v>
      </c>
      <c r="CE17" s="33">
        <f t="shared" si="1"/>
        <v>0</v>
      </c>
      <c r="CF17" s="33">
        <f t="shared" si="1"/>
        <v>0</v>
      </c>
      <c r="CG17" s="33">
        <f t="shared" si="1"/>
        <v>0</v>
      </c>
      <c r="CH17" s="33">
        <f t="shared" si="1"/>
        <v>0</v>
      </c>
      <c r="CI17" s="33">
        <f t="shared" si="1"/>
        <v>0</v>
      </c>
      <c r="CJ17" s="33">
        <f t="shared" si="1"/>
        <v>0</v>
      </c>
      <c r="CK17" s="33">
        <f t="shared" si="1"/>
        <v>0</v>
      </c>
    </row>
    <row r="18" spans="1:90" s="11" customFormat="1" x14ac:dyDescent="0.25">
      <c r="A18" s="121" t="s">
        <v>79</v>
      </c>
      <c r="B18" s="34"/>
      <c r="C18" s="34"/>
      <c r="D18" s="34"/>
      <c r="E18" s="34"/>
      <c r="F18" s="34"/>
      <c r="G18" s="34"/>
      <c r="H18" s="34"/>
      <c r="I18" s="34"/>
      <c r="J18" s="34"/>
      <c r="K18" s="34"/>
      <c r="L18" s="32"/>
      <c r="M18" s="14"/>
      <c r="N18" s="14"/>
    </row>
    <row r="19" spans="1:90" s="5" customFormat="1" x14ac:dyDescent="0.25">
      <c r="A19" s="120" t="s">
        <v>78</v>
      </c>
      <c r="B19" s="188">
        <v>32819170.129999999</v>
      </c>
      <c r="C19" s="188">
        <v>32819170.129999999</v>
      </c>
      <c r="D19" s="188">
        <v>33000000</v>
      </c>
      <c r="E19" s="188">
        <v>33000000</v>
      </c>
      <c r="F19" s="188">
        <v>0</v>
      </c>
      <c r="G19" s="188">
        <v>0</v>
      </c>
      <c r="H19" s="188">
        <v>0</v>
      </c>
      <c r="I19" s="188">
        <v>0</v>
      </c>
      <c r="J19" s="188">
        <v>0</v>
      </c>
      <c r="K19" s="188">
        <v>0</v>
      </c>
      <c r="L19" s="188">
        <v>0</v>
      </c>
      <c r="M19" s="188">
        <v>0</v>
      </c>
      <c r="N19" s="188">
        <v>0</v>
      </c>
      <c r="O19" s="188">
        <v>1000000</v>
      </c>
      <c r="P19" s="188">
        <v>1000000</v>
      </c>
      <c r="Q19" s="188">
        <v>0</v>
      </c>
      <c r="R19" s="188"/>
      <c r="S19" s="188"/>
      <c r="T19" s="188"/>
      <c r="U19" s="188"/>
      <c r="V19" s="188"/>
      <c r="W19" s="188"/>
      <c r="X19" s="188"/>
      <c r="Y19" s="188"/>
      <c r="Z19" s="188"/>
      <c r="AA19" s="188"/>
      <c r="AB19" s="188"/>
      <c r="AC19" s="188"/>
      <c r="AD19" s="188"/>
      <c r="AE19" s="188"/>
      <c r="AF19" s="188"/>
      <c r="AG19" s="188"/>
      <c r="AH19" s="188"/>
      <c r="AI19" s="188"/>
      <c r="AJ19" s="188"/>
      <c r="AK19" s="188"/>
      <c r="AL19" s="188"/>
      <c r="AM19" s="188"/>
      <c r="AN19" s="188"/>
      <c r="AO19" s="188"/>
      <c r="AP19" s="188"/>
      <c r="AQ19" s="188"/>
      <c r="AR19" s="188"/>
      <c r="AS19" s="188"/>
      <c r="AT19" s="188"/>
      <c r="AU19" s="188"/>
      <c r="AV19" s="188"/>
      <c r="AW19" s="188"/>
      <c r="AX19" s="188"/>
      <c r="AY19" s="188"/>
      <c r="AZ19" s="188"/>
      <c r="BA19" s="188"/>
      <c r="BB19" s="188"/>
      <c r="BC19" s="188"/>
      <c r="BD19" s="188"/>
      <c r="BE19" s="188"/>
      <c r="BF19" s="188"/>
      <c r="BG19" s="188"/>
      <c r="BH19" s="188"/>
      <c r="BI19" s="188"/>
      <c r="BJ19" s="188"/>
      <c r="BK19" s="188"/>
      <c r="BL19" s="188"/>
      <c r="BM19" s="188"/>
      <c r="BN19" s="188"/>
      <c r="BO19" s="188"/>
      <c r="BP19" s="188"/>
      <c r="BQ19" s="188"/>
      <c r="BR19" s="188"/>
      <c r="BS19" s="188"/>
      <c r="BT19" s="188"/>
      <c r="BU19" s="188"/>
      <c r="BV19" s="188"/>
      <c r="BW19" s="188"/>
      <c r="BX19" s="188"/>
      <c r="BY19" s="188"/>
      <c r="BZ19" s="188"/>
      <c r="CA19" s="188"/>
      <c r="CB19" s="188"/>
      <c r="CC19" s="188"/>
      <c r="CD19" s="188"/>
      <c r="CE19" s="188"/>
      <c r="CF19" s="188"/>
      <c r="CG19" s="188"/>
      <c r="CH19" s="188"/>
      <c r="CI19" s="188"/>
      <c r="CJ19" s="188"/>
      <c r="CK19" s="188"/>
      <c r="CL19" s="188"/>
    </row>
    <row r="20" spans="1:90" x14ac:dyDescent="0.25">
      <c r="A20" s="20" t="s">
        <v>12</v>
      </c>
      <c r="B20" s="26"/>
      <c r="C20" s="26"/>
      <c r="D20" s="26"/>
      <c r="E20" s="26"/>
      <c r="F20" s="26"/>
      <c r="G20" s="26"/>
      <c r="H20" s="26"/>
      <c r="I20" s="26"/>
      <c r="J20" s="26"/>
      <c r="K20" s="26"/>
      <c r="L20" s="23"/>
      <c r="M20" s="13"/>
      <c r="N20" s="13"/>
    </row>
    <row r="21" spans="1:90" x14ac:dyDescent="0.25">
      <c r="A21" s="20" t="s">
        <v>80</v>
      </c>
      <c r="B21" s="26"/>
      <c r="C21" s="26"/>
      <c r="D21" s="26"/>
      <c r="E21" s="26"/>
      <c r="F21" s="26"/>
      <c r="G21" s="26"/>
      <c r="H21" s="26"/>
      <c r="I21" s="26"/>
      <c r="J21" s="26"/>
      <c r="K21" s="26"/>
      <c r="L21" s="23"/>
      <c r="M21" s="13"/>
      <c r="N21" s="13"/>
    </row>
    <row r="22" spans="1:90" x14ac:dyDescent="0.25">
      <c r="A22" s="17" t="s">
        <v>14</v>
      </c>
      <c r="B22" s="188">
        <v>5199053.92</v>
      </c>
      <c r="C22" s="188">
        <v>3648514.72</v>
      </c>
      <c r="D22" s="188">
        <v>1245108</v>
      </c>
      <c r="E22" s="188">
        <v>720088</v>
      </c>
      <c r="F22" s="188">
        <v>2115758</v>
      </c>
      <c r="G22" s="188">
        <v>829112</v>
      </c>
      <c r="H22" s="188">
        <v>1282961.99</v>
      </c>
      <c r="I22" s="188">
        <v>1825000</v>
      </c>
      <c r="J22" s="188">
        <v>1500000</v>
      </c>
      <c r="K22" s="188">
        <v>394719.46</v>
      </c>
      <c r="L22" s="188">
        <v>1252000</v>
      </c>
      <c r="M22" s="188">
        <v>702499.52</v>
      </c>
      <c r="N22" s="188">
        <v>480000</v>
      </c>
      <c r="O22" s="188">
        <v>836000</v>
      </c>
      <c r="P22" s="188">
        <v>550000</v>
      </c>
      <c r="Q22" s="188">
        <v>0</v>
      </c>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c r="BC22" s="188"/>
      <c r="BD22" s="188"/>
      <c r="BE22" s="188"/>
      <c r="BF22" s="188"/>
      <c r="BG22" s="188"/>
      <c r="BH22" s="188"/>
      <c r="BI22" s="188"/>
      <c r="BJ22" s="188"/>
      <c r="BK22" s="188"/>
      <c r="BL22" s="188"/>
      <c r="BM22" s="188"/>
      <c r="BN22" s="188"/>
      <c r="BO22" s="188"/>
      <c r="BP22" s="188"/>
      <c r="BQ22" s="188"/>
      <c r="BR22" s="188"/>
      <c r="BS22" s="188"/>
      <c r="BT22" s="188"/>
      <c r="BU22" s="188"/>
      <c r="BV22" s="188"/>
      <c r="BW22" s="188"/>
      <c r="BX22" s="188"/>
      <c r="BY22" s="188"/>
      <c r="BZ22" s="188"/>
      <c r="CA22" s="188"/>
      <c r="CB22" s="188"/>
      <c r="CC22" s="188"/>
      <c r="CD22" s="188"/>
      <c r="CE22" s="188"/>
      <c r="CF22" s="188"/>
      <c r="CG22" s="188"/>
      <c r="CH22" s="188"/>
      <c r="CI22" s="188"/>
      <c r="CJ22" s="188"/>
      <c r="CK22" s="188"/>
      <c r="CL22" s="188"/>
    </row>
    <row r="23" spans="1:90" x14ac:dyDescent="0.25">
      <c r="A23" s="17" t="s">
        <v>15</v>
      </c>
      <c r="B23" s="188">
        <v>125212660.15000001</v>
      </c>
      <c r="C23" s="188">
        <v>123548286.2</v>
      </c>
      <c r="D23" s="188">
        <v>88230106.799999997</v>
      </c>
      <c r="E23" s="188">
        <v>89932350.730000004</v>
      </c>
      <c r="F23" s="188">
        <v>93801644.189999998</v>
      </c>
      <c r="G23" s="188">
        <v>90911558.549999997</v>
      </c>
      <c r="H23" s="188">
        <v>67513681.430000007</v>
      </c>
      <c r="I23" s="188">
        <v>67335435.269999996</v>
      </c>
      <c r="J23" s="188">
        <v>68859063.090000004</v>
      </c>
      <c r="K23" s="188">
        <v>75380548.560000002</v>
      </c>
      <c r="L23" s="188">
        <v>58118663.490000002</v>
      </c>
      <c r="M23" s="188">
        <v>45098704.270000003</v>
      </c>
      <c r="N23" s="188">
        <v>38201523.140000001</v>
      </c>
      <c r="O23" s="188">
        <v>27982712.039999999</v>
      </c>
      <c r="P23" s="188">
        <v>22282694.469999999</v>
      </c>
      <c r="Q23" s="188">
        <v>0</v>
      </c>
      <c r="R23" s="188"/>
      <c r="S23" s="188"/>
      <c r="T23" s="188"/>
      <c r="U23" s="188"/>
      <c r="V23" s="188"/>
      <c r="W23" s="188"/>
      <c r="X23" s="188"/>
      <c r="Y23" s="188"/>
      <c r="Z23" s="188"/>
      <c r="AA23" s="188"/>
      <c r="AB23" s="188"/>
      <c r="AC23" s="188"/>
      <c r="AD23" s="188"/>
      <c r="AE23" s="188"/>
      <c r="AF23" s="188"/>
      <c r="AG23" s="188"/>
      <c r="AH23" s="188"/>
      <c r="AI23" s="188"/>
      <c r="AJ23" s="188"/>
      <c r="AK23" s="188"/>
      <c r="AL23" s="188"/>
      <c r="AM23" s="188"/>
      <c r="AN23" s="188"/>
      <c r="AO23" s="188"/>
      <c r="AP23" s="188"/>
      <c r="AQ23" s="188"/>
      <c r="AR23" s="188"/>
      <c r="AS23" s="188"/>
      <c r="AT23" s="188"/>
      <c r="AU23" s="188"/>
      <c r="AV23" s="188"/>
      <c r="AW23" s="188"/>
      <c r="AX23" s="188"/>
      <c r="AY23" s="188"/>
      <c r="AZ23" s="188"/>
      <c r="BA23" s="188"/>
      <c r="BB23" s="188"/>
      <c r="BC23" s="188"/>
      <c r="BD23" s="188"/>
      <c r="BE23" s="188"/>
      <c r="BF23" s="188"/>
      <c r="BG23" s="188"/>
      <c r="BH23" s="188"/>
      <c r="BI23" s="188"/>
      <c r="BJ23" s="188"/>
      <c r="BK23" s="188"/>
      <c r="BL23" s="188"/>
      <c r="BM23" s="188"/>
      <c r="BN23" s="188"/>
      <c r="BO23" s="188"/>
      <c r="BP23" s="188"/>
      <c r="BQ23" s="188"/>
      <c r="BR23" s="188"/>
      <c r="BS23" s="188"/>
      <c r="BT23" s="188"/>
      <c r="BU23" s="188"/>
      <c r="BV23" s="188"/>
      <c r="BW23" s="188"/>
      <c r="BX23" s="188"/>
      <c r="BY23" s="188"/>
      <c r="BZ23" s="188"/>
      <c r="CA23" s="188"/>
      <c r="CB23" s="188"/>
      <c r="CC23" s="188"/>
      <c r="CD23" s="188"/>
      <c r="CE23" s="188"/>
      <c r="CF23" s="188"/>
      <c r="CG23" s="188"/>
      <c r="CH23" s="188"/>
      <c r="CI23" s="188"/>
      <c r="CJ23" s="188"/>
      <c r="CK23" s="188"/>
      <c r="CL23" s="188"/>
    </row>
    <row r="24" spans="1:90" x14ac:dyDescent="0.25">
      <c r="A24" s="17" t="s">
        <v>16</v>
      </c>
      <c r="B24" s="188">
        <v>98753885.299999997</v>
      </c>
      <c r="C24" s="188">
        <v>79718888.640000001</v>
      </c>
      <c r="D24" s="188">
        <v>111174068.3</v>
      </c>
      <c r="E24" s="188">
        <v>47474507.119999997</v>
      </c>
      <c r="F24" s="188">
        <v>67078797.5</v>
      </c>
      <c r="G24" s="188">
        <v>41636974.009999998</v>
      </c>
      <c r="H24" s="188">
        <v>39832117.380000003</v>
      </c>
      <c r="I24" s="188">
        <v>31210016.84</v>
      </c>
      <c r="J24" s="188">
        <v>57241531.32</v>
      </c>
      <c r="K24" s="188">
        <v>38196818.43</v>
      </c>
      <c r="L24" s="188">
        <v>20179670.890000001</v>
      </c>
      <c r="M24" s="188">
        <v>14965128.539999999</v>
      </c>
      <c r="N24" s="188">
        <v>17834380.370000001</v>
      </c>
      <c r="O24" s="188">
        <v>82432352.989999995</v>
      </c>
      <c r="P24" s="188">
        <v>17928567.52</v>
      </c>
      <c r="Q24" s="188">
        <v>0</v>
      </c>
      <c r="R24" s="188"/>
      <c r="S24" s="188"/>
      <c r="T24" s="188"/>
      <c r="U24" s="188"/>
      <c r="V24" s="188"/>
      <c r="W24" s="188"/>
      <c r="X24" s="188"/>
      <c r="Y24" s="188"/>
      <c r="Z24" s="188"/>
      <c r="AA24" s="188"/>
      <c r="AB24" s="188"/>
      <c r="AC24" s="188"/>
      <c r="AD24" s="188"/>
      <c r="AE24" s="188"/>
      <c r="AF24" s="188"/>
      <c r="AG24" s="188"/>
      <c r="AH24" s="188"/>
      <c r="AI24" s="188"/>
      <c r="AJ24" s="188"/>
      <c r="AK24" s="188"/>
      <c r="AL24" s="188"/>
      <c r="AM24" s="188"/>
      <c r="AN24" s="188"/>
      <c r="AO24" s="188"/>
      <c r="AP24" s="188"/>
      <c r="AQ24" s="188"/>
      <c r="AR24" s="188"/>
      <c r="AS24" s="188"/>
      <c r="AT24" s="188"/>
      <c r="AU24" s="188"/>
      <c r="AV24" s="188"/>
      <c r="AW24" s="188"/>
      <c r="AX24" s="188"/>
      <c r="AY24" s="188"/>
      <c r="AZ24" s="188"/>
      <c r="BA24" s="188"/>
      <c r="BB24" s="188"/>
      <c r="BC24" s="188"/>
      <c r="BD24" s="188"/>
      <c r="BE24" s="188"/>
      <c r="BF24" s="188"/>
      <c r="BG24" s="188"/>
      <c r="BH24" s="188"/>
      <c r="BI24" s="188"/>
      <c r="BJ24" s="188"/>
      <c r="BK24" s="188"/>
      <c r="BL24" s="188"/>
      <c r="BM24" s="188"/>
      <c r="BN24" s="188"/>
      <c r="BO24" s="188"/>
      <c r="BP24" s="188"/>
      <c r="BQ24" s="188"/>
      <c r="BR24" s="188"/>
      <c r="BS24" s="188"/>
      <c r="BT24" s="188"/>
      <c r="BU24" s="188"/>
      <c r="BV24" s="188"/>
      <c r="BW24" s="188"/>
      <c r="BX24" s="188"/>
      <c r="BY24" s="188"/>
      <c r="BZ24" s="188"/>
      <c r="CA24" s="188"/>
      <c r="CB24" s="188"/>
      <c r="CC24" s="188"/>
      <c r="CD24" s="188"/>
      <c r="CE24" s="188"/>
      <c r="CF24" s="188"/>
      <c r="CG24" s="188"/>
      <c r="CH24" s="188"/>
      <c r="CI24" s="188"/>
      <c r="CJ24" s="188"/>
      <c r="CK24" s="188"/>
      <c r="CL24" s="188"/>
    </row>
    <row r="25" spans="1:90" x14ac:dyDescent="0.25">
      <c r="A25" s="17" t="s">
        <v>17</v>
      </c>
      <c r="B25" s="188">
        <v>16139414.6</v>
      </c>
      <c r="C25" s="188">
        <v>17518667.739999998</v>
      </c>
      <c r="D25" s="188">
        <v>15609644.17</v>
      </c>
      <c r="E25" s="188">
        <v>12397053.27</v>
      </c>
      <c r="F25" s="188">
        <v>15420521.49</v>
      </c>
      <c r="G25" s="188">
        <v>9476003.0199999996</v>
      </c>
      <c r="H25" s="188">
        <v>9391762.6400000006</v>
      </c>
      <c r="I25" s="188">
        <v>7976791.7199999997</v>
      </c>
      <c r="J25" s="188">
        <v>10148269.23</v>
      </c>
      <c r="K25" s="188">
        <v>7729919.8099999996</v>
      </c>
      <c r="L25" s="188">
        <v>6237675.7400000002</v>
      </c>
      <c r="M25" s="188">
        <v>3840200</v>
      </c>
      <c r="N25" s="188">
        <v>2574462.85</v>
      </c>
      <c r="O25" s="188">
        <v>8740143.8900000006</v>
      </c>
      <c r="P25" s="188">
        <v>4771786.5599999996</v>
      </c>
      <c r="Q25" s="188">
        <v>0</v>
      </c>
      <c r="R25" s="188"/>
      <c r="S25" s="188"/>
      <c r="T25" s="188"/>
      <c r="U25" s="188"/>
      <c r="V25" s="188"/>
      <c r="W25" s="188"/>
      <c r="X25" s="188"/>
      <c r="Y25" s="188"/>
      <c r="Z25" s="188"/>
      <c r="AA25" s="188"/>
      <c r="AB25" s="188"/>
      <c r="AC25" s="188"/>
      <c r="AD25" s="188"/>
      <c r="AE25" s="188"/>
      <c r="AF25" s="188"/>
      <c r="AG25" s="188"/>
      <c r="AH25" s="188"/>
      <c r="AI25" s="188"/>
      <c r="AJ25" s="188"/>
      <c r="AK25" s="188"/>
      <c r="AL25" s="188"/>
      <c r="AM25" s="188"/>
      <c r="AN25" s="188"/>
      <c r="AO25" s="188"/>
      <c r="AP25" s="188"/>
      <c r="AQ25" s="188"/>
      <c r="AR25" s="188"/>
      <c r="AS25" s="188"/>
      <c r="AT25" s="188"/>
      <c r="AU25" s="188"/>
      <c r="AV25" s="188"/>
      <c r="AW25" s="188"/>
      <c r="AX25" s="188"/>
      <c r="AY25" s="188"/>
      <c r="AZ25" s="188"/>
      <c r="BA25" s="188"/>
      <c r="BB25" s="188"/>
      <c r="BC25" s="188"/>
      <c r="BD25" s="188"/>
      <c r="BE25" s="188"/>
      <c r="BF25" s="188"/>
      <c r="BG25" s="188"/>
      <c r="BH25" s="188"/>
      <c r="BI25" s="188"/>
      <c r="BJ25" s="188"/>
      <c r="BK25" s="188"/>
      <c r="BL25" s="188"/>
      <c r="BM25" s="188"/>
      <c r="BN25" s="188"/>
      <c r="BO25" s="188"/>
      <c r="BP25" s="188"/>
      <c r="BQ25" s="188"/>
      <c r="BR25" s="188"/>
      <c r="BS25" s="188"/>
      <c r="BT25" s="188"/>
      <c r="BU25" s="188"/>
      <c r="BV25" s="188"/>
      <c r="BW25" s="188"/>
      <c r="BX25" s="188"/>
      <c r="BY25" s="188"/>
      <c r="BZ25" s="188"/>
      <c r="CA25" s="188"/>
      <c r="CB25" s="188"/>
      <c r="CC25" s="188"/>
      <c r="CD25" s="188"/>
      <c r="CE25" s="188"/>
      <c r="CF25" s="188"/>
      <c r="CG25" s="188"/>
      <c r="CH25" s="188"/>
      <c r="CI25" s="188"/>
      <c r="CJ25" s="188"/>
      <c r="CK25" s="188"/>
      <c r="CL25" s="188"/>
    </row>
    <row r="26" spans="1:90" x14ac:dyDescent="0.25">
      <c r="A26" s="17" t="s">
        <v>18</v>
      </c>
      <c r="B26" s="188">
        <v>15528183.74</v>
      </c>
      <c r="C26" s="188">
        <v>12483626.75</v>
      </c>
      <c r="D26" s="188">
        <v>13958775.08</v>
      </c>
      <c r="E26" s="188">
        <v>12117745.539999999</v>
      </c>
      <c r="F26" s="188">
        <v>12503960.84</v>
      </c>
      <c r="G26" s="188">
        <v>13673254.140000001</v>
      </c>
      <c r="H26" s="188">
        <v>12157989.869999999</v>
      </c>
      <c r="I26" s="188">
        <v>12589577.720000001</v>
      </c>
      <c r="J26" s="188">
        <v>10846087.970000001</v>
      </c>
      <c r="K26" s="188">
        <v>8984778.7699999996</v>
      </c>
      <c r="L26" s="188">
        <v>5961470.6200000001</v>
      </c>
      <c r="M26" s="188">
        <v>7215783.6699999999</v>
      </c>
      <c r="N26" s="188">
        <v>8664830.7799999993</v>
      </c>
      <c r="O26" s="188">
        <v>6187653.1900000004</v>
      </c>
      <c r="P26" s="188">
        <v>4502522.03</v>
      </c>
      <c r="Q26" s="188">
        <v>0</v>
      </c>
      <c r="R26" s="188"/>
      <c r="S26" s="188"/>
      <c r="T26" s="188"/>
      <c r="U26" s="188"/>
      <c r="V26" s="188"/>
      <c r="W26" s="188"/>
      <c r="X26" s="188"/>
      <c r="Y26" s="188"/>
      <c r="Z26" s="188"/>
      <c r="AA26" s="188"/>
      <c r="AB26" s="188"/>
      <c r="AC26" s="188"/>
      <c r="AD26" s="188"/>
      <c r="AE26" s="188"/>
      <c r="AF26" s="188"/>
      <c r="AG26" s="188"/>
      <c r="AH26" s="188"/>
      <c r="AI26" s="188"/>
      <c r="AJ26" s="188"/>
      <c r="AK26" s="188"/>
      <c r="AL26" s="188"/>
      <c r="AM26" s="188"/>
      <c r="AN26" s="188"/>
      <c r="AO26" s="188"/>
      <c r="AP26" s="188"/>
      <c r="AQ26" s="188"/>
      <c r="AR26" s="188"/>
      <c r="AS26" s="188"/>
      <c r="AT26" s="188"/>
      <c r="AU26" s="188"/>
      <c r="AV26" s="188"/>
      <c r="AW26" s="188"/>
      <c r="AX26" s="188"/>
      <c r="AY26" s="188"/>
      <c r="AZ26" s="188"/>
      <c r="BA26" s="188"/>
      <c r="BB26" s="188"/>
      <c r="BC26" s="188"/>
      <c r="BD26" s="188"/>
      <c r="BE26" s="188"/>
      <c r="BF26" s="188"/>
      <c r="BG26" s="188"/>
      <c r="BH26" s="188"/>
      <c r="BI26" s="188"/>
      <c r="BJ26" s="188"/>
      <c r="BK26" s="188"/>
      <c r="BL26" s="188"/>
      <c r="BM26" s="188"/>
      <c r="BN26" s="188"/>
      <c r="BO26" s="188"/>
      <c r="BP26" s="188"/>
      <c r="BQ26" s="188"/>
      <c r="BR26" s="188"/>
      <c r="BS26" s="188"/>
      <c r="BT26" s="188"/>
      <c r="BU26" s="188"/>
      <c r="BV26" s="188"/>
      <c r="BW26" s="188"/>
      <c r="BX26" s="188"/>
      <c r="BY26" s="188"/>
      <c r="BZ26" s="188"/>
      <c r="CA26" s="188"/>
      <c r="CB26" s="188"/>
      <c r="CC26" s="188"/>
      <c r="CD26" s="188"/>
      <c r="CE26" s="188"/>
      <c r="CF26" s="188"/>
      <c r="CG26" s="188"/>
      <c r="CH26" s="188"/>
      <c r="CI26" s="188"/>
      <c r="CJ26" s="188"/>
      <c r="CK26" s="188"/>
      <c r="CL26" s="188"/>
    </row>
    <row r="27" spans="1:90" x14ac:dyDescent="0.25">
      <c r="A27" s="17" t="s">
        <v>19</v>
      </c>
      <c r="B27" s="188">
        <v>391032485.85000002</v>
      </c>
      <c r="C27" s="188">
        <v>325665211.44</v>
      </c>
      <c r="D27" s="188">
        <v>360886555.61000001</v>
      </c>
      <c r="E27" s="188">
        <v>269799622.24000001</v>
      </c>
      <c r="F27" s="188">
        <v>370327329.44999999</v>
      </c>
      <c r="G27" s="188">
        <v>266904158.88999999</v>
      </c>
      <c r="H27" s="188">
        <v>137730505.25999999</v>
      </c>
      <c r="I27" s="188">
        <v>270774049.74000001</v>
      </c>
      <c r="J27" s="188">
        <v>0</v>
      </c>
      <c r="K27" s="188">
        <v>0</v>
      </c>
      <c r="L27" s="188">
        <v>0</v>
      </c>
      <c r="M27" s="188">
        <v>0</v>
      </c>
      <c r="N27" s="188">
        <v>0</v>
      </c>
      <c r="O27" s="188">
        <v>0</v>
      </c>
      <c r="P27" s="188">
        <v>0</v>
      </c>
      <c r="Q27" s="188">
        <v>0</v>
      </c>
      <c r="R27" s="188"/>
      <c r="S27" s="188"/>
      <c r="T27" s="188"/>
      <c r="U27" s="188"/>
      <c r="V27" s="188"/>
      <c r="W27" s="188"/>
      <c r="X27" s="188"/>
      <c r="Y27" s="188"/>
      <c r="Z27" s="188"/>
      <c r="AA27" s="188"/>
      <c r="AB27" s="188"/>
      <c r="AC27" s="188"/>
      <c r="AD27" s="188"/>
      <c r="AE27" s="188"/>
      <c r="AF27" s="188"/>
      <c r="AG27" s="188"/>
      <c r="AH27" s="188"/>
      <c r="AI27" s="188"/>
      <c r="AJ27" s="188"/>
      <c r="AK27" s="188"/>
      <c r="AL27" s="188"/>
      <c r="AM27" s="188"/>
      <c r="AN27" s="188"/>
      <c r="AO27" s="188"/>
      <c r="AP27" s="188"/>
      <c r="AQ27" s="188"/>
      <c r="AR27" s="188"/>
      <c r="AS27" s="188"/>
      <c r="AT27" s="188"/>
      <c r="AU27" s="188"/>
      <c r="AV27" s="188"/>
      <c r="AW27" s="188"/>
      <c r="AX27" s="188"/>
      <c r="AY27" s="188"/>
      <c r="AZ27" s="188"/>
      <c r="BA27" s="188"/>
      <c r="BB27" s="188"/>
      <c r="BC27" s="188"/>
      <c r="BD27" s="188"/>
      <c r="BE27" s="188"/>
      <c r="BF27" s="188"/>
      <c r="BG27" s="188"/>
      <c r="BH27" s="188"/>
      <c r="BI27" s="188"/>
      <c r="BJ27" s="188"/>
      <c r="BK27" s="188"/>
      <c r="BL27" s="188"/>
      <c r="BM27" s="188"/>
      <c r="BN27" s="188"/>
      <c r="BO27" s="188"/>
      <c r="BP27" s="188"/>
      <c r="BQ27" s="188"/>
      <c r="BR27" s="188"/>
      <c r="BS27" s="188"/>
      <c r="BT27" s="188"/>
      <c r="BU27" s="188"/>
      <c r="BV27" s="188"/>
      <c r="BW27" s="188"/>
      <c r="BX27" s="188"/>
      <c r="BY27" s="188"/>
      <c r="BZ27" s="188"/>
      <c r="CA27" s="188"/>
      <c r="CB27" s="188"/>
      <c r="CC27" s="188"/>
      <c r="CD27" s="188"/>
      <c r="CE27" s="188"/>
      <c r="CF27" s="188"/>
      <c r="CG27" s="188"/>
      <c r="CH27" s="188"/>
      <c r="CI27" s="188"/>
      <c r="CJ27" s="188"/>
      <c r="CK27" s="188"/>
      <c r="CL27" s="188"/>
    </row>
    <row r="28" spans="1:90" x14ac:dyDescent="0.25">
      <c r="A28" s="17" t="s">
        <v>76</v>
      </c>
      <c r="B28" s="188">
        <v>0</v>
      </c>
      <c r="C28" s="188">
        <v>0</v>
      </c>
      <c r="D28" s="188">
        <v>0</v>
      </c>
      <c r="E28" s="188">
        <v>0</v>
      </c>
      <c r="F28" s="188">
        <v>0</v>
      </c>
      <c r="G28" s="188">
        <v>0</v>
      </c>
      <c r="H28" s="188">
        <v>0</v>
      </c>
      <c r="I28" s="188">
        <v>0</v>
      </c>
      <c r="J28" s="188">
        <v>0</v>
      </c>
      <c r="K28" s="188">
        <v>0</v>
      </c>
      <c r="L28" s="188">
        <v>0</v>
      </c>
      <c r="M28" s="188">
        <v>0</v>
      </c>
      <c r="N28" s="188">
        <v>0</v>
      </c>
      <c r="O28" s="188">
        <v>0</v>
      </c>
      <c r="P28" s="188">
        <v>0</v>
      </c>
      <c r="Q28" s="188">
        <v>0</v>
      </c>
      <c r="R28" s="188"/>
      <c r="S28" s="188"/>
      <c r="T28" s="188"/>
      <c r="U28" s="188"/>
      <c r="V28" s="188"/>
      <c r="W28" s="188"/>
      <c r="X28" s="188"/>
      <c r="Y28" s="188"/>
      <c r="Z28" s="188"/>
      <c r="AA28" s="188"/>
      <c r="AB28" s="188"/>
      <c r="AC28" s="188"/>
      <c r="AD28" s="188"/>
      <c r="AE28" s="188"/>
      <c r="AF28" s="188"/>
      <c r="AG28" s="188"/>
      <c r="AH28" s="188"/>
      <c r="AI28" s="188"/>
      <c r="AJ28" s="188"/>
      <c r="AK28" s="188"/>
      <c r="AL28" s="188"/>
      <c r="AM28" s="188"/>
      <c r="AN28" s="188"/>
      <c r="AO28" s="188"/>
      <c r="AP28" s="188"/>
      <c r="AQ28" s="188"/>
      <c r="AR28" s="188"/>
      <c r="AS28" s="188"/>
      <c r="AT28" s="188"/>
      <c r="AU28" s="188"/>
      <c r="AV28" s="188"/>
      <c r="AW28" s="188"/>
      <c r="AX28" s="188"/>
      <c r="AY28" s="188"/>
      <c r="AZ28" s="188"/>
      <c r="BA28" s="188"/>
      <c r="BB28" s="188"/>
      <c r="BC28" s="188"/>
      <c r="BD28" s="188"/>
      <c r="BE28" s="188"/>
      <c r="BF28" s="188"/>
      <c r="BG28" s="188"/>
      <c r="BH28" s="188"/>
      <c r="BI28" s="188"/>
      <c r="BJ28" s="188"/>
      <c r="BK28" s="188"/>
      <c r="BL28" s="188"/>
      <c r="BM28" s="188"/>
      <c r="BN28" s="188"/>
      <c r="BO28" s="188"/>
      <c r="BP28" s="188"/>
      <c r="BQ28" s="188"/>
      <c r="BR28" s="188"/>
      <c r="BS28" s="188"/>
      <c r="BT28" s="188"/>
      <c r="BU28" s="188"/>
      <c r="BV28" s="188"/>
      <c r="BW28" s="188"/>
      <c r="BX28" s="188"/>
      <c r="BY28" s="188"/>
      <c r="BZ28" s="188"/>
      <c r="CA28" s="188"/>
      <c r="CB28" s="188"/>
      <c r="CC28" s="188"/>
      <c r="CD28" s="188"/>
      <c r="CE28" s="188"/>
      <c r="CF28" s="188"/>
      <c r="CG28" s="188"/>
      <c r="CH28" s="188"/>
      <c r="CI28" s="188"/>
      <c r="CJ28" s="188"/>
      <c r="CK28" s="188"/>
      <c r="CL28" s="188"/>
    </row>
    <row r="29" spans="1:90" x14ac:dyDescent="0.25">
      <c r="A29" s="17" t="s">
        <v>3</v>
      </c>
      <c r="B29" s="188">
        <v>0</v>
      </c>
      <c r="C29" s="188">
        <v>0</v>
      </c>
      <c r="D29" s="188">
        <v>0</v>
      </c>
      <c r="E29" s="188">
        <v>0</v>
      </c>
      <c r="F29" s="188">
        <v>0</v>
      </c>
      <c r="G29" s="188">
        <v>0</v>
      </c>
      <c r="H29" s="188">
        <v>0</v>
      </c>
      <c r="I29" s="188">
        <v>0</v>
      </c>
      <c r="J29" s="188">
        <v>0</v>
      </c>
      <c r="K29" s="188">
        <v>0</v>
      </c>
      <c r="L29" s="188">
        <v>0</v>
      </c>
      <c r="M29" s="188">
        <v>0</v>
      </c>
      <c r="N29" s="188">
        <v>0</v>
      </c>
      <c r="O29" s="188">
        <v>0</v>
      </c>
      <c r="P29" s="188">
        <v>0</v>
      </c>
      <c r="Q29" s="188">
        <v>0</v>
      </c>
      <c r="R29" s="188"/>
      <c r="S29" s="188"/>
      <c r="T29" s="188"/>
      <c r="U29" s="188"/>
      <c r="V29" s="188"/>
      <c r="W29" s="188"/>
      <c r="X29" s="188"/>
      <c r="Y29" s="188"/>
      <c r="Z29" s="188"/>
      <c r="AA29" s="188"/>
      <c r="AB29" s="188"/>
      <c r="AC29" s="188"/>
      <c r="AD29" s="188"/>
      <c r="AE29" s="188"/>
      <c r="AF29" s="188"/>
      <c r="AG29" s="188"/>
      <c r="AH29" s="188"/>
      <c r="AI29" s="188"/>
      <c r="AJ29" s="188"/>
      <c r="AK29" s="188"/>
      <c r="AL29" s="188"/>
      <c r="AM29" s="188"/>
      <c r="AN29" s="188"/>
      <c r="AO29" s="188"/>
      <c r="AP29" s="188"/>
      <c r="AQ29" s="188"/>
      <c r="AR29" s="188"/>
      <c r="AS29" s="188"/>
      <c r="AT29" s="188"/>
      <c r="AU29" s="188"/>
      <c r="AV29" s="188"/>
      <c r="AW29" s="188"/>
      <c r="AX29" s="188"/>
      <c r="AY29" s="188"/>
      <c r="AZ29" s="188"/>
      <c r="BA29" s="188"/>
      <c r="BB29" s="188"/>
      <c r="BC29" s="188"/>
      <c r="BD29" s="188"/>
      <c r="BE29" s="188"/>
      <c r="BF29" s="188"/>
      <c r="BG29" s="188"/>
      <c r="BH29" s="188"/>
      <c r="BI29" s="188"/>
      <c r="BJ29" s="188"/>
      <c r="BK29" s="188"/>
      <c r="BL29" s="188"/>
      <c r="BM29" s="188"/>
      <c r="BN29" s="188"/>
      <c r="BO29" s="188"/>
      <c r="BP29" s="188"/>
      <c r="BQ29" s="188"/>
      <c r="BR29" s="188"/>
      <c r="BS29" s="188"/>
      <c r="BT29" s="188"/>
      <c r="BU29" s="188"/>
      <c r="BV29" s="188"/>
      <c r="BW29" s="188"/>
      <c r="BX29" s="188"/>
      <c r="BY29" s="188"/>
      <c r="BZ29" s="188"/>
      <c r="CA29" s="188"/>
      <c r="CB29" s="188"/>
      <c r="CC29" s="188"/>
      <c r="CD29" s="188"/>
      <c r="CE29" s="188"/>
      <c r="CF29" s="188"/>
      <c r="CG29" s="188"/>
      <c r="CH29" s="188"/>
      <c r="CI29" s="188"/>
      <c r="CJ29" s="188"/>
      <c r="CK29" s="188"/>
      <c r="CL29" s="188"/>
    </row>
    <row r="30" spans="1:90" hidden="1" x14ac:dyDescent="0.25">
      <c r="B30" s="26"/>
      <c r="C30" s="26"/>
      <c r="D30" s="26"/>
      <c r="E30" s="26"/>
      <c r="F30" s="26"/>
      <c r="G30" s="26"/>
      <c r="H30" s="26"/>
      <c r="I30" s="26"/>
      <c r="J30" s="26"/>
      <c r="K30" s="26"/>
      <c r="L30" s="23"/>
    </row>
    <row r="31" spans="1:90" hidden="1" x14ac:dyDescent="0.25">
      <c r="B31" s="26"/>
      <c r="C31" s="26"/>
      <c r="D31" s="26"/>
      <c r="E31" s="26"/>
      <c r="F31" s="26"/>
      <c r="G31" s="26"/>
      <c r="H31" s="26"/>
      <c r="I31" s="26"/>
      <c r="J31" s="26"/>
      <c r="K31" s="26"/>
      <c r="L31" s="23"/>
    </row>
    <row r="32" spans="1:90" hidden="1" x14ac:dyDescent="0.25">
      <c r="B32" s="26"/>
      <c r="C32" s="26"/>
      <c r="D32" s="26"/>
      <c r="E32" s="26"/>
      <c r="F32" s="26"/>
      <c r="G32" s="26"/>
      <c r="H32" s="26"/>
      <c r="I32" s="26"/>
      <c r="J32" s="26"/>
      <c r="K32" s="26"/>
      <c r="L32" s="23"/>
    </row>
    <row r="33" spans="1:90" s="10" customFormat="1" x14ac:dyDescent="0.25">
      <c r="A33" s="122" t="s">
        <v>20</v>
      </c>
      <c r="B33" s="35">
        <f>SUM(B22:B29)</f>
        <v>651865683.56000006</v>
      </c>
      <c r="C33" s="35">
        <f t="shared" ref="C33:BN33" si="2">SUM(C22:C29)</f>
        <v>562583195.49000001</v>
      </c>
      <c r="D33" s="35">
        <f t="shared" si="2"/>
        <v>591104257.96000004</v>
      </c>
      <c r="E33" s="35">
        <f t="shared" si="2"/>
        <v>432441366.89999998</v>
      </c>
      <c r="F33" s="35">
        <f t="shared" si="2"/>
        <v>561248011.47000003</v>
      </c>
      <c r="G33" s="35">
        <f t="shared" si="2"/>
        <v>423431060.61000001</v>
      </c>
      <c r="H33" s="35">
        <f t="shared" si="2"/>
        <v>267909018.56999999</v>
      </c>
      <c r="I33" s="35">
        <f t="shared" si="2"/>
        <v>391710871.29000002</v>
      </c>
      <c r="J33" s="35">
        <f t="shared" si="2"/>
        <v>148594951.60999998</v>
      </c>
      <c r="K33" s="35">
        <f t="shared" si="2"/>
        <v>130686785.02999999</v>
      </c>
      <c r="L33" s="35">
        <f t="shared" si="2"/>
        <v>91749480.739999995</v>
      </c>
      <c r="M33" s="35">
        <f t="shared" si="2"/>
        <v>71822316</v>
      </c>
      <c r="N33" s="35">
        <f t="shared" si="2"/>
        <v>67755197.140000001</v>
      </c>
      <c r="O33" s="35">
        <f t="shared" si="2"/>
        <v>126178862.11</v>
      </c>
      <c r="P33" s="35">
        <f t="shared" si="2"/>
        <v>50035570.579999998</v>
      </c>
      <c r="Q33" s="35">
        <f t="shared" si="2"/>
        <v>0</v>
      </c>
      <c r="R33" s="35">
        <f t="shared" si="2"/>
        <v>0</v>
      </c>
      <c r="S33" s="35">
        <f t="shared" si="2"/>
        <v>0</v>
      </c>
      <c r="T33" s="35">
        <f t="shared" si="2"/>
        <v>0</v>
      </c>
      <c r="U33" s="35">
        <f t="shared" si="2"/>
        <v>0</v>
      </c>
      <c r="V33" s="35">
        <f t="shared" si="2"/>
        <v>0</v>
      </c>
      <c r="W33" s="35">
        <f t="shared" si="2"/>
        <v>0</v>
      </c>
      <c r="X33" s="35">
        <f t="shared" si="2"/>
        <v>0</v>
      </c>
      <c r="Y33" s="35">
        <f t="shared" si="2"/>
        <v>0</v>
      </c>
      <c r="Z33" s="35">
        <f t="shared" si="2"/>
        <v>0</v>
      </c>
      <c r="AA33" s="35">
        <f t="shared" si="2"/>
        <v>0</v>
      </c>
      <c r="AB33" s="35">
        <f t="shared" si="2"/>
        <v>0</v>
      </c>
      <c r="AC33" s="35">
        <f t="shared" si="2"/>
        <v>0</v>
      </c>
      <c r="AD33" s="35">
        <f t="shared" si="2"/>
        <v>0</v>
      </c>
      <c r="AE33" s="35">
        <f t="shared" si="2"/>
        <v>0</v>
      </c>
      <c r="AF33" s="35">
        <f t="shared" si="2"/>
        <v>0</v>
      </c>
      <c r="AG33" s="35">
        <f t="shared" si="2"/>
        <v>0</v>
      </c>
      <c r="AH33" s="35">
        <f t="shared" si="2"/>
        <v>0</v>
      </c>
      <c r="AI33" s="35">
        <f t="shared" si="2"/>
        <v>0</v>
      </c>
      <c r="AJ33" s="35">
        <f t="shared" si="2"/>
        <v>0</v>
      </c>
      <c r="AK33" s="35">
        <f t="shared" si="2"/>
        <v>0</v>
      </c>
      <c r="AL33" s="35">
        <f t="shared" si="2"/>
        <v>0</v>
      </c>
      <c r="AM33" s="35">
        <f t="shared" si="2"/>
        <v>0</v>
      </c>
      <c r="AN33" s="35">
        <f t="shared" si="2"/>
        <v>0</v>
      </c>
      <c r="AO33" s="35">
        <f t="shared" si="2"/>
        <v>0</v>
      </c>
      <c r="AP33" s="35">
        <f t="shared" si="2"/>
        <v>0</v>
      </c>
      <c r="AQ33" s="35">
        <f t="shared" si="2"/>
        <v>0</v>
      </c>
      <c r="AR33" s="35">
        <f t="shared" si="2"/>
        <v>0</v>
      </c>
      <c r="AS33" s="35">
        <f t="shared" si="2"/>
        <v>0</v>
      </c>
      <c r="AT33" s="35">
        <f t="shared" si="2"/>
        <v>0</v>
      </c>
      <c r="AU33" s="35">
        <f t="shared" si="2"/>
        <v>0</v>
      </c>
      <c r="AV33" s="35">
        <f t="shared" si="2"/>
        <v>0</v>
      </c>
      <c r="AW33" s="35">
        <f t="shared" si="2"/>
        <v>0</v>
      </c>
      <c r="AX33" s="35">
        <f t="shared" si="2"/>
        <v>0</v>
      </c>
      <c r="AY33" s="35">
        <f t="shared" si="2"/>
        <v>0</v>
      </c>
      <c r="AZ33" s="35">
        <f t="shared" si="2"/>
        <v>0</v>
      </c>
      <c r="BA33" s="35">
        <f t="shared" si="2"/>
        <v>0</v>
      </c>
      <c r="BB33" s="35">
        <f t="shared" si="2"/>
        <v>0</v>
      </c>
      <c r="BC33" s="35">
        <f t="shared" si="2"/>
        <v>0</v>
      </c>
      <c r="BD33" s="35">
        <f t="shared" si="2"/>
        <v>0</v>
      </c>
      <c r="BE33" s="35">
        <f t="shared" si="2"/>
        <v>0</v>
      </c>
      <c r="BF33" s="35">
        <f t="shared" si="2"/>
        <v>0</v>
      </c>
      <c r="BG33" s="35">
        <f t="shared" si="2"/>
        <v>0</v>
      </c>
      <c r="BH33" s="35">
        <f t="shared" si="2"/>
        <v>0</v>
      </c>
      <c r="BI33" s="35">
        <f t="shared" si="2"/>
        <v>0</v>
      </c>
      <c r="BJ33" s="35">
        <f t="shared" si="2"/>
        <v>0</v>
      </c>
      <c r="BK33" s="35">
        <f t="shared" si="2"/>
        <v>0</v>
      </c>
      <c r="BL33" s="35">
        <f t="shared" si="2"/>
        <v>0</v>
      </c>
      <c r="BM33" s="35">
        <f t="shared" si="2"/>
        <v>0</v>
      </c>
      <c r="BN33" s="35">
        <f t="shared" si="2"/>
        <v>0</v>
      </c>
      <c r="BO33" s="35">
        <f t="shared" ref="BO33:CK33" si="3">SUM(BO22:BO29)</f>
        <v>0</v>
      </c>
      <c r="BP33" s="35">
        <f t="shared" si="3"/>
        <v>0</v>
      </c>
      <c r="BQ33" s="35">
        <f t="shared" si="3"/>
        <v>0</v>
      </c>
      <c r="BR33" s="35">
        <f t="shared" si="3"/>
        <v>0</v>
      </c>
      <c r="BS33" s="35">
        <f t="shared" si="3"/>
        <v>0</v>
      </c>
      <c r="BT33" s="35">
        <f t="shared" si="3"/>
        <v>0</v>
      </c>
      <c r="BU33" s="35">
        <f t="shared" si="3"/>
        <v>0</v>
      </c>
      <c r="BV33" s="35">
        <f t="shared" si="3"/>
        <v>0</v>
      </c>
      <c r="BW33" s="35">
        <f t="shared" si="3"/>
        <v>0</v>
      </c>
      <c r="BX33" s="35">
        <f t="shared" si="3"/>
        <v>0</v>
      </c>
      <c r="BY33" s="35">
        <f t="shared" si="3"/>
        <v>0</v>
      </c>
      <c r="BZ33" s="35">
        <f t="shared" si="3"/>
        <v>0</v>
      </c>
      <c r="CA33" s="35">
        <f t="shared" si="3"/>
        <v>0</v>
      </c>
      <c r="CB33" s="35">
        <f t="shared" si="3"/>
        <v>0</v>
      </c>
      <c r="CC33" s="35">
        <f t="shared" si="3"/>
        <v>0</v>
      </c>
      <c r="CD33" s="35">
        <f t="shared" si="3"/>
        <v>0</v>
      </c>
      <c r="CE33" s="35">
        <f t="shared" si="3"/>
        <v>0</v>
      </c>
      <c r="CF33" s="35">
        <f t="shared" si="3"/>
        <v>0</v>
      </c>
      <c r="CG33" s="35">
        <f t="shared" si="3"/>
        <v>0</v>
      </c>
      <c r="CH33" s="35">
        <f t="shared" si="3"/>
        <v>0</v>
      </c>
      <c r="CI33" s="35">
        <f t="shared" si="3"/>
        <v>0</v>
      </c>
      <c r="CJ33" s="35">
        <f t="shared" si="3"/>
        <v>0</v>
      </c>
      <c r="CK33" s="35">
        <f t="shared" si="3"/>
        <v>0</v>
      </c>
    </row>
    <row r="34" spans="1:90" s="11" customFormat="1" x14ac:dyDescent="0.25">
      <c r="A34" s="121" t="s">
        <v>82</v>
      </c>
      <c r="B34" s="34"/>
      <c r="C34" s="34"/>
      <c r="D34" s="34"/>
      <c r="E34" s="34"/>
      <c r="F34" s="34"/>
      <c r="G34" s="34"/>
      <c r="H34" s="34"/>
      <c r="I34" s="34"/>
      <c r="J34" s="34"/>
      <c r="K34" s="34"/>
      <c r="L34" s="32"/>
      <c r="M34" s="14"/>
      <c r="N34" s="14"/>
    </row>
    <row r="35" spans="1:90" x14ac:dyDescent="0.25">
      <c r="A35" s="17" t="s">
        <v>21</v>
      </c>
      <c r="B35" s="188">
        <v>0</v>
      </c>
      <c r="C35" s="188">
        <v>0</v>
      </c>
      <c r="D35" s="188">
        <v>0</v>
      </c>
      <c r="E35" s="188">
        <v>0</v>
      </c>
      <c r="F35" s="188">
        <v>0</v>
      </c>
      <c r="G35" s="188">
        <v>0</v>
      </c>
      <c r="H35" s="188">
        <v>0</v>
      </c>
      <c r="I35" s="188">
        <v>0</v>
      </c>
      <c r="J35" s="188">
        <v>0</v>
      </c>
      <c r="K35" s="188">
        <v>0</v>
      </c>
      <c r="L35" s="188">
        <v>0</v>
      </c>
      <c r="M35" s="188">
        <v>0</v>
      </c>
      <c r="N35" s="188">
        <v>0</v>
      </c>
      <c r="O35" s="188">
        <v>0</v>
      </c>
      <c r="P35" s="188">
        <v>0</v>
      </c>
      <c r="Q35" s="188">
        <v>0</v>
      </c>
      <c r="R35" s="188"/>
      <c r="S35" s="188"/>
      <c r="T35" s="188"/>
      <c r="U35" s="188"/>
      <c r="V35" s="188"/>
      <c r="W35" s="188"/>
      <c r="X35" s="188"/>
      <c r="Y35" s="188"/>
      <c r="Z35" s="188"/>
      <c r="AA35" s="188"/>
      <c r="AB35" s="188"/>
      <c r="AC35" s="188"/>
      <c r="AD35" s="188"/>
      <c r="AE35" s="188"/>
      <c r="AF35" s="188"/>
      <c r="AG35" s="188"/>
      <c r="AH35" s="188"/>
      <c r="AI35" s="188"/>
      <c r="AJ35" s="188"/>
      <c r="AK35" s="188"/>
      <c r="AL35" s="188"/>
      <c r="AM35" s="188"/>
      <c r="AN35" s="188"/>
      <c r="AO35" s="188"/>
      <c r="AP35" s="188"/>
      <c r="AQ35" s="188"/>
      <c r="AR35" s="188"/>
      <c r="AS35" s="188"/>
      <c r="AT35" s="188"/>
      <c r="AU35" s="188"/>
      <c r="AV35" s="188"/>
      <c r="AW35" s="188"/>
      <c r="AX35" s="188"/>
      <c r="AY35" s="188"/>
      <c r="AZ35" s="188"/>
      <c r="BA35" s="188"/>
      <c r="BB35" s="188"/>
      <c r="BC35" s="188"/>
      <c r="BD35" s="188"/>
      <c r="BE35" s="188"/>
      <c r="BF35" s="188"/>
      <c r="BG35" s="188"/>
      <c r="BH35" s="188"/>
      <c r="BI35" s="188"/>
      <c r="BJ35" s="188"/>
      <c r="BK35" s="188"/>
      <c r="BL35" s="188"/>
      <c r="BM35" s="188"/>
      <c r="BN35" s="188"/>
      <c r="BO35" s="188"/>
      <c r="BP35" s="188"/>
      <c r="BQ35" s="188"/>
      <c r="BR35" s="188"/>
      <c r="BS35" s="188"/>
      <c r="BT35" s="188"/>
      <c r="BU35" s="188"/>
      <c r="BV35" s="188"/>
      <c r="BW35" s="188"/>
      <c r="BX35" s="188"/>
      <c r="BY35" s="188"/>
      <c r="BZ35" s="188"/>
      <c r="CA35" s="188"/>
      <c r="CB35" s="188"/>
      <c r="CC35" s="188"/>
      <c r="CD35" s="188"/>
      <c r="CE35" s="188"/>
      <c r="CF35" s="188"/>
      <c r="CG35" s="188"/>
      <c r="CH35" s="188"/>
      <c r="CI35" s="188"/>
      <c r="CJ35" s="188"/>
      <c r="CK35" s="188"/>
      <c r="CL35" s="188"/>
    </row>
    <row r="36" spans="1:90" x14ac:dyDescent="0.25">
      <c r="A36" s="17" t="s">
        <v>22</v>
      </c>
      <c r="B36" s="188">
        <v>0</v>
      </c>
      <c r="C36" s="188">
        <v>21072775.23</v>
      </c>
      <c r="D36" s="188">
        <v>23805543.710000001</v>
      </c>
      <c r="E36" s="188">
        <v>26684896.559999999</v>
      </c>
      <c r="F36" s="188">
        <v>23489182.59</v>
      </c>
      <c r="G36" s="188">
        <v>27088420.690000001</v>
      </c>
      <c r="H36" s="188">
        <v>21954398.149999999</v>
      </c>
      <c r="I36" s="188">
        <v>24173548.850000001</v>
      </c>
      <c r="J36" s="188">
        <v>14368780.27</v>
      </c>
      <c r="K36" s="188">
        <v>13307494.48</v>
      </c>
      <c r="L36" s="188">
        <v>14975145</v>
      </c>
      <c r="M36" s="188">
        <v>13610642.210000001</v>
      </c>
      <c r="N36" s="188">
        <v>10539377.300000001</v>
      </c>
      <c r="O36" s="188">
        <v>11989258.949999999</v>
      </c>
      <c r="P36" s="188">
        <v>9250353.9199999999</v>
      </c>
      <c r="Q36" s="188">
        <v>0</v>
      </c>
      <c r="R36" s="188"/>
      <c r="S36" s="188"/>
      <c r="T36" s="188"/>
      <c r="U36" s="188"/>
      <c r="V36" s="188"/>
      <c r="W36" s="188"/>
      <c r="X36" s="188"/>
      <c r="Y36" s="188"/>
      <c r="Z36" s="188"/>
      <c r="AA36" s="188"/>
      <c r="AB36" s="188"/>
      <c r="AC36" s="188"/>
      <c r="AD36" s="188"/>
      <c r="AE36" s="188"/>
      <c r="AF36" s="188"/>
      <c r="AG36" s="188"/>
      <c r="AH36" s="188"/>
      <c r="AI36" s="188"/>
      <c r="AJ36" s="188"/>
      <c r="AK36" s="188"/>
      <c r="AL36" s="188"/>
      <c r="AM36" s="188"/>
      <c r="AN36" s="188"/>
      <c r="AO36" s="188"/>
      <c r="AP36" s="188"/>
      <c r="AQ36" s="188"/>
      <c r="AR36" s="188"/>
      <c r="AS36" s="188"/>
      <c r="AT36" s="188"/>
      <c r="AU36" s="188"/>
      <c r="AV36" s="188"/>
      <c r="AW36" s="188"/>
      <c r="AX36" s="188"/>
      <c r="AY36" s="188"/>
      <c r="AZ36" s="188"/>
      <c r="BA36" s="188"/>
      <c r="BB36" s="188"/>
      <c r="BC36" s="188"/>
      <c r="BD36" s="188"/>
      <c r="BE36" s="188"/>
      <c r="BF36" s="188"/>
      <c r="BG36" s="188"/>
      <c r="BH36" s="188"/>
      <c r="BI36" s="188"/>
      <c r="BJ36" s="188"/>
      <c r="BK36" s="188"/>
      <c r="BL36" s="188"/>
      <c r="BM36" s="188"/>
      <c r="BN36" s="188"/>
      <c r="BO36" s="188"/>
      <c r="BP36" s="188"/>
      <c r="BQ36" s="188"/>
      <c r="BR36" s="188"/>
      <c r="BS36" s="188"/>
      <c r="BT36" s="188"/>
      <c r="BU36" s="188"/>
      <c r="BV36" s="188"/>
      <c r="BW36" s="188"/>
      <c r="BX36" s="188"/>
      <c r="BY36" s="188"/>
      <c r="BZ36" s="188"/>
      <c r="CA36" s="188"/>
      <c r="CB36" s="188"/>
      <c r="CC36" s="188"/>
      <c r="CD36" s="188"/>
      <c r="CE36" s="188"/>
      <c r="CF36" s="188"/>
      <c r="CG36" s="188"/>
      <c r="CH36" s="188"/>
      <c r="CI36" s="188"/>
      <c r="CJ36" s="188"/>
      <c r="CK36" s="188"/>
      <c r="CL36" s="188"/>
    </row>
    <row r="37" spans="1:90" x14ac:dyDescent="0.25">
      <c r="A37" s="17" t="s">
        <v>23</v>
      </c>
      <c r="B37" s="188">
        <v>148385241.72</v>
      </c>
      <c r="C37" s="188">
        <v>128197164.84999999</v>
      </c>
      <c r="D37" s="188">
        <v>113261614.64</v>
      </c>
      <c r="E37" s="188">
        <v>120053117.72</v>
      </c>
      <c r="F37" s="188">
        <v>114627725.93000001</v>
      </c>
      <c r="G37" s="188">
        <v>113230300.17</v>
      </c>
      <c r="H37" s="188">
        <v>98184675.569999993</v>
      </c>
      <c r="I37" s="188">
        <v>91595701.829999998</v>
      </c>
      <c r="J37" s="188">
        <v>101211357.90000001</v>
      </c>
      <c r="K37" s="188">
        <v>94876287.590000004</v>
      </c>
      <c r="L37" s="188">
        <v>75303557.980000004</v>
      </c>
      <c r="M37" s="188">
        <v>60296060.520000003</v>
      </c>
      <c r="N37" s="188">
        <v>50030370.259999998</v>
      </c>
      <c r="O37" s="188">
        <v>42918736.100000001</v>
      </c>
      <c r="P37" s="188">
        <v>24418235.510000002</v>
      </c>
      <c r="Q37" s="188">
        <v>0</v>
      </c>
      <c r="R37" s="188"/>
      <c r="S37" s="188"/>
      <c r="T37" s="188"/>
      <c r="U37" s="188"/>
      <c r="V37" s="188"/>
      <c r="W37" s="188"/>
      <c r="X37" s="188"/>
      <c r="Y37" s="188"/>
      <c r="Z37" s="188"/>
      <c r="AA37" s="188"/>
      <c r="AB37" s="188"/>
      <c r="AC37" s="188"/>
      <c r="AD37" s="188"/>
      <c r="AE37" s="188"/>
      <c r="AF37" s="188"/>
      <c r="AG37" s="188"/>
      <c r="AH37" s="188"/>
      <c r="AI37" s="188"/>
      <c r="AJ37" s="188"/>
      <c r="AK37" s="188"/>
      <c r="AL37" s="188"/>
      <c r="AM37" s="188"/>
      <c r="AN37" s="188"/>
      <c r="AO37" s="188"/>
      <c r="AP37" s="188"/>
      <c r="AQ37" s="188"/>
      <c r="AR37" s="188"/>
      <c r="AS37" s="188"/>
      <c r="AT37" s="188"/>
      <c r="AU37" s="188"/>
      <c r="AV37" s="188"/>
      <c r="AW37" s="188"/>
      <c r="AX37" s="188"/>
      <c r="AY37" s="188"/>
      <c r="AZ37" s="188"/>
      <c r="BA37" s="188"/>
      <c r="BB37" s="188"/>
      <c r="BC37" s="188"/>
      <c r="BD37" s="188"/>
      <c r="BE37" s="188"/>
      <c r="BF37" s="188"/>
      <c r="BG37" s="188"/>
      <c r="BH37" s="188"/>
      <c r="BI37" s="188"/>
      <c r="BJ37" s="188"/>
      <c r="BK37" s="188"/>
      <c r="BL37" s="188"/>
      <c r="BM37" s="188"/>
      <c r="BN37" s="188"/>
      <c r="BO37" s="188"/>
      <c r="BP37" s="188"/>
      <c r="BQ37" s="188"/>
      <c r="BR37" s="188"/>
      <c r="BS37" s="188"/>
      <c r="BT37" s="188"/>
      <c r="BU37" s="188"/>
      <c r="BV37" s="188"/>
      <c r="BW37" s="188"/>
      <c r="BX37" s="188"/>
      <c r="BY37" s="188"/>
      <c r="BZ37" s="188"/>
      <c r="CA37" s="188"/>
      <c r="CB37" s="188"/>
      <c r="CC37" s="188"/>
      <c r="CD37" s="188"/>
      <c r="CE37" s="188"/>
      <c r="CF37" s="188"/>
      <c r="CG37" s="188"/>
      <c r="CH37" s="188"/>
      <c r="CI37" s="188"/>
      <c r="CJ37" s="188"/>
      <c r="CK37" s="188"/>
      <c r="CL37" s="188"/>
    </row>
    <row r="38" spans="1:90" x14ac:dyDescent="0.25">
      <c r="A38" s="17" t="s">
        <v>24</v>
      </c>
      <c r="B38" s="188">
        <v>0</v>
      </c>
      <c r="C38" s="188">
        <v>0</v>
      </c>
      <c r="D38" s="188">
        <v>0</v>
      </c>
      <c r="E38" s="188">
        <v>0</v>
      </c>
      <c r="F38" s="188">
        <v>0</v>
      </c>
      <c r="G38" s="188">
        <v>0</v>
      </c>
      <c r="H38" s="188">
        <v>0</v>
      </c>
      <c r="I38" s="188">
        <v>0</v>
      </c>
      <c r="J38" s="188">
        <v>0</v>
      </c>
      <c r="K38" s="188">
        <v>0</v>
      </c>
      <c r="L38" s="188">
        <v>0</v>
      </c>
      <c r="M38" s="188">
        <v>0</v>
      </c>
      <c r="N38" s="188">
        <v>0</v>
      </c>
      <c r="O38" s="188">
        <v>0</v>
      </c>
      <c r="P38" s="188">
        <v>0</v>
      </c>
      <c r="Q38" s="188">
        <v>0</v>
      </c>
      <c r="R38" s="188"/>
      <c r="S38" s="188"/>
      <c r="T38" s="188"/>
      <c r="U38" s="188"/>
      <c r="V38" s="188"/>
      <c r="W38" s="188"/>
      <c r="X38" s="188"/>
      <c r="Y38" s="188"/>
      <c r="Z38" s="188"/>
      <c r="AA38" s="188"/>
      <c r="AB38" s="188"/>
      <c r="AC38" s="188"/>
      <c r="AD38" s="188"/>
      <c r="AE38" s="188"/>
      <c r="AF38" s="188"/>
      <c r="AG38" s="188"/>
      <c r="AH38" s="188"/>
      <c r="AI38" s="188"/>
      <c r="AJ38" s="188"/>
      <c r="AK38" s="188"/>
      <c r="AL38" s="188"/>
      <c r="AM38" s="188"/>
      <c r="AN38" s="188"/>
      <c r="AO38" s="188"/>
      <c r="AP38" s="188"/>
      <c r="AQ38" s="188"/>
      <c r="AR38" s="188"/>
      <c r="AS38" s="188"/>
      <c r="AT38" s="188"/>
      <c r="AU38" s="188"/>
      <c r="AV38" s="188"/>
      <c r="AW38" s="188"/>
      <c r="AX38" s="188"/>
      <c r="AY38" s="188"/>
      <c r="AZ38" s="188"/>
      <c r="BA38" s="188"/>
      <c r="BB38" s="188"/>
      <c r="BC38" s="188"/>
      <c r="BD38" s="188"/>
      <c r="BE38" s="188"/>
      <c r="BF38" s="188"/>
      <c r="BG38" s="188"/>
      <c r="BH38" s="188"/>
      <c r="BI38" s="188"/>
      <c r="BJ38" s="188"/>
      <c r="BK38" s="188"/>
      <c r="BL38" s="188"/>
      <c r="BM38" s="188"/>
      <c r="BN38" s="188"/>
      <c r="BO38" s="188"/>
      <c r="BP38" s="188"/>
      <c r="BQ38" s="188"/>
      <c r="BR38" s="188"/>
      <c r="BS38" s="188"/>
      <c r="BT38" s="188"/>
      <c r="BU38" s="188"/>
      <c r="BV38" s="188"/>
      <c r="BW38" s="188"/>
      <c r="BX38" s="188"/>
      <c r="BY38" s="188"/>
      <c r="BZ38" s="188"/>
      <c r="CA38" s="188"/>
      <c r="CB38" s="188"/>
      <c r="CC38" s="188"/>
      <c r="CD38" s="188"/>
      <c r="CE38" s="188"/>
      <c r="CF38" s="188"/>
      <c r="CG38" s="188"/>
      <c r="CH38" s="188"/>
      <c r="CI38" s="188"/>
      <c r="CJ38" s="188"/>
      <c r="CK38" s="188"/>
      <c r="CL38" s="188"/>
    </row>
    <row r="39" spans="1:90" x14ac:dyDescent="0.25">
      <c r="A39" s="17" t="s">
        <v>25</v>
      </c>
      <c r="B39" s="188">
        <v>20467602.600000001</v>
      </c>
      <c r="C39" s="188">
        <v>14903356.49</v>
      </c>
      <c r="D39" s="188">
        <v>10680537.25</v>
      </c>
      <c r="E39" s="188">
        <v>8170558.8700000001</v>
      </c>
      <c r="F39" s="188">
        <v>15142921.58</v>
      </c>
      <c r="G39" s="188">
        <v>13533638.300000001</v>
      </c>
      <c r="H39" s="188">
        <v>10830993.4</v>
      </c>
      <c r="I39" s="188">
        <v>9489546.7300000004</v>
      </c>
      <c r="J39" s="188">
        <v>12521854.380000001</v>
      </c>
      <c r="K39" s="188">
        <v>11496488.359999999</v>
      </c>
      <c r="L39" s="188">
        <v>10129941.09</v>
      </c>
      <c r="M39" s="188">
        <v>9193258.1500000004</v>
      </c>
      <c r="N39" s="188">
        <v>8900574.2699999996</v>
      </c>
      <c r="O39" s="188">
        <v>8906854.6400000006</v>
      </c>
      <c r="P39" s="188">
        <v>4513601.68</v>
      </c>
      <c r="Q39" s="188">
        <v>0</v>
      </c>
      <c r="R39" s="188"/>
      <c r="S39" s="188"/>
      <c r="T39" s="188"/>
      <c r="U39" s="188"/>
      <c r="V39" s="188"/>
      <c r="W39" s="188"/>
      <c r="X39" s="188"/>
      <c r="Y39" s="188"/>
      <c r="Z39" s="188"/>
      <c r="AA39" s="188"/>
      <c r="AB39" s="188"/>
      <c r="AC39" s="188"/>
      <c r="AD39" s="188"/>
      <c r="AE39" s="188"/>
      <c r="AF39" s="188"/>
      <c r="AG39" s="188"/>
      <c r="AH39" s="188"/>
      <c r="AI39" s="188"/>
      <c r="AJ39" s="188"/>
      <c r="AK39" s="188"/>
      <c r="AL39" s="188"/>
      <c r="AM39" s="188"/>
      <c r="AN39" s="188"/>
      <c r="AO39" s="188"/>
      <c r="AP39" s="188"/>
      <c r="AQ39" s="188"/>
      <c r="AR39" s="188"/>
      <c r="AS39" s="188"/>
      <c r="AT39" s="188"/>
      <c r="AU39" s="188"/>
      <c r="AV39" s="188"/>
      <c r="AW39" s="188"/>
      <c r="AX39" s="188"/>
      <c r="AY39" s="188"/>
      <c r="AZ39" s="188"/>
      <c r="BA39" s="188"/>
      <c r="BB39" s="188"/>
      <c r="BC39" s="188"/>
      <c r="BD39" s="188"/>
      <c r="BE39" s="188"/>
      <c r="BF39" s="188"/>
      <c r="BG39" s="188"/>
      <c r="BH39" s="188"/>
      <c r="BI39" s="188"/>
      <c r="BJ39" s="188"/>
      <c r="BK39" s="188"/>
      <c r="BL39" s="188"/>
      <c r="BM39" s="188"/>
      <c r="BN39" s="188"/>
      <c r="BO39" s="188"/>
      <c r="BP39" s="188"/>
      <c r="BQ39" s="188"/>
      <c r="BR39" s="188"/>
      <c r="BS39" s="188"/>
      <c r="BT39" s="188"/>
      <c r="BU39" s="188"/>
      <c r="BV39" s="188"/>
      <c r="BW39" s="188"/>
      <c r="BX39" s="188"/>
      <c r="BY39" s="188"/>
      <c r="BZ39" s="188"/>
      <c r="CA39" s="188"/>
      <c r="CB39" s="188"/>
      <c r="CC39" s="188"/>
      <c r="CD39" s="188"/>
      <c r="CE39" s="188"/>
      <c r="CF39" s="188"/>
      <c r="CG39" s="188"/>
      <c r="CH39" s="188"/>
      <c r="CI39" s="188"/>
      <c r="CJ39" s="188"/>
      <c r="CK39" s="188"/>
      <c r="CL39" s="188"/>
    </row>
    <row r="40" spans="1:90" x14ac:dyDescent="0.25">
      <c r="A40" s="17" t="s">
        <v>26</v>
      </c>
      <c r="B40" s="188">
        <v>20443983.670000002</v>
      </c>
      <c r="C40" s="188">
        <v>13890846.109999999</v>
      </c>
      <c r="D40" s="188">
        <v>11907071.220000001</v>
      </c>
      <c r="E40" s="188">
        <v>14439712.59</v>
      </c>
      <c r="F40" s="188">
        <v>17247322.530000001</v>
      </c>
      <c r="G40" s="188">
        <v>13785653.859999999</v>
      </c>
      <c r="H40" s="188">
        <v>12391222.91</v>
      </c>
      <c r="I40" s="188">
        <v>16353223.52</v>
      </c>
      <c r="J40" s="188">
        <v>16085288.16</v>
      </c>
      <c r="K40" s="188">
        <v>12567886.960000001</v>
      </c>
      <c r="L40" s="188">
        <v>12949155.01</v>
      </c>
      <c r="M40" s="188">
        <v>11925485.59</v>
      </c>
      <c r="N40" s="188">
        <v>11869292.460000001</v>
      </c>
      <c r="O40" s="188">
        <v>18845016.690000001</v>
      </c>
      <c r="P40" s="188">
        <v>6730391.4800000004</v>
      </c>
      <c r="Q40" s="188">
        <v>0</v>
      </c>
      <c r="R40" s="188"/>
      <c r="S40" s="188"/>
      <c r="T40" s="188"/>
      <c r="U40" s="188"/>
      <c r="V40" s="188"/>
      <c r="W40" s="188"/>
      <c r="X40" s="188"/>
      <c r="Y40" s="188"/>
      <c r="Z40" s="188"/>
      <c r="AA40" s="188"/>
      <c r="AB40" s="188"/>
      <c r="AC40" s="188"/>
      <c r="AD40" s="188"/>
      <c r="AE40" s="188"/>
      <c r="AF40" s="188"/>
      <c r="AG40" s="188"/>
      <c r="AH40" s="188"/>
      <c r="AI40" s="188"/>
      <c r="AJ40" s="188"/>
      <c r="AK40" s="188"/>
      <c r="AL40" s="188"/>
      <c r="AM40" s="188"/>
      <c r="AN40" s="188"/>
      <c r="AO40" s="188"/>
      <c r="AP40" s="188"/>
      <c r="AQ40" s="188"/>
      <c r="AR40" s="188"/>
      <c r="AS40" s="188"/>
      <c r="AT40" s="188"/>
      <c r="AU40" s="188"/>
      <c r="AV40" s="188"/>
      <c r="AW40" s="188"/>
      <c r="AX40" s="188"/>
      <c r="AY40" s="188"/>
      <c r="AZ40" s="188"/>
      <c r="BA40" s="188"/>
      <c r="BB40" s="188"/>
      <c r="BC40" s="188"/>
      <c r="BD40" s="188"/>
      <c r="BE40" s="188"/>
      <c r="BF40" s="188"/>
      <c r="BG40" s="188"/>
      <c r="BH40" s="188"/>
      <c r="BI40" s="188"/>
      <c r="BJ40" s="188"/>
      <c r="BK40" s="188"/>
      <c r="BL40" s="188"/>
      <c r="BM40" s="188"/>
      <c r="BN40" s="188"/>
      <c r="BO40" s="188"/>
      <c r="BP40" s="188"/>
      <c r="BQ40" s="188"/>
      <c r="BR40" s="188"/>
      <c r="BS40" s="188"/>
      <c r="BT40" s="188"/>
      <c r="BU40" s="188"/>
      <c r="BV40" s="188"/>
      <c r="BW40" s="188"/>
      <c r="BX40" s="188"/>
      <c r="BY40" s="188"/>
      <c r="BZ40" s="188"/>
      <c r="CA40" s="188"/>
      <c r="CB40" s="188"/>
      <c r="CC40" s="188"/>
      <c r="CD40" s="188"/>
      <c r="CE40" s="188"/>
      <c r="CF40" s="188"/>
      <c r="CG40" s="188"/>
      <c r="CH40" s="188"/>
      <c r="CI40" s="188"/>
      <c r="CJ40" s="188"/>
      <c r="CK40" s="188"/>
      <c r="CL40" s="188"/>
    </row>
    <row r="41" spans="1:90" x14ac:dyDescent="0.25">
      <c r="A41" s="17" t="s">
        <v>27</v>
      </c>
      <c r="B41" s="188">
        <v>25224491.100000001</v>
      </c>
      <c r="C41" s="188">
        <v>22077445.870000001</v>
      </c>
      <c r="D41" s="188">
        <v>19733787.27</v>
      </c>
      <c r="E41" s="188">
        <v>14439889.460000001</v>
      </c>
      <c r="F41" s="188">
        <v>24275596.039999999</v>
      </c>
      <c r="G41" s="188">
        <v>20897435.510000002</v>
      </c>
      <c r="H41" s="188">
        <v>21287300.050000001</v>
      </c>
      <c r="I41" s="188">
        <v>21021321.73</v>
      </c>
      <c r="J41" s="188">
        <v>11081311.4</v>
      </c>
      <c r="K41" s="188">
        <v>8152834.1900000004</v>
      </c>
      <c r="L41" s="188">
        <v>6104017.5599999996</v>
      </c>
      <c r="M41" s="188">
        <v>6160149.7300000004</v>
      </c>
      <c r="N41" s="188">
        <v>5606792.2400000002</v>
      </c>
      <c r="O41" s="188">
        <v>26232376.57</v>
      </c>
      <c r="P41" s="188">
        <v>5516544.9699999997</v>
      </c>
      <c r="Q41" s="188">
        <v>0</v>
      </c>
      <c r="R41" s="188"/>
      <c r="S41" s="188"/>
      <c r="T41" s="188"/>
      <c r="U41" s="188"/>
      <c r="V41" s="188"/>
      <c r="W41" s="188"/>
      <c r="X41" s="188"/>
      <c r="Y41" s="188"/>
      <c r="Z41" s="188"/>
      <c r="AA41" s="188"/>
      <c r="AB41" s="188"/>
      <c r="AC41" s="188"/>
      <c r="AD41" s="188"/>
      <c r="AE41" s="188"/>
      <c r="AF41" s="188"/>
      <c r="AG41" s="188"/>
      <c r="AH41" s="188"/>
      <c r="AI41" s="188"/>
      <c r="AJ41" s="188"/>
      <c r="AK41" s="188"/>
      <c r="AL41" s="188"/>
      <c r="AM41" s="188"/>
      <c r="AN41" s="188"/>
      <c r="AO41" s="188"/>
      <c r="AP41" s="188"/>
      <c r="AQ41" s="188"/>
      <c r="AR41" s="188"/>
      <c r="AS41" s="188"/>
      <c r="AT41" s="188"/>
      <c r="AU41" s="188"/>
      <c r="AV41" s="188"/>
      <c r="AW41" s="188"/>
      <c r="AX41" s="188"/>
      <c r="AY41" s="188"/>
      <c r="AZ41" s="188"/>
      <c r="BA41" s="188"/>
      <c r="BB41" s="188"/>
      <c r="BC41" s="188"/>
      <c r="BD41" s="188"/>
      <c r="BE41" s="188"/>
      <c r="BF41" s="188"/>
      <c r="BG41" s="188"/>
      <c r="BH41" s="188"/>
      <c r="BI41" s="188"/>
      <c r="BJ41" s="188"/>
      <c r="BK41" s="188"/>
      <c r="BL41" s="188"/>
      <c r="BM41" s="188"/>
      <c r="BN41" s="188"/>
      <c r="BO41" s="188"/>
      <c r="BP41" s="188"/>
      <c r="BQ41" s="188"/>
      <c r="BR41" s="188"/>
      <c r="BS41" s="188"/>
      <c r="BT41" s="188"/>
      <c r="BU41" s="188"/>
      <c r="BV41" s="188"/>
      <c r="BW41" s="188"/>
      <c r="BX41" s="188"/>
      <c r="BY41" s="188"/>
      <c r="BZ41" s="188"/>
      <c r="CA41" s="188"/>
      <c r="CB41" s="188"/>
      <c r="CC41" s="188"/>
      <c r="CD41" s="188"/>
      <c r="CE41" s="188"/>
      <c r="CF41" s="188"/>
      <c r="CG41" s="188"/>
      <c r="CH41" s="188"/>
      <c r="CI41" s="188"/>
      <c r="CJ41" s="188"/>
      <c r="CK41" s="188"/>
      <c r="CL41" s="188"/>
    </row>
    <row r="42" spans="1:90" s="39" customFormat="1" x14ac:dyDescent="0.25">
      <c r="A42" s="123" t="s">
        <v>28</v>
      </c>
      <c r="B42" s="188">
        <v>0</v>
      </c>
      <c r="C42" s="188">
        <v>0</v>
      </c>
      <c r="D42" s="188">
        <v>0</v>
      </c>
      <c r="E42" s="188">
        <v>0</v>
      </c>
      <c r="F42" s="188">
        <v>0</v>
      </c>
      <c r="G42" s="188">
        <v>0</v>
      </c>
      <c r="H42" s="188">
        <v>0</v>
      </c>
      <c r="I42" s="188">
        <v>0</v>
      </c>
      <c r="J42" s="188">
        <v>0</v>
      </c>
      <c r="K42" s="188">
        <v>0</v>
      </c>
      <c r="L42" s="188">
        <v>0</v>
      </c>
      <c r="M42" s="188">
        <v>0</v>
      </c>
      <c r="N42" s="188">
        <v>0</v>
      </c>
      <c r="O42" s="188">
        <v>0</v>
      </c>
      <c r="P42" s="188">
        <v>0</v>
      </c>
      <c r="Q42" s="188">
        <v>0</v>
      </c>
      <c r="R42" s="188"/>
      <c r="S42" s="188"/>
      <c r="T42" s="188"/>
      <c r="U42" s="188"/>
      <c r="V42" s="188"/>
      <c r="W42" s="188"/>
      <c r="X42" s="188"/>
      <c r="Y42" s="188"/>
      <c r="Z42" s="188"/>
      <c r="AA42" s="188"/>
      <c r="AB42" s="188"/>
      <c r="AC42" s="188"/>
      <c r="AD42" s="188"/>
      <c r="AE42" s="188"/>
      <c r="AF42" s="188"/>
      <c r="AG42" s="188"/>
      <c r="AH42" s="188"/>
      <c r="AI42" s="188"/>
      <c r="AJ42" s="188"/>
      <c r="AK42" s="188"/>
      <c r="AL42" s="188"/>
      <c r="AM42" s="188"/>
      <c r="AN42" s="188"/>
      <c r="AO42" s="188"/>
      <c r="AP42" s="188"/>
      <c r="AQ42" s="188"/>
      <c r="AR42" s="188"/>
      <c r="AS42" s="188"/>
      <c r="AT42" s="188"/>
      <c r="AU42" s="188"/>
      <c r="AV42" s="188"/>
      <c r="AW42" s="188"/>
      <c r="AX42" s="188"/>
      <c r="AY42" s="188"/>
      <c r="AZ42" s="188"/>
      <c r="BA42" s="188"/>
      <c r="BB42" s="188"/>
      <c r="BC42" s="188"/>
      <c r="BD42" s="188"/>
      <c r="BE42" s="188"/>
      <c r="BF42" s="188"/>
      <c r="BG42" s="188"/>
      <c r="BH42" s="188"/>
      <c r="BI42" s="188"/>
      <c r="BJ42" s="188"/>
      <c r="BK42" s="188"/>
      <c r="BL42" s="188"/>
      <c r="BM42" s="188"/>
      <c r="BN42" s="188"/>
      <c r="BO42" s="188"/>
      <c r="BP42" s="188"/>
      <c r="BQ42" s="188"/>
      <c r="BR42" s="188"/>
      <c r="BS42" s="188"/>
      <c r="BT42" s="188"/>
      <c r="BU42" s="188"/>
      <c r="BV42" s="188"/>
      <c r="BW42" s="188"/>
      <c r="BX42" s="188"/>
      <c r="BY42" s="188"/>
      <c r="BZ42" s="188"/>
      <c r="CA42" s="188"/>
      <c r="CB42" s="188"/>
      <c r="CC42" s="188"/>
      <c r="CD42" s="188"/>
      <c r="CE42" s="188"/>
      <c r="CF42" s="188"/>
      <c r="CG42" s="188"/>
      <c r="CH42" s="188"/>
      <c r="CI42" s="188"/>
      <c r="CJ42" s="188"/>
      <c r="CK42" s="188"/>
      <c r="CL42" s="188"/>
    </row>
    <row r="43" spans="1:90" x14ac:dyDescent="0.25">
      <c r="A43" s="17" t="s">
        <v>29</v>
      </c>
      <c r="B43" s="188">
        <v>54595655.280000001</v>
      </c>
      <c r="C43" s="188">
        <v>56758360.18</v>
      </c>
      <c r="D43" s="188">
        <v>54523002.539999999</v>
      </c>
      <c r="E43" s="188">
        <v>56681694.68</v>
      </c>
      <c r="F43" s="188">
        <v>51506546.460000001</v>
      </c>
      <c r="G43" s="188">
        <v>54952976.710000001</v>
      </c>
      <c r="H43" s="188">
        <v>56306918.93</v>
      </c>
      <c r="I43" s="188">
        <v>54917308.939999998</v>
      </c>
      <c r="J43" s="188">
        <v>47569365.140000001</v>
      </c>
      <c r="K43" s="188">
        <v>42367421.420000002</v>
      </c>
      <c r="L43" s="188">
        <v>38231742.850000001</v>
      </c>
      <c r="M43" s="188">
        <v>11228129.970000001</v>
      </c>
      <c r="N43" s="188">
        <v>4914390.6900000004</v>
      </c>
      <c r="O43" s="188">
        <v>0</v>
      </c>
      <c r="P43" s="188">
        <v>0</v>
      </c>
      <c r="Q43" s="188">
        <v>0</v>
      </c>
      <c r="R43" s="188"/>
      <c r="S43" s="188"/>
      <c r="T43" s="188"/>
      <c r="U43" s="188"/>
      <c r="V43" s="188"/>
      <c r="W43" s="188"/>
      <c r="X43" s="188"/>
      <c r="Y43" s="188"/>
      <c r="Z43" s="188"/>
      <c r="AA43" s="188"/>
      <c r="AB43" s="188"/>
      <c r="AC43" s="188"/>
      <c r="AD43" s="188"/>
      <c r="AE43" s="188"/>
      <c r="AF43" s="188"/>
      <c r="AG43" s="188"/>
      <c r="AH43" s="188"/>
      <c r="AI43" s="188"/>
      <c r="AJ43" s="188"/>
      <c r="AK43" s="188"/>
      <c r="AL43" s="188"/>
      <c r="AM43" s="188"/>
      <c r="AN43" s="188"/>
      <c r="AO43" s="188"/>
      <c r="AP43" s="188"/>
      <c r="AQ43" s="188"/>
      <c r="AR43" s="188"/>
      <c r="AS43" s="188"/>
      <c r="AT43" s="188"/>
      <c r="AU43" s="188"/>
      <c r="AV43" s="188"/>
      <c r="AW43" s="188"/>
      <c r="AX43" s="188"/>
      <c r="AY43" s="188"/>
      <c r="AZ43" s="188"/>
      <c r="BA43" s="188"/>
      <c r="BB43" s="188"/>
      <c r="BC43" s="188"/>
      <c r="BD43" s="188"/>
      <c r="BE43" s="188"/>
      <c r="BF43" s="188"/>
      <c r="BG43" s="188"/>
      <c r="BH43" s="188"/>
      <c r="BI43" s="188"/>
      <c r="BJ43" s="188"/>
      <c r="BK43" s="188"/>
      <c r="BL43" s="188"/>
      <c r="BM43" s="188"/>
      <c r="BN43" s="188"/>
      <c r="BO43" s="188"/>
      <c r="BP43" s="188"/>
      <c r="BQ43" s="188"/>
      <c r="BR43" s="188"/>
      <c r="BS43" s="188"/>
      <c r="BT43" s="188"/>
      <c r="BU43" s="188"/>
      <c r="BV43" s="188"/>
      <c r="BW43" s="188"/>
      <c r="BX43" s="188"/>
      <c r="BY43" s="188"/>
      <c r="BZ43" s="188"/>
      <c r="CA43" s="188"/>
      <c r="CB43" s="188"/>
      <c r="CC43" s="188"/>
      <c r="CD43" s="188"/>
      <c r="CE43" s="188"/>
      <c r="CF43" s="188"/>
      <c r="CG43" s="188"/>
      <c r="CH43" s="188"/>
      <c r="CI43" s="188"/>
      <c r="CJ43" s="188"/>
      <c r="CK43" s="188"/>
      <c r="CL43" s="188"/>
    </row>
    <row r="44" spans="1:90" x14ac:dyDescent="0.25">
      <c r="A44" s="17" t="s">
        <v>30</v>
      </c>
      <c r="B44" s="188">
        <v>0</v>
      </c>
      <c r="C44" s="188">
        <v>0</v>
      </c>
      <c r="D44" s="188">
        <v>0</v>
      </c>
      <c r="E44" s="188">
        <v>0</v>
      </c>
      <c r="F44" s="188">
        <v>0</v>
      </c>
      <c r="G44" s="188">
        <v>0</v>
      </c>
      <c r="H44" s="188">
        <v>0</v>
      </c>
      <c r="I44" s="188">
        <v>0</v>
      </c>
      <c r="J44" s="188">
        <v>0</v>
      </c>
      <c r="K44" s="188">
        <v>0</v>
      </c>
      <c r="L44" s="188">
        <v>0</v>
      </c>
      <c r="M44" s="188">
        <v>0</v>
      </c>
      <c r="N44" s="188">
        <v>0</v>
      </c>
      <c r="O44" s="188">
        <v>0</v>
      </c>
      <c r="P44" s="188">
        <v>0</v>
      </c>
      <c r="Q44" s="188">
        <v>0</v>
      </c>
      <c r="R44" s="188"/>
      <c r="S44" s="188"/>
      <c r="T44" s="188"/>
      <c r="U44" s="188"/>
      <c r="V44" s="188"/>
      <c r="W44" s="188"/>
      <c r="X44" s="188"/>
      <c r="Y44" s="188"/>
      <c r="Z44" s="188"/>
      <c r="AA44" s="188"/>
      <c r="AB44" s="188"/>
      <c r="AC44" s="188"/>
      <c r="AD44" s="188"/>
      <c r="AE44" s="188"/>
      <c r="AF44" s="188"/>
      <c r="AG44" s="188"/>
      <c r="AH44" s="188"/>
      <c r="AI44" s="188"/>
      <c r="AJ44" s="188"/>
      <c r="AK44" s="188"/>
      <c r="AL44" s="188"/>
      <c r="AM44" s="188"/>
      <c r="AN44" s="188"/>
      <c r="AO44" s="188"/>
      <c r="AP44" s="188"/>
      <c r="AQ44" s="188"/>
      <c r="AR44" s="188"/>
      <c r="AS44" s="188"/>
      <c r="AT44" s="188"/>
      <c r="AU44" s="188"/>
      <c r="AV44" s="188"/>
      <c r="AW44" s="188"/>
      <c r="AX44" s="188"/>
      <c r="AY44" s="188"/>
      <c r="AZ44" s="188"/>
      <c r="BA44" s="188"/>
      <c r="BB44" s="188"/>
      <c r="BC44" s="188"/>
      <c r="BD44" s="188"/>
      <c r="BE44" s="188"/>
      <c r="BF44" s="188"/>
      <c r="BG44" s="188"/>
      <c r="BH44" s="188"/>
      <c r="BI44" s="188"/>
      <c r="BJ44" s="188"/>
      <c r="BK44" s="188"/>
      <c r="BL44" s="188"/>
      <c r="BM44" s="188"/>
      <c r="BN44" s="188"/>
      <c r="BO44" s="188"/>
      <c r="BP44" s="188"/>
      <c r="BQ44" s="188"/>
      <c r="BR44" s="188"/>
      <c r="BS44" s="188"/>
      <c r="BT44" s="188"/>
      <c r="BU44" s="188"/>
      <c r="BV44" s="188"/>
      <c r="BW44" s="188"/>
      <c r="BX44" s="188"/>
      <c r="BY44" s="188"/>
      <c r="BZ44" s="188"/>
      <c r="CA44" s="188"/>
      <c r="CB44" s="188"/>
      <c r="CC44" s="188"/>
      <c r="CD44" s="188"/>
      <c r="CE44" s="188"/>
      <c r="CF44" s="188"/>
      <c r="CG44" s="188"/>
      <c r="CH44" s="188"/>
      <c r="CI44" s="188"/>
      <c r="CJ44" s="188"/>
      <c r="CK44" s="188"/>
      <c r="CL44" s="188"/>
    </row>
    <row r="45" spans="1:90" x14ac:dyDescent="0.25">
      <c r="A45" s="17" t="s">
        <v>31</v>
      </c>
      <c r="B45" s="188">
        <v>0</v>
      </c>
      <c r="C45" s="188">
        <v>0</v>
      </c>
      <c r="D45" s="188">
        <v>0</v>
      </c>
      <c r="E45" s="188">
        <v>0</v>
      </c>
      <c r="F45" s="188">
        <v>0</v>
      </c>
      <c r="G45" s="188">
        <v>0</v>
      </c>
      <c r="H45" s="188">
        <v>0</v>
      </c>
      <c r="I45" s="188">
        <v>0</v>
      </c>
      <c r="J45" s="188">
        <v>0</v>
      </c>
      <c r="K45" s="188">
        <v>0</v>
      </c>
      <c r="L45" s="188">
        <v>0</v>
      </c>
      <c r="M45" s="188">
        <v>0</v>
      </c>
      <c r="N45" s="188">
        <v>0</v>
      </c>
      <c r="O45" s="188">
        <v>0</v>
      </c>
      <c r="P45" s="188">
        <v>0</v>
      </c>
      <c r="Q45" s="188">
        <v>0</v>
      </c>
      <c r="R45" s="188"/>
      <c r="S45" s="188"/>
      <c r="T45" s="188"/>
      <c r="U45" s="188"/>
      <c r="V45" s="188"/>
      <c r="W45" s="188"/>
      <c r="X45" s="188"/>
      <c r="Y45" s="188"/>
      <c r="Z45" s="188"/>
      <c r="AA45" s="188"/>
      <c r="AB45" s="188"/>
      <c r="AC45" s="188"/>
      <c r="AD45" s="188"/>
      <c r="AE45" s="188"/>
      <c r="AF45" s="188"/>
      <c r="AG45" s="188"/>
      <c r="AH45" s="188"/>
      <c r="AI45" s="188"/>
      <c r="AJ45" s="188"/>
      <c r="AK45" s="188"/>
      <c r="AL45" s="188"/>
      <c r="AM45" s="188"/>
      <c r="AN45" s="188"/>
      <c r="AO45" s="188"/>
      <c r="AP45" s="188"/>
      <c r="AQ45" s="188"/>
      <c r="AR45" s="188"/>
      <c r="AS45" s="188"/>
      <c r="AT45" s="188"/>
      <c r="AU45" s="188"/>
      <c r="AV45" s="188"/>
      <c r="AW45" s="188"/>
      <c r="AX45" s="188"/>
      <c r="AY45" s="188"/>
      <c r="AZ45" s="188"/>
      <c r="BA45" s="188"/>
      <c r="BB45" s="188"/>
      <c r="BC45" s="188"/>
      <c r="BD45" s="188"/>
      <c r="BE45" s="188"/>
      <c r="BF45" s="188"/>
      <c r="BG45" s="188"/>
      <c r="BH45" s="188"/>
      <c r="BI45" s="188"/>
      <c r="BJ45" s="188"/>
      <c r="BK45" s="188"/>
      <c r="BL45" s="188"/>
      <c r="BM45" s="188"/>
      <c r="BN45" s="188"/>
      <c r="BO45" s="188"/>
      <c r="BP45" s="188"/>
      <c r="BQ45" s="188"/>
      <c r="BR45" s="188"/>
      <c r="BS45" s="188"/>
      <c r="BT45" s="188"/>
      <c r="BU45" s="188"/>
      <c r="BV45" s="188"/>
      <c r="BW45" s="188"/>
      <c r="BX45" s="188"/>
      <c r="BY45" s="188"/>
      <c r="BZ45" s="188"/>
      <c r="CA45" s="188"/>
      <c r="CB45" s="188"/>
      <c r="CC45" s="188"/>
      <c r="CD45" s="188"/>
      <c r="CE45" s="188"/>
      <c r="CF45" s="188"/>
      <c r="CG45" s="188"/>
      <c r="CH45" s="188"/>
      <c r="CI45" s="188"/>
      <c r="CJ45" s="188"/>
      <c r="CK45" s="188"/>
      <c r="CL45" s="188"/>
    </row>
    <row r="46" spans="1:90" hidden="1" x14ac:dyDescent="0.25">
      <c r="B46" s="26"/>
      <c r="C46" s="26"/>
      <c r="D46" s="26"/>
      <c r="E46" s="26"/>
      <c r="F46" s="26"/>
      <c r="G46" s="26"/>
      <c r="H46" s="26"/>
      <c r="I46" s="26"/>
      <c r="J46" s="26"/>
      <c r="K46" s="26"/>
      <c r="L46" s="23"/>
    </row>
    <row r="47" spans="1:90" hidden="1" x14ac:dyDescent="0.25">
      <c r="B47" s="26"/>
      <c r="C47" s="26"/>
      <c r="D47" s="26"/>
      <c r="E47" s="26"/>
      <c r="F47" s="26"/>
      <c r="G47" s="26"/>
      <c r="H47" s="26"/>
      <c r="I47" s="26"/>
      <c r="J47" s="26"/>
      <c r="K47" s="26"/>
      <c r="L47" s="23"/>
    </row>
    <row r="48" spans="1:90" hidden="1" x14ac:dyDescent="0.25">
      <c r="B48" s="26"/>
      <c r="C48" s="26"/>
      <c r="D48" s="26"/>
      <c r="E48" s="26"/>
      <c r="F48" s="26"/>
      <c r="G48" s="26"/>
      <c r="H48" s="26"/>
      <c r="I48" s="26"/>
      <c r="J48" s="26"/>
      <c r="K48" s="26"/>
      <c r="L48" s="23"/>
    </row>
    <row r="49" spans="1:90" s="10" customFormat="1" x14ac:dyDescent="0.25">
      <c r="A49" s="122" t="s">
        <v>32</v>
      </c>
      <c r="B49" s="35">
        <f>SUM(B35:B41)+SUM(B43:B45)</f>
        <v>269116974.37</v>
      </c>
      <c r="C49" s="35">
        <f>SUM(C35:C41)+SUM(C43:C45)</f>
        <v>256899948.73000002</v>
      </c>
      <c r="D49" s="35">
        <f>SUM(D35:D41)+SUM(D43:D45)</f>
        <v>233911556.63</v>
      </c>
      <c r="E49" s="35">
        <f>SUM(E35:E45)</f>
        <v>240469869.88000003</v>
      </c>
      <c r="F49" s="35">
        <f t="shared" ref="F49:BQ49" si="4">SUM(F35:F45)</f>
        <v>246289295.13000003</v>
      </c>
      <c r="G49" s="35">
        <f t="shared" si="4"/>
        <v>243488425.24000004</v>
      </c>
      <c r="H49" s="35">
        <f t="shared" si="4"/>
        <v>220955509.01000002</v>
      </c>
      <c r="I49" s="35">
        <f t="shared" si="4"/>
        <v>217550651.59999999</v>
      </c>
      <c r="J49" s="35">
        <f t="shared" si="4"/>
        <v>202837957.25</v>
      </c>
      <c r="K49" s="35">
        <f t="shared" si="4"/>
        <v>182768413</v>
      </c>
      <c r="L49" s="35">
        <f t="shared" si="4"/>
        <v>157693559.49000001</v>
      </c>
      <c r="M49" s="35">
        <f t="shared" si="4"/>
        <v>112413726.17000002</v>
      </c>
      <c r="N49" s="35">
        <f t="shared" si="4"/>
        <v>91860797.219999984</v>
      </c>
      <c r="O49" s="35">
        <f t="shared" si="4"/>
        <v>108892242.94999999</v>
      </c>
      <c r="P49" s="35">
        <f t="shared" si="4"/>
        <v>50429127.560000002</v>
      </c>
      <c r="Q49" s="35">
        <f t="shared" si="4"/>
        <v>0</v>
      </c>
      <c r="R49" s="35">
        <f t="shared" si="4"/>
        <v>0</v>
      </c>
      <c r="S49" s="35">
        <f t="shared" si="4"/>
        <v>0</v>
      </c>
      <c r="T49" s="35">
        <f t="shared" si="4"/>
        <v>0</v>
      </c>
      <c r="U49" s="35">
        <f t="shared" si="4"/>
        <v>0</v>
      </c>
      <c r="V49" s="35">
        <f t="shared" si="4"/>
        <v>0</v>
      </c>
      <c r="W49" s="35">
        <f t="shared" si="4"/>
        <v>0</v>
      </c>
      <c r="X49" s="35">
        <f t="shared" si="4"/>
        <v>0</v>
      </c>
      <c r="Y49" s="35">
        <f t="shared" si="4"/>
        <v>0</v>
      </c>
      <c r="Z49" s="35">
        <f t="shared" si="4"/>
        <v>0</v>
      </c>
      <c r="AA49" s="35">
        <f t="shared" si="4"/>
        <v>0</v>
      </c>
      <c r="AB49" s="35">
        <f t="shared" si="4"/>
        <v>0</v>
      </c>
      <c r="AC49" s="35">
        <f t="shared" si="4"/>
        <v>0</v>
      </c>
      <c r="AD49" s="35">
        <f t="shared" si="4"/>
        <v>0</v>
      </c>
      <c r="AE49" s="35">
        <f t="shared" si="4"/>
        <v>0</v>
      </c>
      <c r="AF49" s="35">
        <f t="shared" si="4"/>
        <v>0</v>
      </c>
      <c r="AG49" s="35">
        <f t="shared" si="4"/>
        <v>0</v>
      </c>
      <c r="AH49" s="35">
        <f t="shared" si="4"/>
        <v>0</v>
      </c>
      <c r="AI49" s="35">
        <f t="shared" si="4"/>
        <v>0</v>
      </c>
      <c r="AJ49" s="35">
        <f t="shared" si="4"/>
        <v>0</v>
      </c>
      <c r="AK49" s="35">
        <f t="shared" si="4"/>
        <v>0</v>
      </c>
      <c r="AL49" s="35">
        <f t="shared" si="4"/>
        <v>0</v>
      </c>
      <c r="AM49" s="35">
        <f t="shared" si="4"/>
        <v>0</v>
      </c>
      <c r="AN49" s="35">
        <f t="shared" si="4"/>
        <v>0</v>
      </c>
      <c r="AO49" s="35">
        <f t="shared" si="4"/>
        <v>0</v>
      </c>
      <c r="AP49" s="35">
        <f t="shared" si="4"/>
        <v>0</v>
      </c>
      <c r="AQ49" s="35">
        <f t="shared" si="4"/>
        <v>0</v>
      </c>
      <c r="AR49" s="35">
        <f t="shared" si="4"/>
        <v>0</v>
      </c>
      <c r="AS49" s="35">
        <f t="shared" si="4"/>
        <v>0</v>
      </c>
      <c r="AT49" s="35">
        <f t="shared" si="4"/>
        <v>0</v>
      </c>
      <c r="AU49" s="35">
        <f t="shared" si="4"/>
        <v>0</v>
      </c>
      <c r="AV49" s="35">
        <f t="shared" si="4"/>
        <v>0</v>
      </c>
      <c r="AW49" s="35">
        <f t="shared" si="4"/>
        <v>0</v>
      </c>
      <c r="AX49" s="35">
        <f t="shared" si="4"/>
        <v>0</v>
      </c>
      <c r="AY49" s="35">
        <f t="shared" si="4"/>
        <v>0</v>
      </c>
      <c r="AZ49" s="35">
        <f t="shared" si="4"/>
        <v>0</v>
      </c>
      <c r="BA49" s="35">
        <f t="shared" si="4"/>
        <v>0</v>
      </c>
      <c r="BB49" s="35">
        <f t="shared" si="4"/>
        <v>0</v>
      </c>
      <c r="BC49" s="35">
        <f t="shared" si="4"/>
        <v>0</v>
      </c>
      <c r="BD49" s="35">
        <f t="shared" si="4"/>
        <v>0</v>
      </c>
      <c r="BE49" s="35">
        <f t="shared" si="4"/>
        <v>0</v>
      </c>
      <c r="BF49" s="35">
        <f t="shared" si="4"/>
        <v>0</v>
      </c>
      <c r="BG49" s="35">
        <f t="shared" si="4"/>
        <v>0</v>
      </c>
      <c r="BH49" s="35">
        <f t="shared" si="4"/>
        <v>0</v>
      </c>
      <c r="BI49" s="35">
        <f t="shared" si="4"/>
        <v>0</v>
      </c>
      <c r="BJ49" s="35">
        <f t="shared" si="4"/>
        <v>0</v>
      </c>
      <c r="BK49" s="35">
        <f t="shared" si="4"/>
        <v>0</v>
      </c>
      <c r="BL49" s="35">
        <f t="shared" si="4"/>
        <v>0</v>
      </c>
      <c r="BM49" s="35">
        <f t="shared" si="4"/>
        <v>0</v>
      </c>
      <c r="BN49" s="35">
        <f t="shared" si="4"/>
        <v>0</v>
      </c>
      <c r="BO49" s="35">
        <f t="shared" si="4"/>
        <v>0</v>
      </c>
      <c r="BP49" s="35">
        <f t="shared" si="4"/>
        <v>0</v>
      </c>
      <c r="BQ49" s="35">
        <f t="shared" si="4"/>
        <v>0</v>
      </c>
      <c r="BR49" s="35">
        <f t="shared" ref="BR49:CK49" si="5">SUM(BR35:BR45)</f>
        <v>0</v>
      </c>
      <c r="BS49" s="35">
        <f t="shared" si="5"/>
        <v>0</v>
      </c>
      <c r="BT49" s="35">
        <f t="shared" si="5"/>
        <v>0</v>
      </c>
      <c r="BU49" s="35">
        <f t="shared" si="5"/>
        <v>0</v>
      </c>
      <c r="BV49" s="35">
        <f t="shared" si="5"/>
        <v>0</v>
      </c>
      <c r="BW49" s="35">
        <f t="shared" si="5"/>
        <v>0</v>
      </c>
      <c r="BX49" s="35">
        <f t="shared" si="5"/>
        <v>0</v>
      </c>
      <c r="BY49" s="35">
        <f t="shared" si="5"/>
        <v>0</v>
      </c>
      <c r="BZ49" s="35">
        <f t="shared" si="5"/>
        <v>0</v>
      </c>
      <c r="CA49" s="35">
        <f t="shared" si="5"/>
        <v>0</v>
      </c>
      <c r="CB49" s="35">
        <f t="shared" si="5"/>
        <v>0</v>
      </c>
      <c r="CC49" s="35">
        <f t="shared" si="5"/>
        <v>0</v>
      </c>
      <c r="CD49" s="35">
        <f t="shared" si="5"/>
        <v>0</v>
      </c>
      <c r="CE49" s="35">
        <f t="shared" si="5"/>
        <v>0</v>
      </c>
      <c r="CF49" s="35">
        <f t="shared" si="5"/>
        <v>0</v>
      </c>
      <c r="CG49" s="35">
        <f t="shared" si="5"/>
        <v>0</v>
      </c>
      <c r="CH49" s="35">
        <f t="shared" si="5"/>
        <v>0</v>
      </c>
      <c r="CI49" s="35">
        <f t="shared" si="5"/>
        <v>0</v>
      </c>
      <c r="CJ49" s="35">
        <f t="shared" si="5"/>
        <v>0</v>
      </c>
      <c r="CK49" s="35">
        <f t="shared" si="5"/>
        <v>0</v>
      </c>
    </row>
    <row r="50" spans="1:90" s="15" customFormat="1" x14ac:dyDescent="0.25">
      <c r="A50" s="124" t="s">
        <v>81</v>
      </c>
      <c r="B50" s="36">
        <f>B33-B49</f>
        <v>382748709.19000006</v>
      </c>
      <c r="C50" s="36">
        <f t="shared" ref="C50:BN50" si="6">C33-C49</f>
        <v>305683246.75999999</v>
      </c>
      <c r="D50" s="36">
        <f t="shared" si="6"/>
        <v>357192701.33000004</v>
      </c>
      <c r="E50" s="36">
        <f t="shared" si="6"/>
        <v>191971497.01999995</v>
      </c>
      <c r="F50" s="36">
        <f t="shared" si="6"/>
        <v>314958716.34000003</v>
      </c>
      <c r="G50" s="36">
        <f t="shared" si="6"/>
        <v>179942635.36999997</v>
      </c>
      <c r="H50" s="36">
        <f t="shared" si="6"/>
        <v>46953509.559999973</v>
      </c>
      <c r="I50" s="36">
        <f t="shared" si="6"/>
        <v>174160219.69000003</v>
      </c>
      <c r="J50" s="36">
        <f t="shared" si="6"/>
        <v>-54243005.640000015</v>
      </c>
      <c r="K50" s="36">
        <f t="shared" si="6"/>
        <v>-52081627.970000014</v>
      </c>
      <c r="L50" s="36">
        <f t="shared" si="6"/>
        <v>-65944078.750000015</v>
      </c>
      <c r="M50" s="36">
        <f t="shared" si="6"/>
        <v>-40591410.170000017</v>
      </c>
      <c r="N50" s="36">
        <f t="shared" si="6"/>
        <v>-24105600.079999983</v>
      </c>
      <c r="O50" s="36">
        <f t="shared" si="6"/>
        <v>17286619.160000011</v>
      </c>
      <c r="P50" s="36">
        <f t="shared" si="6"/>
        <v>-393556.98000000417</v>
      </c>
      <c r="Q50" s="36">
        <f t="shared" si="6"/>
        <v>0</v>
      </c>
      <c r="R50" s="36">
        <f t="shared" si="6"/>
        <v>0</v>
      </c>
      <c r="S50" s="36">
        <f t="shared" si="6"/>
        <v>0</v>
      </c>
      <c r="T50" s="36">
        <f t="shared" si="6"/>
        <v>0</v>
      </c>
      <c r="U50" s="36">
        <f t="shared" si="6"/>
        <v>0</v>
      </c>
      <c r="V50" s="36">
        <f t="shared" si="6"/>
        <v>0</v>
      </c>
      <c r="W50" s="36">
        <f t="shared" si="6"/>
        <v>0</v>
      </c>
      <c r="X50" s="36">
        <f t="shared" si="6"/>
        <v>0</v>
      </c>
      <c r="Y50" s="36">
        <f t="shared" si="6"/>
        <v>0</v>
      </c>
      <c r="Z50" s="36">
        <f t="shared" si="6"/>
        <v>0</v>
      </c>
      <c r="AA50" s="36">
        <f t="shared" si="6"/>
        <v>0</v>
      </c>
      <c r="AB50" s="36">
        <f t="shared" si="6"/>
        <v>0</v>
      </c>
      <c r="AC50" s="36">
        <f t="shared" si="6"/>
        <v>0</v>
      </c>
      <c r="AD50" s="36">
        <f t="shared" si="6"/>
        <v>0</v>
      </c>
      <c r="AE50" s="36">
        <f t="shared" si="6"/>
        <v>0</v>
      </c>
      <c r="AF50" s="36">
        <f t="shared" si="6"/>
        <v>0</v>
      </c>
      <c r="AG50" s="36">
        <f t="shared" si="6"/>
        <v>0</v>
      </c>
      <c r="AH50" s="36">
        <f t="shared" si="6"/>
        <v>0</v>
      </c>
      <c r="AI50" s="36">
        <f t="shared" si="6"/>
        <v>0</v>
      </c>
      <c r="AJ50" s="36">
        <f t="shared" si="6"/>
        <v>0</v>
      </c>
      <c r="AK50" s="36">
        <f t="shared" si="6"/>
        <v>0</v>
      </c>
      <c r="AL50" s="36">
        <f t="shared" si="6"/>
        <v>0</v>
      </c>
      <c r="AM50" s="36">
        <f t="shared" si="6"/>
        <v>0</v>
      </c>
      <c r="AN50" s="36">
        <f t="shared" si="6"/>
        <v>0</v>
      </c>
      <c r="AO50" s="36">
        <f t="shared" si="6"/>
        <v>0</v>
      </c>
      <c r="AP50" s="36">
        <f t="shared" si="6"/>
        <v>0</v>
      </c>
      <c r="AQ50" s="36">
        <f t="shared" si="6"/>
        <v>0</v>
      </c>
      <c r="AR50" s="36">
        <f t="shared" si="6"/>
        <v>0</v>
      </c>
      <c r="AS50" s="36">
        <f t="shared" si="6"/>
        <v>0</v>
      </c>
      <c r="AT50" s="36">
        <f t="shared" si="6"/>
        <v>0</v>
      </c>
      <c r="AU50" s="36">
        <f t="shared" si="6"/>
        <v>0</v>
      </c>
      <c r="AV50" s="36">
        <f t="shared" si="6"/>
        <v>0</v>
      </c>
      <c r="AW50" s="36">
        <f t="shared" si="6"/>
        <v>0</v>
      </c>
      <c r="AX50" s="36">
        <f t="shared" si="6"/>
        <v>0</v>
      </c>
      <c r="AY50" s="36">
        <f t="shared" si="6"/>
        <v>0</v>
      </c>
      <c r="AZ50" s="36">
        <f t="shared" si="6"/>
        <v>0</v>
      </c>
      <c r="BA50" s="36">
        <f t="shared" si="6"/>
        <v>0</v>
      </c>
      <c r="BB50" s="36">
        <f t="shared" si="6"/>
        <v>0</v>
      </c>
      <c r="BC50" s="36">
        <f t="shared" si="6"/>
        <v>0</v>
      </c>
      <c r="BD50" s="36">
        <f t="shared" si="6"/>
        <v>0</v>
      </c>
      <c r="BE50" s="36">
        <f t="shared" si="6"/>
        <v>0</v>
      </c>
      <c r="BF50" s="36">
        <f t="shared" si="6"/>
        <v>0</v>
      </c>
      <c r="BG50" s="36">
        <f t="shared" si="6"/>
        <v>0</v>
      </c>
      <c r="BH50" s="36">
        <f t="shared" si="6"/>
        <v>0</v>
      </c>
      <c r="BI50" s="36">
        <f t="shared" si="6"/>
        <v>0</v>
      </c>
      <c r="BJ50" s="36">
        <f t="shared" si="6"/>
        <v>0</v>
      </c>
      <c r="BK50" s="36">
        <f t="shared" si="6"/>
        <v>0</v>
      </c>
      <c r="BL50" s="36">
        <f t="shared" si="6"/>
        <v>0</v>
      </c>
      <c r="BM50" s="36">
        <f t="shared" si="6"/>
        <v>0</v>
      </c>
      <c r="BN50" s="36">
        <f t="shared" si="6"/>
        <v>0</v>
      </c>
      <c r="BO50" s="36">
        <f t="shared" ref="BO50:CK50" si="7">BO33-BO49</f>
        <v>0</v>
      </c>
      <c r="BP50" s="36">
        <f t="shared" si="7"/>
        <v>0</v>
      </c>
      <c r="BQ50" s="36">
        <f t="shared" si="7"/>
        <v>0</v>
      </c>
      <c r="BR50" s="36">
        <f t="shared" si="7"/>
        <v>0</v>
      </c>
      <c r="BS50" s="36">
        <f t="shared" si="7"/>
        <v>0</v>
      </c>
      <c r="BT50" s="36">
        <f t="shared" si="7"/>
        <v>0</v>
      </c>
      <c r="BU50" s="36">
        <f t="shared" si="7"/>
        <v>0</v>
      </c>
      <c r="BV50" s="36">
        <f t="shared" si="7"/>
        <v>0</v>
      </c>
      <c r="BW50" s="36">
        <f t="shared" si="7"/>
        <v>0</v>
      </c>
      <c r="BX50" s="36">
        <f t="shared" si="7"/>
        <v>0</v>
      </c>
      <c r="BY50" s="36">
        <f t="shared" si="7"/>
        <v>0</v>
      </c>
      <c r="BZ50" s="36">
        <f t="shared" si="7"/>
        <v>0</v>
      </c>
      <c r="CA50" s="36">
        <f t="shared" si="7"/>
        <v>0</v>
      </c>
      <c r="CB50" s="36">
        <f t="shared" si="7"/>
        <v>0</v>
      </c>
      <c r="CC50" s="36">
        <f t="shared" si="7"/>
        <v>0</v>
      </c>
      <c r="CD50" s="36">
        <f t="shared" si="7"/>
        <v>0</v>
      </c>
      <c r="CE50" s="36">
        <f t="shared" si="7"/>
        <v>0</v>
      </c>
      <c r="CF50" s="36">
        <f t="shared" si="7"/>
        <v>0</v>
      </c>
      <c r="CG50" s="36">
        <f t="shared" si="7"/>
        <v>0</v>
      </c>
      <c r="CH50" s="36">
        <f t="shared" si="7"/>
        <v>0</v>
      </c>
      <c r="CI50" s="36">
        <f t="shared" si="7"/>
        <v>0</v>
      </c>
      <c r="CJ50" s="36">
        <f t="shared" si="7"/>
        <v>0</v>
      </c>
      <c r="CK50" s="36">
        <f t="shared" si="7"/>
        <v>0</v>
      </c>
    </row>
    <row r="51" spans="1:90" s="191" customFormat="1" x14ac:dyDescent="0.25">
      <c r="A51" s="191" t="s">
        <v>33</v>
      </c>
    </row>
    <row r="52" spans="1:90" s="191" customFormat="1" x14ac:dyDescent="0.25">
      <c r="A52" s="191" t="s">
        <v>34</v>
      </c>
      <c r="B52" s="188">
        <v>373810305.35000002</v>
      </c>
      <c r="C52" s="188">
        <v>359489220.79000002</v>
      </c>
      <c r="D52" s="188">
        <v>329044971.12</v>
      </c>
      <c r="E52" s="188">
        <v>319391107.06</v>
      </c>
      <c r="F52" s="188">
        <v>267304832.13</v>
      </c>
      <c r="G52" s="188">
        <v>263148285.97999999</v>
      </c>
      <c r="H52" s="188">
        <v>258002324.71000001</v>
      </c>
      <c r="I52" s="188">
        <v>260701094.24000001</v>
      </c>
      <c r="J52" s="188">
        <v>228037011.72</v>
      </c>
      <c r="K52" s="188">
        <v>228140943.62</v>
      </c>
      <c r="L52" s="188">
        <v>232212647.59999999</v>
      </c>
      <c r="M52" s="188">
        <v>219813120.94</v>
      </c>
      <c r="N52" s="188">
        <v>215450318.12</v>
      </c>
      <c r="O52" s="188">
        <v>100643033.04000001</v>
      </c>
      <c r="P52" s="188">
        <v>84088210.109999999</v>
      </c>
      <c r="Q52" s="188">
        <v>0</v>
      </c>
      <c r="R52" s="188"/>
      <c r="S52" s="188"/>
      <c r="T52" s="188"/>
      <c r="U52" s="188"/>
      <c r="V52" s="188"/>
      <c r="W52" s="188"/>
      <c r="X52" s="188"/>
      <c r="Y52" s="188"/>
      <c r="Z52" s="188"/>
      <c r="AA52" s="188"/>
      <c r="AB52" s="188"/>
      <c r="AC52" s="188"/>
      <c r="AD52" s="188"/>
      <c r="AE52" s="188"/>
      <c r="AF52" s="188"/>
      <c r="AG52" s="188"/>
      <c r="AH52" s="188"/>
      <c r="AI52" s="188"/>
      <c r="AJ52" s="188"/>
      <c r="AK52" s="188"/>
      <c r="AL52" s="188"/>
      <c r="AM52" s="188"/>
      <c r="AN52" s="188"/>
      <c r="AO52" s="188"/>
      <c r="AP52" s="188"/>
      <c r="AQ52" s="188"/>
      <c r="AR52" s="188"/>
      <c r="AS52" s="188"/>
      <c r="AT52" s="188"/>
      <c r="AU52" s="188"/>
      <c r="AV52" s="188"/>
      <c r="AW52" s="188"/>
      <c r="AX52" s="188"/>
      <c r="AY52" s="188"/>
      <c r="AZ52" s="188"/>
      <c r="BA52" s="188"/>
      <c r="BB52" s="188"/>
      <c r="BC52" s="188"/>
      <c r="BD52" s="188"/>
      <c r="BE52" s="188"/>
      <c r="BF52" s="188"/>
      <c r="BG52" s="188"/>
      <c r="BH52" s="188"/>
      <c r="BI52" s="188"/>
      <c r="BJ52" s="188"/>
      <c r="BK52" s="188"/>
      <c r="BL52" s="188"/>
      <c r="BM52" s="188"/>
      <c r="BN52" s="188"/>
      <c r="BO52" s="188"/>
      <c r="BP52" s="188"/>
      <c r="BQ52" s="188"/>
      <c r="BR52" s="188"/>
      <c r="BS52" s="188"/>
      <c r="BT52" s="188"/>
      <c r="BU52" s="188"/>
      <c r="BV52" s="188"/>
      <c r="BW52" s="188"/>
      <c r="BX52" s="188"/>
      <c r="BY52" s="188"/>
      <c r="BZ52" s="188"/>
      <c r="CA52" s="188"/>
      <c r="CB52" s="188"/>
      <c r="CC52" s="188"/>
      <c r="CD52" s="188"/>
      <c r="CE52" s="188"/>
      <c r="CF52" s="188"/>
      <c r="CG52" s="188"/>
      <c r="CH52" s="188"/>
      <c r="CI52" s="188"/>
      <c r="CJ52" s="188"/>
      <c r="CK52" s="188"/>
      <c r="CL52" s="188"/>
    </row>
    <row r="53" spans="1:90" s="191" customFormat="1" x14ac:dyDescent="0.25">
      <c r="A53" s="191" t="s">
        <v>35</v>
      </c>
      <c r="B53" s="188">
        <v>59032185.189999998</v>
      </c>
      <c r="C53" s="188">
        <v>48498833.020000003</v>
      </c>
      <c r="D53" s="188">
        <v>50085419.869999997</v>
      </c>
      <c r="E53" s="188">
        <v>48289733.960000001</v>
      </c>
      <c r="F53" s="188">
        <v>70180899.620000005</v>
      </c>
      <c r="G53" s="188">
        <v>67669223.189999998</v>
      </c>
      <c r="H53" s="188">
        <v>67064214.490000002</v>
      </c>
      <c r="I53" s="188">
        <v>53359317.390000001</v>
      </c>
      <c r="J53" s="188">
        <v>69635501.519999996</v>
      </c>
      <c r="K53" s="188">
        <v>68701890.849999994</v>
      </c>
      <c r="L53" s="188">
        <v>56098042</v>
      </c>
      <c r="M53" s="188">
        <v>50408573.420000002</v>
      </c>
      <c r="N53" s="188">
        <v>57075147.840000004</v>
      </c>
      <c r="O53" s="188">
        <v>0</v>
      </c>
      <c r="P53" s="188">
        <v>0</v>
      </c>
      <c r="Q53" s="188">
        <v>0</v>
      </c>
      <c r="R53" s="188"/>
      <c r="S53" s="188"/>
      <c r="T53" s="188"/>
      <c r="U53" s="188"/>
      <c r="V53" s="188"/>
      <c r="W53" s="188"/>
      <c r="X53" s="188"/>
      <c r="Y53" s="188"/>
      <c r="Z53" s="188"/>
      <c r="AA53" s="188"/>
      <c r="AB53" s="188"/>
      <c r="AC53" s="188"/>
      <c r="AD53" s="188"/>
      <c r="AE53" s="188"/>
      <c r="AF53" s="188"/>
      <c r="AG53" s="188"/>
      <c r="AH53" s="188"/>
      <c r="AI53" s="188"/>
      <c r="AJ53" s="188"/>
      <c r="AK53" s="188"/>
      <c r="AL53" s="188"/>
      <c r="AM53" s="188"/>
      <c r="AN53" s="188"/>
      <c r="AO53" s="188"/>
      <c r="AP53" s="188"/>
      <c r="AQ53" s="188"/>
      <c r="AR53" s="188"/>
      <c r="AS53" s="188"/>
      <c r="AT53" s="188"/>
      <c r="AU53" s="188"/>
      <c r="AV53" s="188"/>
      <c r="AW53" s="188"/>
      <c r="AX53" s="188"/>
      <c r="AY53" s="188"/>
      <c r="AZ53" s="188"/>
      <c r="BA53" s="188"/>
      <c r="BB53" s="188"/>
      <c r="BC53" s="188"/>
      <c r="BD53" s="188"/>
      <c r="BE53" s="188"/>
      <c r="BF53" s="188"/>
      <c r="BG53" s="188"/>
      <c r="BH53" s="188"/>
      <c r="BI53" s="188"/>
      <c r="BJ53" s="188"/>
      <c r="BK53" s="188"/>
      <c r="BL53" s="188"/>
      <c r="BM53" s="188"/>
      <c r="BN53" s="188"/>
      <c r="BO53" s="188"/>
      <c r="BP53" s="188"/>
      <c r="BQ53" s="188"/>
      <c r="BR53" s="188"/>
      <c r="BS53" s="188"/>
      <c r="BT53" s="188"/>
      <c r="BU53" s="188"/>
      <c r="BV53" s="188"/>
      <c r="BW53" s="188"/>
      <c r="BX53" s="188"/>
      <c r="BY53" s="188"/>
      <c r="BZ53" s="188"/>
      <c r="CA53" s="188"/>
      <c r="CB53" s="188"/>
      <c r="CC53" s="188"/>
      <c r="CD53" s="188"/>
      <c r="CE53" s="188"/>
      <c r="CF53" s="188"/>
      <c r="CG53" s="188"/>
      <c r="CH53" s="188"/>
      <c r="CI53" s="188"/>
      <c r="CJ53" s="188"/>
      <c r="CK53" s="188"/>
      <c r="CL53" s="188"/>
    </row>
    <row r="54" spans="1:90" s="191" customFormat="1" x14ac:dyDescent="0.25">
      <c r="A54" s="191" t="s">
        <v>36</v>
      </c>
      <c r="B54" s="188">
        <v>0</v>
      </c>
      <c r="C54" s="188">
        <v>0</v>
      </c>
      <c r="D54" s="188">
        <v>0</v>
      </c>
      <c r="E54" s="188">
        <v>0</v>
      </c>
      <c r="F54" s="188">
        <v>0</v>
      </c>
      <c r="G54" s="188">
        <v>0</v>
      </c>
      <c r="H54" s="188">
        <v>0</v>
      </c>
      <c r="I54" s="188">
        <v>0</v>
      </c>
      <c r="J54" s="188">
        <v>0</v>
      </c>
      <c r="K54" s="188">
        <v>0</v>
      </c>
      <c r="L54" s="188">
        <v>0</v>
      </c>
      <c r="M54" s="188">
        <v>0</v>
      </c>
      <c r="N54" s="188">
        <v>0</v>
      </c>
      <c r="O54" s="188">
        <v>0</v>
      </c>
      <c r="P54" s="188">
        <v>0</v>
      </c>
      <c r="Q54" s="188">
        <v>0</v>
      </c>
      <c r="R54" s="188"/>
      <c r="S54" s="188"/>
      <c r="T54" s="188"/>
      <c r="U54" s="188"/>
      <c r="V54" s="188"/>
      <c r="W54" s="188"/>
      <c r="X54" s="188"/>
      <c r="Y54" s="188"/>
      <c r="Z54" s="188"/>
      <c r="AA54" s="188"/>
      <c r="AB54" s="188"/>
      <c r="AC54" s="188"/>
      <c r="AD54" s="188"/>
      <c r="AE54" s="188"/>
      <c r="AF54" s="188"/>
      <c r="AG54" s="188"/>
      <c r="AH54" s="188"/>
      <c r="AI54" s="188"/>
      <c r="AJ54" s="188"/>
      <c r="AK54" s="188"/>
      <c r="AL54" s="188"/>
      <c r="AM54" s="188"/>
      <c r="AN54" s="188"/>
      <c r="AO54" s="188"/>
      <c r="AP54" s="188"/>
      <c r="AQ54" s="188"/>
      <c r="AR54" s="188"/>
      <c r="AS54" s="188"/>
      <c r="AT54" s="188"/>
      <c r="AU54" s="188"/>
      <c r="AV54" s="188"/>
      <c r="AW54" s="188"/>
      <c r="AX54" s="188"/>
      <c r="AY54" s="188"/>
      <c r="AZ54" s="188"/>
      <c r="BA54" s="188"/>
      <c r="BB54" s="188"/>
      <c r="BC54" s="188"/>
      <c r="BD54" s="188"/>
      <c r="BE54" s="188"/>
      <c r="BF54" s="188"/>
      <c r="BG54" s="188"/>
      <c r="BH54" s="188"/>
      <c r="BI54" s="188"/>
      <c r="BJ54" s="188"/>
      <c r="BK54" s="188"/>
      <c r="BL54" s="188"/>
      <c r="BM54" s="188"/>
      <c r="BN54" s="188"/>
      <c r="BO54" s="188"/>
      <c r="BP54" s="188"/>
      <c r="BQ54" s="188"/>
      <c r="BR54" s="188"/>
      <c r="BS54" s="188"/>
      <c r="BT54" s="188"/>
      <c r="BU54" s="188"/>
      <c r="BV54" s="188"/>
      <c r="BW54" s="188"/>
      <c r="BX54" s="188"/>
      <c r="BY54" s="188"/>
      <c r="BZ54" s="188"/>
      <c r="CA54" s="188"/>
      <c r="CB54" s="188"/>
      <c r="CC54" s="188"/>
      <c r="CD54" s="188"/>
      <c r="CE54" s="188"/>
      <c r="CF54" s="188"/>
      <c r="CG54" s="188"/>
      <c r="CH54" s="188"/>
      <c r="CI54" s="188"/>
      <c r="CJ54" s="188"/>
      <c r="CK54" s="188"/>
      <c r="CL54" s="188"/>
    </row>
    <row r="55" spans="1:90" s="191" customFormat="1" x14ac:dyDescent="0.25">
      <c r="A55" s="191" t="s">
        <v>37</v>
      </c>
      <c r="B55" s="188">
        <v>0</v>
      </c>
      <c r="C55" s="188">
        <v>0</v>
      </c>
      <c r="D55" s="188">
        <v>0</v>
      </c>
      <c r="E55" s="188">
        <v>0</v>
      </c>
      <c r="F55" s="188">
        <v>0</v>
      </c>
      <c r="G55" s="188">
        <v>0</v>
      </c>
      <c r="H55" s="188">
        <v>0</v>
      </c>
      <c r="I55" s="188">
        <v>0</v>
      </c>
      <c r="J55" s="188">
        <v>0</v>
      </c>
      <c r="K55" s="188">
        <v>0</v>
      </c>
      <c r="L55" s="188">
        <v>0</v>
      </c>
      <c r="M55" s="188">
        <v>0</v>
      </c>
      <c r="N55" s="188">
        <v>0</v>
      </c>
      <c r="O55" s="188">
        <v>0</v>
      </c>
      <c r="P55" s="188">
        <v>0</v>
      </c>
      <c r="Q55" s="188">
        <v>0</v>
      </c>
      <c r="R55" s="188"/>
      <c r="S55" s="188"/>
      <c r="T55" s="188"/>
      <c r="U55" s="188"/>
      <c r="V55" s="188"/>
      <c r="W55" s="188"/>
      <c r="X55" s="188"/>
      <c r="Y55" s="188"/>
      <c r="Z55" s="188"/>
      <c r="AA55" s="188"/>
      <c r="AB55" s="188"/>
      <c r="AC55" s="188"/>
      <c r="AD55" s="188"/>
      <c r="AE55" s="188"/>
      <c r="AF55" s="188"/>
      <c r="AG55" s="188"/>
      <c r="AH55" s="188"/>
      <c r="AI55" s="188"/>
      <c r="AJ55" s="188"/>
      <c r="AK55" s="188"/>
      <c r="AL55" s="188"/>
      <c r="AM55" s="188"/>
      <c r="AN55" s="188"/>
      <c r="AO55" s="188"/>
      <c r="AP55" s="188"/>
      <c r="AQ55" s="188"/>
      <c r="AR55" s="188"/>
      <c r="AS55" s="188"/>
      <c r="AT55" s="188"/>
      <c r="AU55" s="188"/>
      <c r="AV55" s="188"/>
      <c r="AW55" s="188"/>
      <c r="AX55" s="188"/>
      <c r="AY55" s="188"/>
      <c r="AZ55" s="188"/>
      <c r="BA55" s="188"/>
      <c r="BB55" s="188"/>
      <c r="BC55" s="188"/>
      <c r="BD55" s="188"/>
      <c r="BE55" s="188"/>
      <c r="BF55" s="188"/>
      <c r="BG55" s="188"/>
      <c r="BH55" s="188"/>
      <c r="BI55" s="188"/>
      <c r="BJ55" s="188"/>
      <c r="BK55" s="188"/>
      <c r="BL55" s="188"/>
      <c r="BM55" s="188"/>
      <c r="BN55" s="188"/>
      <c r="BO55" s="188"/>
      <c r="BP55" s="188"/>
      <c r="BQ55" s="188"/>
      <c r="BR55" s="188"/>
      <c r="BS55" s="188"/>
      <c r="BT55" s="188"/>
      <c r="BU55" s="188"/>
      <c r="BV55" s="188"/>
      <c r="BW55" s="188"/>
      <c r="BX55" s="188"/>
      <c r="BY55" s="188"/>
      <c r="BZ55" s="188"/>
      <c r="CA55" s="188"/>
      <c r="CB55" s="188"/>
      <c r="CC55" s="188"/>
      <c r="CD55" s="188"/>
      <c r="CE55" s="188"/>
      <c r="CF55" s="188"/>
      <c r="CG55" s="188"/>
      <c r="CH55" s="188"/>
      <c r="CI55" s="188"/>
      <c r="CJ55" s="188"/>
      <c r="CK55" s="188"/>
      <c r="CL55" s="188"/>
    </row>
    <row r="56" spans="1:90" s="191" customFormat="1" x14ac:dyDescent="0.25">
      <c r="A56" s="191" t="s">
        <v>38</v>
      </c>
      <c r="B56" s="188">
        <v>0</v>
      </c>
      <c r="C56" s="188">
        <v>0</v>
      </c>
      <c r="D56" s="188">
        <v>0</v>
      </c>
      <c r="E56" s="188">
        <v>0</v>
      </c>
      <c r="F56" s="188">
        <v>0</v>
      </c>
      <c r="G56" s="188">
        <v>0</v>
      </c>
      <c r="H56" s="188">
        <v>0</v>
      </c>
      <c r="I56" s="188">
        <v>0</v>
      </c>
      <c r="J56" s="188">
        <v>0</v>
      </c>
      <c r="K56" s="188">
        <v>0</v>
      </c>
      <c r="L56" s="188">
        <v>0</v>
      </c>
      <c r="M56" s="188">
        <v>0</v>
      </c>
      <c r="N56" s="188">
        <v>0</v>
      </c>
      <c r="O56" s="188">
        <v>0</v>
      </c>
      <c r="P56" s="188">
        <v>0</v>
      </c>
      <c r="Q56" s="188">
        <v>0</v>
      </c>
      <c r="R56" s="188"/>
      <c r="S56" s="188"/>
      <c r="T56" s="188"/>
      <c r="U56" s="188"/>
      <c r="V56" s="188"/>
      <c r="W56" s="188"/>
      <c r="X56" s="188"/>
      <c r="Y56" s="188"/>
      <c r="Z56" s="188"/>
      <c r="AA56" s="188"/>
      <c r="AB56" s="188"/>
      <c r="AC56" s="188"/>
      <c r="AD56" s="188"/>
      <c r="AE56" s="188"/>
      <c r="AF56" s="188"/>
      <c r="AG56" s="188"/>
      <c r="AH56" s="188"/>
      <c r="AI56" s="188"/>
      <c r="AJ56" s="188"/>
      <c r="AK56" s="188"/>
      <c r="AL56" s="188"/>
      <c r="AM56" s="188"/>
      <c r="AN56" s="188"/>
      <c r="AO56" s="188"/>
      <c r="AP56" s="188"/>
      <c r="AQ56" s="188"/>
      <c r="AR56" s="188"/>
      <c r="AS56" s="188"/>
      <c r="AT56" s="188"/>
      <c r="AU56" s="188"/>
      <c r="AV56" s="188"/>
      <c r="AW56" s="188"/>
      <c r="AX56" s="188"/>
      <c r="AY56" s="188"/>
      <c r="AZ56" s="188"/>
      <c r="BA56" s="188"/>
      <c r="BB56" s="188"/>
      <c r="BC56" s="188"/>
      <c r="BD56" s="188"/>
      <c r="BE56" s="188"/>
      <c r="BF56" s="188"/>
      <c r="BG56" s="188"/>
      <c r="BH56" s="188"/>
      <c r="BI56" s="188"/>
      <c r="BJ56" s="188"/>
      <c r="BK56" s="188"/>
      <c r="BL56" s="188"/>
      <c r="BM56" s="188"/>
      <c r="BN56" s="188"/>
      <c r="BO56" s="188"/>
      <c r="BP56" s="188"/>
      <c r="BQ56" s="188"/>
      <c r="BR56" s="188"/>
      <c r="BS56" s="188"/>
      <c r="BT56" s="188"/>
      <c r="BU56" s="188"/>
      <c r="BV56" s="188"/>
      <c r="BW56" s="188"/>
      <c r="BX56" s="188"/>
      <c r="BY56" s="188"/>
      <c r="BZ56" s="188"/>
      <c r="CA56" s="188"/>
      <c r="CB56" s="188"/>
      <c r="CC56" s="188"/>
      <c r="CD56" s="188"/>
      <c r="CE56" s="188"/>
      <c r="CF56" s="188"/>
      <c r="CG56" s="188"/>
      <c r="CH56" s="188"/>
      <c r="CI56" s="188"/>
      <c r="CJ56" s="188"/>
      <c r="CK56" s="188"/>
      <c r="CL56" s="188"/>
    </row>
    <row r="57" spans="1:90" s="191" customFormat="1" x14ac:dyDescent="0.25">
      <c r="A57" s="191" t="s">
        <v>39</v>
      </c>
      <c r="B57" s="188">
        <v>0</v>
      </c>
      <c r="C57" s="188">
        <v>0</v>
      </c>
      <c r="D57" s="188">
        <v>0</v>
      </c>
      <c r="E57" s="188">
        <v>0</v>
      </c>
      <c r="F57" s="188">
        <v>0</v>
      </c>
      <c r="G57" s="188">
        <v>0</v>
      </c>
      <c r="H57" s="188">
        <v>0</v>
      </c>
      <c r="I57" s="188">
        <v>0</v>
      </c>
      <c r="J57" s="188">
        <v>0</v>
      </c>
      <c r="K57" s="188">
        <v>0</v>
      </c>
      <c r="L57" s="188">
        <v>0</v>
      </c>
      <c r="M57" s="188">
        <v>0</v>
      </c>
      <c r="N57" s="188">
        <v>0</v>
      </c>
      <c r="O57" s="188">
        <v>0</v>
      </c>
      <c r="P57" s="188">
        <v>0</v>
      </c>
      <c r="Q57" s="188">
        <v>0</v>
      </c>
      <c r="R57" s="188"/>
      <c r="S57" s="188"/>
      <c r="T57" s="188"/>
      <c r="U57" s="188"/>
      <c r="V57" s="188"/>
      <c r="W57" s="188"/>
      <c r="X57" s="188"/>
      <c r="Y57" s="188"/>
      <c r="Z57" s="188"/>
      <c r="AA57" s="188"/>
      <c r="AB57" s="188"/>
      <c r="AC57" s="188"/>
      <c r="AD57" s="188"/>
      <c r="AE57" s="188"/>
      <c r="AF57" s="188"/>
      <c r="AG57" s="188"/>
      <c r="AH57" s="188"/>
      <c r="AI57" s="188"/>
      <c r="AJ57" s="188"/>
      <c r="AK57" s="188"/>
      <c r="AL57" s="188"/>
      <c r="AM57" s="188"/>
      <c r="AN57" s="188"/>
      <c r="AO57" s="188"/>
      <c r="AP57" s="188"/>
      <c r="AQ57" s="188"/>
      <c r="AR57" s="188"/>
      <c r="AS57" s="188"/>
      <c r="AT57" s="188"/>
      <c r="AU57" s="188"/>
      <c r="AV57" s="188"/>
      <c r="AW57" s="188"/>
      <c r="AX57" s="188"/>
      <c r="AY57" s="188"/>
      <c r="AZ57" s="188"/>
      <c r="BA57" s="188"/>
      <c r="BB57" s="188"/>
      <c r="BC57" s="188"/>
      <c r="BD57" s="188"/>
      <c r="BE57" s="188"/>
      <c r="BF57" s="188"/>
      <c r="BG57" s="188"/>
      <c r="BH57" s="188"/>
      <c r="BI57" s="188"/>
      <c r="BJ57" s="188"/>
      <c r="BK57" s="188"/>
      <c r="BL57" s="188"/>
      <c r="BM57" s="188"/>
      <c r="BN57" s="188"/>
      <c r="BO57" s="188"/>
      <c r="BP57" s="188"/>
      <c r="BQ57" s="188"/>
      <c r="BR57" s="188"/>
      <c r="BS57" s="188"/>
      <c r="BT57" s="188"/>
      <c r="BU57" s="188"/>
      <c r="BV57" s="188"/>
      <c r="BW57" s="188"/>
      <c r="BX57" s="188"/>
      <c r="BY57" s="188"/>
      <c r="BZ57" s="188"/>
      <c r="CA57" s="188"/>
      <c r="CB57" s="188"/>
      <c r="CC57" s="188"/>
      <c r="CD57" s="188"/>
      <c r="CE57" s="188"/>
      <c r="CF57" s="188"/>
      <c r="CG57" s="188"/>
      <c r="CH57" s="188"/>
      <c r="CI57" s="188"/>
      <c r="CJ57" s="188"/>
      <c r="CK57" s="188"/>
      <c r="CL57" s="188"/>
    </row>
    <row r="58" spans="1:90" s="191" customFormat="1" x14ac:dyDescent="0.25">
      <c r="A58" s="191" t="s">
        <v>40</v>
      </c>
      <c r="B58" s="188">
        <v>55534924.060000002</v>
      </c>
      <c r="C58" s="188">
        <v>55650916.25</v>
      </c>
      <c r="D58" s="188">
        <v>54909373.960000001</v>
      </c>
      <c r="E58" s="188">
        <v>55522117.740000002</v>
      </c>
      <c r="F58" s="188">
        <v>55376172.719999999</v>
      </c>
      <c r="G58" s="188">
        <v>55591959.420000002</v>
      </c>
      <c r="H58" s="188">
        <v>56545406.509999998</v>
      </c>
      <c r="I58" s="188">
        <v>56907484.909999996</v>
      </c>
      <c r="J58" s="188">
        <v>65440239.509999998</v>
      </c>
      <c r="K58" s="188">
        <v>66009379.030000001</v>
      </c>
      <c r="L58" s="188">
        <v>67270884.709999993</v>
      </c>
      <c r="M58" s="188">
        <v>66607493.780000001</v>
      </c>
      <c r="N58" s="188">
        <v>57043974.93</v>
      </c>
      <c r="O58" s="188">
        <v>11661119.57</v>
      </c>
      <c r="P58" s="188">
        <v>4352089.13</v>
      </c>
      <c r="Q58" s="188">
        <v>0</v>
      </c>
      <c r="R58" s="188"/>
      <c r="S58" s="188"/>
      <c r="T58" s="188"/>
      <c r="U58" s="188"/>
      <c r="V58" s="188"/>
      <c r="W58" s="188"/>
      <c r="X58" s="188"/>
      <c r="Y58" s="188"/>
      <c r="Z58" s="188"/>
      <c r="AA58" s="188"/>
      <c r="AB58" s="188"/>
      <c r="AC58" s="188"/>
      <c r="AD58" s="188"/>
      <c r="AE58" s="188"/>
      <c r="AF58" s="188"/>
      <c r="AG58" s="188"/>
      <c r="AH58" s="188"/>
      <c r="AI58" s="188"/>
      <c r="AJ58" s="188"/>
      <c r="AK58" s="188"/>
      <c r="AL58" s="188"/>
      <c r="AM58" s="188"/>
      <c r="AN58" s="188"/>
      <c r="AO58" s="188"/>
      <c r="AP58" s="188"/>
      <c r="AQ58" s="188"/>
      <c r="AR58" s="188"/>
      <c r="AS58" s="188"/>
      <c r="AT58" s="188"/>
      <c r="AU58" s="188"/>
      <c r="AV58" s="188"/>
      <c r="AW58" s="188"/>
      <c r="AX58" s="188"/>
      <c r="AY58" s="188"/>
      <c r="AZ58" s="188"/>
      <c r="BA58" s="188"/>
      <c r="BB58" s="188"/>
      <c r="BC58" s="188"/>
      <c r="BD58" s="188"/>
      <c r="BE58" s="188"/>
      <c r="BF58" s="188"/>
      <c r="BG58" s="188"/>
      <c r="BH58" s="188"/>
      <c r="BI58" s="188"/>
      <c r="BJ58" s="188"/>
      <c r="BK58" s="188"/>
      <c r="BL58" s="188"/>
      <c r="BM58" s="188"/>
      <c r="BN58" s="188"/>
      <c r="BO58" s="188"/>
      <c r="BP58" s="188"/>
      <c r="BQ58" s="188"/>
      <c r="BR58" s="188"/>
      <c r="BS58" s="188"/>
      <c r="BT58" s="188"/>
      <c r="BU58" s="188"/>
      <c r="BV58" s="188"/>
      <c r="BW58" s="188"/>
      <c r="BX58" s="188"/>
      <c r="BY58" s="188"/>
      <c r="BZ58" s="188"/>
      <c r="CA58" s="188"/>
      <c r="CB58" s="188"/>
      <c r="CC58" s="188"/>
      <c r="CD58" s="188"/>
      <c r="CE58" s="188"/>
      <c r="CF58" s="188"/>
      <c r="CG58" s="188"/>
      <c r="CH58" s="188"/>
      <c r="CI58" s="188"/>
      <c r="CJ58" s="188"/>
      <c r="CK58" s="188"/>
      <c r="CL58" s="188"/>
    </row>
    <row r="59" spans="1:90" s="191" customFormat="1" x14ac:dyDescent="0.25">
      <c r="A59" s="191" t="s">
        <v>41</v>
      </c>
      <c r="B59" s="188">
        <v>0</v>
      </c>
      <c r="C59" s="188">
        <v>0</v>
      </c>
      <c r="D59" s="188">
        <v>0</v>
      </c>
      <c r="E59" s="188">
        <v>0</v>
      </c>
      <c r="F59" s="188">
        <v>0</v>
      </c>
      <c r="G59" s="188">
        <v>0</v>
      </c>
      <c r="H59" s="188">
        <v>0</v>
      </c>
      <c r="I59" s="188">
        <v>0</v>
      </c>
      <c r="J59" s="188">
        <v>0</v>
      </c>
      <c r="K59" s="188">
        <v>0</v>
      </c>
      <c r="L59" s="188">
        <v>0</v>
      </c>
      <c r="M59" s="188">
        <v>0</v>
      </c>
      <c r="N59" s="188">
        <v>0</v>
      </c>
      <c r="O59" s="188">
        <v>0</v>
      </c>
      <c r="P59" s="188">
        <v>0</v>
      </c>
      <c r="Q59" s="188">
        <v>0</v>
      </c>
      <c r="R59" s="188"/>
      <c r="S59" s="188"/>
      <c r="T59" s="188"/>
      <c r="U59" s="188"/>
      <c r="V59" s="188"/>
      <c r="W59" s="188"/>
      <c r="X59" s="188"/>
      <c r="Y59" s="188"/>
      <c r="Z59" s="188"/>
      <c r="AA59" s="188"/>
      <c r="AB59" s="188"/>
      <c r="AC59" s="188"/>
      <c r="AD59" s="188"/>
      <c r="AE59" s="188"/>
      <c r="AF59" s="188"/>
      <c r="AG59" s="188"/>
      <c r="AH59" s="188"/>
      <c r="AI59" s="188"/>
      <c r="AJ59" s="188"/>
      <c r="AK59" s="188"/>
      <c r="AL59" s="188"/>
      <c r="AM59" s="188"/>
      <c r="AN59" s="188"/>
      <c r="AO59" s="188"/>
      <c r="AP59" s="188"/>
      <c r="AQ59" s="188"/>
      <c r="AR59" s="188"/>
      <c r="AS59" s="188"/>
      <c r="AT59" s="188"/>
      <c r="AU59" s="188"/>
      <c r="AV59" s="188"/>
      <c r="AW59" s="188"/>
      <c r="AX59" s="188"/>
      <c r="AY59" s="188"/>
      <c r="AZ59" s="188"/>
      <c r="BA59" s="188"/>
      <c r="BB59" s="188"/>
      <c r="BC59" s="188"/>
      <c r="BD59" s="188"/>
      <c r="BE59" s="188"/>
      <c r="BF59" s="188"/>
      <c r="BG59" s="188"/>
      <c r="BH59" s="188"/>
      <c r="BI59" s="188"/>
      <c r="BJ59" s="188"/>
      <c r="BK59" s="188"/>
      <c r="BL59" s="188"/>
      <c r="BM59" s="188"/>
      <c r="BN59" s="188"/>
      <c r="BO59" s="188"/>
      <c r="BP59" s="188"/>
      <c r="BQ59" s="188"/>
      <c r="BR59" s="188"/>
      <c r="BS59" s="188"/>
      <c r="BT59" s="188"/>
      <c r="BU59" s="188"/>
      <c r="BV59" s="188"/>
      <c r="BW59" s="188"/>
      <c r="BX59" s="188"/>
      <c r="BY59" s="188"/>
      <c r="BZ59" s="188"/>
      <c r="CA59" s="188"/>
      <c r="CB59" s="188"/>
      <c r="CC59" s="188"/>
      <c r="CD59" s="188"/>
      <c r="CE59" s="188"/>
      <c r="CF59" s="188"/>
      <c r="CG59" s="188"/>
      <c r="CH59" s="188"/>
      <c r="CI59" s="188"/>
      <c r="CJ59" s="188"/>
      <c r="CK59" s="188"/>
      <c r="CL59" s="188"/>
    </row>
    <row r="60" spans="1:90" s="191" customFormat="1" x14ac:dyDescent="0.25">
      <c r="A60" s="191" t="s">
        <v>42</v>
      </c>
      <c r="B60" s="188">
        <v>80234108.319999993</v>
      </c>
      <c r="C60" s="188">
        <v>80234108.319999993</v>
      </c>
      <c r="D60" s="188">
        <v>62947457.899999999</v>
      </c>
      <c r="E60" s="188">
        <v>62947457.899999999</v>
      </c>
      <c r="F60" s="188">
        <v>62947457.899999999</v>
      </c>
      <c r="G60" s="188">
        <v>62947457.899999999</v>
      </c>
      <c r="H60" s="188">
        <v>62947457.899999999</v>
      </c>
      <c r="I60" s="188">
        <v>62947457.899999999</v>
      </c>
      <c r="J60" s="188">
        <v>62947457.899999999</v>
      </c>
      <c r="K60" s="188">
        <v>62947457.899999999</v>
      </c>
      <c r="L60" s="188">
        <v>62947457.899999999</v>
      </c>
      <c r="M60" s="188">
        <v>62082734.619999997</v>
      </c>
      <c r="N60" s="188">
        <v>62082734.619999997</v>
      </c>
      <c r="O60" s="188">
        <v>62082734.619999997</v>
      </c>
      <c r="P60" s="188">
        <v>36083966.270000003</v>
      </c>
      <c r="Q60" s="188">
        <v>0</v>
      </c>
      <c r="R60" s="188"/>
      <c r="S60" s="188"/>
      <c r="T60" s="188"/>
      <c r="U60" s="188"/>
      <c r="V60" s="188"/>
      <c r="W60" s="188"/>
      <c r="X60" s="188"/>
      <c r="Y60" s="188"/>
      <c r="Z60" s="188"/>
      <c r="AA60" s="188"/>
      <c r="AB60" s="188"/>
      <c r="AC60" s="188"/>
      <c r="AD60" s="188"/>
      <c r="AE60" s="188"/>
      <c r="AF60" s="188"/>
      <c r="AG60" s="188"/>
      <c r="AH60" s="188"/>
      <c r="AI60" s="188"/>
      <c r="AJ60" s="188"/>
      <c r="AK60" s="188"/>
      <c r="AL60" s="188"/>
      <c r="AM60" s="188"/>
      <c r="AN60" s="188"/>
      <c r="AO60" s="188"/>
      <c r="AP60" s="188"/>
      <c r="AQ60" s="188"/>
      <c r="AR60" s="188"/>
      <c r="AS60" s="188"/>
      <c r="AT60" s="188"/>
      <c r="AU60" s="188"/>
      <c r="AV60" s="188"/>
      <c r="AW60" s="188"/>
      <c r="AX60" s="188"/>
      <c r="AY60" s="188"/>
      <c r="AZ60" s="188"/>
      <c r="BA60" s="188"/>
      <c r="BB60" s="188"/>
      <c r="BC60" s="188"/>
      <c r="BD60" s="188"/>
      <c r="BE60" s="188"/>
      <c r="BF60" s="188"/>
      <c r="BG60" s="188"/>
      <c r="BH60" s="188"/>
      <c r="BI60" s="188"/>
      <c r="BJ60" s="188"/>
      <c r="BK60" s="188"/>
      <c r="BL60" s="188"/>
      <c r="BM60" s="188"/>
      <c r="BN60" s="188"/>
      <c r="BO60" s="188"/>
      <c r="BP60" s="188"/>
      <c r="BQ60" s="188"/>
      <c r="BR60" s="188"/>
      <c r="BS60" s="188"/>
      <c r="BT60" s="188"/>
      <c r="BU60" s="188"/>
      <c r="BV60" s="188"/>
      <c r="BW60" s="188"/>
      <c r="BX60" s="188"/>
      <c r="BY60" s="188"/>
      <c r="BZ60" s="188"/>
      <c r="CA60" s="188"/>
      <c r="CB60" s="188"/>
      <c r="CC60" s="188"/>
      <c r="CD60" s="188"/>
      <c r="CE60" s="188"/>
      <c r="CF60" s="188"/>
      <c r="CG60" s="188"/>
      <c r="CH60" s="188"/>
      <c r="CI60" s="188"/>
      <c r="CJ60" s="188"/>
      <c r="CK60" s="188"/>
      <c r="CL60" s="188"/>
    </row>
    <row r="61" spans="1:90" s="191" customFormat="1" x14ac:dyDescent="0.25">
      <c r="A61" s="191" t="s">
        <v>43</v>
      </c>
      <c r="B61" s="188">
        <v>13467738.970000001</v>
      </c>
      <c r="C61" s="188">
        <v>14511415.01</v>
      </c>
      <c r="D61" s="188">
        <v>10827544.130000001</v>
      </c>
      <c r="E61" s="188">
        <v>10456250.720000001</v>
      </c>
      <c r="F61" s="188">
        <v>9860098.1400000006</v>
      </c>
      <c r="G61" s="188">
        <v>10678917.27</v>
      </c>
      <c r="H61" s="188">
        <v>11193269.960000001</v>
      </c>
      <c r="I61" s="188">
        <v>11742230.220000001</v>
      </c>
      <c r="J61" s="188">
        <v>12237893.699999999</v>
      </c>
      <c r="K61" s="188">
        <v>12478785.4</v>
      </c>
      <c r="L61" s="188">
        <v>12476028.9</v>
      </c>
      <c r="M61" s="188">
        <v>11175137.050000001</v>
      </c>
      <c r="N61" s="188">
        <v>9058705.0399999991</v>
      </c>
      <c r="O61" s="188">
        <v>7781969.0499999998</v>
      </c>
      <c r="P61" s="188">
        <v>5988595.79</v>
      </c>
      <c r="Q61" s="188">
        <v>0</v>
      </c>
      <c r="R61" s="188"/>
      <c r="S61" s="188"/>
      <c r="T61" s="188"/>
      <c r="U61" s="188"/>
      <c r="V61" s="188"/>
      <c r="W61" s="188"/>
      <c r="X61" s="188"/>
      <c r="Y61" s="188"/>
      <c r="Z61" s="188"/>
      <c r="AA61" s="188"/>
      <c r="AB61" s="188"/>
      <c r="AC61" s="188"/>
      <c r="AD61" s="188"/>
      <c r="AE61" s="188"/>
      <c r="AF61" s="188"/>
      <c r="AG61" s="188"/>
      <c r="AH61" s="188"/>
      <c r="AI61" s="188"/>
      <c r="AJ61" s="188"/>
      <c r="AK61" s="188"/>
      <c r="AL61" s="188"/>
      <c r="AM61" s="188"/>
      <c r="AN61" s="188"/>
      <c r="AO61" s="188"/>
      <c r="AP61" s="188"/>
      <c r="AQ61" s="188"/>
      <c r="AR61" s="188"/>
      <c r="AS61" s="188"/>
      <c r="AT61" s="188"/>
      <c r="AU61" s="188"/>
      <c r="AV61" s="188"/>
      <c r="AW61" s="188"/>
      <c r="AX61" s="188"/>
      <c r="AY61" s="188"/>
      <c r="AZ61" s="188"/>
      <c r="BA61" s="188"/>
      <c r="BB61" s="188"/>
      <c r="BC61" s="188"/>
      <c r="BD61" s="188"/>
      <c r="BE61" s="188"/>
      <c r="BF61" s="188"/>
      <c r="BG61" s="188"/>
      <c r="BH61" s="188"/>
      <c r="BI61" s="188"/>
      <c r="BJ61" s="188"/>
      <c r="BK61" s="188"/>
      <c r="BL61" s="188"/>
      <c r="BM61" s="188"/>
      <c r="BN61" s="188"/>
      <c r="BO61" s="188"/>
      <c r="BP61" s="188"/>
      <c r="BQ61" s="188"/>
      <c r="BR61" s="188"/>
      <c r="BS61" s="188"/>
      <c r="BT61" s="188"/>
      <c r="BU61" s="188"/>
      <c r="BV61" s="188"/>
      <c r="BW61" s="188"/>
      <c r="BX61" s="188"/>
      <c r="BY61" s="188"/>
      <c r="BZ61" s="188"/>
      <c r="CA61" s="188"/>
      <c r="CB61" s="188"/>
      <c r="CC61" s="188"/>
      <c r="CD61" s="188"/>
      <c r="CE61" s="188"/>
      <c r="CF61" s="188"/>
      <c r="CG61" s="188"/>
      <c r="CH61" s="188"/>
      <c r="CI61" s="188"/>
      <c r="CJ61" s="188"/>
      <c r="CK61" s="188"/>
      <c r="CL61" s="188"/>
    </row>
    <row r="62" spans="1:90" s="191" customFormat="1" x14ac:dyDescent="0.25">
      <c r="A62" s="191" t="s">
        <v>44</v>
      </c>
      <c r="B62" s="188">
        <v>2718847.41</v>
      </c>
      <c r="C62" s="188">
        <v>2565909.73</v>
      </c>
      <c r="D62" s="188">
        <v>2013329.79</v>
      </c>
      <c r="E62" s="188">
        <v>1877052.63</v>
      </c>
      <c r="F62" s="188">
        <v>2031495.54</v>
      </c>
      <c r="G62" s="188">
        <v>1778307.05</v>
      </c>
      <c r="H62" s="188">
        <v>1450899.23</v>
      </c>
      <c r="I62" s="188">
        <v>1408832.95</v>
      </c>
      <c r="J62" s="188">
        <v>1482090.76</v>
      </c>
      <c r="K62" s="188">
        <v>1450020.73</v>
      </c>
      <c r="L62" s="188">
        <v>1073849.6200000001</v>
      </c>
      <c r="M62" s="188">
        <v>791035.71</v>
      </c>
      <c r="N62" s="188">
        <v>1005507.12</v>
      </c>
      <c r="O62" s="188">
        <v>739346.13</v>
      </c>
      <c r="P62" s="188">
        <v>489181.34</v>
      </c>
      <c r="Q62" s="188">
        <v>0</v>
      </c>
      <c r="R62" s="188"/>
      <c r="S62" s="188"/>
      <c r="T62" s="188"/>
      <c r="U62" s="188"/>
      <c r="V62" s="188"/>
      <c r="W62" s="188"/>
      <c r="X62" s="188"/>
      <c r="Y62" s="188"/>
      <c r="Z62" s="188"/>
      <c r="AA62" s="188"/>
      <c r="AB62" s="188"/>
      <c r="AC62" s="188"/>
      <c r="AD62" s="188"/>
      <c r="AE62" s="188"/>
      <c r="AF62" s="188"/>
      <c r="AG62" s="188"/>
      <c r="AH62" s="188"/>
      <c r="AI62" s="188"/>
      <c r="AJ62" s="188"/>
      <c r="AK62" s="188"/>
      <c r="AL62" s="188"/>
      <c r="AM62" s="188"/>
      <c r="AN62" s="188"/>
      <c r="AO62" s="188"/>
      <c r="AP62" s="188"/>
      <c r="AQ62" s="188"/>
      <c r="AR62" s="188"/>
      <c r="AS62" s="188"/>
      <c r="AT62" s="188"/>
      <c r="AU62" s="188"/>
      <c r="AV62" s="188"/>
      <c r="AW62" s="188"/>
      <c r="AX62" s="188"/>
      <c r="AY62" s="188"/>
      <c r="AZ62" s="188"/>
      <c r="BA62" s="188"/>
      <c r="BB62" s="188"/>
      <c r="BC62" s="188"/>
      <c r="BD62" s="188"/>
      <c r="BE62" s="188"/>
      <c r="BF62" s="188"/>
      <c r="BG62" s="188"/>
      <c r="BH62" s="188"/>
      <c r="BI62" s="188"/>
      <c r="BJ62" s="188"/>
      <c r="BK62" s="188"/>
      <c r="BL62" s="188"/>
      <c r="BM62" s="188"/>
      <c r="BN62" s="188"/>
      <c r="BO62" s="188"/>
      <c r="BP62" s="188"/>
      <c r="BQ62" s="188"/>
      <c r="BR62" s="188"/>
      <c r="BS62" s="188"/>
      <c r="BT62" s="188"/>
      <c r="BU62" s="188"/>
      <c r="BV62" s="188"/>
      <c r="BW62" s="188"/>
      <c r="BX62" s="188"/>
      <c r="BY62" s="188"/>
      <c r="BZ62" s="188"/>
      <c r="CA62" s="188"/>
      <c r="CB62" s="188"/>
      <c r="CC62" s="188"/>
      <c r="CD62" s="188"/>
      <c r="CE62" s="188"/>
      <c r="CF62" s="188"/>
      <c r="CG62" s="188"/>
      <c r="CH62" s="188"/>
      <c r="CI62" s="188"/>
      <c r="CJ62" s="188"/>
      <c r="CK62" s="188"/>
      <c r="CL62" s="188"/>
    </row>
    <row r="63" spans="1:90" s="191" customFormat="1" x14ac:dyDescent="0.25">
      <c r="A63" s="191" t="s">
        <v>45</v>
      </c>
      <c r="B63" s="188">
        <v>872618.03</v>
      </c>
      <c r="C63" s="188">
        <v>928017.97</v>
      </c>
      <c r="D63" s="188">
        <v>856873.5</v>
      </c>
      <c r="E63" s="188">
        <v>1020981.59</v>
      </c>
      <c r="F63" s="188">
        <v>1072764.8600000001</v>
      </c>
      <c r="G63" s="188">
        <v>1124560.6299999999</v>
      </c>
      <c r="H63" s="188">
        <v>1176343.8799999999</v>
      </c>
      <c r="I63" s="188">
        <v>1230573.3600000001</v>
      </c>
      <c r="J63" s="188">
        <v>1285465.9099999999</v>
      </c>
      <c r="K63" s="188">
        <v>1340333.4099999999</v>
      </c>
      <c r="L63" s="188">
        <v>1368236.73</v>
      </c>
      <c r="M63" s="188">
        <v>1258206.33</v>
      </c>
      <c r="N63" s="188">
        <v>2480097.21</v>
      </c>
      <c r="O63" s="188">
        <v>2886258.44</v>
      </c>
      <c r="P63" s="188">
        <v>720272.11</v>
      </c>
      <c r="Q63" s="188">
        <v>0</v>
      </c>
      <c r="R63" s="188"/>
      <c r="S63" s="188"/>
      <c r="T63" s="188"/>
      <c r="U63" s="188"/>
      <c r="V63" s="188"/>
      <c r="W63" s="188"/>
      <c r="X63" s="188"/>
      <c r="Y63" s="188"/>
      <c r="Z63" s="188"/>
      <c r="AA63" s="188"/>
      <c r="AB63" s="188"/>
      <c r="AC63" s="188"/>
      <c r="AD63" s="188"/>
      <c r="AE63" s="188"/>
      <c r="AF63" s="188"/>
      <c r="AG63" s="188"/>
      <c r="AH63" s="188"/>
      <c r="AI63" s="188"/>
      <c r="AJ63" s="188"/>
      <c r="AK63" s="188"/>
      <c r="AL63" s="188"/>
      <c r="AM63" s="188"/>
      <c r="AN63" s="188"/>
      <c r="AO63" s="188"/>
      <c r="AP63" s="188"/>
      <c r="AQ63" s="188"/>
      <c r="AR63" s="188"/>
      <c r="AS63" s="188"/>
      <c r="AT63" s="188"/>
      <c r="AU63" s="188"/>
      <c r="AV63" s="188"/>
      <c r="AW63" s="188"/>
      <c r="AX63" s="188"/>
      <c r="AY63" s="188"/>
      <c r="AZ63" s="188"/>
      <c r="BA63" s="188"/>
      <c r="BB63" s="188"/>
      <c r="BC63" s="188"/>
      <c r="BD63" s="188"/>
      <c r="BE63" s="188"/>
      <c r="BF63" s="188"/>
      <c r="BG63" s="188"/>
      <c r="BH63" s="188"/>
      <c r="BI63" s="188"/>
      <c r="BJ63" s="188"/>
      <c r="BK63" s="188"/>
      <c r="BL63" s="188"/>
      <c r="BM63" s="188"/>
      <c r="BN63" s="188"/>
      <c r="BO63" s="188"/>
      <c r="BP63" s="188"/>
      <c r="BQ63" s="188"/>
      <c r="BR63" s="188"/>
      <c r="BS63" s="188"/>
      <c r="BT63" s="188"/>
      <c r="BU63" s="188"/>
      <c r="BV63" s="188"/>
      <c r="BW63" s="188"/>
      <c r="BX63" s="188"/>
      <c r="BY63" s="188"/>
      <c r="BZ63" s="188"/>
      <c r="CA63" s="188"/>
      <c r="CB63" s="188"/>
      <c r="CC63" s="188"/>
      <c r="CD63" s="188"/>
      <c r="CE63" s="188"/>
      <c r="CF63" s="188"/>
      <c r="CG63" s="188"/>
      <c r="CH63" s="188"/>
      <c r="CI63" s="188"/>
      <c r="CJ63" s="188"/>
      <c r="CK63" s="188"/>
      <c r="CL63" s="188"/>
    </row>
    <row r="64" spans="1:90" s="191" customFormat="1" x14ac:dyDescent="0.25">
      <c r="A64" s="191" t="s">
        <v>46</v>
      </c>
      <c r="B64" s="188">
        <v>12730000</v>
      </c>
      <c r="C64" s="188">
        <v>12730000</v>
      </c>
      <c r="D64" s="188">
        <v>12730000</v>
      </c>
      <c r="E64" s="188">
        <v>12730000</v>
      </c>
      <c r="F64" s="188">
        <v>0</v>
      </c>
      <c r="G64" s="188">
        <v>0</v>
      </c>
      <c r="H64" s="188">
        <v>0</v>
      </c>
      <c r="I64" s="188">
        <v>0</v>
      </c>
      <c r="J64" s="188">
        <v>0</v>
      </c>
      <c r="K64" s="188">
        <v>0</v>
      </c>
      <c r="L64" s="188">
        <v>0</v>
      </c>
      <c r="M64" s="188">
        <v>0</v>
      </c>
      <c r="N64" s="188">
        <v>0</v>
      </c>
      <c r="O64" s="188">
        <v>0</v>
      </c>
      <c r="P64" s="188">
        <v>0</v>
      </c>
      <c r="Q64" s="188">
        <v>0</v>
      </c>
      <c r="R64" s="188"/>
      <c r="S64" s="188"/>
      <c r="T64" s="188"/>
      <c r="U64" s="188"/>
      <c r="V64" s="188"/>
      <c r="W64" s="188"/>
      <c r="X64" s="188"/>
      <c r="Y64" s="188"/>
      <c r="Z64" s="188"/>
      <c r="AA64" s="188"/>
      <c r="AB64" s="188"/>
      <c r="AC64" s="188"/>
      <c r="AD64" s="188"/>
      <c r="AE64" s="188"/>
      <c r="AF64" s="188"/>
      <c r="AG64" s="188"/>
      <c r="AH64" s="188"/>
      <c r="AI64" s="188"/>
      <c r="AJ64" s="188"/>
      <c r="AK64" s="188"/>
      <c r="AL64" s="188"/>
      <c r="AM64" s="188"/>
      <c r="AN64" s="188"/>
      <c r="AO64" s="188"/>
      <c r="AP64" s="188"/>
      <c r="AQ64" s="188"/>
      <c r="AR64" s="188"/>
      <c r="AS64" s="188"/>
      <c r="AT64" s="188"/>
      <c r="AU64" s="188"/>
      <c r="AV64" s="188"/>
      <c r="AW64" s="188"/>
      <c r="AX64" s="188"/>
      <c r="AY64" s="188"/>
      <c r="AZ64" s="188"/>
      <c r="BA64" s="188"/>
      <c r="BB64" s="188"/>
      <c r="BC64" s="188"/>
      <c r="BD64" s="188"/>
      <c r="BE64" s="188"/>
      <c r="BF64" s="188"/>
      <c r="BG64" s="188"/>
      <c r="BH64" s="188"/>
      <c r="BI64" s="188"/>
      <c r="BJ64" s="188"/>
      <c r="BK64" s="188"/>
      <c r="BL64" s="188"/>
      <c r="BM64" s="188"/>
      <c r="BN64" s="188"/>
      <c r="BO64" s="188"/>
      <c r="BP64" s="188"/>
      <c r="BQ64" s="188"/>
      <c r="BR64" s="188"/>
      <c r="BS64" s="188"/>
      <c r="BT64" s="188"/>
      <c r="BU64" s="188"/>
      <c r="BV64" s="188"/>
      <c r="BW64" s="188"/>
      <c r="BX64" s="188"/>
      <c r="BY64" s="188"/>
      <c r="BZ64" s="188"/>
      <c r="CA64" s="188"/>
      <c r="CB64" s="188"/>
      <c r="CC64" s="188"/>
      <c r="CD64" s="188"/>
      <c r="CE64" s="188"/>
      <c r="CF64" s="188"/>
      <c r="CG64" s="188"/>
      <c r="CH64" s="188"/>
      <c r="CI64" s="188"/>
      <c r="CJ64" s="188"/>
      <c r="CK64" s="188"/>
      <c r="CL64" s="188"/>
    </row>
    <row r="65" spans="1:90" hidden="1" x14ac:dyDescent="0.25">
      <c r="B65" s="26"/>
      <c r="C65" s="26"/>
      <c r="D65" s="26"/>
      <c r="E65" s="26"/>
      <c r="F65" s="26"/>
      <c r="G65" s="26"/>
      <c r="H65" s="26"/>
      <c r="I65" s="26"/>
      <c r="J65" s="26"/>
      <c r="K65" s="26"/>
      <c r="L65" s="23"/>
    </row>
    <row r="66" spans="1:90" hidden="1" x14ac:dyDescent="0.25">
      <c r="B66" s="26"/>
      <c r="C66" s="26"/>
      <c r="D66" s="26"/>
      <c r="E66" s="26"/>
      <c r="F66" s="26"/>
      <c r="G66" s="26"/>
      <c r="H66" s="26"/>
      <c r="I66" s="26"/>
      <c r="J66" s="26"/>
      <c r="K66" s="26"/>
      <c r="L66" s="23"/>
    </row>
    <row r="67" spans="1:90" hidden="1" x14ac:dyDescent="0.25">
      <c r="B67" s="26"/>
      <c r="C67" s="26"/>
      <c r="D67" s="26"/>
      <c r="E67" s="26"/>
      <c r="F67" s="26"/>
      <c r="G67" s="26"/>
      <c r="H67" s="26"/>
      <c r="I67" s="26"/>
      <c r="J67" s="26"/>
      <c r="K67" s="26"/>
      <c r="L67" s="23"/>
    </row>
    <row r="68" spans="1:90" s="12" customFormat="1" x14ac:dyDescent="0.25">
      <c r="A68" s="124" t="s">
        <v>47</v>
      </c>
      <c r="B68" s="36">
        <f>SUM(B52:B64)-2*B63</f>
        <v>596655491.2700001</v>
      </c>
      <c r="C68" s="36">
        <f t="shared" ref="C68:BN68" si="8">SUM(C52:C64)-2*C63</f>
        <v>572752385.14999998</v>
      </c>
      <c r="D68" s="36">
        <f t="shared" si="8"/>
        <v>521701223.26999998</v>
      </c>
      <c r="E68" s="36">
        <f t="shared" si="8"/>
        <v>510192738.41999996</v>
      </c>
      <c r="F68" s="36">
        <f t="shared" si="8"/>
        <v>466628191.19</v>
      </c>
      <c r="G68" s="36">
        <f t="shared" si="8"/>
        <v>460689590.17999995</v>
      </c>
      <c r="H68" s="36">
        <f t="shared" si="8"/>
        <v>456027228.91999996</v>
      </c>
      <c r="I68" s="36">
        <f t="shared" si="8"/>
        <v>445835844.24999994</v>
      </c>
      <c r="J68" s="36">
        <f t="shared" si="8"/>
        <v>438494729.19999999</v>
      </c>
      <c r="K68" s="36">
        <f t="shared" si="8"/>
        <v>438388144.12</v>
      </c>
      <c r="L68" s="36">
        <f t="shared" si="8"/>
        <v>430710674</v>
      </c>
      <c r="M68" s="36">
        <f t="shared" si="8"/>
        <v>409619889.18999994</v>
      </c>
      <c r="N68" s="36">
        <f t="shared" si="8"/>
        <v>399236290.46000004</v>
      </c>
      <c r="O68" s="36">
        <f t="shared" si="8"/>
        <v>180021943.97000003</v>
      </c>
      <c r="P68" s="36">
        <f t="shared" si="8"/>
        <v>130281770.53</v>
      </c>
      <c r="Q68" s="36">
        <f t="shared" si="8"/>
        <v>0</v>
      </c>
      <c r="R68" s="36">
        <f t="shared" si="8"/>
        <v>0</v>
      </c>
      <c r="S68" s="36">
        <f t="shared" si="8"/>
        <v>0</v>
      </c>
      <c r="T68" s="36">
        <f t="shared" si="8"/>
        <v>0</v>
      </c>
      <c r="U68" s="36">
        <f t="shared" si="8"/>
        <v>0</v>
      </c>
      <c r="V68" s="36">
        <f t="shared" si="8"/>
        <v>0</v>
      </c>
      <c r="W68" s="36">
        <f t="shared" si="8"/>
        <v>0</v>
      </c>
      <c r="X68" s="36">
        <f t="shared" si="8"/>
        <v>0</v>
      </c>
      <c r="Y68" s="36">
        <f t="shared" si="8"/>
        <v>0</v>
      </c>
      <c r="Z68" s="36">
        <f t="shared" si="8"/>
        <v>0</v>
      </c>
      <c r="AA68" s="36">
        <f t="shared" si="8"/>
        <v>0</v>
      </c>
      <c r="AB68" s="36">
        <f t="shared" si="8"/>
        <v>0</v>
      </c>
      <c r="AC68" s="36">
        <f t="shared" si="8"/>
        <v>0</v>
      </c>
      <c r="AD68" s="36">
        <f t="shared" si="8"/>
        <v>0</v>
      </c>
      <c r="AE68" s="36">
        <f t="shared" si="8"/>
        <v>0</v>
      </c>
      <c r="AF68" s="36">
        <f t="shared" si="8"/>
        <v>0</v>
      </c>
      <c r="AG68" s="36">
        <f t="shared" si="8"/>
        <v>0</v>
      </c>
      <c r="AH68" s="36">
        <f t="shared" si="8"/>
        <v>0</v>
      </c>
      <c r="AI68" s="36">
        <f t="shared" si="8"/>
        <v>0</v>
      </c>
      <c r="AJ68" s="36">
        <f t="shared" si="8"/>
        <v>0</v>
      </c>
      <c r="AK68" s="36">
        <f t="shared" si="8"/>
        <v>0</v>
      </c>
      <c r="AL68" s="36">
        <f t="shared" si="8"/>
        <v>0</v>
      </c>
      <c r="AM68" s="36">
        <f t="shared" si="8"/>
        <v>0</v>
      </c>
      <c r="AN68" s="36">
        <f t="shared" si="8"/>
        <v>0</v>
      </c>
      <c r="AO68" s="36">
        <f t="shared" si="8"/>
        <v>0</v>
      </c>
      <c r="AP68" s="36">
        <f t="shared" si="8"/>
        <v>0</v>
      </c>
      <c r="AQ68" s="36">
        <f t="shared" si="8"/>
        <v>0</v>
      </c>
      <c r="AR68" s="36">
        <f t="shared" si="8"/>
        <v>0</v>
      </c>
      <c r="AS68" s="36">
        <f t="shared" si="8"/>
        <v>0</v>
      </c>
      <c r="AT68" s="36">
        <f t="shared" si="8"/>
        <v>0</v>
      </c>
      <c r="AU68" s="36">
        <f t="shared" si="8"/>
        <v>0</v>
      </c>
      <c r="AV68" s="36">
        <f t="shared" si="8"/>
        <v>0</v>
      </c>
      <c r="AW68" s="36">
        <f t="shared" si="8"/>
        <v>0</v>
      </c>
      <c r="AX68" s="36">
        <f t="shared" si="8"/>
        <v>0</v>
      </c>
      <c r="AY68" s="36">
        <f t="shared" si="8"/>
        <v>0</v>
      </c>
      <c r="AZ68" s="36">
        <f t="shared" si="8"/>
        <v>0</v>
      </c>
      <c r="BA68" s="36">
        <f t="shared" si="8"/>
        <v>0</v>
      </c>
      <c r="BB68" s="36">
        <f t="shared" si="8"/>
        <v>0</v>
      </c>
      <c r="BC68" s="36">
        <f t="shared" si="8"/>
        <v>0</v>
      </c>
      <c r="BD68" s="36">
        <f t="shared" si="8"/>
        <v>0</v>
      </c>
      <c r="BE68" s="36">
        <f t="shared" si="8"/>
        <v>0</v>
      </c>
      <c r="BF68" s="36">
        <f t="shared" si="8"/>
        <v>0</v>
      </c>
      <c r="BG68" s="36">
        <f t="shared" si="8"/>
        <v>0</v>
      </c>
      <c r="BH68" s="36">
        <f t="shared" si="8"/>
        <v>0</v>
      </c>
      <c r="BI68" s="36">
        <f t="shared" si="8"/>
        <v>0</v>
      </c>
      <c r="BJ68" s="36">
        <f t="shared" si="8"/>
        <v>0</v>
      </c>
      <c r="BK68" s="36">
        <f t="shared" si="8"/>
        <v>0</v>
      </c>
      <c r="BL68" s="36">
        <f t="shared" si="8"/>
        <v>0</v>
      </c>
      <c r="BM68" s="36">
        <f t="shared" si="8"/>
        <v>0</v>
      </c>
      <c r="BN68" s="36">
        <f t="shared" si="8"/>
        <v>0</v>
      </c>
      <c r="BO68" s="36">
        <f t="shared" ref="BO68:CK68" si="9">SUM(BO52:BO64)-2*BO63</f>
        <v>0</v>
      </c>
      <c r="BP68" s="36">
        <f t="shared" si="9"/>
        <v>0</v>
      </c>
      <c r="BQ68" s="36">
        <f t="shared" si="9"/>
        <v>0</v>
      </c>
      <c r="BR68" s="36">
        <f t="shared" si="9"/>
        <v>0</v>
      </c>
      <c r="BS68" s="36">
        <f t="shared" si="9"/>
        <v>0</v>
      </c>
      <c r="BT68" s="36">
        <f t="shared" si="9"/>
        <v>0</v>
      </c>
      <c r="BU68" s="36">
        <f t="shared" si="9"/>
        <v>0</v>
      </c>
      <c r="BV68" s="36">
        <f t="shared" si="9"/>
        <v>0</v>
      </c>
      <c r="BW68" s="36">
        <f t="shared" si="9"/>
        <v>0</v>
      </c>
      <c r="BX68" s="36">
        <f t="shared" si="9"/>
        <v>0</v>
      </c>
      <c r="BY68" s="36">
        <f t="shared" si="9"/>
        <v>0</v>
      </c>
      <c r="BZ68" s="36">
        <f t="shared" si="9"/>
        <v>0</v>
      </c>
      <c r="CA68" s="36">
        <f t="shared" si="9"/>
        <v>0</v>
      </c>
      <c r="CB68" s="36">
        <f t="shared" si="9"/>
        <v>0</v>
      </c>
      <c r="CC68" s="36">
        <f t="shared" si="9"/>
        <v>0</v>
      </c>
      <c r="CD68" s="36">
        <f t="shared" si="9"/>
        <v>0</v>
      </c>
      <c r="CE68" s="36">
        <f t="shared" si="9"/>
        <v>0</v>
      </c>
      <c r="CF68" s="36">
        <f t="shared" si="9"/>
        <v>0</v>
      </c>
      <c r="CG68" s="36">
        <f t="shared" si="9"/>
        <v>0</v>
      </c>
      <c r="CH68" s="36">
        <f t="shared" si="9"/>
        <v>0</v>
      </c>
      <c r="CI68" s="36">
        <f t="shared" si="9"/>
        <v>0</v>
      </c>
      <c r="CJ68" s="36">
        <f t="shared" si="9"/>
        <v>0</v>
      </c>
      <c r="CK68" s="36">
        <f t="shared" si="9"/>
        <v>0</v>
      </c>
    </row>
    <row r="69" spans="1:90" s="5" customFormat="1" x14ac:dyDescent="0.25">
      <c r="A69" s="125" t="s">
        <v>48</v>
      </c>
      <c r="B69" s="33">
        <f>B50+B68</f>
        <v>979404200.46000016</v>
      </c>
      <c r="C69" s="33">
        <f t="shared" ref="C69:BN69" si="10">C50+C68</f>
        <v>878435631.90999997</v>
      </c>
      <c r="D69" s="33">
        <f t="shared" si="10"/>
        <v>878893924.60000002</v>
      </c>
      <c r="E69" s="33">
        <f t="shared" si="10"/>
        <v>702164235.43999994</v>
      </c>
      <c r="F69" s="33">
        <f t="shared" si="10"/>
        <v>781586907.52999997</v>
      </c>
      <c r="G69" s="33">
        <f t="shared" si="10"/>
        <v>640632225.54999995</v>
      </c>
      <c r="H69" s="33">
        <f t="shared" si="10"/>
        <v>502980738.4799999</v>
      </c>
      <c r="I69" s="33">
        <f t="shared" si="10"/>
        <v>619996063.93999994</v>
      </c>
      <c r="J69" s="33">
        <f t="shared" si="10"/>
        <v>384251723.55999994</v>
      </c>
      <c r="K69" s="33">
        <f t="shared" si="10"/>
        <v>386306516.14999998</v>
      </c>
      <c r="L69" s="33">
        <f t="shared" si="10"/>
        <v>364766595.25</v>
      </c>
      <c r="M69" s="33">
        <f t="shared" si="10"/>
        <v>369028479.01999992</v>
      </c>
      <c r="N69" s="33">
        <f t="shared" si="10"/>
        <v>375130690.38000005</v>
      </c>
      <c r="O69" s="33">
        <f t="shared" si="10"/>
        <v>197308563.13000005</v>
      </c>
      <c r="P69" s="33">
        <f t="shared" si="10"/>
        <v>129888213.55</v>
      </c>
      <c r="Q69" s="33">
        <f t="shared" si="10"/>
        <v>0</v>
      </c>
      <c r="R69" s="33">
        <f t="shared" si="10"/>
        <v>0</v>
      </c>
      <c r="S69" s="33">
        <f t="shared" si="10"/>
        <v>0</v>
      </c>
      <c r="T69" s="33">
        <f t="shared" si="10"/>
        <v>0</v>
      </c>
      <c r="U69" s="33">
        <f t="shared" si="10"/>
        <v>0</v>
      </c>
      <c r="V69" s="33">
        <f t="shared" si="10"/>
        <v>0</v>
      </c>
      <c r="W69" s="33">
        <f t="shared" si="10"/>
        <v>0</v>
      </c>
      <c r="X69" s="33">
        <f t="shared" si="10"/>
        <v>0</v>
      </c>
      <c r="Y69" s="33">
        <f t="shared" si="10"/>
        <v>0</v>
      </c>
      <c r="Z69" s="33">
        <f t="shared" si="10"/>
        <v>0</v>
      </c>
      <c r="AA69" s="33">
        <f t="shared" si="10"/>
        <v>0</v>
      </c>
      <c r="AB69" s="33">
        <f t="shared" si="10"/>
        <v>0</v>
      </c>
      <c r="AC69" s="33">
        <f t="shared" si="10"/>
        <v>0</v>
      </c>
      <c r="AD69" s="33">
        <f t="shared" si="10"/>
        <v>0</v>
      </c>
      <c r="AE69" s="33">
        <f t="shared" si="10"/>
        <v>0</v>
      </c>
      <c r="AF69" s="33">
        <f t="shared" si="10"/>
        <v>0</v>
      </c>
      <c r="AG69" s="33">
        <f t="shared" si="10"/>
        <v>0</v>
      </c>
      <c r="AH69" s="33">
        <f t="shared" si="10"/>
        <v>0</v>
      </c>
      <c r="AI69" s="33">
        <f t="shared" si="10"/>
        <v>0</v>
      </c>
      <c r="AJ69" s="33">
        <f t="shared" si="10"/>
        <v>0</v>
      </c>
      <c r="AK69" s="33">
        <f t="shared" si="10"/>
        <v>0</v>
      </c>
      <c r="AL69" s="33">
        <f t="shared" si="10"/>
        <v>0</v>
      </c>
      <c r="AM69" s="33">
        <f t="shared" si="10"/>
        <v>0</v>
      </c>
      <c r="AN69" s="33">
        <f t="shared" si="10"/>
        <v>0</v>
      </c>
      <c r="AO69" s="33">
        <f t="shared" si="10"/>
        <v>0</v>
      </c>
      <c r="AP69" s="33">
        <f t="shared" si="10"/>
        <v>0</v>
      </c>
      <c r="AQ69" s="33">
        <f t="shared" si="10"/>
        <v>0</v>
      </c>
      <c r="AR69" s="33">
        <f t="shared" si="10"/>
        <v>0</v>
      </c>
      <c r="AS69" s="33">
        <f t="shared" si="10"/>
        <v>0</v>
      </c>
      <c r="AT69" s="33">
        <f t="shared" si="10"/>
        <v>0</v>
      </c>
      <c r="AU69" s="33">
        <f t="shared" si="10"/>
        <v>0</v>
      </c>
      <c r="AV69" s="33">
        <f t="shared" si="10"/>
        <v>0</v>
      </c>
      <c r="AW69" s="33">
        <f t="shared" si="10"/>
        <v>0</v>
      </c>
      <c r="AX69" s="33">
        <f t="shared" si="10"/>
        <v>0</v>
      </c>
      <c r="AY69" s="33">
        <f t="shared" si="10"/>
        <v>0</v>
      </c>
      <c r="AZ69" s="33">
        <f t="shared" si="10"/>
        <v>0</v>
      </c>
      <c r="BA69" s="33">
        <f t="shared" si="10"/>
        <v>0</v>
      </c>
      <c r="BB69" s="33">
        <f t="shared" si="10"/>
        <v>0</v>
      </c>
      <c r="BC69" s="33">
        <f t="shared" si="10"/>
        <v>0</v>
      </c>
      <c r="BD69" s="33">
        <f t="shared" si="10"/>
        <v>0</v>
      </c>
      <c r="BE69" s="33">
        <f t="shared" si="10"/>
        <v>0</v>
      </c>
      <c r="BF69" s="33">
        <f t="shared" si="10"/>
        <v>0</v>
      </c>
      <c r="BG69" s="33">
        <f t="shared" si="10"/>
        <v>0</v>
      </c>
      <c r="BH69" s="33">
        <f t="shared" si="10"/>
        <v>0</v>
      </c>
      <c r="BI69" s="33">
        <f t="shared" si="10"/>
        <v>0</v>
      </c>
      <c r="BJ69" s="33">
        <f t="shared" si="10"/>
        <v>0</v>
      </c>
      <c r="BK69" s="33">
        <f t="shared" si="10"/>
        <v>0</v>
      </c>
      <c r="BL69" s="33">
        <f t="shared" si="10"/>
        <v>0</v>
      </c>
      <c r="BM69" s="33">
        <f t="shared" si="10"/>
        <v>0</v>
      </c>
      <c r="BN69" s="33">
        <f t="shared" si="10"/>
        <v>0</v>
      </c>
      <c r="BO69" s="33">
        <f t="shared" ref="BO69:CL69" si="11">BO50+BO68</f>
        <v>0</v>
      </c>
      <c r="BP69" s="33">
        <f t="shared" si="11"/>
        <v>0</v>
      </c>
      <c r="BQ69" s="33">
        <f t="shared" si="11"/>
        <v>0</v>
      </c>
      <c r="BR69" s="33">
        <f t="shared" si="11"/>
        <v>0</v>
      </c>
      <c r="BS69" s="33">
        <f t="shared" si="11"/>
        <v>0</v>
      </c>
      <c r="BT69" s="33">
        <f t="shared" si="11"/>
        <v>0</v>
      </c>
      <c r="BU69" s="33">
        <f t="shared" si="11"/>
        <v>0</v>
      </c>
      <c r="BV69" s="33">
        <f t="shared" si="11"/>
        <v>0</v>
      </c>
      <c r="BW69" s="33">
        <f t="shared" si="11"/>
        <v>0</v>
      </c>
      <c r="BX69" s="33">
        <f t="shared" si="11"/>
        <v>0</v>
      </c>
      <c r="BY69" s="33">
        <f t="shared" si="11"/>
        <v>0</v>
      </c>
      <c r="BZ69" s="33">
        <f t="shared" si="11"/>
        <v>0</v>
      </c>
      <c r="CA69" s="33">
        <f t="shared" si="11"/>
        <v>0</v>
      </c>
      <c r="CB69" s="33">
        <f t="shared" si="11"/>
        <v>0</v>
      </c>
      <c r="CC69" s="33">
        <f t="shared" si="11"/>
        <v>0</v>
      </c>
      <c r="CD69" s="33">
        <f t="shared" si="11"/>
        <v>0</v>
      </c>
      <c r="CE69" s="33">
        <f t="shared" si="11"/>
        <v>0</v>
      </c>
      <c r="CF69" s="33">
        <f t="shared" si="11"/>
        <v>0</v>
      </c>
      <c r="CG69" s="33">
        <f t="shared" si="11"/>
        <v>0</v>
      </c>
      <c r="CH69" s="33">
        <f t="shared" si="11"/>
        <v>0</v>
      </c>
      <c r="CI69" s="33">
        <f t="shared" si="11"/>
        <v>0</v>
      </c>
      <c r="CJ69" s="33">
        <f t="shared" si="11"/>
        <v>0</v>
      </c>
      <c r="CK69" s="33">
        <f t="shared" si="11"/>
        <v>0</v>
      </c>
      <c r="CL69" s="33">
        <f t="shared" si="11"/>
        <v>0</v>
      </c>
    </row>
    <row r="70" spans="1:90" s="9" customFormat="1" x14ac:dyDescent="0.25">
      <c r="A70" s="126" t="s">
        <v>49</v>
      </c>
      <c r="B70" s="37">
        <f>B17+B19+B69</f>
        <v>1223748715.4100001</v>
      </c>
      <c r="C70" s="37">
        <f t="shared" ref="C70:BN70" si="12">C17+C19+C69</f>
        <v>1144072355</v>
      </c>
      <c r="D70" s="37">
        <f t="shared" si="12"/>
        <v>1113912784.23</v>
      </c>
      <c r="E70" s="37">
        <f t="shared" si="12"/>
        <v>1094888457.78</v>
      </c>
      <c r="F70" s="37">
        <f t="shared" si="12"/>
        <v>1054331578.12</v>
      </c>
      <c r="G70" s="37">
        <f t="shared" si="12"/>
        <v>1001622329.98</v>
      </c>
      <c r="H70" s="37">
        <f t="shared" si="12"/>
        <v>1045999168.54</v>
      </c>
      <c r="I70" s="37">
        <f t="shared" si="12"/>
        <v>1062069435.15</v>
      </c>
      <c r="J70" s="37">
        <f t="shared" si="12"/>
        <v>557692811.90999997</v>
      </c>
      <c r="K70" s="37">
        <f t="shared" si="12"/>
        <v>512069786.58999997</v>
      </c>
      <c r="L70" s="37">
        <f t="shared" si="12"/>
        <v>568436012.11000001</v>
      </c>
      <c r="M70" s="37">
        <f t="shared" si="12"/>
        <v>490388669.01999992</v>
      </c>
      <c r="N70" s="37">
        <f t="shared" si="12"/>
        <v>496178942.00000006</v>
      </c>
      <c r="O70" s="37">
        <f t="shared" si="12"/>
        <v>329687136.41000009</v>
      </c>
      <c r="P70" s="37">
        <f t="shared" si="12"/>
        <v>237522643.97</v>
      </c>
      <c r="Q70" s="37">
        <f t="shared" si="12"/>
        <v>0</v>
      </c>
      <c r="R70" s="37">
        <f t="shared" si="12"/>
        <v>0</v>
      </c>
      <c r="S70" s="37">
        <f t="shared" si="12"/>
        <v>0</v>
      </c>
      <c r="T70" s="37">
        <f t="shared" si="12"/>
        <v>0</v>
      </c>
      <c r="U70" s="37">
        <f t="shared" si="12"/>
        <v>0</v>
      </c>
      <c r="V70" s="37">
        <f t="shared" si="12"/>
        <v>0</v>
      </c>
      <c r="W70" s="37">
        <f t="shared" si="12"/>
        <v>0</v>
      </c>
      <c r="X70" s="37">
        <f t="shared" si="12"/>
        <v>0</v>
      </c>
      <c r="Y70" s="37">
        <f t="shared" si="12"/>
        <v>0</v>
      </c>
      <c r="Z70" s="37">
        <f t="shared" si="12"/>
        <v>0</v>
      </c>
      <c r="AA70" s="37">
        <f t="shared" si="12"/>
        <v>0</v>
      </c>
      <c r="AB70" s="37">
        <f t="shared" si="12"/>
        <v>0</v>
      </c>
      <c r="AC70" s="37">
        <f t="shared" si="12"/>
        <v>0</v>
      </c>
      <c r="AD70" s="37">
        <f t="shared" si="12"/>
        <v>0</v>
      </c>
      <c r="AE70" s="37">
        <f t="shared" si="12"/>
        <v>0</v>
      </c>
      <c r="AF70" s="37">
        <f t="shared" si="12"/>
        <v>0</v>
      </c>
      <c r="AG70" s="37">
        <f t="shared" si="12"/>
        <v>0</v>
      </c>
      <c r="AH70" s="37">
        <f t="shared" si="12"/>
        <v>0</v>
      </c>
      <c r="AI70" s="37">
        <f t="shared" si="12"/>
        <v>0</v>
      </c>
      <c r="AJ70" s="37">
        <f t="shared" si="12"/>
        <v>0</v>
      </c>
      <c r="AK70" s="37">
        <f t="shared" si="12"/>
        <v>0</v>
      </c>
      <c r="AL70" s="37">
        <f t="shared" si="12"/>
        <v>0</v>
      </c>
      <c r="AM70" s="37">
        <f t="shared" si="12"/>
        <v>0</v>
      </c>
      <c r="AN70" s="37">
        <f t="shared" si="12"/>
        <v>0</v>
      </c>
      <c r="AO70" s="37">
        <f t="shared" si="12"/>
        <v>0</v>
      </c>
      <c r="AP70" s="37">
        <f t="shared" si="12"/>
        <v>0</v>
      </c>
      <c r="AQ70" s="37">
        <f t="shared" si="12"/>
        <v>0</v>
      </c>
      <c r="AR70" s="37">
        <f t="shared" si="12"/>
        <v>0</v>
      </c>
      <c r="AS70" s="37">
        <f t="shared" si="12"/>
        <v>0</v>
      </c>
      <c r="AT70" s="37">
        <f t="shared" si="12"/>
        <v>0</v>
      </c>
      <c r="AU70" s="37">
        <f t="shared" si="12"/>
        <v>0</v>
      </c>
      <c r="AV70" s="37">
        <f t="shared" si="12"/>
        <v>0</v>
      </c>
      <c r="AW70" s="37">
        <f t="shared" si="12"/>
        <v>0</v>
      </c>
      <c r="AX70" s="37">
        <f t="shared" si="12"/>
        <v>0</v>
      </c>
      <c r="AY70" s="37">
        <f t="shared" si="12"/>
        <v>0</v>
      </c>
      <c r="AZ70" s="37">
        <f t="shared" si="12"/>
        <v>0</v>
      </c>
      <c r="BA70" s="37">
        <f t="shared" si="12"/>
        <v>0</v>
      </c>
      <c r="BB70" s="37">
        <f t="shared" si="12"/>
        <v>0</v>
      </c>
      <c r="BC70" s="37">
        <f t="shared" si="12"/>
        <v>0</v>
      </c>
      <c r="BD70" s="37">
        <f t="shared" si="12"/>
        <v>0</v>
      </c>
      <c r="BE70" s="37">
        <f t="shared" si="12"/>
        <v>0</v>
      </c>
      <c r="BF70" s="37">
        <f t="shared" si="12"/>
        <v>0</v>
      </c>
      <c r="BG70" s="37">
        <f t="shared" si="12"/>
        <v>0</v>
      </c>
      <c r="BH70" s="37">
        <f t="shared" si="12"/>
        <v>0</v>
      </c>
      <c r="BI70" s="37">
        <f t="shared" si="12"/>
        <v>0</v>
      </c>
      <c r="BJ70" s="37">
        <f t="shared" si="12"/>
        <v>0</v>
      </c>
      <c r="BK70" s="37">
        <f t="shared" si="12"/>
        <v>0</v>
      </c>
      <c r="BL70" s="37">
        <f t="shared" si="12"/>
        <v>0</v>
      </c>
      <c r="BM70" s="37">
        <f t="shared" si="12"/>
        <v>0</v>
      </c>
      <c r="BN70" s="37">
        <f t="shared" si="12"/>
        <v>0</v>
      </c>
      <c r="BO70" s="37">
        <f t="shared" ref="BO70:CL70" si="13">BO17+BO19+BO69</f>
        <v>0</v>
      </c>
      <c r="BP70" s="37">
        <f t="shared" si="13"/>
        <v>0</v>
      </c>
      <c r="BQ70" s="37">
        <f t="shared" si="13"/>
        <v>0</v>
      </c>
      <c r="BR70" s="37">
        <f t="shared" si="13"/>
        <v>0</v>
      </c>
      <c r="BS70" s="37">
        <f t="shared" si="13"/>
        <v>0</v>
      </c>
      <c r="BT70" s="37">
        <f t="shared" si="13"/>
        <v>0</v>
      </c>
      <c r="BU70" s="37">
        <f t="shared" si="13"/>
        <v>0</v>
      </c>
      <c r="BV70" s="37">
        <f t="shared" si="13"/>
        <v>0</v>
      </c>
      <c r="BW70" s="37">
        <f t="shared" si="13"/>
        <v>0</v>
      </c>
      <c r="BX70" s="37">
        <f t="shared" si="13"/>
        <v>0</v>
      </c>
      <c r="BY70" s="37">
        <f t="shared" si="13"/>
        <v>0</v>
      </c>
      <c r="BZ70" s="37">
        <f t="shared" si="13"/>
        <v>0</v>
      </c>
      <c r="CA70" s="37">
        <f t="shared" si="13"/>
        <v>0</v>
      </c>
      <c r="CB70" s="37">
        <f t="shared" si="13"/>
        <v>0</v>
      </c>
      <c r="CC70" s="37">
        <f t="shared" si="13"/>
        <v>0</v>
      </c>
      <c r="CD70" s="37">
        <f t="shared" si="13"/>
        <v>0</v>
      </c>
      <c r="CE70" s="37">
        <f t="shared" si="13"/>
        <v>0</v>
      </c>
      <c r="CF70" s="37">
        <f t="shared" si="13"/>
        <v>0</v>
      </c>
      <c r="CG70" s="37">
        <f t="shared" si="13"/>
        <v>0</v>
      </c>
      <c r="CH70" s="37">
        <f t="shared" si="13"/>
        <v>0</v>
      </c>
      <c r="CI70" s="37">
        <f t="shared" si="13"/>
        <v>0</v>
      </c>
      <c r="CJ70" s="37">
        <f t="shared" si="13"/>
        <v>0</v>
      </c>
      <c r="CK70" s="37">
        <f t="shared" si="13"/>
        <v>0</v>
      </c>
      <c r="CL70" s="37">
        <f t="shared" si="13"/>
        <v>0</v>
      </c>
    </row>
    <row r="71" spans="1:90" x14ac:dyDescent="0.25">
      <c r="A71" s="20" t="s">
        <v>50</v>
      </c>
      <c r="B71" s="26"/>
      <c r="C71" s="26"/>
      <c r="D71" s="26"/>
      <c r="E71" s="26"/>
      <c r="F71" s="26"/>
      <c r="G71" s="26"/>
      <c r="H71" s="26"/>
      <c r="I71" s="26"/>
      <c r="J71" s="26"/>
      <c r="K71" s="26"/>
      <c r="L71" s="23"/>
      <c r="M71" s="13"/>
      <c r="N71" s="13"/>
    </row>
    <row r="72" spans="1:90" s="2" customFormat="1" x14ac:dyDescent="0.25">
      <c r="A72" s="20" t="s">
        <v>51</v>
      </c>
      <c r="B72" s="28"/>
      <c r="C72" s="28"/>
      <c r="D72" s="28"/>
      <c r="E72" s="28">
        <f>SUM(E73:E77)</f>
        <v>0</v>
      </c>
      <c r="F72" s="28">
        <f t="shared" ref="F72:BQ72" si="14">SUM(F73:F77)</f>
        <v>0</v>
      </c>
      <c r="G72" s="28">
        <f t="shared" si="14"/>
        <v>0</v>
      </c>
      <c r="H72" s="28">
        <f t="shared" si="14"/>
        <v>33760703.5</v>
      </c>
      <c r="I72" s="28">
        <f t="shared" si="14"/>
        <v>58246810</v>
      </c>
      <c r="J72" s="28">
        <f t="shared" si="14"/>
        <v>84242535.329999998</v>
      </c>
      <c r="K72" s="28">
        <f t="shared" si="14"/>
        <v>84242535.329999998</v>
      </c>
      <c r="L72" s="28">
        <f t="shared" si="14"/>
        <v>51435725.329999998</v>
      </c>
      <c r="M72" s="28">
        <f t="shared" si="14"/>
        <v>42500000</v>
      </c>
      <c r="N72" s="28">
        <f t="shared" si="14"/>
        <v>92895714</v>
      </c>
      <c r="O72" s="28">
        <f t="shared" si="14"/>
        <v>65837129</v>
      </c>
      <c r="P72" s="28">
        <f t="shared" si="14"/>
        <v>19000000</v>
      </c>
      <c r="Q72" s="28">
        <f t="shared" si="14"/>
        <v>0</v>
      </c>
      <c r="R72" s="28">
        <f t="shared" si="14"/>
        <v>0</v>
      </c>
      <c r="S72" s="28">
        <f t="shared" si="14"/>
        <v>0</v>
      </c>
      <c r="T72" s="28">
        <f t="shared" si="14"/>
        <v>0</v>
      </c>
      <c r="U72" s="28">
        <f t="shared" si="14"/>
        <v>0</v>
      </c>
      <c r="V72" s="28">
        <f t="shared" si="14"/>
        <v>0</v>
      </c>
      <c r="W72" s="28">
        <f t="shared" si="14"/>
        <v>0</v>
      </c>
      <c r="X72" s="28">
        <f t="shared" si="14"/>
        <v>0</v>
      </c>
      <c r="Y72" s="28">
        <f t="shared" si="14"/>
        <v>0</v>
      </c>
      <c r="Z72" s="28">
        <f t="shared" si="14"/>
        <v>0</v>
      </c>
      <c r="AA72" s="28">
        <f t="shared" si="14"/>
        <v>0</v>
      </c>
      <c r="AB72" s="28">
        <f t="shared" si="14"/>
        <v>0</v>
      </c>
      <c r="AC72" s="28">
        <f t="shared" si="14"/>
        <v>0</v>
      </c>
      <c r="AD72" s="28">
        <f t="shared" si="14"/>
        <v>0</v>
      </c>
      <c r="AE72" s="28">
        <f t="shared" si="14"/>
        <v>0</v>
      </c>
      <c r="AF72" s="28">
        <f t="shared" si="14"/>
        <v>0</v>
      </c>
      <c r="AG72" s="28">
        <f t="shared" si="14"/>
        <v>0</v>
      </c>
      <c r="AH72" s="28">
        <f t="shared" si="14"/>
        <v>0</v>
      </c>
      <c r="AI72" s="28">
        <f t="shared" si="14"/>
        <v>0</v>
      </c>
      <c r="AJ72" s="28">
        <f t="shared" si="14"/>
        <v>0</v>
      </c>
      <c r="AK72" s="28">
        <f t="shared" si="14"/>
        <v>0</v>
      </c>
      <c r="AL72" s="28">
        <f t="shared" si="14"/>
        <v>0</v>
      </c>
      <c r="AM72" s="28">
        <f t="shared" si="14"/>
        <v>0</v>
      </c>
      <c r="AN72" s="28">
        <f t="shared" si="14"/>
        <v>0</v>
      </c>
      <c r="AO72" s="28">
        <f t="shared" si="14"/>
        <v>0</v>
      </c>
      <c r="AP72" s="28">
        <f t="shared" si="14"/>
        <v>0</v>
      </c>
      <c r="AQ72" s="28">
        <f t="shared" si="14"/>
        <v>0</v>
      </c>
      <c r="AR72" s="28">
        <f t="shared" si="14"/>
        <v>0</v>
      </c>
      <c r="AS72" s="28">
        <f t="shared" si="14"/>
        <v>0</v>
      </c>
      <c r="AT72" s="28">
        <f t="shared" si="14"/>
        <v>0</v>
      </c>
      <c r="AU72" s="28">
        <f t="shared" si="14"/>
        <v>0</v>
      </c>
      <c r="AV72" s="28">
        <f t="shared" si="14"/>
        <v>0</v>
      </c>
      <c r="AW72" s="28">
        <f t="shared" si="14"/>
        <v>0</v>
      </c>
      <c r="AX72" s="28">
        <f t="shared" si="14"/>
        <v>0</v>
      </c>
      <c r="AY72" s="28">
        <f t="shared" si="14"/>
        <v>0</v>
      </c>
      <c r="AZ72" s="28">
        <f t="shared" si="14"/>
        <v>0</v>
      </c>
      <c r="BA72" s="28">
        <f t="shared" si="14"/>
        <v>0</v>
      </c>
      <c r="BB72" s="28">
        <f t="shared" si="14"/>
        <v>0</v>
      </c>
      <c r="BC72" s="28">
        <f t="shared" si="14"/>
        <v>0</v>
      </c>
      <c r="BD72" s="28">
        <f t="shared" si="14"/>
        <v>0</v>
      </c>
      <c r="BE72" s="28">
        <f t="shared" si="14"/>
        <v>0</v>
      </c>
      <c r="BF72" s="28">
        <f t="shared" si="14"/>
        <v>0</v>
      </c>
      <c r="BG72" s="28">
        <f t="shared" si="14"/>
        <v>0</v>
      </c>
      <c r="BH72" s="28">
        <f t="shared" si="14"/>
        <v>0</v>
      </c>
      <c r="BI72" s="28">
        <f t="shared" si="14"/>
        <v>0</v>
      </c>
      <c r="BJ72" s="28">
        <f t="shared" si="14"/>
        <v>0</v>
      </c>
      <c r="BK72" s="28">
        <f t="shared" si="14"/>
        <v>0</v>
      </c>
      <c r="BL72" s="28">
        <f t="shared" si="14"/>
        <v>0</v>
      </c>
      <c r="BM72" s="28">
        <f t="shared" si="14"/>
        <v>0</v>
      </c>
      <c r="BN72" s="28">
        <f t="shared" si="14"/>
        <v>0</v>
      </c>
      <c r="BO72" s="28">
        <f t="shared" si="14"/>
        <v>0</v>
      </c>
      <c r="BP72" s="28">
        <f t="shared" si="14"/>
        <v>0</v>
      </c>
      <c r="BQ72" s="28">
        <f t="shared" si="14"/>
        <v>0</v>
      </c>
      <c r="BR72" s="28">
        <f t="shared" ref="BR72:CL72" si="15">SUM(BR73:BR77)</f>
        <v>0</v>
      </c>
      <c r="BS72" s="28">
        <f t="shared" si="15"/>
        <v>0</v>
      </c>
      <c r="BT72" s="28">
        <f t="shared" si="15"/>
        <v>0</v>
      </c>
      <c r="BU72" s="28">
        <f t="shared" si="15"/>
        <v>0</v>
      </c>
      <c r="BV72" s="28">
        <f t="shared" si="15"/>
        <v>0</v>
      </c>
      <c r="BW72" s="28">
        <f t="shared" si="15"/>
        <v>0</v>
      </c>
      <c r="BX72" s="28">
        <f t="shared" si="15"/>
        <v>0</v>
      </c>
      <c r="BY72" s="28">
        <f t="shared" si="15"/>
        <v>0</v>
      </c>
      <c r="BZ72" s="28">
        <f t="shared" si="15"/>
        <v>0</v>
      </c>
      <c r="CA72" s="28">
        <f t="shared" si="15"/>
        <v>0</v>
      </c>
      <c r="CB72" s="28">
        <f t="shared" si="15"/>
        <v>0</v>
      </c>
      <c r="CC72" s="28">
        <f t="shared" si="15"/>
        <v>0</v>
      </c>
      <c r="CD72" s="28">
        <f t="shared" si="15"/>
        <v>0</v>
      </c>
      <c r="CE72" s="28">
        <f t="shared" si="15"/>
        <v>0</v>
      </c>
      <c r="CF72" s="28">
        <f t="shared" si="15"/>
        <v>0</v>
      </c>
      <c r="CG72" s="28">
        <f t="shared" si="15"/>
        <v>0</v>
      </c>
      <c r="CH72" s="28">
        <f t="shared" si="15"/>
        <v>0</v>
      </c>
      <c r="CI72" s="28">
        <f t="shared" si="15"/>
        <v>0</v>
      </c>
      <c r="CJ72" s="28">
        <f t="shared" si="15"/>
        <v>0</v>
      </c>
      <c r="CK72" s="28">
        <f t="shared" si="15"/>
        <v>0</v>
      </c>
      <c r="CL72" s="28">
        <f t="shared" si="15"/>
        <v>0</v>
      </c>
    </row>
    <row r="73" spans="1:90" x14ac:dyDescent="0.25">
      <c r="A73" s="127" t="s">
        <v>52</v>
      </c>
      <c r="B73" s="188">
        <v>0</v>
      </c>
      <c r="C73" s="188">
        <v>0</v>
      </c>
      <c r="D73" s="188">
        <v>0</v>
      </c>
      <c r="E73" s="188">
        <v>0</v>
      </c>
      <c r="F73" s="188">
        <v>0</v>
      </c>
      <c r="G73" s="188">
        <v>0</v>
      </c>
      <c r="H73" s="188">
        <v>11600000</v>
      </c>
      <c r="I73" s="188">
        <v>42916810</v>
      </c>
      <c r="J73" s="188">
        <v>72922535.329999998</v>
      </c>
      <c r="K73" s="188">
        <v>72922535.329999998</v>
      </c>
      <c r="L73" s="188">
        <v>43935725.329999998</v>
      </c>
      <c r="M73" s="188">
        <v>30000000</v>
      </c>
      <c r="N73" s="188">
        <v>85395714</v>
      </c>
      <c r="O73" s="188">
        <v>65837129</v>
      </c>
      <c r="P73" s="188">
        <v>19000000</v>
      </c>
      <c r="Q73" s="188">
        <v>0</v>
      </c>
      <c r="R73" s="188"/>
      <c r="S73" s="188"/>
      <c r="T73" s="188"/>
      <c r="U73" s="188"/>
      <c r="V73" s="188"/>
      <c r="W73" s="188"/>
      <c r="X73" s="188"/>
      <c r="Y73" s="188"/>
      <c r="Z73" s="188"/>
      <c r="AA73" s="188"/>
      <c r="AB73" s="188"/>
      <c r="AC73" s="188"/>
      <c r="AD73" s="188"/>
      <c r="AE73" s="188"/>
      <c r="AF73" s="188"/>
      <c r="AG73" s="188"/>
      <c r="AH73" s="188"/>
      <c r="AI73" s="188"/>
      <c r="AJ73" s="188"/>
      <c r="AK73" s="188"/>
      <c r="AL73" s="188"/>
      <c r="AM73" s="188"/>
      <c r="AN73" s="188"/>
      <c r="AO73" s="188"/>
      <c r="AP73" s="188"/>
      <c r="AQ73" s="188"/>
      <c r="AR73" s="188"/>
      <c r="AS73" s="188"/>
      <c r="AT73" s="188"/>
      <c r="AU73" s="188"/>
      <c r="AV73" s="188"/>
      <c r="AW73" s="188"/>
      <c r="AX73" s="188"/>
      <c r="AY73" s="188"/>
      <c r="AZ73" s="188"/>
      <c r="BA73" s="188"/>
      <c r="BB73" s="188"/>
      <c r="BC73" s="188"/>
      <c r="BD73" s="188"/>
      <c r="BE73" s="188"/>
      <c r="BF73" s="188"/>
      <c r="BG73" s="188"/>
      <c r="BH73" s="188"/>
      <c r="BI73" s="188"/>
      <c r="BJ73" s="188"/>
      <c r="BK73" s="188"/>
      <c r="BL73" s="188"/>
      <c r="BM73" s="188"/>
      <c r="BN73" s="188"/>
      <c r="BO73" s="188"/>
      <c r="BP73" s="188"/>
      <c r="BQ73" s="188"/>
      <c r="BR73" s="188"/>
      <c r="BS73" s="188"/>
      <c r="BT73" s="188"/>
      <c r="BU73" s="188"/>
      <c r="BV73" s="188"/>
      <c r="BW73" s="188"/>
      <c r="BX73" s="188"/>
      <c r="BY73" s="188"/>
      <c r="BZ73" s="188"/>
      <c r="CA73" s="188"/>
      <c r="CB73" s="188"/>
      <c r="CC73" s="188"/>
      <c r="CD73" s="188"/>
      <c r="CE73" s="188"/>
      <c r="CF73" s="188"/>
      <c r="CG73" s="188"/>
      <c r="CH73" s="188"/>
      <c r="CI73" s="188"/>
      <c r="CJ73" s="188"/>
      <c r="CK73" s="188"/>
      <c r="CL73" s="188"/>
    </row>
    <row r="74" spans="1:90" x14ac:dyDescent="0.25">
      <c r="A74" s="127" t="s">
        <v>77</v>
      </c>
      <c r="B74" s="188">
        <v>0</v>
      </c>
      <c r="C74" s="188">
        <v>0</v>
      </c>
      <c r="D74" s="188">
        <v>0</v>
      </c>
      <c r="E74" s="188">
        <v>0</v>
      </c>
      <c r="F74" s="188">
        <v>0</v>
      </c>
      <c r="G74" s="188">
        <v>0</v>
      </c>
      <c r="H74" s="188">
        <v>0</v>
      </c>
      <c r="I74" s="188">
        <v>0</v>
      </c>
      <c r="J74" s="188">
        <v>0</v>
      </c>
      <c r="K74" s="188">
        <v>0</v>
      </c>
      <c r="L74" s="188">
        <v>0</v>
      </c>
      <c r="M74" s="188">
        <v>0</v>
      </c>
      <c r="N74" s="188">
        <v>0</v>
      </c>
      <c r="O74" s="188">
        <v>0</v>
      </c>
      <c r="P74" s="188">
        <v>0</v>
      </c>
      <c r="Q74" s="188">
        <v>0</v>
      </c>
      <c r="R74" s="188"/>
      <c r="S74" s="188"/>
      <c r="T74" s="188"/>
      <c r="U74" s="188"/>
      <c r="V74" s="188"/>
      <c r="W74" s="188"/>
      <c r="X74" s="188"/>
      <c r="Y74" s="188"/>
      <c r="Z74" s="188"/>
      <c r="AA74" s="188"/>
      <c r="AB74" s="188"/>
      <c r="AC74" s="188"/>
      <c r="AD74" s="188"/>
      <c r="AE74" s="188"/>
      <c r="AF74" s="188"/>
      <c r="AG74" s="188"/>
      <c r="AH74" s="188"/>
      <c r="AI74" s="188"/>
      <c r="AJ74" s="188"/>
      <c r="AK74" s="188"/>
      <c r="AL74" s="188"/>
      <c r="AM74" s="188"/>
      <c r="AN74" s="188"/>
      <c r="AO74" s="188"/>
      <c r="AP74" s="188"/>
      <c r="AQ74" s="188"/>
      <c r="AR74" s="188"/>
      <c r="AS74" s="188"/>
      <c r="AT74" s="188"/>
      <c r="AU74" s="188"/>
      <c r="AV74" s="188"/>
      <c r="AW74" s="188"/>
      <c r="AX74" s="188"/>
      <c r="AY74" s="188"/>
      <c r="AZ74" s="188"/>
      <c r="BA74" s="188"/>
      <c r="BB74" s="188"/>
      <c r="BC74" s="188"/>
      <c r="BD74" s="188"/>
      <c r="BE74" s="188"/>
      <c r="BF74" s="188"/>
      <c r="BG74" s="188"/>
      <c r="BH74" s="188"/>
      <c r="BI74" s="188"/>
      <c r="BJ74" s="188"/>
      <c r="BK74" s="188"/>
      <c r="BL74" s="188"/>
      <c r="BM74" s="188"/>
      <c r="BN74" s="188"/>
      <c r="BO74" s="188"/>
      <c r="BP74" s="188"/>
      <c r="BQ74" s="188"/>
      <c r="BR74" s="188"/>
      <c r="BS74" s="188"/>
      <c r="BT74" s="188"/>
      <c r="BU74" s="188"/>
      <c r="BV74" s="188"/>
      <c r="BW74" s="188"/>
      <c r="BX74" s="188"/>
      <c r="BY74" s="188"/>
      <c r="BZ74" s="188"/>
      <c r="CA74" s="188"/>
      <c r="CB74" s="188"/>
      <c r="CC74" s="188"/>
      <c r="CD74" s="188"/>
      <c r="CE74" s="188"/>
      <c r="CF74" s="188"/>
      <c r="CG74" s="188"/>
      <c r="CH74" s="188"/>
      <c r="CI74" s="188"/>
      <c r="CJ74" s="188"/>
      <c r="CK74" s="188"/>
      <c r="CL74" s="188"/>
    </row>
    <row r="75" spans="1:90" x14ac:dyDescent="0.25">
      <c r="A75" s="127" t="s">
        <v>53</v>
      </c>
      <c r="B75" s="188">
        <v>0</v>
      </c>
      <c r="C75" s="188">
        <v>0</v>
      </c>
      <c r="D75" s="188">
        <v>0</v>
      </c>
      <c r="E75" s="188">
        <v>0</v>
      </c>
      <c r="F75" s="188">
        <v>0</v>
      </c>
      <c r="G75" s="188">
        <v>0</v>
      </c>
      <c r="H75" s="188">
        <v>0</v>
      </c>
      <c r="I75" s="188">
        <v>0</v>
      </c>
      <c r="J75" s="188">
        <v>0</v>
      </c>
      <c r="K75" s="188">
        <v>0</v>
      </c>
      <c r="L75" s="188">
        <v>0</v>
      </c>
      <c r="M75" s="188">
        <v>0</v>
      </c>
      <c r="N75" s="188">
        <v>0</v>
      </c>
      <c r="O75" s="188">
        <v>0</v>
      </c>
      <c r="P75" s="188">
        <v>0</v>
      </c>
      <c r="Q75" s="188">
        <v>0</v>
      </c>
      <c r="R75" s="188"/>
      <c r="S75" s="188"/>
      <c r="T75" s="188"/>
      <c r="U75" s="188"/>
      <c r="V75" s="188"/>
      <c r="W75" s="188"/>
      <c r="X75" s="188"/>
      <c r="Y75" s="188"/>
      <c r="Z75" s="188"/>
      <c r="AA75" s="188"/>
      <c r="AB75" s="188"/>
      <c r="AC75" s="188"/>
      <c r="AD75" s="188"/>
      <c r="AE75" s="188"/>
      <c r="AF75" s="188"/>
      <c r="AG75" s="188"/>
      <c r="AH75" s="188"/>
      <c r="AI75" s="188"/>
      <c r="AJ75" s="188"/>
      <c r="AK75" s="188"/>
      <c r="AL75" s="188"/>
      <c r="AM75" s="188"/>
      <c r="AN75" s="188"/>
      <c r="AO75" s="188"/>
      <c r="AP75" s="188"/>
      <c r="AQ75" s="188"/>
      <c r="AR75" s="188"/>
      <c r="AS75" s="188"/>
      <c r="AT75" s="188"/>
      <c r="AU75" s="188"/>
      <c r="AV75" s="188"/>
      <c r="AW75" s="188"/>
      <c r="AX75" s="188"/>
      <c r="AY75" s="188"/>
      <c r="AZ75" s="188"/>
      <c r="BA75" s="188"/>
      <c r="BB75" s="188"/>
      <c r="BC75" s="188"/>
      <c r="BD75" s="188"/>
      <c r="BE75" s="188"/>
      <c r="BF75" s="188"/>
      <c r="BG75" s="188"/>
      <c r="BH75" s="188"/>
      <c r="BI75" s="188"/>
      <c r="BJ75" s="188"/>
      <c r="BK75" s="188"/>
      <c r="BL75" s="188"/>
      <c r="BM75" s="188"/>
      <c r="BN75" s="188"/>
      <c r="BO75" s="188"/>
      <c r="BP75" s="188"/>
      <c r="BQ75" s="188"/>
      <c r="BR75" s="188"/>
      <c r="BS75" s="188"/>
      <c r="BT75" s="188"/>
      <c r="BU75" s="188"/>
      <c r="BV75" s="188"/>
      <c r="BW75" s="188"/>
      <c r="BX75" s="188"/>
      <c r="BY75" s="188"/>
      <c r="BZ75" s="188"/>
      <c r="CA75" s="188"/>
      <c r="CB75" s="188"/>
      <c r="CC75" s="188"/>
      <c r="CD75" s="188"/>
      <c r="CE75" s="188"/>
      <c r="CF75" s="188"/>
      <c r="CG75" s="188"/>
      <c r="CH75" s="188"/>
      <c r="CI75" s="188"/>
      <c r="CJ75" s="188"/>
      <c r="CK75" s="188"/>
      <c r="CL75" s="188"/>
    </row>
    <row r="76" spans="1:90" x14ac:dyDescent="0.25">
      <c r="A76" s="127" t="s">
        <v>54</v>
      </c>
      <c r="B76" s="188">
        <v>0</v>
      </c>
      <c r="C76" s="188">
        <v>0</v>
      </c>
      <c r="D76" s="188">
        <v>0</v>
      </c>
      <c r="E76" s="188">
        <v>0</v>
      </c>
      <c r="F76" s="188">
        <v>0</v>
      </c>
      <c r="G76" s="188">
        <v>0</v>
      </c>
      <c r="H76" s="188">
        <v>22160703.5</v>
      </c>
      <c r="I76" s="188">
        <v>15330000</v>
      </c>
      <c r="J76" s="188">
        <v>11320000</v>
      </c>
      <c r="K76" s="188">
        <v>11320000</v>
      </c>
      <c r="L76" s="188">
        <v>7500000</v>
      </c>
      <c r="M76" s="188">
        <v>12500000</v>
      </c>
      <c r="N76" s="188">
        <v>7500000</v>
      </c>
      <c r="O76" s="188">
        <v>0</v>
      </c>
      <c r="P76" s="188">
        <v>0</v>
      </c>
      <c r="Q76" s="188">
        <v>0</v>
      </c>
      <c r="R76" s="188"/>
      <c r="S76" s="188"/>
      <c r="T76" s="188"/>
      <c r="U76" s="188"/>
      <c r="V76" s="188"/>
      <c r="W76" s="188"/>
      <c r="X76" s="188"/>
      <c r="Y76" s="188"/>
      <c r="Z76" s="188"/>
      <c r="AA76" s="188"/>
      <c r="AB76" s="188"/>
      <c r="AC76" s="188"/>
      <c r="AD76" s="188"/>
      <c r="AE76" s="188"/>
      <c r="AF76" s="188"/>
      <c r="AG76" s="188"/>
      <c r="AH76" s="188"/>
      <c r="AI76" s="188"/>
      <c r="AJ76" s="188"/>
      <c r="AK76" s="188"/>
      <c r="AL76" s="188"/>
      <c r="AM76" s="188"/>
      <c r="AN76" s="188"/>
      <c r="AO76" s="188"/>
      <c r="AP76" s="188"/>
      <c r="AQ76" s="188"/>
      <c r="AR76" s="188"/>
      <c r="AS76" s="188"/>
      <c r="AT76" s="188"/>
      <c r="AU76" s="188"/>
      <c r="AV76" s="188"/>
      <c r="AW76" s="188"/>
      <c r="AX76" s="188"/>
      <c r="AY76" s="188"/>
      <c r="AZ76" s="188"/>
      <c r="BA76" s="188"/>
      <c r="BB76" s="188"/>
      <c r="BC76" s="188"/>
      <c r="BD76" s="188"/>
      <c r="BE76" s="188"/>
      <c r="BF76" s="188"/>
      <c r="BG76" s="188"/>
      <c r="BH76" s="188"/>
      <c r="BI76" s="188"/>
      <c r="BJ76" s="188"/>
      <c r="BK76" s="188"/>
      <c r="BL76" s="188"/>
      <c r="BM76" s="188"/>
      <c r="BN76" s="188"/>
      <c r="BO76" s="188"/>
      <c r="BP76" s="188"/>
      <c r="BQ76" s="188"/>
      <c r="BR76" s="188"/>
      <c r="BS76" s="188"/>
      <c r="BT76" s="188"/>
      <c r="BU76" s="188"/>
      <c r="BV76" s="188"/>
      <c r="BW76" s="188"/>
      <c r="BX76" s="188"/>
      <c r="BY76" s="188"/>
      <c r="BZ76" s="188"/>
      <c r="CA76" s="188"/>
      <c r="CB76" s="188"/>
      <c r="CC76" s="188"/>
      <c r="CD76" s="188"/>
      <c r="CE76" s="188"/>
      <c r="CF76" s="188"/>
      <c r="CG76" s="188"/>
      <c r="CH76" s="188"/>
      <c r="CI76" s="188"/>
      <c r="CJ76" s="188"/>
      <c r="CK76" s="188"/>
      <c r="CL76" s="188"/>
    </row>
    <row r="77" spans="1:90" x14ac:dyDescent="0.25">
      <c r="A77" s="127" t="s">
        <v>55</v>
      </c>
      <c r="B77" s="188">
        <v>0</v>
      </c>
      <c r="C77" s="188">
        <v>0</v>
      </c>
      <c r="D77" s="188">
        <v>0</v>
      </c>
      <c r="E77" s="188">
        <v>0</v>
      </c>
      <c r="F77" s="188">
        <v>0</v>
      </c>
      <c r="G77" s="188">
        <v>0</v>
      </c>
      <c r="H77" s="188">
        <v>0</v>
      </c>
      <c r="I77" s="188">
        <v>0</v>
      </c>
      <c r="J77" s="188">
        <v>0</v>
      </c>
      <c r="K77" s="188">
        <v>0</v>
      </c>
      <c r="L77" s="188">
        <v>0</v>
      </c>
      <c r="M77" s="188">
        <v>0</v>
      </c>
      <c r="N77" s="188">
        <v>0</v>
      </c>
      <c r="O77" s="188">
        <v>0</v>
      </c>
      <c r="P77" s="188">
        <v>0</v>
      </c>
      <c r="Q77" s="188">
        <v>0</v>
      </c>
      <c r="R77" s="188"/>
      <c r="S77" s="188"/>
      <c r="T77" s="188"/>
      <c r="U77" s="188"/>
      <c r="V77" s="188"/>
      <c r="W77" s="188"/>
      <c r="X77" s="188"/>
      <c r="Y77" s="188"/>
      <c r="Z77" s="188"/>
      <c r="AA77" s="188"/>
      <c r="AB77" s="188"/>
      <c r="AC77" s="188"/>
      <c r="AD77" s="188"/>
      <c r="AE77" s="188"/>
      <c r="AF77" s="188"/>
      <c r="AG77" s="188"/>
      <c r="AH77" s="188"/>
      <c r="AI77" s="188"/>
      <c r="AJ77" s="188"/>
      <c r="AK77" s="188"/>
      <c r="AL77" s="188"/>
      <c r="AM77" s="188"/>
      <c r="AN77" s="188"/>
      <c r="AO77" s="188"/>
      <c r="AP77" s="188"/>
      <c r="AQ77" s="188"/>
      <c r="AR77" s="188"/>
      <c r="AS77" s="188"/>
      <c r="AT77" s="188"/>
      <c r="AU77" s="188"/>
      <c r="AV77" s="188"/>
      <c r="AW77" s="188"/>
      <c r="AX77" s="188"/>
      <c r="AY77" s="188"/>
      <c r="AZ77" s="188"/>
      <c r="BA77" s="188"/>
      <c r="BB77" s="188"/>
      <c r="BC77" s="188"/>
      <c r="BD77" s="188"/>
      <c r="BE77" s="188"/>
      <c r="BF77" s="188"/>
      <c r="BG77" s="188"/>
      <c r="BH77" s="188"/>
      <c r="BI77" s="188"/>
      <c r="BJ77" s="188"/>
      <c r="BK77" s="188"/>
      <c r="BL77" s="188"/>
      <c r="BM77" s="188"/>
      <c r="BN77" s="188"/>
      <c r="BO77" s="188"/>
      <c r="BP77" s="188"/>
      <c r="BQ77" s="188"/>
      <c r="BR77" s="188"/>
      <c r="BS77" s="188"/>
      <c r="BT77" s="188"/>
      <c r="BU77" s="188"/>
      <c r="BV77" s="188"/>
      <c r="BW77" s="188"/>
      <c r="BX77" s="188"/>
      <c r="BY77" s="188"/>
      <c r="BZ77" s="188"/>
      <c r="CA77" s="188"/>
      <c r="CB77" s="188"/>
      <c r="CC77" s="188"/>
      <c r="CD77" s="188"/>
      <c r="CE77" s="188"/>
      <c r="CF77" s="188"/>
      <c r="CG77" s="188"/>
      <c r="CH77" s="188"/>
      <c r="CI77" s="188"/>
      <c r="CJ77" s="188"/>
      <c r="CK77" s="188"/>
      <c r="CL77" s="188"/>
    </row>
    <row r="78" spans="1:90" hidden="1" x14ac:dyDescent="0.25">
      <c r="A78" s="127"/>
      <c r="B78" s="26"/>
      <c r="C78" s="26"/>
      <c r="D78" s="26"/>
      <c r="E78" s="26"/>
      <c r="F78" s="26"/>
      <c r="G78" s="26"/>
      <c r="H78" s="26"/>
      <c r="I78" s="26"/>
      <c r="J78" s="26"/>
      <c r="K78" s="26"/>
      <c r="L78" s="23"/>
    </row>
    <row r="79" spans="1:90" hidden="1" x14ac:dyDescent="0.25">
      <c r="A79" s="127"/>
      <c r="B79" s="26"/>
      <c r="C79" s="26"/>
      <c r="D79" s="26"/>
      <c r="E79" s="26"/>
      <c r="F79" s="26"/>
      <c r="G79" s="26"/>
      <c r="H79" s="26"/>
      <c r="I79" s="26"/>
      <c r="J79" s="26"/>
      <c r="K79" s="26"/>
      <c r="L79" s="23"/>
    </row>
    <row r="80" spans="1:90" hidden="1" x14ac:dyDescent="0.25">
      <c r="A80" s="127"/>
      <c r="B80" s="26"/>
      <c r="C80" s="26"/>
      <c r="D80" s="26"/>
      <c r="E80" s="26"/>
      <c r="F80" s="26"/>
      <c r="G80" s="26"/>
      <c r="H80" s="26"/>
      <c r="I80" s="26"/>
      <c r="J80" s="26"/>
      <c r="K80" s="26"/>
      <c r="L80" s="23"/>
    </row>
    <row r="81" spans="1:90" s="2" customFormat="1" x14ac:dyDescent="0.25">
      <c r="A81" s="20" t="s">
        <v>56</v>
      </c>
      <c r="B81" s="28"/>
      <c r="C81" s="28"/>
      <c r="D81" s="28"/>
      <c r="E81" s="28">
        <f>SUM(E82:E85)</f>
        <v>0</v>
      </c>
      <c r="F81" s="28">
        <f t="shared" ref="F81:BQ81" si="16">SUM(F82:F85)</f>
        <v>0</v>
      </c>
      <c r="G81" s="28">
        <f t="shared" si="16"/>
        <v>0</v>
      </c>
      <c r="H81" s="28">
        <f t="shared" si="16"/>
        <v>9890479.9199999999</v>
      </c>
      <c r="I81" s="28">
        <f t="shared" si="16"/>
        <v>18408383.420000002</v>
      </c>
      <c r="J81" s="28">
        <f t="shared" si="16"/>
        <v>28105583.420000002</v>
      </c>
      <c r="K81" s="28">
        <f t="shared" si="16"/>
        <v>27650855.510000002</v>
      </c>
      <c r="L81" s="28">
        <f t="shared" si="16"/>
        <v>38982000</v>
      </c>
      <c r="M81" s="28">
        <f t="shared" si="16"/>
        <v>60540800</v>
      </c>
      <c r="N81" s="28">
        <f t="shared" si="16"/>
        <v>85540000</v>
      </c>
      <c r="O81" s="28">
        <f t="shared" si="16"/>
        <v>5375879.2400000002</v>
      </c>
      <c r="P81" s="28">
        <f t="shared" si="16"/>
        <v>4881671.9800000004</v>
      </c>
      <c r="Q81" s="28">
        <f t="shared" si="16"/>
        <v>0</v>
      </c>
      <c r="R81" s="28">
        <f t="shared" si="16"/>
        <v>0</v>
      </c>
      <c r="S81" s="28">
        <f t="shared" si="16"/>
        <v>0</v>
      </c>
      <c r="T81" s="28">
        <f t="shared" si="16"/>
        <v>0</v>
      </c>
      <c r="U81" s="28">
        <f t="shared" si="16"/>
        <v>0</v>
      </c>
      <c r="V81" s="28">
        <f t="shared" si="16"/>
        <v>0</v>
      </c>
      <c r="W81" s="28">
        <f t="shared" si="16"/>
        <v>0</v>
      </c>
      <c r="X81" s="28">
        <f t="shared" si="16"/>
        <v>0</v>
      </c>
      <c r="Y81" s="28">
        <f t="shared" si="16"/>
        <v>0</v>
      </c>
      <c r="Z81" s="28">
        <f t="shared" si="16"/>
        <v>0</v>
      </c>
      <c r="AA81" s="28">
        <f t="shared" si="16"/>
        <v>0</v>
      </c>
      <c r="AB81" s="28">
        <f t="shared" si="16"/>
        <v>0</v>
      </c>
      <c r="AC81" s="28">
        <f t="shared" si="16"/>
        <v>0</v>
      </c>
      <c r="AD81" s="28">
        <f t="shared" si="16"/>
        <v>0</v>
      </c>
      <c r="AE81" s="28">
        <f t="shared" si="16"/>
        <v>0</v>
      </c>
      <c r="AF81" s="28">
        <f t="shared" si="16"/>
        <v>0</v>
      </c>
      <c r="AG81" s="28">
        <f t="shared" si="16"/>
        <v>0</v>
      </c>
      <c r="AH81" s="28">
        <f t="shared" si="16"/>
        <v>0</v>
      </c>
      <c r="AI81" s="28">
        <f t="shared" si="16"/>
        <v>0</v>
      </c>
      <c r="AJ81" s="28">
        <f t="shared" si="16"/>
        <v>0</v>
      </c>
      <c r="AK81" s="28">
        <f t="shared" si="16"/>
        <v>0</v>
      </c>
      <c r="AL81" s="28">
        <f t="shared" si="16"/>
        <v>0</v>
      </c>
      <c r="AM81" s="28">
        <f t="shared" si="16"/>
        <v>0</v>
      </c>
      <c r="AN81" s="28">
        <f t="shared" si="16"/>
        <v>0</v>
      </c>
      <c r="AO81" s="28">
        <f t="shared" si="16"/>
        <v>0</v>
      </c>
      <c r="AP81" s="28">
        <f t="shared" si="16"/>
        <v>0</v>
      </c>
      <c r="AQ81" s="28">
        <f t="shared" si="16"/>
        <v>0</v>
      </c>
      <c r="AR81" s="28">
        <f t="shared" si="16"/>
        <v>0</v>
      </c>
      <c r="AS81" s="28">
        <f t="shared" si="16"/>
        <v>0</v>
      </c>
      <c r="AT81" s="28">
        <f t="shared" si="16"/>
        <v>0</v>
      </c>
      <c r="AU81" s="28">
        <f t="shared" si="16"/>
        <v>0</v>
      </c>
      <c r="AV81" s="28">
        <f t="shared" si="16"/>
        <v>0</v>
      </c>
      <c r="AW81" s="28">
        <f t="shared" si="16"/>
        <v>0</v>
      </c>
      <c r="AX81" s="28">
        <f t="shared" si="16"/>
        <v>0</v>
      </c>
      <c r="AY81" s="28">
        <f t="shared" si="16"/>
        <v>0</v>
      </c>
      <c r="AZ81" s="28">
        <f t="shared" si="16"/>
        <v>0</v>
      </c>
      <c r="BA81" s="28">
        <f t="shared" si="16"/>
        <v>0</v>
      </c>
      <c r="BB81" s="28">
        <f t="shared" si="16"/>
        <v>0</v>
      </c>
      <c r="BC81" s="28">
        <f t="shared" si="16"/>
        <v>0</v>
      </c>
      <c r="BD81" s="28">
        <f t="shared" si="16"/>
        <v>0</v>
      </c>
      <c r="BE81" s="28">
        <f t="shared" si="16"/>
        <v>0</v>
      </c>
      <c r="BF81" s="28">
        <f t="shared" si="16"/>
        <v>0</v>
      </c>
      <c r="BG81" s="28">
        <f t="shared" si="16"/>
        <v>0</v>
      </c>
      <c r="BH81" s="28">
        <f t="shared" si="16"/>
        <v>0</v>
      </c>
      <c r="BI81" s="28">
        <f t="shared" si="16"/>
        <v>0</v>
      </c>
      <c r="BJ81" s="28">
        <f t="shared" si="16"/>
        <v>0</v>
      </c>
      <c r="BK81" s="28">
        <f t="shared" si="16"/>
        <v>0</v>
      </c>
      <c r="BL81" s="28">
        <f t="shared" si="16"/>
        <v>0</v>
      </c>
      <c r="BM81" s="28">
        <f t="shared" si="16"/>
        <v>0</v>
      </c>
      <c r="BN81" s="28">
        <f t="shared" si="16"/>
        <v>0</v>
      </c>
      <c r="BO81" s="28">
        <f t="shared" si="16"/>
        <v>0</v>
      </c>
      <c r="BP81" s="28">
        <f t="shared" si="16"/>
        <v>0</v>
      </c>
      <c r="BQ81" s="28">
        <f t="shared" si="16"/>
        <v>0</v>
      </c>
      <c r="BR81" s="28">
        <f t="shared" ref="BR81:CG81" si="17">SUM(BR82:BR85)</f>
        <v>0</v>
      </c>
      <c r="BS81" s="28">
        <f t="shared" si="17"/>
        <v>0</v>
      </c>
      <c r="BT81" s="28">
        <f t="shared" si="17"/>
        <v>0</v>
      </c>
      <c r="BU81" s="28">
        <f t="shared" si="17"/>
        <v>0</v>
      </c>
      <c r="BV81" s="28">
        <f t="shared" si="17"/>
        <v>0</v>
      </c>
      <c r="BW81" s="28">
        <f t="shared" si="17"/>
        <v>0</v>
      </c>
      <c r="BX81" s="28">
        <f t="shared" si="17"/>
        <v>0</v>
      </c>
      <c r="BY81" s="28">
        <f t="shared" si="17"/>
        <v>0</v>
      </c>
      <c r="BZ81" s="28">
        <f t="shared" si="17"/>
        <v>0</v>
      </c>
      <c r="CA81" s="28">
        <f t="shared" si="17"/>
        <v>0</v>
      </c>
      <c r="CB81" s="28">
        <f t="shared" si="17"/>
        <v>0</v>
      </c>
      <c r="CC81" s="28">
        <f t="shared" si="17"/>
        <v>0</v>
      </c>
      <c r="CD81" s="28">
        <f t="shared" si="17"/>
        <v>0</v>
      </c>
      <c r="CE81" s="28">
        <f t="shared" si="17"/>
        <v>0</v>
      </c>
      <c r="CF81" s="28">
        <f t="shared" si="17"/>
        <v>0</v>
      </c>
      <c r="CG81" s="28">
        <f t="shared" si="17"/>
        <v>0</v>
      </c>
      <c r="CH81" s="28">
        <f>SUM(CH82:CH85)</f>
        <v>0</v>
      </c>
      <c r="CI81" s="28">
        <f>SUM(CI82:CI85)</f>
        <v>0</v>
      </c>
      <c r="CJ81" s="28">
        <f>SUM(CJ82:CJ85)</f>
        <v>0</v>
      </c>
      <c r="CK81" s="28">
        <f>SUM(CK82:CK85)</f>
        <v>0</v>
      </c>
    </row>
    <row r="82" spans="1:90" x14ac:dyDescent="0.25">
      <c r="A82" s="127" t="s">
        <v>57</v>
      </c>
      <c r="B82" s="188">
        <v>0</v>
      </c>
      <c r="C82" s="188">
        <v>0</v>
      </c>
      <c r="D82" s="188">
        <v>0</v>
      </c>
      <c r="E82" s="188">
        <v>0</v>
      </c>
      <c r="F82" s="188">
        <v>0</v>
      </c>
      <c r="G82" s="188">
        <v>0</v>
      </c>
      <c r="H82" s="188">
        <v>9890479.9199999999</v>
      </c>
      <c r="I82" s="188">
        <v>18408383.420000002</v>
      </c>
      <c r="J82" s="188">
        <v>28105583.420000002</v>
      </c>
      <c r="K82" s="188">
        <v>27650855.510000002</v>
      </c>
      <c r="L82" s="188">
        <v>38982000</v>
      </c>
      <c r="M82" s="188">
        <v>60540800</v>
      </c>
      <c r="N82" s="188">
        <v>85540000</v>
      </c>
      <c r="O82" s="188">
        <v>0</v>
      </c>
      <c r="P82" s="188">
        <v>0</v>
      </c>
      <c r="Q82" s="188">
        <v>0</v>
      </c>
      <c r="R82" s="188"/>
      <c r="S82" s="188"/>
      <c r="T82" s="188"/>
      <c r="U82" s="188"/>
      <c r="V82" s="188"/>
      <c r="W82" s="188"/>
      <c r="X82" s="188"/>
      <c r="Y82" s="188"/>
      <c r="Z82" s="188"/>
      <c r="AA82" s="188"/>
      <c r="AB82" s="188"/>
      <c r="AC82" s="188"/>
      <c r="AD82" s="188"/>
      <c r="AE82" s="188"/>
      <c r="AF82" s="188"/>
      <c r="AG82" s="188"/>
      <c r="AH82" s="188"/>
      <c r="AI82" s="188"/>
      <c r="AJ82" s="188"/>
      <c r="AK82" s="188"/>
      <c r="AL82" s="188"/>
      <c r="AM82" s="188"/>
      <c r="AN82" s="188"/>
      <c r="AO82" s="188"/>
      <c r="AP82" s="188"/>
      <c r="AQ82" s="188"/>
      <c r="AR82" s="188"/>
      <c r="AS82" s="188"/>
      <c r="AT82" s="188"/>
      <c r="AU82" s="188"/>
      <c r="AV82" s="188"/>
      <c r="AW82" s="188"/>
      <c r="AX82" s="188"/>
      <c r="AY82" s="188"/>
      <c r="AZ82" s="188"/>
      <c r="BA82" s="188"/>
      <c r="BB82" s="188"/>
      <c r="BC82" s="188"/>
      <c r="BD82" s="188"/>
      <c r="BE82" s="188"/>
      <c r="BF82" s="188"/>
      <c r="BG82" s="188"/>
      <c r="BH82" s="188"/>
      <c r="BI82" s="188"/>
      <c r="BJ82" s="188"/>
      <c r="BK82" s="188"/>
      <c r="BL82" s="188"/>
      <c r="BM82" s="188"/>
      <c r="BN82" s="188"/>
      <c r="BO82" s="188"/>
      <c r="BP82" s="188"/>
      <c r="BQ82" s="188"/>
      <c r="BR82" s="188"/>
      <c r="BS82" s="188"/>
      <c r="BT82" s="188"/>
      <c r="BU82" s="188"/>
      <c r="BV82" s="188"/>
      <c r="BW82" s="188"/>
      <c r="BX82" s="188"/>
      <c r="BY82" s="188"/>
      <c r="BZ82" s="188"/>
      <c r="CA82" s="188"/>
      <c r="CB82" s="188"/>
      <c r="CC82" s="188"/>
      <c r="CD82" s="188"/>
      <c r="CE82" s="188"/>
      <c r="CF82" s="188"/>
      <c r="CG82" s="188"/>
      <c r="CH82" s="188"/>
      <c r="CI82" s="188"/>
      <c r="CJ82" s="188"/>
      <c r="CK82" s="188"/>
      <c r="CL82" s="188"/>
    </row>
    <row r="83" spans="1:90" x14ac:dyDescent="0.25">
      <c r="A83" s="127" t="s">
        <v>58</v>
      </c>
      <c r="B83" s="188">
        <v>0</v>
      </c>
      <c r="C83" s="188">
        <v>0</v>
      </c>
      <c r="D83" s="188">
        <v>0</v>
      </c>
      <c r="E83" s="188">
        <v>0</v>
      </c>
      <c r="F83" s="188">
        <v>0</v>
      </c>
      <c r="G83" s="188">
        <v>0</v>
      </c>
      <c r="H83" s="188">
        <v>0</v>
      </c>
      <c r="I83" s="188">
        <v>0</v>
      </c>
      <c r="J83" s="188">
        <v>0</v>
      </c>
      <c r="K83" s="188">
        <v>0</v>
      </c>
      <c r="L83" s="188">
        <v>0</v>
      </c>
      <c r="M83" s="188">
        <v>0</v>
      </c>
      <c r="N83" s="188">
        <v>0</v>
      </c>
      <c r="O83" s="188">
        <v>0</v>
      </c>
      <c r="P83" s="188">
        <v>0</v>
      </c>
      <c r="Q83" s="188">
        <v>0</v>
      </c>
      <c r="R83" s="188"/>
      <c r="S83" s="188"/>
      <c r="T83" s="188"/>
      <c r="U83" s="188"/>
      <c r="V83" s="188"/>
      <c r="W83" s="188"/>
      <c r="X83" s="188"/>
      <c r="Y83" s="188"/>
      <c r="Z83" s="188"/>
      <c r="AA83" s="188"/>
      <c r="AB83" s="188"/>
      <c r="AC83" s="188"/>
      <c r="AD83" s="188"/>
      <c r="AE83" s="188"/>
      <c r="AF83" s="188"/>
      <c r="AG83" s="188"/>
      <c r="AH83" s="188"/>
      <c r="AI83" s="188"/>
      <c r="AJ83" s="188"/>
      <c r="AK83" s="188"/>
      <c r="AL83" s="188"/>
      <c r="AM83" s="188"/>
      <c r="AN83" s="188"/>
      <c r="AO83" s="188"/>
      <c r="AP83" s="188"/>
      <c r="AQ83" s="188"/>
      <c r="AR83" s="188"/>
      <c r="AS83" s="188"/>
      <c r="AT83" s="188"/>
      <c r="AU83" s="188"/>
      <c r="AV83" s="188"/>
      <c r="AW83" s="188"/>
      <c r="AX83" s="188"/>
      <c r="AY83" s="188"/>
      <c r="AZ83" s="188"/>
      <c r="BA83" s="188"/>
      <c r="BB83" s="188"/>
      <c r="BC83" s="188"/>
      <c r="BD83" s="188"/>
      <c r="BE83" s="188"/>
      <c r="BF83" s="188"/>
      <c r="BG83" s="188"/>
      <c r="BH83" s="188"/>
      <c r="BI83" s="188"/>
      <c r="BJ83" s="188"/>
      <c r="BK83" s="188"/>
      <c r="BL83" s="188"/>
      <c r="BM83" s="188"/>
      <c r="BN83" s="188"/>
      <c r="BO83" s="188"/>
      <c r="BP83" s="188"/>
      <c r="BQ83" s="188"/>
      <c r="BR83" s="188"/>
      <c r="BS83" s="188"/>
      <c r="BT83" s="188"/>
      <c r="BU83" s="188"/>
      <c r="BV83" s="188"/>
      <c r="BW83" s="188"/>
      <c r="BX83" s="188"/>
      <c r="BY83" s="188"/>
      <c r="BZ83" s="188"/>
      <c r="CA83" s="188"/>
      <c r="CB83" s="188"/>
      <c r="CC83" s="188"/>
      <c r="CD83" s="188"/>
      <c r="CE83" s="188"/>
      <c r="CF83" s="188"/>
      <c r="CG83" s="188"/>
      <c r="CH83" s="188"/>
      <c r="CI83" s="188"/>
      <c r="CJ83" s="188"/>
      <c r="CK83" s="188"/>
      <c r="CL83" s="188"/>
    </row>
    <row r="84" spans="1:90" x14ac:dyDescent="0.25">
      <c r="A84" s="127" t="s">
        <v>59</v>
      </c>
      <c r="B84" s="188">
        <v>0</v>
      </c>
      <c r="C84" s="188">
        <v>0</v>
      </c>
      <c r="D84" s="188">
        <v>0</v>
      </c>
      <c r="E84" s="188">
        <v>0</v>
      </c>
      <c r="F84" s="188">
        <v>0</v>
      </c>
      <c r="G84" s="188">
        <v>0</v>
      </c>
      <c r="H84" s="188">
        <v>0</v>
      </c>
      <c r="I84" s="188">
        <v>0</v>
      </c>
      <c r="J84" s="188">
        <v>0</v>
      </c>
      <c r="K84" s="188">
        <v>0</v>
      </c>
      <c r="L84" s="188">
        <v>0</v>
      </c>
      <c r="M84" s="188">
        <v>0</v>
      </c>
      <c r="N84" s="188">
        <v>0</v>
      </c>
      <c r="O84" s="188">
        <v>0</v>
      </c>
      <c r="P84" s="188">
        <v>0</v>
      </c>
      <c r="Q84" s="188">
        <v>0</v>
      </c>
      <c r="R84" s="188"/>
      <c r="S84" s="188"/>
      <c r="T84" s="188"/>
      <c r="U84" s="188"/>
      <c r="V84" s="188"/>
      <c r="W84" s="188"/>
      <c r="X84" s="188"/>
      <c r="Y84" s="188"/>
      <c r="Z84" s="188"/>
      <c r="AA84" s="188"/>
      <c r="AB84" s="188"/>
      <c r="AC84" s="188"/>
      <c r="AD84" s="188"/>
      <c r="AE84" s="188"/>
      <c r="AF84" s="188"/>
      <c r="AG84" s="188"/>
      <c r="AH84" s="188"/>
      <c r="AI84" s="188"/>
      <c r="AJ84" s="188"/>
      <c r="AK84" s="188"/>
      <c r="AL84" s="188"/>
      <c r="AM84" s="188"/>
      <c r="AN84" s="188"/>
      <c r="AO84" s="188"/>
      <c r="AP84" s="188"/>
      <c r="AQ84" s="188"/>
      <c r="AR84" s="188"/>
      <c r="AS84" s="188"/>
      <c r="AT84" s="188"/>
      <c r="AU84" s="188"/>
      <c r="AV84" s="188"/>
      <c r="AW84" s="188"/>
      <c r="AX84" s="188"/>
      <c r="AY84" s="188"/>
      <c r="AZ84" s="188"/>
      <c r="BA84" s="188"/>
      <c r="BB84" s="188"/>
      <c r="BC84" s="188"/>
      <c r="BD84" s="188"/>
      <c r="BE84" s="188"/>
      <c r="BF84" s="188"/>
      <c r="BG84" s="188"/>
      <c r="BH84" s="188"/>
      <c r="BI84" s="188"/>
      <c r="BJ84" s="188"/>
      <c r="BK84" s="188"/>
      <c r="BL84" s="188"/>
      <c r="BM84" s="188"/>
      <c r="BN84" s="188"/>
      <c r="BO84" s="188"/>
      <c r="BP84" s="188"/>
      <c r="BQ84" s="188"/>
      <c r="BR84" s="188"/>
      <c r="BS84" s="188"/>
      <c r="BT84" s="188"/>
      <c r="BU84" s="188"/>
      <c r="BV84" s="188"/>
      <c r="BW84" s="188"/>
      <c r="BX84" s="188"/>
      <c r="BY84" s="188"/>
      <c r="BZ84" s="188"/>
      <c r="CA84" s="188"/>
      <c r="CB84" s="188"/>
      <c r="CC84" s="188"/>
      <c r="CD84" s="188"/>
      <c r="CE84" s="188"/>
      <c r="CF84" s="188"/>
      <c r="CG84" s="188"/>
      <c r="CH84" s="188"/>
      <c r="CI84" s="188"/>
      <c r="CJ84" s="188"/>
      <c r="CK84" s="188"/>
      <c r="CL84" s="188"/>
    </row>
    <row r="85" spans="1:90" x14ac:dyDescent="0.25">
      <c r="A85" s="127" t="s">
        <v>83</v>
      </c>
      <c r="B85" s="188">
        <v>0</v>
      </c>
      <c r="C85" s="188">
        <v>0</v>
      </c>
      <c r="D85" s="188">
        <v>0</v>
      </c>
      <c r="E85" s="188">
        <v>0</v>
      </c>
      <c r="F85" s="188">
        <v>0</v>
      </c>
      <c r="G85" s="188">
        <v>0</v>
      </c>
      <c r="H85" s="188">
        <v>0</v>
      </c>
      <c r="I85" s="188">
        <v>0</v>
      </c>
      <c r="J85" s="188">
        <v>0</v>
      </c>
      <c r="K85" s="188">
        <v>0</v>
      </c>
      <c r="L85" s="188">
        <v>0</v>
      </c>
      <c r="M85" s="188">
        <v>0</v>
      </c>
      <c r="N85" s="188">
        <v>0</v>
      </c>
      <c r="O85" s="188">
        <v>5375879.2400000002</v>
      </c>
      <c r="P85" s="188">
        <v>4881671.9800000004</v>
      </c>
      <c r="Q85" s="188">
        <v>0</v>
      </c>
      <c r="R85" s="188"/>
      <c r="S85" s="188"/>
      <c r="T85" s="188"/>
      <c r="U85" s="188"/>
      <c r="V85" s="188"/>
      <c r="W85" s="188"/>
      <c r="X85" s="188"/>
      <c r="Y85" s="188"/>
      <c r="Z85" s="188"/>
      <c r="AA85" s="188"/>
      <c r="AB85" s="188"/>
      <c r="AC85" s="188"/>
      <c r="AD85" s="188"/>
      <c r="AE85" s="188"/>
      <c r="AF85" s="188"/>
      <c r="AG85" s="188"/>
      <c r="AH85" s="188"/>
      <c r="AI85" s="188"/>
      <c r="AJ85" s="188"/>
      <c r="AK85" s="188"/>
      <c r="AL85" s="188"/>
      <c r="AM85" s="188"/>
      <c r="AN85" s="188"/>
      <c r="AO85" s="188"/>
      <c r="AP85" s="188"/>
      <c r="AQ85" s="188"/>
      <c r="AR85" s="188"/>
      <c r="AS85" s="188"/>
      <c r="AT85" s="188"/>
      <c r="AU85" s="188"/>
      <c r="AV85" s="188"/>
      <c r="AW85" s="188"/>
      <c r="AX85" s="188"/>
      <c r="AY85" s="188"/>
      <c r="AZ85" s="188"/>
      <c r="BA85" s="188"/>
      <c r="BB85" s="188"/>
      <c r="BC85" s="188"/>
      <c r="BD85" s="188"/>
      <c r="BE85" s="188"/>
      <c r="BF85" s="188"/>
      <c r="BG85" s="188"/>
      <c r="BH85" s="188"/>
      <c r="BI85" s="188"/>
      <c r="BJ85" s="188"/>
      <c r="BK85" s="188"/>
      <c r="BL85" s="188"/>
      <c r="BM85" s="188"/>
      <c r="BN85" s="188"/>
      <c r="BO85" s="188"/>
      <c r="BP85" s="188"/>
      <c r="BQ85" s="188"/>
      <c r="BR85" s="188"/>
      <c r="BS85" s="188"/>
      <c r="BT85" s="188"/>
      <c r="BU85" s="188"/>
      <c r="BV85" s="188"/>
      <c r="BW85" s="188"/>
      <c r="BX85" s="188"/>
      <c r="BY85" s="188"/>
      <c r="BZ85" s="188"/>
      <c r="CA85" s="188"/>
      <c r="CB85" s="188"/>
      <c r="CC85" s="188"/>
      <c r="CD85" s="188"/>
      <c r="CE85" s="188"/>
      <c r="CF85" s="188"/>
      <c r="CG85" s="188"/>
      <c r="CH85" s="188"/>
      <c r="CI85" s="188"/>
      <c r="CJ85" s="188"/>
      <c r="CK85" s="188"/>
      <c r="CL85" s="188"/>
    </row>
    <row r="86" spans="1:90" hidden="1" x14ac:dyDescent="0.25">
      <c r="A86" s="127"/>
      <c r="B86" s="26"/>
      <c r="C86" s="26"/>
      <c r="D86" s="26"/>
      <c r="E86" s="26"/>
      <c r="F86" s="26"/>
      <c r="G86" s="26"/>
      <c r="H86" s="26"/>
      <c r="I86" s="26"/>
      <c r="J86" s="26"/>
      <c r="K86" s="26"/>
      <c r="L86" s="23"/>
    </row>
    <row r="87" spans="1:90" hidden="1" x14ac:dyDescent="0.25">
      <c r="A87" s="127"/>
      <c r="B87" s="26"/>
      <c r="C87" s="26"/>
      <c r="D87" s="26"/>
      <c r="E87" s="26"/>
      <c r="F87" s="26"/>
      <c r="G87" s="26"/>
      <c r="H87" s="26"/>
      <c r="I87" s="26"/>
      <c r="J87" s="26"/>
      <c r="K87" s="26"/>
      <c r="L87" s="23"/>
    </row>
    <row r="88" spans="1:90" hidden="1" x14ac:dyDescent="0.25">
      <c r="A88" s="127"/>
      <c r="B88" s="26"/>
      <c r="C88" s="26"/>
      <c r="D88" s="26"/>
      <c r="E88" s="26"/>
      <c r="F88" s="26"/>
      <c r="G88" s="26"/>
      <c r="H88" s="26"/>
      <c r="I88" s="26"/>
      <c r="J88" s="26"/>
      <c r="K88" s="26"/>
      <c r="L88" s="23"/>
    </row>
    <row r="89" spans="1:90" s="5" customFormat="1" x14ac:dyDescent="0.25">
      <c r="A89" s="128" t="s">
        <v>60</v>
      </c>
      <c r="B89" s="33">
        <f>SUM(B73:B85)</f>
        <v>0</v>
      </c>
      <c r="C89" s="33">
        <f>SUM(C73:C85)</f>
        <v>0</v>
      </c>
      <c r="D89" s="33">
        <f>SUM(D73:D85)</f>
        <v>0</v>
      </c>
      <c r="E89" s="33">
        <f>E72+E81</f>
        <v>0</v>
      </c>
      <c r="F89" s="33">
        <f t="shared" ref="F89:BQ89" si="18">F72+F81</f>
        <v>0</v>
      </c>
      <c r="G89" s="33">
        <f t="shared" si="18"/>
        <v>0</v>
      </c>
      <c r="H89" s="33">
        <f t="shared" si="18"/>
        <v>43651183.420000002</v>
      </c>
      <c r="I89" s="33">
        <f t="shared" si="18"/>
        <v>76655193.420000002</v>
      </c>
      <c r="J89" s="33">
        <f t="shared" si="18"/>
        <v>112348118.75</v>
      </c>
      <c r="K89" s="33">
        <f t="shared" si="18"/>
        <v>111893390.84</v>
      </c>
      <c r="L89" s="33">
        <f t="shared" si="18"/>
        <v>90417725.329999998</v>
      </c>
      <c r="M89" s="33">
        <f t="shared" si="18"/>
        <v>103040800</v>
      </c>
      <c r="N89" s="33">
        <f t="shared" si="18"/>
        <v>178435714</v>
      </c>
      <c r="O89" s="33">
        <f t="shared" si="18"/>
        <v>71213008.239999995</v>
      </c>
      <c r="P89" s="33">
        <f t="shared" si="18"/>
        <v>23881671.98</v>
      </c>
      <c r="Q89" s="33">
        <f t="shared" si="18"/>
        <v>0</v>
      </c>
      <c r="R89" s="33">
        <f t="shared" si="18"/>
        <v>0</v>
      </c>
      <c r="S89" s="33">
        <f t="shared" si="18"/>
        <v>0</v>
      </c>
      <c r="T89" s="33">
        <f t="shared" si="18"/>
        <v>0</v>
      </c>
      <c r="U89" s="33">
        <f t="shared" si="18"/>
        <v>0</v>
      </c>
      <c r="V89" s="33">
        <f t="shared" si="18"/>
        <v>0</v>
      </c>
      <c r="W89" s="33">
        <f t="shared" si="18"/>
        <v>0</v>
      </c>
      <c r="X89" s="33">
        <f t="shared" si="18"/>
        <v>0</v>
      </c>
      <c r="Y89" s="33">
        <f t="shared" si="18"/>
        <v>0</v>
      </c>
      <c r="Z89" s="33">
        <f t="shared" si="18"/>
        <v>0</v>
      </c>
      <c r="AA89" s="33">
        <f t="shared" si="18"/>
        <v>0</v>
      </c>
      <c r="AB89" s="33">
        <f t="shared" si="18"/>
        <v>0</v>
      </c>
      <c r="AC89" s="33">
        <f t="shared" si="18"/>
        <v>0</v>
      </c>
      <c r="AD89" s="33">
        <f t="shared" si="18"/>
        <v>0</v>
      </c>
      <c r="AE89" s="33">
        <f t="shared" si="18"/>
        <v>0</v>
      </c>
      <c r="AF89" s="33">
        <f t="shared" si="18"/>
        <v>0</v>
      </c>
      <c r="AG89" s="33">
        <f t="shared" si="18"/>
        <v>0</v>
      </c>
      <c r="AH89" s="33">
        <f t="shared" si="18"/>
        <v>0</v>
      </c>
      <c r="AI89" s="33">
        <f t="shared" si="18"/>
        <v>0</v>
      </c>
      <c r="AJ89" s="33">
        <f t="shared" si="18"/>
        <v>0</v>
      </c>
      <c r="AK89" s="33">
        <f t="shared" si="18"/>
        <v>0</v>
      </c>
      <c r="AL89" s="33">
        <f t="shared" si="18"/>
        <v>0</v>
      </c>
      <c r="AM89" s="33">
        <f t="shared" si="18"/>
        <v>0</v>
      </c>
      <c r="AN89" s="33">
        <f t="shared" si="18"/>
        <v>0</v>
      </c>
      <c r="AO89" s="33">
        <f t="shared" si="18"/>
        <v>0</v>
      </c>
      <c r="AP89" s="33">
        <f t="shared" si="18"/>
        <v>0</v>
      </c>
      <c r="AQ89" s="33">
        <f t="shared" si="18"/>
        <v>0</v>
      </c>
      <c r="AR89" s="33">
        <f t="shared" si="18"/>
        <v>0</v>
      </c>
      <c r="AS89" s="33">
        <f t="shared" si="18"/>
        <v>0</v>
      </c>
      <c r="AT89" s="33">
        <f t="shared" si="18"/>
        <v>0</v>
      </c>
      <c r="AU89" s="33">
        <f t="shared" si="18"/>
        <v>0</v>
      </c>
      <c r="AV89" s="33">
        <f t="shared" si="18"/>
        <v>0</v>
      </c>
      <c r="AW89" s="33">
        <f t="shared" si="18"/>
        <v>0</v>
      </c>
      <c r="AX89" s="33">
        <f t="shared" si="18"/>
        <v>0</v>
      </c>
      <c r="AY89" s="33">
        <f t="shared" si="18"/>
        <v>0</v>
      </c>
      <c r="AZ89" s="33">
        <f t="shared" si="18"/>
        <v>0</v>
      </c>
      <c r="BA89" s="33">
        <f t="shared" si="18"/>
        <v>0</v>
      </c>
      <c r="BB89" s="33">
        <f t="shared" si="18"/>
        <v>0</v>
      </c>
      <c r="BC89" s="33">
        <f t="shared" si="18"/>
        <v>0</v>
      </c>
      <c r="BD89" s="33">
        <f t="shared" si="18"/>
        <v>0</v>
      </c>
      <c r="BE89" s="33">
        <f t="shared" si="18"/>
        <v>0</v>
      </c>
      <c r="BF89" s="33">
        <f t="shared" si="18"/>
        <v>0</v>
      </c>
      <c r="BG89" s="33">
        <f t="shared" si="18"/>
        <v>0</v>
      </c>
      <c r="BH89" s="33">
        <f t="shared" si="18"/>
        <v>0</v>
      </c>
      <c r="BI89" s="33">
        <f t="shared" si="18"/>
        <v>0</v>
      </c>
      <c r="BJ89" s="33">
        <f t="shared" si="18"/>
        <v>0</v>
      </c>
      <c r="BK89" s="33">
        <f t="shared" si="18"/>
        <v>0</v>
      </c>
      <c r="BL89" s="33">
        <f t="shared" si="18"/>
        <v>0</v>
      </c>
      <c r="BM89" s="33">
        <f t="shared" si="18"/>
        <v>0</v>
      </c>
      <c r="BN89" s="33">
        <f t="shared" si="18"/>
        <v>0</v>
      </c>
      <c r="BO89" s="33">
        <f t="shared" si="18"/>
        <v>0</v>
      </c>
      <c r="BP89" s="33">
        <f t="shared" si="18"/>
        <v>0</v>
      </c>
      <c r="BQ89" s="33">
        <f t="shared" si="18"/>
        <v>0</v>
      </c>
      <c r="BR89" s="33">
        <f t="shared" ref="BR89:CK89" si="19">BR72+BR81</f>
        <v>0</v>
      </c>
      <c r="BS89" s="33">
        <f t="shared" si="19"/>
        <v>0</v>
      </c>
      <c r="BT89" s="33">
        <f t="shared" si="19"/>
        <v>0</v>
      </c>
      <c r="BU89" s="33">
        <f t="shared" si="19"/>
        <v>0</v>
      </c>
      <c r="BV89" s="33">
        <f t="shared" si="19"/>
        <v>0</v>
      </c>
      <c r="BW89" s="33">
        <f t="shared" si="19"/>
        <v>0</v>
      </c>
      <c r="BX89" s="33">
        <f t="shared" si="19"/>
        <v>0</v>
      </c>
      <c r="BY89" s="33">
        <f t="shared" si="19"/>
        <v>0</v>
      </c>
      <c r="BZ89" s="33">
        <f t="shared" si="19"/>
        <v>0</v>
      </c>
      <c r="CA89" s="33">
        <f t="shared" si="19"/>
        <v>0</v>
      </c>
      <c r="CB89" s="33">
        <f t="shared" si="19"/>
        <v>0</v>
      </c>
      <c r="CC89" s="33">
        <f t="shared" si="19"/>
        <v>0</v>
      </c>
      <c r="CD89" s="33">
        <f t="shared" si="19"/>
        <v>0</v>
      </c>
      <c r="CE89" s="33">
        <f t="shared" si="19"/>
        <v>0</v>
      </c>
      <c r="CF89" s="33">
        <f t="shared" si="19"/>
        <v>0</v>
      </c>
      <c r="CG89" s="33">
        <f t="shared" si="19"/>
        <v>0</v>
      </c>
      <c r="CH89" s="33">
        <f t="shared" si="19"/>
        <v>0</v>
      </c>
      <c r="CI89" s="33">
        <f t="shared" si="19"/>
        <v>0</v>
      </c>
      <c r="CJ89" s="33">
        <f t="shared" si="19"/>
        <v>0</v>
      </c>
      <c r="CK89" s="33">
        <f t="shared" si="19"/>
        <v>0</v>
      </c>
    </row>
    <row r="90" spans="1:90" x14ac:dyDescent="0.25">
      <c r="A90" s="20" t="s">
        <v>61</v>
      </c>
      <c r="B90" s="26"/>
      <c r="C90" s="26"/>
      <c r="D90" s="26"/>
      <c r="E90" s="26"/>
      <c r="F90" s="26"/>
      <c r="G90" s="26"/>
      <c r="H90" s="26"/>
      <c r="I90" s="26"/>
      <c r="J90" s="26"/>
      <c r="K90" s="26"/>
      <c r="L90" s="23"/>
      <c r="M90" s="13"/>
      <c r="N90" s="13"/>
    </row>
    <row r="91" spans="1:90" x14ac:dyDescent="0.25">
      <c r="A91" s="127" t="s">
        <v>62</v>
      </c>
      <c r="B91" s="188">
        <v>220000000</v>
      </c>
      <c r="C91" s="188">
        <v>220000000</v>
      </c>
      <c r="D91" s="188">
        <v>220000000</v>
      </c>
      <c r="E91" s="188">
        <v>220000000</v>
      </c>
      <c r="F91" s="188">
        <v>220000000</v>
      </c>
      <c r="G91" s="188">
        <v>220000000</v>
      </c>
      <c r="H91" s="188">
        <v>220000000</v>
      </c>
      <c r="I91" s="188">
        <v>220000000</v>
      </c>
      <c r="J91" s="188">
        <v>165000000</v>
      </c>
      <c r="K91" s="188">
        <v>165000000</v>
      </c>
      <c r="L91" s="188">
        <v>165000000</v>
      </c>
      <c r="M91" s="188">
        <v>165000000</v>
      </c>
      <c r="N91" s="188">
        <v>165000000</v>
      </c>
      <c r="O91" s="188">
        <v>120000000</v>
      </c>
      <c r="P91" s="188">
        <v>120000000</v>
      </c>
      <c r="Q91" s="188">
        <v>0</v>
      </c>
      <c r="R91" s="188"/>
      <c r="S91" s="188"/>
      <c r="T91" s="188"/>
      <c r="U91" s="188"/>
      <c r="V91" s="188"/>
      <c r="W91" s="188"/>
      <c r="X91" s="188"/>
      <c r="Y91" s="188"/>
      <c r="Z91" s="188"/>
      <c r="AA91" s="188"/>
      <c r="AB91" s="188"/>
      <c r="AC91" s="188"/>
      <c r="AD91" s="188"/>
      <c r="AE91" s="188"/>
      <c r="AF91" s="188"/>
      <c r="AG91" s="188"/>
      <c r="AH91" s="188"/>
      <c r="AI91" s="188"/>
      <c r="AJ91" s="188"/>
      <c r="AK91" s="188"/>
      <c r="AL91" s="188"/>
      <c r="AM91" s="188"/>
      <c r="AN91" s="188"/>
      <c r="AO91" s="188"/>
      <c r="AP91" s="188"/>
      <c r="AQ91" s="188"/>
      <c r="AR91" s="188"/>
      <c r="AS91" s="188"/>
      <c r="AT91" s="188"/>
      <c r="AU91" s="188"/>
      <c r="AV91" s="188"/>
      <c r="AW91" s="188"/>
      <c r="AX91" s="188"/>
      <c r="AY91" s="188"/>
      <c r="AZ91" s="188"/>
      <c r="BA91" s="188"/>
      <c r="BB91" s="188"/>
      <c r="BC91" s="188"/>
      <c r="BD91" s="188"/>
      <c r="BE91" s="188"/>
      <c r="BF91" s="188"/>
      <c r="BG91" s="188"/>
      <c r="BH91" s="188"/>
      <c r="BI91" s="188"/>
      <c r="BJ91" s="188"/>
      <c r="BK91" s="188"/>
      <c r="BL91" s="188"/>
      <c r="BM91" s="188"/>
      <c r="BN91" s="188"/>
      <c r="BO91" s="188"/>
      <c r="BP91" s="188"/>
      <c r="BQ91" s="188"/>
      <c r="BR91" s="188"/>
      <c r="BS91" s="188"/>
      <c r="BT91" s="188"/>
      <c r="BU91" s="188"/>
      <c r="BV91" s="188"/>
      <c r="BW91" s="188"/>
      <c r="BX91" s="188"/>
      <c r="BY91" s="188"/>
      <c r="BZ91" s="188"/>
      <c r="CA91" s="188"/>
      <c r="CB91" s="188"/>
      <c r="CC91" s="188"/>
      <c r="CD91" s="188"/>
      <c r="CE91" s="188"/>
      <c r="CF91" s="188"/>
      <c r="CG91" s="188"/>
      <c r="CH91" s="188"/>
      <c r="CI91" s="188"/>
      <c r="CJ91" s="188"/>
      <c r="CK91" s="188"/>
      <c r="CL91" s="188"/>
    </row>
    <row r="92" spans="1:90" x14ac:dyDescent="0.25">
      <c r="A92" s="127" t="s">
        <v>63</v>
      </c>
      <c r="B92" s="188">
        <v>437605497.49000001</v>
      </c>
      <c r="C92" s="188">
        <v>437605497.49000001</v>
      </c>
      <c r="D92" s="188">
        <v>437868907.13</v>
      </c>
      <c r="E92" s="188">
        <v>444112288.20999998</v>
      </c>
      <c r="F92" s="188">
        <v>444127345.81</v>
      </c>
      <c r="G92" s="188">
        <v>447414712.44</v>
      </c>
      <c r="H92" s="188">
        <v>447414712.44</v>
      </c>
      <c r="I92" s="188">
        <v>452749000</v>
      </c>
      <c r="J92" s="188">
        <v>0</v>
      </c>
      <c r="K92" s="188">
        <v>0</v>
      </c>
      <c r="L92" s="188">
        <v>0</v>
      </c>
      <c r="M92" s="188">
        <v>0</v>
      </c>
      <c r="N92" s="188">
        <v>0</v>
      </c>
      <c r="O92" s="188">
        <v>8283573.2199999997</v>
      </c>
      <c r="P92" s="188">
        <v>32158303.510000002</v>
      </c>
      <c r="Q92" s="188">
        <v>0</v>
      </c>
      <c r="R92" s="188"/>
      <c r="S92" s="188"/>
      <c r="T92" s="188"/>
      <c r="U92" s="188"/>
      <c r="V92" s="188"/>
      <c r="W92" s="188"/>
      <c r="X92" s="188"/>
      <c r="Y92" s="188"/>
      <c r="Z92" s="188"/>
      <c r="AA92" s="188"/>
      <c r="AB92" s="188"/>
      <c r="AC92" s="188"/>
      <c r="AD92" s="188"/>
      <c r="AE92" s="188"/>
      <c r="AF92" s="188"/>
      <c r="AG92" s="188"/>
      <c r="AH92" s="188"/>
      <c r="AI92" s="188"/>
      <c r="AJ92" s="188"/>
      <c r="AK92" s="188"/>
      <c r="AL92" s="188"/>
      <c r="AM92" s="188"/>
      <c r="AN92" s="188"/>
      <c r="AO92" s="188"/>
      <c r="AP92" s="188"/>
      <c r="AQ92" s="188"/>
      <c r="AR92" s="188"/>
      <c r="AS92" s="188"/>
      <c r="AT92" s="188"/>
      <c r="AU92" s="188"/>
      <c r="AV92" s="188"/>
      <c r="AW92" s="188"/>
      <c r="AX92" s="188"/>
      <c r="AY92" s="188"/>
      <c r="AZ92" s="188"/>
      <c r="BA92" s="188"/>
      <c r="BB92" s="188"/>
      <c r="BC92" s="188"/>
      <c r="BD92" s="188"/>
      <c r="BE92" s="188"/>
      <c r="BF92" s="188"/>
      <c r="BG92" s="188"/>
      <c r="BH92" s="188"/>
      <c r="BI92" s="188"/>
      <c r="BJ92" s="188"/>
      <c r="BK92" s="188"/>
      <c r="BL92" s="188"/>
      <c r="BM92" s="188"/>
      <c r="BN92" s="188"/>
      <c r="BO92" s="188"/>
      <c r="BP92" s="188"/>
      <c r="BQ92" s="188"/>
      <c r="BR92" s="188"/>
      <c r="BS92" s="188"/>
      <c r="BT92" s="188"/>
      <c r="BU92" s="188"/>
      <c r="BV92" s="188"/>
      <c r="BW92" s="188"/>
      <c r="BX92" s="188"/>
      <c r="BY92" s="188"/>
      <c r="BZ92" s="188"/>
      <c r="CA92" s="188"/>
      <c r="CB92" s="188"/>
      <c r="CC92" s="188"/>
      <c r="CD92" s="188"/>
      <c r="CE92" s="188"/>
      <c r="CF92" s="188"/>
      <c r="CG92" s="188"/>
      <c r="CH92" s="188"/>
      <c r="CI92" s="188"/>
      <c r="CJ92" s="188"/>
      <c r="CK92" s="188"/>
      <c r="CL92" s="188"/>
    </row>
    <row r="93" spans="1:90" x14ac:dyDescent="0.25">
      <c r="A93" s="127" t="s">
        <v>64</v>
      </c>
      <c r="B93" s="188">
        <v>0</v>
      </c>
      <c r="C93" s="188">
        <v>0</v>
      </c>
      <c r="D93" s="188">
        <v>0</v>
      </c>
      <c r="E93" s="188">
        <v>0</v>
      </c>
      <c r="F93" s="188">
        <v>0</v>
      </c>
      <c r="G93" s="188">
        <v>0</v>
      </c>
      <c r="H93" s="188">
        <v>0</v>
      </c>
      <c r="I93" s="188">
        <v>0</v>
      </c>
      <c r="J93" s="188">
        <v>0</v>
      </c>
      <c r="K93" s="188">
        <v>0</v>
      </c>
      <c r="L93" s="188">
        <v>0</v>
      </c>
      <c r="M93" s="188">
        <v>0</v>
      </c>
      <c r="N93" s="188">
        <v>0</v>
      </c>
      <c r="O93" s="188">
        <v>0</v>
      </c>
      <c r="P93" s="188">
        <v>0</v>
      </c>
      <c r="Q93" s="188">
        <v>0</v>
      </c>
      <c r="R93" s="188">
        <v>0</v>
      </c>
      <c r="S93" s="188">
        <v>0</v>
      </c>
      <c r="T93" s="188">
        <v>0</v>
      </c>
      <c r="U93" s="188">
        <v>0</v>
      </c>
      <c r="V93" s="188">
        <v>0</v>
      </c>
      <c r="W93" s="188">
        <v>0</v>
      </c>
      <c r="X93" s="188">
        <v>0</v>
      </c>
      <c r="Y93" s="188">
        <v>0</v>
      </c>
      <c r="Z93" s="188">
        <v>0</v>
      </c>
      <c r="AA93" s="188">
        <v>0</v>
      </c>
      <c r="AB93" s="188">
        <v>0</v>
      </c>
      <c r="AC93" s="188">
        <v>0</v>
      </c>
      <c r="AD93" s="188">
        <v>0</v>
      </c>
      <c r="AE93" s="188">
        <v>0</v>
      </c>
      <c r="AF93" s="188">
        <v>0</v>
      </c>
      <c r="AG93" s="188">
        <v>0</v>
      </c>
      <c r="AH93" s="188">
        <v>0</v>
      </c>
      <c r="AI93" s="188">
        <v>0</v>
      </c>
      <c r="AJ93" s="188">
        <v>0</v>
      </c>
      <c r="AK93" s="188">
        <v>0</v>
      </c>
      <c r="AL93" s="188">
        <v>0</v>
      </c>
      <c r="AM93" s="188">
        <v>0</v>
      </c>
      <c r="AN93" s="188">
        <v>0</v>
      </c>
      <c r="AO93" s="188">
        <v>0</v>
      </c>
      <c r="AP93" s="188">
        <v>0</v>
      </c>
      <c r="AQ93" s="188">
        <v>0</v>
      </c>
      <c r="AR93" s="188">
        <v>0</v>
      </c>
      <c r="AS93" s="188">
        <v>0</v>
      </c>
      <c r="AT93" s="188">
        <v>0</v>
      </c>
      <c r="AU93" s="188">
        <v>0</v>
      </c>
      <c r="AV93" s="188">
        <v>0</v>
      </c>
      <c r="AW93" s="188">
        <v>0</v>
      </c>
      <c r="AX93" s="188">
        <v>0</v>
      </c>
      <c r="AY93" s="188">
        <v>0</v>
      </c>
      <c r="AZ93" s="188">
        <v>0</v>
      </c>
      <c r="BA93" s="188">
        <v>0</v>
      </c>
      <c r="BB93" s="188">
        <v>0</v>
      </c>
      <c r="BC93" s="188">
        <v>0</v>
      </c>
      <c r="BD93" s="188">
        <v>0</v>
      </c>
      <c r="BE93" s="188">
        <v>0</v>
      </c>
      <c r="BF93" s="188">
        <v>0</v>
      </c>
      <c r="BG93" s="188">
        <v>0</v>
      </c>
      <c r="BH93" s="188">
        <v>0</v>
      </c>
      <c r="BI93" s="188">
        <v>0</v>
      </c>
      <c r="BJ93" s="188">
        <v>0</v>
      </c>
      <c r="BK93" s="188">
        <v>0</v>
      </c>
      <c r="BL93" s="188">
        <v>0</v>
      </c>
      <c r="BM93" s="188">
        <v>0</v>
      </c>
      <c r="BN93" s="188">
        <v>0</v>
      </c>
      <c r="BO93" s="188">
        <v>0</v>
      </c>
      <c r="BP93" s="188">
        <v>0</v>
      </c>
      <c r="BQ93" s="188">
        <v>0</v>
      </c>
      <c r="BR93" s="188">
        <v>0</v>
      </c>
      <c r="BS93" s="188">
        <v>0</v>
      </c>
      <c r="BT93" s="188">
        <v>0</v>
      </c>
      <c r="BU93" s="188">
        <v>0</v>
      </c>
      <c r="BV93" s="188">
        <v>0</v>
      </c>
      <c r="BW93" s="188">
        <v>0</v>
      </c>
      <c r="BX93" s="188">
        <v>0</v>
      </c>
      <c r="BY93" s="188">
        <v>0</v>
      </c>
      <c r="BZ93" s="188">
        <v>0</v>
      </c>
      <c r="CA93" s="188">
        <v>0</v>
      </c>
      <c r="CB93" s="188">
        <v>0</v>
      </c>
      <c r="CC93" s="188">
        <v>0</v>
      </c>
      <c r="CD93" s="188">
        <v>0</v>
      </c>
      <c r="CE93" s="188">
        <v>0</v>
      </c>
      <c r="CF93" s="188">
        <v>0</v>
      </c>
      <c r="CG93" s="188">
        <v>0</v>
      </c>
      <c r="CH93" s="188">
        <v>0</v>
      </c>
      <c r="CI93" s="188">
        <v>0</v>
      </c>
      <c r="CJ93" s="188">
        <v>0</v>
      </c>
      <c r="CK93" s="188">
        <v>0</v>
      </c>
      <c r="CL93" s="188">
        <v>0</v>
      </c>
    </row>
    <row r="94" spans="1:90" x14ac:dyDescent="0.25">
      <c r="A94" s="127" t="s">
        <v>65</v>
      </c>
      <c r="B94" s="188">
        <v>0</v>
      </c>
      <c r="C94" s="188">
        <v>0</v>
      </c>
      <c r="D94" s="188">
        <v>0</v>
      </c>
      <c r="E94" s="188">
        <v>0</v>
      </c>
      <c r="F94" s="188">
        <v>0</v>
      </c>
      <c r="G94" s="188">
        <v>0</v>
      </c>
      <c r="H94" s="188">
        <v>0</v>
      </c>
      <c r="I94" s="188">
        <v>0</v>
      </c>
      <c r="J94" s="188">
        <v>0</v>
      </c>
      <c r="K94" s="188">
        <v>0</v>
      </c>
      <c r="L94" s="188">
        <v>0</v>
      </c>
      <c r="M94" s="188">
        <v>0</v>
      </c>
      <c r="N94" s="188">
        <v>0</v>
      </c>
      <c r="O94" s="188">
        <v>0</v>
      </c>
      <c r="P94" s="188">
        <v>0</v>
      </c>
      <c r="Q94" s="188">
        <v>0</v>
      </c>
      <c r="R94" s="188">
        <v>0</v>
      </c>
      <c r="S94" s="188">
        <v>0</v>
      </c>
      <c r="T94" s="188">
        <v>0</v>
      </c>
      <c r="U94" s="188">
        <v>0</v>
      </c>
      <c r="V94" s="188">
        <v>0</v>
      </c>
      <c r="W94" s="188">
        <v>0</v>
      </c>
      <c r="X94" s="188">
        <v>0</v>
      </c>
      <c r="Y94" s="188">
        <v>0</v>
      </c>
      <c r="Z94" s="188">
        <v>0</v>
      </c>
      <c r="AA94" s="188">
        <v>0</v>
      </c>
      <c r="AB94" s="188">
        <v>0</v>
      </c>
      <c r="AC94" s="188">
        <v>0</v>
      </c>
      <c r="AD94" s="188">
        <v>0</v>
      </c>
      <c r="AE94" s="188">
        <v>0</v>
      </c>
      <c r="AF94" s="188">
        <v>0</v>
      </c>
      <c r="AG94" s="188">
        <v>0</v>
      </c>
      <c r="AH94" s="188">
        <v>0</v>
      </c>
      <c r="AI94" s="188">
        <v>0</v>
      </c>
      <c r="AJ94" s="188">
        <v>0</v>
      </c>
      <c r="AK94" s="188">
        <v>0</v>
      </c>
      <c r="AL94" s="188">
        <v>0</v>
      </c>
      <c r="AM94" s="188">
        <v>0</v>
      </c>
      <c r="AN94" s="188">
        <v>0</v>
      </c>
      <c r="AO94" s="188">
        <v>0</v>
      </c>
      <c r="AP94" s="188">
        <v>0</v>
      </c>
      <c r="AQ94" s="188">
        <v>0</v>
      </c>
      <c r="AR94" s="188">
        <v>0</v>
      </c>
      <c r="AS94" s="188">
        <v>0</v>
      </c>
      <c r="AT94" s="188">
        <v>0</v>
      </c>
      <c r="AU94" s="188">
        <v>0</v>
      </c>
      <c r="AV94" s="188">
        <v>0</v>
      </c>
      <c r="AW94" s="188">
        <v>0</v>
      </c>
      <c r="AX94" s="188">
        <v>0</v>
      </c>
      <c r="AY94" s="188">
        <v>0</v>
      </c>
      <c r="AZ94" s="188">
        <v>0</v>
      </c>
      <c r="BA94" s="188">
        <v>0</v>
      </c>
      <c r="BB94" s="188">
        <v>0</v>
      </c>
      <c r="BC94" s="188">
        <v>0</v>
      </c>
      <c r="BD94" s="188">
        <v>0</v>
      </c>
      <c r="BE94" s="188">
        <v>0</v>
      </c>
      <c r="BF94" s="188">
        <v>0</v>
      </c>
      <c r="BG94" s="188">
        <v>0</v>
      </c>
      <c r="BH94" s="188">
        <v>0</v>
      </c>
      <c r="BI94" s="188">
        <v>0</v>
      </c>
      <c r="BJ94" s="188">
        <v>0</v>
      </c>
      <c r="BK94" s="188">
        <v>0</v>
      </c>
      <c r="BL94" s="188">
        <v>0</v>
      </c>
      <c r="BM94" s="188">
        <v>0</v>
      </c>
      <c r="BN94" s="188">
        <v>0</v>
      </c>
      <c r="BO94" s="188">
        <v>0</v>
      </c>
      <c r="BP94" s="188">
        <v>0</v>
      </c>
      <c r="BQ94" s="188">
        <v>0</v>
      </c>
      <c r="BR94" s="188">
        <v>0</v>
      </c>
      <c r="BS94" s="188">
        <v>0</v>
      </c>
      <c r="BT94" s="188">
        <v>0</v>
      </c>
      <c r="BU94" s="188">
        <v>0</v>
      </c>
      <c r="BV94" s="188">
        <v>0</v>
      </c>
      <c r="BW94" s="188">
        <v>0</v>
      </c>
      <c r="BX94" s="188">
        <v>0</v>
      </c>
      <c r="BY94" s="188">
        <v>0</v>
      </c>
      <c r="BZ94" s="188">
        <v>0</v>
      </c>
      <c r="CA94" s="188">
        <v>0</v>
      </c>
      <c r="CB94" s="188">
        <v>0</v>
      </c>
      <c r="CC94" s="188">
        <v>0</v>
      </c>
      <c r="CD94" s="188">
        <v>0</v>
      </c>
      <c r="CE94" s="188">
        <v>0</v>
      </c>
      <c r="CF94" s="188">
        <v>0</v>
      </c>
      <c r="CG94" s="188">
        <v>0</v>
      </c>
      <c r="CH94" s="188">
        <v>0</v>
      </c>
      <c r="CI94" s="188">
        <v>0</v>
      </c>
      <c r="CJ94" s="188">
        <v>0</v>
      </c>
      <c r="CK94" s="188">
        <v>0</v>
      </c>
      <c r="CL94" s="188">
        <v>0</v>
      </c>
    </row>
    <row r="95" spans="1:90" x14ac:dyDescent="0.25">
      <c r="A95" s="127" t="s">
        <v>66</v>
      </c>
      <c r="B95" s="188">
        <v>0</v>
      </c>
      <c r="C95" s="188">
        <v>0</v>
      </c>
      <c r="D95" s="188">
        <v>0</v>
      </c>
      <c r="E95" s="188">
        <v>0</v>
      </c>
      <c r="F95" s="188">
        <v>0</v>
      </c>
      <c r="G95" s="188">
        <v>0</v>
      </c>
      <c r="H95" s="188">
        <v>0</v>
      </c>
      <c r="I95" s="188">
        <v>0</v>
      </c>
      <c r="J95" s="188">
        <v>0</v>
      </c>
      <c r="K95" s="188">
        <v>0</v>
      </c>
      <c r="L95" s="188">
        <v>0</v>
      </c>
      <c r="M95" s="188">
        <v>0</v>
      </c>
      <c r="N95" s="188">
        <v>0</v>
      </c>
      <c r="O95" s="188">
        <v>0</v>
      </c>
      <c r="P95" s="188">
        <v>0</v>
      </c>
      <c r="Q95" s="188">
        <v>0</v>
      </c>
      <c r="R95" s="188">
        <v>0</v>
      </c>
      <c r="S95" s="188">
        <v>0</v>
      </c>
      <c r="T95" s="188">
        <v>0</v>
      </c>
      <c r="U95" s="188">
        <v>0</v>
      </c>
      <c r="V95" s="188">
        <v>0</v>
      </c>
      <c r="W95" s="188">
        <v>0</v>
      </c>
      <c r="X95" s="188">
        <v>0</v>
      </c>
      <c r="Y95" s="188">
        <v>0</v>
      </c>
      <c r="Z95" s="188">
        <v>0</v>
      </c>
      <c r="AA95" s="188">
        <v>0</v>
      </c>
      <c r="AB95" s="188">
        <v>0</v>
      </c>
      <c r="AC95" s="188">
        <v>0</v>
      </c>
      <c r="AD95" s="188">
        <v>0</v>
      </c>
      <c r="AE95" s="188">
        <v>0</v>
      </c>
      <c r="AF95" s="188">
        <v>0</v>
      </c>
      <c r="AG95" s="188">
        <v>0</v>
      </c>
      <c r="AH95" s="188">
        <v>0</v>
      </c>
      <c r="AI95" s="188">
        <v>0</v>
      </c>
      <c r="AJ95" s="188">
        <v>0</v>
      </c>
      <c r="AK95" s="188">
        <v>0</v>
      </c>
      <c r="AL95" s="188">
        <v>0</v>
      </c>
      <c r="AM95" s="188">
        <v>0</v>
      </c>
      <c r="AN95" s="188">
        <v>0</v>
      </c>
      <c r="AO95" s="188">
        <v>0</v>
      </c>
      <c r="AP95" s="188">
        <v>0</v>
      </c>
      <c r="AQ95" s="188">
        <v>0</v>
      </c>
      <c r="AR95" s="188">
        <v>0</v>
      </c>
      <c r="AS95" s="188">
        <v>0</v>
      </c>
      <c r="AT95" s="188">
        <v>0</v>
      </c>
      <c r="AU95" s="188">
        <v>0</v>
      </c>
      <c r="AV95" s="188">
        <v>0</v>
      </c>
      <c r="AW95" s="188">
        <v>0</v>
      </c>
      <c r="AX95" s="188">
        <v>0</v>
      </c>
      <c r="AY95" s="188">
        <v>0</v>
      </c>
      <c r="AZ95" s="188">
        <v>0</v>
      </c>
      <c r="BA95" s="188">
        <v>0</v>
      </c>
      <c r="BB95" s="188">
        <v>0</v>
      </c>
      <c r="BC95" s="188">
        <v>0</v>
      </c>
      <c r="BD95" s="188">
        <v>0</v>
      </c>
      <c r="BE95" s="188">
        <v>0</v>
      </c>
      <c r="BF95" s="188">
        <v>0</v>
      </c>
      <c r="BG95" s="188">
        <v>0</v>
      </c>
      <c r="BH95" s="188">
        <v>0</v>
      </c>
      <c r="BI95" s="188">
        <v>0</v>
      </c>
      <c r="BJ95" s="188">
        <v>0</v>
      </c>
      <c r="BK95" s="188">
        <v>0</v>
      </c>
      <c r="BL95" s="188">
        <v>0</v>
      </c>
      <c r="BM95" s="188">
        <v>0</v>
      </c>
      <c r="BN95" s="188">
        <v>0</v>
      </c>
      <c r="BO95" s="188">
        <v>0</v>
      </c>
      <c r="BP95" s="188">
        <v>0</v>
      </c>
      <c r="BQ95" s="188">
        <v>0</v>
      </c>
      <c r="BR95" s="188">
        <v>0</v>
      </c>
      <c r="BS95" s="188">
        <v>0</v>
      </c>
      <c r="BT95" s="188">
        <v>0</v>
      </c>
      <c r="BU95" s="188">
        <v>0</v>
      </c>
      <c r="BV95" s="188">
        <v>0</v>
      </c>
      <c r="BW95" s="188">
        <v>0</v>
      </c>
      <c r="BX95" s="188">
        <v>0</v>
      </c>
      <c r="BY95" s="188">
        <v>0</v>
      </c>
      <c r="BZ95" s="188">
        <v>0</v>
      </c>
      <c r="CA95" s="188">
        <v>0</v>
      </c>
      <c r="CB95" s="188">
        <v>0</v>
      </c>
      <c r="CC95" s="188">
        <v>0</v>
      </c>
      <c r="CD95" s="188">
        <v>0</v>
      </c>
      <c r="CE95" s="188">
        <v>0</v>
      </c>
      <c r="CF95" s="188">
        <v>0</v>
      </c>
      <c r="CG95" s="188">
        <v>0</v>
      </c>
      <c r="CH95" s="188">
        <v>0</v>
      </c>
      <c r="CI95" s="188">
        <v>0</v>
      </c>
      <c r="CJ95" s="188">
        <v>0</v>
      </c>
      <c r="CK95" s="188">
        <v>0</v>
      </c>
      <c r="CL95" s="188">
        <v>0</v>
      </c>
    </row>
    <row r="96" spans="1:90" x14ac:dyDescent="0.25">
      <c r="A96" s="127" t="s">
        <v>67</v>
      </c>
      <c r="B96" s="188">
        <v>54901547.390000001</v>
      </c>
      <c r="C96" s="188">
        <v>54901547.390000001</v>
      </c>
      <c r="D96" s="188">
        <v>54901547.390000001</v>
      </c>
      <c r="E96" s="188">
        <v>54901547.390000001</v>
      </c>
      <c r="F96" s="188">
        <v>41649772.039999999</v>
      </c>
      <c r="G96" s="188">
        <v>41649772.039999999</v>
      </c>
      <c r="H96" s="188">
        <v>41649772.039999999</v>
      </c>
      <c r="I96" s="188">
        <v>41649772.039999999</v>
      </c>
      <c r="J96" s="188">
        <v>32313868.780000001</v>
      </c>
      <c r="K96" s="188">
        <v>32313868.780000001</v>
      </c>
      <c r="L96" s="188">
        <v>32313868.780000001</v>
      </c>
      <c r="M96" s="188">
        <v>23879820.050000001</v>
      </c>
      <c r="N96" s="188">
        <v>17792276.98</v>
      </c>
      <c r="O96" s="188">
        <v>11499826.24</v>
      </c>
      <c r="P96" s="188">
        <v>5716209.9100000001</v>
      </c>
      <c r="Q96" s="188">
        <v>0</v>
      </c>
      <c r="R96" s="188">
        <v>5678791405.4799995</v>
      </c>
      <c r="S96" s="188">
        <v>5678791405.4799995</v>
      </c>
      <c r="T96" s="188">
        <v>5678791405.4799995</v>
      </c>
      <c r="U96" s="188">
        <v>5678791405.4799995</v>
      </c>
      <c r="V96" s="188">
        <v>4361745664.4300003</v>
      </c>
      <c r="W96" s="188">
        <v>4359541398.0200005</v>
      </c>
      <c r="X96" s="188">
        <v>4358041112.96</v>
      </c>
      <c r="Y96" s="188">
        <v>4356977349.0200005</v>
      </c>
      <c r="Z96" s="188">
        <v>4082214414.9499998</v>
      </c>
      <c r="AA96" s="188">
        <v>3826734576.6399999</v>
      </c>
      <c r="AB96" s="188">
        <v>3649723469.3200002</v>
      </c>
      <c r="AC96" s="188">
        <v>3368959934.7800002</v>
      </c>
      <c r="AD96" s="188">
        <v>3186313117.5300002</v>
      </c>
      <c r="AE96" s="188">
        <v>3058448487.4699998</v>
      </c>
      <c r="AF96" s="188">
        <v>2952281810.9699998</v>
      </c>
      <c r="AG96" s="188">
        <v>2759520038.0900002</v>
      </c>
      <c r="AH96" s="188">
        <v>2607545619.9699998</v>
      </c>
      <c r="AI96" s="188">
        <v>2506722817.98</v>
      </c>
      <c r="AJ96" s="188">
        <v>2447380345.21</v>
      </c>
      <c r="AK96" s="188">
        <v>2318892624.6700001</v>
      </c>
      <c r="AL96" s="188">
        <v>2212123551.0100002</v>
      </c>
      <c r="AM96" s="188">
        <v>2136403032.1300001</v>
      </c>
      <c r="AN96" s="188">
        <v>2100990527.9000001</v>
      </c>
      <c r="AO96" s="188">
        <v>1985197516.3199999</v>
      </c>
      <c r="AP96" s="188">
        <v>1960895723.9000001</v>
      </c>
      <c r="AQ96" s="188">
        <v>1931960377.45</v>
      </c>
      <c r="AR96" s="188">
        <v>1904071967.1600001</v>
      </c>
      <c r="AS96" s="188">
        <v>1803743654.97</v>
      </c>
      <c r="AT96" s="188">
        <v>1784842154.0899999</v>
      </c>
      <c r="AU96" s="188">
        <v>1769499231.54</v>
      </c>
      <c r="AV96" s="188">
        <v>1728597077.04</v>
      </c>
      <c r="AW96" s="188">
        <v>1656111478.8599999</v>
      </c>
      <c r="AX96" s="188">
        <v>1605045274.6500001</v>
      </c>
      <c r="AY96" s="188">
        <v>1586050475.99</v>
      </c>
      <c r="AZ96" s="188">
        <v>1503840551.3499999</v>
      </c>
      <c r="BA96" s="188">
        <v>1421686339.5</v>
      </c>
      <c r="BB96" s="188">
        <v>1389360858.45</v>
      </c>
      <c r="BC96" s="188">
        <v>1382274938.1900001</v>
      </c>
      <c r="BD96" s="188">
        <v>1254574026.6800001</v>
      </c>
      <c r="BE96" s="188">
        <v>1187372649.6400001</v>
      </c>
      <c r="BF96" s="188">
        <v>1118260147.0599999</v>
      </c>
      <c r="BG96" s="188">
        <v>1098510367.5599999</v>
      </c>
      <c r="BH96" s="188">
        <v>994296939.84000003</v>
      </c>
      <c r="BI96" s="188">
        <v>939688251.88</v>
      </c>
      <c r="BJ96" s="188">
        <v>870801644.83000004</v>
      </c>
      <c r="BK96" s="188">
        <v>854086763.44000006</v>
      </c>
      <c r="BL96" s="188">
        <v>772450547.37</v>
      </c>
      <c r="BM96" s="188">
        <v>719760715.63</v>
      </c>
      <c r="BN96" s="188">
        <v>664546335.02999997</v>
      </c>
      <c r="BO96" s="188">
        <v>643227764.61000001</v>
      </c>
      <c r="BP96" s="188">
        <v>576048176.03999996</v>
      </c>
      <c r="BQ96" s="188">
        <v>532864074.19999999</v>
      </c>
      <c r="BR96" s="188">
        <v>0</v>
      </c>
      <c r="BS96" s="188">
        <v>381752149.10000002</v>
      </c>
      <c r="BT96" s="188">
        <v>352223969.88999999</v>
      </c>
      <c r="BU96" s="188">
        <v>309989497.47000003</v>
      </c>
      <c r="BV96" s="188">
        <v>259244599.52000001</v>
      </c>
      <c r="BW96" s="188">
        <v>194772679.46000001</v>
      </c>
      <c r="BX96" s="188">
        <v>144007744.87</v>
      </c>
      <c r="BY96" s="188">
        <v>96446307.129999995</v>
      </c>
      <c r="BZ96" s="188">
        <v>51390553.909999996</v>
      </c>
      <c r="CA96" s="188">
        <v>13452642.869999999</v>
      </c>
      <c r="CB96" s="188">
        <v>0</v>
      </c>
      <c r="CC96" s="188">
        <v>0</v>
      </c>
      <c r="CD96" s="188">
        <v>0</v>
      </c>
      <c r="CE96" s="188">
        <v>34778000</v>
      </c>
      <c r="CF96" s="188">
        <v>10546287.800000001</v>
      </c>
      <c r="CG96" s="188">
        <v>1136843.69</v>
      </c>
      <c r="CH96" s="188">
        <v>0</v>
      </c>
      <c r="CI96" s="188">
        <v>0</v>
      </c>
      <c r="CJ96" s="188">
        <v>0</v>
      </c>
      <c r="CK96" s="188">
        <v>0</v>
      </c>
      <c r="CL96" s="188">
        <v>0</v>
      </c>
    </row>
    <row r="97" spans="1:90" x14ac:dyDescent="0.25">
      <c r="A97" s="127" t="s">
        <v>68</v>
      </c>
      <c r="B97" s="188">
        <v>0</v>
      </c>
      <c r="C97" s="188">
        <v>0</v>
      </c>
      <c r="D97" s="188">
        <v>0</v>
      </c>
      <c r="E97" s="188">
        <v>0</v>
      </c>
      <c r="F97" s="188">
        <v>0</v>
      </c>
      <c r="G97" s="188">
        <v>0</v>
      </c>
      <c r="H97" s="188">
        <v>0</v>
      </c>
      <c r="I97" s="188">
        <v>0</v>
      </c>
      <c r="J97" s="188">
        <v>0</v>
      </c>
      <c r="K97" s="188">
        <v>0</v>
      </c>
      <c r="L97" s="188">
        <v>0</v>
      </c>
      <c r="M97" s="188">
        <v>0</v>
      </c>
      <c r="N97" s="188">
        <v>0</v>
      </c>
      <c r="O97" s="188">
        <v>0</v>
      </c>
      <c r="P97" s="188">
        <v>0</v>
      </c>
      <c r="Q97" s="188">
        <v>0</v>
      </c>
      <c r="R97" s="188">
        <v>0</v>
      </c>
      <c r="S97" s="188">
        <v>0</v>
      </c>
      <c r="T97" s="188">
        <v>0</v>
      </c>
      <c r="U97" s="188">
        <v>0</v>
      </c>
      <c r="V97" s="188">
        <v>0</v>
      </c>
      <c r="W97" s="188">
        <v>0</v>
      </c>
      <c r="X97" s="188">
        <v>0</v>
      </c>
      <c r="Y97" s="188">
        <v>0</v>
      </c>
      <c r="Z97" s="188">
        <v>0</v>
      </c>
      <c r="AA97" s="188">
        <v>0</v>
      </c>
      <c r="AB97" s="188">
        <v>0</v>
      </c>
      <c r="AC97" s="188">
        <v>0</v>
      </c>
      <c r="AD97" s="188">
        <v>0</v>
      </c>
      <c r="AE97" s="188">
        <v>0</v>
      </c>
      <c r="AF97" s="188">
        <v>0</v>
      </c>
      <c r="AG97" s="188">
        <v>0</v>
      </c>
      <c r="AH97" s="188">
        <v>0</v>
      </c>
      <c r="AI97" s="188">
        <v>0</v>
      </c>
      <c r="AJ97" s="188">
        <v>0</v>
      </c>
      <c r="AK97" s="188">
        <v>0</v>
      </c>
      <c r="AL97" s="188">
        <v>0</v>
      </c>
      <c r="AM97" s="188">
        <v>0</v>
      </c>
      <c r="AN97" s="188">
        <v>0</v>
      </c>
      <c r="AO97" s="188">
        <v>0</v>
      </c>
      <c r="AP97" s="188">
        <v>0</v>
      </c>
      <c r="AQ97" s="188">
        <v>0</v>
      </c>
      <c r="AR97" s="188">
        <v>0</v>
      </c>
      <c r="AS97" s="188">
        <v>0</v>
      </c>
      <c r="AT97" s="188">
        <v>0</v>
      </c>
      <c r="AU97" s="188">
        <v>0</v>
      </c>
      <c r="AV97" s="188">
        <v>0</v>
      </c>
      <c r="AW97" s="188">
        <v>0</v>
      </c>
      <c r="AX97" s="188">
        <v>0</v>
      </c>
      <c r="AY97" s="188">
        <v>0</v>
      </c>
      <c r="AZ97" s="188">
        <v>0</v>
      </c>
      <c r="BA97" s="188">
        <v>0</v>
      </c>
      <c r="BB97" s="188">
        <v>0</v>
      </c>
      <c r="BC97" s="188">
        <v>0</v>
      </c>
      <c r="BD97" s="188">
        <v>0</v>
      </c>
      <c r="BE97" s="188">
        <v>0</v>
      </c>
      <c r="BF97" s="188">
        <v>0</v>
      </c>
      <c r="BG97" s="188">
        <v>0</v>
      </c>
      <c r="BH97" s="188">
        <v>0</v>
      </c>
      <c r="BI97" s="188">
        <v>0</v>
      </c>
      <c r="BJ97" s="188">
        <v>0</v>
      </c>
      <c r="BK97" s="188">
        <v>0</v>
      </c>
      <c r="BL97" s="188">
        <v>0</v>
      </c>
      <c r="BM97" s="188">
        <v>0</v>
      </c>
      <c r="BN97" s="188">
        <v>0</v>
      </c>
      <c r="BO97" s="188">
        <v>0</v>
      </c>
      <c r="BP97" s="188">
        <v>0</v>
      </c>
      <c r="BQ97" s="188">
        <v>0</v>
      </c>
      <c r="BR97" s="188">
        <v>0</v>
      </c>
      <c r="BS97" s="188">
        <v>0</v>
      </c>
      <c r="BT97" s="188">
        <v>0</v>
      </c>
      <c r="BU97" s="188">
        <v>0</v>
      </c>
      <c r="BV97" s="188">
        <v>0</v>
      </c>
      <c r="BW97" s="188">
        <v>0</v>
      </c>
      <c r="BX97" s="188">
        <v>0</v>
      </c>
      <c r="BY97" s="188">
        <v>0</v>
      </c>
      <c r="BZ97" s="188">
        <v>0</v>
      </c>
      <c r="CA97" s="188">
        <v>0</v>
      </c>
      <c r="CB97" s="188">
        <v>0</v>
      </c>
      <c r="CC97" s="188">
        <v>0</v>
      </c>
      <c r="CD97" s="188">
        <v>0</v>
      </c>
      <c r="CE97" s="188">
        <v>0</v>
      </c>
      <c r="CF97" s="188">
        <v>0</v>
      </c>
      <c r="CG97" s="188">
        <v>0</v>
      </c>
      <c r="CH97" s="188">
        <v>0</v>
      </c>
      <c r="CI97" s="188">
        <v>0</v>
      </c>
      <c r="CJ97" s="188">
        <v>0</v>
      </c>
      <c r="CK97" s="188">
        <v>0</v>
      </c>
      <c r="CL97" s="188">
        <v>0</v>
      </c>
    </row>
    <row r="98" spans="1:90" x14ac:dyDescent="0.25">
      <c r="A98" s="127" t="s">
        <v>69</v>
      </c>
      <c r="B98" s="188">
        <v>405130426.11000001</v>
      </c>
      <c r="C98" s="188">
        <v>344730687.36000001</v>
      </c>
      <c r="D98" s="188">
        <v>329161186.69</v>
      </c>
      <c r="E98" s="188">
        <v>309730685.50999999</v>
      </c>
      <c r="F98" s="188">
        <v>285431724.88999999</v>
      </c>
      <c r="G98" s="188">
        <v>235465084.58000001</v>
      </c>
      <c r="H98" s="188">
        <v>229618761.40000001</v>
      </c>
      <c r="I98" s="188">
        <v>213958299.72</v>
      </c>
      <c r="J98" s="188">
        <v>192528751.72</v>
      </c>
      <c r="K98" s="188">
        <v>150876634.36000001</v>
      </c>
      <c r="L98" s="188">
        <v>225650846.91999999</v>
      </c>
      <c r="M98" s="188">
        <v>152205707.21000001</v>
      </c>
      <c r="N98" s="188">
        <v>96151137.299999997</v>
      </c>
      <c r="O98" s="188">
        <v>81318205.790000007</v>
      </c>
      <c r="P98" s="188">
        <v>25548975.48</v>
      </c>
      <c r="Q98" s="188">
        <v>0</v>
      </c>
      <c r="R98" s="188">
        <v>27714789860.799999</v>
      </c>
      <c r="S98" s="188">
        <v>27009314620.470001</v>
      </c>
      <c r="T98" s="188">
        <v>28283818587.369999</v>
      </c>
      <c r="U98" s="188">
        <v>25664678173.200001</v>
      </c>
      <c r="V98" s="188">
        <v>26112755918.48</v>
      </c>
      <c r="W98" s="188">
        <v>24802147680.77</v>
      </c>
      <c r="X98" s="188">
        <v>25676253176.32</v>
      </c>
      <c r="Y98" s="188">
        <v>22050450622.419998</v>
      </c>
      <c r="Z98" s="188">
        <v>20151342436.959999</v>
      </c>
      <c r="AA98" s="188">
        <v>17651207124.470001</v>
      </c>
      <c r="AB98" s="188">
        <v>17735448117.040001</v>
      </c>
      <c r="AC98" s="188">
        <v>15001578576.23</v>
      </c>
      <c r="AD98" s="188">
        <v>13844972803.459999</v>
      </c>
      <c r="AE98" s="188">
        <v>12517213274.74</v>
      </c>
      <c r="AF98" s="188">
        <v>12518523823.18</v>
      </c>
      <c r="AG98" s="188">
        <v>10592343301.51</v>
      </c>
      <c r="AH98" s="188">
        <v>9719977749.6299992</v>
      </c>
      <c r="AI98" s="188">
        <v>8696328565.7000008</v>
      </c>
      <c r="AJ98" s="188">
        <v>8630757884.3799992</v>
      </c>
      <c r="AK98" s="188">
        <v>7206958728.1800003</v>
      </c>
      <c r="AL98" s="188">
        <v>6528272319.1300001</v>
      </c>
      <c r="AM98" s="188">
        <v>5909220286.3299999</v>
      </c>
      <c r="AN98" s="188">
        <v>5790565954.8900003</v>
      </c>
      <c r="AO98" s="188">
        <v>4645699661.0799999</v>
      </c>
      <c r="AP98" s="188">
        <v>4448660799.4700003</v>
      </c>
      <c r="AQ98" s="188">
        <v>4184001582.1900001</v>
      </c>
      <c r="AR98" s="188">
        <v>3939446493.21</v>
      </c>
      <c r="AS98" s="188">
        <v>3016465972.27</v>
      </c>
      <c r="AT98" s="188">
        <v>2895687323</v>
      </c>
      <c r="AU98" s="188">
        <v>2731195492.8200002</v>
      </c>
      <c r="AV98" s="188">
        <v>3619192723.04</v>
      </c>
      <c r="AW98" s="188">
        <v>2936492710.1799998</v>
      </c>
      <c r="AX98" s="188">
        <v>2836202850</v>
      </c>
      <c r="AY98" s="188">
        <v>2655440755.9699998</v>
      </c>
      <c r="AZ98" s="188">
        <v>2735881568.3699999</v>
      </c>
      <c r="BA98" s="188">
        <v>2271940792.2399998</v>
      </c>
      <c r="BB98" s="188">
        <v>2281862701.6399999</v>
      </c>
      <c r="BC98" s="188">
        <v>2108410721.51</v>
      </c>
      <c r="BD98" s="188">
        <v>2060554311.6199999</v>
      </c>
      <c r="BE98" s="188">
        <v>1714905685.0599999</v>
      </c>
      <c r="BF98" s="188">
        <v>1634285513.4000001</v>
      </c>
      <c r="BG98" s="188">
        <v>1512716042.76</v>
      </c>
      <c r="BH98" s="188">
        <v>2819154405.8699999</v>
      </c>
      <c r="BI98" s="188">
        <v>2490295331.4000001</v>
      </c>
      <c r="BJ98" s="188">
        <v>2403776470.8899999</v>
      </c>
      <c r="BK98" s="188">
        <v>2262549503.6999998</v>
      </c>
      <c r="BL98" s="188">
        <v>2243103077.8499999</v>
      </c>
      <c r="BM98" s="188">
        <v>2007248389.73</v>
      </c>
      <c r="BN98" s="188">
        <v>1951462497.3</v>
      </c>
      <c r="BO98" s="188">
        <v>1830539949.02</v>
      </c>
      <c r="BP98" s="188">
        <v>1872926600.26</v>
      </c>
      <c r="BQ98" s="188">
        <v>1667814393.3199999</v>
      </c>
      <c r="BR98" s="188">
        <v>0</v>
      </c>
      <c r="BS98" s="188">
        <v>1712342274.8299999</v>
      </c>
      <c r="BT98" s="188">
        <v>1595935829.22</v>
      </c>
      <c r="BU98" s="188">
        <v>1356607152.1700001</v>
      </c>
      <c r="BV98" s="188">
        <v>1069052730.5</v>
      </c>
      <c r="BW98" s="188">
        <v>703711850.11000001</v>
      </c>
      <c r="BX98" s="188">
        <v>423675870.94999999</v>
      </c>
      <c r="BY98" s="188">
        <v>146529073.66</v>
      </c>
      <c r="BZ98" s="188">
        <v>291213138.67000002</v>
      </c>
      <c r="CA98" s="188">
        <v>76231642.829999998</v>
      </c>
      <c r="CB98" s="188">
        <v>0</v>
      </c>
      <c r="CC98" s="188">
        <v>0</v>
      </c>
      <c r="CD98" s="188">
        <v>0</v>
      </c>
      <c r="CE98" s="188">
        <v>129889000</v>
      </c>
      <c r="CF98" s="188">
        <v>81321459.170000002</v>
      </c>
      <c r="CG98" s="188">
        <v>12975517.09</v>
      </c>
      <c r="CH98" s="188">
        <v>0</v>
      </c>
      <c r="CI98" s="188">
        <v>0</v>
      </c>
      <c r="CJ98" s="188">
        <v>0</v>
      </c>
      <c r="CK98" s="188">
        <v>0</v>
      </c>
      <c r="CL98" s="188">
        <v>0</v>
      </c>
    </row>
    <row r="99" spans="1:90" x14ac:dyDescent="0.25">
      <c r="A99" s="127" t="s">
        <v>70</v>
      </c>
      <c r="B99" s="188">
        <v>960345.13</v>
      </c>
      <c r="C99" s="188">
        <v>960345.13</v>
      </c>
      <c r="D99" s="188">
        <v>8155220</v>
      </c>
      <c r="E99" s="188">
        <v>567103.72</v>
      </c>
      <c r="F99" s="188">
        <v>567103.72</v>
      </c>
      <c r="G99" s="188">
        <v>567103.72</v>
      </c>
      <c r="H99" s="188">
        <v>10550000</v>
      </c>
      <c r="I99" s="188">
        <v>0</v>
      </c>
      <c r="J99" s="188">
        <v>900000</v>
      </c>
      <c r="K99" s="188">
        <v>900000</v>
      </c>
      <c r="L99" s="188">
        <v>0</v>
      </c>
      <c r="M99" s="188">
        <v>0</v>
      </c>
      <c r="N99" s="188">
        <v>0</v>
      </c>
      <c r="O99" s="188">
        <v>4095699.69</v>
      </c>
      <c r="P99" s="188">
        <v>3871699.69</v>
      </c>
      <c r="Q99" s="188">
        <v>0</v>
      </c>
      <c r="R99" s="188">
        <v>0</v>
      </c>
      <c r="S99" s="188">
        <v>356571.6</v>
      </c>
      <c r="T99" s="188">
        <v>0</v>
      </c>
      <c r="U99" s="188">
        <v>0</v>
      </c>
      <c r="V99" s="188">
        <v>0</v>
      </c>
      <c r="W99" s="188">
        <v>0</v>
      </c>
      <c r="X99" s="188">
        <v>322500000</v>
      </c>
      <c r="Y99" s="188">
        <v>322500000</v>
      </c>
      <c r="Z99" s="188">
        <v>0</v>
      </c>
      <c r="AA99" s="188">
        <v>0</v>
      </c>
      <c r="AB99" s="188">
        <v>0</v>
      </c>
      <c r="AC99" s="188">
        <v>175000000</v>
      </c>
      <c r="AD99" s="188">
        <v>60625990.25</v>
      </c>
      <c r="AE99" s="188">
        <v>443625990.25</v>
      </c>
      <c r="AF99" s="188">
        <v>143625990.25</v>
      </c>
      <c r="AG99" s="188">
        <v>349275990.25</v>
      </c>
      <c r="AH99" s="188">
        <v>83000000</v>
      </c>
      <c r="AI99" s="188">
        <v>83000000</v>
      </c>
      <c r="AJ99" s="188">
        <v>14372430.720000001</v>
      </c>
      <c r="AK99" s="188">
        <v>220625990.25</v>
      </c>
      <c r="AL99" s="188">
        <v>0</v>
      </c>
      <c r="AM99" s="188">
        <v>0</v>
      </c>
      <c r="AN99" s="188">
        <v>0</v>
      </c>
      <c r="AO99" s="188">
        <v>0</v>
      </c>
      <c r="AP99" s="188">
        <v>0</v>
      </c>
      <c r="AQ99" s="188">
        <v>0</v>
      </c>
      <c r="AR99" s="188">
        <v>0</v>
      </c>
      <c r="AS99" s="188">
        <v>0</v>
      </c>
      <c r="AT99" s="188">
        <v>100000000</v>
      </c>
      <c r="AU99" s="188">
        <v>100000000</v>
      </c>
      <c r="AV99" s="188">
        <v>0</v>
      </c>
      <c r="AW99" s="188">
        <v>0</v>
      </c>
      <c r="AX99" s="188">
        <v>0</v>
      </c>
      <c r="AY99" s="188">
        <v>41778688</v>
      </c>
      <c r="AZ99" s="188">
        <v>0</v>
      </c>
      <c r="BA99" s="188">
        <v>0</v>
      </c>
      <c r="BB99" s="188">
        <v>0</v>
      </c>
      <c r="BC99" s="188">
        <v>0</v>
      </c>
      <c r="BD99" s="188">
        <v>0</v>
      </c>
      <c r="BE99" s="188">
        <v>0</v>
      </c>
      <c r="BF99" s="188">
        <v>0</v>
      </c>
      <c r="BG99" s="188">
        <v>0</v>
      </c>
      <c r="BH99" s="188">
        <v>0</v>
      </c>
      <c r="BI99" s="188">
        <v>0</v>
      </c>
      <c r="BJ99" s="188">
        <v>15606000</v>
      </c>
      <c r="BK99" s="188">
        <v>15606000</v>
      </c>
      <c r="BL99" s="188">
        <v>15606000</v>
      </c>
      <c r="BM99" s="188">
        <v>15606000</v>
      </c>
      <c r="BN99" s="188">
        <v>15606000</v>
      </c>
      <c r="BO99" s="188">
        <v>15606000</v>
      </c>
      <c r="BP99" s="188">
        <v>21726000</v>
      </c>
      <c r="BQ99" s="188">
        <v>21726000</v>
      </c>
      <c r="BR99" s="188">
        <v>0</v>
      </c>
      <c r="BS99" s="188">
        <v>51120000</v>
      </c>
      <c r="BT99" s="188">
        <v>0</v>
      </c>
      <c r="BU99" s="188">
        <v>0</v>
      </c>
      <c r="BV99" s="188">
        <v>0</v>
      </c>
      <c r="BW99" s="188">
        <v>0</v>
      </c>
      <c r="BX99" s="188">
        <v>0</v>
      </c>
      <c r="BY99" s="188">
        <v>400000000</v>
      </c>
      <c r="BZ99" s="188">
        <v>0</v>
      </c>
      <c r="CA99" s="188">
        <v>0</v>
      </c>
      <c r="CB99" s="188">
        <v>0</v>
      </c>
      <c r="CC99" s="188">
        <v>0</v>
      </c>
      <c r="CD99" s="188">
        <v>0</v>
      </c>
      <c r="CE99" s="188">
        <v>0</v>
      </c>
      <c r="CF99" s="188">
        <v>0</v>
      </c>
      <c r="CG99" s="188">
        <v>0</v>
      </c>
      <c r="CH99" s="188">
        <v>0</v>
      </c>
      <c r="CI99" s="188">
        <v>0</v>
      </c>
      <c r="CJ99" s="188">
        <v>0</v>
      </c>
      <c r="CK99" s="188">
        <v>0</v>
      </c>
      <c r="CL99" s="188">
        <v>0</v>
      </c>
    </row>
    <row r="100" spans="1:90" x14ac:dyDescent="0.25">
      <c r="A100" s="127" t="s">
        <v>291</v>
      </c>
      <c r="B100" s="40"/>
      <c r="C100" s="40"/>
      <c r="D100" s="40"/>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40"/>
    </row>
    <row r="101" spans="1:90" x14ac:dyDescent="0.25">
      <c r="A101" s="127" t="s">
        <v>71</v>
      </c>
      <c r="B101" s="188">
        <v>0</v>
      </c>
      <c r="C101" s="188">
        <v>0</v>
      </c>
      <c r="D101" s="188">
        <v>0</v>
      </c>
      <c r="E101" s="188">
        <v>0</v>
      </c>
      <c r="F101" s="188">
        <v>0</v>
      </c>
      <c r="G101" s="188">
        <v>0</v>
      </c>
      <c r="H101" s="188">
        <v>0</v>
      </c>
      <c r="I101" s="188">
        <v>0</v>
      </c>
      <c r="J101" s="188">
        <v>0</v>
      </c>
      <c r="K101" s="188">
        <v>0</v>
      </c>
      <c r="L101" s="188">
        <v>0</v>
      </c>
      <c r="M101" s="188">
        <v>0</v>
      </c>
      <c r="N101" s="188">
        <v>0</v>
      </c>
      <c r="O101" s="188">
        <v>0</v>
      </c>
      <c r="P101" s="188">
        <v>0</v>
      </c>
      <c r="Q101" s="188">
        <v>0</v>
      </c>
      <c r="R101" s="188">
        <v>0</v>
      </c>
      <c r="S101" s="188">
        <v>0</v>
      </c>
      <c r="T101" s="188">
        <v>0</v>
      </c>
      <c r="U101" s="188">
        <v>0</v>
      </c>
      <c r="V101" s="188">
        <v>0</v>
      </c>
      <c r="W101" s="188">
        <v>0</v>
      </c>
      <c r="X101" s="188">
        <v>0</v>
      </c>
      <c r="Y101" s="188">
        <v>0</v>
      </c>
      <c r="Z101" s="188">
        <v>0</v>
      </c>
      <c r="AA101" s="188">
        <v>0</v>
      </c>
      <c r="AB101" s="188">
        <v>0</v>
      </c>
      <c r="AC101" s="188">
        <v>0</v>
      </c>
      <c r="AD101" s="188">
        <v>0</v>
      </c>
      <c r="AE101" s="188">
        <v>0</v>
      </c>
      <c r="AF101" s="188">
        <v>0</v>
      </c>
      <c r="AG101" s="188">
        <v>0</v>
      </c>
      <c r="AH101" s="188">
        <v>0</v>
      </c>
      <c r="AI101" s="188">
        <v>0</v>
      </c>
      <c r="AJ101" s="188">
        <v>0</v>
      </c>
      <c r="AK101" s="188">
        <v>0</v>
      </c>
      <c r="AL101" s="188">
        <v>0</v>
      </c>
      <c r="AM101" s="188">
        <v>0</v>
      </c>
      <c r="AN101" s="188">
        <v>0</v>
      </c>
      <c r="AO101" s="188">
        <v>0</v>
      </c>
      <c r="AP101" s="188">
        <v>0</v>
      </c>
      <c r="AQ101" s="188">
        <v>0</v>
      </c>
      <c r="AR101" s="188">
        <v>0</v>
      </c>
      <c r="AS101" s="188">
        <v>0</v>
      </c>
      <c r="AT101" s="188">
        <v>0</v>
      </c>
      <c r="AU101" s="188">
        <v>0</v>
      </c>
      <c r="AV101" s="188">
        <v>0</v>
      </c>
      <c r="AW101" s="188">
        <v>0</v>
      </c>
      <c r="AX101" s="188">
        <v>0</v>
      </c>
      <c r="AY101" s="188">
        <v>0</v>
      </c>
      <c r="AZ101" s="188">
        <v>0</v>
      </c>
      <c r="BA101" s="188">
        <v>0</v>
      </c>
      <c r="BB101" s="188">
        <v>0</v>
      </c>
      <c r="BC101" s="188">
        <v>0</v>
      </c>
      <c r="BD101" s="188">
        <v>0</v>
      </c>
      <c r="BE101" s="188">
        <v>0</v>
      </c>
      <c r="BF101" s="188">
        <v>0</v>
      </c>
      <c r="BG101" s="188">
        <v>0</v>
      </c>
      <c r="BH101" s="188">
        <v>0</v>
      </c>
      <c r="BI101" s="188">
        <v>0</v>
      </c>
      <c r="BJ101" s="188">
        <v>0</v>
      </c>
      <c r="BK101" s="188">
        <v>0</v>
      </c>
      <c r="BL101" s="188">
        <v>0</v>
      </c>
      <c r="BM101" s="188">
        <v>0</v>
      </c>
      <c r="BN101" s="188">
        <v>0</v>
      </c>
      <c r="BO101" s="188">
        <v>0</v>
      </c>
      <c r="BP101" s="188">
        <v>0</v>
      </c>
      <c r="BQ101" s="188">
        <v>0</v>
      </c>
      <c r="BR101" s="188">
        <v>0</v>
      </c>
      <c r="BS101" s="188">
        <v>0</v>
      </c>
      <c r="BT101" s="188">
        <v>0</v>
      </c>
      <c r="BU101" s="188">
        <v>0</v>
      </c>
      <c r="BV101" s="188">
        <v>0</v>
      </c>
      <c r="BW101" s="188"/>
      <c r="BX101" s="188"/>
      <c r="BY101" s="188"/>
      <c r="BZ101" s="188"/>
      <c r="CA101" s="188"/>
      <c r="CB101" s="188"/>
      <c r="CC101" s="188"/>
      <c r="CD101" s="188"/>
      <c r="CE101" s="188"/>
      <c r="CF101" s="188"/>
      <c r="CG101" s="188"/>
      <c r="CH101" s="188"/>
      <c r="CI101" s="188"/>
      <c r="CJ101" s="188"/>
      <c r="CK101" s="188"/>
      <c r="CL101" s="188"/>
    </row>
    <row r="102" spans="1:90" x14ac:dyDescent="0.25">
      <c r="A102" s="127" t="s">
        <v>72</v>
      </c>
      <c r="B102" s="188">
        <v>1117637470.99</v>
      </c>
      <c r="C102" s="188">
        <v>1057237732.24</v>
      </c>
      <c r="D102" s="188">
        <v>1041931641.21</v>
      </c>
      <c r="E102" s="188">
        <v>1028744521.11</v>
      </c>
      <c r="F102" s="188">
        <v>991208842.74000001</v>
      </c>
      <c r="G102" s="188">
        <v>944529569.05999994</v>
      </c>
      <c r="H102" s="188">
        <v>938683245.88</v>
      </c>
      <c r="I102" s="188">
        <v>928357071.75999999</v>
      </c>
      <c r="J102" s="188">
        <v>389842620.5</v>
      </c>
      <c r="K102" s="188">
        <v>348190503.13999999</v>
      </c>
      <c r="L102" s="188">
        <v>422964715.69999999</v>
      </c>
      <c r="M102" s="188">
        <v>341085527.25999999</v>
      </c>
      <c r="N102" s="188">
        <v>278943414.27999997</v>
      </c>
      <c r="O102" s="188">
        <v>221101605.25</v>
      </c>
      <c r="P102" s="188">
        <v>183423488.90000001</v>
      </c>
      <c r="Q102" s="188">
        <v>0</v>
      </c>
      <c r="R102" s="188">
        <v>38142751454.599998</v>
      </c>
      <c r="S102" s="188">
        <v>37437276214.269997</v>
      </c>
      <c r="T102" s="188">
        <v>38711780181.169998</v>
      </c>
      <c r="U102" s="188">
        <v>36092639767</v>
      </c>
      <c r="V102" s="188">
        <v>35223671771.230003</v>
      </c>
      <c r="W102" s="188">
        <v>33910859267.110001</v>
      </c>
      <c r="X102" s="188">
        <v>34783464477.599998</v>
      </c>
      <c r="Y102" s="188">
        <v>31156598159.759998</v>
      </c>
      <c r="Z102" s="188">
        <v>28982727040.23</v>
      </c>
      <c r="AA102" s="188">
        <v>26227111889.43</v>
      </c>
      <c r="AB102" s="188">
        <v>26134341774.68</v>
      </c>
      <c r="AC102" s="188">
        <v>23119708699.330002</v>
      </c>
      <c r="AD102" s="188">
        <v>21780456109.310001</v>
      </c>
      <c r="AE102" s="188">
        <v>20324831950.529999</v>
      </c>
      <c r="AF102" s="188">
        <v>20219975822.470001</v>
      </c>
      <c r="AG102" s="188">
        <v>18101033527.919998</v>
      </c>
      <c r="AH102" s="188">
        <v>17076693557.92</v>
      </c>
      <c r="AI102" s="188">
        <v>15952221572</v>
      </c>
      <c r="AJ102" s="188">
        <v>15827308417.91</v>
      </c>
      <c r="AK102" s="188">
        <v>14275021541.17</v>
      </c>
      <c r="AL102" s="188">
        <v>13489566058.459999</v>
      </c>
      <c r="AM102" s="188">
        <v>12794793506.780001</v>
      </c>
      <c r="AN102" s="188">
        <v>12640726671.110001</v>
      </c>
      <c r="AO102" s="188">
        <v>11380067365.719999</v>
      </c>
      <c r="AP102" s="188">
        <v>11158726711.690001</v>
      </c>
      <c r="AQ102" s="188">
        <v>10865132147.959999</v>
      </c>
      <c r="AR102" s="188">
        <v>10592688648.690001</v>
      </c>
      <c r="AS102" s="188">
        <v>9569379815.5599995</v>
      </c>
      <c r="AT102" s="188">
        <v>9444699665.4099998</v>
      </c>
      <c r="AU102" s="188">
        <v>9264864912.6800003</v>
      </c>
      <c r="AV102" s="188">
        <v>9012398068.3999996</v>
      </c>
      <c r="AW102" s="188">
        <v>8257212457.3599997</v>
      </c>
      <c r="AX102" s="188">
        <v>8106355261.6899996</v>
      </c>
      <c r="AY102" s="188">
        <v>7906099500.2799997</v>
      </c>
      <c r="AZ102" s="188">
        <v>7904330388.04</v>
      </c>
      <c r="BA102" s="188">
        <v>7358235400.0600004</v>
      </c>
      <c r="BB102" s="188">
        <v>7335831828.4099998</v>
      </c>
      <c r="BC102" s="188">
        <v>7155293928.0200005</v>
      </c>
      <c r="BD102" s="188">
        <v>6979736606.6199999</v>
      </c>
      <c r="BE102" s="188">
        <v>6566886603.0200005</v>
      </c>
      <c r="BF102" s="188">
        <v>6417153928.7799997</v>
      </c>
      <c r="BG102" s="188">
        <v>6275834678.6400003</v>
      </c>
      <c r="BH102" s="188">
        <v>6393497694.0299997</v>
      </c>
      <c r="BI102" s="188">
        <v>6010029931.6000004</v>
      </c>
      <c r="BJ102" s="188">
        <v>5854624464.04</v>
      </c>
      <c r="BK102" s="188">
        <v>5696682615.46</v>
      </c>
      <c r="BL102" s="188">
        <v>5595599973.54</v>
      </c>
      <c r="BM102" s="188">
        <v>5307055453.6800003</v>
      </c>
      <c r="BN102" s="188">
        <v>5196040467.4899998</v>
      </c>
      <c r="BO102" s="188">
        <v>5053742967.6300001</v>
      </c>
      <c r="BP102" s="188">
        <v>4942046030.3000002</v>
      </c>
      <c r="BQ102" s="188">
        <v>4693749721.5200005</v>
      </c>
      <c r="BR102" s="188">
        <v>4554380000</v>
      </c>
      <c r="BS102" s="188">
        <v>4382685677.9300003</v>
      </c>
      <c r="BT102" s="188">
        <v>4235751053.1100001</v>
      </c>
      <c r="BU102" s="188">
        <v>3188611486.52</v>
      </c>
      <c r="BV102" s="188">
        <v>2850312166.9000001</v>
      </c>
      <c r="BW102" s="188">
        <v>2420499366.4499998</v>
      </c>
      <c r="BX102" s="188">
        <v>2089698452.7</v>
      </c>
      <c r="BY102" s="188">
        <v>1764990217.6700001</v>
      </c>
      <c r="BZ102" s="188">
        <v>1864618529.46</v>
      </c>
      <c r="CA102" s="188">
        <v>392384778.43000001</v>
      </c>
      <c r="CB102" s="188">
        <v>264958379.21000001</v>
      </c>
      <c r="CC102" s="188">
        <v>225967479.94999999</v>
      </c>
      <c r="CD102" s="188">
        <v>0</v>
      </c>
      <c r="CE102" s="188">
        <v>1079642000</v>
      </c>
      <c r="CF102" s="188">
        <v>1003922431.86</v>
      </c>
      <c r="CG102" s="188">
        <v>492362941.67000002</v>
      </c>
      <c r="CH102" s="188">
        <v>203800000</v>
      </c>
      <c r="CI102" s="188">
        <v>162870000</v>
      </c>
      <c r="CJ102" s="188">
        <v>92660000</v>
      </c>
      <c r="CK102" s="188">
        <v>75420000</v>
      </c>
      <c r="CL102" s="188">
        <v>0</v>
      </c>
    </row>
    <row r="103" spans="1:90" x14ac:dyDescent="0.25">
      <c r="A103" s="127" t="s">
        <v>73</v>
      </c>
      <c r="B103" s="188">
        <v>87726826.640000001</v>
      </c>
      <c r="C103" s="188">
        <v>85874277.629999995</v>
      </c>
      <c r="D103" s="188">
        <v>63825923.020000003</v>
      </c>
      <c r="E103" s="188">
        <v>65576832.950000003</v>
      </c>
      <c r="F103" s="188">
        <v>62555631.659999996</v>
      </c>
      <c r="G103" s="188">
        <v>56525657.200000003</v>
      </c>
      <c r="H103" s="188">
        <v>53114739.240000002</v>
      </c>
      <c r="I103" s="188">
        <v>57057169.969999999</v>
      </c>
      <c r="J103" s="188">
        <v>54602072.659999996</v>
      </c>
      <c r="K103" s="188">
        <v>51085892.609999999</v>
      </c>
      <c r="L103" s="188">
        <v>55053571.079999998</v>
      </c>
      <c r="M103" s="188">
        <v>46262341.759999998</v>
      </c>
      <c r="N103" s="188">
        <v>38799813.719999999</v>
      </c>
      <c r="O103" s="188">
        <v>33276823.23</v>
      </c>
      <c r="P103" s="188">
        <v>26345783.399999999</v>
      </c>
      <c r="Q103" s="188">
        <v>0</v>
      </c>
      <c r="R103" s="188">
        <v>895311832.45000005</v>
      </c>
      <c r="S103" s="188">
        <v>749180152.45000005</v>
      </c>
      <c r="T103" s="188">
        <v>1043052956.52</v>
      </c>
      <c r="U103" s="188">
        <v>926644785.09000003</v>
      </c>
      <c r="V103" s="188">
        <v>712583368.99000001</v>
      </c>
      <c r="W103" s="188">
        <v>581194595.75999999</v>
      </c>
      <c r="X103" s="188">
        <v>491668788.32999998</v>
      </c>
      <c r="Y103" s="188">
        <v>364472393.54000002</v>
      </c>
      <c r="Z103" s="188">
        <v>638715732.45000005</v>
      </c>
      <c r="AA103" s="188">
        <v>522089084.44999999</v>
      </c>
      <c r="AB103" s="188">
        <v>443606107.22000003</v>
      </c>
      <c r="AC103" s="188">
        <v>326980041.12</v>
      </c>
      <c r="AD103" s="188">
        <v>448121904.16000003</v>
      </c>
      <c r="AE103" s="188">
        <v>393276879.88</v>
      </c>
      <c r="AF103" s="188">
        <v>345161311.58999997</v>
      </c>
      <c r="AG103" s="188">
        <v>265068013.55000001</v>
      </c>
      <c r="AH103" s="188">
        <v>442350412.87</v>
      </c>
      <c r="AI103" s="188">
        <v>387189250.22000003</v>
      </c>
      <c r="AJ103" s="188">
        <v>360389434.32999998</v>
      </c>
      <c r="AK103" s="188">
        <v>305440603.42000002</v>
      </c>
      <c r="AL103" s="188">
        <v>169280595.13999999</v>
      </c>
      <c r="AM103" s="188">
        <v>91245677.840000004</v>
      </c>
      <c r="AN103" s="188">
        <v>84490434.319999993</v>
      </c>
      <c r="AO103" s="188">
        <v>75869511</v>
      </c>
      <c r="AP103" s="188">
        <v>71596625.420000002</v>
      </c>
      <c r="AQ103" s="188">
        <v>69251602.510000005</v>
      </c>
      <c r="AR103" s="188">
        <v>49256028.789999999</v>
      </c>
      <c r="AS103" s="188">
        <v>56857168.609999999</v>
      </c>
      <c r="AT103" s="188">
        <v>40888487.079999998</v>
      </c>
      <c r="AU103" s="188">
        <v>39150237.640000001</v>
      </c>
      <c r="AV103" s="188">
        <v>39251320.369999997</v>
      </c>
      <c r="AW103" s="188">
        <v>37956057.280000001</v>
      </c>
      <c r="AX103" s="188">
        <v>33329921.27</v>
      </c>
      <c r="AY103" s="188">
        <v>32650863.870000001</v>
      </c>
      <c r="AZ103" s="188">
        <v>30454120.460000001</v>
      </c>
      <c r="BA103" s="188">
        <v>27733578.48</v>
      </c>
      <c r="BB103" s="188">
        <v>24884323.18</v>
      </c>
      <c r="BC103" s="188">
        <v>24132037.629999999</v>
      </c>
      <c r="BD103" s="188">
        <v>23728982.75</v>
      </c>
      <c r="BE103" s="188">
        <v>20075298.75</v>
      </c>
      <c r="BF103" s="188">
        <v>16762352.4</v>
      </c>
      <c r="BG103" s="188">
        <v>16880188.02</v>
      </c>
      <c r="BH103" s="188">
        <v>15789115.83</v>
      </c>
      <c r="BI103" s="188">
        <v>15862755.060000001</v>
      </c>
      <c r="BJ103" s="188">
        <v>15780686.800000001</v>
      </c>
      <c r="BK103" s="188">
        <v>15072018.689999999</v>
      </c>
      <c r="BL103" s="188">
        <v>16011767.529999999</v>
      </c>
      <c r="BM103" s="188">
        <v>15044502.029999999</v>
      </c>
      <c r="BN103" s="188">
        <v>18252665.030000001</v>
      </c>
      <c r="BO103" s="188">
        <v>21619133.460000001</v>
      </c>
      <c r="BP103" s="188">
        <v>12934639.26</v>
      </c>
      <c r="BQ103" s="188">
        <v>8493411.2799999993</v>
      </c>
      <c r="BR103" s="188">
        <v>7400000</v>
      </c>
      <c r="BS103" s="188">
        <v>2970143.71</v>
      </c>
      <c r="BT103" s="188">
        <v>2872138.39</v>
      </c>
      <c r="BU103" s="188">
        <v>2604712.4300000002</v>
      </c>
      <c r="BV103" s="188">
        <v>0</v>
      </c>
      <c r="BW103" s="188">
        <v>0</v>
      </c>
      <c r="BX103" s="188">
        <v>0</v>
      </c>
      <c r="BY103" s="188">
        <v>0</v>
      </c>
      <c r="BZ103" s="188">
        <v>0</v>
      </c>
      <c r="CA103" s="188">
        <v>0</v>
      </c>
      <c r="CB103" s="188">
        <v>0</v>
      </c>
      <c r="CC103" s="188">
        <v>0</v>
      </c>
      <c r="CD103" s="188">
        <v>0</v>
      </c>
      <c r="CE103" s="188">
        <v>96000</v>
      </c>
      <c r="CF103" s="188">
        <v>305920.90000000002</v>
      </c>
      <c r="CG103" s="188">
        <v>326958.7</v>
      </c>
      <c r="CH103" s="188">
        <v>0</v>
      </c>
      <c r="CI103" s="188">
        <v>0</v>
      </c>
      <c r="CJ103" s="188">
        <v>0</v>
      </c>
      <c r="CK103" s="188">
        <v>0</v>
      </c>
      <c r="CL103" s="188">
        <v>0</v>
      </c>
    </row>
    <row r="104" spans="1:90" hidden="1" x14ac:dyDescent="0.25">
      <c r="A104" s="127"/>
      <c r="B104" s="26"/>
      <c r="C104" s="26"/>
      <c r="D104" s="26"/>
      <c r="E104" s="26"/>
      <c r="F104" s="26"/>
      <c r="G104" s="26"/>
      <c r="H104" s="26"/>
      <c r="I104" s="26"/>
      <c r="J104" s="26"/>
      <c r="K104" s="26"/>
      <c r="L104" s="23"/>
    </row>
    <row r="105" spans="1:90" hidden="1" x14ac:dyDescent="0.25">
      <c r="A105" s="127"/>
      <c r="B105" s="26"/>
      <c r="C105" s="26"/>
      <c r="D105" s="26"/>
      <c r="E105" s="26"/>
      <c r="F105" s="26"/>
      <c r="G105" s="26"/>
      <c r="H105" s="26"/>
      <c r="I105" s="26"/>
      <c r="J105" s="26"/>
      <c r="K105" s="26"/>
      <c r="L105" s="23"/>
    </row>
    <row r="106" spans="1:90" hidden="1" x14ac:dyDescent="0.25">
      <c r="A106" s="127"/>
      <c r="B106" s="26"/>
      <c r="C106" s="26"/>
      <c r="D106" s="26"/>
      <c r="E106" s="26"/>
      <c r="F106" s="26"/>
      <c r="G106" s="26"/>
      <c r="H106" s="26"/>
      <c r="I106" s="26"/>
      <c r="J106" s="26"/>
      <c r="K106" s="26"/>
      <c r="L106" s="23"/>
    </row>
    <row r="107" spans="1:90" s="5" customFormat="1" x14ac:dyDescent="0.25">
      <c r="A107" s="128" t="s">
        <v>74</v>
      </c>
      <c r="B107" s="33">
        <f>B102+B103</f>
        <v>1205364297.6300001</v>
      </c>
      <c r="C107" s="33">
        <f>C102+C103</f>
        <v>1143112009.8699999</v>
      </c>
      <c r="D107" s="33">
        <f>D102+D103</f>
        <v>1105757564.23</v>
      </c>
      <c r="E107" s="33">
        <f>E102+E103</f>
        <v>1094321354.0599999</v>
      </c>
      <c r="F107" s="33">
        <f t="shared" ref="F107:BQ107" si="20">F102+F103</f>
        <v>1053764474.4</v>
      </c>
      <c r="G107" s="33">
        <f t="shared" si="20"/>
        <v>1001055226.26</v>
      </c>
      <c r="H107" s="33">
        <f t="shared" si="20"/>
        <v>991797985.12</v>
      </c>
      <c r="I107" s="33">
        <f t="shared" si="20"/>
        <v>985414241.73000002</v>
      </c>
      <c r="J107" s="33">
        <f t="shared" si="20"/>
        <v>444444693.15999997</v>
      </c>
      <c r="K107" s="33">
        <f t="shared" si="20"/>
        <v>399276395.75</v>
      </c>
      <c r="L107" s="33">
        <f t="shared" si="20"/>
        <v>478018286.77999997</v>
      </c>
      <c r="M107" s="33">
        <f t="shared" si="20"/>
        <v>387347869.01999998</v>
      </c>
      <c r="N107" s="33">
        <f t="shared" si="20"/>
        <v>317743228</v>
      </c>
      <c r="O107" s="33">
        <f t="shared" si="20"/>
        <v>254378428.47999999</v>
      </c>
      <c r="P107" s="33">
        <f t="shared" si="20"/>
        <v>209769272.30000001</v>
      </c>
      <c r="Q107" s="33">
        <f t="shared" si="20"/>
        <v>0</v>
      </c>
      <c r="R107" s="33">
        <f t="shared" si="20"/>
        <v>39038063287.049995</v>
      </c>
      <c r="S107" s="33">
        <f t="shared" si="20"/>
        <v>38186456366.719994</v>
      </c>
      <c r="T107" s="33">
        <f t="shared" si="20"/>
        <v>39754833137.689995</v>
      </c>
      <c r="U107" s="33">
        <f t="shared" si="20"/>
        <v>37019284552.089996</v>
      </c>
      <c r="V107" s="33">
        <f t="shared" si="20"/>
        <v>35936255140.220001</v>
      </c>
      <c r="W107" s="33">
        <f t="shared" si="20"/>
        <v>34492053862.870003</v>
      </c>
      <c r="X107" s="33">
        <f t="shared" si="20"/>
        <v>35275133265.93</v>
      </c>
      <c r="Y107" s="33">
        <f t="shared" si="20"/>
        <v>31521070553.299999</v>
      </c>
      <c r="Z107" s="33">
        <f t="shared" si="20"/>
        <v>29621442772.68</v>
      </c>
      <c r="AA107" s="33">
        <f t="shared" si="20"/>
        <v>26749200973.880001</v>
      </c>
      <c r="AB107" s="33">
        <f t="shared" si="20"/>
        <v>26577947881.900002</v>
      </c>
      <c r="AC107" s="33">
        <f t="shared" si="20"/>
        <v>23446688740.450001</v>
      </c>
      <c r="AD107" s="33">
        <f t="shared" si="20"/>
        <v>22228578013.470001</v>
      </c>
      <c r="AE107" s="33">
        <f t="shared" si="20"/>
        <v>20718108830.41</v>
      </c>
      <c r="AF107" s="33">
        <f t="shared" si="20"/>
        <v>20565137134.060001</v>
      </c>
      <c r="AG107" s="33">
        <f t="shared" si="20"/>
        <v>18366101541.469997</v>
      </c>
      <c r="AH107" s="33">
        <f t="shared" si="20"/>
        <v>17519043970.790001</v>
      </c>
      <c r="AI107" s="33">
        <f t="shared" si="20"/>
        <v>16339410822.219999</v>
      </c>
      <c r="AJ107" s="33">
        <f t="shared" si="20"/>
        <v>16187697852.24</v>
      </c>
      <c r="AK107" s="33">
        <f t="shared" si="20"/>
        <v>14580462144.59</v>
      </c>
      <c r="AL107" s="33">
        <f t="shared" si="20"/>
        <v>13658846653.599998</v>
      </c>
      <c r="AM107" s="33">
        <f t="shared" si="20"/>
        <v>12886039184.620001</v>
      </c>
      <c r="AN107" s="33">
        <f t="shared" si="20"/>
        <v>12725217105.43</v>
      </c>
      <c r="AO107" s="33">
        <f t="shared" si="20"/>
        <v>11455936876.719999</v>
      </c>
      <c r="AP107" s="33">
        <f t="shared" si="20"/>
        <v>11230323337.110001</v>
      </c>
      <c r="AQ107" s="33">
        <f t="shared" si="20"/>
        <v>10934383750.469999</v>
      </c>
      <c r="AR107" s="33">
        <f t="shared" si="20"/>
        <v>10641944677.480001</v>
      </c>
      <c r="AS107" s="33">
        <f t="shared" si="20"/>
        <v>9626236984.1700001</v>
      </c>
      <c r="AT107" s="33">
        <f t="shared" si="20"/>
        <v>9485588152.4899998</v>
      </c>
      <c r="AU107" s="33">
        <f t="shared" si="20"/>
        <v>9304015150.3199997</v>
      </c>
      <c r="AV107" s="33">
        <f t="shared" si="20"/>
        <v>9051649388.7700005</v>
      </c>
      <c r="AW107" s="33">
        <f t="shared" si="20"/>
        <v>8295168514.6399994</v>
      </c>
      <c r="AX107" s="33">
        <f t="shared" si="20"/>
        <v>8139685182.96</v>
      </c>
      <c r="AY107" s="33">
        <f t="shared" si="20"/>
        <v>7938750364.1499996</v>
      </c>
      <c r="AZ107" s="33">
        <f t="shared" si="20"/>
        <v>7934784508.5</v>
      </c>
      <c r="BA107" s="33">
        <f t="shared" si="20"/>
        <v>7385968978.54</v>
      </c>
      <c r="BB107" s="33">
        <f t="shared" si="20"/>
        <v>7360716151.5900002</v>
      </c>
      <c r="BC107" s="33">
        <f t="shared" si="20"/>
        <v>7179425965.6500006</v>
      </c>
      <c r="BD107" s="33">
        <f t="shared" si="20"/>
        <v>7003465589.3699999</v>
      </c>
      <c r="BE107" s="33">
        <f t="shared" si="20"/>
        <v>6586961901.7700005</v>
      </c>
      <c r="BF107" s="33">
        <f t="shared" si="20"/>
        <v>6433916281.1799994</v>
      </c>
      <c r="BG107" s="33">
        <f t="shared" si="20"/>
        <v>6292714866.6600008</v>
      </c>
      <c r="BH107" s="33">
        <f t="shared" si="20"/>
        <v>6409286809.8599997</v>
      </c>
      <c r="BI107" s="33">
        <f t="shared" si="20"/>
        <v>6025892686.6600008</v>
      </c>
      <c r="BJ107" s="33">
        <f t="shared" si="20"/>
        <v>5870405150.8400002</v>
      </c>
      <c r="BK107" s="33">
        <f t="shared" si="20"/>
        <v>5711754634.1499996</v>
      </c>
      <c r="BL107" s="33">
        <f t="shared" si="20"/>
        <v>5611611741.0699997</v>
      </c>
      <c r="BM107" s="33">
        <f t="shared" si="20"/>
        <v>5322099955.71</v>
      </c>
      <c r="BN107" s="33">
        <f t="shared" si="20"/>
        <v>5214293132.5199995</v>
      </c>
      <c r="BO107" s="33">
        <f t="shared" si="20"/>
        <v>5075362101.0900002</v>
      </c>
      <c r="BP107" s="33">
        <f t="shared" si="20"/>
        <v>4954980669.5600004</v>
      </c>
      <c r="BQ107" s="33">
        <f t="shared" si="20"/>
        <v>4702243132.8000002</v>
      </c>
      <c r="BR107" s="33">
        <f t="shared" ref="BR107:CK107" si="21">BR102+BR103</f>
        <v>4561780000</v>
      </c>
      <c r="BS107" s="33">
        <f t="shared" si="21"/>
        <v>4385655821.6400003</v>
      </c>
      <c r="BT107" s="33">
        <f t="shared" si="21"/>
        <v>4238623191.5</v>
      </c>
      <c r="BU107" s="33">
        <f t="shared" si="21"/>
        <v>3191216198.9499998</v>
      </c>
      <c r="BV107" s="33">
        <f t="shared" si="21"/>
        <v>2850312166.9000001</v>
      </c>
      <c r="BW107" s="33">
        <f t="shared" si="21"/>
        <v>2420499366.4499998</v>
      </c>
      <c r="BX107" s="33">
        <f t="shared" si="21"/>
        <v>2089698452.7</v>
      </c>
      <c r="BY107" s="33">
        <f t="shared" si="21"/>
        <v>1764990217.6700001</v>
      </c>
      <c r="BZ107" s="33">
        <f t="shared" si="21"/>
        <v>1864618529.46</v>
      </c>
      <c r="CA107" s="33">
        <f t="shared" si="21"/>
        <v>392384778.43000001</v>
      </c>
      <c r="CB107" s="33">
        <f t="shared" si="21"/>
        <v>264958379.21000001</v>
      </c>
      <c r="CC107" s="33">
        <f t="shared" si="21"/>
        <v>225967479.94999999</v>
      </c>
      <c r="CD107" s="33">
        <f t="shared" si="21"/>
        <v>0</v>
      </c>
      <c r="CE107" s="33">
        <f t="shared" si="21"/>
        <v>1079738000</v>
      </c>
      <c r="CF107" s="33">
        <f t="shared" si="21"/>
        <v>1004228352.76</v>
      </c>
      <c r="CG107" s="33">
        <f t="shared" si="21"/>
        <v>492689900.37</v>
      </c>
      <c r="CH107" s="33">
        <f t="shared" si="21"/>
        <v>203800000</v>
      </c>
      <c r="CI107" s="33">
        <f t="shared" si="21"/>
        <v>162870000</v>
      </c>
      <c r="CJ107" s="33">
        <f t="shared" si="21"/>
        <v>92660000</v>
      </c>
      <c r="CK107" s="33">
        <f t="shared" si="21"/>
        <v>75420000</v>
      </c>
      <c r="CL107" s="33">
        <f>CL102+CL103</f>
        <v>0</v>
      </c>
    </row>
    <row r="108" spans="1:90" s="8" customFormat="1" x14ac:dyDescent="0.25">
      <c r="A108" s="129" t="s">
        <v>75</v>
      </c>
      <c r="B108" s="38">
        <f>SUM(B89+B107)</f>
        <v>1205364297.6300001</v>
      </c>
      <c r="C108" s="38">
        <f t="shared" ref="C108:BN108" si="22">SUM(C89+C107)</f>
        <v>1143112009.8699999</v>
      </c>
      <c r="D108" s="38">
        <f t="shared" si="22"/>
        <v>1105757564.23</v>
      </c>
      <c r="E108" s="38">
        <f>SUM(E107+E89)</f>
        <v>1094321354.0599999</v>
      </c>
      <c r="F108" s="38">
        <f t="shared" si="22"/>
        <v>1053764474.4</v>
      </c>
      <c r="G108" s="38">
        <f t="shared" si="22"/>
        <v>1001055226.26</v>
      </c>
      <c r="H108" s="38">
        <f t="shared" si="22"/>
        <v>1035449168.54</v>
      </c>
      <c r="I108" s="38">
        <f t="shared" si="22"/>
        <v>1062069435.15</v>
      </c>
      <c r="J108" s="38">
        <f t="shared" si="22"/>
        <v>556792811.90999997</v>
      </c>
      <c r="K108" s="38">
        <f t="shared" si="22"/>
        <v>511169786.59000003</v>
      </c>
      <c r="L108" s="38">
        <f t="shared" si="22"/>
        <v>568436012.11000001</v>
      </c>
      <c r="M108" s="38">
        <f t="shared" si="22"/>
        <v>490388669.01999998</v>
      </c>
      <c r="N108" s="38">
        <f t="shared" si="22"/>
        <v>496178942</v>
      </c>
      <c r="O108" s="38">
        <f t="shared" si="22"/>
        <v>325591436.71999997</v>
      </c>
      <c r="P108" s="38">
        <f t="shared" si="22"/>
        <v>233650944.28</v>
      </c>
      <c r="Q108" s="38">
        <f t="shared" si="22"/>
        <v>0</v>
      </c>
      <c r="R108" s="38">
        <f t="shared" si="22"/>
        <v>39038063287.049995</v>
      </c>
      <c r="S108" s="38">
        <f t="shared" si="22"/>
        <v>38186456366.719994</v>
      </c>
      <c r="T108" s="38">
        <f t="shared" si="22"/>
        <v>39754833137.689995</v>
      </c>
      <c r="U108" s="38">
        <f t="shared" si="22"/>
        <v>37019284552.089996</v>
      </c>
      <c r="V108" s="38">
        <f t="shared" si="22"/>
        <v>35936255140.220001</v>
      </c>
      <c r="W108" s="38">
        <f t="shared" si="22"/>
        <v>34492053862.870003</v>
      </c>
      <c r="X108" s="38">
        <f t="shared" si="22"/>
        <v>35275133265.93</v>
      </c>
      <c r="Y108" s="38">
        <f t="shared" si="22"/>
        <v>31521070553.299999</v>
      </c>
      <c r="Z108" s="38">
        <f t="shared" si="22"/>
        <v>29621442772.68</v>
      </c>
      <c r="AA108" s="38">
        <f t="shared" si="22"/>
        <v>26749200973.880001</v>
      </c>
      <c r="AB108" s="38">
        <f t="shared" si="22"/>
        <v>26577947881.900002</v>
      </c>
      <c r="AC108" s="38">
        <f t="shared" si="22"/>
        <v>23446688740.450001</v>
      </c>
      <c r="AD108" s="38">
        <f t="shared" si="22"/>
        <v>22228578013.470001</v>
      </c>
      <c r="AE108" s="38">
        <f t="shared" si="22"/>
        <v>20718108830.41</v>
      </c>
      <c r="AF108" s="38">
        <f t="shared" si="22"/>
        <v>20565137134.060001</v>
      </c>
      <c r="AG108" s="38">
        <f t="shared" si="22"/>
        <v>18366101541.469997</v>
      </c>
      <c r="AH108" s="38">
        <f t="shared" si="22"/>
        <v>17519043970.790001</v>
      </c>
      <c r="AI108" s="38">
        <f t="shared" si="22"/>
        <v>16339410822.219999</v>
      </c>
      <c r="AJ108" s="38">
        <f t="shared" si="22"/>
        <v>16187697852.24</v>
      </c>
      <c r="AK108" s="38">
        <f t="shared" si="22"/>
        <v>14580462144.59</v>
      </c>
      <c r="AL108" s="38">
        <f t="shared" si="22"/>
        <v>13658846653.599998</v>
      </c>
      <c r="AM108" s="38">
        <f t="shared" si="22"/>
        <v>12886039184.620001</v>
      </c>
      <c r="AN108" s="38">
        <f t="shared" si="22"/>
        <v>12725217105.43</v>
      </c>
      <c r="AO108" s="38">
        <f t="shared" si="22"/>
        <v>11455936876.719999</v>
      </c>
      <c r="AP108" s="38">
        <f t="shared" si="22"/>
        <v>11230323337.110001</v>
      </c>
      <c r="AQ108" s="38">
        <f t="shared" si="22"/>
        <v>10934383750.469999</v>
      </c>
      <c r="AR108" s="38">
        <f t="shared" si="22"/>
        <v>10641944677.480001</v>
      </c>
      <c r="AS108" s="38">
        <f t="shared" si="22"/>
        <v>9626236984.1700001</v>
      </c>
      <c r="AT108" s="38">
        <f t="shared" si="22"/>
        <v>9485588152.4899998</v>
      </c>
      <c r="AU108" s="38">
        <f t="shared" si="22"/>
        <v>9304015150.3199997</v>
      </c>
      <c r="AV108" s="38">
        <f t="shared" si="22"/>
        <v>9051649388.7700005</v>
      </c>
      <c r="AW108" s="38">
        <f t="shared" si="22"/>
        <v>8295168514.6399994</v>
      </c>
      <c r="AX108" s="38">
        <f t="shared" si="22"/>
        <v>8139685182.96</v>
      </c>
      <c r="AY108" s="38">
        <f t="shared" si="22"/>
        <v>7938750364.1499996</v>
      </c>
      <c r="AZ108" s="38">
        <f t="shared" si="22"/>
        <v>7934784508.5</v>
      </c>
      <c r="BA108" s="38">
        <f t="shared" si="22"/>
        <v>7385968978.54</v>
      </c>
      <c r="BB108" s="38">
        <f t="shared" si="22"/>
        <v>7360716151.5900002</v>
      </c>
      <c r="BC108" s="38">
        <f t="shared" si="22"/>
        <v>7179425965.6500006</v>
      </c>
      <c r="BD108" s="38">
        <f t="shared" si="22"/>
        <v>7003465589.3699999</v>
      </c>
      <c r="BE108" s="38">
        <f t="shared" si="22"/>
        <v>6586961901.7700005</v>
      </c>
      <c r="BF108" s="38">
        <f t="shared" si="22"/>
        <v>6433916281.1799994</v>
      </c>
      <c r="BG108" s="38">
        <f t="shared" si="22"/>
        <v>6292714866.6600008</v>
      </c>
      <c r="BH108" s="38">
        <f t="shared" si="22"/>
        <v>6409286809.8599997</v>
      </c>
      <c r="BI108" s="38">
        <f t="shared" si="22"/>
        <v>6025892686.6600008</v>
      </c>
      <c r="BJ108" s="38">
        <f t="shared" si="22"/>
        <v>5870405150.8400002</v>
      </c>
      <c r="BK108" s="38">
        <f t="shared" si="22"/>
        <v>5711754634.1499996</v>
      </c>
      <c r="BL108" s="38">
        <f t="shared" si="22"/>
        <v>5611611741.0699997</v>
      </c>
      <c r="BM108" s="38">
        <f t="shared" si="22"/>
        <v>5322099955.71</v>
      </c>
      <c r="BN108" s="38">
        <f t="shared" si="22"/>
        <v>5214293132.5199995</v>
      </c>
      <c r="BO108" s="38">
        <f t="shared" ref="BO108:CK108" si="23">SUM(BO89+BO107)</f>
        <v>5075362101.0900002</v>
      </c>
      <c r="BP108" s="38">
        <f t="shared" si="23"/>
        <v>4954980669.5600004</v>
      </c>
      <c r="BQ108" s="38">
        <f t="shared" si="23"/>
        <v>4702243132.8000002</v>
      </c>
      <c r="BR108" s="38">
        <f t="shared" si="23"/>
        <v>4561780000</v>
      </c>
      <c r="BS108" s="38">
        <f t="shared" si="23"/>
        <v>4385655821.6400003</v>
      </c>
      <c r="BT108" s="38">
        <f t="shared" si="23"/>
        <v>4238623191.5</v>
      </c>
      <c r="BU108" s="38">
        <f t="shared" si="23"/>
        <v>3191216198.9499998</v>
      </c>
      <c r="BV108" s="38">
        <f t="shared" si="23"/>
        <v>2850312166.9000001</v>
      </c>
      <c r="BW108" s="38">
        <f t="shared" si="23"/>
        <v>2420499366.4499998</v>
      </c>
      <c r="BX108" s="38">
        <f t="shared" si="23"/>
        <v>2089698452.7</v>
      </c>
      <c r="BY108" s="38">
        <f t="shared" si="23"/>
        <v>1764990217.6700001</v>
      </c>
      <c r="BZ108" s="38">
        <f t="shared" si="23"/>
        <v>1864618529.46</v>
      </c>
      <c r="CA108" s="38">
        <f t="shared" si="23"/>
        <v>392384778.43000001</v>
      </c>
      <c r="CB108" s="38">
        <f t="shared" si="23"/>
        <v>264958379.21000001</v>
      </c>
      <c r="CC108" s="38">
        <f t="shared" si="23"/>
        <v>225967479.94999999</v>
      </c>
      <c r="CD108" s="38">
        <f t="shared" si="23"/>
        <v>0</v>
      </c>
      <c r="CE108" s="38">
        <f t="shared" si="23"/>
        <v>1079738000</v>
      </c>
      <c r="CF108" s="38">
        <f t="shared" si="23"/>
        <v>1004228352.76</v>
      </c>
      <c r="CG108" s="38">
        <f t="shared" si="23"/>
        <v>492689900.37</v>
      </c>
      <c r="CH108" s="38">
        <f t="shared" si="23"/>
        <v>203800000</v>
      </c>
      <c r="CI108" s="38">
        <f t="shared" si="23"/>
        <v>162870000</v>
      </c>
      <c r="CJ108" s="38">
        <f t="shared" si="23"/>
        <v>92660000</v>
      </c>
      <c r="CK108" s="38">
        <f t="shared" si="23"/>
        <v>75420000</v>
      </c>
    </row>
    <row r="110" spans="1:90" x14ac:dyDescent="0.25">
      <c r="E110" s="26"/>
    </row>
  </sheetData>
  <phoneticPr fontId="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股权价值增加表"/>
  <dimension ref="A1:CK70"/>
  <sheetViews>
    <sheetView workbookViewId="0">
      <selection activeCell="M55" sqref="M55"/>
    </sheetView>
  </sheetViews>
  <sheetFormatPr defaultRowHeight="14.4" x14ac:dyDescent="0.25"/>
  <cols>
    <col min="1" max="1" width="57.21875" style="17" bestFit="1" customWidth="1"/>
    <col min="2" max="4" width="19" hidden="1" customWidth="1"/>
    <col min="5" max="5" width="19.33203125" bestFit="1" customWidth="1"/>
    <col min="6" max="8" width="19" hidden="1" customWidth="1"/>
    <col min="9" max="9" width="19" bestFit="1" customWidth="1"/>
    <col min="10" max="10" width="19" hidden="1" customWidth="1"/>
    <col min="11" max="11" width="17.77734375" hidden="1" customWidth="1"/>
    <col min="12" max="12" width="19" hidden="1" customWidth="1"/>
    <col min="13" max="13" width="19" bestFit="1" customWidth="1"/>
    <col min="14" max="14" width="17.77734375" hidden="1" customWidth="1"/>
    <col min="15" max="17" width="19" bestFit="1" customWidth="1"/>
    <col min="18" max="18" width="17.77734375" bestFit="1" customWidth="1"/>
    <col min="19" max="19" width="9.5546875" hidden="1" customWidth="1"/>
    <col min="20" max="51" width="22.6640625" bestFit="1" customWidth="1"/>
    <col min="52" max="81" width="20.21875" bestFit="1" customWidth="1"/>
    <col min="82" max="82" width="9.5546875" bestFit="1" customWidth="1"/>
    <col min="83" max="83" width="20.21875" bestFit="1" customWidth="1"/>
    <col min="84" max="85" width="19" bestFit="1" customWidth="1"/>
    <col min="86" max="86" width="17.77734375" bestFit="1" customWidth="1"/>
    <col min="87" max="87" width="19" bestFit="1" customWidth="1"/>
    <col min="88" max="88" width="17.77734375" bestFit="1" customWidth="1"/>
    <col min="89" max="89" width="9.5546875" bestFit="1" customWidth="1"/>
  </cols>
  <sheetData>
    <row r="1" spans="1:89" x14ac:dyDescent="0.25">
      <c r="A1" s="17">
        <v>603060</v>
      </c>
      <c r="B1" s="1">
        <v>43373</v>
      </c>
      <c r="C1" s="1">
        <v>43281</v>
      </c>
      <c r="D1" s="1">
        <v>43190</v>
      </c>
      <c r="E1" s="1">
        <v>43100</v>
      </c>
      <c r="F1" s="1">
        <v>43008</v>
      </c>
      <c r="G1" s="1">
        <v>42916</v>
      </c>
      <c r="H1" s="1">
        <v>42825</v>
      </c>
      <c r="I1" s="1">
        <v>42735</v>
      </c>
      <c r="J1" s="1">
        <v>42643</v>
      </c>
      <c r="K1" s="1">
        <v>42551</v>
      </c>
      <c r="L1" s="1">
        <v>42460</v>
      </c>
      <c r="M1" s="1">
        <v>42369</v>
      </c>
      <c r="N1" s="1">
        <v>42277</v>
      </c>
      <c r="O1" s="1">
        <v>42004</v>
      </c>
      <c r="P1" s="1">
        <v>41639</v>
      </c>
      <c r="Q1" s="1">
        <v>41274</v>
      </c>
      <c r="R1" s="1">
        <v>40908</v>
      </c>
      <c r="S1" s="1">
        <v>25569</v>
      </c>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x14ac:dyDescent="0.25">
      <c r="A2" s="17" t="s">
        <v>84</v>
      </c>
    </row>
    <row r="3" spans="1:89" s="6" customFormat="1" x14ac:dyDescent="0.25">
      <c r="A3" s="18" t="s">
        <v>85</v>
      </c>
    </row>
    <row r="4" spans="1:89" x14ac:dyDescent="0.25">
      <c r="A4" s="17" t="s">
        <v>384</v>
      </c>
      <c r="B4" s="188">
        <v>626649436.39999998</v>
      </c>
      <c r="C4" s="188">
        <v>392876131.64999998</v>
      </c>
      <c r="D4" s="188">
        <v>172354512.02000001</v>
      </c>
      <c r="E4" s="188">
        <v>752408925.78999996</v>
      </c>
      <c r="F4" s="188">
        <v>525772942.17000002</v>
      </c>
      <c r="G4" s="188">
        <v>339770745.41000003</v>
      </c>
      <c r="H4" s="188">
        <v>153700781.78999999</v>
      </c>
      <c r="I4" s="188">
        <v>665011421.55999994</v>
      </c>
      <c r="J4" s="188">
        <v>454007921.24000001</v>
      </c>
      <c r="K4" s="188">
        <v>283257330.20999998</v>
      </c>
      <c r="L4" s="188">
        <v>124302689.18000001</v>
      </c>
      <c r="M4" s="188">
        <v>597037871.64999998</v>
      </c>
      <c r="N4" s="188">
        <v>409475329.64999998</v>
      </c>
      <c r="O4" s="188">
        <v>528809680.74000001</v>
      </c>
      <c r="P4" s="188">
        <v>484907942.22000003</v>
      </c>
      <c r="Q4" s="188">
        <v>395593790.81</v>
      </c>
      <c r="R4" s="188">
        <v>316891515.43000001</v>
      </c>
      <c r="S4" s="188">
        <v>0</v>
      </c>
      <c r="T4" s="188"/>
      <c r="U4" s="188"/>
      <c r="V4" s="188"/>
      <c r="W4" s="188"/>
      <c r="X4" s="188"/>
      <c r="Y4" s="188"/>
      <c r="Z4" s="188"/>
      <c r="AA4" s="188"/>
      <c r="AB4" s="188"/>
      <c r="AC4" s="188"/>
      <c r="AD4" s="188"/>
      <c r="AE4" s="188"/>
      <c r="AF4" s="188"/>
      <c r="AG4" s="188"/>
      <c r="AH4" s="188"/>
      <c r="AI4" s="188"/>
      <c r="AJ4" s="188"/>
      <c r="AK4" s="188"/>
      <c r="AL4" s="188"/>
      <c r="AM4" s="188"/>
      <c r="AN4" s="188"/>
      <c r="AO4" s="188"/>
      <c r="AP4" s="188"/>
      <c r="AQ4" s="188"/>
      <c r="AR4" s="188"/>
      <c r="AS4" s="188"/>
      <c r="AT4" s="188"/>
      <c r="AU4" s="188"/>
      <c r="AV4" s="188"/>
      <c r="AW4" s="188"/>
      <c r="AX4" s="188"/>
      <c r="AY4" s="188"/>
      <c r="AZ4" s="188"/>
      <c r="BA4" s="188"/>
      <c r="BB4" s="188"/>
      <c r="BC4" s="188"/>
      <c r="BD4" s="188"/>
      <c r="BE4" s="188"/>
      <c r="BF4" s="188"/>
      <c r="BG4" s="188"/>
      <c r="BH4" s="188"/>
      <c r="BI4" s="188"/>
      <c r="BJ4" s="188"/>
      <c r="BK4" s="188"/>
      <c r="BL4" s="188"/>
      <c r="BM4" s="188"/>
      <c r="BN4" s="188"/>
      <c r="BO4" s="188"/>
      <c r="BP4" s="188"/>
      <c r="BQ4" s="188"/>
      <c r="BR4" s="188"/>
      <c r="BS4" s="188"/>
      <c r="BT4" s="188"/>
      <c r="BU4" s="188"/>
      <c r="BV4" s="188"/>
      <c r="BW4" s="188"/>
      <c r="BX4" s="188"/>
      <c r="BY4" s="188"/>
      <c r="BZ4" s="188"/>
      <c r="CA4" s="188"/>
      <c r="CB4" s="188"/>
      <c r="CC4" s="188"/>
      <c r="CD4" s="188"/>
      <c r="CE4" s="188"/>
      <c r="CF4" s="188"/>
      <c r="CG4" s="188"/>
      <c r="CH4" s="188"/>
      <c r="CI4" s="188"/>
      <c r="CJ4" s="188"/>
      <c r="CK4" s="188"/>
    </row>
    <row r="5" spans="1:89" x14ac:dyDescent="0.25">
      <c r="A5" s="19" t="s">
        <v>385</v>
      </c>
      <c r="B5" s="188">
        <v>319507261.20999998</v>
      </c>
      <c r="C5" s="188">
        <v>205508609.28999999</v>
      </c>
      <c r="D5" s="188">
        <v>108278238.17</v>
      </c>
      <c r="E5" s="188">
        <v>406091046.83999997</v>
      </c>
      <c r="F5" s="188">
        <v>271365768.27999997</v>
      </c>
      <c r="G5" s="188">
        <v>181470105.86000001</v>
      </c>
      <c r="H5" s="188">
        <v>91249713.920000002</v>
      </c>
      <c r="I5" s="188">
        <v>348439708.45999998</v>
      </c>
      <c r="J5" s="188">
        <v>228589200.88</v>
      </c>
      <c r="K5" s="188">
        <v>149382777.41999999</v>
      </c>
      <c r="L5" s="188">
        <v>74864949.950000003</v>
      </c>
      <c r="M5" s="188">
        <v>318153253.52999997</v>
      </c>
      <c r="N5" s="188">
        <v>215473046.52000001</v>
      </c>
      <c r="O5" s="188">
        <v>287721956.77999997</v>
      </c>
      <c r="P5" s="188">
        <v>255145394.69</v>
      </c>
      <c r="Q5" s="188">
        <v>207821413.31999999</v>
      </c>
      <c r="R5" s="188">
        <v>157440528.15000001</v>
      </c>
      <c r="S5" s="188">
        <v>0</v>
      </c>
      <c r="T5" s="188"/>
      <c r="U5" s="188"/>
      <c r="V5" s="188"/>
      <c r="W5" s="188"/>
      <c r="X5" s="188"/>
      <c r="Y5" s="188"/>
      <c r="Z5" s="188"/>
      <c r="AA5" s="188"/>
      <c r="AB5" s="188"/>
      <c r="AC5" s="188"/>
      <c r="AD5" s="188"/>
      <c r="AE5" s="188"/>
      <c r="AF5" s="188"/>
      <c r="AG5" s="188"/>
      <c r="AH5" s="188"/>
      <c r="AI5" s="188"/>
      <c r="AJ5" s="188"/>
      <c r="AK5" s="188"/>
      <c r="AL5" s="188"/>
      <c r="AM5" s="188"/>
      <c r="AN5" s="188"/>
      <c r="AO5" s="188"/>
      <c r="AP5" s="188"/>
      <c r="AQ5" s="188"/>
      <c r="AR5" s="188"/>
      <c r="AS5" s="188"/>
      <c r="AT5" s="188"/>
      <c r="AU5" s="188"/>
      <c r="AV5" s="188"/>
      <c r="AW5" s="188"/>
      <c r="AX5" s="188"/>
      <c r="AY5" s="188"/>
      <c r="AZ5" s="188"/>
      <c r="BA5" s="188"/>
      <c r="BB5" s="188"/>
      <c r="BC5" s="188"/>
      <c r="BD5" s="188"/>
      <c r="BE5" s="188"/>
      <c r="BF5" s="188"/>
      <c r="BG5" s="188"/>
      <c r="BH5" s="188"/>
      <c r="BI5" s="188"/>
      <c r="BJ5" s="188"/>
      <c r="BK5" s="188"/>
      <c r="BL5" s="188"/>
      <c r="BM5" s="188"/>
      <c r="BN5" s="188"/>
      <c r="BO5" s="188"/>
      <c r="BP5" s="188"/>
      <c r="BQ5" s="188"/>
      <c r="BR5" s="188"/>
      <c r="BS5" s="188"/>
      <c r="BT5" s="188"/>
      <c r="BU5" s="188"/>
      <c r="BV5" s="188"/>
      <c r="BW5" s="188"/>
      <c r="BX5" s="188"/>
      <c r="BY5" s="188"/>
      <c r="BZ5" s="188"/>
      <c r="CA5" s="188"/>
      <c r="CB5" s="188"/>
      <c r="CC5" s="188"/>
      <c r="CD5" s="188"/>
      <c r="CE5" s="188"/>
      <c r="CF5" s="188"/>
      <c r="CG5" s="188"/>
      <c r="CH5" s="188"/>
      <c r="CI5" s="188"/>
      <c r="CJ5" s="188"/>
      <c r="CK5" s="188"/>
    </row>
    <row r="6" spans="1:89" s="3" customFormat="1" x14ac:dyDescent="0.25">
      <c r="A6" s="20" t="s">
        <v>386</v>
      </c>
      <c r="B6" s="27">
        <f>B4-B5</f>
        <v>307142175.19</v>
      </c>
      <c r="C6" s="27">
        <f t="shared" ref="C6:BN6" si="0">C4-C5</f>
        <v>187367522.35999998</v>
      </c>
      <c r="D6" s="27">
        <f t="shared" si="0"/>
        <v>64076273.850000009</v>
      </c>
      <c r="E6" s="27">
        <f t="shared" si="0"/>
        <v>346317878.94999999</v>
      </c>
      <c r="F6" s="27">
        <f t="shared" si="0"/>
        <v>254407173.89000005</v>
      </c>
      <c r="G6" s="27">
        <f t="shared" si="0"/>
        <v>158300639.55000001</v>
      </c>
      <c r="H6" s="27">
        <f t="shared" si="0"/>
        <v>62451067.86999999</v>
      </c>
      <c r="I6" s="27">
        <f t="shared" si="0"/>
        <v>316571713.09999996</v>
      </c>
      <c r="J6" s="27">
        <f t="shared" si="0"/>
        <v>225418720.36000001</v>
      </c>
      <c r="K6" s="27">
        <f t="shared" si="0"/>
        <v>133874552.78999999</v>
      </c>
      <c r="L6" s="27">
        <f t="shared" si="0"/>
        <v>49437739.230000004</v>
      </c>
      <c r="M6" s="27">
        <f t="shared" si="0"/>
        <v>278884618.12</v>
      </c>
      <c r="N6" s="27">
        <f t="shared" si="0"/>
        <v>194002283.12999997</v>
      </c>
      <c r="O6" s="27">
        <f t="shared" si="0"/>
        <v>241087723.96000004</v>
      </c>
      <c r="P6" s="27">
        <f t="shared" si="0"/>
        <v>229762547.53000003</v>
      </c>
      <c r="Q6" s="27">
        <f t="shared" si="0"/>
        <v>187772377.49000001</v>
      </c>
      <c r="R6" s="27">
        <f t="shared" si="0"/>
        <v>159450987.28</v>
      </c>
      <c r="S6" s="27">
        <f t="shared" si="0"/>
        <v>0</v>
      </c>
      <c r="T6" s="27">
        <f t="shared" si="0"/>
        <v>0</v>
      </c>
      <c r="U6" s="27">
        <f t="shared" si="0"/>
        <v>0</v>
      </c>
      <c r="V6" s="27">
        <f t="shared" si="0"/>
        <v>0</v>
      </c>
      <c r="W6" s="27">
        <f t="shared" si="0"/>
        <v>0</v>
      </c>
      <c r="X6" s="27">
        <f t="shared" si="0"/>
        <v>0</v>
      </c>
      <c r="Y6" s="27">
        <f t="shared" si="0"/>
        <v>0</v>
      </c>
      <c r="Z6" s="27">
        <f t="shared" si="0"/>
        <v>0</v>
      </c>
      <c r="AA6" s="27">
        <f t="shared" si="0"/>
        <v>0</v>
      </c>
      <c r="AB6" s="27">
        <f t="shared" si="0"/>
        <v>0</v>
      </c>
      <c r="AC6" s="27">
        <f t="shared" si="0"/>
        <v>0</v>
      </c>
      <c r="AD6" s="27">
        <f t="shared" si="0"/>
        <v>0</v>
      </c>
      <c r="AE6" s="27">
        <f t="shared" si="0"/>
        <v>0</v>
      </c>
      <c r="AF6" s="27">
        <f t="shared" si="0"/>
        <v>0</v>
      </c>
      <c r="AG6" s="27">
        <f t="shared" si="0"/>
        <v>0</v>
      </c>
      <c r="AH6" s="27">
        <f t="shared" si="0"/>
        <v>0</v>
      </c>
      <c r="AI6" s="27">
        <f t="shared" si="0"/>
        <v>0</v>
      </c>
      <c r="AJ6" s="27">
        <f t="shared" si="0"/>
        <v>0</v>
      </c>
      <c r="AK6" s="27">
        <f t="shared" si="0"/>
        <v>0</v>
      </c>
      <c r="AL6" s="27">
        <f t="shared" si="0"/>
        <v>0</v>
      </c>
      <c r="AM6" s="27">
        <f t="shared" si="0"/>
        <v>0</v>
      </c>
      <c r="AN6" s="27">
        <f t="shared" si="0"/>
        <v>0</v>
      </c>
      <c r="AO6" s="27">
        <f t="shared" si="0"/>
        <v>0</v>
      </c>
      <c r="AP6" s="27">
        <f t="shared" si="0"/>
        <v>0</v>
      </c>
      <c r="AQ6" s="27">
        <f t="shared" si="0"/>
        <v>0</v>
      </c>
      <c r="AR6" s="27">
        <f t="shared" si="0"/>
        <v>0</v>
      </c>
      <c r="AS6" s="27">
        <f t="shared" si="0"/>
        <v>0</v>
      </c>
      <c r="AT6" s="27">
        <f t="shared" si="0"/>
        <v>0</v>
      </c>
      <c r="AU6" s="27">
        <f t="shared" si="0"/>
        <v>0</v>
      </c>
      <c r="AV6" s="27">
        <f t="shared" si="0"/>
        <v>0</v>
      </c>
      <c r="AW6" s="27">
        <f t="shared" si="0"/>
        <v>0</v>
      </c>
      <c r="AX6" s="27">
        <f t="shared" si="0"/>
        <v>0</v>
      </c>
      <c r="AY6" s="27">
        <f t="shared" si="0"/>
        <v>0</v>
      </c>
      <c r="AZ6" s="27">
        <f t="shared" si="0"/>
        <v>0</v>
      </c>
      <c r="BA6" s="27">
        <f t="shared" si="0"/>
        <v>0</v>
      </c>
      <c r="BB6" s="27">
        <f t="shared" si="0"/>
        <v>0</v>
      </c>
      <c r="BC6" s="27">
        <f t="shared" si="0"/>
        <v>0</v>
      </c>
      <c r="BD6" s="27">
        <f t="shared" si="0"/>
        <v>0</v>
      </c>
      <c r="BE6" s="27">
        <f t="shared" si="0"/>
        <v>0</v>
      </c>
      <c r="BF6" s="27">
        <f t="shared" si="0"/>
        <v>0</v>
      </c>
      <c r="BG6" s="27">
        <f t="shared" si="0"/>
        <v>0</v>
      </c>
      <c r="BH6" s="27">
        <f t="shared" si="0"/>
        <v>0</v>
      </c>
      <c r="BI6" s="27">
        <f t="shared" si="0"/>
        <v>0</v>
      </c>
      <c r="BJ6" s="27">
        <f t="shared" si="0"/>
        <v>0</v>
      </c>
      <c r="BK6" s="27">
        <f t="shared" si="0"/>
        <v>0</v>
      </c>
      <c r="BL6" s="27">
        <f t="shared" si="0"/>
        <v>0</v>
      </c>
      <c r="BM6" s="27">
        <f t="shared" si="0"/>
        <v>0</v>
      </c>
      <c r="BN6" s="27">
        <f t="shared" si="0"/>
        <v>0</v>
      </c>
      <c r="BO6" s="27">
        <f t="shared" ref="BO6:CK6" si="1">BO4-BO5</f>
        <v>0</v>
      </c>
      <c r="BP6" s="27">
        <f t="shared" si="1"/>
        <v>0</v>
      </c>
      <c r="BQ6" s="27">
        <f t="shared" si="1"/>
        <v>0</v>
      </c>
      <c r="BR6" s="27">
        <f t="shared" si="1"/>
        <v>0</v>
      </c>
      <c r="BS6" s="27">
        <f t="shared" si="1"/>
        <v>0</v>
      </c>
      <c r="BT6" s="27">
        <f t="shared" si="1"/>
        <v>0</v>
      </c>
      <c r="BU6" s="27">
        <f t="shared" si="1"/>
        <v>0</v>
      </c>
      <c r="BV6" s="27">
        <f t="shared" si="1"/>
        <v>0</v>
      </c>
      <c r="BW6" s="27">
        <f t="shared" si="1"/>
        <v>0</v>
      </c>
      <c r="BX6" s="27">
        <f t="shared" si="1"/>
        <v>0</v>
      </c>
      <c r="BY6" s="27">
        <f t="shared" si="1"/>
        <v>0</v>
      </c>
      <c r="BZ6" s="27">
        <f t="shared" si="1"/>
        <v>0</v>
      </c>
      <c r="CA6" s="27">
        <f t="shared" si="1"/>
        <v>0</v>
      </c>
      <c r="CB6" s="27">
        <f t="shared" si="1"/>
        <v>0</v>
      </c>
      <c r="CC6" s="27">
        <f t="shared" si="1"/>
        <v>0</v>
      </c>
      <c r="CD6" s="27">
        <f t="shared" si="1"/>
        <v>0</v>
      </c>
      <c r="CE6" s="27">
        <f t="shared" si="1"/>
        <v>0</v>
      </c>
      <c r="CF6" s="27">
        <f t="shared" si="1"/>
        <v>0</v>
      </c>
      <c r="CG6" s="27">
        <f t="shared" si="1"/>
        <v>0</v>
      </c>
      <c r="CH6" s="27">
        <f t="shared" si="1"/>
        <v>0</v>
      </c>
      <c r="CI6" s="27">
        <f t="shared" si="1"/>
        <v>0</v>
      </c>
      <c r="CJ6" s="27">
        <f t="shared" si="1"/>
        <v>0</v>
      </c>
      <c r="CK6" s="27">
        <f t="shared" si="1"/>
        <v>0</v>
      </c>
    </row>
    <row r="7" spans="1:89" s="57" customFormat="1" x14ac:dyDescent="0.25">
      <c r="A7" s="57" t="s">
        <v>387</v>
      </c>
      <c r="B7" s="57">
        <f>B6/B4*100</f>
        <v>49.013396861007699</v>
      </c>
      <c r="C7" s="57">
        <f t="shared" ref="C7:D7" si="2">C6/C4*100</f>
        <v>47.691245984604471</v>
      </c>
      <c r="D7" s="57">
        <f t="shared" si="2"/>
        <v>37.177021418832709</v>
      </c>
      <c r="E7" s="57">
        <f>E6/E4</f>
        <v>0.46027880196447662</v>
      </c>
      <c r="F7" s="57">
        <f t="shared" ref="F7:BQ7" si="3">F6/F4</f>
        <v>0.48387270147451156</v>
      </c>
      <c r="G7" s="57">
        <f t="shared" si="3"/>
        <v>0.46590426541572688</v>
      </c>
      <c r="H7" s="57">
        <f t="shared" si="3"/>
        <v>0.40631587648868517</v>
      </c>
      <c r="I7" s="57">
        <f t="shared" si="3"/>
        <v>0.47603951276111672</v>
      </c>
      <c r="J7" s="57">
        <f t="shared" si="3"/>
        <v>0.49650834228691354</v>
      </c>
      <c r="K7" s="57">
        <f t="shared" si="3"/>
        <v>0.47262520158171623</v>
      </c>
      <c r="L7" s="57">
        <f t="shared" si="3"/>
        <v>0.39772059282169103</v>
      </c>
      <c r="M7" s="57">
        <f t="shared" si="3"/>
        <v>0.4671137818263727</v>
      </c>
      <c r="N7" s="57">
        <f t="shared" si="3"/>
        <v>0.47378259221580915</v>
      </c>
      <c r="O7" s="57">
        <f t="shared" si="3"/>
        <v>0.4559064115895709</v>
      </c>
      <c r="P7" s="57">
        <f t="shared" si="3"/>
        <v>0.47382714846472457</v>
      </c>
      <c r="Q7" s="57">
        <f t="shared" si="3"/>
        <v>0.47465956709160112</v>
      </c>
      <c r="R7" s="57">
        <f t="shared" si="3"/>
        <v>0.50317215676675964</v>
      </c>
      <c r="S7" s="57" t="e">
        <f t="shared" si="3"/>
        <v>#DIV/0!</v>
      </c>
      <c r="T7" s="57" t="e">
        <f t="shared" si="3"/>
        <v>#DIV/0!</v>
      </c>
      <c r="U7" s="57" t="e">
        <f t="shared" si="3"/>
        <v>#DIV/0!</v>
      </c>
      <c r="V7" s="57" t="e">
        <f t="shared" si="3"/>
        <v>#DIV/0!</v>
      </c>
      <c r="W7" s="57" t="e">
        <f t="shared" si="3"/>
        <v>#DIV/0!</v>
      </c>
      <c r="X7" s="57" t="e">
        <f t="shared" si="3"/>
        <v>#DIV/0!</v>
      </c>
      <c r="Y7" s="57" t="e">
        <f t="shared" si="3"/>
        <v>#DIV/0!</v>
      </c>
      <c r="Z7" s="57" t="e">
        <f t="shared" si="3"/>
        <v>#DIV/0!</v>
      </c>
      <c r="AA7" s="57" t="e">
        <f t="shared" si="3"/>
        <v>#DIV/0!</v>
      </c>
      <c r="AB7" s="57" t="e">
        <f t="shared" si="3"/>
        <v>#DIV/0!</v>
      </c>
      <c r="AC7" s="57" t="e">
        <f t="shared" si="3"/>
        <v>#DIV/0!</v>
      </c>
      <c r="AD7" s="57" t="e">
        <f t="shared" si="3"/>
        <v>#DIV/0!</v>
      </c>
      <c r="AE7" s="57" t="e">
        <f t="shared" si="3"/>
        <v>#DIV/0!</v>
      </c>
      <c r="AF7" s="57" t="e">
        <f t="shared" si="3"/>
        <v>#DIV/0!</v>
      </c>
      <c r="AG7" s="57" t="e">
        <f t="shared" si="3"/>
        <v>#DIV/0!</v>
      </c>
      <c r="AH7" s="57" t="e">
        <f t="shared" si="3"/>
        <v>#DIV/0!</v>
      </c>
      <c r="AI7" s="57" t="e">
        <f t="shared" si="3"/>
        <v>#DIV/0!</v>
      </c>
      <c r="AJ7" s="57" t="e">
        <f t="shared" si="3"/>
        <v>#DIV/0!</v>
      </c>
      <c r="AK7" s="57" t="e">
        <f t="shared" si="3"/>
        <v>#DIV/0!</v>
      </c>
      <c r="AL7" s="57" t="e">
        <f t="shared" si="3"/>
        <v>#DIV/0!</v>
      </c>
      <c r="AM7" s="57" t="e">
        <f t="shared" si="3"/>
        <v>#DIV/0!</v>
      </c>
      <c r="AN7" s="57" t="e">
        <f t="shared" si="3"/>
        <v>#DIV/0!</v>
      </c>
      <c r="AO7" s="57" t="e">
        <f t="shared" si="3"/>
        <v>#DIV/0!</v>
      </c>
      <c r="AP7" s="57" t="e">
        <f t="shared" si="3"/>
        <v>#DIV/0!</v>
      </c>
      <c r="AQ7" s="57" t="e">
        <f t="shared" si="3"/>
        <v>#DIV/0!</v>
      </c>
      <c r="AR7" s="57" t="e">
        <f t="shared" si="3"/>
        <v>#DIV/0!</v>
      </c>
      <c r="AS7" s="57" t="e">
        <f t="shared" si="3"/>
        <v>#DIV/0!</v>
      </c>
      <c r="AT7" s="57" t="e">
        <f t="shared" si="3"/>
        <v>#DIV/0!</v>
      </c>
      <c r="AU7" s="57" t="e">
        <f t="shared" si="3"/>
        <v>#DIV/0!</v>
      </c>
      <c r="AV7" s="57" t="e">
        <f t="shared" si="3"/>
        <v>#DIV/0!</v>
      </c>
      <c r="AW7" s="57" t="e">
        <f t="shared" si="3"/>
        <v>#DIV/0!</v>
      </c>
      <c r="AX7" s="57" t="e">
        <f t="shared" si="3"/>
        <v>#DIV/0!</v>
      </c>
      <c r="AY7" s="57" t="e">
        <f t="shared" si="3"/>
        <v>#DIV/0!</v>
      </c>
      <c r="AZ7" s="57" t="e">
        <f t="shared" si="3"/>
        <v>#DIV/0!</v>
      </c>
      <c r="BA7" s="57" t="e">
        <f t="shared" si="3"/>
        <v>#DIV/0!</v>
      </c>
      <c r="BB7" s="57" t="e">
        <f t="shared" si="3"/>
        <v>#DIV/0!</v>
      </c>
      <c r="BC7" s="57" t="e">
        <f t="shared" si="3"/>
        <v>#DIV/0!</v>
      </c>
      <c r="BD7" s="57" t="e">
        <f t="shared" si="3"/>
        <v>#DIV/0!</v>
      </c>
      <c r="BE7" s="57" t="e">
        <f t="shared" si="3"/>
        <v>#DIV/0!</v>
      </c>
      <c r="BF7" s="57" t="e">
        <f t="shared" si="3"/>
        <v>#DIV/0!</v>
      </c>
      <c r="BG7" s="57" t="e">
        <f t="shared" si="3"/>
        <v>#DIV/0!</v>
      </c>
      <c r="BH7" s="57" t="e">
        <f t="shared" si="3"/>
        <v>#DIV/0!</v>
      </c>
      <c r="BI7" s="57" t="e">
        <f t="shared" si="3"/>
        <v>#DIV/0!</v>
      </c>
      <c r="BJ7" s="57" t="e">
        <f t="shared" si="3"/>
        <v>#DIV/0!</v>
      </c>
      <c r="BK7" s="57" t="e">
        <f t="shared" si="3"/>
        <v>#DIV/0!</v>
      </c>
      <c r="BL7" s="57" t="e">
        <f t="shared" si="3"/>
        <v>#DIV/0!</v>
      </c>
      <c r="BM7" s="57" t="e">
        <f t="shared" si="3"/>
        <v>#DIV/0!</v>
      </c>
      <c r="BN7" s="57" t="e">
        <f t="shared" si="3"/>
        <v>#DIV/0!</v>
      </c>
      <c r="BO7" s="57" t="e">
        <f t="shared" si="3"/>
        <v>#DIV/0!</v>
      </c>
      <c r="BP7" s="57" t="e">
        <f t="shared" si="3"/>
        <v>#DIV/0!</v>
      </c>
      <c r="BQ7" s="57" t="e">
        <f t="shared" si="3"/>
        <v>#DIV/0!</v>
      </c>
      <c r="BR7" s="57" t="e">
        <f t="shared" ref="BR7:CK7" si="4">BR6/BR4</f>
        <v>#DIV/0!</v>
      </c>
      <c r="BS7" s="57" t="e">
        <f t="shared" si="4"/>
        <v>#DIV/0!</v>
      </c>
      <c r="BT7" s="57" t="e">
        <f t="shared" si="4"/>
        <v>#DIV/0!</v>
      </c>
      <c r="BU7" s="57" t="e">
        <f t="shared" si="4"/>
        <v>#DIV/0!</v>
      </c>
      <c r="BV7" s="57" t="e">
        <f t="shared" si="4"/>
        <v>#DIV/0!</v>
      </c>
      <c r="BW7" s="57" t="e">
        <f t="shared" si="4"/>
        <v>#DIV/0!</v>
      </c>
      <c r="BX7" s="57" t="e">
        <f t="shared" si="4"/>
        <v>#DIV/0!</v>
      </c>
      <c r="BY7" s="57" t="e">
        <f t="shared" si="4"/>
        <v>#DIV/0!</v>
      </c>
      <c r="BZ7" s="57" t="e">
        <f t="shared" si="4"/>
        <v>#DIV/0!</v>
      </c>
      <c r="CA7" s="57" t="e">
        <f t="shared" si="4"/>
        <v>#DIV/0!</v>
      </c>
      <c r="CB7" s="57" t="e">
        <f t="shared" si="4"/>
        <v>#DIV/0!</v>
      </c>
      <c r="CC7" s="57" t="e">
        <f t="shared" si="4"/>
        <v>#DIV/0!</v>
      </c>
      <c r="CD7" s="57" t="e">
        <f t="shared" si="4"/>
        <v>#DIV/0!</v>
      </c>
      <c r="CE7" s="57" t="e">
        <f t="shared" si="4"/>
        <v>#DIV/0!</v>
      </c>
      <c r="CF7" s="57" t="e">
        <f t="shared" si="4"/>
        <v>#DIV/0!</v>
      </c>
      <c r="CG7" s="57" t="e">
        <f t="shared" si="4"/>
        <v>#DIV/0!</v>
      </c>
      <c r="CH7" s="57" t="e">
        <f t="shared" si="4"/>
        <v>#DIV/0!</v>
      </c>
      <c r="CI7" s="57" t="e">
        <f t="shared" si="4"/>
        <v>#DIV/0!</v>
      </c>
      <c r="CJ7" s="57" t="e">
        <f t="shared" si="4"/>
        <v>#DIV/0!</v>
      </c>
      <c r="CK7" s="57" t="e">
        <f t="shared" si="4"/>
        <v>#DIV/0!</v>
      </c>
    </row>
    <row r="8" spans="1:89" x14ac:dyDescent="0.25">
      <c r="A8" s="17" t="s">
        <v>388</v>
      </c>
      <c r="B8" s="188">
        <v>3338613.63</v>
      </c>
      <c r="C8" s="188">
        <v>2097807.5099999998</v>
      </c>
      <c r="D8" s="188">
        <v>678109.79</v>
      </c>
      <c r="E8" s="188">
        <v>4713914.93</v>
      </c>
      <c r="F8" s="188">
        <v>3122552.32</v>
      </c>
      <c r="G8" s="188">
        <v>2242285.31</v>
      </c>
      <c r="H8" s="188">
        <v>741441.45</v>
      </c>
      <c r="I8" s="188">
        <v>4077013.45</v>
      </c>
      <c r="J8" s="188">
        <v>2478089.7400000002</v>
      </c>
      <c r="K8" s="188">
        <v>1674570.11</v>
      </c>
      <c r="L8" s="188">
        <v>761096.69</v>
      </c>
      <c r="M8" s="188">
        <v>3426043.03</v>
      </c>
      <c r="N8" s="188">
        <v>2528370.9500000002</v>
      </c>
      <c r="O8" s="188">
        <v>3185132.53</v>
      </c>
      <c r="P8" s="188">
        <v>4441789.72</v>
      </c>
      <c r="Q8" s="188">
        <v>13470903.210000001</v>
      </c>
      <c r="R8" s="188">
        <v>15908543.560000001</v>
      </c>
      <c r="S8" s="188">
        <v>0</v>
      </c>
      <c r="T8" s="188"/>
      <c r="U8" s="188"/>
      <c r="V8" s="188"/>
      <c r="W8" s="188"/>
      <c r="X8" s="188"/>
      <c r="Y8" s="188"/>
      <c r="Z8" s="188"/>
      <c r="AA8" s="188"/>
      <c r="AB8" s="188"/>
      <c r="AC8" s="188"/>
      <c r="AD8" s="188"/>
      <c r="AE8" s="188"/>
      <c r="AF8" s="188"/>
      <c r="AG8" s="188"/>
      <c r="AH8" s="188"/>
      <c r="AI8" s="188"/>
      <c r="AJ8" s="188"/>
      <c r="AK8" s="188"/>
      <c r="AL8" s="188"/>
      <c r="AM8" s="188"/>
      <c r="AN8" s="188"/>
      <c r="AO8" s="188"/>
      <c r="AP8" s="188"/>
      <c r="AQ8" s="188"/>
      <c r="AR8" s="188"/>
      <c r="AS8" s="188"/>
      <c r="AT8" s="188"/>
      <c r="AU8" s="188"/>
      <c r="AV8" s="188"/>
      <c r="AW8" s="188"/>
      <c r="AX8" s="188"/>
      <c r="AY8" s="188"/>
      <c r="AZ8" s="188"/>
      <c r="BA8" s="188"/>
      <c r="BB8" s="188"/>
      <c r="BC8" s="188"/>
      <c r="BD8" s="188"/>
      <c r="BE8" s="188"/>
      <c r="BF8" s="188"/>
      <c r="BG8" s="188"/>
      <c r="BH8" s="188"/>
      <c r="BI8" s="188"/>
      <c r="BJ8" s="188"/>
      <c r="BK8" s="188"/>
      <c r="BL8" s="188"/>
      <c r="BM8" s="188"/>
      <c r="BN8" s="188"/>
      <c r="BO8" s="188"/>
      <c r="BP8" s="188"/>
      <c r="BQ8" s="188"/>
      <c r="BR8" s="188"/>
      <c r="BS8" s="188"/>
      <c r="BT8" s="188"/>
      <c r="BU8" s="188"/>
      <c r="BV8" s="188"/>
      <c r="BW8" s="188"/>
      <c r="BX8" s="188"/>
      <c r="BY8" s="188"/>
      <c r="BZ8" s="188"/>
      <c r="CA8" s="188"/>
      <c r="CB8" s="188"/>
      <c r="CC8" s="188"/>
      <c r="CD8" s="188"/>
      <c r="CE8" s="188"/>
      <c r="CF8" s="188"/>
      <c r="CG8" s="188"/>
      <c r="CH8" s="188"/>
      <c r="CI8" s="188"/>
      <c r="CJ8" s="188"/>
      <c r="CK8" s="188"/>
    </row>
    <row r="9" spans="1:89" x14ac:dyDescent="0.25">
      <c r="A9" s="17" t="s">
        <v>389</v>
      </c>
      <c r="B9" s="188">
        <v>19614822.73</v>
      </c>
      <c r="C9" s="188">
        <v>12943635.039999999</v>
      </c>
      <c r="D9" s="188">
        <v>5945114.6299999999</v>
      </c>
      <c r="E9" s="188">
        <v>21668533.010000002</v>
      </c>
      <c r="F9" s="188">
        <v>13228844.43</v>
      </c>
      <c r="G9" s="188">
        <v>9180163.4299999997</v>
      </c>
      <c r="H9" s="188">
        <v>5012251.4000000004</v>
      </c>
      <c r="I9" s="188">
        <v>19538807.030000001</v>
      </c>
      <c r="J9" s="188">
        <v>12545397.220000001</v>
      </c>
      <c r="K9" s="188">
        <v>8046351.9000000004</v>
      </c>
      <c r="L9" s="188">
        <v>3789818.57</v>
      </c>
      <c r="M9" s="188">
        <v>17063513.98</v>
      </c>
      <c r="N9" s="188">
        <v>11785946.41</v>
      </c>
      <c r="O9" s="188">
        <v>16875542.949999999</v>
      </c>
      <c r="P9" s="188">
        <v>16358050.699999999</v>
      </c>
      <c r="Q9" s="188">
        <v>9619825.7599999998</v>
      </c>
      <c r="R9" s="188">
        <v>7064283.7000000002</v>
      </c>
      <c r="S9" s="188">
        <v>0</v>
      </c>
      <c r="T9" s="188"/>
      <c r="U9" s="188"/>
      <c r="V9" s="188"/>
      <c r="W9" s="188"/>
      <c r="X9" s="188"/>
      <c r="Y9" s="188"/>
      <c r="Z9" s="188"/>
      <c r="AA9" s="188"/>
      <c r="AB9" s="188"/>
      <c r="AC9" s="188"/>
      <c r="AD9" s="188"/>
      <c r="AE9" s="188"/>
      <c r="AF9" s="188"/>
      <c r="AG9" s="188"/>
      <c r="AH9" s="188"/>
      <c r="AI9" s="188"/>
      <c r="AJ9" s="188"/>
      <c r="AK9" s="188"/>
      <c r="AL9" s="188"/>
      <c r="AM9" s="188"/>
      <c r="AN9" s="188"/>
      <c r="AO9" s="188"/>
      <c r="AP9" s="188"/>
      <c r="AQ9" s="188"/>
      <c r="AR9" s="188"/>
      <c r="AS9" s="188"/>
      <c r="AT9" s="188"/>
      <c r="AU9" s="188"/>
      <c r="AV9" s="188"/>
      <c r="AW9" s="188"/>
      <c r="AX9" s="188"/>
      <c r="AY9" s="188"/>
      <c r="AZ9" s="188"/>
      <c r="BA9" s="188"/>
      <c r="BB9" s="188"/>
      <c r="BC9" s="188"/>
      <c r="BD9" s="188"/>
      <c r="BE9" s="188"/>
      <c r="BF9" s="188"/>
      <c r="BG9" s="188"/>
      <c r="BH9" s="188"/>
      <c r="BI9" s="188"/>
      <c r="BJ9" s="188"/>
      <c r="BK9" s="188"/>
      <c r="BL9" s="188"/>
      <c r="BM9" s="188"/>
      <c r="BN9" s="188"/>
      <c r="BO9" s="188"/>
      <c r="BP9" s="188"/>
      <c r="BQ9" s="188"/>
      <c r="BR9" s="188"/>
      <c r="BS9" s="188"/>
      <c r="BT9" s="188"/>
      <c r="BU9" s="188"/>
      <c r="BV9" s="188"/>
      <c r="BW9" s="188"/>
      <c r="BX9" s="188"/>
      <c r="BY9" s="188"/>
      <c r="BZ9" s="188"/>
      <c r="CA9" s="188"/>
      <c r="CB9" s="188"/>
      <c r="CC9" s="188"/>
      <c r="CD9" s="188"/>
      <c r="CE9" s="188"/>
      <c r="CF9" s="188"/>
      <c r="CG9" s="188"/>
      <c r="CH9" s="188"/>
      <c r="CI9" s="188"/>
      <c r="CJ9" s="188"/>
      <c r="CK9" s="188"/>
    </row>
    <row r="10" spans="1:89" x14ac:dyDescent="0.25">
      <c r="A10" s="17" t="s">
        <v>390</v>
      </c>
      <c r="B10" s="188">
        <v>89584612.290000007</v>
      </c>
      <c r="C10" s="188">
        <v>92580103.870000005</v>
      </c>
      <c r="D10" s="188">
        <v>44799856.780000001</v>
      </c>
      <c r="E10" s="188">
        <v>166019822.88</v>
      </c>
      <c r="F10" s="188">
        <v>117685777.28</v>
      </c>
      <c r="G10" s="188">
        <v>79178722.430000007</v>
      </c>
      <c r="H10" s="188">
        <v>37534449.25</v>
      </c>
      <c r="I10" s="188">
        <v>154974042.46000001</v>
      </c>
      <c r="J10" s="188">
        <v>103999553.73999999</v>
      </c>
      <c r="K10" s="188">
        <v>70613526.260000005</v>
      </c>
      <c r="L10" s="188">
        <v>35456383.57</v>
      </c>
      <c r="M10" s="188">
        <v>122441461.36</v>
      </c>
      <c r="N10" s="188">
        <v>86931351.890000001</v>
      </c>
      <c r="O10" s="188">
        <v>107670888.41</v>
      </c>
      <c r="P10" s="188">
        <v>102640374.88</v>
      </c>
      <c r="Q10" s="188">
        <v>71521981.640000001</v>
      </c>
      <c r="R10" s="188">
        <v>52519359.909999996</v>
      </c>
      <c r="S10" s="188">
        <v>0</v>
      </c>
      <c r="T10" s="188"/>
      <c r="U10" s="188"/>
      <c r="V10" s="188"/>
      <c r="W10" s="188"/>
      <c r="X10" s="188"/>
      <c r="Y10" s="188"/>
      <c r="Z10" s="188"/>
      <c r="AA10" s="188"/>
      <c r="AB10" s="188"/>
      <c r="AC10" s="188"/>
      <c r="AD10" s="188"/>
      <c r="AE10" s="188"/>
      <c r="AF10" s="188"/>
      <c r="AG10" s="188"/>
      <c r="AH10" s="188"/>
      <c r="AI10" s="188"/>
      <c r="AJ10" s="188"/>
      <c r="AK10" s="188"/>
      <c r="AL10" s="188"/>
      <c r="AM10" s="188"/>
      <c r="AN10" s="188"/>
      <c r="AO10" s="188"/>
      <c r="AP10" s="188"/>
      <c r="AQ10" s="188"/>
      <c r="AR10" s="188"/>
      <c r="AS10" s="188"/>
      <c r="AT10" s="188"/>
      <c r="AU10" s="188"/>
      <c r="AV10" s="188"/>
      <c r="AW10" s="188"/>
      <c r="AX10" s="188"/>
      <c r="AY10" s="188"/>
      <c r="AZ10" s="188"/>
      <c r="BA10" s="188"/>
      <c r="BB10" s="188"/>
      <c r="BC10" s="188"/>
      <c r="BD10" s="188"/>
      <c r="BE10" s="188"/>
      <c r="BF10" s="188"/>
      <c r="BG10" s="188"/>
      <c r="BH10" s="188"/>
      <c r="BI10" s="188"/>
      <c r="BJ10" s="188"/>
      <c r="BK10" s="188"/>
      <c r="BL10" s="188"/>
      <c r="BM10" s="188"/>
      <c r="BN10" s="188"/>
      <c r="BO10" s="188"/>
      <c r="BP10" s="188"/>
      <c r="BQ10" s="188"/>
      <c r="BR10" s="188"/>
      <c r="BS10" s="188"/>
      <c r="BT10" s="188"/>
      <c r="BU10" s="188"/>
      <c r="BV10" s="188"/>
      <c r="BW10" s="188"/>
      <c r="BX10" s="188"/>
      <c r="BY10" s="188"/>
      <c r="BZ10" s="188"/>
      <c r="CA10" s="188"/>
      <c r="CB10" s="188"/>
      <c r="CC10" s="188"/>
      <c r="CD10" s="188"/>
      <c r="CE10" s="188"/>
      <c r="CF10" s="188"/>
      <c r="CG10" s="188"/>
      <c r="CH10" s="188"/>
      <c r="CI10" s="188"/>
      <c r="CJ10" s="188"/>
      <c r="CK10" s="188"/>
    </row>
    <row r="11" spans="1:89" x14ac:dyDescent="0.25">
      <c r="A11" s="17" t="s">
        <v>391</v>
      </c>
      <c r="B11" s="188">
        <v>4541033.96</v>
      </c>
      <c r="C11" s="188">
        <v>3226124.16</v>
      </c>
      <c r="D11" s="188">
        <v>1149833.6100000001</v>
      </c>
      <c r="E11" s="188">
        <v>3676127.1</v>
      </c>
      <c r="F11" s="188">
        <v>4740584.82</v>
      </c>
      <c r="G11" s="188">
        <v>2648674.7200000002</v>
      </c>
      <c r="H11" s="188">
        <v>268215.46999999997</v>
      </c>
      <c r="I11" s="188">
        <v>2861101.65</v>
      </c>
      <c r="J11" s="188">
        <v>1555979.19</v>
      </c>
      <c r="K11" s="188">
        <v>1732316.57</v>
      </c>
      <c r="L11" s="188">
        <v>521455.82</v>
      </c>
      <c r="M11" s="188">
        <v>2284690.9700000002</v>
      </c>
      <c r="N11" s="188">
        <v>931665.24</v>
      </c>
      <c r="O11" s="188">
        <v>1660639.19</v>
      </c>
      <c r="P11" s="188">
        <v>1472137.7</v>
      </c>
      <c r="Q11" s="188">
        <v>860356.86</v>
      </c>
      <c r="R11" s="188">
        <v>781100.94</v>
      </c>
      <c r="S11" s="188">
        <v>0</v>
      </c>
      <c r="T11" s="188"/>
      <c r="U11" s="188"/>
      <c r="V11" s="188"/>
      <c r="W11" s="188"/>
      <c r="X11" s="188"/>
      <c r="Y11" s="188"/>
      <c r="Z11" s="188"/>
      <c r="AA11" s="188"/>
      <c r="AB11" s="188"/>
      <c r="AC11" s="188"/>
      <c r="AD11" s="188"/>
      <c r="AE11" s="188"/>
      <c r="AF11" s="188"/>
      <c r="AG11" s="188"/>
      <c r="AH11" s="188"/>
      <c r="AI11" s="188"/>
      <c r="AJ11" s="188"/>
      <c r="AK11" s="188"/>
      <c r="AL11" s="188"/>
      <c r="AM11" s="188"/>
      <c r="AN11" s="188"/>
      <c r="AO11" s="188"/>
      <c r="AP11" s="188"/>
      <c r="AQ11" s="188"/>
      <c r="AR11" s="188"/>
      <c r="AS11" s="188"/>
      <c r="AT11" s="188"/>
      <c r="AU11" s="188"/>
      <c r="AV11" s="188"/>
      <c r="AW11" s="188"/>
      <c r="AX11" s="188"/>
      <c r="AY11" s="188"/>
      <c r="AZ11" s="188"/>
      <c r="BA11" s="188"/>
      <c r="BB11" s="188"/>
      <c r="BC11" s="188"/>
      <c r="BD11" s="188"/>
      <c r="BE11" s="188"/>
      <c r="BF11" s="188"/>
      <c r="BG11" s="188"/>
      <c r="BH11" s="188"/>
      <c r="BI11" s="188"/>
      <c r="BJ11" s="188"/>
      <c r="BK11" s="188"/>
      <c r="BL11" s="188"/>
      <c r="BM11" s="188"/>
      <c r="BN11" s="188"/>
      <c r="BO11" s="188"/>
      <c r="BP11" s="188"/>
      <c r="BQ11" s="188"/>
      <c r="BR11" s="188"/>
      <c r="BS11" s="188"/>
      <c r="BT11" s="188"/>
      <c r="BU11" s="188"/>
      <c r="BV11" s="188"/>
      <c r="BW11" s="188"/>
      <c r="BX11" s="188"/>
      <c r="BY11" s="188"/>
      <c r="BZ11" s="188"/>
      <c r="CA11" s="188"/>
      <c r="CB11" s="188"/>
      <c r="CC11" s="188"/>
      <c r="CD11" s="188"/>
      <c r="CE11" s="188"/>
      <c r="CF11" s="188"/>
      <c r="CG11" s="188"/>
      <c r="CH11" s="188"/>
      <c r="CI11" s="188"/>
      <c r="CJ11" s="188"/>
      <c r="CK11" s="188"/>
    </row>
    <row r="12" spans="1:89" s="7" customFormat="1" x14ac:dyDescent="0.25">
      <c r="A12" s="21" t="s">
        <v>392</v>
      </c>
      <c r="B12" s="29">
        <f>B55</f>
        <v>463</v>
      </c>
      <c r="C12" s="29">
        <f t="shared" ref="C12:BN12" si="5">C55</f>
        <v>603</v>
      </c>
      <c r="D12" s="29">
        <f t="shared" si="5"/>
        <v>653</v>
      </c>
      <c r="E12" s="29">
        <f t="shared" si="5"/>
        <v>358407.7</v>
      </c>
      <c r="F12" s="29">
        <f t="shared" si="5"/>
        <v>1204</v>
      </c>
      <c r="G12" s="29">
        <f t="shared" si="5"/>
        <v>868</v>
      </c>
      <c r="H12" s="29">
        <f t="shared" si="5"/>
        <v>644</v>
      </c>
      <c r="I12" s="29">
        <f t="shared" si="5"/>
        <v>459844</v>
      </c>
      <c r="J12" s="29">
        <f t="shared" si="5"/>
        <v>0</v>
      </c>
      <c r="K12" s="29">
        <f t="shared" si="5"/>
        <v>0</v>
      </c>
      <c r="L12" s="29">
        <f t="shared" si="5"/>
        <v>0</v>
      </c>
      <c r="M12" s="29">
        <f t="shared" si="5"/>
        <v>5143139.6100000003</v>
      </c>
      <c r="N12" s="29">
        <f t="shared" si="5"/>
        <v>0</v>
      </c>
      <c r="O12" s="29">
        <f t="shared" si="5"/>
        <v>0</v>
      </c>
      <c r="P12" s="29">
        <f t="shared" si="5"/>
        <v>0</v>
      </c>
      <c r="Q12" s="29">
        <f t="shared" si="5"/>
        <v>0</v>
      </c>
      <c r="R12" s="29">
        <f t="shared" si="5"/>
        <v>0</v>
      </c>
      <c r="S12" s="29">
        <f t="shared" si="5"/>
        <v>0</v>
      </c>
      <c r="T12" s="29">
        <f t="shared" si="5"/>
        <v>0</v>
      </c>
      <c r="U12" s="29">
        <f t="shared" si="5"/>
        <v>-5869478</v>
      </c>
      <c r="V12" s="29">
        <f t="shared" si="5"/>
        <v>0</v>
      </c>
      <c r="W12" s="29">
        <f t="shared" si="5"/>
        <v>0</v>
      </c>
      <c r="X12" s="29">
        <f t="shared" si="5"/>
        <v>0</v>
      </c>
      <c r="Y12" s="29">
        <f t="shared" si="5"/>
        <v>-12046824.75</v>
      </c>
      <c r="Z12" s="29">
        <f t="shared" si="5"/>
        <v>0</v>
      </c>
      <c r="AA12" s="29">
        <f t="shared" si="5"/>
        <v>0</v>
      </c>
      <c r="AB12" s="29">
        <f t="shared" si="5"/>
        <v>0</v>
      </c>
      <c r="AC12" s="29">
        <f t="shared" si="5"/>
        <v>-8254042.6900000004</v>
      </c>
      <c r="AD12" s="29">
        <f t="shared" si="5"/>
        <v>0</v>
      </c>
      <c r="AE12" s="29">
        <f t="shared" si="5"/>
        <v>0</v>
      </c>
      <c r="AF12" s="29">
        <f t="shared" si="5"/>
        <v>0</v>
      </c>
      <c r="AG12" s="29">
        <f t="shared" si="5"/>
        <v>-2922096.12</v>
      </c>
      <c r="AH12" s="29">
        <f t="shared" si="5"/>
        <v>0</v>
      </c>
      <c r="AI12" s="29">
        <f t="shared" si="5"/>
        <v>0</v>
      </c>
      <c r="AJ12" s="29">
        <f t="shared" si="5"/>
        <v>0</v>
      </c>
      <c r="AK12" s="29">
        <f t="shared" si="5"/>
        <v>0</v>
      </c>
      <c r="AL12" s="29">
        <f t="shared" si="5"/>
        <v>0</v>
      </c>
      <c r="AM12" s="29">
        <f t="shared" si="5"/>
        <v>0</v>
      </c>
      <c r="AN12" s="29">
        <f t="shared" si="5"/>
        <v>0</v>
      </c>
      <c r="AO12" s="29">
        <f t="shared" si="5"/>
        <v>0</v>
      </c>
      <c r="AP12" s="29">
        <f t="shared" si="5"/>
        <v>0</v>
      </c>
      <c r="AQ12" s="29">
        <f t="shared" si="5"/>
        <v>0</v>
      </c>
      <c r="AR12" s="29">
        <f t="shared" si="5"/>
        <v>0</v>
      </c>
      <c r="AS12" s="29">
        <f t="shared" si="5"/>
        <v>0</v>
      </c>
      <c r="AT12" s="29">
        <f t="shared" si="5"/>
        <v>0</v>
      </c>
      <c r="AU12" s="29">
        <f t="shared" si="5"/>
        <v>0</v>
      </c>
      <c r="AV12" s="29">
        <f t="shared" si="5"/>
        <v>0</v>
      </c>
      <c r="AW12" s="29">
        <f t="shared" si="5"/>
        <v>0</v>
      </c>
      <c r="AX12" s="29">
        <f t="shared" si="5"/>
        <v>0</v>
      </c>
      <c r="AY12" s="29">
        <f t="shared" si="5"/>
        <v>0</v>
      </c>
      <c r="AZ12" s="29">
        <f t="shared" si="5"/>
        <v>0</v>
      </c>
      <c r="BA12" s="29">
        <f t="shared" si="5"/>
        <v>0</v>
      </c>
      <c r="BB12" s="29">
        <f t="shared" si="5"/>
        <v>0</v>
      </c>
      <c r="BC12" s="29">
        <f t="shared" si="5"/>
        <v>0</v>
      </c>
      <c r="BD12" s="29">
        <f t="shared" si="5"/>
        <v>0</v>
      </c>
      <c r="BE12" s="29">
        <f t="shared" si="5"/>
        <v>0</v>
      </c>
      <c r="BF12" s="29">
        <f t="shared" si="5"/>
        <v>0</v>
      </c>
      <c r="BG12" s="29">
        <f t="shared" si="5"/>
        <v>0</v>
      </c>
      <c r="BH12" s="29">
        <f t="shared" si="5"/>
        <v>0</v>
      </c>
      <c r="BI12" s="29">
        <f t="shared" si="5"/>
        <v>0</v>
      </c>
      <c r="BJ12" s="29">
        <f t="shared" si="5"/>
        <v>0</v>
      </c>
      <c r="BK12" s="29">
        <f t="shared" si="5"/>
        <v>0</v>
      </c>
      <c r="BL12" s="29">
        <f t="shared" si="5"/>
        <v>0</v>
      </c>
      <c r="BM12" s="29">
        <f t="shared" si="5"/>
        <v>0</v>
      </c>
      <c r="BN12" s="29">
        <f t="shared" si="5"/>
        <v>0</v>
      </c>
      <c r="BO12" s="29">
        <f t="shared" ref="BO12:CJ12" si="6">BO55</f>
        <v>0</v>
      </c>
      <c r="BP12" s="29">
        <f t="shared" si="6"/>
        <v>0</v>
      </c>
      <c r="BQ12" s="29">
        <f t="shared" si="6"/>
        <v>0</v>
      </c>
      <c r="BR12" s="29">
        <f t="shared" si="6"/>
        <v>0</v>
      </c>
      <c r="BS12" s="29">
        <f t="shared" si="6"/>
        <v>0</v>
      </c>
      <c r="BT12" s="29">
        <f t="shared" si="6"/>
        <v>0</v>
      </c>
      <c r="BU12" s="29">
        <f t="shared" si="6"/>
        <v>0</v>
      </c>
      <c r="BV12" s="29">
        <f t="shared" si="6"/>
        <v>0</v>
      </c>
      <c r="BW12" s="29">
        <f t="shared" si="6"/>
        <v>0</v>
      </c>
      <c r="BX12" s="29">
        <f t="shared" si="6"/>
        <v>0</v>
      </c>
      <c r="BY12" s="29">
        <f t="shared" si="6"/>
        <v>0</v>
      </c>
      <c r="BZ12" s="29">
        <f t="shared" si="6"/>
        <v>0</v>
      </c>
      <c r="CA12" s="29">
        <f t="shared" si="6"/>
        <v>0</v>
      </c>
      <c r="CB12" s="29">
        <f t="shared" si="6"/>
        <v>0</v>
      </c>
      <c r="CC12" s="29">
        <f t="shared" si="6"/>
        <v>0</v>
      </c>
      <c r="CD12" s="29">
        <f t="shared" si="6"/>
        <v>0</v>
      </c>
      <c r="CE12" s="29">
        <f t="shared" si="6"/>
        <v>0</v>
      </c>
      <c r="CF12" s="29">
        <f t="shared" si="6"/>
        <v>0</v>
      </c>
      <c r="CG12" s="29">
        <f t="shared" si="6"/>
        <v>0</v>
      </c>
      <c r="CH12" s="29">
        <f t="shared" si="6"/>
        <v>0</v>
      </c>
      <c r="CI12" s="29">
        <f t="shared" si="6"/>
        <v>0</v>
      </c>
      <c r="CJ12" s="29">
        <f t="shared" si="6"/>
        <v>0</v>
      </c>
    </row>
    <row r="13" spans="1:89" x14ac:dyDescent="0.25">
      <c r="A13" s="17" t="s">
        <v>393</v>
      </c>
      <c r="B13" s="188">
        <v>9658682.9600000009</v>
      </c>
      <c r="C13" s="188">
        <v>6113335.8399999999</v>
      </c>
      <c r="D13" s="188">
        <v>3986830.23</v>
      </c>
      <c r="E13" s="188">
        <v>6642281.1200000001</v>
      </c>
      <c r="F13" s="188">
        <v>2973384.32</v>
      </c>
      <c r="G13" s="188">
        <v>815125.21</v>
      </c>
      <c r="H13" s="188">
        <v>1746001.04</v>
      </c>
      <c r="I13" s="188">
        <v>18745445.350000001</v>
      </c>
      <c r="J13" s="188">
        <v>9657025.8300000001</v>
      </c>
      <c r="K13" s="188">
        <v>7838512.2300000004</v>
      </c>
      <c r="L13" s="188">
        <v>2974519.12</v>
      </c>
      <c r="M13" s="188">
        <v>12691476.43</v>
      </c>
      <c r="N13" s="188">
        <v>8343327.8399999999</v>
      </c>
      <c r="O13" s="188">
        <v>10732730.42</v>
      </c>
      <c r="P13" s="188">
        <v>7956926.2000000002</v>
      </c>
      <c r="Q13" s="188">
        <v>4563168.58</v>
      </c>
      <c r="R13" s="188">
        <v>842082.41</v>
      </c>
      <c r="S13" s="188">
        <v>0</v>
      </c>
      <c r="T13" s="188"/>
      <c r="U13" s="188"/>
      <c r="V13" s="188"/>
      <c r="W13" s="188"/>
      <c r="X13" s="188"/>
      <c r="Y13" s="188"/>
      <c r="Z13" s="188"/>
      <c r="AA13" s="188"/>
      <c r="AB13" s="188"/>
      <c r="AC13" s="188"/>
      <c r="AD13" s="188"/>
      <c r="AE13" s="188"/>
      <c r="AF13" s="188"/>
      <c r="AG13" s="188"/>
      <c r="AH13" s="188"/>
      <c r="AI13" s="188"/>
      <c r="AJ13" s="188"/>
      <c r="AK13" s="188"/>
      <c r="AL13" s="188"/>
      <c r="AM13" s="188"/>
      <c r="AN13" s="188"/>
      <c r="AO13" s="188"/>
      <c r="AP13" s="188"/>
      <c r="AQ13" s="188"/>
      <c r="AR13" s="188"/>
      <c r="AS13" s="188"/>
      <c r="AT13" s="188"/>
      <c r="AU13" s="188"/>
      <c r="AV13" s="188"/>
      <c r="AW13" s="188"/>
      <c r="AX13" s="188"/>
      <c r="AY13" s="188"/>
      <c r="AZ13" s="188"/>
      <c r="BA13" s="188"/>
      <c r="BB13" s="188"/>
      <c r="BC13" s="188"/>
      <c r="BD13" s="188"/>
      <c r="BE13" s="188"/>
      <c r="BF13" s="188"/>
      <c r="BG13" s="188"/>
      <c r="BH13" s="188"/>
      <c r="BI13" s="188"/>
      <c r="BJ13" s="188"/>
      <c r="BK13" s="188"/>
      <c r="BL13" s="188"/>
      <c r="BM13" s="188"/>
      <c r="BN13" s="188"/>
      <c r="BO13" s="188"/>
      <c r="BP13" s="188"/>
      <c r="BQ13" s="188"/>
      <c r="BR13" s="188"/>
      <c r="BS13" s="188"/>
      <c r="BT13" s="188"/>
      <c r="BU13" s="188"/>
      <c r="BV13" s="188"/>
      <c r="BW13" s="188"/>
      <c r="BX13" s="188"/>
      <c r="BY13" s="188"/>
      <c r="BZ13" s="188"/>
      <c r="CA13" s="188"/>
      <c r="CB13" s="188"/>
      <c r="CC13" s="188"/>
      <c r="CD13" s="188"/>
      <c r="CE13" s="188"/>
      <c r="CF13" s="188"/>
      <c r="CG13" s="188"/>
      <c r="CH13" s="188"/>
      <c r="CI13" s="188"/>
      <c r="CJ13" s="188"/>
      <c r="CK13" s="188"/>
    </row>
    <row r="14" spans="1:89" x14ac:dyDescent="0.25">
      <c r="A14" s="17" t="s">
        <v>394</v>
      </c>
      <c r="B14" s="188">
        <v>374038.64</v>
      </c>
      <c r="C14" s="188">
        <v>207835.13</v>
      </c>
      <c r="D14" s="188">
        <v>26352.16</v>
      </c>
      <c r="E14" s="188">
        <v>671937.06</v>
      </c>
      <c r="F14" s="188">
        <v>222435.24</v>
      </c>
      <c r="G14" s="188">
        <v>151234.70000000001</v>
      </c>
      <c r="H14" s="188">
        <v>45300.33</v>
      </c>
      <c r="I14" s="188">
        <v>624580.15</v>
      </c>
      <c r="J14" s="188">
        <v>355927.35</v>
      </c>
      <c r="K14" s="188">
        <v>152289.14000000001</v>
      </c>
      <c r="L14" s="188">
        <v>26163.48</v>
      </c>
      <c r="M14" s="188">
        <v>2364290.87</v>
      </c>
      <c r="N14" s="188">
        <v>1541431.11</v>
      </c>
      <c r="O14" s="188">
        <v>746773.43</v>
      </c>
      <c r="P14" s="188">
        <v>1074547.77</v>
      </c>
      <c r="Q14" s="188">
        <v>251433.47</v>
      </c>
      <c r="R14" s="188">
        <v>419615.98</v>
      </c>
      <c r="S14" s="188">
        <v>0</v>
      </c>
      <c r="T14" s="188"/>
      <c r="U14" s="188"/>
      <c r="V14" s="188"/>
      <c r="W14" s="188"/>
      <c r="X14" s="188"/>
      <c r="Y14" s="188"/>
      <c r="Z14" s="188"/>
      <c r="AA14" s="188"/>
      <c r="AB14" s="188"/>
      <c r="AC14" s="188"/>
      <c r="AD14" s="188"/>
      <c r="AE14" s="188"/>
      <c r="AF14" s="188"/>
      <c r="AG14" s="188"/>
      <c r="AH14" s="188"/>
      <c r="AI14" s="188"/>
      <c r="AJ14" s="188"/>
      <c r="AK14" s="188"/>
      <c r="AL14" s="188"/>
      <c r="AM14" s="188"/>
      <c r="AN14" s="188"/>
      <c r="AO14" s="188"/>
      <c r="AP14" s="188"/>
      <c r="AQ14" s="188"/>
      <c r="AR14" s="188"/>
      <c r="AS14" s="188"/>
      <c r="AT14" s="188"/>
      <c r="AU14" s="188"/>
      <c r="AV14" s="188"/>
      <c r="AW14" s="188"/>
      <c r="AX14" s="188"/>
      <c r="AY14" s="188"/>
      <c r="AZ14" s="188"/>
      <c r="BA14" s="188"/>
      <c r="BB14" s="188"/>
      <c r="BC14" s="188"/>
      <c r="BD14" s="188"/>
      <c r="BE14" s="188"/>
      <c r="BF14" s="188"/>
      <c r="BG14" s="188"/>
      <c r="BH14" s="188"/>
      <c r="BI14" s="188"/>
      <c r="BJ14" s="188"/>
      <c r="BK14" s="188"/>
      <c r="BL14" s="188"/>
      <c r="BM14" s="188"/>
      <c r="BN14" s="188"/>
      <c r="BO14" s="188"/>
      <c r="BP14" s="188"/>
      <c r="BQ14" s="188"/>
      <c r="BR14" s="188"/>
      <c r="BS14" s="188"/>
      <c r="BT14" s="188"/>
      <c r="BU14" s="188"/>
      <c r="BV14" s="188"/>
      <c r="BW14" s="188"/>
      <c r="BX14" s="188"/>
      <c r="BY14" s="188"/>
      <c r="BZ14" s="188"/>
      <c r="CA14" s="188"/>
      <c r="CB14" s="188"/>
      <c r="CC14" s="188"/>
      <c r="CD14" s="188"/>
      <c r="CE14" s="188"/>
      <c r="CF14" s="188"/>
      <c r="CG14" s="188"/>
      <c r="CH14" s="188"/>
      <c r="CI14" s="188"/>
      <c r="CJ14" s="188"/>
      <c r="CK14" s="188"/>
    </row>
    <row r="15" spans="1:89" s="2" customFormat="1" x14ac:dyDescent="0.25">
      <c r="A15" s="20" t="s">
        <v>397</v>
      </c>
      <c r="B15" s="28">
        <f>B6-(B8+B9+B10+B11+B12)+B13-B14</f>
        <v>199347273.90000001</v>
      </c>
      <c r="C15" s="28">
        <f t="shared" ref="C15:BN15" si="7">C6-(C8+C9+C10+C11+C12)+C13-C14</f>
        <v>82424749.489999995</v>
      </c>
      <c r="D15" s="28">
        <f t="shared" si="7"/>
        <v>15463184.110000007</v>
      </c>
      <c r="E15" s="28">
        <f t="shared" si="7"/>
        <v>155851417.39000002</v>
      </c>
      <c r="F15" s="28">
        <f t="shared" si="7"/>
        <v>118379160.12000005</v>
      </c>
      <c r="G15" s="28">
        <f t="shared" si="7"/>
        <v>65713816.170000009</v>
      </c>
      <c r="H15" s="28">
        <f t="shared" si="7"/>
        <v>20594767.00999999</v>
      </c>
      <c r="I15" s="28">
        <f t="shared" si="7"/>
        <v>152781769.70999995</v>
      </c>
      <c r="J15" s="28">
        <f t="shared" si="7"/>
        <v>114140798.95000003</v>
      </c>
      <c r="K15" s="28">
        <f t="shared" si="7"/>
        <v>59494011.039999992</v>
      </c>
      <c r="L15" s="28">
        <f t="shared" si="7"/>
        <v>11857340.220000006</v>
      </c>
      <c r="M15" s="28">
        <f t="shared" si="7"/>
        <v>138852954.72999999</v>
      </c>
      <c r="N15" s="28">
        <f t="shared" si="7"/>
        <v>98626845.369999975</v>
      </c>
      <c r="O15" s="28">
        <f t="shared" si="7"/>
        <v>121681477.87000003</v>
      </c>
      <c r="P15" s="28">
        <f t="shared" si="7"/>
        <v>111732572.96000004</v>
      </c>
      <c r="Q15" s="28">
        <f t="shared" si="7"/>
        <v>96611045.13000001</v>
      </c>
      <c r="R15" s="28">
        <f t="shared" si="7"/>
        <v>83600165.599999994</v>
      </c>
      <c r="S15" s="28">
        <f t="shared" si="7"/>
        <v>0</v>
      </c>
      <c r="T15" s="28">
        <f t="shared" si="7"/>
        <v>0</v>
      </c>
      <c r="U15" s="28">
        <f t="shared" si="7"/>
        <v>5869478</v>
      </c>
      <c r="V15" s="28">
        <f t="shared" si="7"/>
        <v>0</v>
      </c>
      <c r="W15" s="28">
        <f t="shared" si="7"/>
        <v>0</v>
      </c>
      <c r="X15" s="28">
        <f t="shared" si="7"/>
        <v>0</v>
      </c>
      <c r="Y15" s="28">
        <f t="shared" si="7"/>
        <v>12046824.75</v>
      </c>
      <c r="Z15" s="28">
        <f t="shared" si="7"/>
        <v>0</v>
      </c>
      <c r="AA15" s="28">
        <f t="shared" si="7"/>
        <v>0</v>
      </c>
      <c r="AB15" s="28">
        <f t="shared" si="7"/>
        <v>0</v>
      </c>
      <c r="AC15" s="28">
        <f t="shared" si="7"/>
        <v>8254042.6900000004</v>
      </c>
      <c r="AD15" s="28">
        <f t="shared" si="7"/>
        <v>0</v>
      </c>
      <c r="AE15" s="28">
        <f t="shared" si="7"/>
        <v>0</v>
      </c>
      <c r="AF15" s="28">
        <f t="shared" si="7"/>
        <v>0</v>
      </c>
      <c r="AG15" s="28">
        <f t="shared" si="7"/>
        <v>2922096.12</v>
      </c>
      <c r="AH15" s="28">
        <f t="shared" si="7"/>
        <v>0</v>
      </c>
      <c r="AI15" s="28">
        <f t="shared" si="7"/>
        <v>0</v>
      </c>
      <c r="AJ15" s="28">
        <f t="shared" si="7"/>
        <v>0</v>
      </c>
      <c r="AK15" s="28">
        <f t="shared" si="7"/>
        <v>0</v>
      </c>
      <c r="AL15" s="28">
        <f t="shared" si="7"/>
        <v>0</v>
      </c>
      <c r="AM15" s="28">
        <f t="shared" si="7"/>
        <v>0</v>
      </c>
      <c r="AN15" s="28">
        <f t="shared" si="7"/>
        <v>0</v>
      </c>
      <c r="AO15" s="28">
        <f t="shared" si="7"/>
        <v>0</v>
      </c>
      <c r="AP15" s="28">
        <f t="shared" si="7"/>
        <v>0</v>
      </c>
      <c r="AQ15" s="28">
        <f t="shared" si="7"/>
        <v>0</v>
      </c>
      <c r="AR15" s="28">
        <f t="shared" si="7"/>
        <v>0</v>
      </c>
      <c r="AS15" s="28">
        <f t="shared" si="7"/>
        <v>0</v>
      </c>
      <c r="AT15" s="28">
        <f t="shared" si="7"/>
        <v>0</v>
      </c>
      <c r="AU15" s="28">
        <f t="shared" si="7"/>
        <v>0</v>
      </c>
      <c r="AV15" s="28">
        <f t="shared" si="7"/>
        <v>0</v>
      </c>
      <c r="AW15" s="28">
        <f t="shared" si="7"/>
        <v>0</v>
      </c>
      <c r="AX15" s="28">
        <f t="shared" si="7"/>
        <v>0</v>
      </c>
      <c r="AY15" s="28">
        <f t="shared" si="7"/>
        <v>0</v>
      </c>
      <c r="AZ15" s="28">
        <f t="shared" si="7"/>
        <v>0</v>
      </c>
      <c r="BA15" s="28">
        <f t="shared" si="7"/>
        <v>0</v>
      </c>
      <c r="BB15" s="28">
        <f t="shared" si="7"/>
        <v>0</v>
      </c>
      <c r="BC15" s="28">
        <f t="shared" si="7"/>
        <v>0</v>
      </c>
      <c r="BD15" s="28">
        <f t="shared" si="7"/>
        <v>0</v>
      </c>
      <c r="BE15" s="28">
        <f t="shared" si="7"/>
        <v>0</v>
      </c>
      <c r="BF15" s="28">
        <f t="shared" si="7"/>
        <v>0</v>
      </c>
      <c r="BG15" s="28">
        <f t="shared" si="7"/>
        <v>0</v>
      </c>
      <c r="BH15" s="28">
        <f t="shared" si="7"/>
        <v>0</v>
      </c>
      <c r="BI15" s="28">
        <f t="shared" si="7"/>
        <v>0</v>
      </c>
      <c r="BJ15" s="28">
        <f t="shared" si="7"/>
        <v>0</v>
      </c>
      <c r="BK15" s="28">
        <f t="shared" si="7"/>
        <v>0</v>
      </c>
      <c r="BL15" s="28">
        <f t="shared" si="7"/>
        <v>0</v>
      </c>
      <c r="BM15" s="28">
        <f t="shared" si="7"/>
        <v>0</v>
      </c>
      <c r="BN15" s="28">
        <f t="shared" si="7"/>
        <v>0</v>
      </c>
      <c r="BO15" s="28">
        <f t="shared" ref="BO15:CJ15" si="8">BO6-(BO8+BO9+BO10+BO11+BO12)+BO13-BO14</f>
        <v>0</v>
      </c>
      <c r="BP15" s="28">
        <f t="shared" si="8"/>
        <v>0</v>
      </c>
      <c r="BQ15" s="28">
        <f t="shared" si="8"/>
        <v>0</v>
      </c>
      <c r="BR15" s="28">
        <f t="shared" si="8"/>
        <v>0</v>
      </c>
      <c r="BS15" s="28">
        <f t="shared" si="8"/>
        <v>0</v>
      </c>
      <c r="BT15" s="28">
        <f t="shared" si="8"/>
        <v>0</v>
      </c>
      <c r="BU15" s="28">
        <f t="shared" si="8"/>
        <v>0</v>
      </c>
      <c r="BV15" s="28">
        <f t="shared" si="8"/>
        <v>0</v>
      </c>
      <c r="BW15" s="28">
        <f t="shared" si="8"/>
        <v>0</v>
      </c>
      <c r="BX15" s="28">
        <f t="shared" si="8"/>
        <v>0</v>
      </c>
      <c r="BY15" s="28">
        <f t="shared" si="8"/>
        <v>0</v>
      </c>
      <c r="BZ15" s="28">
        <f t="shared" si="8"/>
        <v>0</v>
      </c>
      <c r="CA15" s="28">
        <f t="shared" si="8"/>
        <v>0</v>
      </c>
      <c r="CB15" s="28">
        <f t="shared" si="8"/>
        <v>0</v>
      </c>
      <c r="CC15" s="28">
        <f t="shared" si="8"/>
        <v>0</v>
      </c>
      <c r="CD15" s="28">
        <f t="shared" si="8"/>
        <v>0</v>
      </c>
      <c r="CE15" s="28">
        <f t="shared" si="8"/>
        <v>0</v>
      </c>
      <c r="CF15" s="28">
        <f t="shared" si="8"/>
        <v>0</v>
      </c>
      <c r="CG15" s="28">
        <f t="shared" si="8"/>
        <v>0</v>
      </c>
      <c r="CH15" s="28">
        <f t="shared" si="8"/>
        <v>0</v>
      </c>
      <c r="CI15" s="28">
        <f t="shared" si="8"/>
        <v>0</v>
      </c>
      <c r="CJ15" s="28">
        <f t="shared" si="8"/>
        <v>0</v>
      </c>
    </row>
    <row r="16" spans="1:89" s="23" customFormat="1" x14ac:dyDescent="0.25">
      <c r="A16" s="17" t="s">
        <v>395</v>
      </c>
      <c r="B16" s="26">
        <f>B15*B41</f>
        <v>22768907.489605837</v>
      </c>
      <c r="C16" s="26">
        <f t="shared" ref="C16:BN16" si="9">C15*C41</f>
        <v>13645489.857471572</v>
      </c>
      <c r="D16" s="26">
        <f t="shared" si="9"/>
        <v>4019356.3129938701</v>
      </c>
      <c r="E16" s="26">
        <f t="shared" si="9"/>
        <v>23989172.073443487</v>
      </c>
      <c r="F16" s="26">
        <f t="shared" si="9"/>
        <v>19223607.054940563</v>
      </c>
      <c r="G16" s="26">
        <f t="shared" si="9"/>
        <v>11649080.578092132</v>
      </c>
      <c r="H16" s="26">
        <f t="shared" si="9"/>
        <v>4108534.3636753405</v>
      </c>
      <c r="I16" s="26">
        <f t="shared" si="9"/>
        <v>22530088.237473443</v>
      </c>
      <c r="J16" s="26">
        <f t="shared" si="9"/>
        <v>18036082.292012833</v>
      </c>
      <c r="K16" s="26">
        <f t="shared" si="9"/>
        <v>9597304.1218164992</v>
      </c>
      <c r="L16" s="26">
        <f t="shared" si="9"/>
        <v>2215388.1469724546</v>
      </c>
      <c r="M16" s="26">
        <f t="shared" si="9"/>
        <v>21374953.162227344</v>
      </c>
      <c r="N16" s="26">
        <f t="shared" si="9"/>
        <v>16307457.859068474</v>
      </c>
      <c r="O16" s="26">
        <f t="shared" si="9"/>
        <v>18675298.829105005</v>
      </c>
      <c r="P16" s="26">
        <f t="shared" si="9"/>
        <v>18560838.823803004</v>
      </c>
      <c r="Q16" s="26">
        <f t="shared" si="9"/>
        <v>18040363.5542695</v>
      </c>
      <c r="R16" s="26">
        <f t="shared" si="9"/>
        <v>14505027.34197516</v>
      </c>
      <c r="S16" s="26" t="e">
        <f t="shared" si="9"/>
        <v>#DIV/0!</v>
      </c>
      <c r="T16" s="26">
        <f t="shared" si="9"/>
        <v>0</v>
      </c>
      <c r="U16" s="26">
        <f t="shared" si="9"/>
        <v>20523641.3124847</v>
      </c>
      <c r="V16" s="26">
        <f t="shared" si="9"/>
        <v>0</v>
      </c>
      <c r="W16" s="26">
        <f t="shared" si="9"/>
        <v>0</v>
      </c>
      <c r="X16" s="26">
        <f t="shared" si="9"/>
        <v>0</v>
      </c>
      <c r="Y16" s="26">
        <f t="shared" si="9"/>
        <v>50909564.781897604</v>
      </c>
      <c r="Z16" s="26">
        <f t="shared" si="9"/>
        <v>0</v>
      </c>
      <c r="AA16" s="26">
        <f t="shared" si="9"/>
        <v>0</v>
      </c>
      <c r="AB16" s="26">
        <f t="shared" si="9"/>
        <v>0</v>
      </c>
      <c r="AC16" s="26">
        <f t="shared" si="9"/>
        <v>35825178.646625601</v>
      </c>
      <c r="AD16" s="26">
        <f t="shared" si="9"/>
        <v>0</v>
      </c>
      <c r="AE16" s="26">
        <f t="shared" si="9"/>
        <v>0</v>
      </c>
      <c r="AF16" s="26">
        <f t="shared" si="9"/>
        <v>0</v>
      </c>
      <c r="AG16" s="26">
        <f t="shared" si="9"/>
        <v>22501764.044137053</v>
      </c>
      <c r="AH16" s="26">
        <f t="shared" si="9"/>
        <v>0</v>
      </c>
      <c r="AI16" s="26">
        <f t="shared" si="9"/>
        <v>0</v>
      </c>
      <c r="AJ16" s="26">
        <f t="shared" si="9"/>
        <v>0</v>
      </c>
      <c r="AK16" s="26">
        <f t="shared" si="9"/>
        <v>0</v>
      </c>
      <c r="AL16" s="26">
        <f t="shared" si="9"/>
        <v>0</v>
      </c>
      <c r="AM16" s="26">
        <f t="shared" si="9"/>
        <v>0</v>
      </c>
      <c r="AN16" s="26">
        <f t="shared" si="9"/>
        <v>0</v>
      </c>
      <c r="AO16" s="26">
        <f t="shared" si="9"/>
        <v>0</v>
      </c>
      <c r="AP16" s="26">
        <f t="shared" si="9"/>
        <v>0</v>
      </c>
      <c r="AQ16" s="26">
        <f t="shared" si="9"/>
        <v>0</v>
      </c>
      <c r="AR16" s="26">
        <f t="shared" si="9"/>
        <v>0</v>
      </c>
      <c r="AS16" s="26">
        <f t="shared" si="9"/>
        <v>0</v>
      </c>
      <c r="AT16" s="26">
        <f t="shared" si="9"/>
        <v>0</v>
      </c>
      <c r="AU16" s="26">
        <f t="shared" si="9"/>
        <v>0</v>
      </c>
      <c r="AV16" s="26">
        <f t="shared" si="9"/>
        <v>0</v>
      </c>
      <c r="AW16" s="26">
        <f t="shared" si="9"/>
        <v>0</v>
      </c>
      <c r="AX16" s="26">
        <f t="shared" si="9"/>
        <v>0</v>
      </c>
      <c r="AY16" s="26">
        <f t="shared" si="9"/>
        <v>0</v>
      </c>
      <c r="AZ16" s="26">
        <f t="shared" si="9"/>
        <v>0</v>
      </c>
      <c r="BA16" s="26">
        <f t="shared" si="9"/>
        <v>0</v>
      </c>
      <c r="BB16" s="26">
        <f t="shared" si="9"/>
        <v>0</v>
      </c>
      <c r="BC16" s="26">
        <f t="shared" si="9"/>
        <v>0</v>
      </c>
      <c r="BD16" s="26">
        <f t="shared" si="9"/>
        <v>0</v>
      </c>
      <c r="BE16" s="26">
        <f t="shared" si="9"/>
        <v>0</v>
      </c>
      <c r="BF16" s="26">
        <f t="shared" si="9"/>
        <v>0</v>
      </c>
      <c r="BG16" s="26">
        <f t="shared" si="9"/>
        <v>0</v>
      </c>
      <c r="BH16" s="26">
        <f t="shared" si="9"/>
        <v>0</v>
      </c>
      <c r="BI16" s="26">
        <f t="shared" si="9"/>
        <v>0</v>
      </c>
      <c r="BJ16" s="26">
        <f t="shared" si="9"/>
        <v>0</v>
      </c>
      <c r="BK16" s="26">
        <f t="shared" si="9"/>
        <v>0</v>
      </c>
      <c r="BL16" s="26">
        <f t="shared" si="9"/>
        <v>0</v>
      </c>
      <c r="BM16" s="26">
        <f t="shared" si="9"/>
        <v>0</v>
      </c>
      <c r="BN16" s="26">
        <f t="shared" si="9"/>
        <v>0</v>
      </c>
      <c r="BO16" s="26">
        <f t="shared" ref="BO16:CK16" si="10">BO15*BO41</f>
        <v>0</v>
      </c>
      <c r="BP16" s="26">
        <f t="shared" si="10"/>
        <v>0</v>
      </c>
      <c r="BQ16" s="26">
        <f t="shared" si="10"/>
        <v>0</v>
      </c>
      <c r="BR16" s="26">
        <f t="shared" si="10"/>
        <v>0</v>
      </c>
      <c r="BS16" s="26">
        <f t="shared" si="10"/>
        <v>0</v>
      </c>
      <c r="BT16" s="26">
        <f t="shared" si="10"/>
        <v>0</v>
      </c>
      <c r="BU16" s="26">
        <f t="shared" si="10"/>
        <v>0</v>
      </c>
      <c r="BV16" s="26">
        <f t="shared" si="10"/>
        <v>0</v>
      </c>
      <c r="BW16" s="26">
        <f t="shared" si="10"/>
        <v>0</v>
      </c>
      <c r="BX16" s="26">
        <f t="shared" si="10"/>
        <v>0</v>
      </c>
      <c r="BY16" s="26">
        <f t="shared" si="10"/>
        <v>0</v>
      </c>
      <c r="BZ16" s="26">
        <f t="shared" si="10"/>
        <v>0</v>
      </c>
      <c r="CA16" s="26">
        <f t="shared" si="10"/>
        <v>0</v>
      </c>
      <c r="CB16" s="26">
        <f t="shared" si="10"/>
        <v>0</v>
      </c>
      <c r="CC16" s="26">
        <f t="shared" si="10"/>
        <v>0</v>
      </c>
      <c r="CD16" s="26" t="e">
        <f t="shared" si="10"/>
        <v>#DIV/0!</v>
      </c>
      <c r="CE16" s="26">
        <f t="shared" si="10"/>
        <v>0</v>
      </c>
      <c r="CF16" s="26">
        <f t="shared" si="10"/>
        <v>0</v>
      </c>
      <c r="CG16" s="26" t="e">
        <f t="shared" si="10"/>
        <v>#DIV/0!</v>
      </c>
      <c r="CH16" s="26" t="e">
        <f t="shared" si="10"/>
        <v>#DIV/0!</v>
      </c>
      <c r="CI16" s="26" t="e">
        <f t="shared" si="10"/>
        <v>#DIV/0!</v>
      </c>
      <c r="CJ16" s="26" t="e">
        <f t="shared" si="10"/>
        <v>#DIV/0!</v>
      </c>
      <c r="CK16" s="26">
        <f t="shared" si="10"/>
        <v>0</v>
      </c>
    </row>
    <row r="17" spans="1:89" s="25" customFormat="1" x14ac:dyDescent="0.25">
      <c r="A17" s="20" t="s">
        <v>396</v>
      </c>
      <c r="B17" s="27">
        <f>B15-B16</f>
        <v>176578366.41039416</v>
      </c>
      <c r="C17" s="27">
        <f t="shared" ref="C17:BN17" si="11">C15-C16</f>
        <v>68779259.632528424</v>
      </c>
      <c r="D17" s="27">
        <f t="shared" si="11"/>
        <v>11443827.797006138</v>
      </c>
      <c r="E17" s="27">
        <f t="shared" si="11"/>
        <v>131862245.31655653</v>
      </c>
      <c r="F17" s="27">
        <f t="shared" si="11"/>
        <v>99155553.065059483</v>
      </c>
      <c r="G17" s="27">
        <f t="shared" si="11"/>
        <v>54064735.591907874</v>
      </c>
      <c r="H17" s="27">
        <f t="shared" si="11"/>
        <v>16486232.646324649</v>
      </c>
      <c r="I17" s="27">
        <f t="shared" si="11"/>
        <v>130251681.47252651</v>
      </c>
      <c r="J17" s="27">
        <f t="shared" si="11"/>
        <v>96104716.657987207</v>
      </c>
      <c r="K17" s="27">
        <f t="shared" si="11"/>
        <v>49896706.918183491</v>
      </c>
      <c r="L17" s="27">
        <f t="shared" si="11"/>
        <v>9641952.0730275512</v>
      </c>
      <c r="M17" s="27">
        <f t="shared" si="11"/>
        <v>117478001.56777264</v>
      </c>
      <c r="N17" s="27">
        <f t="shared" si="11"/>
        <v>82319387.510931507</v>
      </c>
      <c r="O17" s="27">
        <f t="shared" si="11"/>
        <v>103006179.04089503</v>
      </c>
      <c r="P17" s="27">
        <f t="shared" si="11"/>
        <v>93171734.136197031</v>
      </c>
      <c r="Q17" s="27">
        <f t="shared" si="11"/>
        <v>78570681.575730503</v>
      </c>
      <c r="R17" s="27">
        <f t="shared" si="11"/>
        <v>69095138.258024842</v>
      </c>
      <c r="S17" s="27" t="e">
        <f t="shared" si="11"/>
        <v>#DIV/0!</v>
      </c>
      <c r="T17" s="27">
        <f t="shared" si="11"/>
        <v>0</v>
      </c>
      <c r="U17" s="27">
        <f t="shared" si="11"/>
        <v>-14654163.3124847</v>
      </c>
      <c r="V17" s="27">
        <f t="shared" si="11"/>
        <v>0</v>
      </c>
      <c r="W17" s="27">
        <f t="shared" si="11"/>
        <v>0</v>
      </c>
      <c r="X17" s="27">
        <f t="shared" si="11"/>
        <v>0</v>
      </c>
      <c r="Y17" s="27">
        <f t="shared" si="11"/>
        <v>-38862740.031897604</v>
      </c>
      <c r="Z17" s="27">
        <f t="shared" si="11"/>
        <v>0</v>
      </c>
      <c r="AA17" s="27">
        <f t="shared" si="11"/>
        <v>0</v>
      </c>
      <c r="AB17" s="27">
        <f t="shared" si="11"/>
        <v>0</v>
      </c>
      <c r="AC17" s="27">
        <f t="shared" si="11"/>
        <v>-27571135.956625599</v>
      </c>
      <c r="AD17" s="27">
        <f t="shared" si="11"/>
        <v>0</v>
      </c>
      <c r="AE17" s="27">
        <f t="shared" si="11"/>
        <v>0</v>
      </c>
      <c r="AF17" s="27">
        <f t="shared" si="11"/>
        <v>0</v>
      </c>
      <c r="AG17" s="27">
        <f t="shared" si="11"/>
        <v>-19579667.924137052</v>
      </c>
      <c r="AH17" s="27">
        <f t="shared" si="11"/>
        <v>0</v>
      </c>
      <c r="AI17" s="27">
        <f t="shared" si="11"/>
        <v>0</v>
      </c>
      <c r="AJ17" s="27">
        <f t="shared" si="11"/>
        <v>0</v>
      </c>
      <c r="AK17" s="27">
        <f t="shared" si="11"/>
        <v>0</v>
      </c>
      <c r="AL17" s="27">
        <f t="shared" si="11"/>
        <v>0</v>
      </c>
      <c r="AM17" s="27">
        <f t="shared" si="11"/>
        <v>0</v>
      </c>
      <c r="AN17" s="27">
        <f t="shared" si="11"/>
        <v>0</v>
      </c>
      <c r="AO17" s="27">
        <f t="shared" si="11"/>
        <v>0</v>
      </c>
      <c r="AP17" s="27">
        <f t="shared" si="11"/>
        <v>0</v>
      </c>
      <c r="AQ17" s="27">
        <f t="shared" si="11"/>
        <v>0</v>
      </c>
      <c r="AR17" s="27">
        <f t="shared" si="11"/>
        <v>0</v>
      </c>
      <c r="AS17" s="27">
        <f t="shared" si="11"/>
        <v>0</v>
      </c>
      <c r="AT17" s="27">
        <f t="shared" si="11"/>
        <v>0</v>
      </c>
      <c r="AU17" s="27">
        <f t="shared" si="11"/>
        <v>0</v>
      </c>
      <c r="AV17" s="27">
        <f t="shared" si="11"/>
        <v>0</v>
      </c>
      <c r="AW17" s="27">
        <f t="shared" si="11"/>
        <v>0</v>
      </c>
      <c r="AX17" s="27">
        <f t="shared" si="11"/>
        <v>0</v>
      </c>
      <c r="AY17" s="27">
        <f t="shared" si="11"/>
        <v>0</v>
      </c>
      <c r="AZ17" s="27">
        <f t="shared" si="11"/>
        <v>0</v>
      </c>
      <c r="BA17" s="27">
        <f t="shared" si="11"/>
        <v>0</v>
      </c>
      <c r="BB17" s="27">
        <f t="shared" si="11"/>
        <v>0</v>
      </c>
      <c r="BC17" s="27">
        <f t="shared" si="11"/>
        <v>0</v>
      </c>
      <c r="BD17" s="27">
        <f t="shared" si="11"/>
        <v>0</v>
      </c>
      <c r="BE17" s="27">
        <f t="shared" si="11"/>
        <v>0</v>
      </c>
      <c r="BF17" s="27">
        <f t="shared" si="11"/>
        <v>0</v>
      </c>
      <c r="BG17" s="27">
        <f t="shared" si="11"/>
        <v>0</v>
      </c>
      <c r="BH17" s="27">
        <f t="shared" si="11"/>
        <v>0</v>
      </c>
      <c r="BI17" s="27">
        <f t="shared" si="11"/>
        <v>0</v>
      </c>
      <c r="BJ17" s="27">
        <f t="shared" si="11"/>
        <v>0</v>
      </c>
      <c r="BK17" s="27">
        <f t="shared" si="11"/>
        <v>0</v>
      </c>
      <c r="BL17" s="27">
        <f t="shared" si="11"/>
        <v>0</v>
      </c>
      <c r="BM17" s="27">
        <f t="shared" si="11"/>
        <v>0</v>
      </c>
      <c r="BN17" s="27">
        <f t="shared" si="11"/>
        <v>0</v>
      </c>
      <c r="BO17" s="27">
        <f t="shared" ref="BO17:CJ17" si="12">BO15-BO16</f>
        <v>0</v>
      </c>
      <c r="BP17" s="27">
        <f t="shared" si="12"/>
        <v>0</v>
      </c>
      <c r="BQ17" s="27">
        <f t="shared" si="12"/>
        <v>0</v>
      </c>
      <c r="BR17" s="27">
        <f t="shared" si="12"/>
        <v>0</v>
      </c>
      <c r="BS17" s="27">
        <f t="shared" si="12"/>
        <v>0</v>
      </c>
      <c r="BT17" s="27">
        <f t="shared" si="12"/>
        <v>0</v>
      </c>
      <c r="BU17" s="27">
        <f t="shared" si="12"/>
        <v>0</v>
      </c>
      <c r="BV17" s="27">
        <f t="shared" si="12"/>
        <v>0</v>
      </c>
      <c r="BW17" s="27">
        <f t="shared" si="12"/>
        <v>0</v>
      </c>
      <c r="BX17" s="27">
        <f t="shared" si="12"/>
        <v>0</v>
      </c>
      <c r="BY17" s="27">
        <f t="shared" si="12"/>
        <v>0</v>
      </c>
      <c r="BZ17" s="27">
        <f t="shared" si="12"/>
        <v>0</v>
      </c>
      <c r="CA17" s="27">
        <f t="shared" si="12"/>
        <v>0</v>
      </c>
      <c r="CB17" s="27">
        <f t="shared" si="12"/>
        <v>0</v>
      </c>
      <c r="CC17" s="27">
        <f t="shared" si="12"/>
        <v>0</v>
      </c>
      <c r="CD17" s="27" t="e">
        <f t="shared" si="12"/>
        <v>#DIV/0!</v>
      </c>
      <c r="CE17" s="27">
        <f t="shared" si="12"/>
        <v>0</v>
      </c>
      <c r="CF17" s="27">
        <f t="shared" si="12"/>
        <v>0</v>
      </c>
      <c r="CG17" s="27" t="e">
        <f t="shared" si="12"/>
        <v>#DIV/0!</v>
      </c>
      <c r="CH17" s="27" t="e">
        <f t="shared" si="12"/>
        <v>#DIV/0!</v>
      </c>
      <c r="CI17" s="27" t="e">
        <f t="shared" si="12"/>
        <v>#DIV/0!</v>
      </c>
      <c r="CJ17" s="27" t="e">
        <f t="shared" si="12"/>
        <v>#DIV/0!</v>
      </c>
    </row>
    <row r="18" spans="1:89" s="57" customFormat="1" x14ac:dyDescent="0.25">
      <c r="A18" s="57" t="s">
        <v>398</v>
      </c>
      <c r="B18" s="57">
        <f>B17/B4*100</f>
        <v>28.178173657158045</v>
      </c>
      <c r="C18" s="57">
        <f t="shared" ref="C18:D18" si="13">C17/C4*100</f>
        <v>17.50660172295769</v>
      </c>
      <c r="D18" s="57">
        <f t="shared" si="13"/>
        <v>6.6397030532500345</v>
      </c>
      <c r="E18" s="57">
        <f>E17/E4</f>
        <v>0.17525343041100466</v>
      </c>
      <c r="F18" s="57">
        <f t="shared" ref="F18:BQ18" si="14">F17/F4</f>
        <v>0.18859006447882054</v>
      </c>
      <c r="G18" s="57">
        <f t="shared" si="14"/>
        <v>0.15912122018235611</v>
      </c>
      <c r="H18" s="57">
        <f t="shared" si="14"/>
        <v>0.10726186590807094</v>
      </c>
      <c r="I18" s="57">
        <f t="shared" si="14"/>
        <v>0.19586382616854753</v>
      </c>
      <c r="J18" s="57">
        <f t="shared" si="14"/>
        <v>0.21168070459101931</v>
      </c>
      <c r="K18" s="57">
        <f t="shared" si="14"/>
        <v>0.17615327688498408</v>
      </c>
      <c r="L18" s="57">
        <f t="shared" si="14"/>
        <v>7.7568330473247057E-2</v>
      </c>
      <c r="M18" s="57">
        <f t="shared" si="14"/>
        <v>0.19676808984178054</v>
      </c>
      <c r="N18" s="57">
        <f t="shared" si="14"/>
        <v>0.2010362567661749</v>
      </c>
      <c r="O18" s="57">
        <f t="shared" si="14"/>
        <v>0.19478875442815524</v>
      </c>
      <c r="P18" s="57">
        <f t="shared" si="14"/>
        <v>0.19214313898353419</v>
      </c>
      <c r="Q18" s="57">
        <f t="shared" si="14"/>
        <v>0.1986145470454749</v>
      </c>
      <c r="R18" s="57">
        <f t="shared" si="14"/>
        <v>0.21804035417062992</v>
      </c>
      <c r="S18" s="57" t="e">
        <f t="shared" si="14"/>
        <v>#DIV/0!</v>
      </c>
      <c r="T18" s="57" t="e">
        <f t="shared" si="14"/>
        <v>#DIV/0!</v>
      </c>
      <c r="U18" s="57" t="e">
        <f t="shared" si="14"/>
        <v>#DIV/0!</v>
      </c>
      <c r="V18" s="57" t="e">
        <f t="shared" si="14"/>
        <v>#DIV/0!</v>
      </c>
      <c r="W18" s="57" t="e">
        <f t="shared" si="14"/>
        <v>#DIV/0!</v>
      </c>
      <c r="X18" s="57" t="e">
        <f t="shared" si="14"/>
        <v>#DIV/0!</v>
      </c>
      <c r="Y18" s="57" t="e">
        <f t="shared" si="14"/>
        <v>#DIV/0!</v>
      </c>
      <c r="Z18" s="57" t="e">
        <f t="shared" si="14"/>
        <v>#DIV/0!</v>
      </c>
      <c r="AA18" s="57" t="e">
        <f t="shared" si="14"/>
        <v>#DIV/0!</v>
      </c>
      <c r="AB18" s="57" t="e">
        <f t="shared" si="14"/>
        <v>#DIV/0!</v>
      </c>
      <c r="AC18" s="57" t="e">
        <f t="shared" si="14"/>
        <v>#DIV/0!</v>
      </c>
      <c r="AD18" s="57" t="e">
        <f t="shared" si="14"/>
        <v>#DIV/0!</v>
      </c>
      <c r="AE18" s="57" t="e">
        <f t="shared" si="14"/>
        <v>#DIV/0!</v>
      </c>
      <c r="AF18" s="57" t="e">
        <f t="shared" si="14"/>
        <v>#DIV/0!</v>
      </c>
      <c r="AG18" s="57" t="e">
        <f t="shared" si="14"/>
        <v>#DIV/0!</v>
      </c>
      <c r="AH18" s="57" t="e">
        <f t="shared" si="14"/>
        <v>#DIV/0!</v>
      </c>
      <c r="AI18" s="57" t="e">
        <f t="shared" si="14"/>
        <v>#DIV/0!</v>
      </c>
      <c r="AJ18" s="57" t="e">
        <f t="shared" si="14"/>
        <v>#DIV/0!</v>
      </c>
      <c r="AK18" s="57" t="e">
        <f t="shared" si="14"/>
        <v>#DIV/0!</v>
      </c>
      <c r="AL18" s="57" t="e">
        <f t="shared" si="14"/>
        <v>#DIV/0!</v>
      </c>
      <c r="AM18" s="57" t="e">
        <f t="shared" si="14"/>
        <v>#DIV/0!</v>
      </c>
      <c r="AN18" s="57" t="e">
        <f t="shared" si="14"/>
        <v>#DIV/0!</v>
      </c>
      <c r="AO18" s="57" t="e">
        <f t="shared" si="14"/>
        <v>#DIV/0!</v>
      </c>
      <c r="AP18" s="57" t="e">
        <f t="shared" si="14"/>
        <v>#DIV/0!</v>
      </c>
      <c r="AQ18" s="57" t="e">
        <f t="shared" si="14"/>
        <v>#DIV/0!</v>
      </c>
      <c r="AR18" s="57" t="e">
        <f t="shared" si="14"/>
        <v>#DIV/0!</v>
      </c>
      <c r="AS18" s="57" t="e">
        <f t="shared" si="14"/>
        <v>#DIV/0!</v>
      </c>
      <c r="AT18" s="57" t="e">
        <f t="shared" si="14"/>
        <v>#DIV/0!</v>
      </c>
      <c r="AU18" s="57" t="e">
        <f t="shared" si="14"/>
        <v>#DIV/0!</v>
      </c>
      <c r="AV18" s="57" t="e">
        <f t="shared" si="14"/>
        <v>#DIV/0!</v>
      </c>
      <c r="AW18" s="57" t="e">
        <f t="shared" si="14"/>
        <v>#DIV/0!</v>
      </c>
      <c r="AX18" s="57" t="e">
        <f t="shared" si="14"/>
        <v>#DIV/0!</v>
      </c>
      <c r="AY18" s="57" t="e">
        <f t="shared" si="14"/>
        <v>#DIV/0!</v>
      </c>
      <c r="AZ18" s="57" t="e">
        <f t="shared" si="14"/>
        <v>#DIV/0!</v>
      </c>
      <c r="BA18" s="57" t="e">
        <f t="shared" si="14"/>
        <v>#DIV/0!</v>
      </c>
      <c r="BB18" s="57" t="e">
        <f t="shared" si="14"/>
        <v>#DIV/0!</v>
      </c>
      <c r="BC18" s="57" t="e">
        <f t="shared" si="14"/>
        <v>#DIV/0!</v>
      </c>
      <c r="BD18" s="57" t="e">
        <f t="shared" si="14"/>
        <v>#DIV/0!</v>
      </c>
      <c r="BE18" s="57" t="e">
        <f t="shared" si="14"/>
        <v>#DIV/0!</v>
      </c>
      <c r="BF18" s="57" t="e">
        <f t="shared" si="14"/>
        <v>#DIV/0!</v>
      </c>
      <c r="BG18" s="57" t="e">
        <f t="shared" si="14"/>
        <v>#DIV/0!</v>
      </c>
      <c r="BH18" s="57" t="e">
        <f t="shared" si="14"/>
        <v>#DIV/0!</v>
      </c>
      <c r="BI18" s="57" t="e">
        <f t="shared" si="14"/>
        <v>#DIV/0!</v>
      </c>
      <c r="BJ18" s="57" t="e">
        <f t="shared" si="14"/>
        <v>#DIV/0!</v>
      </c>
      <c r="BK18" s="57" t="e">
        <f t="shared" si="14"/>
        <v>#DIV/0!</v>
      </c>
      <c r="BL18" s="57" t="e">
        <f t="shared" si="14"/>
        <v>#DIV/0!</v>
      </c>
      <c r="BM18" s="57" t="e">
        <f t="shared" si="14"/>
        <v>#DIV/0!</v>
      </c>
      <c r="BN18" s="57" t="e">
        <f t="shared" si="14"/>
        <v>#DIV/0!</v>
      </c>
      <c r="BO18" s="57" t="e">
        <f t="shared" si="14"/>
        <v>#DIV/0!</v>
      </c>
      <c r="BP18" s="57" t="e">
        <f t="shared" si="14"/>
        <v>#DIV/0!</v>
      </c>
      <c r="BQ18" s="57" t="e">
        <f t="shared" si="14"/>
        <v>#DIV/0!</v>
      </c>
      <c r="BR18" s="57" t="e">
        <f t="shared" ref="BR18:CK18" si="15">BR17/BR4</f>
        <v>#DIV/0!</v>
      </c>
      <c r="BS18" s="57" t="e">
        <f t="shared" si="15"/>
        <v>#DIV/0!</v>
      </c>
      <c r="BT18" s="57" t="e">
        <f t="shared" si="15"/>
        <v>#DIV/0!</v>
      </c>
      <c r="BU18" s="57" t="e">
        <f t="shared" si="15"/>
        <v>#DIV/0!</v>
      </c>
      <c r="BV18" s="57" t="e">
        <f t="shared" si="15"/>
        <v>#DIV/0!</v>
      </c>
      <c r="BW18" s="57" t="e">
        <f t="shared" si="15"/>
        <v>#DIV/0!</v>
      </c>
      <c r="BX18" s="57" t="e">
        <f t="shared" si="15"/>
        <v>#DIV/0!</v>
      </c>
      <c r="BY18" s="57" t="e">
        <f t="shared" si="15"/>
        <v>#DIV/0!</v>
      </c>
      <c r="BZ18" s="57" t="e">
        <f t="shared" si="15"/>
        <v>#DIV/0!</v>
      </c>
      <c r="CA18" s="57" t="e">
        <f t="shared" si="15"/>
        <v>#DIV/0!</v>
      </c>
      <c r="CB18" s="57" t="e">
        <f t="shared" si="15"/>
        <v>#DIV/0!</v>
      </c>
      <c r="CC18" s="57" t="e">
        <f t="shared" si="15"/>
        <v>#DIV/0!</v>
      </c>
      <c r="CD18" s="57" t="e">
        <f t="shared" si="15"/>
        <v>#DIV/0!</v>
      </c>
      <c r="CE18" s="57" t="e">
        <f t="shared" si="15"/>
        <v>#DIV/0!</v>
      </c>
      <c r="CF18" s="57" t="e">
        <f t="shared" si="15"/>
        <v>#DIV/0!</v>
      </c>
      <c r="CG18" s="57" t="e">
        <f t="shared" si="15"/>
        <v>#DIV/0!</v>
      </c>
      <c r="CH18" s="57" t="e">
        <f t="shared" si="15"/>
        <v>#DIV/0!</v>
      </c>
      <c r="CI18" s="57" t="e">
        <f t="shared" si="15"/>
        <v>#DIV/0!</v>
      </c>
      <c r="CJ18" s="57" t="e">
        <f t="shared" si="15"/>
        <v>#DIV/0!</v>
      </c>
      <c r="CK18" s="57" t="e">
        <f t="shared" si="15"/>
        <v>#DIV/0!</v>
      </c>
    </row>
    <row r="19" spans="1:89" s="16" customFormat="1" x14ac:dyDescent="0.25">
      <c r="A19" s="18" t="s">
        <v>86</v>
      </c>
      <c r="B19" s="30"/>
      <c r="C19" s="30"/>
      <c r="D19" s="30"/>
      <c r="E19" s="30"/>
      <c r="F19" s="30"/>
      <c r="G19" s="30"/>
      <c r="H19" s="30"/>
      <c r="I19" s="30"/>
      <c r="J19" s="30"/>
      <c r="K19" s="30"/>
    </row>
    <row r="20" spans="1:89" x14ac:dyDescent="0.25">
      <c r="A20" s="17" t="s">
        <v>399</v>
      </c>
      <c r="B20" s="188">
        <v>0</v>
      </c>
      <c r="C20" s="188">
        <v>0</v>
      </c>
      <c r="D20" s="188">
        <v>0</v>
      </c>
      <c r="E20" s="188">
        <v>0</v>
      </c>
      <c r="F20" s="188">
        <v>0</v>
      </c>
      <c r="G20" s="188">
        <v>0</v>
      </c>
      <c r="H20" s="188">
        <v>0</v>
      </c>
      <c r="I20" s="188">
        <v>0</v>
      </c>
      <c r="J20" s="188">
        <v>0</v>
      </c>
      <c r="K20" s="188">
        <v>0</v>
      </c>
      <c r="L20" s="188">
        <v>0</v>
      </c>
      <c r="M20" s="188">
        <v>0</v>
      </c>
      <c r="N20" s="188">
        <v>0</v>
      </c>
      <c r="O20" s="188">
        <v>0</v>
      </c>
      <c r="P20" s="188">
        <v>0</v>
      </c>
      <c r="Q20" s="188">
        <v>0</v>
      </c>
      <c r="R20" s="188">
        <v>0</v>
      </c>
      <c r="S20" s="188">
        <v>0</v>
      </c>
      <c r="T20" s="188"/>
      <c r="U20" s="188"/>
      <c r="V20" s="188"/>
      <c r="W20" s="188"/>
      <c r="X20" s="188"/>
      <c r="Y20" s="188"/>
      <c r="Z20" s="188"/>
      <c r="AA20" s="188"/>
      <c r="AB20" s="188"/>
      <c r="AC20" s="188"/>
      <c r="AD20" s="188"/>
      <c r="AE20" s="188"/>
      <c r="AF20" s="188"/>
      <c r="AG20" s="188"/>
      <c r="AH20" s="188"/>
      <c r="AI20" s="188"/>
      <c r="AJ20" s="188"/>
      <c r="AK20" s="188"/>
      <c r="AL20" s="188"/>
      <c r="AM20" s="188"/>
      <c r="AN20" s="188"/>
      <c r="AO20" s="188"/>
      <c r="AP20" s="188"/>
      <c r="AQ20" s="188"/>
      <c r="AR20" s="188"/>
      <c r="AS20" s="188"/>
      <c r="AT20" s="188"/>
      <c r="AU20" s="188"/>
      <c r="AV20" s="188"/>
      <c r="AW20" s="188"/>
      <c r="AX20" s="188"/>
      <c r="AY20" s="188"/>
      <c r="AZ20" s="188"/>
      <c r="BA20" s="188"/>
      <c r="BB20" s="188"/>
      <c r="BC20" s="188"/>
      <c r="BD20" s="188"/>
      <c r="BE20" s="188"/>
      <c r="BF20" s="188"/>
      <c r="BG20" s="188"/>
      <c r="BH20" s="188"/>
      <c r="BI20" s="188"/>
      <c r="BJ20" s="188"/>
      <c r="BK20" s="188"/>
      <c r="BL20" s="188"/>
      <c r="BM20" s="188"/>
      <c r="BN20" s="188"/>
      <c r="BO20" s="188"/>
      <c r="BP20" s="188"/>
      <c r="BQ20" s="188"/>
      <c r="BR20" s="188"/>
      <c r="BS20" s="188"/>
      <c r="BT20" s="188"/>
      <c r="BU20" s="188"/>
      <c r="BV20" s="188"/>
      <c r="BW20" s="188"/>
      <c r="BX20" s="188"/>
      <c r="BY20" s="188"/>
      <c r="BZ20" s="188"/>
      <c r="CA20" s="188"/>
      <c r="CB20" s="188"/>
      <c r="CC20" s="188"/>
      <c r="CD20" s="188"/>
      <c r="CE20" s="188"/>
      <c r="CF20" s="188"/>
      <c r="CG20" s="188"/>
      <c r="CH20" s="188"/>
      <c r="CI20" s="188"/>
      <c r="CJ20" s="188"/>
      <c r="CK20" s="188"/>
    </row>
    <row r="21" spans="1:89" s="16" customFormat="1" x14ac:dyDescent="0.25">
      <c r="A21" s="18" t="s">
        <v>87</v>
      </c>
      <c r="B21" s="30"/>
      <c r="C21" s="30"/>
      <c r="D21" s="30"/>
      <c r="E21" s="30"/>
      <c r="F21" s="30"/>
      <c r="G21" s="30"/>
      <c r="H21" s="30"/>
      <c r="I21" s="30"/>
      <c r="J21" s="30"/>
      <c r="K21" s="30"/>
    </row>
    <row r="22" spans="1:89" x14ac:dyDescent="0.25">
      <c r="A22" s="17" t="s">
        <v>400</v>
      </c>
      <c r="B22" s="188">
        <v>0</v>
      </c>
      <c r="C22" s="188">
        <v>0</v>
      </c>
      <c r="D22" s="188">
        <v>0</v>
      </c>
      <c r="E22" s="188">
        <v>0</v>
      </c>
      <c r="F22" s="188">
        <v>0</v>
      </c>
      <c r="G22" s="188">
        <v>0</v>
      </c>
      <c r="H22" s="188">
        <v>0</v>
      </c>
      <c r="I22" s="188">
        <v>0</v>
      </c>
      <c r="J22" s="188">
        <v>0</v>
      </c>
      <c r="K22" s="188">
        <v>0</v>
      </c>
      <c r="L22" s="188">
        <v>0</v>
      </c>
      <c r="M22" s="188">
        <v>0</v>
      </c>
      <c r="N22" s="188">
        <v>0</v>
      </c>
      <c r="O22" s="188">
        <v>0</v>
      </c>
      <c r="P22" s="188">
        <v>0</v>
      </c>
      <c r="Q22" s="188">
        <v>0</v>
      </c>
      <c r="R22" s="188">
        <v>0</v>
      </c>
      <c r="S22" s="188">
        <v>0</v>
      </c>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c r="BC22" s="188"/>
      <c r="BD22" s="188"/>
      <c r="BE22" s="188"/>
      <c r="BF22" s="188"/>
      <c r="BG22" s="188"/>
      <c r="BH22" s="188"/>
      <c r="BI22" s="188"/>
      <c r="BJ22" s="188"/>
      <c r="BK22" s="188"/>
      <c r="BL22" s="188"/>
      <c r="BM22" s="188"/>
      <c r="BN22" s="188"/>
      <c r="BO22" s="188"/>
      <c r="BP22" s="188"/>
      <c r="BQ22" s="188"/>
      <c r="BR22" s="188"/>
      <c r="BS22" s="188"/>
      <c r="BT22" s="188"/>
      <c r="BU22" s="188"/>
      <c r="BV22" s="188"/>
      <c r="BW22" s="188"/>
      <c r="BX22" s="188"/>
      <c r="BY22" s="188"/>
      <c r="BZ22" s="188"/>
      <c r="CA22" s="188"/>
      <c r="CB22" s="188"/>
      <c r="CC22" s="188"/>
      <c r="CD22" s="188"/>
      <c r="CE22" s="188"/>
      <c r="CF22" s="188"/>
      <c r="CG22" s="188"/>
      <c r="CH22" s="188"/>
      <c r="CI22" s="188"/>
      <c r="CJ22" s="188"/>
      <c r="CK22" s="188"/>
    </row>
    <row r="23" spans="1:89" s="7" customFormat="1" x14ac:dyDescent="0.25">
      <c r="A23" s="21" t="s">
        <v>401</v>
      </c>
      <c r="B23" s="29">
        <f>-B52</f>
        <v>25636</v>
      </c>
      <c r="C23" s="29">
        <f t="shared" ref="C23:BN23" si="16">-C52</f>
        <v>27718</v>
      </c>
      <c r="D23" s="29">
        <f t="shared" si="16"/>
        <v>35317</v>
      </c>
      <c r="E23" s="29">
        <f t="shared" si="16"/>
        <v>2171909.2799999998</v>
      </c>
      <c r="F23" s="29">
        <f t="shared" si="16"/>
        <v>34414</v>
      </c>
      <c r="G23" s="29">
        <f t="shared" si="16"/>
        <v>23309</v>
      </c>
      <c r="H23" s="29">
        <f t="shared" si="16"/>
        <v>16814</v>
      </c>
      <c r="I23" s="29">
        <f t="shared" si="16"/>
        <v>1346323.28</v>
      </c>
      <c r="J23" s="29">
        <f t="shared" si="16"/>
        <v>0</v>
      </c>
      <c r="K23" s="29">
        <f t="shared" si="16"/>
        <v>0</v>
      </c>
      <c r="L23" s="29">
        <f t="shared" si="16"/>
        <v>0</v>
      </c>
      <c r="M23" s="29">
        <f t="shared" si="16"/>
        <v>1106591.44</v>
      </c>
      <c r="N23" s="29">
        <f t="shared" si="16"/>
        <v>0</v>
      </c>
      <c r="O23" s="29">
        <f t="shared" si="16"/>
        <v>0</v>
      </c>
      <c r="P23" s="29">
        <f t="shared" si="16"/>
        <v>0</v>
      </c>
      <c r="Q23" s="29">
        <f t="shared" si="16"/>
        <v>0</v>
      </c>
      <c r="R23" s="29">
        <f t="shared" si="16"/>
        <v>0</v>
      </c>
      <c r="S23" s="29">
        <f t="shared" si="16"/>
        <v>0</v>
      </c>
      <c r="T23" s="29">
        <f t="shared" si="16"/>
        <v>0</v>
      </c>
      <c r="U23" s="29">
        <f t="shared" si="16"/>
        <v>821239268.10000002</v>
      </c>
      <c r="V23" s="29">
        <f t="shared" si="16"/>
        <v>0</v>
      </c>
      <c r="W23" s="29">
        <f t="shared" si="16"/>
        <v>0</v>
      </c>
      <c r="X23" s="29">
        <f t="shared" si="16"/>
        <v>0</v>
      </c>
      <c r="Y23" s="29">
        <f t="shared" si="16"/>
        <v>777445872.55999994</v>
      </c>
      <c r="Z23" s="29">
        <f t="shared" si="16"/>
        <v>0</v>
      </c>
      <c r="AA23" s="29">
        <f t="shared" si="16"/>
        <v>0</v>
      </c>
      <c r="AB23" s="29">
        <f t="shared" si="16"/>
        <v>0</v>
      </c>
      <c r="AC23" s="29">
        <f t="shared" si="16"/>
        <v>468723365.81</v>
      </c>
      <c r="AD23" s="29">
        <f t="shared" si="16"/>
        <v>0</v>
      </c>
      <c r="AE23" s="29">
        <f t="shared" si="16"/>
        <v>0</v>
      </c>
      <c r="AF23" s="29">
        <f t="shared" si="16"/>
        <v>0</v>
      </c>
      <c r="AG23" s="29">
        <f t="shared" si="16"/>
        <v>189919617.83000001</v>
      </c>
      <c r="AH23" s="29">
        <f t="shared" si="16"/>
        <v>0</v>
      </c>
      <c r="AI23" s="29">
        <f t="shared" si="16"/>
        <v>0</v>
      </c>
      <c r="AJ23" s="29">
        <f t="shared" si="16"/>
        <v>0</v>
      </c>
      <c r="AK23" s="29">
        <f t="shared" si="16"/>
        <v>0</v>
      </c>
      <c r="AL23" s="29">
        <f t="shared" si="16"/>
        <v>0</v>
      </c>
      <c r="AM23" s="29">
        <f t="shared" si="16"/>
        <v>0</v>
      </c>
      <c r="AN23" s="29">
        <f t="shared" si="16"/>
        <v>0</v>
      </c>
      <c r="AO23" s="29">
        <f t="shared" si="16"/>
        <v>0</v>
      </c>
      <c r="AP23" s="29">
        <f t="shared" si="16"/>
        <v>0</v>
      </c>
      <c r="AQ23" s="29">
        <f t="shared" si="16"/>
        <v>0</v>
      </c>
      <c r="AR23" s="29">
        <f t="shared" si="16"/>
        <v>0</v>
      </c>
      <c r="AS23" s="29">
        <f t="shared" si="16"/>
        <v>0</v>
      </c>
      <c r="AT23" s="29">
        <f t="shared" si="16"/>
        <v>0</v>
      </c>
      <c r="AU23" s="29">
        <f t="shared" si="16"/>
        <v>0</v>
      </c>
      <c r="AV23" s="29">
        <f t="shared" si="16"/>
        <v>0</v>
      </c>
      <c r="AW23" s="29">
        <f t="shared" si="16"/>
        <v>0</v>
      </c>
      <c r="AX23" s="29">
        <f t="shared" si="16"/>
        <v>0</v>
      </c>
      <c r="AY23" s="29">
        <f t="shared" si="16"/>
        <v>0</v>
      </c>
      <c r="AZ23" s="29">
        <f t="shared" si="16"/>
        <v>0</v>
      </c>
      <c r="BA23" s="29">
        <f t="shared" si="16"/>
        <v>0</v>
      </c>
      <c r="BB23" s="29">
        <f t="shared" si="16"/>
        <v>0</v>
      </c>
      <c r="BC23" s="29">
        <f t="shared" si="16"/>
        <v>0</v>
      </c>
      <c r="BD23" s="29">
        <f t="shared" si="16"/>
        <v>0</v>
      </c>
      <c r="BE23" s="29">
        <f t="shared" si="16"/>
        <v>0</v>
      </c>
      <c r="BF23" s="29">
        <f t="shared" si="16"/>
        <v>0</v>
      </c>
      <c r="BG23" s="29">
        <f t="shared" si="16"/>
        <v>0</v>
      </c>
      <c r="BH23" s="29">
        <f t="shared" si="16"/>
        <v>0</v>
      </c>
      <c r="BI23" s="29">
        <f t="shared" si="16"/>
        <v>0</v>
      </c>
      <c r="BJ23" s="29">
        <f t="shared" si="16"/>
        <v>0</v>
      </c>
      <c r="BK23" s="29">
        <f t="shared" si="16"/>
        <v>0</v>
      </c>
      <c r="BL23" s="29">
        <f t="shared" si="16"/>
        <v>0</v>
      </c>
      <c r="BM23" s="29">
        <f t="shared" si="16"/>
        <v>0</v>
      </c>
      <c r="BN23" s="29">
        <f t="shared" si="16"/>
        <v>0</v>
      </c>
      <c r="BO23" s="29">
        <f t="shared" ref="BO23:CK23" si="17">-BO52</f>
        <v>0</v>
      </c>
      <c r="BP23" s="29">
        <f t="shared" si="17"/>
        <v>0</v>
      </c>
      <c r="BQ23" s="29">
        <f t="shared" si="17"/>
        <v>0</v>
      </c>
      <c r="BR23" s="29">
        <f t="shared" si="17"/>
        <v>0</v>
      </c>
      <c r="BS23" s="29">
        <f t="shared" si="17"/>
        <v>0</v>
      </c>
      <c r="BT23" s="29">
        <f t="shared" si="17"/>
        <v>0</v>
      </c>
      <c r="BU23" s="29">
        <f t="shared" si="17"/>
        <v>0</v>
      </c>
      <c r="BV23" s="29">
        <f t="shared" si="17"/>
        <v>0</v>
      </c>
      <c r="BW23" s="29">
        <f t="shared" si="17"/>
        <v>0</v>
      </c>
      <c r="BX23" s="29">
        <f t="shared" si="17"/>
        <v>0</v>
      </c>
      <c r="BY23" s="29">
        <f t="shared" si="17"/>
        <v>0</v>
      </c>
      <c r="BZ23" s="29">
        <f t="shared" si="17"/>
        <v>0</v>
      </c>
      <c r="CA23" s="29">
        <f t="shared" si="17"/>
        <v>0</v>
      </c>
      <c r="CB23" s="29">
        <f t="shared" si="17"/>
        <v>0</v>
      </c>
      <c r="CC23" s="29">
        <f t="shared" si="17"/>
        <v>0</v>
      </c>
      <c r="CD23" s="29">
        <f t="shared" si="17"/>
        <v>0</v>
      </c>
      <c r="CE23" s="29">
        <f t="shared" si="17"/>
        <v>0</v>
      </c>
      <c r="CF23" s="29">
        <f t="shared" si="17"/>
        <v>0</v>
      </c>
      <c r="CG23" s="29">
        <f t="shared" si="17"/>
        <v>0</v>
      </c>
      <c r="CH23" s="29">
        <f t="shared" si="17"/>
        <v>0</v>
      </c>
      <c r="CI23" s="29">
        <f t="shared" si="17"/>
        <v>0</v>
      </c>
      <c r="CJ23" s="29">
        <f t="shared" si="17"/>
        <v>0</v>
      </c>
      <c r="CK23" s="29">
        <f t="shared" si="17"/>
        <v>0</v>
      </c>
    </row>
    <row r="24" spans="1:89" x14ac:dyDescent="0.25">
      <c r="A24" s="17" t="s">
        <v>402</v>
      </c>
      <c r="B24" s="26">
        <f>B67</f>
        <v>10097461.369999999</v>
      </c>
      <c r="C24" s="26">
        <f t="shared" ref="C24:BN24" si="18">C67</f>
        <v>6298289.5899999999</v>
      </c>
      <c r="D24" s="26">
        <f t="shared" si="18"/>
        <v>4090676.54</v>
      </c>
      <c r="E24" s="26">
        <f>E67</f>
        <v>8230887.71</v>
      </c>
      <c r="F24" s="26">
        <f t="shared" si="18"/>
        <v>5563118.3600000003</v>
      </c>
      <c r="G24" s="26">
        <f t="shared" si="18"/>
        <v>2828229.63</v>
      </c>
      <c r="H24" s="26">
        <f t="shared" si="18"/>
        <v>741331</v>
      </c>
      <c r="I24" s="26">
        <f t="shared" si="18"/>
        <v>336511.65</v>
      </c>
      <c r="J24" s="26">
        <f t="shared" si="18"/>
        <v>95728.77</v>
      </c>
      <c r="K24" s="26">
        <f t="shared" si="18"/>
        <v>59769.87</v>
      </c>
      <c r="L24" s="26">
        <f t="shared" si="18"/>
        <v>0</v>
      </c>
      <c r="M24" s="26">
        <f t="shared" si="18"/>
        <v>0</v>
      </c>
      <c r="N24" s="26">
        <f t="shared" si="18"/>
        <v>107261.55</v>
      </c>
      <c r="O24" s="26">
        <f t="shared" si="18"/>
        <v>0</v>
      </c>
      <c r="P24" s="26">
        <f t="shared" si="18"/>
        <v>0</v>
      </c>
      <c r="Q24" s="26">
        <f t="shared" si="18"/>
        <v>0</v>
      </c>
      <c r="R24" s="26">
        <f t="shared" si="18"/>
        <v>0</v>
      </c>
      <c r="S24" s="26">
        <f t="shared" si="18"/>
        <v>0</v>
      </c>
      <c r="T24" s="26">
        <f t="shared" si="18"/>
        <v>0</v>
      </c>
      <c r="U24" s="26">
        <f t="shared" si="18"/>
        <v>3732421.22</v>
      </c>
      <c r="V24" s="26">
        <f t="shared" si="18"/>
        <v>3732421.22</v>
      </c>
      <c r="W24" s="26">
        <f t="shared" si="18"/>
        <v>3732421.22</v>
      </c>
      <c r="X24" s="26">
        <f t="shared" si="18"/>
        <v>0</v>
      </c>
      <c r="Y24" s="26">
        <f t="shared" si="18"/>
        <v>3403970.22</v>
      </c>
      <c r="Z24" s="26">
        <f t="shared" si="18"/>
        <v>-917593.17</v>
      </c>
      <c r="AA24" s="26">
        <f t="shared" si="18"/>
        <v>-984891.57</v>
      </c>
      <c r="AB24" s="26">
        <f t="shared" si="18"/>
        <v>-9791.5400000000009</v>
      </c>
      <c r="AC24" s="26">
        <f t="shared" si="18"/>
        <v>289920.28000000026</v>
      </c>
      <c r="AD24" s="26">
        <f t="shared" si="18"/>
        <v>285035.20000000019</v>
      </c>
      <c r="AE24" s="26">
        <f t="shared" si="18"/>
        <v>133008.76000000024</v>
      </c>
      <c r="AF24" s="26">
        <f t="shared" si="18"/>
        <v>9936.35</v>
      </c>
      <c r="AG24" s="26">
        <f t="shared" si="18"/>
        <v>832113.56999999983</v>
      </c>
      <c r="AH24" s="26">
        <f t="shared" si="18"/>
        <v>-3505725.42</v>
      </c>
      <c r="AI24" s="26">
        <f t="shared" si="18"/>
        <v>323694.87000000011</v>
      </c>
      <c r="AJ24" s="26">
        <f t="shared" si="18"/>
        <v>126698.54</v>
      </c>
      <c r="AK24" s="26">
        <f t="shared" si="18"/>
        <v>608552.98999999976</v>
      </c>
      <c r="AL24" s="26">
        <f t="shared" si="18"/>
        <v>31136.589999999851</v>
      </c>
      <c r="AM24" s="26">
        <f t="shared" si="18"/>
        <v>-2412569.77</v>
      </c>
      <c r="AN24" s="26">
        <f t="shared" si="18"/>
        <v>0</v>
      </c>
      <c r="AO24" s="26">
        <f t="shared" si="18"/>
        <v>1579121.31</v>
      </c>
      <c r="AP24" s="26">
        <f t="shared" si="18"/>
        <v>-929569.49</v>
      </c>
      <c r="AQ24" s="26">
        <f t="shared" si="18"/>
        <v>-929569.49</v>
      </c>
      <c r="AR24" s="26">
        <f t="shared" si="18"/>
        <v>0</v>
      </c>
      <c r="AS24" s="26">
        <f t="shared" si="18"/>
        <v>3199582.46</v>
      </c>
      <c r="AT24" s="26">
        <f t="shared" si="18"/>
        <v>556604.28</v>
      </c>
      <c r="AU24" s="26">
        <f t="shared" si="18"/>
        <v>47918.79</v>
      </c>
      <c r="AV24" s="26">
        <f t="shared" si="18"/>
        <v>665864.48</v>
      </c>
      <c r="AW24" s="26">
        <f t="shared" si="18"/>
        <v>5051692.58</v>
      </c>
      <c r="AX24" s="26">
        <f t="shared" si="18"/>
        <v>2496157.7200000002</v>
      </c>
      <c r="AY24" s="26">
        <f t="shared" si="18"/>
        <v>1832311.81</v>
      </c>
      <c r="AZ24" s="26">
        <f t="shared" si="18"/>
        <v>100000</v>
      </c>
      <c r="BA24" s="26">
        <f t="shared" si="18"/>
        <v>-3923017.4</v>
      </c>
      <c r="BB24" s="26">
        <f t="shared" si="18"/>
        <v>-497364.9</v>
      </c>
      <c r="BC24" s="26">
        <f t="shared" si="18"/>
        <v>-499893.8</v>
      </c>
      <c r="BD24" s="26">
        <f t="shared" si="18"/>
        <v>0</v>
      </c>
      <c r="BE24" s="26">
        <f t="shared" si="18"/>
        <v>-126753.75</v>
      </c>
      <c r="BF24" s="26">
        <f t="shared" si="18"/>
        <v>344265.81</v>
      </c>
      <c r="BG24" s="26">
        <f t="shared" si="18"/>
        <v>344265.81</v>
      </c>
      <c r="BH24" s="26">
        <f t="shared" si="18"/>
        <v>1026367.48</v>
      </c>
      <c r="BI24" s="26">
        <f t="shared" si="18"/>
        <v>-554425.18000000005</v>
      </c>
      <c r="BJ24" s="26">
        <f t="shared" si="18"/>
        <v>287254.11</v>
      </c>
      <c r="BK24" s="26">
        <f t="shared" si="18"/>
        <v>52424.27</v>
      </c>
      <c r="BL24" s="26">
        <f t="shared" si="18"/>
        <v>265460.88</v>
      </c>
      <c r="BM24" s="26">
        <f t="shared" si="18"/>
        <v>178932.4</v>
      </c>
      <c r="BN24" s="26">
        <f t="shared" si="18"/>
        <v>1871129.6000000001</v>
      </c>
      <c r="BO24" s="26">
        <f t="shared" ref="BO24:CJ24" si="19">BO67</f>
        <v>1511721.55</v>
      </c>
      <c r="BP24" s="26">
        <f t="shared" si="19"/>
        <v>-174029.22</v>
      </c>
      <c r="BQ24" s="26">
        <f t="shared" si="19"/>
        <v>12349967.949999999</v>
      </c>
      <c r="BR24" s="26">
        <f t="shared" si="19"/>
        <v>12720000</v>
      </c>
      <c r="BS24" s="26">
        <f t="shared" si="19"/>
        <v>9766309.1799999997</v>
      </c>
      <c r="BT24" s="26">
        <f t="shared" si="19"/>
        <v>5348519.25</v>
      </c>
      <c r="BU24" s="26">
        <f t="shared" si="19"/>
        <v>2373601.7000000002</v>
      </c>
      <c r="BV24" s="26">
        <f t="shared" si="19"/>
        <v>0</v>
      </c>
      <c r="BW24" s="26">
        <f t="shared" si="19"/>
        <v>0</v>
      </c>
      <c r="BX24" s="26">
        <f t="shared" si="19"/>
        <v>0</v>
      </c>
      <c r="BY24" s="26">
        <f t="shared" si="19"/>
        <v>0</v>
      </c>
      <c r="BZ24" s="26">
        <f t="shared" si="19"/>
        <v>0</v>
      </c>
      <c r="CA24" s="26">
        <f t="shared" si="19"/>
        <v>0</v>
      </c>
      <c r="CB24" s="26">
        <f t="shared" si="19"/>
        <v>0</v>
      </c>
      <c r="CC24" s="26">
        <f t="shared" si="19"/>
        <v>0</v>
      </c>
      <c r="CD24" s="26">
        <f t="shared" si="19"/>
        <v>0</v>
      </c>
      <c r="CE24" s="26">
        <f t="shared" si="19"/>
        <v>7729000</v>
      </c>
      <c r="CF24" s="26">
        <f t="shared" si="19"/>
        <v>2092581.44</v>
      </c>
      <c r="CG24" s="26">
        <f t="shared" si="19"/>
        <v>0</v>
      </c>
      <c r="CH24" s="26">
        <f t="shared" si="19"/>
        <v>0</v>
      </c>
      <c r="CI24" s="26">
        <f t="shared" si="19"/>
        <v>0</v>
      </c>
      <c r="CJ24" s="26">
        <f t="shared" si="19"/>
        <v>0</v>
      </c>
    </row>
    <row r="25" spans="1:89" s="7" customFormat="1" x14ac:dyDescent="0.25">
      <c r="A25" s="21" t="s">
        <v>403</v>
      </c>
      <c r="B25" s="29">
        <f>-B54</f>
        <v>-3104</v>
      </c>
      <c r="C25" s="29">
        <f t="shared" ref="C25:BN25" si="20">-C54</f>
        <v>1424</v>
      </c>
      <c r="D25" s="29">
        <f t="shared" si="20"/>
        <v>340</v>
      </c>
      <c r="E25" s="29">
        <f t="shared" si="20"/>
        <v>-126.48</v>
      </c>
      <c r="F25" s="29">
        <f t="shared" si="20"/>
        <v>-2684</v>
      </c>
      <c r="G25" s="29">
        <f t="shared" si="20"/>
        <v>377</v>
      </c>
      <c r="H25" s="29">
        <f t="shared" si="20"/>
        <v>-1008</v>
      </c>
      <c r="I25" s="29">
        <f t="shared" si="20"/>
        <v>0</v>
      </c>
      <c r="J25" s="29">
        <f t="shared" si="20"/>
        <v>0</v>
      </c>
      <c r="K25" s="29">
        <f t="shared" si="20"/>
        <v>0</v>
      </c>
      <c r="L25" s="29">
        <f t="shared" si="20"/>
        <v>0</v>
      </c>
      <c r="M25" s="29">
        <f t="shared" si="20"/>
        <v>-451009.67</v>
      </c>
      <c r="N25" s="29">
        <f t="shared" si="20"/>
        <v>0</v>
      </c>
      <c r="O25" s="29">
        <f t="shared" si="20"/>
        <v>0</v>
      </c>
      <c r="P25" s="29">
        <f t="shared" si="20"/>
        <v>0</v>
      </c>
      <c r="Q25" s="29">
        <f t="shared" si="20"/>
        <v>0</v>
      </c>
      <c r="R25" s="29">
        <f t="shared" si="20"/>
        <v>0</v>
      </c>
      <c r="S25" s="29">
        <f t="shared" si="20"/>
        <v>0</v>
      </c>
      <c r="T25" s="29">
        <f t="shared" si="20"/>
        <v>0</v>
      </c>
      <c r="U25" s="29">
        <f t="shared" si="20"/>
        <v>-10846.94</v>
      </c>
      <c r="V25" s="29">
        <f t="shared" si="20"/>
        <v>0</v>
      </c>
      <c r="W25" s="29">
        <f t="shared" si="20"/>
        <v>0</v>
      </c>
      <c r="X25" s="29">
        <f t="shared" si="20"/>
        <v>0</v>
      </c>
      <c r="Y25" s="29">
        <f t="shared" si="20"/>
        <v>205399.9</v>
      </c>
      <c r="Z25" s="29">
        <f t="shared" si="20"/>
        <v>0</v>
      </c>
      <c r="AA25" s="29">
        <f t="shared" si="20"/>
        <v>0</v>
      </c>
      <c r="AB25" s="29">
        <f t="shared" si="20"/>
        <v>0</v>
      </c>
      <c r="AC25" s="29">
        <f t="shared" si="20"/>
        <v>-11178.14</v>
      </c>
      <c r="AD25" s="29">
        <f t="shared" si="20"/>
        <v>0</v>
      </c>
      <c r="AE25" s="29">
        <f t="shared" si="20"/>
        <v>0</v>
      </c>
      <c r="AF25" s="29">
        <f t="shared" si="20"/>
        <v>0</v>
      </c>
      <c r="AG25" s="29">
        <f t="shared" si="20"/>
        <v>-370867.58</v>
      </c>
      <c r="AH25" s="29">
        <f t="shared" si="20"/>
        <v>0</v>
      </c>
      <c r="AI25" s="29">
        <f t="shared" si="20"/>
        <v>0</v>
      </c>
      <c r="AJ25" s="29">
        <f t="shared" si="20"/>
        <v>0</v>
      </c>
      <c r="AK25" s="29">
        <f t="shared" si="20"/>
        <v>0</v>
      </c>
      <c r="AL25" s="29">
        <f t="shared" si="20"/>
        <v>0</v>
      </c>
      <c r="AM25" s="29">
        <f t="shared" si="20"/>
        <v>0</v>
      </c>
      <c r="AN25" s="29">
        <f t="shared" si="20"/>
        <v>0</v>
      </c>
      <c r="AO25" s="29">
        <f t="shared" si="20"/>
        <v>0</v>
      </c>
      <c r="AP25" s="29">
        <f t="shared" si="20"/>
        <v>0</v>
      </c>
      <c r="AQ25" s="29">
        <f t="shared" si="20"/>
        <v>0</v>
      </c>
      <c r="AR25" s="29">
        <f t="shared" si="20"/>
        <v>0</v>
      </c>
      <c r="AS25" s="29">
        <f t="shared" si="20"/>
        <v>0</v>
      </c>
      <c r="AT25" s="29">
        <f t="shared" si="20"/>
        <v>0</v>
      </c>
      <c r="AU25" s="29">
        <f t="shared" si="20"/>
        <v>0</v>
      </c>
      <c r="AV25" s="29">
        <f t="shared" si="20"/>
        <v>0</v>
      </c>
      <c r="AW25" s="29">
        <f t="shared" si="20"/>
        <v>0</v>
      </c>
      <c r="AX25" s="29">
        <f t="shared" si="20"/>
        <v>0</v>
      </c>
      <c r="AY25" s="29">
        <f t="shared" si="20"/>
        <v>0</v>
      </c>
      <c r="AZ25" s="29">
        <f t="shared" si="20"/>
        <v>0</v>
      </c>
      <c r="BA25" s="29">
        <f t="shared" si="20"/>
        <v>0</v>
      </c>
      <c r="BB25" s="29">
        <f t="shared" si="20"/>
        <v>0</v>
      </c>
      <c r="BC25" s="29">
        <f t="shared" si="20"/>
        <v>0</v>
      </c>
      <c r="BD25" s="29">
        <f t="shared" si="20"/>
        <v>0</v>
      </c>
      <c r="BE25" s="29">
        <f t="shared" si="20"/>
        <v>0</v>
      </c>
      <c r="BF25" s="29">
        <f t="shared" si="20"/>
        <v>0</v>
      </c>
      <c r="BG25" s="29">
        <f t="shared" si="20"/>
        <v>0</v>
      </c>
      <c r="BH25" s="29">
        <f t="shared" si="20"/>
        <v>0</v>
      </c>
      <c r="BI25" s="29">
        <f t="shared" si="20"/>
        <v>0</v>
      </c>
      <c r="BJ25" s="29">
        <f t="shared" si="20"/>
        <v>0</v>
      </c>
      <c r="BK25" s="29">
        <f t="shared" si="20"/>
        <v>0</v>
      </c>
      <c r="BL25" s="29">
        <f t="shared" si="20"/>
        <v>0</v>
      </c>
      <c r="BM25" s="29">
        <f t="shared" si="20"/>
        <v>0</v>
      </c>
      <c r="BN25" s="29">
        <f t="shared" si="20"/>
        <v>0</v>
      </c>
      <c r="BO25" s="29">
        <f t="shared" ref="BO25:CK25" si="21">-BO54</f>
        <v>0</v>
      </c>
      <c r="BP25" s="29">
        <f t="shared" si="21"/>
        <v>0</v>
      </c>
      <c r="BQ25" s="29">
        <f t="shared" si="21"/>
        <v>0</v>
      </c>
      <c r="BR25" s="29">
        <f t="shared" si="21"/>
        <v>0</v>
      </c>
      <c r="BS25" s="29">
        <f t="shared" si="21"/>
        <v>0</v>
      </c>
      <c r="BT25" s="29">
        <f t="shared" si="21"/>
        <v>0</v>
      </c>
      <c r="BU25" s="29">
        <f t="shared" si="21"/>
        <v>0</v>
      </c>
      <c r="BV25" s="29">
        <f t="shared" si="21"/>
        <v>0</v>
      </c>
      <c r="BW25" s="29">
        <f t="shared" si="21"/>
        <v>0</v>
      </c>
      <c r="BX25" s="29">
        <f t="shared" si="21"/>
        <v>0</v>
      </c>
      <c r="BY25" s="29">
        <f t="shared" si="21"/>
        <v>0</v>
      </c>
      <c r="BZ25" s="29">
        <f t="shared" si="21"/>
        <v>0</v>
      </c>
      <c r="CA25" s="29">
        <f t="shared" si="21"/>
        <v>0</v>
      </c>
      <c r="CB25" s="29">
        <f t="shared" si="21"/>
        <v>0</v>
      </c>
      <c r="CC25" s="29">
        <f t="shared" si="21"/>
        <v>0</v>
      </c>
      <c r="CD25" s="29">
        <f t="shared" si="21"/>
        <v>0</v>
      </c>
      <c r="CE25" s="29">
        <f t="shared" si="21"/>
        <v>0</v>
      </c>
      <c r="CF25" s="29">
        <f t="shared" si="21"/>
        <v>0</v>
      </c>
      <c r="CG25" s="29">
        <f t="shared" si="21"/>
        <v>0</v>
      </c>
      <c r="CH25" s="29">
        <f t="shared" si="21"/>
        <v>0</v>
      </c>
      <c r="CI25" s="29">
        <f t="shared" si="21"/>
        <v>0</v>
      </c>
      <c r="CJ25" s="29">
        <f t="shared" si="21"/>
        <v>0</v>
      </c>
      <c r="CK25" s="29">
        <f t="shared" si="21"/>
        <v>0</v>
      </c>
    </row>
    <row r="26" spans="1:89" x14ac:dyDescent="0.25">
      <c r="A26" s="17" t="s">
        <v>404</v>
      </c>
      <c r="B26" s="188">
        <v>0</v>
      </c>
      <c r="C26" s="188">
        <v>0</v>
      </c>
      <c r="D26" s="188">
        <v>0</v>
      </c>
      <c r="E26" s="188">
        <v>0</v>
      </c>
      <c r="F26" s="188">
        <v>0</v>
      </c>
      <c r="G26" s="188">
        <v>0</v>
      </c>
      <c r="H26" s="188">
        <v>0</v>
      </c>
      <c r="I26" s="188">
        <v>0</v>
      </c>
      <c r="J26" s="188">
        <v>0</v>
      </c>
      <c r="K26" s="188">
        <v>0</v>
      </c>
      <c r="L26" s="188">
        <v>0</v>
      </c>
      <c r="M26" s="188">
        <v>0</v>
      </c>
      <c r="N26" s="188">
        <v>0</v>
      </c>
      <c r="O26" s="188">
        <v>0</v>
      </c>
      <c r="P26" s="188">
        <v>0</v>
      </c>
      <c r="Q26" s="188">
        <v>0</v>
      </c>
      <c r="R26" s="188">
        <v>0</v>
      </c>
      <c r="S26" s="188">
        <v>0</v>
      </c>
      <c r="T26" s="188"/>
      <c r="U26" s="188"/>
      <c r="V26" s="188"/>
      <c r="W26" s="188"/>
      <c r="X26" s="188"/>
      <c r="Y26" s="188"/>
      <c r="Z26" s="188"/>
      <c r="AA26" s="188"/>
      <c r="AB26" s="188"/>
      <c r="AC26" s="188"/>
      <c r="AD26" s="188"/>
      <c r="AE26" s="188"/>
      <c r="AF26" s="188"/>
      <c r="AG26" s="188"/>
      <c r="AH26" s="188"/>
      <c r="AI26" s="188"/>
      <c r="AJ26" s="188"/>
      <c r="AK26" s="188"/>
      <c r="AL26" s="188"/>
      <c r="AM26" s="188"/>
      <c r="AN26" s="188"/>
      <c r="AO26" s="188"/>
      <c r="AP26" s="188"/>
      <c r="AQ26" s="188"/>
      <c r="AR26" s="188"/>
      <c r="AS26" s="188"/>
      <c r="AT26" s="188"/>
      <c r="AU26" s="188"/>
      <c r="AV26" s="188"/>
      <c r="AW26" s="188"/>
      <c r="AX26" s="188"/>
      <c r="AY26" s="188"/>
      <c r="AZ26" s="188"/>
      <c r="BA26" s="188"/>
      <c r="BB26" s="188"/>
      <c r="BC26" s="188"/>
      <c r="BD26" s="188"/>
      <c r="BE26" s="188"/>
      <c r="BF26" s="188"/>
      <c r="BG26" s="188"/>
      <c r="BH26" s="188"/>
      <c r="BI26" s="188"/>
      <c r="BJ26" s="188"/>
      <c r="BK26" s="188"/>
      <c r="BL26" s="188"/>
      <c r="BM26" s="188"/>
      <c r="BN26" s="188"/>
      <c r="BO26" s="188"/>
      <c r="BP26" s="188"/>
      <c r="BQ26" s="188"/>
      <c r="BR26" s="188"/>
      <c r="BS26" s="188"/>
      <c r="BT26" s="188"/>
      <c r="BU26" s="188"/>
      <c r="BV26" s="188"/>
      <c r="BW26" s="188"/>
      <c r="BX26" s="188"/>
      <c r="BY26" s="188"/>
      <c r="BZ26" s="188"/>
      <c r="CA26" s="188"/>
      <c r="CB26" s="188"/>
      <c r="CC26" s="188"/>
      <c r="CD26" s="188"/>
      <c r="CE26" s="188"/>
      <c r="CF26" s="188"/>
      <c r="CG26" s="188"/>
      <c r="CH26" s="188"/>
      <c r="CI26" s="188"/>
      <c r="CJ26" s="188"/>
      <c r="CK26" s="188"/>
    </row>
    <row r="27" spans="1:89" x14ac:dyDescent="0.25">
      <c r="A27" s="17" t="s">
        <v>405</v>
      </c>
      <c r="B27" s="26">
        <f>SUM(B22:B26)</f>
        <v>10119993.369999999</v>
      </c>
      <c r="C27" s="26">
        <f t="shared" ref="C27:BN27" si="22">SUM(C22:C26)</f>
        <v>6327431.5899999999</v>
      </c>
      <c r="D27" s="26">
        <f t="shared" si="22"/>
        <v>4126333.54</v>
      </c>
      <c r="E27" s="26">
        <f t="shared" si="22"/>
        <v>10402670.51</v>
      </c>
      <c r="F27" s="26">
        <f t="shared" si="22"/>
        <v>5594848.3600000003</v>
      </c>
      <c r="G27" s="26">
        <f t="shared" si="22"/>
        <v>2851915.63</v>
      </c>
      <c r="H27" s="26">
        <f t="shared" si="22"/>
        <v>757137</v>
      </c>
      <c r="I27" s="26">
        <f t="shared" si="22"/>
        <v>1682834.9300000002</v>
      </c>
      <c r="J27" s="26">
        <f t="shared" si="22"/>
        <v>95728.77</v>
      </c>
      <c r="K27" s="26">
        <f t="shared" si="22"/>
        <v>59769.87</v>
      </c>
      <c r="L27" s="26">
        <f t="shared" si="22"/>
        <v>0</v>
      </c>
      <c r="M27" s="26">
        <f t="shared" si="22"/>
        <v>655581.77</v>
      </c>
      <c r="N27" s="26">
        <f t="shared" si="22"/>
        <v>107261.55</v>
      </c>
      <c r="O27" s="26">
        <f t="shared" si="22"/>
        <v>0</v>
      </c>
      <c r="P27" s="26">
        <f t="shared" si="22"/>
        <v>0</v>
      </c>
      <c r="Q27" s="26">
        <f t="shared" si="22"/>
        <v>0</v>
      </c>
      <c r="R27" s="26">
        <f t="shared" si="22"/>
        <v>0</v>
      </c>
      <c r="S27" s="26">
        <f t="shared" si="22"/>
        <v>0</v>
      </c>
      <c r="T27" s="26">
        <f t="shared" si="22"/>
        <v>0</v>
      </c>
      <c r="U27" s="26">
        <f t="shared" si="22"/>
        <v>824960842.38</v>
      </c>
      <c r="V27" s="26">
        <f t="shared" si="22"/>
        <v>3732421.22</v>
      </c>
      <c r="W27" s="26">
        <f t="shared" si="22"/>
        <v>3732421.22</v>
      </c>
      <c r="X27" s="26">
        <f t="shared" si="22"/>
        <v>0</v>
      </c>
      <c r="Y27" s="26">
        <f t="shared" si="22"/>
        <v>781055242.67999995</v>
      </c>
      <c r="Z27" s="26">
        <f t="shared" si="22"/>
        <v>-917593.17</v>
      </c>
      <c r="AA27" s="26">
        <f t="shared" si="22"/>
        <v>-984891.57</v>
      </c>
      <c r="AB27" s="26">
        <f t="shared" si="22"/>
        <v>-9791.5400000000009</v>
      </c>
      <c r="AC27" s="26">
        <f t="shared" si="22"/>
        <v>469002107.94999999</v>
      </c>
      <c r="AD27" s="26">
        <f t="shared" si="22"/>
        <v>285035.20000000019</v>
      </c>
      <c r="AE27" s="26">
        <f t="shared" si="22"/>
        <v>133008.76000000024</v>
      </c>
      <c r="AF27" s="26">
        <f t="shared" si="22"/>
        <v>9936.35</v>
      </c>
      <c r="AG27" s="26">
        <f t="shared" si="22"/>
        <v>190380863.81999999</v>
      </c>
      <c r="AH27" s="26">
        <f t="shared" si="22"/>
        <v>-3505725.42</v>
      </c>
      <c r="AI27" s="26">
        <f t="shared" si="22"/>
        <v>323694.87000000011</v>
      </c>
      <c r="AJ27" s="26">
        <f t="shared" si="22"/>
        <v>126698.54</v>
      </c>
      <c r="AK27" s="26">
        <f t="shared" si="22"/>
        <v>608552.98999999976</v>
      </c>
      <c r="AL27" s="26">
        <f t="shared" si="22"/>
        <v>31136.589999999851</v>
      </c>
      <c r="AM27" s="26">
        <f t="shared" si="22"/>
        <v>-2412569.77</v>
      </c>
      <c r="AN27" s="26">
        <f t="shared" si="22"/>
        <v>0</v>
      </c>
      <c r="AO27" s="26">
        <f t="shared" si="22"/>
        <v>1579121.31</v>
      </c>
      <c r="AP27" s="26">
        <f t="shared" si="22"/>
        <v>-929569.49</v>
      </c>
      <c r="AQ27" s="26">
        <f t="shared" si="22"/>
        <v>-929569.49</v>
      </c>
      <c r="AR27" s="26">
        <f t="shared" si="22"/>
        <v>0</v>
      </c>
      <c r="AS27" s="26">
        <f t="shared" si="22"/>
        <v>3199582.46</v>
      </c>
      <c r="AT27" s="26">
        <f t="shared" si="22"/>
        <v>556604.28</v>
      </c>
      <c r="AU27" s="26">
        <f t="shared" si="22"/>
        <v>47918.79</v>
      </c>
      <c r="AV27" s="26">
        <f t="shared" si="22"/>
        <v>665864.48</v>
      </c>
      <c r="AW27" s="26">
        <f t="shared" si="22"/>
        <v>5051692.58</v>
      </c>
      <c r="AX27" s="26">
        <f t="shared" si="22"/>
        <v>2496157.7200000002</v>
      </c>
      <c r="AY27" s="26">
        <f t="shared" si="22"/>
        <v>1832311.81</v>
      </c>
      <c r="AZ27" s="26">
        <f t="shared" si="22"/>
        <v>100000</v>
      </c>
      <c r="BA27" s="26">
        <f t="shared" si="22"/>
        <v>-3923017.4</v>
      </c>
      <c r="BB27" s="26">
        <f t="shared" si="22"/>
        <v>-497364.9</v>
      </c>
      <c r="BC27" s="26">
        <f t="shared" si="22"/>
        <v>-499893.8</v>
      </c>
      <c r="BD27" s="26">
        <f t="shared" si="22"/>
        <v>0</v>
      </c>
      <c r="BE27" s="26">
        <f t="shared" si="22"/>
        <v>-126753.75</v>
      </c>
      <c r="BF27" s="26">
        <f t="shared" si="22"/>
        <v>344265.81</v>
      </c>
      <c r="BG27" s="26">
        <f t="shared" si="22"/>
        <v>344265.81</v>
      </c>
      <c r="BH27" s="26">
        <f t="shared" si="22"/>
        <v>1026367.48</v>
      </c>
      <c r="BI27" s="26">
        <f t="shared" si="22"/>
        <v>-554425.18000000005</v>
      </c>
      <c r="BJ27" s="26">
        <f t="shared" si="22"/>
        <v>287254.11</v>
      </c>
      <c r="BK27" s="26">
        <f t="shared" si="22"/>
        <v>52424.27</v>
      </c>
      <c r="BL27" s="26">
        <f t="shared" si="22"/>
        <v>265460.88</v>
      </c>
      <c r="BM27" s="26">
        <f t="shared" si="22"/>
        <v>178932.4</v>
      </c>
      <c r="BN27" s="26">
        <f t="shared" si="22"/>
        <v>1871129.6000000001</v>
      </c>
      <c r="BO27" s="26">
        <f t="shared" ref="BO27:CJ27" si="23">SUM(BO22:BO26)</f>
        <v>1511721.55</v>
      </c>
      <c r="BP27" s="26">
        <f t="shared" si="23"/>
        <v>-174029.22</v>
      </c>
      <c r="BQ27" s="26">
        <f t="shared" si="23"/>
        <v>12349967.949999999</v>
      </c>
      <c r="BR27" s="26">
        <f t="shared" si="23"/>
        <v>12720000</v>
      </c>
      <c r="BS27" s="26">
        <f t="shared" si="23"/>
        <v>9766309.1799999997</v>
      </c>
      <c r="BT27" s="26">
        <f t="shared" si="23"/>
        <v>5348519.25</v>
      </c>
      <c r="BU27" s="26">
        <f t="shared" si="23"/>
        <v>2373601.7000000002</v>
      </c>
      <c r="BV27" s="26">
        <f t="shared" si="23"/>
        <v>0</v>
      </c>
      <c r="BW27" s="26">
        <f t="shared" si="23"/>
        <v>0</v>
      </c>
      <c r="BX27" s="26">
        <f t="shared" si="23"/>
        <v>0</v>
      </c>
      <c r="BY27" s="26">
        <f t="shared" si="23"/>
        <v>0</v>
      </c>
      <c r="BZ27" s="26">
        <f t="shared" si="23"/>
        <v>0</v>
      </c>
      <c r="CA27" s="26">
        <f t="shared" si="23"/>
        <v>0</v>
      </c>
      <c r="CB27" s="26">
        <f t="shared" si="23"/>
        <v>0</v>
      </c>
      <c r="CC27" s="26">
        <f t="shared" si="23"/>
        <v>0</v>
      </c>
      <c r="CD27" s="26">
        <f t="shared" si="23"/>
        <v>0</v>
      </c>
      <c r="CE27" s="26">
        <f t="shared" si="23"/>
        <v>7729000</v>
      </c>
      <c r="CF27" s="26">
        <f t="shared" si="23"/>
        <v>2092581.44</v>
      </c>
      <c r="CG27" s="26">
        <f t="shared" si="23"/>
        <v>0</v>
      </c>
      <c r="CH27" s="26">
        <f t="shared" si="23"/>
        <v>0</v>
      </c>
      <c r="CI27" s="26">
        <f t="shared" si="23"/>
        <v>0</v>
      </c>
      <c r="CJ27" s="26">
        <f t="shared" si="23"/>
        <v>0</v>
      </c>
    </row>
    <row r="28" spans="1:89" x14ac:dyDescent="0.25">
      <c r="A28" s="17" t="s">
        <v>406</v>
      </c>
      <c r="B28" s="26">
        <f>SUM(B22:B25)*B41</f>
        <v>1155878.3239370619</v>
      </c>
      <c r="C28" s="26">
        <f t="shared" ref="C28:BN28" si="24">SUM(C22:C25)*C41</f>
        <v>1047511.8713665651</v>
      </c>
      <c r="D28" s="26">
        <f t="shared" si="24"/>
        <v>1072560.776974241</v>
      </c>
      <c r="E28" s="26">
        <f t="shared" si="24"/>
        <v>1601213.8809315586</v>
      </c>
      <c r="F28" s="26">
        <f t="shared" si="24"/>
        <v>908548.14559921552</v>
      </c>
      <c r="G28" s="26">
        <f t="shared" si="24"/>
        <v>505558.7532741272</v>
      </c>
      <c r="H28" s="26">
        <f t="shared" si="24"/>
        <v>151044.35903545856</v>
      </c>
      <c r="I28" s="26">
        <f t="shared" si="24"/>
        <v>248160.62501415607</v>
      </c>
      <c r="J28" s="26">
        <f t="shared" si="24"/>
        <v>15126.68554378617</v>
      </c>
      <c r="K28" s="26">
        <f t="shared" si="24"/>
        <v>9641.8044385301946</v>
      </c>
      <c r="L28" s="26">
        <f t="shared" si="24"/>
        <v>0</v>
      </c>
      <c r="M28" s="26">
        <f t="shared" si="24"/>
        <v>100919.92392245797</v>
      </c>
      <c r="N28" s="26">
        <f t="shared" si="24"/>
        <v>17735.163280964287</v>
      </c>
      <c r="O28" s="26">
        <f t="shared" si="24"/>
        <v>0</v>
      </c>
      <c r="P28" s="26">
        <f t="shared" si="24"/>
        <v>0</v>
      </c>
      <c r="Q28" s="26">
        <f t="shared" si="24"/>
        <v>0</v>
      </c>
      <c r="R28" s="26">
        <f t="shared" si="24"/>
        <v>0</v>
      </c>
      <c r="S28" s="26" t="e">
        <f t="shared" si="24"/>
        <v>#DIV/0!</v>
      </c>
      <c r="T28" s="26">
        <f t="shared" si="24"/>
        <v>0</v>
      </c>
      <c r="U28" s="26">
        <f t="shared" si="24"/>
        <v>2884617750.6504579</v>
      </c>
      <c r="V28" s="26">
        <f t="shared" si="24"/>
        <v>13698263.124861382</v>
      </c>
      <c r="W28" s="26">
        <f t="shared" si="24"/>
        <v>15527171.917019781</v>
      </c>
      <c r="X28" s="26">
        <f t="shared" si="24"/>
        <v>0</v>
      </c>
      <c r="Y28" s="26">
        <f t="shared" si="24"/>
        <v>3300718928.0692587</v>
      </c>
      <c r="Z28" s="26">
        <f t="shared" si="24"/>
        <v>-3853428.6784060374</v>
      </c>
      <c r="AA28" s="26">
        <f t="shared" si="24"/>
        <v>-4224095.0242003426</v>
      </c>
      <c r="AB28" s="26">
        <f t="shared" si="24"/>
        <v>-71017.252496084315</v>
      </c>
      <c r="AC28" s="26">
        <f t="shared" si="24"/>
        <v>2035618779.0631275</v>
      </c>
      <c r="AD28" s="26">
        <f t="shared" si="24"/>
        <v>1957135.5067337472</v>
      </c>
      <c r="AE28" s="26">
        <f t="shared" si="24"/>
        <v>800066.15917448141</v>
      </c>
      <c r="AF28" s="26">
        <f t="shared" si="24"/>
        <v>296517.75056036277</v>
      </c>
      <c r="AG28" s="26">
        <f t="shared" si="24"/>
        <v>1466038453.3129692</v>
      </c>
      <c r="AH28" s="26">
        <f t="shared" si="24"/>
        <v>-39500483.146621741</v>
      </c>
      <c r="AI28" s="26">
        <f t="shared" si="24"/>
        <v>3196164.8913151189</v>
      </c>
      <c r="AJ28" s="26">
        <f t="shared" si="24"/>
        <v>5318090.4260833068</v>
      </c>
      <c r="AK28" s="26">
        <f t="shared" si="24"/>
        <v>6281390.9500576658</v>
      </c>
      <c r="AL28" s="26">
        <f t="shared" si="24"/>
        <v>369093.85581323958</v>
      </c>
      <c r="AM28" s="26">
        <f t="shared" si="24"/>
        <v>-33941901.459973894</v>
      </c>
      <c r="AN28" s="26">
        <f t="shared" si="24"/>
        <v>0</v>
      </c>
      <c r="AO28" s="26">
        <f t="shared" si="24"/>
        <v>5566896.9748163112</v>
      </c>
      <c r="AP28" s="26">
        <f t="shared" si="24"/>
        <v>-5333672.0446992405</v>
      </c>
      <c r="AQ28" s="26">
        <f t="shared" si="24"/>
        <v>-5077628.757440364</v>
      </c>
      <c r="AR28" s="26">
        <f t="shared" si="24"/>
        <v>0</v>
      </c>
      <c r="AS28" s="26">
        <f t="shared" si="24"/>
        <v>23656833.091745093</v>
      </c>
      <c r="AT28" s="26">
        <f t="shared" si="24"/>
        <v>8678777.9360173382</v>
      </c>
      <c r="AU28" s="26">
        <f t="shared" si="24"/>
        <v>736819.25322403584</v>
      </c>
      <c r="AV28" s="26">
        <f t="shared" si="24"/>
        <v>61688651.607207946</v>
      </c>
      <c r="AW28" s="26">
        <f t="shared" si="24"/>
        <v>55145390.309275553</v>
      </c>
      <c r="AX28" s="26">
        <f t="shared" si="24"/>
        <v>45508373.624261901</v>
      </c>
      <c r="AY28" s="26">
        <f t="shared" si="24"/>
        <v>29356178.013127491</v>
      </c>
      <c r="AZ28" s="26">
        <f t="shared" si="24"/>
        <v>9309832.2439196259</v>
      </c>
      <c r="BA28" s="26">
        <f t="shared" si="24"/>
        <v>-73090948.756924793</v>
      </c>
      <c r="BB28" s="26">
        <f t="shared" si="24"/>
        <v>-27506429.935167491</v>
      </c>
      <c r="BC28" s="26">
        <f t="shared" si="24"/>
        <v>-33631480.269690327</v>
      </c>
      <c r="BD28" s="26">
        <f t="shared" si="24"/>
        <v>0</v>
      </c>
      <c r="BE28" s="26">
        <f t="shared" si="24"/>
        <v>-2124937.575135876</v>
      </c>
      <c r="BF28" s="26">
        <f t="shared" si="24"/>
        <v>9312072.4452624731</v>
      </c>
      <c r="BG28" s="26">
        <f t="shared" si="24"/>
        <v>8366746.116974527</v>
      </c>
      <c r="BH28" s="26">
        <f t="shared" si="24"/>
        <v>71846492.365195543</v>
      </c>
      <c r="BI28" s="26">
        <f t="shared" si="24"/>
        <v>-7646059.4073319184</v>
      </c>
      <c r="BJ28" s="26">
        <f t="shared" si="24"/>
        <v>4501387.5492030783</v>
      </c>
      <c r="BK28" s="26">
        <f t="shared" si="24"/>
        <v>1076294.9055382719</v>
      </c>
      <c r="BL28" s="26">
        <f t="shared" si="24"/>
        <v>20306783.817003667</v>
      </c>
      <c r="BM28" s="26">
        <f t="shared" si="24"/>
        <v>1665197.8649603666</v>
      </c>
      <c r="BN28" s="26">
        <f t="shared" si="24"/>
        <v>15118739.805168763</v>
      </c>
      <c r="BO28" s="26">
        <f t="shared" ref="BO28:CJ28" si="25">SUM(BO22:BO25)*BO41</f>
        <v>14558067.407516127</v>
      </c>
      <c r="BP28" s="26">
        <f t="shared" si="25"/>
        <v>-2873431.4174922286</v>
      </c>
      <c r="BQ28" s="26">
        <f t="shared" si="25"/>
        <v>38182185.896003723</v>
      </c>
      <c r="BR28" s="26">
        <f t="shared" si="25"/>
        <v>160590000</v>
      </c>
      <c r="BS28" s="26">
        <f t="shared" si="25"/>
        <v>66687842.606971629</v>
      </c>
      <c r="BT28" s="26">
        <f t="shared" si="25"/>
        <v>68744923.211102709</v>
      </c>
      <c r="BU28" s="26">
        <f t="shared" si="25"/>
        <v>33907235.859668337</v>
      </c>
      <c r="BV28" s="26">
        <f t="shared" si="25"/>
        <v>0</v>
      </c>
      <c r="BW28" s="26">
        <f t="shared" si="25"/>
        <v>0</v>
      </c>
      <c r="BX28" s="26">
        <f t="shared" si="25"/>
        <v>0</v>
      </c>
      <c r="BY28" s="26">
        <f t="shared" si="25"/>
        <v>0</v>
      </c>
      <c r="BZ28" s="26">
        <f t="shared" si="25"/>
        <v>0</v>
      </c>
      <c r="CA28" s="26">
        <f t="shared" si="25"/>
        <v>0</v>
      </c>
      <c r="CB28" s="26">
        <f t="shared" si="25"/>
        <v>0</v>
      </c>
      <c r="CC28" s="26">
        <f t="shared" si="25"/>
        <v>0</v>
      </c>
      <c r="CD28" s="26" t="e">
        <f t="shared" si="25"/>
        <v>#DIV/0!</v>
      </c>
      <c r="CE28" s="26">
        <f t="shared" si="25"/>
        <v>27810000</v>
      </c>
      <c r="CF28" s="26">
        <f t="shared" si="25"/>
        <v>16447145.279999999</v>
      </c>
      <c r="CG28" s="26" t="e">
        <f t="shared" si="25"/>
        <v>#DIV/0!</v>
      </c>
      <c r="CH28" s="26" t="e">
        <f t="shared" si="25"/>
        <v>#DIV/0!</v>
      </c>
      <c r="CI28" s="26" t="e">
        <f t="shared" si="25"/>
        <v>#DIV/0!</v>
      </c>
      <c r="CJ28" s="26" t="e">
        <f t="shared" si="25"/>
        <v>#DIV/0!</v>
      </c>
    </row>
    <row r="29" spans="1:89" s="2" customFormat="1" x14ac:dyDescent="0.25">
      <c r="A29" s="20" t="s">
        <v>407</v>
      </c>
      <c r="B29" s="28">
        <f>B27-B28</f>
        <v>8964115.046062937</v>
      </c>
      <c r="C29" s="28">
        <f t="shared" ref="C29:BN29" si="26">C27-C28</f>
        <v>5279919.7186334347</v>
      </c>
      <c r="D29" s="28">
        <f t="shared" si="26"/>
        <v>3053772.7630257588</v>
      </c>
      <c r="E29" s="28">
        <f t="shared" si="26"/>
        <v>8801456.6290684417</v>
      </c>
      <c r="F29" s="28">
        <f t="shared" si="26"/>
        <v>4686300.214400785</v>
      </c>
      <c r="G29" s="28">
        <f t="shared" si="26"/>
        <v>2346356.8767258725</v>
      </c>
      <c r="H29" s="28">
        <f t="shared" si="26"/>
        <v>606092.64096454147</v>
      </c>
      <c r="I29" s="28">
        <f t="shared" si="26"/>
        <v>1434674.3049858441</v>
      </c>
      <c r="J29" s="28">
        <f t="shared" si="26"/>
        <v>80602.084456213837</v>
      </c>
      <c r="K29" s="28">
        <f t="shared" si="26"/>
        <v>50128.065561469804</v>
      </c>
      <c r="L29" s="28">
        <f t="shared" si="26"/>
        <v>0</v>
      </c>
      <c r="M29" s="28">
        <f t="shared" si="26"/>
        <v>554661.84607754205</v>
      </c>
      <c r="N29" s="28">
        <f t="shared" si="26"/>
        <v>89526.386719035712</v>
      </c>
      <c r="O29" s="28">
        <f t="shared" si="26"/>
        <v>0</v>
      </c>
      <c r="P29" s="28">
        <f t="shared" si="26"/>
        <v>0</v>
      </c>
      <c r="Q29" s="28">
        <f t="shared" si="26"/>
        <v>0</v>
      </c>
      <c r="R29" s="28">
        <f t="shared" si="26"/>
        <v>0</v>
      </c>
      <c r="S29" s="28" t="e">
        <f t="shared" si="26"/>
        <v>#DIV/0!</v>
      </c>
      <c r="T29" s="28">
        <f t="shared" si="26"/>
        <v>0</v>
      </c>
      <c r="U29" s="28">
        <f t="shared" si="26"/>
        <v>-2059656908.2704577</v>
      </c>
      <c r="V29" s="28">
        <f t="shared" si="26"/>
        <v>-9965841.9048613813</v>
      </c>
      <c r="W29" s="28">
        <f t="shared" si="26"/>
        <v>-11794750.69701978</v>
      </c>
      <c r="X29" s="28">
        <f t="shared" si="26"/>
        <v>0</v>
      </c>
      <c r="Y29" s="28">
        <f t="shared" si="26"/>
        <v>-2519663685.3892589</v>
      </c>
      <c r="Z29" s="28">
        <f t="shared" si="26"/>
        <v>2935835.5084060375</v>
      </c>
      <c r="AA29" s="28">
        <f t="shared" si="26"/>
        <v>3239203.4542003428</v>
      </c>
      <c r="AB29" s="28">
        <f t="shared" si="26"/>
        <v>61225.712496084314</v>
      </c>
      <c r="AC29" s="28">
        <f t="shared" si="26"/>
        <v>-1566616671.1131275</v>
      </c>
      <c r="AD29" s="28">
        <f t="shared" si="26"/>
        <v>-1672100.306733747</v>
      </c>
      <c r="AE29" s="28">
        <f t="shared" si="26"/>
        <v>-667057.39917448116</v>
      </c>
      <c r="AF29" s="28">
        <f t="shared" si="26"/>
        <v>-286581.40056036279</v>
      </c>
      <c r="AG29" s="28">
        <f t="shared" si="26"/>
        <v>-1275657589.4929693</v>
      </c>
      <c r="AH29" s="28">
        <f t="shared" si="26"/>
        <v>35994757.72662174</v>
      </c>
      <c r="AI29" s="28">
        <f t="shared" si="26"/>
        <v>-2872470.0213151188</v>
      </c>
      <c r="AJ29" s="28">
        <f t="shared" si="26"/>
        <v>-5191391.8860833067</v>
      </c>
      <c r="AK29" s="28">
        <f t="shared" si="26"/>
        <v>-5672837.9600576665</v>
      </c>
      <c r="AL29" s="28">
        <f t="shared" si="26"/>
        <v>-337957.26581323973</v>
      </c>
      <c r="AM29" s="28">
        <f t="shared" si="26"/>
        <v>31529331.689973895</v>
      </c>
      <c r="AN29" s="28">
        <f t="shared" si="26"/>
        <v>0</v>
      </c>
      <c r="AO29" s="28">
        <f t="shared" si="26"/>
        <v>-3987775.6648163111</v>
      </c>
      <c r="AP29" s="28">
        <f t="shared" si="26"/>
        <v>4404102.5546992403</v>
      </c>
      <c r="AQ29" s="28">
        <f t="shared" si="26"/>
        <v>4148059.2674403638</v>
      </c>
      <c r="AR29" s="28">
        <f t="shared" si="26"/>
        <v>0</v>
      </c>
      <c r="AS29" s="28">
        <f t="shared" si="26"/>
        <v>-20457250.631745093</v>
      </c>
      <c r="AT29" s="28">
        <f t="shared" si="26"/>
        <v>-8122173.6560173379</v>
      </c>
      <c r="AU29" s="28">
        <f t="shared" si="26"/>
        <v>-688900.4632240358</v>
      </c>
      <c r="AV29" s="28">
        <f t="shared" si="26"/>
        <v>-61022787.12720795</v>
      </c>
      <c r="AW29" s="28">
        <f t="shared" si="26"/>
        <v>-50093697.729275554</v>
      </c>
      <c r="AX29" s="28">
        <f t="shared" si="26"/>
        <v>-43012215.904261902</v>
      </c>
      <c r="AY29" s="28">
        <f t="shared" si="26"/>
        <v>-27523866.203127492</v>
      </c>
      <c r="AZ29" s="28">
        <f t="shared" si="26"/>
        <v>-9209832.2439196259</v>
      </c>
      <c r="BA29" s="28">
        <f t="shared" si="26"/>
        <v>69167931.356924787</v>
      </c>
      <c r="BB29" s="28">
        <f t="shared" si="26"/>
        <v>27009065.035167493</v>
      </c>
      <c r="BC29" s="28">
        <f t="shared" si="26"/>
        <v>33131586.469690327</v>
      </c>
      <c r="BD29" s="28">
        <f t="shared" si="26"/>
        <v>0</v>
      </c>
      <c r="BE29" s="28">
        <f t="shared" si="26"/>
        <v>1998183.825135876</v>
      </c>
      <c r="BF29" s="28">
        <f t="shared" si="26"/>
        <v>-8967806.6352624726</v>
      </c>
      <c r="BG29" s="28">
        <f t="shared" si="26"/>
        <v>-8022480.3069745274</v>
      </c>
      <c r="BH29" s="28">
        <f t="shared" si="26"/>
        <v>-70820124.885195538</v>
      </c>
      <c r="BI29" s="28">
        <f t="shared" si="26"/>
        <v>7091634.2273319187</v>
      </c>
      <c r="BJ29" s="28">
        <f t="shared" si="26"/>
        <v>-4214133.4392030779</v>
      </c>
      <c r="BK29" s="28">
        <f t="shared" si="26"/>
        <v>-1023870.6355382719</v>
      </c>
      <c r="BL29" s="28">
        <f t="shared" si="26"/>
        <v>-20041322.937003668</v>
      </c>
      <c r="BM29" s="28">
        <f t="shared" si="26"/>
        <v>-1486265.4649603667</v>
      </c>
      <c r="BN29" s="28">
        <f t="shared" si="26"/>
        <v>-13247610.205168763</v>
      </c>
      <c r="BO29" s="28">
        <f t="shared" ref="BO29:CK29" si="27">BO27-BO28</f>
        <v>-13046345.857516127</v>
      </c>
      <c r="BP29" s="28">
        <f t="shared" si="27"/>
        <v>2699402.1974922284</v>
      </c>
      <c r="BQ29" s="28">
        <f t="shared" si="27"/>
        <v>-25832217.946003724</v>
      </c>
      <c r="BR29" s="28">
        <f t="shared" si="27"/>
        <v>-147870000</v>
      </c>
      <c r="BS29" s="28">
        <f t="shared" si="27"/>
        <v>-56921533.426971629</v>
      </c>
      <c r="BT29" s="28">
        <f t="shared" si="27"/>
        <v>-63396403.961102709</v>
      </c>
      <c r="BU29" s="28">
        <f t="shared" si="27"/>
        <v>-31533634.159668338</v>
      </c>
      <c r="BV29" s="28">
        <f t="shared" si="27"/>
        <v>0</v>
      </c>
      <c r="BW29" s="28">
        <f t="shared" si="27"/>
        <v>0</v>
      </c>
      <c r="BX29" s="28">
        <f t="shared" si="27"/>
        <v>0</v>
      </c>
      <c r="BY29" s="28">
        <f t="shared" si="27"/>
        <v>0</v>
      </c>
      <c r="BZ29" s="28">
        <f t="shared" si="27"/>
        <v>0</v>
      </c>
      <c r="CA29" s="28">
        <f t="shared" si="27"/>
        <v>0</v>
      </c>
      <c r="CB29" s="28">
        <f t="shared" si="27"/>
        <v>0</v>
      </c>
      <c r="CC29" s="28">
        <f t="shared" si="27"/>
        <v>0</v>
      </c>
      <c r="CD29" s="28" t="e">
        <f t="shared" si="27"/>
        <v>#DIV/0!</v>
      </c>
      <c r="CE29" s="28">
        <f t="shared" si="27"/>
        <v>-20081000</v>
      </c>
      <c r="CF29" s="28">
        <f t="shared" si="27"/>
        <v>-14354563.84</v>
      </c>
      <c r="CG29" s="28" t="e">
        <f t="shared" si="27"/>
        <v>#DIV/0!</v>
      </c>
      <c r="CH29" s="28" t="e">
        <f t="shared" si="27"/>
        <v>#DIV/0!</v>
      </c>
      <c r="CI29" s="28" t="e">
        <f t="shared" si="27"/>
        <v>#DIV/0!</v>
      </c>
      <c r="CJ29" s="28" t="e">
        <f t="shared" si="27"/>
        <v>#DIV/0!</v>
      </c>
      <c r="CK29" s="28">
        <f t="shared" si="27"/>
        <v>0</v>
      </c>
    </row>
    <row r="30" spans="1:89" s="16" customFormat="1" x14ac:dyDescent="0.25">
      <c r="A30" s="18" t="s">
        <v>88</v>
      </c>
      <c r="B30" s="30"/>
      <c r="C30" s="30"/>
      <c r="D30" s="30"/>
      <c r="E30" s="30"/>
      <c r="F30" s="30"/>
      <c r="G30" s="30"/>
      <c r="H30" s="30"/>
      <c r="I30" s="30"/>
      <c r="J30" s="30"/>
      <c r="K30" s="30"/>
    </row>
    <row r="31" spans="1:89" x14ac:dyDescent="0.25">
      <c r="A31" s="17" t="s">
        <v>408</v>
      </c>
      <c r="B31" s="26">
        <f>B15+B20+B27</f>
        <v>209467267.27000001</v>
      </c>
      <c r="C31" s="26">
        <f t="shared" ref="C31:BN31" si="28">C15+C20+C27</f>
        <v>88752181.079999998</v>
      </c>
      <c r="D31" s="26">
        <f t="shared" si="28"/>
        <v>19589517.650000006</v>
      </c>
      <c r="E31" s="26">
        <f t="shared" si="28"/>
        <v>166254087.90000001</v>
      </c>
      <c r="F31" s="26">
        <f t="shared" si="28"/>
        <v>123974008.48000005</v>
      </c>
      <c r="G31" s="26">
        <f t="shared" si="28"/>
        <v>68565731.800000012</v>
      </c>
      <c r="H31" s="26">
        <f t="shared" si="28"/>
        <v>21351904.00999999</v>
      </c>
      <c r="I31" s="26">
        <f t="shared" si="28"/>
        <v>154464604.63999996</v>
      </c>
      <c r="J31" s="26">
        <f t="shared" si="28"/>
        <v>114236527.72000003</v>
      </c>
      <c r="K31" s="26">
        <f t="shared" si="28"/>
        <v>59553780.909999989</v>
      </c>
      <c r="L31" s="26">
        <f t="shared" si="28"/>
        <v>11857340.220000006</v>
      </c>
      <c r="M31" s="26">
        <f t="shared" si="28"/>
        <v>139508536.5</v>
      </c>
      <c r="N31" s="26">
        <f t="shared" si="28"/>
        <v>98734106.919999972</v>
      </c>
      <c r="O31" s="26">
        <f t="shared" si="28"/>
        <v>121681477.87000003</v>
      </c>
      <c r="P31" s="26">
        <f t="shared" si="28"/>
        <v>111732572.96000004</v>
      </c>
      <c r="Q31" s="26">
        <f t="shared" si="28"/>
        <v>96611045.13000001</v>
      </c>
      <c r="R31" s="26">
        <f t="shared" si="28"/>
        <v>83600165.599999994</v>
      </c>
      <c r="S31" s="26">
        <f t="shared" si="28"/>
        <v>0</v>
      </c>
      <c r="T31" s="26">
        <f t="shared" si="28"/>
        <v>0</v>
      </c>
      <c r="U31" s="26">
        <f t="shared" si="28"/>
        <v>830830320.38</v>
      </c>
      <c r="V31" s="26">
        <f t="shared" si="28"/>
        <v>3732421.22</v>
      </c>
      <c r="W31" s="26">
        <f t="shared" si="28"/>
        <v>3732421.22</v>
      </c>
      <c r="X31" s="26">
        <f t="shared" si="28"/>
        <v>0</v>
      </c>
      <c r="Y31" s="26">
        <f t="shared" si="28"/>
        <v>793102067.42999995</v>
      </c>
      <c r="Z31" s="26">
        <f t="shared" si="28"/>
        <v>-917593.17</v>
      </c>
      <c r="AA31" s="26">
        <f t="shared" si="28"/>
        <v>-984891.57</v>
      </c>
      <c r="AB31" s="26">
        <f t="shared" si="28"/>
        <v>-9791.5400000000009</v>
      </c>
      <c r="AC31" s="26">
        <f t="shared" si="28"/>
        <v>477256150.63999999</v>
      </c>
      <c r="AD31" s="26">
        <f t="shared" si="28"/>
        <v>285035.20000000019</v>
      </c>
      <c r="AE31" s="26">
        <f t="shared" si="28"/>
        <v>133008.76000000024</v>
      </c>
      <c r="AF31" s="26">
        <f t="shared" si="28"/>
        <v>9936.35</v>
      </c>
      <c r="AG31" s="26">
        <f t="shared" si="28"/>
        <v>193302959.94</v>
      </c>
      <c r="AH31" s="26">
        <f t="shared" si="28"/>
        <v>-3505725.42</v>
      </c>
      <c r="AI31" s="26">
        <f t="shared" si="28"/>
        <v>323694.87000000011</v>
      </c>
      <c r="AJ31" s="26">
        <f t="shared" si="28"/>
        <v>126698.54</v>
      </c>
      <c r="AK31" s="26">
        <f t="shared" si="28"/>
        <v>608552.98999999976</v>
      </c>
      <c r="AL31" s="26">
        <f t="shared" si="28"/>
        <v>31136.589999999851</v>
      </c>
      <c r="AM31" s="26">
        <f t="shared" si="28"/>
        <v>-2412569.77</v>
      </c>
      <c r="AN31" s="26">
        <f t="shared" si="28"/>
        <v>0</v>
      </c>
      <c r="AO31" s="26">
        <f t="shared" si="28"/>
        <v>1579121.31</v>
      </c>
      <c r="AP31" s="26">
        <f t="shared" si="28"/>
        <v>-929569.49</v>
      </c>
      <c r="AQ31" s="26">
        <f t="shared" si="28"/>
        <v>-929569.49</v>
      </c>
      <c r="AR31" s="26">
        <f t="shared" si="28"/>
        <v>0</v>
      </c>
      <c r="AS31" s="26">
        <f t="shared" si="28"/>
        <v>3199582.46</v>
      </c>
      <c r="AT31" s="26">
        <f t="shared" si="28"/>
        <v>556604.28</v>
      </c>
      <c r="AU31" s="26">
        <f t="shared" si="28"/>
        <v>47918.79</v>
      </c>
      <c r="AV31" s="26">
        <f t="shared" si="28"/>
        <v>665864.48</v>
      </c>
      <c r="AW31" s="26">
        <f t="shared" si="28"/>
        <v>5051692.58</v>
      </c>
      <c r="AX31" s="26">
        <f t="shared" si="28"/>
        <v>2496157.7200000002</v>
      </c>
      <c r="AY31" s="26">
        <f t="shared" si="28"/>
        <v>1832311.81</v>
      </c>
      <c r="AZ31" s="26">
        <f t="shared" si="28"/>
        <v>100000</v>
      </c>
      <c r="BA31" s="26">
        <f t="shared" si="28"/>
        <v>-3923017.4</v>
      </c>
      <c r="BB31" s="26">
        <f t="shared" si="28"/>
        <v>-497364.9</v>
      </c>
      <c r="BC31" s="26">
        <f t="shared" si="28"/>
        <v>-499893.8</v>
      </c>
      <c r="BD31" s="26">
        <f t="shared" si="28"/>
        <v>0</v>
      </c>
      <c r="BE31" s="26">
        <f t="shared" si="28"/>
        <v>-126753.75</v>
      </c>
      <c r="BF31" s="26">
        <f t="shared" si="28"/>
        <v>344265.81</v>
      </c>
      <c r="BG31" s="26">
        <f t="shared" si="28"/>
        <v>344265.81</v>
      </c>
      <c r="BH31" s="26">
        <f t="shared" si="28"/>
        <v>1026367.48</v>
      </c>
      <c r="BI31" s="26">
        <f t="shared" si="28"/>
        <v>-554425.18000000005</v>
      </c>
      <c r="BJ31" s="26">
        <f t="shared" si="28"/>
        <v>287254.11</v>
      </c>
      <c r="BK31" s="26">
        <f t="shared" si="28"/>
        <v>52424.27</v>
      </c>
      <c r="BL31" s="26">
        <f t="shared" si="28"/>
        <v>265460.88</v>
      </c>
      <c r="BM31" s="26">
        <f t="shared" si="28"/>
        <v>178932.4</v>
      </c>
      <c r="BN31" s="26">
        <f t="shared" si="28"/>
        <v>1871129.6000000001</v>
      </c>
      <c r="BO31" s="26">
        <f t="shared" ref="BO31:CJ31" si="29">BO15+BO20+BO27</f>
        <v>1511721.55</v>
      </c>
      <c r="BP31" s="26">
        <f t="shared" si="29"/>
        <v>-174029.22</v>
      </c>
      <c r="BQ31" s="26">
        <f t="shared" si="29"/>
        <v>12349967.949999999</v>
      </c>
      <c r="BR31" s="26">
        <f t="shared" si="29"/>
        <v>12720000</v>
      </c>
      <c r="BS31" s="26">
        <f t="shared" si="29"/>
        <v>9766309.1799999997</v>
      </c>
      <c r="BT31" s="26">
        <f t="shared" si="29"/>
        <v>5348519.25</v>
      </c>
      <c r="BU31" s="26">
        <f t="shared" si="29"/>
        <v>2373601.7000000002</v>
      </c>
      <c r="BV31" s="26">
        <f t="shared" si="29"/>
        <v>0</v>
      </c>
      <c r="BW31" s="26">
        <f t="shared" si="29"/>
        <v>0</v>
      </c>
      <c r="BX31" s="26">
        <f t="shared" si="29"/>
        <v>0</v>
      </c>
      <c r="BY31" s="26">
        <f t="shared" si="29"/>
        <v>0</v>
      </c>
      <c r="BZ31" s="26">
        <f t="shared" si="29"/>
        <v>0</v>
      </c>
      <c r="CA31" s="26">
        <f t="shared" si="29"/>
        <v>0</v>
      </c>
      <c r="CB31" s="26">
        <f t="shared" si="29"/>
        <v>0</v>
      </c>
      <c r="CC31" s="26">
        <f t="shared" si="29"/>
        <v>0</v>
      </c>
      <c r="CD31" s="26">
        <f t="shared" si="29"/>
        <v>0</v>
      </c>
      <c r="CE31" s="26">
        <f t="shared" si="29"/>
        <v>7729000</v>
      </c>
      <c r="CF31" s="26">
        <f t="shared" si="29"/>
        <v>2092581.44</v>
      </c>
      <c r="CG31" s="26">
        <f t="shared" si="29"/>
        <v>0</v>
      </c>
      <c r="CH31" s="26">
        <f t="shared" si="29"/>
        <v>0</v>
      </c>
      <c r="CI31" s="26">
        <f t="shared" si="29"/>
        <v>0</v>
      </c>
      <c r="CJ31" s="26">
        <f t="shared" si="29"/>
        <v>0</v>
      </c>
    </row>
    <row r="32" spans="1:89" s="57" customFormat="1" x14ac:dyDescent="0.25">
      <c r="A32" s="57" t="s">
        <v>409</v>
      </c>
      <c r="B32" s="57">
        <f>B31/B4*100</f>
        <v>33.426546822311963</v>
      </c>
      <c r="C32" s="57">
        <f t="shared" ref="C32:D32" si="30">C31/C4*100</f>
        <v>22.590372366796338</v>
      </c>
      <c r="D32" s="57">
        <f t="shared" si="30"/>
        <v>11.365828152921717</v>
      </c>
      <c r="E32" s="57">
        <f>E31/E4</f>
        <v>0.22096240780960927</v>
      </c>
      <c r="F32" s="57">
        <f t="shared" ref="F32:BQ32" si="31">F31/F4</f>
        <v>0.2357938161829467</v>
      </c>
      <c r="G32" s="57">
        <f t="shared" si="31"/>
        <v>0.20179998639159474</v>
      </c>
      <c r="H32" s="57">
        <f t="shared" si="31"/>
        <v>0.13891864284186209</v>
      </c>
      <c r="I32" s="57">
        <f t="shared" si="31"/>
        <v>0.23227361159850929</v>
      </c>
      <c r="J32" s="57">
        <f t="shared" si="31"/>
        <v>0.25161791760811975</v>
      </c>
      <c r="K32" s="57">
        <f t="shared" si="31"/>
        <v>0.21024621274883967</v>
      </c>
      <c r="L32" s="57">
        <f t="shared" si="31"/>
        <v>9.5390858381427704E-2</v>
      </c>
      <c r="M32" s="57">
        <f t="shared" si="31"/>
        <v>0.23366781761171718</v>
      </c>
      <c r="N32" s="57">
        <f t="shared" si="31"/>
        <v>0.2411234567034678</v>
      </c>
      <c r="O32" s="57">
        <f t="shared" si="31"/>
        <v>0.23010448239094775</v>
      </c>
      <c r="P32" s="57">
        <f t="shared" si="31"/>
        <v>0.23042017511296525</v>
      </c>
      <c r="Q32" s="57">
        <f t="shared" si="31"/>
        <v>0.24421779960748016</v>
      </c>
      <c r="R32" s="57">
        <f t="shared" si="31"/>
        <v>0.26381320271879261</v>
      </c>
      <c r="S32" s="57" t="e">
        <f t="shared" si="31"/>
        <v>#DIV/0!</v>
      </c>
      <c r="T32" s="57" t="e">
        <f t="shared" si="31"/>
        <v>#DIV/0!</v>
      </c>
      <c r="U32" s="57" t="e">
        <f t="shared" si="31"/>
        <v>#DIV/0!</v>
      </c>
      <c r="V32" s="57" t="e">
        <f t="shared" si="31"/>
        <v>#DIV/0!</v>
      </c>
      <c r="W32" s="57" t="e">
        <f t="shared" si="31"/>
        <v>#DIV/0!</v>
      </c>
      <c r="X32" s="57" t="e">
        <f t="shared" si="31"/>
        <v>#DIV/0!</v>
      </c>
      <c r="Y32" s="57" t="e">
        <f t="shared" si="31"/>
        <v>#DIV/0!</v>
      </c>
      <c r="Z32" s="57" t="e">
        <f t="shared" si="31"/>
        <v>#DIV/0!</v>
      </c>
      <c r="AA32" s="57" t="e">
        <f t="shared" si="31"/>
        <v>#DIV/0!</v>
      </c>
      <c r="AB32" s="57" t="e">
        <f t="shared" si="31"/>
        <v>#DIV/0!</v>
      </c>
      <c r="AC32" s="57" t="e">
        <f t="shared" si="31"/>
        <v>#DIV/0!</v>
      </c>
      <c r="AD32" s="57" t="e">
        <f t="shared" si="31"/>
        <v>#DIV/0!</v>
      </c>
      <c r="AE32" s="57" t="e">
        <f t="shared" si="31"/>
        <v>#DIV/0!</v>
      </c>
      <c r="AF32" s="57" t="e">
        <f t="shared" si="31"/>
        <v>#DIV/0!</v>
      </c>
      <c r="AG32" s="57" t="e">
        <f t="shared" si="31"/>
        <v>#DIV/0!</v>
      </c>
      <c r="AH32" s="57" t="e">
        <f t="shared" si="31"/>
        <v>#DIV/0!</v>
      </c>
      <c r="AI32" s="57" t="e">
        <f t="shared" si="31"/>
        <v>#DIV/0!</v>
      </c>
      <c r="AJ32" s="57" t="e">
        <f t="shared" si="31"/>
        <v>#DIV/0!</v>
      </c>
      <c r="AK32" s="57" t="e">
        <f t="shared" si="31"/>
        <v>#DIV/0!</v>
      </c>
      <c r="AL32" s="57" t="e">
        <f t="shared" si="31"/>
        <v>#DIV/0!</v>
      </c>
      <c r="AM32" s="57" t="e">
        <f t="shared" si="31"/>
        <v>#DIV/0!</v>
      </c>
      <c r="AN32" s="57" t="e">
        <f t="shared" si="31"/>
        <v>#DIV/0!</v>
      </c>
      <c r="AO32" s="57" t="e">
        <f t="shared" si="31"/>
        <v>#DIV/0!</v>
      </c>
      <c r="AP32" s="57" t="e">
        <f t="shared" si="31"/>
        <v>#DIV/0!</v>
      </c>
      <c r="AQ32" s="57" t="e">
        <f t="shared" si="31"/>
        <v>#DIV/0!</v>
      </c>
      <c r="AR32" s="57" t="e">
        <f t="shared" si="31"/>
        <v>#DIV/0!</v>
      </c>
      <c r="AS32" s="57" t="e">
        <f t="shared" si="31"/>
        <v>#DIV/0!</v>
      </c>
      <c r="AT32" s="57" t="e">
        <f t="shared" si="31"/>
        <v>#DIV/0!</v>
      </c>
      <c r="AU32" s="57" t="e">
        <f t="shared" si="31"/>
        <v>#DIV/0!</v>
      </c>
      <c r="AV32" s="57" t="e">
        <f t="shared" si="31"/>
        <v>#DIV/0!</v>
      </c>
      <c r="AW32" s="57" t="e">
        <f t="shared" si="31"/>
        <v>#DIV/0!</v>
      </c>
      <c r="AX32" s="57" t="e">
        <f t="shared" si="31"/>
        <v>#DIV/0!</v>
      </c>
      <c r="AY32" s="57" t="e">
        <f t="shared" si="31"/>
        <v>#DIV/0!</v>
      </c>
      <c r="AZ32" s="57" t="e">
        <f t="shared" si="31"/>
        <v>#DIV/0!</v>
      </c>
      <c r="BA32" s="57" t="e">
        <f t="shared" si="31"/>
        <v>#DIV/0!</v>
      </c>
      <c r="BB32" s="57" t="e">
        <f t="shared" si="31"/>
        <v>#DIV/0!</v>
      </c>
      <c r="BC32" s="57" t="e">
        <f t="shared" si="31"/>
        <v>#DIV/0!</v>
      </c>
      <c r="BD32" s="57" t="e">
        <f t="shared" si="31"/>
        <v>#DIV/0!</v>
      </c>
      <c r="BE32" s="57" t="e">
        <f t="shared" si="31"/>
        <v>#DIV/0!</v>
      </c>
      <c r="BF32" s="57" t="e">
        <f t="shared" si="31"/>
        <v>#DIV/0!</v>
      </c>
      <c r="BG32" s="57" t="e">
        <f t="shared" si="31"/>
        <v>#DIV/0!</v>
      </c>
      <c r="BH32" s="57" t="e">
        <f t="shared" si="31"/>
        <v>#DIV/0!</v>
      </c>
      <c r="BI32" s="57" t="e">
        <f t="shared" si="31"/>
        <v>#DIV/0!</v>
      </c>
      <c r="BJ32" s="57" t="e">
        <f t="shared" si="31"/>
        <v>#DIV/0!</v>
      </c>
      <c r="BK32" s="57" t="e">
        <f t="shared" si="31"/>
        <v>#DIV/0!</v>
      </c>
      <c r="BL32" s="57" t="e">
        <f t="shared" si="31"/>
        <v>#DIV/0!</v>
      </c>
      <c r="BM32" s="57" t="e">
        <f t="shared" si="31"/>
        <v>#DIV/0!</v>
      </c>
      <c r="BN32" s="57" t="e">
        <f t="shared" si="31"/>
        <v>#DIV/0!</v>
      </c>
      <c r="BO32" s="57" t="e">
        <f t="shared" si="31"/>
        <v>#DIV/0!</v>
      </c>
      <c r="BP32" s="57" t="e">
        <f t="shared" si="31"/>
        <v>#DIV/0!</v>
      </c>
      <c r="BQ32" s="57" t="e">
        <f t="shared" si="31"/>
        <v>#DIV/0!</v>
      </c>
      <c r="BR32" s="57" t="e">
        <f t="shared" ref="BR32:CK32" si="32">BR31/BR4</f>
        <v>#DIV/0!</v>
      </c>
      <c r="BS32" s="57" t="e">
        <f t="shared" si="32"/>
        <v>#DIV/0!</v>
      </c>
      <c r="BT32" s="57" t="e">
        <f t="shared" si="32"/>
        <v>#DIV/0!</v>
      </c>
      <c r="BU32" s="57" t="e">
        <f t="shared" si="32"/>
        <v>#DIV/0!</v>
      </c>
      <c r="BV32" s="57" t="e">
        <f t="shared" si="32"/>
        <v>#DIV/0!</v>
      </c>
      <c r="BW32" s="57" t="e">
        <f t="shared" si="32"/>
        <v>#DIV/0!</v>
      </c>
      <c r="BX32" s="57" t="e">
        <f t="shared" si="32"/>
        <v>#DIV/0!</v>
      </c>
      <c r="BY32" s="57" t="e">
        <f t="shared" si="32"/>
        <v>#DIV/0!</v>
      </c>
      <c r="BZ32" s="57" t="e">
        <f t="shared" si="32"/>
        <v>#DIV/0!</v>
      </c>
      <c r="CA32" s="57" t="e">
        <f t="shared" si="32"/>
        <v>#DIV/0!</v>
      </c>
      <c r="CB32" s="57" t="e">
        <f t="shared" si="32"/>
        <v>#DIV/0!</v>
      </c>
      <c r="CC32" s="57" t="e">
        <f t="shared" si="32"/>
        <v>#DIV/0!</v>
      </c>
      <c r="CD32" s="57" t="e">
        <f t="shared" si="32"/>
        <v>#DIV/0!</v>
      </c>
      <c r="CE32" s="57" t="e">
        <f t="shared" si="32"/>
        <v>#DIV/0!</v>
      </c>
      <c r="CF32" s="57" t="e">
        <f t="shared" si="32"/>
        <v>#DIV/0!</v>
      </c>
      <c r="CG32" s="57" t="e">
        <f t="shared" si="32"/>
        <v>#DIV/0!</v>
      </c>
      <c r="CH32" s="57" t="e">
        <f t="shared" si="32"/>
        <v>#DIV/0!</v>
      </c>
      <c r="CI32" s="57" t="e">
        <f t="shared" si="32"/>
        <v>#DIV/0!</v>
      </c>
      <c r="CJ32" s="57" t="e">
        <f t="shared" si="32"/>
        <v>#DIV/0!</v>
      </c>
      <c r="CK32" s="57" t="e">
        <f t="shared" si="32"/>
        <v>#DIV/0!</v>
      </c>
    </row>
    <row r="33" spans="1:89" x14ac:dyDescent="0.25">
      <c r="A33" s="17" t="s">
        <v>410</v>
      </c>
      <c r="B33" s="26">
        <f>B17+B20+B29</f>
        <v>185542481.45645711</v>
      </c>
      <c r="C33" s="26">
        <f t="shared" ref="C33:BN33" si="33">C17+C20+C29</f>
        <v>74059179.351161852</v>
      </c>
      <c r="D33" s="26">
        <f t="shared" si="33"/>
        <v>14497600.560031896</v>
      </c>
      <c r="E33" s="26">
        <f t="shared" si="33"/>
        <v>140663701.94562498</v>
      </c>
      <c r="F33" s="26">
        <f t="shared" si="33"/>
        <v>103841853.27946027</v>
      </c>
      <c r="G33" s="26">
        <f t="shared" si="33"/>
        <v>56411092.468633749</v>
      </c>
      <c r="H33" s="26">
        <f t="shared" si="33"/>
        <v>17092325.287289191</v>
      </c>
      <c r="I33" s="26">
        <f t="shared" si="33"/>
        <v>131686355.77751236</v>
      </c>
      <c r="J33" s="26">
        <f t="shared" si="33"/>
        <v>96185318.742443427</v>
      </c>
      <c r="K33" s="26">
        <f t="shared" si="33"/>
        <v>49946834.983744964</v>
      </c>
      <c r="L33" s="26">
        <f t="shared" si="33"/>
        <v>9641952.0730275512</v>
      </c>
      <c r="M33" s="26">
        <f t="shared" si="33"/>
        <v>118032663.41385019</v>
      </c>
      <c r="N33" s="26">
        <f t="shared" si="33"/>
        <v>82408913.89765054</v>
      </c>
      <c r="O33" s="26">
        <f t="shared" si="33"/>
        <v>103006179.04089503</v>
      </c>
      <c r="P33" s="26">
        <f t="shared" si="33"/>
        <v>93171734.136197031</v>
      </c>
      <c r="Q33" s="26">
        <f t="shared" si="33"/>
        <v>78570681.575730503</v>
      </c>
      <c r="R33" s="26">
        <f t="shared" si="33"/>
        <v>69095138.258024842</v>
      </c>
      <c r="S33" s="26" t="e">
        <f t="shared" si="33"/>
        <v>#DIV/0!</v>
      </c>
      <c r="T33" s="26">
        <f t="shared" si="33"/>
        <v>0</v>
      </c>
      <c r="U33" s="26">
        <f t="shared" si="33"/>
        <v>-2074311071.5829425</v>
      </c>
      <c r="V33" s="26">
        <f t="shared" si="33"/>
        <v>-9965841.9048613813</v>
      </c>
      <c r="W33" s="26">
        <f t="shared" si="33"/>
        <v>-11794750.69701978</v>
      </c>
      <c r="X33" s="26">
        <f t="shared" si="33"/>
        <v>0</v>
      </c>
      <c r="Y33" s="26">
        <f t="shared" si="33"/>
        <v>-2558526425.4211564</v>
      </c>
      <c r="Z33" s="26">
        <f t="shared" si="33"/>
        <v>2935835.5084060375</v>
      </c>
      <c r="AA33" s="26">
        <f t="shared" si="33"/>
        <v>3239203.4542003428</v>
      </c>
      <c r="AB33" s="26">
        <f t="shared" si="33"/>
        <v>61225.712496084314</v>
      </c>
      <c r="AC33" s="26">
        <f t="shared" si="33"/>
        <v>-1594187807.0697532</v>
      </c>
      <c r="AD33" s="26">
        <f t="shared" si="33"/>
        <v>-1672100.306733747</v>
      </c>
      <c r="AE33" s="26">
        <f t="shared" si="33"/>
        <v>-667057.39917448116</v>
      </c>
      <c r="AF33" s="26">
        <f t="shared" si="33"/>
        <v>-286581.40056036279</v>
      </c>
      <c r="AG33" s="26">
        <f t="shared" si="33"/>
        <v>-1295237257.4171064</v>
      </c>
      <c r="AH33" s="26">
        <f t="shared" si="33"/>
        <v>35994757.72662174</v>
      </c>
      <c r="AI33" s="26">
        <f t="shared" si="33"/>
        <v>-2872470.0213151188</v>
      </c>
      <c r="AJ33" s="26">
        <f t="shared" si="33"/>
        <v>-5191391.8860833067</v>
      </c>
      <c r="AK33" s="26">
        <f t="shared" si="33"/>
        <v>-5672837.9600576665</v>
      </c>
      <c r="AL33" s="26">
        <f t="shared" si="33"/>
        <v>-337957.26581323973</v>
      </c>
      <c r="AM33" s="26">
        <f t="shared" si="33"/>
        <v>31529331.689973895</v>
      </c>
      <c r="AN33" s="26">
        <f t="shared" si="33"/>
        <v>0</v>
      </c>
      <c r="AO33" s="26">
        <f t="shared" si="33"/>
        <v>-3987775.6648163111</v>
      </c>
      <c r="AP33" s="26">
        <f t="shared" si="33"/>
        <v>4404102.5546992403</v>
      </c>
      <c r="AQ33" s="26">
        <f t="shared" si="33"/>
        <v>4148059.2674403638</v>
      </c>
      <c r="AR33" s="26">
        <f t="shared" si="33"/>
        <v>0</v>
      </c>
      <c r="AS33" s="26">
        <f t="shared" si="33"/>
        <v>-20457250.631745093</v>
      </c>
      <c r="AT33" s="26">
        <f t="shared" si="33"/>
        <v>-8122173.6560173379</v>
      </c>
      <c r="AU33" s="26">
        <f t="shared" si="33"/>
        <v>-688900.4632240358</v>
      </c>
      <c r="AV33" s="26">
        <f t="shared" si="33"/>
        <v>-61022787.12720795</v>
      </c>
      <c r="AW33" s="26">
        <f t="shared" si="33"/>
        <v>-50093697.729275554</v>
      </c>
      <c r="AX33" s="26">
        <f t="shared" si="33"/>
        <v>-43012215.904261902</v>
      </c>
      <c r="AY33" s="26">
        <f t="shared" si="33"/>
        <v>-27523866.203127492</v>
      </c>
      <c r="AZ33" s="26">
        <f t="shared" si="33"/>
        <v>-9209832.2439196259</v>
      </c>
      <c r="BA33" s="26">
        <f t="shared" si="33"/>
        <v>69167931.356924787</v>
      </c>
      <c r="BB33" s="26">
        <f t="shared" si="33"/>
        <v>27009065.035167493</v>
      </c>
      <c r="BC33" s="26">
        <f t="shared" si="33"/>
        <v>33131586.469690327</v>
      </c>
      <c r="BD33" s="26">
        <f t="shared" si="33"/>
        <v>0</v>
      </c>
      <c r="BE33" s="26">
        <f t="shared" si="33"/>
        <v>1998183.825135876</v>
      </c>
      <c r="BF33" s="26">
        <f t="shared" si="33"/>
        <v>-8967806.6352624726</v>
      </c>
      <c r="BG33" s="26">
        <f t="shared" si="33"/>
        <v>-8022480.3069745274</v>
      </c>
      <c r="BH33" s="26">
        <f t="shared" si="33"/>
        <v>-70820124.885195538</v>
      </c>
      <c r="BI33" s="26">
        <f t="shared" si="33"/>
        <v>7091634.2273319187</v>
      </c>
      <c r="BJ33" s="26">
        <f t="shared" si="33"/>
        <v>-4214133.4392030779</v>
      </c>
      <c r="BK33" s="26">
        <f t="shared" si="33"/>
        <v>-1023870.6355382719</v>
      </c>
      <c r="BL33" s="26">
        <f t="shared" si="33"/>
        <v>-20041322.937003668</v>
      </c>
      <c r="BM33" s="26">
        <f t="shared" si="33"/>
        <v>-1486265.4649603667</v>
      </c>
      <c r="BN33" s="26">
        <f t="shared" si="33"/>
        <v>-13247610.205168763</v>
      </c>
      <c r="BO33" s="26">
        <f t="shared" ref="BO33:CJ33" si="34">BO17+BO20+BO29</f>
        <v>-13046345.857516127</v>
      </c>
      <c r="BP33" s="26">
        <f t="shared" si="34"/>
        <v>2699402.1974922284</v>
      </c>
      <c r="BQ33" s="26">
        <f t="shared" si="34"/>
        <v>-25832217.946003724</v>
      </c>
      <c r="BR33" s="26">
        <f t="shared" si="34"/>
        <v>-147870000</v>
      </c>
      <c r="BS33" s="26">
        <f t="shared" si="34"/>
        <v>-56921533.426971629</v>
      </c>
      <c r="BT33" s="26">
        <f t="shared" si="34"/>
        <v>-63396403.961102709</v>
      </c>
      <c r="BU33" s="26">
        <f t="shared" si="34"/>
        <v>-31533634.159668338</v>
      </c>
      <c r="BV33" s="26">
        <f t="shared" si="34"/>
        <v>0</v>
      </c>
      <c r="BW33" s="26">
        <f t="shared" si="34"/>
        <v>0</v>
      </c>
      <c r="BX33" s="26">
        <f t="shared" si="34"/>
        <v>0</v>
      </c>
      <c r="BY33" s="26">
        <f t="shared" si="34"/>
        <v>0</v>
      </c>
      <c r="BZ33" s="26">
        <f t="shared" si="34"/>
        <v>0</v>
      </c>
      <c r="CA33" s="26">
        <f t="shared" si="34"/>
        <v>0</v>
      </c>
      <c r="CB33" s="26">
        <f t="shared" si="34"/>
        <v>0</v>
      </c>
      <c r="CC33" s="26">
        <f t="shared" si="34"/>
        <v>0</v>
      </c>
      <c r="CD33" s="26" t="e">
        <f t="shared" si="34"/>
        <v>#DIV/0!</v>
      </c>
      <c r="CE33" s="26">
        <f t="shared" si="34"/>
        <v>-20081000</v>
      </c>
      <c r="CF33" s="26">
        <f t="shared" si="34"/>
        <v>-14354563.84</v>
      </c>
      <c r="CG33" s="26" t="e">
        <f t="shared" si="34"/>
        <v>#DIV/0!</v>
      </c>
      <c r="CH33" s="26" t="e">
        <f t="shared" si="34"/>
        <v>#DIV/0!</v>
      </c>
      <c r="CI33" s="26" t="e">
        <f t="shared" si="34"/>
        <v>#DIV/0!</v>
      </c>
      <c r="CJ33" s="26" t="e">
        <f t="shared" si="34"/>
        <v>#DIV/0!</v>
      </c>
    </row>
    <row r="34" spans="1:89" s="57" customFormat="1" x14ac:dyDescent="0.25">
      <c r="A34" s="57" t="s">
        <v>411</v>
      </c>
      <c r="B34" s="57">
        <f>B33/B4*100</f>
        <v>29.608656878775598</v>
      </c>
      <c r="C34" s="57">
        <f t="shared" ref="C34:D34" si="35">C33/C4*100</f>
        <v>18.850516329441632</v>
      </c>
      <c r="D34" s="57">
        <f t="shared" si="35"/>
        <v>8.4115004534082605</v>
      </c>
      <c r="E34" s="57">
        <f>E33/E4</f>
        <v>0.18695113404979027</v>
      </c>
      <c r="F34" s="57">
        <f t="shared" ref="F34:BQ34" si="36">F33/F4</f>
        <v>0.19750322801108453</v>
      </c>
      <c r="G34" s="57">
        <f t="shared" si="36"/>
        <v>0.1660269261868402</v>
      </c>
      <c r="H34" s="57">
        <f t="shared" si="36"/>
        <v>0.11120519419766051</v>
      </c>
      <c r="I34" s="57">
        <f t="shared" si="36"/>
        <v>0.19802119408505692</v>
      </c>
      <c r="J34" s="57">
        <f t="shared" si="36"/>
        <v>0.21185823912441706</v>
      </c>
      <c r="K34" s="57">
        <f t="shared" si="36"/>
        <v>0.17633024694088451</v>
      </c>
      <c r="L34" s="57">
        <f t="shared" si="36"/>
        <v>7.7568330473247057E-2</v>
      </c>
      <c r="M34" s="57">
        <f t="shared" si="36"/>
        <v>0.19769711272695309</v>
      </c>
      <c r="N34" s="57">
        <f t="shared" si="36"/>
        <v>0.20125489359295409</v>
      </c>
      <c r="O34" s="57">
        <f t="shared" si="36"/>
        <v>0.19478875442815524</v>
      </c>
      <c r="P34" s="57">
        <f t="shared" si="36"/>
        <v>0.19214313898353419</v>
      </c>
      <c r="Q34" s="57">
        <f t="shared" si="36"/>
        <v>0.1986145470454749</v>
      </c>
      <c r="R34" s="57">
        <f t="shared" si="36"/>
        <v>0.21804035417062992</v>
      </c>
      <c r="S34" s="57" t="e">
        <f t="shared" si="36"/>
        <v>#DIV/0!</v>
      </c>
      <c r="T34" s="57" t="e">
        <f t="shared" si="36"/>
        <v>#DIV/0!</v>
      </c>
      <c r="U34" s="57" t="e">
        <f t="shared" si="36"/>
        <v>#DIV/0!</v>
      </c>
      <c r="V34" s="57" t="e">
        <f t="shared" si="36"/>
        <v>#DIV/0!</v>
      </c>
      <c r="W34" s="57" t="e">
        <f t="shared" si="36"/>
        <v>#DIV/0!</v>
      </c>
      <c r="X34" s="57" t="e">
        <f t="shared" si="36"/>
        <v>#DIV/0!</v>
      </c>
      <c r="Y34" s="57" t="e">
        <f t="shared" si="36"/>
        <v>#DIV/0!</v>
      </c>
      <c r="Z34" s="57" t="e">
        <f t="shared" si="36"/>
        <v>#DIV/0!</v>
      </c>
      <c r="AA34" s="57" t="e">
        <f t="shared" si="36"/>
        <v>#DIV/0!</v>
      </c>
      <c r="AB34" s="57" t="e">
        <f t="shared" si="36"/>
        <v>#DIV/0!</v>
      </c>
      <c r="AC34" s="57" t="e">
        <f t="shared" si="36"/>
        <v>#DIV/0!</v>
      </c>
      <c r="AD34" s="57" t="e">
        <f t="shared" si="36"/>
        <v>#DIV/0!</v>
      </c>
      <c r="AE34" s="57" t="e">
        <f t="shared" si="36"/>
        <v>#DIV/0!</v>
      </c>
      <c r="AF34" s="57" t="e">
        <f t="shared" si="36"/>
        <v>#DIV/0!</v>
      </c>
      <c r="AG34" s="57" t="e">
        <f t="shared" si="36"/>
        <v>#DIV/0!</v>
      </c>
      <c r="AH34" s="57" t="e">
        <f t="shared" si="36"/>
        <v>#DIV/0!</v>
      </c>
      <c r="AI34" s="57" t="e">
        <f t="shared" si="36"/>
        <v>#DIV/0!</v>
      </c>
      <c r="AJ34" s="57" t="e">
        <f t="shared" si="36"/>
        <v>#DIV/0!</v>
      </c>
      <c r="AK34" s="57" t="e">
        <f t="shared" si="36"/>
        <v>#DIV/0!</v>
      </c>
      <c r="AL34" s="57" t="e">
        <f t="shared" si="36"/>
        <v>#DIV/0!</v>
      </c>
      <c r="AM34" s="57" t="e">
        <f t="shared" si="36"/>
        <v>#DIV/0!</v>
      </c>
      <c r="AN34" s="57" t="e">
        <f t="shared" si="36"/>
        <v>#DIV/0!</v>
      </c>
      <c r="AO34" s="57" t="e">
        <f t="shared" si="36"/>
        <v>#DIV/0!</v>
      </c>
      <c r="AP34" s="57" t="e">
        <f t="shared" si="36"/>
        <v>#DIV/0!</v>
      </c>
      <c r="AQ34" s="57" t="e">
        <f t="shared" si="36"/>
        <v>#DIV/0!</v>
      </c>
      <c r="AR34" s="57" t="e">
        <f t="shared" si="36"/>
        <v>#DIV/0!</v>
      </c>
      <c r="AS34" s="57" t="e">
        <f t="shared" si="36"/>
        <v>#DIV/0!</v>
      </c>
      <c r="AT34" s="57" t="e">
        <f t="shared" si="36"/>
        <v>#DIV/0!</v>
      </c>
      <c r="AU34" s="57" t="e">
        <f t="shared" si="36"/>
        <v>#DIV/0!</v>
      </c>
      <c r="AV34" s="57" t="e">
        <f t="shared" si="36"/>
        <v>#DIV/0!</v>
      </c>
      <c r="AW34" s="57" t="e">
        <f t="shared" si="36"/>
        <v>#DIV/0!</v>
      </c>
      <c r="AX34" s="57" t="e">
        <f t="shared" si="36"/>
        <v>#DIV/0!</v>
      </c>
      <c r="AY34" s="57" t="e">
        <f t="shared" si="36"/>
        <v>#DIV/0!</v>
      </c>
      <c r="AZ34" s="57" t="e">
        <f t="shared" si="36"/>
        <v>#DIV/0!</v>
      </c>
      <c r="BA34" s="57" t="e">
        <f t="shared" si="36"/>
        <v>#DIV/0!</v>
      </c>
      <c r="BB34" s="57" t="e">
        <f t="shared" si="36"/>
        <v>#DIV/0!</v>
      </c>
      <c r="BC34" s="57" t="e">
        <f t="shared" si="36"/>
        <v>#DIV/0!</v>
      </c>
      <c r="BD34" s="57" t="e">
        <f t="shared" si="36"/>
        <v>#DIV/0!</v>
      </c>
      <c r="BE34" s="57" t="e">
        <f t="shared" si="36"/>
        <v>#DIV/0!</v>
      </c>
      <c r="BF34" s="57" t="e">
        <f t="shared" si="36"/>
        <v>#DIV/0!</v>
      </c>
      <c r="BG34" s="57" t="e">
        <f t="shared" si="36"/>
        <v>#DIV/0!</v>
      </c>
      <c r="BH34" s="57" t="e">
        <f t="shared" si="36"/>
        <v>#DIV/0!</v>
      </c>
      <c r="BI34" s="57" t="e">
        <f t="shared" si="36"/>
        <v>#DIV/0!</v>
      </c>
      <c r="BJ34" s="57" t="e">
        <f t="shared" si="36"/>
        <v>#DIV/0!</v>
      </c>
      <c r="BK34" s="57" t="e">
        <f t="shared" si="36"/>
        <v>#DIV/0!</v>
      </c>
      <c r="BL34" s="57" t="e">
        <f t="shared" si="36"/>
        <v>#DIV/0!</v>
      </c>
      <c r="BM34" s="57" t="e">
        <f t="shared" si="36"/>
        <v>#DIV/0!</v>
      </c>
      <c r="BN34" s="57" t="e">
        <f t="shared" si="36"/>
        <v>#DIV/0!</v>
      </c>
      <c r="BO34" s="57" t="e">
        <f t="shared" si="36"/>
        <v>#DIV/0!</v>
      </c>
      <c r="BP34" s="57" t="e">
        <f t="shared" si="36"/>
        <v>#DIV/0!</v>
      </c>
      <c r="BQ34" s="57" t="e">
        <f t="shared" si="36"/>
        <v>#DIV/0!</v>
      </c>
      <c r="BR34" s="57" t="e">
        <f t="shared" ref="BR34:CK34" si="37">BR33/BR4</f>
        <v>#DIV/0!</v>
      </c>
      <c r="BS34" s="57" t="e">
        <f t="shared" si="37"/>
        <v>#DIV/0!</v>
      </c>
      <c r="BT34" s="57" t="e">
        <f t="shared" si="37"/>
        <v>#DIV/0!</v>
      </c>
      <c r="BU34" s="57" t="e">
        <f t="shared" si="37"/>
        <v>#DIV/0!</v>
      </c>
      <c r="BV34" s="57" t="e">
        <f t="shared" si="37"/>
        <v>#DIV/0!</v>
      </c>
      <c r="BW34" s="57" t="e">
        <f t="shared" si="37"/>
        <v>#DIV/0!</v>
      </c>
      <c r="BX34" s="57" t="e">
        <f t="shared" si="37"/>
        <v>#DIV/0!</v>
      </c>
      <c r="BY34" s="57" t="e">
        <f t="shared" si="37"/>
        <v>#DIV/0!</v>
      </c>
      <c r="BZ34" s="57" t="e">
        <f t="shared" si="37"/>
        <v>#DIV/0!</v>
      </c>
      <c r="CA34" s="57" t="e">
        <f t="shared" si="37"/>
        <v>#DIV/0!</v>
      </c>
      <c r="CB34" s="57" t="e">
        <f t="shared" si="37"/>
        <v>#DIV/0!</v>
      </c>
      <c r="CC34" s="57" t="e">
        <f t="shared" si="37"/>
        <v>#DIV/0!</v>
      </c>
      <c r="CD34" s="57" t="e">
        <f t="shared" si="37"/>
        <v>#DIV/0!</v>
      </c>
      <c r="CE34" s="57" t="e">
        <f t="shared" si="37"/>
        <v>#DIV/0!</v>
      </c>
      <c r="CF34" s="57" t="e">
        <f t="shared" si="37"/>
        <v>#DIV/0!</v>
      </c>
      <c r="CG34" s="57" t="e">
        <f t="shared" si="37"/>
        <v>#DIV/0!</v>
      </c>
      <c r="CH34" s="57" t="e">
        <f t="shared" si="37"/>
        <v>#DIV/0!</v>
      </c>
      <c r="CI34" s="57" t="e">
        <f t="shared" si="37"/>
        <v>#DIV/0!</v>
      </c>
      <c r="CJ34" s="57" t="e">
        <f t="shared" si="37"/>
        <v>#DIV/0!</v>
      </c>
      <c r="CK34" s="57" t="e">
        <f t="shared" si="37"/>
        <v>#DIV/0!</v>
      </c>
    </row>
    <row r="35" spans="1:89" x14ac:dyDescent="0.25">
      <c r="A35" s="17" t="s">
        <v>412</v>
      </c>
      <c r="B35" s="26">
        <f>B23+B68</f>
        <v>-1140949.8899999999</v>
      </c>
      <c r="C35" s="26">
        <f t="shared" ref="C35:BN35" si="38">C23+C68</f>
        <v>-851570.47</v>
      </c>
      <c r="D35" s="26">
        <f t="shared" si="38"/>
        <v>-594912.32999999996</v>
      </c>
      <c r="E35" s="26">
        <f t="shared" si="38"/>
        <v>737042.26999999979</v>
      </c>
      <c r="F35" s="26">
        <f t="shared" si="38"/>
        <v>-724508.69</v>
      </c>
      <c r="G35" s="26">
        <f t="shared" si="38"/>
        <v>-258037.90000000002</v>
      </c>
      <c r="H35" s="26">
        <f t="shared" si="38"/>
        <v>200165.79</v>
      </c>
      <c r="I35" s="26">
        <f t="shared" si="38"/>
        <v>5128401.12</v>
      </c>
      <c r="J35" s="26">
        <f t="shared" si="38"/>
        <v>3238675.13</v>
      </c>
      <c r="K35" s="26">
        <f t="shared" si="38"/>
        <v>1975386.39</v>
      </c>
      <c r="L35" s="26">
        <f t="shared" si="38"/>
        <v>993260.07</v>
      </c>
      <c r="M35" s="26">
        <f t="shared" si="38"/>
        <v>6249731.0500000007</v>
      </c>
      <c r="N35" s="26">
        <f t="shared" si="38"/>
        <v>4223801.82</v>
      </c>
      <c r="O35" s="26">
        <f t="shared" si="38"/>
        <v>9559356.6699999999</v>
      </c>
      <c r="P35" s="26">
        <f t="shared" si="38"/>
        <v>10976780</v>
      </c>
      <c r="Q35" s="26">
        <f t="shared" si="38"/>
        <v>-4194.4399999999996</v>
      </c>
      <c r="R35" s="26">
        <f t="shared" si="38"/>
        <v>-591674.91</v>
      </c>
      <c r="S35" s="26">
        <f t="shared" si="38"/>
        <v>0</v>
      </c>
      <c r="T35" s="26">
        <f t="shared" si="38"/>
        <v>-245115593.80000001</v>
      </c>
      <c r="U35" s="26">
        <f t="shared" si="38"/>
        <v>-5640409.4599999189</v>
      </c>
      <c r="V35" s="26">
        <f t="shared" si="38"/>
        <v>-659404182.44000006</v>
      </c>
      <c r="W35" s="26">
        <f t="shared" si="38"/>
        <v>-471944898.50999999</v>
      </c>
      <c r="X35" s="26">
        <f t="shared" si="38"/>
        <v>-238664090.94</v>
      </c>
      <c r="Y35" s="26">
        <f t="shared" si="38"/>
        <v>-12140144.040000081</v>
      </c>
      <c r="Z35" s="26">
        <f t="shared" si="38"/>
        <v>-620329449.92999995</v>
      </c>
      <c r="AA35" s="26">
        <f t="shared" si="38"/>
        <v>-400245467.81999999</v>
      </c>
      <c r="AB35" s="26">
        <f t="shared" si="38"/>
        <v>-142309808.88</v>
      </c>
      <c r="AC35" s="26">
        <f t="shared" si="38"/>
        <v>-7864055</v>
      </c>
      <c r="AD35" s="26">
        <f t="shared" si="38"/>
        <v>-235104521.34</v>
      </c>
      <c r="AE35" s="26">
        <f t="shared" si="38"/>
        <v>-187674784.06999999</v>
      </c>
      <c r="AF35" s="26">
        <f t="shared" si="38"/>
        <v>-23414404.640000001</v>
      </c>
      <c r="AG35" s="26">
        <f t="shared" si="38"/>
        <v>-2551228.5399999917</v>
      </c>
      <c r="AH35" s="26">
        <f t="shared" si="38"/>
        <v>-105230410.26000001</v>
      </c>
      <c r="AI35" s="26">
        <f t="shared" si="38"/>
        <v>-77281557.629999995</v>
      </c>
      <c r="AJ35" s="26">
        <f t="shared" si="38"/>
        <v>-11990167.300000001</v>
      </c>
      <c r="AK35" s="26">
        <f t="shared" si="38"/>
        <v>-109732181.41</v>
      </c>
      <c r="AL35" s="26">
        <f t="shared" si="38"/>
        <v>-66018480.219999999</v>
      </c>
      <c r="AM35" s="26">
        <f t="shared" si="38"/>
        <v>-40647909.57</v>
      </c>
      <c r="AN35" s="26">
        <f t="shared" si="38"/>
        <v>-10967664.689999999</v>
      </c>
      <c r="AO35" s="26">
        <f t="shared" si="38"/>
        <v>-159954267.43000001</v>
      </c>
      <c r="AP35" s="26">
        <f t="shared" si="38"/>
        <v>-87720223.980000004</v>
      </c>
      <c r="AQ35" s="26">
        <f t="shared" si="38"/>
        <v>-74810065.359999999</v>
      </c>
      <c r="AR35" s="26">
        <f t="shared" si="38"/>
        <v>-15614749.33</v>
      </c>
      <c r="AS35" s="26">
        <f t="shared" si="38"/>
        <v>-92227613.010000005</v>
      </c>
      <c r="AT35" s="26">
        <f t="shared" si="38"/>
        <v>-41018279.990000002</v>
      </c>
      <c r="AU35" s="26">
        <f t="shared" si="38"/>
        <v>-36487207.520000003</v>
      </c>
      <c r="AV35" s="26">
        <f t="shared" si="38"/>
        <v>-3376979.14</v>
      </c>
      <c r="AW35" s="26">
        <f t="shared" si="38"/>
        <v>-50497352.530000001</v>
      </c>
      <c r="AX35" s="26">
        <f t="shared" si="38"/>
        <v>-26367719.059999999</v>
      </c>
      <c r="AY35" s="26">
        <f t="shared" si="38"/>
        <v>-24396518</v>
      </c>
      <c r="AZ35" s="26">
        <f t="shared" si="38"/>
        <v>-2917708.8</v>
      </c>
      <c r="BA35" s="26">
        <f t="shared" si="38"/>
        <v>-25225980.809999999</v>
      </c>
      <c r="BB35" s="26">
        <f t="shared" si="38"/>
        <v>-7438048.8600000003</v>
      </c>
      <c r="BC35" s="26">
        <f t="shared" si="38"/>
        <v>-5495968.9100000001</v>
      </c>
      <c r="BD35" s="26">
        <f t="shared" si="38"/>
        <v>-6057952.7199999997</v>
      </c>
      <c r="BE35" s="26">
        <f t="shared" si="38"/>
        <v>-26456599.109999999</v>
      </c>
      <c r="BF35" s="26">
        <f t="shared" si="38"/>
        <v>-12780406.130000001</v>
      </c>
      <c r="BG35" s="26">
        <f t="shared" si="38"/>
        <v>-11107770.039999999</v>
      </c>
      <c r="BH35" s="26">
        <f t="shared" si="38"/>
        <v>-1735818.19</v>
      </c>
      <c r="BI35" s="26">
        <f t="shared" si="38"/>
        <v>-28358707.260000002</v>
      </c>
      <c r="BJ35" s="26">
        <f t="shared" si="38"/>
        <v>-19582453.850000001</v>
      </c>
      <c r="BK35" s="26">
        <f t="shared" si="38"/>
        <v>-12127010.279999999</v>
      </c>
      <c r="BL35" s="26">
        <f t="shared" si="38"/>
        <v>-2445731.69</v>
      </c>
      <c r="BM35" s="26">
        <f t="shared" si="38"/>
        <v>-26693808.859999999</v>
      </c>
      <c r="BN35" s="26">
        <f t="shared" si="38"/>
        <v>-21740886.899999999</v>
      </c>
      <c r="BO35" s="26">
        <f t="shared" ref="BO35:CJ35" si="39">BO23+BO68</f>
        <v>-11645839.699999999</v>
      </c>
      <c r="BP35" s="26">
        <f t="shared" si="39"/>
        <v>-7526726.1299999999</v>
      </c>
      <c r="BQ35" s="26">
        <f t="shared" si="39"/>
        <v>-25420934.84</v>
      </c>
      <c r="BR35" s="26">
        <f t="shared" si="39"/>
        <v>0</v>
      </c>
      <c r="BS35" s="26">
        <f t="shared" si="39"/>
        <v>-16481097.720000001</v>
      </c>
      <c r="BT35" s="26">
        <f t="shared" si="39"/>
        <v>-5451391.75</v>
      </c>
      <c r="BU35" s="26">
        <f t="shared" si="39"/>
        <v>-14348624.140000001</v>
      </c>
      <c r="BV35" s="26">
        <f t="shared" si="39"/>
        <v>-7438579.8600000003</v>
      </c>
      <c r="BW35" s="26">
        <f t="shared" si="39"/>
        <v>-15086567.960000001</v>
      </c>
      <c r="BX35" s="26">
        <f t="shared" si="39"/>
        <v>-9593131.2100000009</v>
      </c>
      <c r="BY35" s="26">
        <f t="shared" si="39"/>
        <v>-42791521.079999998</v>
      </c>
      <c r="BZ35" s="26">
        <f t="shared" si="39"/>
        <v>-3834295.55</v>
      </c>
      <c r="CA35" s="26">
        <f t="shared" si="39"/>
        <v>11835075.34</v>
      </c>
      <c r="CB35" s="26">
        <f t="shared" si="39"/>
        <v>16252757.800000001</v>
      </c>
      <c r="CC35" s="26">
        <f t="shared" si="39"/>
        <v>12407743.33</v>
      </c>
      <c r="CD35" s="26">
        <f t="shared" si="39"/>
        <v>0</v>
      </c>
      <c r="CE35" s="26">
        <f t="shared" si="39"/>
        <v>0</v>
      </c>
      <c r="CF35" s="26">
        <f t="shared" si="39"/>
        <v>0</v>
      </c>
      <c r="CG35" s="26">
        <f t="shared" si="39"/>
        <v>0</v>
      </c>
      <c r="CH35" s="26">
        <f t="shared" si="39"/>
        <v>0</v>
      </c>
      <c r="CI35" s="26">
        <f t="shared" si="39"/>
        <v>0</v>
      </c>
      <c r="CJ35" s="26">
        <f t="shared" si="39"/>
        <v>0</v>
      </c>
    </row>
    <row r="36" spans="1:89" s="23" customFormat="1" x14ac:dyDescent="0.25">
      <c r="A36" s="17" t="s">
        <v>413</v>
      </c>
      <c r="B36" s="26">
        <f>B35*B41</f>
        <v>-130316.21645710377</v>
      </c>
      <c r="C36" s="26">
        <f t="shared" ref="C36:BN36" si="40">C35*C41</f>
        <v>-140978.24116186224</v>
      </c>
      <c r="D36" s="26">
        <f t="shared" si="40"/>
        <v>-154635.98003188954</v>
      </c>
      <c r="E36" s="26">
        <f t="shared" si="40"/>
        <v>113448.01437504198</v>
      </c>
      <c r="F36" s="26">
        <f t="shared" si="40"/>
        <v>-117653.05946022402</v>
      </c>
      <c r="G36" s="26">
        <f t="shared" si="40"/>
        <v>-45742.348633740585</v>
      </c>
      <c r="H36" s="26">
        <f t="shared" si="40"/>
        <v>39931.892710798973</v>
      </c>
      <c r="I36" s="26">
        <f t="shared" si="40"/>
        <v>756263.85248759843</v>
      </c>
      <c r="J36" s="26">
        <f t="shared" si="40"/>
        <v>511762.7675566164</v>
      </c>
      <c r="K36" s="26">
        <f t="shared" si="40"/>
        <v>318660.37625502842</v>
      </c>
      <c r="L36" s="26">
        <f t="shared" si="40"/>
        <v>185577.58697245418</v>
      </c>
      <c r="M36" s="26">
        <f t="shared" si="40"/>
        <v>962080.41614980134</v>
      </c>
      <c r="N36" s="26">
        <f t="shared" si="40"/>
        <v>698384.60234943579</v>
      </c>
      <c r="O36" s="26">
        <f t="shared" si="40"/>
        <v>1467140.6491050047</v>
      </c>
      <c r="P36" s="26">
        <f t="shared" si="40"/>
        <v>1823445.3838030032</v>
      </c>
      <c r="Q36" s="26">
        <f t="shared" si="40"/>
        <v>-783.23573049799336</v>
      </c>
      <c r="R36" s="26">
        <f t="shared" si="40"/>
        <v>-102658.41802484052</v>
      </c>
      <c r="S36" s="26" t="e">
        <f t="shared" si="40"/>
        <v>#DIV/0!</v>
      </c>
      <c r="T36" s="26">
        <f t="shared" si="40"/>
        <v>-932767728.71000004</v>
      </c>
      <c r="U36" s="26">
        <f t="shared" si="40"/>
        <v>-19722663.687057666</v>
      </c>
      <c r="V36" s="26">
        <f t="shared" si="40"/>
        <v>-2420062330.6651387</v>
      </c>
      <c r="W36" s="26">
        <f t="shared" si="40"/>
        <v>-1963328665.9229801</v>
      </c>
      <c r="X36" s="26">
        <f t="shared" si="40"/>
        <v>-1234975036.8900001</v>
      </c>
      <c r="Y36" s="26">
        <f t="shared" si="40"/>
        <v>-51303929.648843959</v>
      </c>
      <c r="Z36" s="26">
        <f t="shared" si="40"/>
        <v>-2605070929.6584058</v>
      </c>
      <c r="AA36" s="26">
        <f t="shared" si="40"/>
        <v>-1716610173.7242005</v>
      </c>
      <c r="AB36" s="26">
        <f t="shared" si="40"/>
        <v>-1032161603.782496</v>
      </c>
      <c r="AC36" s="26">
        <f t="shared" si="40"/>
        <v>-34132507.650246873</v>
      </c>
      <c r="AD36" s="26">
        <f t="shared" si="40"/>
        <v>-1614296783.3732665</v>
      </c>
      <c r="AE36" s="26">
        <f t="shared" si="40"/>
        <v>-1128889884.1308255</v>
      </c>
      <c r="AF36" s="26">
        <f t="shared" si="40"/>
        <v>-698726050.76943958</v>
      </c>
      <c r="AG36" s="26">
        <f t="shared" si="40"/>
        <v>-19645877.572893832</v>
      </c>
      <c r="AH36" s="26">
        <f t="shared" si="40"/>
        <v>-1185675302.2566216</v>
      </c>
      <c r="AI36" s="26">
        <f t="shared" si="40"/>
        <v>-763078516.63868487</v>
      </c>
      <c r="AJ36" s="26">
        <f t="shared" si="40"/>
        <v>-503279626.78391671</v>
      </c>
      <c r="AK36" s="26">
        <f t="shared" si="40"/>
        <v>-1132638804.7799425</v>
      </c>
      <c r="AL36" s="26">
        <f t="shared" si="40"/>
        <v>-782584586.79418671</v>
      </c>
      <c r="AM36" s="26">
        <f t="shared" si="40"/>
        <v>-571866297.22997391</v>
      </c>
      <c r="AN36" s="26">
        <f t="shared" si="40"/>
        <v>-391157082.13999999</v>
      </c>
      <c r="AO36" s="26">
        <f t="shared" si="40"/>
        <v>-563888867.70518363</v>
      </c>
      <c r="AP36" s="26">
        <f t="shared" si="40"/>
        <v>-503319989.98469925</v>
      </c>
      <c r="AQ36" s="26">
        <f t="shared" si="40"/>
        <v>-408638346.35744035</v>
      </c>
      <c r="AR36" s="26">
        <f t="shared" si="40"/>
        <v>-335817684.24000001</v>
      </c>
      <c r="AS36" s="26">
        <f t="shared" si="40"/>
        <v>-681905615.7182548</v>
      </c>
      <c r="AT36" s="26">
        <f t="shared" si="40"/>
        <v>-639572055.30398273</v>
      </c>
      <c r="AU36" s="26">
        <f t="shared" si="40"/>
        <v>-561042484.52677596</v>
      </c>
      <c r="AV36" s="26">
        <f t="shared" si="40"/>
        <v>-312858390.72279203</v>
      </c>
      <c r="AW36" s="26">
        <f t="shared" si="40"/>
        <v>-551240236.96072447</v>
      </c>
      <c r="AX36" s="26">
        <f t="shared" si="40"/>
        <v>-480719628.0057382</v>
      </c>
      <c r="AY36" s="26">
        <f t="shared" si="40"/>
        <v>-390866074.9768725</v>
      </c>
      <c r="AZ36" s="26">
        <f t="shared" si="40"/>
        <v>-271633794.64608037</v>
      </c>
      <c r="BA36" s="26">
        <f t="shared" si="40"/>
        <v>-469993039.21692479</v>
      </c>
      <c r="BB36" s="26">
        <f t="shared" si="40"/>
        <v>-411356269.45516753</v>
      </c>
      <c r="BC36" s="26">
        <f t="shared" si="40"/>
        <v>-369753675.59969026</v>
      </c>
      <c r="BD36" s="26">
        <f t="shared" si="40"/>
        <v>-238518321.50999999</v>
      </c>
      <c r="BE36" s="26">
        <f t="shared" si="40"/>
        <v>-443526298.50513589</v>
      </c>
      <c r="BF36" s="26">
        <f t="shared" si="40"/>
        <v>-345698191.0647375</v>
      </c>
      <c r="BG36" s="26">
        <f t="shared" si="40"/>
        <v>-269953882.00302547</v>
      </c>
      <c r="BH36" s="26">
        <f t="shared" si="40"/>
        <v>-121508573.45480447</v>
      </c>
      <c r="BI36" s="26">
        <f t="shared" si="40"/>
        <v>-391093998.33733195</v>
      </c>
      <c r="BJ36" s="26">
        <f t="shared" si="40"/>
        <v>-306864935.5207969</v>
      </c>
      <c r="BK36" s="26">
        <f t="shared" si="40"/>
        <v>-248973221.44446173</v>
      </c>
      <c r="BL36" s="26">
        <f t="shared" si="40"/>
        <v>-187089505.25299633</v>
      </c>
      <c r="BM36" s="26">
        <f t="shared" si="40"/>
        <v>-248420484.61503965</v>
      </c>
      <c r="BN36" s="26">
        <f t="shared" si="40"/>
        <v>-175666512.98483121</v>
      </c>
      <c r="BO36" s="26">
        <f t="shared" ref="BO36:CJ36" si="41">BO35*BO41</f>
        <v>-112150891.39248388</v>
      </c>
      <c r="BP36" s="26">
        <f t="shared" si="41"/>
        <v>-124275287.40749222</v>
      </c>
      <c r="BQ36" s="26">
        <f t="shared" si="41"/>
        <v>-78593471.953996271</v>
      </c>
      <c r="BR36" s="26">
        <f t="shared" si="41"/>
        <v>0</v>
      </c>
      <c r="BS36" s="26">
        <f t="shared" si="41"/>
        <v>-112538813.84302837</v>
      </c>
      <c r="BT36" s="26">
        <f t="shared" si="41"/>
        <v>-70067151.248897314</v>
      </c>
      <c r="BU36" s="26">
        <f t="shared" si="41"/>
        <v>-204972124.42033166</v>
      </c>
      <c r="BV36" s="26">
        <f t="shared" si="41"/>
        <v>-295349924.56</v>
      </c>
      <c r="BW36" s="26">
        <f t="shared" si="41"/>
        <v>-303429006.82999998</v>
      </c>
      <c r="BX36" s="26">
        <f t="shared" si="41"/>
        <v>-66653678.540000007</v>
      </c>
      <c r="BY36" s="26">
        <f t="shared" si="41"/>
        <v>-260578360.56999999</v>
      </c>
      <c r="BZ36" s="26">
        <f t="shared" si="41"/>
        <v>-44632836.509999998</v>
      </c>
      <c r="CA36" s="26">
        <f t="shared" si="41"/>
        <v>-168102185.13</v>
      </c>
      <c r="CB36" s="26">
        <f t="shared" si="41"/>
        <v>-128029818.47</v>
      </c>
      <c r="CC36" s="26">
        <f t="shared" si="41"/>
        <v>-106844876.92</v>
      </c>
      <c r="CD36" s="26" t="e">
        <f t="shared" si="41"/>
        <v>#DIV/0!</v>
      </c>
      <c r="CE36" s="26">
        <f t="shared" si="41"/>
        <v>0</v>
      </c>
      <c r="CF36" s="26">
        <f t="shared" si="41"/>
        <v>0</v>
      </c>
      <c r="CG36" s="26" t="e">
        <f t="shared" si="41"/>
        <v>#DIV/0!</v>
      </c>
      <c r="CH36" s="26" t="e">
        <f t="shared" si="41"/>
        <v>#DIV/0!</v>
      </c>
      <c r="CI36" s="26" t="e">
        <f t="shared" si="41"/>
        <v>#DIV/0!</v>
      </c>
      <c r="CJ36" s="26" t="e">
        <f t="shared" si="41"/>
        <v>#DIV/0!</v>
      </c>
    </row>
    <row r="37" spans="1:89" s="23" customFormat="1" x14ac:dyDescent="0.25">
      <c r="A37" s="17" t="s">
        <v>414</v>
      </c>
      <c r="B37" s="26">
        <f>B35-B36</f>
        <v>-1010633.6735428962</v>
      </c>
      <c r="C37" s="26">
        <f t="shared" ref="C37:BN37" si="42">C35-C36</f>
        <v>-710592.2288381377</v>
      </c>
      <c r="D37" s="26">
        <f t="shared" si="42"/>
        <v>-440276.34996811044</v>
      </c>
      <c r="E37" s="26">
        <f t="shared" si="42"/>
        <v>623594.25562495785</v>
      </c>
      <c r="F37" s="26">
        <f t="shared" si="42"/>
        <v>-606855.63053977594</v>
      </c>
      <c r="G37" s="26">
        <f t="shared" si="42"/>
        <v>-212295.55136625943</v>
      </c>
      <c r="H37" s="26">
        <f t="shared" si="42"/>
        <v>160233.89728920104</v>
      </c>
      <c r="I37" s="26">
        <f t="shared" si="42"/>
        <v>4372137.2675124016</v>
      </c>
      <c r="J37" s="26">
        <f t="shared" si="42"/>
        <v>2726912.3624433833</v>
      </c>
      <c r="K37" s="26">
        <f t="shared" si="42"/>
        <v>1656726.0137449715</v>
      </c>
      <c r="L37" s="26">
        <f t="shared" si="42"/>
        <v>807682.48302754574</v>
      </c>
      <c r="M37" s="26">
        <f t="shared" si="42"/>
        <v>5287650.6338501992</v>
      </c>
      <c r="N37" s="26">
        <f t="shared" si="42"/>
        <v>3525417.2176505644</v>
      </c>
      <c r="O37" s="26">
        <f t="shared" si="42"/>
        <v>8092216.020894995</v>
      </c>
      <c r="P37" s="26">
        <f t="shared" si="42"/>
        <v>9153334.6161969975</v>
      </c>
      <c r="Q37" s="26">
        <f t="shared" si="42"/>
        <v>-3411.2042695020064</v>
      </c>
      <c r="R37" s="26">
        <f t="shared" si="42"/>
        <v>-489016.4919751595</v>
      </c>
      <c r="S37" s="26" t="e">
        <f t="shared" si="42"/>
        <v>#DIV/0!</v>
      </c>
      <c r="T37" s="26">
        <f t="shared" si="42"/>
        <v>687652134.91000009</v>
      </c>
      <c r="U37" s="26">
        <f t="shared" si="42"/>
        <v>14082254.227057748</v>
      </c>
      <c r="V37" s="26">
        <f t="shared" si="42"/>
        <v>1760658148.2251387</v>
      </c>
      <c r="W37" s="26">
        <f t="shared" si="42"/>
        <v>1491383767.4129801</v>
      </c>
      <c r="X37" s="26">
        <f t="shared" si="42"/>
        <v>996310945.95000005</v>
      </c>
      <c r="Y37" s="26">
        <f t="shared" si="42"/>
        <v>39163785.608843878</v>
      </c>
      <c r="Z37" s="26">
        <f t="shared" si="42"/>
        <v>1984741479.728406</v>
      </c>
      <c r="AA37" s="26">
        <f t="shared" si="42"/>
        <v>1316364705.9042006</v>
      </c>
      <c r="AB37" s="26">
        <f t="shared" si="42"/>
        <v>889851794.90249598</v>
      </c>
      <c r="AC37" s="26">
        <f t="shared" si="42"/>
        <v>26268452.650246873</v>
      </c>
      <c r="AD37" s="26">
        <f t="shared" si="42"/>
        <v>1379192262.0332665</v>
      </c>
      <c r="AE37" s="26">
        <f t="shared" si="42"/>
        <v>941215100.06082559</v>
      </c>
      <c r="AF37" s="26">
        <f t="shared" si="42"/>
        <v>675311646.12943959</v>
      </c>
      <c r="AG37" s="26">
        <f t="shared" si="42"/>
        <v>17094649.03289384</v>
      </c>
      <c r="AH37" s="26">
        <f t="shared" si="42"/>
        <v>1080444891.9966216</v>
      </c>
      <c r="AI37" s="26">
        <f t="shared" si="42"/>
        <v>685796959.00868487</v>
      </c>
      <c r="AJ37" s="26">
        <f t="shared" si="42"/>
        <v>491289459.4839167</v>
      </c>
      <c r="AK37" s="26">
        <f t="shared" si="42"/>
        <v>1022906623.3699425</v>
      </c>
      <c r="AL37" s="26">
        <f t="shared" si="42"/>
        <v>716566106.57418668</v>
      </c>
      <c r="AM37" s="26">
        <f t="shared" si="42"/>
        <v>531218387.65997392</v>
      </c>
      <c r="AN37" s="26">
        <f t="shared" si="42"/>
        <v>380189417.44999999</v>
      </c>
      <c r="AO37" s="26">
        <f t="shared" si="42"/>
        <v>403934600.27518362</v>
      </c>
      <c r="AP37" s="26">
        <f t="shared" si="42"/>
        <v>415599766.00469923</v>
      </c>
      <c r="AQ37" s="26">
        <f t="shared" si="42"/>
        <v>333828280.99744034</v>
      </c>
      <c r="AR37" s="26">
        <f t="shared" si="42"/>
        <v>320202934.91000003</v>
      </c>
      <c r="AS37" s="26">
        <f t="shared" si="42"/>
        <v>589678002.70825481</v>
      </c>
      <c r="AT37" s="26">
        <f t="shared" si="42"/>
        <v>598553775.31398273</v>
      </c>
      <c r="AU37" s="26">
        <f t="shared" si="42"/>
        <v>524555277.00677598</v>
      </c>
      <c r="AV37" s="26">
        <f t="shared" si="42"/>
        <v>309481411.58279204</v>
      </c>
      <c r="AW37" s="26">
        <f t="shared" si="42"/>
        <v>500742884.4307245</v>
      </c>
      <c r="AX37" s="26">
        <f t="shared" si="42"/>
        <v>454351908.9457382</v>
      </c>
      <c r="AY37" s="26">
        <f t="shared" si="42"/>
        <v>366469556.9768725</v>
      </c>
      <c r="AZ37" s="26">
        <f t="shared" si="42"/>
        <v>268716085.84608036</v>
      </c>
      <c r="BA37" s="26">
        <f t="shared" si="42"/>
        <v>444767058.40692478</v>
      </c>
      <c r="BB37" s="26">
        <f t="shared" si="42"/>
        <v>403918220.59516752</v>
      </c>
      <c r="BC37" s="26">
        <f t="shared" si="42"/>
        <v>364257706.68969023</v>
      </c>
      <c r="BD37" s="26">
        <f t="shared" si="42"/>
        <v>232460368.78999999</v>
      </c>
      <c r="BE37" s="26">
        <f t="shared" si="42"/>
        <v>417069699.39513588</v>
      </c>
      <c r="BF37" s="26">
        <f t="shared" si="42"/>
        <v>332917784.9347375</v>
      </c>
      <c r="BG37" s="26">
        <f t="shared" si="42"/>
        <v>258846111.96302548</v>
      </c>
      <c r="BH37" s="26">
        <f t="shared" si="42"/>
        <v>119772755.26480447</v>
      </c>
      <c r="BI37" s="26">
        <f t="shared" si="42"/>
        <v>362735291.07733196</v>
      </c>
      <c r="BJ37" s="26">
        <f t="shared" si="42"/>
        <v>287282481.67079687</v>
      </c>
      <c r="BK37" s="26">
        <f t="shared" si="42"/>
        <v>236846211.16446173</v>
      </c>
      <c r="BL37" s="26">
        <f t="shared" si="42"/>
        <v>184643773.56299633</v>
      </c>
      <c r="BM37" s="26">
        <f t="shared" si="42"/>
        <v>221726675.75503963</v>
      </c>
      <c r="BN37" s="26">
        <f t="shared" si="42"/>
        <v>153925626.08483121</v>
      </c>
      <c r="BO37" s="26">
        <f t="shared" ref="BO37:CJ37" si="43">BO35-BO36</f>
        <v>100505051.69248387</v>
      </c>
      <c r="BP37" s="26">
        <f t="shared" si="43"/>
        <v>116748561.27749223</v>
      </c>
      <c r="BQ37" s="26">
        <f t="shared" si="43"/>
        <v>53172537.113996267</v>
      </c>
      <c r="BR37" s="26">
        <f t="shared" si="43"/>
        <v>0</v>
      </c>
      <c r="BS37" s="26">
        <f t="shared" si="43"/>
        <v>96057716.123028368</v>
      </c>
      <c r="BT37" s="26">
        <f t="shared" si="43"/>
        <v>64615759.498897314</v>
      </c>
      <c r="BU37" s="26">
        <f t="shared" si="43"/>
        <v>190623500.28033167</v>
      </c>
      <c r="BV37" s="26">
        <f t="shared" si="43"/>
        <v>287911344.69999999</v>
      </c>
      <c r="BW37" s="26">
        <f t="shared" si="43"/>
        <v>288342438.87</v>
      </c>
      <c r="BX37" s="26">
        <f t="shared" si="43"/>
        <v>57060547.330000006</v>
      </c>
      <c r="BY37" s="26">
        <f t="shared" si="43"/>
        <v>217786839.49000001</v>
      </c>
      <c r="BZ37" s="26">
        <f t="shared" si="43"/>
        <v>40798540.960000001</v>
      </c>
      <c r="CA37" s="26">
        <f t="shared" si="43"/>
        <v>179937260.47</v>
      </c>
      <c r="CB37" s="26">
        <f t="shared" si="43"/>
        <v>144282576.27000001</v>
      </c>
      <c r="CC37" s="26">
        <f t="shared" si="43"/>
        <v>119252620.25</v>
      </c>
      <c r="CD37" s="26" t="e">
        <f t="shared" si="43"/>
        <v>#DIV/0!</v>
      </c>
      <c r="CE37" s="26">
        <f t="shared" si="43"/>
        <v>0</v>
      </c>
      <c r="CF37" s="26">
        <f t="shared" si="43"/>
        <v>0</v>
      </c>
      <c r="CG37" s="26" t="e">
        <f t="shared" si="43"/>
        <v>#DIV/0!</v>
      </c>
      <c r="CH37" s="26" t="e">
        <f t="shared" si="43"/>
        <v>#DIV/0!</v>
      </c>
      <c r="CI37" s="26" t="e">
        <f t="shared" si="43"/>
        <v>#DIV/0!</v>
      </c>
      <c r="CJ37" s="26" t="e">
        <f t="shared" si="43"/>
        <v>#DIV/0!</v>
      </c>
    </row>
    <row r="38" spans="1:89" s="2" customFormat="1" x14ac:dyDescent="0.25">
      <c r="A38" s="20" t="s">
        <v>415</v>
      </c>
      <c r="B38" s="28">
        <f>B31-B35</f>
        <v>210608217.16</v>
      </c>
      <c r="C38" s="28">
        <f t="shared" ref="C38:BN38" si="44">C31-C35</f>
        <v>89603751.549999997</v>
      </c>
      <c r="D38" s="28">
        <f t="shared" si="44"/>
        <v>20184429.980000004</v>
      </c>
      <c r="E38" s="28">
        <f t="shared" si="44"/>
        <v>165517045.63</v>
      </c>
      <c r="F38" s="28">
        <f t="shared" si="44"/>
        <v>124698517.17000005</v>
      </c>
      <c r="G38" s="28">
        <f t="shared" si="44"/>
        <v>68823769.700000018</v>
      </c>
      <c r="H38" s="28">
        <f t="shared" si="44"/>
        <v>21151738.219999991</v>
      </c>
      <c r="I38" s="28">
        <f t="shared" si="44"/>
        <v>149336203.51999995</v>
      </c>
      <c r="J38" s="28">
        <f t="shared" si="44"/>
        <v>110997852.59000003</v>
      </c>
      <c r="K38" s="28">
        <f t="shared" si="44"/>
        <v>57578394.519999988</v>
      </c>
      <c r="L38" s="28">
        <f t="shared" si="44"/>
        <v>10864080.150000006</v>
      </c>
      <c r="M38" s="28">
        <f t="shared" si="44"/>
        <v>133258805.45</v>
      </c>
      <c r="N38" s="28">
        <f t="shared" si="44"/>
        <v>94510305.099999964</v>
      </c>
      <c r="O38" s="28">
        <f t="shared" si="44"/>
        <v>112122121.20000003</v>
      </c>
      <c r="P38" s="28">
        <f t="shared" si="44"/>
        <v>100755792.96000004</v>
      </c>
      <c r="Q38" s="28">
        <f t="shared" si="44"/>
        <v>96615239.570000008</v>
      </c>
      <c r="R38" s="28">
        <f t="shared" si="44"/>
        <v>84191840.50999999</v>
      </c>
      <c r="S38" s="28">
        <f t="shared" si="44"/>
        <v>0</v>
      </c>
      <c r="T38" s="28">
        <f t="shared" si="44"/>
        <v>245115593.80000001</v>
      </c>
      <c r="U38" s="28">
        <f t="shared" si="44"/>
        <v>836470729.83999991</v>
      </c>
      <c r="V38" s="28">
        <f t="shared" si="44"/>
        <v>663136603.66000009</v>
      </c>
      <c r="W38" s="28">
        <f t="shared" si="44"/>
        <v>475677319.73000002</v>
      </c>
      <c r="X38" s="28">
        <f t="shared" si="44"/>
        <v>238664090.94</v>
      </c>
      <c r="Y38" s="28">
        <f t="shared" si="44"/>
        <v>805242211.47000003</v>
      </c>
      <c r="Z38" s="28">
        <f t="shared" si="44"/>
        <v>619411856.75999999</v>
      </c>
      <c r="AA38" s="28">
        <f t="shared" si="44"/>
        <v>399260576.25</v>
      </c>
      <c r="AB38" s="28">
        <f t="shared" si="44"/>
        <v>142300017.34</v>
      </c>
      <c r="AC38" s="28">
        <f t="shared" si="44"/>
        <v>485120205.63999999</v>
      </c>
      <c r="AD38" s="28">
        <f t="shared" si="44"/>
        <v>235389556.53999999</v>
      </c>
      <c r="AE38" s="28">
        <f t="shared" si="44"/>
        <v>187807792.82999998</v>
      </c>
      <c r="AF38" s="28">
        <f t="shared" si="44"/>
        <v>23424340.990000002</v>
      </c>
      <c r="AG38" s="28">
        <f t="shared" si="44"/>
        <v>195854188.47999999</v>
      </c>
      <c r="AH38" s="28">
        <f t="shared" si="44"/>
        <v>101724684.84</v>
      </c>
      <c r="AI38" s="28">
        <f t="shared" si="44"/>
        <v>77605252.5</v>
      </c>
      <c r="AJ38" s="28">
        <f t="shared" si="44"/>
        <v>12116865.84</v>
      </c>
      <c r="AK38" s="28">
        <f t="shared" si="44"/>
        <v>110340734.39999999</v>
      </c>
      <c r="AL38" s="28">
        <f t="shared" si="44"/>
        <v>66049616.810000002</v>
      </c>
      <c r="AM38" s="28">
        <f t="shared" si="44"/>
        <v>38235339.799999997</v>
      </c>
      <c r="AN38" s="28">
        <f t="shared" si="44"/>
        <v>10967664.689999999</v>
      </c>
      <c r="AO38" s="28">
        <f t="shared" si="44"/>
        <v>161533388.74000001</v>
      </c>
      <c r="AP38" s="28">
        <f t="shared" si="44"/>
        <v>86790654.49000001</v>
      </c>
      <c r="AQ38" s="28">
        <f t="shared" si="44"/>
        <v>73880495.870000005</v>
      </c>
      <c r="AR38" s="28">
        <f t="shared" si="44"/>
        <v>15614749.33</v>
      </c>
      <c r="AS38" s="28">
        <f t="shared" si="44"/>
        <v>95427195.469999999</v>
      </c>
      <c r="AT38" s="28">
        <f t="shared" si="44"/>
        <v>41574884.270000003</v>
      </c>
      <c r="AU38" s="28">
        <f t="shared" si="44"/>
        <v>36535126.310000002</v>
      </c>
      <c r="AV38" s="28">
        <f t="shared" si="44"/>
        <v>4042843.62</v>
      </c>
      <c r="AW38" s="28">
        <f t="shared" si="44"/>
        <v>55549045.109999999</v>
      </c>
      <c r="AX38" s="28">
        <f t="shared" si="44"/>
        <v>28863876.779999997</v>
      </c>
      <c r="AY38" s="28">
        <f t="shared" si="44"/>
        <v>26228829.809999999</v>
      </c>
      <c r="AZ38" s="28">
        <f t="shared" si="44"/>
        <v>3017708.8</v>
      </c>
      <c r="BA38" s="28">
        <f t="shared" si="44"/>
        <v>21302963.41</v>
      </c>
      <c r="BB38" s="28">
        <f t="shared" si="44"/>
        <v>6940683.96</v>
      </c>
      <c r="BC38" s="28">
        <f t="shared" si="44"/>
        <v>4996075.1100000003</v>
      </c>
      <c r="BD38" s="28">
        <f t="shared" si="44"/>
        <v>6057952.7199999997</v>
      </c>
      <c r="BE38" s="28">
        <f t="shared" si="44"/>
        <v>26329845.359999999</v>
      </c>
      <c r="BF38" s="28">
        <f t="shared" si="44"/>
        <v>13124671.940000001</v>
      </c>
      <c r="BG38" s="28">
        <f t="shared" si="44"/>
        <v>11452035.85</v>
      </c>
      <c r="BH38" s="28">
        <f t="shared" si="44"/>
        <v>2762185.67</v>
      </c>
      <c r="BI38" s="28">
        <f t="shared" si="44"/>
        <v>27804282.080000002</v>
      </c>
      <c r="BJ38" s="28">
        <f t="shared" si="44"/>
        <v>19869707.960000001</v>
      </c>
      <c r="BK38" s="28">
        <f t="shared" si="44"/>
        <v>12179434.549999999</v>
      </c>
      <c r="BL38" s="28">
        <f t="shared" si="44"/>
        <v>2711192.57</v>
      </c>
      <c r="BM38" s="28">
        <f t="shared" si="44"/>
        <v>26872741.259999998</v>
      </c>
      <c r="BN38" s="28">
        <f t="shared" si="44"/>
        <v>23612016.5</v>
      </c>
      <c r="BO38" s="28">
        <f t="shared" ref="BO38:CJ38" si="45">BO31-BO35</f>
        <v>13157561.25</v>
      </c>
      <c r="BP38" s="28">
        <f t="shared" si="45"/>
        <v>7352696.9100000001</v>
      </c>
      <c r="BQ38" s="28">
        <f t="shared" si="45"/>
        <v>37770902.789999999</v>
      </c>
      <c r="BR38" s="28">
        <f t="shared" si="45"/>
        <v>12720000</v>
      </c>
      <c r="BS38" s="28">
        <f t="shared" si="45"/>
        <v>26247406.899999999</v>
      </c>
      <c r="BT38" s="28">
        <f t="shared" si="45"/>
        <v>10799911</v>
      </c>
      <c r="BU38" s="28">
        <f t="shared" si="45"/>
        <v>16722225.84</v>
      </c>
      <c r="BV38" s="28">
        <f t="shared" si="45"/>
        <v>7438579.8600000003</v>
      </c>
      <c r="BW38" s="28">
        <f t="shared" si="45"/>
        <v>15086567.960000001</v>
      </c>
      <c r="BX38" s="28">
        <f t="shared" si="45"/>
        <v>9593131.2100000009</v>
      </c>
      <c r="BY38" s="28">
        <f t="shared" si="45"/>
        <v>42791521.079999998</v>
      </c>
      <c r="BZ38" s="28">
        <f t="shared" si="45"/>
        <v>3834295.55</v>
      </c>
      <c r="CA38" s="28">
        <f t="shared" si="45"/>
        <v>-11835075.34</v>
      </c>
      <c r="CB38" s="28">
        <f t="shared" si="45"/>
        <v>-16252757.800000001</v>
      </c>
      <c r="CC38" s="28">
        <f t="shared" si="45"/>
        <v>-12407743.33</v>
      </c>
      <c r="CD38" s="28">
        <f t="shared" si="45"/>
        <v>0</v>
      </c>
      <c r="CE38" s="28">
        <f t="shared" si="45"/>
        <v>7729000</v>
      </c>
      <c r="CF38" s="28">
        <f t="shared" si="45"/>
        <v>2092581.44</v>
      </c>
      <c r="CG38" s="28">
        <f t="shared" si="45"/>
        <v>0</v>
      </c>
      <c r="CH38" s="28">
        <f t="shared" si="45"/>
        <v>0</v>
      </c>
      <c r="CI38" s="28">
        <f t="shared" si="45"/>
        <v>0</v>
      </c>
      <c r="CJ38" s="28">
        <f t="shared" si="45"/>
        <v>0</v>
      </c>
    </row>
    <row r="39" spans="1:89" s="57" customFormat="1" x14ac:dyDescent="0.25">
      <c r="A39" s="57" t="s">
        <v>416</v>
      </c>
      <c r="B39" s="57">
        <f>B38/B4*100</f>
        <v>33.608618300195126</v>
      </c>
      <c r="C39" s="57">
        <f t="shared" ref="C39:D39" si="46">C38/C4*100</f>
        <v>22.807125282384153</v>
      </c>
      <c r="D39" s="57">
        <f t="shared" si="46"/>
        <v>11.710995983474923</v>
      </c>
      <c r="E39" s="57">
        <f>E38/E4</f>
        <v>0.2199828310864515</v>
      </c>
      <c r="F39" s="57">
        <f t="shared" ref="F39:BQ39" si="47">F38/F4</f>
        <v>0.2371718039641546</v>
      </c>
      <c r="G39" s="57">
        <f t="shared" si="47"/>
        <v>0.20255943347020841</v>
      </c>
      <c r="H39" s="57">
        <f t="shared" si="47"/>
        <v>0.13761633463191764</v>
      </c>
      <c r="I39" s="57">
        <f t="shared" si="47"/>
        <v>0.22456186266648392</v>
      </c>
      <c r="J39" s="57">
        <f t="shared" si="47"/>
        <v>0.24448439641061631</v>
      </c>
      <c r="K39" s="57">
        <f t="shared" si="47"/>
        <v>0.20327239008188347</v>
      </c>
      <c r="L39" s="57">
        <f t="shared" si="47"/>
        <v>8.7400202052491147E-2</v>
      </c>
      <c r="M39" s="57">
        <f t="shared" si="47"/>
        <v>0.22319992043673903</v>
      </c>
      <c r="N39" s="57">
        <f t="shared" si="47"/>
        <v>0.2308083009073657</v>
      </c>
      <c r="O39" s="57">
        <f t="shared" si="47"/>
        <v>0.21202736122965787</v>
      </c>
      <c r="P39" s="57">
        <f t="shared" si="47"/>
        <v>0.2077833423365289</v>
      </c>
      <c r="Q39" s="57">
        <f t="shared" si="47"/>
        <v>0.2442284025039296</v>
      </c>
      <c r="R39" s="57">
        <f t="shared" si="47"/>
        <v>0.26568032405587588</v>
      </c>
      <c r="S39" s="57" t="e">
        <f t="shared" si="47"/>
        <v>#DIV/0!</v>
      </c>
      <c r="T39" s="57" t="e">
        <f t="shared" si="47"/>
        <v>#DIV/0!</v>
      </c>
      <c r="U39" s="57" t="e">
        <f t="shared" si="47"/>
        <v>#DIV/0!</v>
      </c>
      <c r="V39" s="57" t="e">
        <f t="shared" si="47"/>
        <v>#DIV/0!</v>
      </c>
      <c r="W39" s="57" t="e">
        <f t="shared" si="47"/>
        <v>#DIV/0!</v>
      </c>
      <c r="X39" s="57" t="e">
        <f t="shared" si="47"/>
        <v>#DIV/0!</v>
      </c>
      <c r="Y39" s="57" t="e">
        <f t="shared" si="47"/>
        <v>#DIV/0!</v>
      </c>
      <c r="Z39" s="57" t="e">
        <f t="shared" si="47"/>
        <v>#DIV/0!</v>
      </c>
      <c r="AA39" s="57" t="e">
        <f t="shared" si="47"/>
        <v>#DIV/0!</v>
      </c>
      <c r="AB39" s="57" t="e">
        <f t="shared" si="47"/>
        <v>#DIV/0!</v>
      </c>
      <c r="AC39" s="57" t="e">
        <f t="shared" si="47"/>
        <v>#DIV/0!</v>
      </c>
      <c r="AD39" s="57" t="e">
        <f t="shared" si="47"/>
        <v>#DIV/0!</v>
      </c>
      <c r="AE39" s="57" t="e">
        <f t="shared" si="47"/>
        <v>#DIV/0!</v>
      </c>
      <c r="AF39" s="57" t="e">
        <f t="shared" si="47"/>
        <v>#DIV/0!</v>
      </c>
      <c r="AG39" s="57" t="e">
        <f t="shared" si="47"/>
        <v>#DIV/0!</v>
      </c>
      <c r="AH39" s="57" t="e">
        <f t="shared" si="47"/>
        <v>#DIV/0!</v>
      </c>
      <c r="AI39" s="57" t="e">
        <f t="shared" si="47"/>
        <v>#DIV/0!</v>
      </c>
      <c r="AJ39" s="57" t="e">
        <f t="shared" si="47"/>
        <v>#DIV/0!</v>
      </c>
      <c r="AK39" s="57" t="e">
        <f t="shared" si="47"/>
        <v>#DIV/0!</v>
      </c>
      <c r="AL39" s="57" t="e">
        <f t="shared" si="47"/>
        <v>#DIV/0!</v>
      </c>
      <c r="AM39" s="57" t="e">
        <f t="shared" si="47"/>
        <v>#DIV/0!</v>
      </c>
      <c r="AN39" s="57" t="e">
        <f t="shared" si="47"/>
        <v>#DIV/0!</v>
      </c>
      <c r="AO39" s="57" t="e">
        <f t="shared" si="47"/>
        <v>#DIV/0!</v>
      </c>
      <c r="AP39" s="57" t="e">
        <f t="shared" si="47"/>
        <v>#DIV/0!</v>
      </c>
      <c r="AQ39" s="57" t="e">
        <f t="shared" si="47"/>
        <v>#DIV/0!</v>
      </c>
      <c r="AR39" s="57" t="e">
        <f t="shared" si="47"/>
        <v>#DIV/0!</v>
      </c>
      <c r="AS39" s="57" t="e">
        <f t="shared" si="47"/>
        <v>#DIV/0!</v>
      </c>
      <c r="AT39" s="57" t="e">
        <f t="shared" si="47"/>
        <v>#DIV/0!</v>
      </c>
      <c r="AU39" s="57" t="e">
        <f t="shared" si="47"/>
        <v>#DIV/0!</v>
      </c>
      <c r="AV39" s="57" t="e">
        <f t="shared" si="47"/>
        <v>#DIV/0!</v>
      </c>
      <c r="AW39" s="57" t="e">
        <f t="shared" si="47"/>
        <v>#DIV/0!</v>
      </c>
      <c r="AX39" s="57" t="e">
        <f t="shared" si="47"/>
        <v>#DIV/0!</v>
      </c>
      <c r="AY39" s="57" t="e">
        <f t="shared" si="47"/>
        <v>#DIV/0!</v>
      </c>
      <c r="AZ39" s="57" t="e">
        <f t="shared" si="47"/>
        <v>#DIV/0!</v>
      </c>
      <c r="BA39" s="57" t="e">
        <f t="shared" si="47"/>
        <v>#DIV/0!</v>
      </c>
      <c r="BB39" s="57" t="e">
        <f t="shared" si="47"/>
        <v>#DIV/0!</v>
      </c>
      <c r="BC39" s="57" t="e">
        <f t="shared" si="47"/>
        <v>#DIV/0!</v>
      </c>
      <c r="BD39" s="57" t="e">
        <f t="shared" si="47"/>
        <v>#DIV/0!</v>
      </c>
      <c r="BE39" s="57" t="e">
        <f t="shared" si="47"/>
        <v>#DIV/0!</v>
      </c>
      <c r="BF39" s="57" t="e">
        <f t="shared" si="47"/>
        <v>#DIV/0!</v>
      </c>
      <c r="BG39" s="57" t="e">
        <f t="shared" si="47"/>
        <v>#DIV/0!</v>
      </c>
      <c r="BH39" s="57" t="e">
        <f t="shared" si="47"/>
        <v>#DIV/0!</v>
      </c>
      <c r="BI39" s="57" t="e">
        <f t="shared" si="47"/>
        <v>#DIV/0!</v>
      </c>
      <c r="BJ39" s="57" t="e">
        <f t="shared" si="47"/>
        <v>#DIV/0!</v>
      </c>
      <c r="BK39" s="57" t="e">
        <f t="shared" si="47"/>
        <v>#DIV/0!</v>
      </c>
      <c r="BL39" s="57" t="e">
        <f t="shared" si="47"/>
        <v>#DIV/0!</v>
      </c>
      <c r="BM39" s="57" t="e">
        <f t="shared" si="47"/>
        <v>#DIV/0!</v>
      </c>
      <c r="BN39" s="57" t="e">
        <f t="shared" si="47"/>
        <v>#DIV/0!</v>
      </c>
      <c r="BO39" s="57" t="e">
        <f t="shared" si="47"/>
        <v>#DIV/0!</v>
      </c>
      <c r="BP39" s="57" t="e">
        <f t="shared" si="47"/>
        <v>#DIV/0!</v>
      </c>
      <c r="BQ39" s="57" t="e">
        <f t="shared" si="47"/>
        <v>#DIV/0!</v>
      </c>
      <c r="BR39" s="57" t="e">
        <f t="shared" ref="BR39:CK39" si="48">BR38/BR4</f>
        <v>#DIV/0!</v>
      </c>
      <c r="BS39" s="57" t="e">
        <f t="shared" si="48"/>
        <v>#DIV/0!</v>
      </c>
      <c r="BT39" s="57" t="e">
        <f t="shared" si="48"/>
        <v>#DIV/0!</v>
      </c>
      <c r="BU39" s="57" t="e">
        <f t="shared" si="48"/>
        <v>#DIV/0!</v>
      </c>
      <c r="BV39" s="57" t="e">
        <f t="shared" si="48"/>
        <v>#DIV/0!</v>
      </c>
      <c r="BW39" s="57" t="e">
        <f t="shared" si="48"/>
        <v>#DIV/0!</v>
      </c>
      <c r="BX39" s="57" t="e">
        <f t="shared" si="48"/>
        <v>#DIV/0!</v>
      </c>
      <c r="BY39" s="57" t="e">
        <f t="shared" si="48"/>
        <v>#DIV/0!</v>
      </c>
      <c r="BZ39" s="57" t="e">
        <f t="shared" si="48"/>
        <v>#DIV/0!</v>
      </c>
      <c r="CA39" s="57" t="e">
        <f t="shared" si="48"/>
        <v>#DIV/0!</v>
      </c>
      <c r="CB39" s="57" t="e">
        <f t="shared" si="48"/>
        <v>#DIV/0!</v>
      </c>
      <c r="CC39" s="57" t="e">
        <f t="shared" si="48"/>
        <v>#DIV/0!</v>
      </c>
      <c r="CD39" s="57" t="e">
        <f t="shared" si="48"/>
        <v>#DIV/0!</v>
      </c>
      <c r="CE39" s="57" t="e">
        <f t="shared" si="48"/>
        <v>#DIV/0!</v>
      </c>
      <c r="CF39" s="57" t="e">
        <f t="shared" si="48"/>
        <v>#DIV/0!</v>
      </c>
      <c r="CG39" s="57" t="e">
        <f t="shared" si="48"/>
        <v>#DIV/0!</v>
      </c>
      <c r="CH39" s="57" t="e">
        <f t="shared" si="48"/>
        <v>#DIV/0!</v>
      </c>
      <c r="CI39" s="57" t="e">
        <f t="shared" si="48"/>
        <v>#DIV/0!</v>
      </c>
      <c r="CJ39" s="57" t="e">
        <f t="shared" si="48"/>
        <v>#DIV/0!</v>
      </c>
      <c r="CK39" s="57" t="e">
        <f t="shared" si="48"/>
        <v>#DIV/0!</v>
      </c>
    </row>
    <row r="40" spans="1:89" x14ac:dyDescent="0.25">
      <c r="A40" s="17" t="s">
        <v>417</v>
      </c>
      <c r="B40" s="26">
        <f>B60</f>
        <v>24055102.030000001</v>
      </c>
      <c r="C40" s="26">
        <f t="shared" ref="C40:BN40" si="49">C60</f>
        <v>14833979.970000001</v>
      </c>
      <c r="D40" s="26">
        <f t="shared" si="49"/>
        <v>5246553.07</v>
      </c>
      <c r="E40" s="26">
        <f t="shared" si="49"/>
        <v>25476937.940000001</v>
      </c>
      <c r="F40" s="26">
        <f t="shared" si="49"/>
        <v>20249808.260000002</v>
      </c>
      <c r="G40" s="26">
        <f t="shared" si="49"/>
        <v>12200381.68</v>
      </c>
      <c r="H40" s="26">
        <f t="shared" si="49"/>
        <v>4219646.83</v>
      </c>
      <c r="I40" s="26">
        <f t="shared" si="49"/>
        <v>22021985.010000002</v>
      </c>
      <c r="J40" s="26">
        <f t="shared" si="49"/>
        <v>17539446.210000001</v>
      </c>
      <c r="K40" s="26">
        <f t="shared" si="49"/>
        <v>9288285.5500000007</v>
      </c>
      <c r="L40" s="26">
        <f t="shared" si="49"/>
        <v>2029810.56</v>
      </c>
      <c r="M40" s="26">
        <f t="shared" si="49"/>
        <v>20513792.670000002</v>
      </c>
      <c r="N40" s="26">
        <f t="shared" si="49"/>
        <v>15626808.42</v>
      </c>
      <c r="O40" s="26">
        <f t="shared" si="49"/>
        <v>17208158.18</v>
      </c>
      <c r="P40" s="26">
        <f t="shared" si="49"/>
        <v>16737393.439999999</v>
      </c>
      <c r="Q40" s="26">
        <f t="shared" si="49"/>
        <v>18041146.789999999</v>
      </c>
      <c r="R40" s="26">
        <f t="shared" si="49"/>
        <v>14607685.76</v>
      </c>
      <c r="S40" s="26">
        <f t="shared" si="49"/>
        <v>0</v>
      </c>
      <c r="T40" s="26">
        <f t="shared" si="49"/>
        <v>932767728.71000004</v>
      </c>
      <c r="U40" s="26">
        <f t="shared" si="49"/>
        <v>2924864055.6500001</v>
      </c>
      <c r="V40" s="26">
        <f t="shared" si="49"/>
        <v>2433760593.79</v>
      </c>
      <c r="W40" s="26">
        <f t="shared" si="49"/>
        <v>1978855837.8399999</v>
      </c>
      <c r="X40" s="26">
        <f t="shared" si="49"/>
        <v>1234975036.8900001</v>
      </c>
      <c r="Y40" s="26">
        <f t="shared" si="49"/>
        <v>3402932422.5</v>
      </c>
      <c r="Z40" s="26">
        <f t="shared" si="49"/>
        <v>2601217500.98</v>
      </c>
      <c r="AA40" s="26">
        <f t="shared" si="49"/>
        <v>1712386078.7</v>
      </c>
      <c r="AB40" s="26">
        <f t="shared" si="49"/>
        <v>1032090586.53</v>
      </c>
      <c r="AC40" s="26">
        <f t="shared" si="49"/>
        <v>2105576465.3599999</v>
      </c>
      <c r="AD40" s="26">
        <f t="shared" si="49"/>
        <v>1616253918.8800001</v>
      </c>
      <c r="AE40" s="26">
        <f t="shared" si="49"/>
        <v>1129689950.29</v>
      </c>
      <c r="AF40" s="26">
        <f t="shared" si="49"/>
        <v>699022568.51999998</v>
      </c>
      <c r="AG40" s="26">
        <f t="shared" si="49"/>
        <v>1508186094.9300001</v>
      </c>
      <c r="AH40" s="26">
        <f t="shared" si="49"/>
        <v>1146174819.1099999</v>
      </c>
      <c r="AI40" s="26">
        <f t="shared" si="49"/>
        <v>766274681.52999997</v>
      </c>
      <c r="AJ40" s="26">
        <f t="shared" si="49"/>
        <v>508597717.20999998</v>
      </c>
      <c r="AK40" s="26">
        <f t="shared" si="49"/>
        <v>1138920195.73</v>
      </c>
      <c r="AL40" s="26">
        <f t="shared" si="49"/>
        <v>782953680.64999998</v>
      </c>
      <c r="AM40" s="26">
        <f t="shared" si="49"/>
        <v>537924395.76999998</v>
      </c>
      <c r="AN40" s="26">
        <f t="shared" si="49"/>
        <v>391157082.13999999</v>
      </c>
      <c r="AO40" s="26">
        <f t="shared" si="49"/>
        <v>569455764.67999995</v>
      </c>
      <c r="AP40" s="26">
        <f t="shared" si="49"/>
        <v>497986317.94</v>
      </c>
      <c r="AQ40" s="26">
        <f t="shared" si="49"/>
        <v>403560717.60000002</v>
      </c>
      <c r="AR40" s="26">
        <f t="shared" si="49"/>
        <v>335817684.24000001</v>
      </c>
      <c r="AS40" s="26">
        <f t="shared" si="49"/>
        <v>705562448.80999994</v>
      </c>
      <c r="AT40" s="26">
        <f t="shared" si="49"/>
        <v>648250833.24000001</v>
      </c>
      <c r="AU40" s="26">
        <f t="shared" si="49"/>
        <v>561779303.77999997</v>
      </c>
      <c r="AV40" s="26">
        <f t="shared" si="49"/>
        <v>374547042.32999998</v>
      </c>
      <c r="AW40" s="26">
        <f t="shared" si="49"/>
        <v>606385627.26999998</v>
      </c>
      <c r="AX40" s="26">
        <f t="shared" si="49"/>
        <v>526228001.63</v>
      </c>
      <c r="AY40" s="26">
        <f t="shared" si="49"/>
        <v>420222252.99000001</v>
      </c>
      <c r="AZ40" s="26">
        <f t="shared" si="49"/>
        <v>280943626.88999999</v>
      </c>
      <c r="BA40" s="26">
        <f t="shared" si="49"/>
        <v>396902090.45999998</v>
      </c>
      <c r="BB40" s="26">
        <f t="shared" si="49"/>
        <v>383849839.51999998</v>
      </c>
      <c r="BC40" s="26">
        <f t="shared" si="49"/>
        <v>336122195.32999998</v>
      </c>
      <c r="BD40" s="26">
        <f t="shared" si="49"/>
        <v>238518321.50999999</v>
      </c>
      <c r="BE40" s="26">
        <f t="shared" si="49"/>
        <v>441401360.93000001</v>
      </c>
      <c r="BF40" s="26">
        <f t="shared" si="49"/>
        <v>355010263.50999999</v>
      </c>
      <c r="BG40" s="26">
        <f t="shared" si="49"/>
        <v>278320628.12</v>
      </c>
      <c r="BH40" s="26">
        <f t="shared" si="49"/>
        <v>193355065.81999999</v>
      </c>
      <c r="BI40" s="26">
        <f t="shared" si="49"/>
        <v>383447938.93000001</v>
      </c>
      <c r="BJ40" s="26">
        <f t="shared" si="49"/>
        <v>311366323.06999999</v>
      </c>
      <c r="BK40" s="26">
        <f t="shared" si="49"/>
        <v>250049516.34999999</v>
      </c>
      <c r="BL40" s="26">
        <f t="shared" si="49"/>
        <v>207396289.06999999</v>
      </c>
      <c r="BM40" s="26">
        <f t="shared" si="49"/>
        <v>250085682.47999999</v>
      </c>
      <c r="BN40" s="26">
        <f t="shared" si="49"/>
        <v>190785252.78999999</v>
      </c>
      <c r="BO40" s="26">
        <f t="shared" ref="BO40:CJ40" si="50">BO60</f>
        <v>126708958.8</v>
      </c>
      <c r="BP40" s="26">
        <f t="shared" si="50"/>
        <v>121401855.98999999</v>
      </c>
      <c r="BQ40" s="26">
        <f t="shared" si="50"/>
        <v>116775657.84999999</v>
      </c>
      <c r="BR40" s="26">
        <f t="shared" si="50"/>
        <v>160590000</v>
      </c>
      <c r="BS40" s="26">
        <f t="shared" si="50"/>
        <v>179226656.44999999</v>
      </c>
      <c r="BT40" s="26">
        <f t="shared" si="50"/>
        <v>138812074.46000001</v>
      </c>
      <c r="BU40" s="26">
        <f t="shared" si="50"/>
        <v>238879360.28</v>
      </c>
      <c r="BV40" s="26">
        <f t="shared" si="50"/>
        <v>295349924.56</v>
      </c>
      <c r="BW40" s="26">
        <f t="shared" si="50"/>
        <v>303429006.82999998</v>
      </c>
      <c r="BX40" s="26">
        <f t="shared" si="50"/>
        <v>66653678.539999999</v>
      </c>
      <c r="BY40" s="26">
        <f t="shared" si="50"/>
        <v>260578360.56999999</v>
      </c>
      <c r="BZ40" s="26">
        <f t="shared" si="50"/>
        <v>44632836.509999998</v>
      </c>
      <c r="CA40" s="26">
        <f t="shared" si="50"/>
        <v>168102185.13</v>
      </c>
      <c r="CB40" s="26">
        <f t="shared" si="50"/>
        <v>128029818.47</v>
      </c>
      <c r="CC40" s="26">
        <f t="shared" si="50"/>
        <v>106844876.92</v>
      </c>
      <c r="CD40" s="26">
        <f t="shared" si="50"/>
        <v>0</v>
      </c>
      <c r="CE40" s="26">
        <f t="shared" si="50"/>
        <v>27810000</v>
      </c>
      <c r="CF40" s="26">
        <f t="shared" si="50"/>
        <v>16447145.279999999</v>
      </c>
      <c r="CG40" s="26">
        <f t="shared" si="50"/>
        <v>4330000</v>
      </c>
      <c r="CH40" s="26">
        <f t="shared" si="50"/>
        <v>4220000</v>
      </c>
      <c r="CI40" s="26">
        <f t="shared" si="50"/>
        <v>12510000</v>
      </c>
      <c r="CJ40" s="26">
        <f t="shared" si="50"/>
        <v>3630000</v>
      </c>
    </row>
    <row r="41" spans="1:89" s="57" customFormat="1" x14ac:dyDescent="0.25">
      <c r="A41" s="57" t="s">
        <v>608</v>
      </c>
      <c r="B41" s="57">
        <f>B40/B38</f>
        <v>0.11421730051361308</v>
      </c>
      <c r="C41" s="57">
        <f t="shared" ref="C41:BN41" si="51">C40/C38</f>
        <v>0.16555088055350514</v>
      </c>
      <c r="D41" s="57">
        <f t="shared" si="51"/>
        <v>0.2599307027842061</v>
      </c>
      <c r="E41" s="57">
        <f t="shared" si="51"/>
        <v>0.15392334875860242</v>
      </c>
      <c r="F41" s="57">
        <f t="shared" si="51"/>
        <v>0.16239012876467226</v>
      </c>
      <c r="G41" s="57">
        <f t="shared" si="51"/>
        <v>0.17726988412841904</v>
      </c>
      <c r="H41" s="57">
        <f t="shared" si="51"/>
        <v>0.19949409292566414</v>
      </c>
      <c r="I41" s="57">
        <f t="shared" si="51"/>
        <v>0.14746581532756517</v>
      </c>
      <c r="J41" s="57">
        <f t="shared" si="51"/>
        <v>0.15801608590381105</v>
      </c>
      <c r="K41" s="57">
        <f t="shared" si="51"/>
        <v>0.16131546611244418</v>
      </c>
      <c r="L41" s="57">
        <f t="shared" si="51"/>
        <v>0.18683685429180114</v>
      </c>
      <c r="M41" s="57">
        <f t="shared" si="51"/>
        <v>0.15393949090814096</v>
      </c>
      <c r="N41" s="57">
        <f t="shared" si="51"/>
        <v>0.16534502140761798</v>
      </c>
      <c r="O41" s="57">
        <f t="shared" si="51"/>
        <v>0.15347692316045833</v>
      </c>
      <c r="P41" s="57">
        <f t="shared" si="51"/>
        <v>0.16611842305330007</v>
      </c>
      <c r="Q41" s="57">
        <f t="shared" si="51"/>
        <v>0.18673189519888075</v>
      </c>
      <c r="R41" s="57">
        <f t="shared" si="51"/>
        <v>0.17350476805724366</v>
      </c>
      <c r="S41" s="57" t="e">
        <f t="shared" si="51"/>
        <v>#DIV/0!</v>
      </c>
      <c r="T41" s="57">
        <f t="shared" si="51"/>
        <v>3.8054197786823956</v>
      </c>
      <c r="U41" s="57">
        <f t="shared" si="51"/>
        <v>3.4966723297173448</v>
      </c>
      <c r="V41" s="57">
        <f t="shared" si="51"/>
        <v>3.6700742808608782</v>
      </c>
      <c r="W41" s="57">
        <f t="shared" si="51"/>
        <v>4.1600802808156203</v>
      </c>
      <c r="X41" s="57">
        <f t="shared" si="51"/>
        <v>5.1745322558829017</v>
      </c>
      <c r="Y41" s="57">
        <f t="shared" si="51"/>
        <v>4.2259737182528205</v>
      </c>
      <c r="Z41" s="57">
        <f t="shared" si="51"/>
        <v>4.1994958162188993</v>
      </c>
      <c r="AA41" s="57">
        <f t="shared" si="51"/>
        <v>4.2888934709841644</v>
      </c>
      <c r="AB41" s="57">
        <f t="shared" si="51"/>
        <v>7.2529196118367807</v>
      </c>
      <c r="AC41" s="57">
        <f t="shared" si="51"/>
        <v>4.3403190402720826</v>
      </c>
      <c r="AD41" s="57">
        <f t="shared" si="51"/>
        <v>6.8662940813406408</v>
      </c>
      <c r="AE41" s="57">
        <f t="shared" si="51"/>
        <v>6.0151388463021531</v>
      </c>
      <c r="AF41" s="57">
        <f t="shared" si="51"/>
        <v>29.841717588486997</v>
      </c>
      <c r="AG41" s="57">
        <f t="shared" si="51"/>
        <v>7.7005557380970249</v>
      </c>
      <c r="AH41" s="57">
        <f t="shared" si="51"/>
        <v>11.267420694522546</v>
      </c>
      <c r="AI41" s="57">
        <f t="shared" si="51"/>
        <v>9.8740053906789367</v>
      </c>
      <c r="AJ41" s="57">
        <f t="shared" si="51"/>
        <v>41.974362341375894</v>
      </c>
      <c r="AK41" s="57">
        <f t="shared" si="51"/>
        <v>10.321847157562512</v>
      </c>
      <c r="AL41" s="57">
        <f t="shared" si="51"/>
        <v>11.854023058184643</v>
      </c>
      <c r="AM41" s="57">
        <f t="shared" si="51"/>
        <v>14.068775080429651</v>
      </c>
      <c r="AN41" s="57">
        <f t="shared" si="51"/>
        <v>35.664573379659004</v>
      </c>
      <c r="AO41" s="57">
        <f t="shared" si="51"/>
        <v>3.52531305832122</v>
      </c>
      <c r="AP41" s="57">
        <f t="shared" si="51"/>
        <v>5.7377873328213909</v>
      </c>
      <c r="AQ41" s="57">
        <f t="shared" si="51"/>
        <v>5.4623444638231016</v>
      </c>
      <c r="AR41" s="57">
        <f t="shared" si="51"/>
        <v>21.506440938812048</v>
      </c>
      <c r="AS41" s="57">
        <f t="shared" si="51"/>
        <v>7.3937250836614146</v>
      </c>
      <c r="AT41" s="57">
        <f t="shared" si="51"/>
        <v>15.592366512196667</v>
      </c>
      <c r="AU41" s="57">
        <f t="shared" si="51"/>
        <v>15.376416082794156</v>
      </c>
      <c r="AV41" s="57">
        <f t="shared" si="51"/>
        <v>92.644454630179325</v>
      </c>
      <c r="AW41" s="57">
        <f t="shared" si="51"/>
        <v>10.916220541131098</v>
      </c>
      <c r="AX41" s="57">
        <f t="shared" si="51"/>
        <v>18.231369460204579</v>
      </c>
      <c r="AY41" s="57">
        <f t="shared" si="51"/>
        <v>16.021387764306059</v>
      </c>
      <c r="AZ41" s="57">
        <f t="shared" si="51"/>
        <v>93.098322439196252</v>
      </c>
      <c r="BA41" s="57">
        <f t="shared" si="51"/>
        <v>18.631308838172576</v>
      </c>
      <c r="BB41" s="57">
        <f t="shared" si="51"/>
        <v>55.304324722487436</v>
      </c>
      <c r="BC41" s="57">
        <f t="shared" si="51"/>
        <v>67.277250227328935</v>
      </c>
      <c r="BD41" s="57">
        <f t="shared" si="51"/>
        <v>39.372760490940244</v>
      </c>
      <c r="BE41" s="57">
        <f t="shared" si="51"/>
        <v>16.764297507062913</v>
      </c>
      <c r="BF41" s="57">
        <f t="shared" si="51"/>
        <v>27.049077122304052</v>
      </c>
      <c r="BG41" s="57">
        <f t="shared" si="51"/>
        <v>24.303157252166653</v>
      </c>
      <c r="BH41" s="57">
        <f t="shared" si="51"/>
        <v>70.000749015543192</v>
      </c>
      <c r="BI41" s="57">
        <f t="shared" si="51"/>
        <v>13.790967082937895</v>
      </c>
      <c r="BJ41" s="57">
        <f t="shared" si="51"/>
        <v>15.67040258955069</v>
      </c>
      <c r="BK41" s="57">
        <f t="shared" si="51"/>
        <v>20.530470057823827</v>
      </c>
      <c r="BL41" s="57">
        <f t="shared" si="51"/>
        <v>76.496332781702776</v>
      </c>
      <c r="BM41" s="57">
        <f t="shared" si="51"/>
        <v>9.3062959249435355</v>
      </c>
      <c r="BN41" s="57">
        <f t="shared" si="51"/>
        <v>8.0800067537645504</v>
      </c>
      <c r="BO41" s="57">
        <f t="shared" ref="BO41:CJ41" si="52">BO40/BO38</f>
        <v>9.6301249443167141</v>
      </c>
      <c r="BP41" s="57">
        <f t="shared" si="52"/>
        <v>16.511200920697274</v>
      </c>
      <c r="BQ41" s="57">
        <f t="shared" si="52"/>
        <v>3.0916829946917983</v>
      </c>
      <c r="BR41" s="57">
        <f t="shared" si="52"/>
        <v>12.625</v>
      </c>
      <c r="BS41" s="57">
        <f t="shared" si="52"/>
        <v>6.8283566880658215</v>
      </c>
      <c r="BT41" s="57">
        <f t="shared" si="52"/>
        <v>12.853075776272602</v>
      </c>
      <c r="BU41" s="57">
        <f t="shared" si="52"/>
        <v>14.285141378045161</v>
      </c>
      <c r="BV41" s="57">
        <f t="shared" si="52"/>
        <v>39.705149385866775</v>
      </c>
      <c r="BW41" s="57">
        <f t="shared" si="52"/>
        <v>20.112527092609866</v>
      </c>
      <c r="BX41" s="57">
        <f t="shared" si="52"/>
        <v>6.948062846312304</v>
      </c>
      <c r="BY41" s="57">
        <f t="shared" si="52"/>
        <v>6.0894858138564683</v>
      </c>
      <c r="BZ41" s="57">
        <f t="shared" si="52"/>
        <v>11.640426755835241</v>
      </c>
      <c r="CA41" s="57">
        <f t="shared" si="52"/>
        <v>-14.20372750495731</v>
      </c>
      <c r="CB41" s="57">
        <f t="shared" si="52"/>
        <v>-7.8774211764848916</v>
      </c>
      <c r="CC41" s="57">
        <f t="shared" si="52"/>
        <v>-8.6111449985966146</v>
      </c>
      <c r="CD41" s="57" t="e">
        <f t="shared" si="52"/>
        <v>#DIV/0!</v>
      </c>
      <c r="CE41" s="57">
        <f t="shared" si="52"/>
        <v>3.5981368870487773</v>
      </c>
      <c r="CF41" s="57">
        <f t="shared" si="52"/>
        <v>7.859739633359264</v>
      </c>
      <c r="CG41" s="57" t="e">
        <f t="shared" si="52"/>
        <v>#DIV/0!</v>
      </c>
      <c r="CH41" s="57" t="e">
        <f t="shared" si="52"/>
        <v>#DIV/0!</v>
      </c>
      <c r="CI41" s="57" t="e">
        <f t="shared" si="52"/>
        <v>#DIV/0!</v>
      </c>
      <c r="CJ41" s="57" t="e">
        <f t="shared" si="52"/>
        <v>#DIV/0!</v>
      </c>
    </row>
    <row r="42" spans="1:89" s="2" customFormat="1" x14ac:dyDescent="0.25">
      <c r="A42" s="20" t="s">
        <v>419</v>
      </c>
      <c r="B42" s="28">
        <f>B38-B40</f>
        <v>186553115.13</v>
      </c>
      <c r="C42" s="28">
        <f t="shared" ref="C42:BN42" si="53">C38-C40</f>
        <v>74769771.579999998</v>
      </c>
      <c r="D42" s="28">
        <f t="shared" si="53"/>
        <v>14937876.910000004</v>
      </c>
      <c r="E42" s="28">
        <f t="shared" si="53"/>
        <v>140040107.69</v>
      </c>
      <c r="F42" s="28">
        <f t="shared" si="53"/>
        <v>104448708.91000004</v>
      </c>
      <c r="G42" s="28">
        <f t="shared" si="53"/>
        <v>56623388.020000018</v>
      </c>
      <c r="H42" s="28">
        <f t="shared" si="53"/>
        <v>16932091.389999993</v>
      </c>
      <c r="I42" s="28">
        <f t="shared" si="53"/>
        <v>127314218.50999995</v>
      </c>
      <c r="J42" s="28">
        <f t="shared" si="53"/>
        <v>93458406.380000025</v>
      </c>
      <c r="K42" s="28">
        <f t="shared" si="53"/>
        <v>48290108.969999984</v>
      </c>
      <c r="L42" s="28">
        <f t="shared" si="53"/>
        <v>8834269.5900000054</v>
      </c>
      <c r="M42" s="28">
        <f t="shared" si="53"/>
        <v>112745012.78</v>
      </c>
      <c r="N42" s="28">
        <f t="shared" si="53"/>
        <v>78883496.679999962</v>
      </c>
      <c r="O42" s="28">
        <f t="shared" si="53"/>
        <v>94913963.020000041</v>
      </c>
      <c r="P42" s="28">
        <f t="shared" si="53"/>
        <v>84018399.520000041</v>
      </c>
      <c r="Q42" s="28">
        <f t="shared" si="53"/>
        <v>78574092.780000001</v>
      </c>
      <c r="R42" s="28">
        <f t="shared" si="53"/>
        <v>69584154.749999985</v>
      </c>
      <c r="S42" s="28">
        <f t="shared" si="53"/>
        <v>0</v>
      </c>
      <c r="T42" s="28">
        <f t="shared" si="53"/>
        <v>-687652134.91000009</v>
      </c>
      <c r="U42" s="28">
        <f t="shared" si="53"/>
        <v>-2088393325.8100002</v>
      </c>
      <c r="V42" s="28">
        <f t="shared" si="53"/>
        <v>-1770623990.1299999</v>
      </c>
      <c r="W42" s="28">
        <f t="shared" si="53"/>
        <v>-1503178518.1099999</v>
      </c>
      <c r="X42" s="28">
        <f t="shared" si="53"/>
        <v>-996310945.95000005</v>
      </c>
      <c r="Y42" s="28">
        <f t="shared" si="53"/>
        <v>-2597690211.0299997</v>
      </c>
      <c r="Z42" s="28">
        <f t="shared" si="53"/>
        <v>-1981805644.22</v>
      </c>
      <c r="AA42" s="28">
        <f t="shared" si="53"/>
        <v>-1313125502.45</v>
      </c>
      <c r="AB42" s="28">
        <f t="shared" si="53"/>
        <v>-889790569.18999994</v>
      </c>
      <c r="AC42" s="28">
        <f t="shared" si="53"/>
        <v>-1620456259.7199998</v>
      </c>
      <c r="AD42" s="28">
        <f t="shared" si="53"/>
        <v>-1380864362.3400002</v>
      </c>
      <c r="AE42" s="28">
        <f t="shared" si="53"/>
        <v>-941882157.46000004</v>
      </c>
      <c r="AF42" s="28">
        <f t="shared" si="53"/>
        <v>-675598227.52999997</v>
      </c>
      <c r="AG42" s="28">
        <f t="shared" si="53"/>
        <v>-1312331906.45</v>
      </c>
      <c r="AH42" s="28">
        <f t="shared" si="53"/>
        <v>-1044450134.2699999</v>
      </c>
      <c r="AI42" s="28">
        <f t="shared" si="53"/>
        <v>-688669429.02999997</v>
      </c>
      <c r="AJ42" s="28">
        <f t="shared" si="53"/>
        <v>-496480851.37</v>
      </c>
      <c r="AK42" s="28">
        <f t="shared" si="53"/>
        <v>-1028579461.33</v>
      </c>
      <c r="AL42" s="28">
        <f t="shared" si="53"/>
        <v>-716904063.83999991</v>
      </c>
      <c r="AM42" s="28">
        <f t="shared" si="53"/>
        <v>-499689055.96999997</v>
      </c>
      <c r="AN42" s="28">
        <f t="shared" si="53"/>
        <v>-380189417.44999999</v>
      </c>
      <c r="AO42" s="28">
        <f t="shared" si="53"/>
        <v>-407922375.93999994</v>
      </c>
      <c r="AP42" s="28">
        <f t="shared" si="53"/>
        <v>-411195663.44999999</v>
      </c>
      <c r="AQ42" s="28">
        <f t="shared" si="53"/>
        <v>-329680221.73000002</v>
      </c>
      <c r="AR42" s="28">
        <f t="shared" si="53"/>
        <v>-320202934.91000003</v>
      </c>
      <c r="AS42" s="28">
        <f t="shared" si="53"/>
        <v>-610135253.33999991</v>
      </c>
      <c r="AT42" s="28">
        <f t="shared" si="53"/>
        <v>-606675948.97000003</v>
      </c>
      <c r="AU42" s="28">
        <f t="shared" si="53"/>
        <v>-525244177.46999997</v>
      </c>
      <c r="AV42" s="28">
        <f t="shared" si="53"/>
        <v>-370504198.70999998</v>
      </c>
      <c r="AW42" s="28">
        <f t="shared" si="53"/>
        <v>-550836582.15999997</v>
      </c>
      <c r="AX42" s="28">
        <f t="shared" si="53"/>
        <v>-497364124.85000002</v>
      </c>
      <c r="AY42" s="28">
        <f t="shared" si="53"/>
        <v>-393993423.18000001</v>
      </c>
      <c r="AZ42" s="28">
        <f t="shared" si="53"/>
        <v>-277925918.08999997</v>
      </c>
      <c r="BA42" s="28">
        <f t="shared" si="53"/>
        <v>-375599127.04999995</v>
      </c>
      <c r="BB42" s="28">
        <f t="shared" si="53"/>
        <v>-376909155.56</v>
      </c>
      <c r="BC42" s="28">
        <f t="shared" si="53"/>
        <v>-331126120.21999997</v>
      </c>
      <c r="BD42" s="28">
        <f t="shared" si="53"/>
        <v>-232460368.78999999</v>
      </c>
      <c r="BE42" s="28">
        <f t="shared" si="53"/>
        <v>-415071515.56999999</v>
      </c>
      <c r="BF42" s="28">
        <f t="shared" si="53"/>
        <v>-341885591.56999999</v>
      </c>
      <c r="BG42" s="28">
        <f t="shared" si="53"/>
        <v>-266868592.27000001</v>
      </c>
      <c r="BH42" s="28">
        <f t="shared" si="53"/>
        <v>-190592880.15000001</v>
      </c>
      <c r="BI42" s="28">
        <f t="shared" si="53"/>
        <v>-355643656.85000002</v>
      </c>
      <c r="BJ42" s="28">
        <f t="shared" si="53"/>
        <v>-291496615.11000001</v>
      </c>
      <c r="BK42" s="28">
        <f t="shared" si="53"/>
        <v>-237870081.79999998</v>
      </c>
      <c r="BL42" s="28">
        <f t="shared" si="53"/>
        <v>-204685096.5</v>
      </c>
      <c r="BM42" s="28">
        <f t="shared" si="53"/>
        <v>-223212941.22</v>
      </c>
      <c r="BN42" s="28">
        <f t="shared" si="53"/>
        <v>-167173236.28999999</v>
      </c>
      <c r="BO42" s="28">
        <f t="shared" ref="BO42:CK42" si="54">BO38-BO40</f>
        <v>-113551397.55</v>
      </c>
      <c r="BP42" s="28">
        <f t="shared" si="54"/>
        <v>-114049159.08</v>
      </c>
      <c r="BQ42" s="28">
        <f t="shared" si="54"/>
        <v>-79004755.060000002</v>
      </c>
      <c r="BR42" s="28">
        <f t="shared" si="54"/>
        <v>-147870000</v>
      </c>
      <c r="BS42" s="28">
        <f t="shared" si="54"/>
        <v>-152979249.54999998</v>
      </c>
      <c r="BT42" s="28">
        <f t="shared" si="54"/>
        <v>-128012163.46000001</v>
      </c>
      <c r="BU42" s="28">
        <f t="shared" si="54"/>
        <v>-222157134.44</v>
      </c>
      <c r="BV42" s="28">
        <f t="shared" si="54"/>
        <v>-287911344.69999999</v>
      </c>
      <c r="BW42" s="28">
        <f t="shared" si="54"/>
        <v>-288342438.87</v>
      </c>
      <c r="BX42" s="28">
        <f t="shared" si="54"/>
        <v>-57060547.329999998</v>
      </c>
      <c r="BY42" s="28">
        <f t="shared" si="54"/>
        <v>-217786839.49000001</v>
      </c>
      <c r="BZ42" s="28">
        <f t="shared" si="54"/>
        <v>-40798540.960000001</v>
      </c>
      <c r="CA42" s="28">
        <f t="shared" si="54"/>
        <v>-179937260.47</v>
      </c>
      <c r="CB42" s="28">
        <f t="shared" si="54"/>
        <v>-144282576.27000001</v>
      </c>
      <c r="CC42" s="28">
        <f t="shared" si="54"/>
        <v>-119252620.25</v>
      </c>
      <c r="CD42" s="28">
        <f t="shared" si="54"/>
        <v>0</v>
      </c>
      <c r="CE42" s="28">
        <f t="shared" si="54"/>
        <v>-20081000</v>
      </c>
      <c r="CF42" s="28">
        <f t="shared" si="54"/>
        <v>-14354563.84</v>
      </c>
      <c r="CG42" s="28">
        <f t="shared" si="54"/>
        <v>-4330000</v>
      </c>
      <c r="CH42" s="28">
        <f t="shared" si="54"/>
        <v>-4220000</v>
      </c>
      <c r="CI42" s="28">
        <f t="shared" si="54"/>
        <v>-12510000</v>
      </c>
      <c r="CJ42" s="28">
        <f t="shared" si="54"/>
        <v>-3630000</v>
      </c>
      <c r="CK42" s="28">
        <f t="shared" si="54"/>
        <v>0</v>
      </c>
    </row>
    <row r="43" spans="1:89" s="57" customFormat="1" x14ac:dyDescent="0.25">
      <c r="A43" s="57" t="s">
        <v>418</v>
      </c>
      <c r="B43" s="57">
        <f>B42/B4*100</f>
        <v>29.769932643954423</v>
      </c>
      <c r="C43" s="57">
        <f t="shared" ref="C43:D43" si="55">C42/C4*100</f>
        <v>19.031385608991346</v>
      </c>
      <c r="D43" s="57">
        <f t="shared" si="55"/>
        <v>8.666948567187271</v>
      </c>
      <c r="E43" s="57">
        <f>E42/E4</f>
        <v>0.18612233705622691</v>
      </c>
      <c r="F43" s="57">
        <f t="shared" ref="F43:BQ43" si="56">F42/F4</f>
        <v>0.19865744417906595</v>
      </c>
      <c r="G43" s="57">
        <f t="shared" si="56"/>
        <v>0.16665174616982636</v>
      </c>
      <c r="H43" s="57">
        <f t="shared" si="56"/>
        <v>0.11016268878276858</v>
      </c>
      <c r="I43" s="57">
        <f t="shared" si="56"/>
        <v>0.19144666449689415</v>
      </c>
      <c r="J43" s="57">
        <f t="shared" si="56"/>
        <v>0.20585192902525495</v>
      </c>
      <c r="K43" s="57">
        <f t="shared" si="56"/>
        <v>0.17048140972803383</v>
      </c>
      <c r="L43" s="57">
        <f t="shared" si="56"/>
        <v>7.1070623236535874E-2</v>
      </c>
      <c r="M43" s="57">
        <f t="shared" si="56"/>
        <v>0.18884063831396986</v>
      </c>
      <c r="N43" s="57">
        <f t="shared" si="56"/>
        <v>0.19264529745278139</v>
      </c>
      <c r="O43" s="57">
        <f t="shared" si="56"/>
        <v>0.17948605420229893</v>
      </c>
      <c r="P43" s="57">
        <f t="shared" si="56"/>
        <v>0.17326670117084073</v>
      </c>
      <c r="Q43" s="57">
        <f t="shared" si="56"/>
        <v>0.19862317004297572</v>
      </c>
      <c r="R43" s="57">
        <f t="shared" si="56"/>
        <v>0.21958352105318776</v>
      </c>
      <c r="S43" s="57" t="e">
        <f t="shared" si="56"/>
        <v>#DIV/0!</v>
      </c>
      <c r="T43" s="57" t="e">
        <f t="shared" si="56"/>
        <v>#DIV/0!</v>
      </c>
      <c r="U43" s="57" t="e">
        <f t="shared" si="56"/>
        <v>#DIV/0!</v>
      </c>
      <c r="V43" s="57" t="e">
        <f t="shared" si="56"/>
        <v>#DIV/0!</v>
      </c>
      <c r="W43" s="57" t="e">
        <f t="shared" si="56"/>
        <v>#DIV/0!</v>
      </c>
      <c r="X43" s="57" t="e">
        <f t="shared" si="56"/>
        <v>#DIV/0!</v>
      </c>
      <c r="Y43" s="57" t="e">
        <f t="shared" si="56"/>
        <v>#DIV/0!</v>
      </c>
      <c r="Z43" s="57" t="e">
        <f t="shared" si="56"/>
        <v>#DIV/0!</v>
      </c>
      <c r="AA43" s="57" t="e">
        <f t="shared" si="56"/>
        <v>#DIV/0!</v>
      </c>
      <c r="AB43" s="57" t="e">
        <f t="shared" si="56"/>
        <v>#DIV/0!</v>
      </c>
      <c r="AC43" s="57" t="e">
        <f t="shared" si="56"/>
        <v>#DIV/0!</v>
      </c>
      <c r="AD43" s="57" t="e">
        <f t="shared" si="56"/>
        <v>#DIV/0!</v>
      </c>
      <c r="AE43" s="57" t="e">
        <f t="shared" si="56"/>
        <v>#DIV/0!</v>
      </c>
      <c r="AF43" s="57" t="e">
        <f t="shared" si="56"/>
        <v>#DIV/0!</v>
      </c>
      <c r="AG43" s="57" t="e">
        <f t="shared" si="56"/>
        <v>#DIV/0!</v>
      </c>
      <c r="AH43" s="57" t="e">
        <f t="shared" si="56"/>
        <v>#DIV/0!</v>
      </c>
      <c r="AI43" s="57" t="e">
        <f t="shared" si="56"/>
        <v>#DIV/0!</v>
      </c>
      <c r="AJ43" s="57" t="e">
        <f t="shared" si="56"/>
        <v>#DIV/0!</v>
      </c>
      <c r="AK43" s="57" t="e">
        <f t="shared" si="56"/>
        <v>#DIV/0!</v>
      </c>
      <c r="AL43" s="57" t="e">
        <f t="shared" si="56"/>
        <v>#DIV/0!</v>
      </c>
      <c r="AM43" s="57" t="e">
        <f t="shared" si="56"/>
        <v>#DIV/0!</v>
      </c>
      <c r="AN43" s="57" t="e">
        <f t="shared" si="56"/>
        <v>#DIV/0!</v>
      </c>
      <c r="AO43" s="57" t="e">
        <f t="shared" si="56"/>
        <v>#DIV/0!</v>
      </c>
      <c r="AP43" s="57" t="e">
        <f t="shared" si="56"/>
        <v>#DIV/0!</v>
      </c>
      <c r="AQ43" s="57" t="e">
        <f t="shared" si="56"/>
        <v>#DIV/0!</v>
      </c>
      <c r="AR43" s="57" t="e">
        <f t="shared" si="56"/>
        <v>#DIV/0!</v>
      </c>
      <c r="AS43" s="57" t="e">
        <f t="shared" si="56"/>
        <v>#DIV/0!</v>
      </c>
      <c r="AT43" s="57" t="e">
        <f t="shared" si="56"/>
        <v>#DIV/0!</v>
      </c>
      <c r="AU43" s="57" t="e">
        <f t="shared" si="56"/>
        <v>#DIV/0!</v>
      </c>
      <c r="AV43" s="57" t="e">
        <f t="shared" si="56"/>
        <v>#DIV/0!</v>
      </c>
      <c r="AW43" s="57" t="e">
        <f t="shared" si="56"/>
        <v>#DIV/0!</v>
      </c>
      <c r="AX43" s="57" t="e">
        <f t="shared" si="56"/>
        <v>#DIV/0!</v>
      </c>
      <c r="AY43" s="57" t="e">
        <f t="shared" si="56"/>
        <v>#DIV/0!</v>
      </c>
      <c r="AZ43" s="57" t="e">
        <f t="shared" si="56"/>
        <v>#DIV/0!</v>
      </c>
      <c r="BA43" s="57" t="e">
        <f t="shared" si="56"/>
        <v>#DIV/0!</v>
      </c>
      <c r="BB43" s="57" t="e">
        <f t="shared" si="56"/>
        <v>#DIV/0!</v>
      </c>
      <c r="BC43" s="57" t="e">
        <f t="shared" si="56"/>
        <v>#DIV/0!</v>
      </c>
      <c r="BD43" s="57" t="e">
        <f t="shared" si="56"/>
        <v>#DIV/0!</v>
      </c>
      <c r="BE43" s="57" t="e">
        <f t="shared" si="56"/>
        <v>#DIV/0!</v>
      </c>
      <c r="BF43" s="57" t="e">
        <f t="shared" si="56"/>
        <v>#DIV/0!</v>
      </c>
      <c r="BG43" s="57" t="e">
        <f t="shared" si="56"/>
        <v>#DIV/0!</v>
      </c>
      <c r="BH43" s="57" t="e">
        <f t="shared" si="56"/>
        <v>#DIV/0!</v>
      </c>
      <c r="BI43" s="57" t="e">
        <f t="shared" si="56"/>
        <v>#DIV/0!</v>
      </c>
      <c r="BJ43" s="57" t="e">
        <f t="shared" si="56"/>
        <v>#DIV/0!</v>
      </c>
      <c r="BK43" s="57" t="e">
        <f t="shared" si="56"/>
        <v>#DIV/0!</v>
      </c>
      <c r="BL43" s="57" t="e">
        <f t="shared" si="56"/>
        <v>#DIV/0!</v>
      </c>
      <c r="BM43" s="57" t="e">
        <f t="shared" si="56"/>
        <v>#DIV/0!</v>
      </c>
      <c r="BN43" s="57" t="e">
        <f t="shared" si="56"/>
        <v>#DIV/0!</v>
      </c>
      <c r="BO43" s="57" t="e">
        <f t="shared" si="56"/>
        <v>#DIV/0!</v>
      </c>
      <c r="BP43" s="57" t="e">
        <f t="shared" si="56"/>
        <v>#DIV/0!</v>
      </c>
      <c r="BQ43" s="57" t="e">
        <f t="shared" si="56"/>
        <v>#DIV/0!</v>
      </c>
      <c r="BR43" s="57" t="e">
        <f t="shared" ref="BR43:CK43" si="57">BR42/BR4</f>
        <v>#DIV/0!</v>
      </c>
      <c r="BS43" s="57" t="e">
        <f t="shared" si="57"/>
        <v>#DIV/0!</v>
      </c>
      <c r="BT43" s="57" t="e">
        <f t="shared" si="57"/>
        <v>#DIV/0!</v>
      </c>
      <c r="BU43" s="57" t="e">
        <f t="shared" si="57"/>
        <v>#DIV/0!</v>
      </c>
      <c r="BV43" s="57" t="e">
        <f t="shared" si="57"/>
        <v>#DIV/0!</v>
      </c>
      <c r="BW43" s="57" t="e">
        <f t="shared" si="57"/>
        <v>#DIV/0!</v>
      </c>
      <c r="BX43" s="57" t="e">
        <f t="shared" si="57"/>
        <v>#DIV/0!</v>
      </c>
      <c r="BY43" s="57" t="e">
        <f t="shared" si="57"/>
        <v>#DIV/0!</v>
      </c>
      <c r="BZ43" s="57" t="e">
        <f t="shared" si="57"/>
        <v>#DIV/0!</v>
      </c>
      <c r="CA43" s="57" t="e">
        <f t="shared" si="57"/>
        <v>#DIV/0!</v>
      </c>
      <c r="CB43" s="57" t="e">
        <f t="shared" si="57"/>
        <v>#DIV/0!</v>
      </c>
      <c r="CC43" s="57" t="e">
        <f t="shared" si="57"/>
        <v>#DIV/0!</v>
      </c>
      <c r="CD43" s="57" t="e">
        <f t="shared" si="57"/>
        <v>#DIV/0!</v>
      </c>
      <c r="CE43" s="57" t="e">
        <f t="shared" si="57"/>
        <v>#DIV/0!</v>
      </c>
      <c r="CF43" s="57" t="e">
        <f t="shared" si="57"/>
        <v>#DIV/0!</v>
      </c>
      <c r="CG43" s="57" t="e">
        <f t="shared" si="57"/>
        <v>#DIV/0!</v>
      </c>
      <c r="CH43" s="57" t="e">
        <f t="shared" si="57"/>
        <v>#DIV/0!</v>
      </c>
      <c r="CI43" s="57" t="e">
        <f t="shared" si="57"/>
        <v>#DIV/0!</v>
      </c>
      <c r="CJ43" s="57" t="e">
        <f t="shared" si="57"/>
        <v>#DIV/0!</v>
      </c>
      <c r="CK43" s="57" t="e">
        <f t="shared" si="57"/>
        <v>#DIV/0!</v>
      </c>
    </row>
    <row r="44" spans="1:89" s="16" customFormat="1" x14ac:dyDescent="0.25">
      <c r="A44" s="18" t="s">
        <v>89</v>
      </c>
      <c r="B44" s="30"/>
      <c r="C44" s="30"/>
      <c r="D44" s="30"/>
      <c r="E44" s="30"/>
      <c r="F44" s="30"/>
      <c r="G44" s="30"/>
      <c r="H44" s="30"/>
      <c r="I44" s="30"/>
      <c r="J44" s="30"/>
      <c r="K44" s="30"/>
    </row>
    <row r="45" spans="1:89" x14ac:dyDescent="0.25">
      <c r="A45" s="17" t="s">
        <v>420</v>
      </c>
      <c r="B45" s="26">
        <f>B70*B69</f>
        <v>96429143.810400009</v>
      </c>
      <c r="C45" s="26">
        <f t="shared" ref="C45:BN45" si="58">C70*C69</f>
        <v>91448960.7896</v>
      </c>
      <c r="D45" s="26">
        <f t="shared" si="58"/>
        <v>88460605.138400003</v>
      </c>
      <c r="E45" s="26">
        <f t="shared" si="58"/>
        <v>87545708.3248</v>
      </c>
      <c r="F45" s="26">
        <f t="shared" si="58"/>
        <v>84301157.952000007</v>
      </c>
      <c r="G45" s="26">
        <f t="shared" si="58"/>
        <v>80084418.100800008</v>
      </c>
      <c r="H45" s="26">
        <f t="shared" si="58"/>
        <v>79343838.809599996</v>
      </c>
      <c r="I45" s="26">
        <f t="shared" si="58"/>
        <v>78833139.338400006</v>
      </c>
      <c r="J45" s="26">
        <f t="shared" si="58"/>
        <v>35555575.452800006</v>
      </c>
      <c r="K45" s="26">
        <f t="shared" si="58"/>
        <v>31942111.66</v>
      </c>
      <c r="L45" s="26">
        <f t="shared" si="58"/>
        <v>38241462.942400001</v>
      </c>
      <c r="M45" s="26">
        <f t="shared" si="58"/>
        <v>30987829.521600001</v>
      </c>
      <c r="N45" s="26">
        <f t="shared" si="58"/>
        <v>25419458.240000002</v>
      </c>
      <c r="O45" s="26">
        <f t="shared" si="58"/>
        <v>20350274.2784</v>
      </c>
      <c r="P45" s="26">
        <f t="shared" si="58"/>
        <v>16781541.784000002</v>
      </c>
      <c r="Q45" s="26">
        <f t="shared" si="58"/>
        <v>0</v>
      </c>
      <c r="R45" s="26">
        <f t="shared" si="58"/>
        <v>0</v>
      </c>
      <c r="S45" s="26">
        <f t="shared" si="58"/>
        <v>0</v>
      </c>
      <c r="T45" s="26">
        <f t="shared" si="58"/>
        <v>3180386651.0152001</v>
      </c>
      <c r="U45" s="26">
        <f t="shared" si="58"/>
        <v>2961542764.1671996</v>
      </c>
      <c r="V45" s="26">
        <f t="shared" si="58"/>
        <v>2874900411.2176003</v>
      </c>
      <c r="W45" s="26">
        <f t="shared" si="58"/>
        <v>2759364309.0296001</v>
      </c>
      <c r="X45" s="26">
        <f t="shared" si="58"/>
        <v>2822010661.2744002</v>
      </c>
      <c r="Y45" s="26">
        <f t="shared" si="58"/>
        <v>2521685644.2639999</v>
      </c>
      <c r="Z45" s="26">
        <f t="shared" si="58"/>
        <v>2369715421.8144002</v>
      </c>
      <c r="AA45" s="26">
        <f t="shared" si="58"/>
        <v>2139936077.9104002</v>
      </c>
      <c r="AB45" s="26">
        <f t="shared" si="58"/>
        <v>2126235830.5520003</v>
      </c>
      <c r="AC45" s="26">
        <f t="shared" si="58"/>
        <v>1875735099.2360001</v>
      </c>
      <c r="AD45" s="26">
        <f t="shared" si="58"/>
        <v>1778286241.0776002</v>
      </c>
      <c r="AE45" s="26">
        <f t="shared" si="58"/>
        <v>1657448706.4328001</v>
      </c>
      <c r="AF45" s="26">
        <f t="shared" si="58"/>
        <v>1645210970.7248001</v>
      </c>
      <c r="AG45" s="26">
        <f t="shared" si="58"/>
        <v>1469288123.3176</v>
      </c>
      <c r="AH45" s="26">
        <f t="shared" si="58"/>
        <v>1401523517.6632001</v>
      </c>
      <c r="AI45" s="26">
        <f t="shared" si="58"/>
        <v>1307152865.7776</v>
      </c>
      <c r="AJ45" s="26">
        <f t="shared" si="58"/>
        <v>1295015828.1791999</v>
      </c>
      <c r="AK45" s="26">
        <f t="shared" si="58"/>
        <v>1166436971.5671999</v>
      </c>
      <c r="AL45" s="26">
        <f t="shared" si="58"/>
        <v>1092707732.2880001</v>
      </c>
      <c r="AM45" s="26">
        <f t="shared" si="58"/>
        <v>1030883134.7696</v>
      </c>
      <c r="AN45" s="26">
        <f t="shared" si="58"/>
        <v>1018017368.4344001</v>
      </c>
      <c r="AO45" s="26">
        <f t="shared" si="58"/>
        <v>916474950.13759995</v>
      </c>
      <c r="AP45" s="26">
        <f t="shared" si="58"/>
        <v>898425866.96880007</v>
      </c>
      <c r="AQ45" s="26">
        <f t="shared" si="58"/>
        <v>874750700.03759992</v>
      </c>
      <c r="AR45" s="26">
        <f t="shared" si="58"/>
        <v>851355574.19840002</v>
      </c>
      <c r="AS45" s="26">
        <f t="shared" si="58"/>
        <v>770098958.73360002</v>
      </c>
      <c r="AT45" s="26">
        <f t="shared" si="58"/>
        <v>758847052.19920003</v>
      </c>
      <c r="AU45" s="26">
        <f t="shared" si="58"/>
        <v>744321212.02559996</v>
      </c>
      <c r="AV45" s="26">
        <f t="shared" si="58"/>
        <v>724131951.10160005</v>
      </c>
      <c r="AW45" s="26">
        <f t="shared" si="58"/>
        <v>663613481.17120004</v>
      </c>
      <c r="AX45" s="26">
        <f t="shared" si="58"/>
        <v>651174814.63680005</v>
      </c>
      <c r="AY45" s="26">
        <f t="shared" si="58"/>
        <v>635100029.13199997</v>
      </c>
      <c r="AZ45" s="26">
        <f t="shared" si="58"/>
        <v>634782760.68000007</v>
      </c>
      <c r="BA45" s="26">
        <f t="shared" si="58"/>
        <v>590877518.28320003</v>
      </c>
      <c r="BB45" s="26">
        <f t="shared" si="58"/>
        <v>588857292.12720001</v>
      </c>
      <c r="BC45" s="26">
        <f t="shared" si="58"/>
        <v>574354077.25199997</v>
      </c>
      <c r="BD45" s="26">
        <f t="shared" si="58"/>
        <v>560277247.14960003</v>
      </c>
      <c r="BE45" s="26">
        <f t="shared" si="58"/>
        <v>526956952.14160007</v>
      </c>
      <c r="BF45" s="26">
        <f t="shared" si="58"/>
        <v>514713302.49440002</v>
      </c>
      <c r="BG45" s="26">
        <f t="shared" si="58"/>
        <v>503417189.33279997</v>
      </c>
      <c r="BH45" s="26">
        <f t="shared" si="58"/>
        <v>512742944.7888</v>
      </c>
      <c r="BI45" s="26">
        <f t="shared" si="58"/>
        <v>482071414.93279999</v>
      </c>
      <c r="BJ45" s="26">
        <f t="shared" si="58"/>
        <v>469632412.06720001</v>
      </c>
      <c r="BK45" s="26">
        <f t="shared" si="58"/>
        <v>456940370.73199999</v>
      </c>
      <c r="BL45" s="26">
        <f t="shared" si="58"/>
        <v>448928939.28560001</v>
      </c>
      <c r="BM45" s="26">
        <f t="shared" si="58"/>
        <v>425767996.45679998</v>
      </c>
      <c r="BN45" s="26">
        <f t="shared" si="58"/>
        <v>417143450.60160005</v>
      </c>
      <c r="BO45" s="26">
        <f t="shared" ref="BO45:CJ45" si="59">BO70*BO69</f>
        <v>406028968.08720005</v>
      </c>
      <c r="BP45" s="26">
        <f t="shared" si="59"/>
        <v>396398453.56480002</v>
      </c>
      <c r="BQ45" s="26">
        <f t="shared" si="59"/>
        <v>376179450.62400001</v>
      </c>
      <c r="BR45" s="26">
        <f t="shared" si="59"/>
        <v>0</v>
      </c>
      <c r="BS45" s="26">
        <f t="shared" si="59"/>
        <v>350852465.73120004</v>
      </c>
      <c r="BT45" s="26">
        <f t="shared" si="59"/>
        <v>339089855.31999999</v>
      </c>
      <c r="BU45" s="26">
        <f t="shared" si="59"/>
        <v>255297295.91599998</v>
      </c>
      <c r="BV45" s="26">
        <f t="shared" si="59"/>
        <v>228024973.352</v>
      </c>
      <c r="BW45" s="26">
        <f t="shared" si="59"/>
        <v>193639949.31599998</v>
      </c>
      <c r="BX45" s="26">
        <f t="shared" si="59"/>
        <v>167175876.21600002</v>
      </c>
      <c r="BY45" s="26">
        <f t="shared" si="59"/>
        <v>141199217.4136</v>
      </c>
      <c r="BZ45" s="26">
        <f t="shared" si="59"/>
        <v>149169482.35680002</v>
      </c>
      <c r="CA45" s="26">
        <f t="shared" si="59"/>
        <v>31390782.2744</v>
      </c>
      <c r="CB45" s="26">
        <f t="shared" si="59"/>
        <v>21196670.336800002</v>
      </c>
      <c r="CC45" s="26">
        <f t="shared" si="59"/>
        <v>18077398.395999998</v>
      </c>
      <c r="CD45" s="26">
        <f t="shared" si="59"/>
        <v>0</v>
      </c>
      <c r="CE45" s="26">
        <f t="shared" si="59"/>
        <v>86379040</v>
      </c>
      <c r="CF45" s="26">
        <f t="shared" si="59"/>
        <v>80338268.220799997</v>
      </c>
      <c r="CG45" s="26">
        <f t="shared" si="59"/>
        <v>39415192.029600002</v>
      </c>
      <c r="CH45" s="26">
        <f t="shared" si="59"/>
        <v>0</v>
      </c>
      <c r="CI45" s="26">
        <f t="shared" si="59"/>
        <v>0</v>
      </c>
      <c r="CJ45" s="26">
        <f t="shared" si="59"/>
        <v>0</v>
      </c>
    </row>
    <row r="46" spans="1:89" s="63" customFormat="1" x14ac:dyDescent="0.25">
      <c r="A46" s="63" t="s">
        <v>421</v>
      </c>
      <c r="B46" s="63">
        <f>B69</f>
        <v>0.08</v>
      </c>
      <c r="C46" s="63">
        <f t="shared" ref="C46:BN46" si="60">C69</f>
        <v>0.08</v>
      </c>
      <c r="D46" s="63">
        <f t="shared" si="60"/>
        <v>0.08</v>
      </c>
      <c r="E46" s="63">
        <f t="shared" si="60"/>
        <v>0.08</v>
      </c>
      <c r="F46" s="63">
        <f t="shared" si="60"/>
        <v>0.08</v>
      </c>
      <c r="G46" s="63">
        <f t="shared" si="60"/>
        <v>0.08</v>
      </c>
      <c r="H46" s="63">
        <f t="shared" si="60"/>
        <v>0.08</v>
      </c>
      <c r="I46" s="63">
        <f t="shared" si="60"/>
        <v>0.08</v>
      </c>
      <c r="J46" s="63">
        <f t="shared" si="60"/>
        <v>0.08</v>
      </c>
      <c r="K46" s="63">
        <f t="shared" si="60"/>
        <v>0.08</v>
      </c>
      <c r="L46" s="63">
        <f t="shared" si="60"/>
        <v>0.08</v>
      </c>
      <c r="M46" s="63">
        <f t="shared" si="60"/>
        <v>0.08</v>
      </c>
      <c r="N46" s="63">
        <f t="shared" si="60"/>
        <v>0.08</v>
      </c>
      <c r="O46" s="63">
        <f t="shared" si="60"/>
        <v>0.08</v>
      </c>
      <c r="P46" s="63">
        <f t="shared" si="60"/>
        <v>0.08</v>
      </c>
      <c r="Q46" s="63">
        <f t="shared" si="60"/>
        <v>0.08</v>
      </c>
      <c r="R46" s="63">
        <f t="shared" si="60"/>
        <v>0.08</v>
      </c>
      <c r="S46" s="63">
        <f t="shared" si="60"/>
        <v>0.08</v>
      </c>
      <c r="T46" s="63">
        <f t="shared" si="60"/>
        <v>0.08</v>
      </c>
      <c r="U46" s="63">
        <f t="shared" si="60"/>
        <v>0.08</v>
      </c>
      <c r="V46" s="63">
        <f t="shared" si="60"/>
        <v>0.08</v>
      </c>
      <c r="W46" s="63">
        <f t="shared" si="60"/>
        <v>0.08</v>
      </c>
      <c r="X46" s="63">
        <f t="shared" si="60"/>
        <v>0.08</v>
      </c>
      <c r="Y46" s="63">
        <f t="shared" si="60"/>
        <v>0.08</v>
      </c>
      <c r="Z46" s="63">
        <f t="shared" si="60"/>
        <v>0.08</v>
      </c>
      <c r="AA46" s="63">
        <f t="shared" si="60"/>
        <v>0.08</v>
      </c>
      <c r="AB46" s="63">
        <f t="shared" si="60"/>
        <v>0.08</v>
      </c>
      <c r="AC46" s="63">
        <f t="shared" si="60"/>
        <v>0.08</v>
      </c>
      <c r="AD46" s="63">
        <f t="shared" si="60"/>
        <v>0.08</v>
      </c>
      <c r="AE46" s="63">
        <f t="shared" si="60"/>
        <v>0.08</v>
      </c>
      <c r="AF46" s="63">
        <f t="shared" si="60"/>
        <v>0.08</v>
      </c>
      <c r="AG46" s="63">
        <f t="shared" si="60"/>
        <v>0.08</v>
      </c>
      <c r="AH46" s="63">
        <f t="shared" si="60"/>
        <v>0.08</v>
      </c>
      <c r="AI46" s="63">
        <f t="shared" si="60"/>
        <v>0.08</v>
      </c>
      <c r="AJ46" s="63">
        <f t="shared" si="60"/>
        <v>0.08</v>
      </c>
      <c r="AK46" s="63">
        <f t="shared" si="60"/>
        <v>0.08</v>
      </c>
      <c r="AL46" s="63">
        <f t="shared" si="60"/>
        <v>0.08</v>
      </c>
      <c r="AM46" s="63">
        <f t="shared" si="60"/>
        <v>0.08</v>
      </c>
      <c r="AN46" s="63">
        <f t="shared" si="60"/>
        <v>0.08</v>
      </c>
      <c r="AO46" s="63">
        <f t="shared" si="60"/>
        <v>0.08</v>
      </c>
      <c r="AP46" s="63">
        <f t="shared" si="60"/>
        <v>0.08</v>
      </c>
      <c r="AQ46" s="63">
        <f t="shared" si="60"/>
        <v>0.08</v>
      </c>
      <c r="AR46" s="63">
        <f t="shared" si="60"/>
        <v>0.08</v>
      </c>
      <c r="AS46" s="63">
        <f t="shared" si="60"/>
        <v>0.08</v>
      </c>
      <c r="AT46" s="63">
        <f t="shared" si="60"/>
        <v>0.08</v>
      </c>
      <c r="AU46" s="63">
        <f t="shared" si="60"/>
        <v>0.08</v>
      </c>
      <c r="AV46" s="63">
        <f t="shared" si="60"/>
        <v>0.08</v>
      </c>
      <c r="AW46" s="63">
        <f t="shared" si="60"/>
        <v>0.08</v>
      </c>
      <c r="AX46" s="63">
        <f t="shared" si="60"/>
        <v>0.08</v>
      </c>
      <c r="AY46" s="63">
        <f t="shared" si="60"/>
        <v>0.08</v>
      </c>
      <c r="AZ46" s="63">
        <f t="shared" si="60"/>
        <v>0.08</v>
      </c>
      <c r="BA46" s="63">
        <f t="shared" si="60"/>
        <v>0.08</v>
      </c>
      <c r="BB46" s="63">
        <f t="shared" si="60"/>
        <v>0.08</v>
      </c>
      <c r="BC46" s="63">
        <f t="shared" si="60"/>
        <v>0.08</v>
      </c>
      <c r="BD46" s="63">
        <f t="shared" si="60"/>
        <v>0.08</v>
      </c>
      <c r="BE46" s="63">
        <f t="shared" si="60"/>
        <v>0.08</v>
      </c>
      <c r="BF46" s="63">
        <f t="shared" si="60"/>
        <v>0.08</v>
      </c>
      <c r="BG46" s="63">
        <f t="shared" si="60"/>
        <v>0.08</v>
      </c>
      <c r="BH46" s="63">
        <f t="shared" si="60"/>
        <v>0.08</v>
      </c>
      <c r="BI46" s="63">
        <f t="shared" si="60"/>
        <v>0.08</v>
      </c>
      <c r="BJ46" s="63">
        <f t="shared" si="60"/>
        <v>0.08</v>
      </c>
      <c r="BK46" s="63">
        <f t="shared" si="60"/>
        <v>0.08</v>
      </c>
      <c r="BL46" s="63">
        <f t="shared" si="60"/>
        <v>0.08</v>
      </c>
      <c r="BM46" s="63">
        <f t="shared" si="60"/>
        <v>0.08</v>
      </c>
      <c r="BN46" s="63">
        <f t="shared" si="60"/>
        <v>0.08</v>
      </c>
      <c r="BO46" s="63">
        <f t="shared" ref="BO46:CJ46" si="61">BO69</f>
        <v>0.08</v>
      </c>
      <c r="BP46" s="63">
        <f t="shared" si="61"/>
        <v>0.08</v>
      </c>
      <c r="BQ46" s="63">
        <f t="shared" si="61"/>
        <v>0.08</v>
      </c>
      <c r="BR46" s="63">
        <f t="shared" si="61"/>
        <v>0.08</v>
      </c>
      <c r="BS46" s="63">
        <f t="shared" si="61"/>
        <v>0.08</v>
      </c>
      <c r="BT46" s="63">
        <f t="shared" si="61"/>
        <v>0.08</v>
      </c>
      <c r="BU46" s="63">
        <f t="shared" si="61"/>
        <v>0.08</v>
      </c>
      <c r="BV46" s="63">
        <f t="shared" si="61"/>
        <v>0.08</v>
      </c>
      <c r="BW46" s="63">
        <f t="shared" si="61"/>
        <v>0.08</v>
      </c>
      <c r="BX46" s="63">
        <f t="shared" si="61"/>
        <v>0.08</v>
      </c>
      <c r="BY46" s="63">
        <f t="shared" si="61"/>
        <v>0.08</v>
      </c>
      <c r="BZ46" s="63">
        <f t="shared" si="61"/>
        <v>0.08</v>
      </c>
      <c r="CA46" s="63">
        <f t="shared" si="61"/>
        <v>0.08</v>
      </c>
      <c r="CB46" s="63">
        <f t="shared" si="61"/>
        <v>0.08</v>
      </c>
      <c r="CC46" s="63">
        <f t="shared" si="61"/>
        <v>0.08</v>
      </c>
      <c r="CD46" s="63">
        <f t="shared" si="61"/>
        <v>0.08</v>
      </c>
      <c r="CE46" s="63">
        <f t="shared" si="61"/>
        <v>0.08</v>
      </c>
      <c r="CF46" s="63">
        <f t="shared" si="61"/>
        <v>0.08</v>
      </c>
      <c r="CG46" s="63">
        <f t="shared" si="61"/>
        <v>0.08</v>
      </c>
      <c r="CH46" s="63">
        <f t="shared" si="61"/>
        <v>0.08</v>
      </c>
      <c r="CI46" s="63">
        <f t="shared" si="61"/>
        <v>0.08</v>
      </c>
      <c r="CJ46" s="63">
        <f t="shared" si="61"/>
        <v>0.08</v>
      </c>
    </row>
    <row r="47" spans="1:89" s="2" customFormat="1" x14ac:dyDescent="0.25">
      <c r="A47" s="20" t="s">
        <v>422</v>
      </c>
      <c r="B47" s="28">
        <f>B42-B45</f>
        <v>90123971.319599986</v>
      </c>
      <c r="C47" s="28">
        <f t="shared" ref="C47:BN47" si="62">C42-C45</f>
        <v>-16679189.209600002</v>
      </c>
      <c r="D47" s="28">
        <f t="shared" si="62"/>
        <v>-73522728.228399992</v>
      </c>
      <c r="E47" s="28">
        <f t="shared" si="62"/>
        <v>52494399.365199998</v>
      </c>
      <c r="F47" s="28">
        <f t="shared" si="62"/>
        <v>20147550.958000034</v>
      </c>
      <c r="G47" s="28">
        <f t="shared" si="62"/>
        <v>-23461030.080799989</v>
      </c>
      <c r="H47" s="28">
        <f t="shared" si="62"/>
        <v>-62411747.419600002</v>
      </c>
      <c r="I47" s="28">
        <f t="shared" si="62"/>
        <v>48481079.171599939</v>
      </c>
      <c r="J47" s="28">
        <f t="shared" si="62"/>
        <v>57902830.927200019</v>
      </c>
      <c r="K47" s="28">
        <f t="shared" si="62"/>
        <v>16347997.309999984</v>
      </c>
      <c r="L47" s="28">
        <f t="shared" si="62"/>
        <v>-29407193.352399997</v>
      </c>
      <c r="M47" s="28">
        <f t="shared" si="62"/>
        <v>81757183.258399993</v>
      </c>
      <c r="N47" s="28">
        <f t="shared" si="62"/>
        <v>53464038.43999996</v>
      </c>
      <c r="O47" s="28">
        <f t="shared" si="62"/>
        <v>74563688.741600037</v>
      </c>
      <c r="P47" s="28">
        <f t="shared" si="62"/>
        <v>67236857.736000031</v>
      </c>
      <c r="Q47" s="28">
        <f t="shared" si="62"/>
        <v>78574092.780000001</v>
      </c>
      <c r="R47" s="28">
        <f t="shared" si="62"/>
        <v>69584154.749999985</v>
      </c>
      <c r="S47" s="28">
        <f t="shared" si="62"/>
        <v>0</v>
      </c>
      <c r="T47" s="28">
        <f t="shared" si="62"/>
        <v>-3868038785.9252005</v>
      </c>
      <c r="U47" s="28">
        <f t="shared" si="62"/>
        <v>-5049936089.9771996</v>
      </c>
      <c r="V47" s="28">
        <f t="shared" si="62"/>
        <v>-4645524401.3476</v>
      </c>
      <c r="W47" s="28">
        <f t="shared" si="62"/>
        <v>-4262542827.1395998</v>
      </c>
      <c r="X47" s="28">
        <f t="shared" si="62"/>
        <v>-3818321607.2244005</v>
      </c>
      <c r="Y47" s="28">
        <f t="shared" si="62"/>
        <v>-5119375855.2939997</v>
      </c>
      <c r="Z47" s="28">
        <f t="shared" si="62"/>
        <v>-4351521066.0344</v>
      </c>
      <c r="AA47" s="28">
        <f t="shared" si="62"/>
        <v>-3453061580.3604002</v>
      </c>
      <c r="AB47" s="28">
        <f t="shared" si="62"/>
        <v>-3016026399.7420001</v>
      </c>
      <c r="AC47" s="28">
        <f t="shared" si="62"/>
        <v>-3496191358.9559999</v>
      </c>
      <c r="AD47" s="28">
        <f t="shared" si="62"/>
        <v>-3159150603.4176006</v>
      </c>
      <c r="AE47" s="28">
        <f t="shared" si="62"/>
        <v>-2599330863.8928003</v>
      </c>
      <c r="AF47" s="28">
        <f t="shared" si="62"/>
        <v>-2320809198.2547998</v>
      </c>
      <c r="AG47" s="28">
        <f t="shared" si="62"/>
        <v>-2781620029.7676001</v>
      </c>
      <c r="AH47" s="28">
        <f t="shared" si="62"/>
        <v>-2445973651.9331999</v>
      </c>
      <c r="AI47" s="28">
        <f t="shared" si="62"/>
        <v>-1995822294.8076</v>
      </c>
      <c r="AJ47" s="28">
        <f t="shared" si="62"/>
        <v>-1791496679.5492001</v>
      </c>
      <c r="AK47" s="28">
        <f t="shared" si="62"/>
        <v>-2195016432.8972001</v>
      </c>
      <c r="AL47" s="28">
        <f t="shared" si="62"/>
        <v>-1809611796.128</v>
      </c>
      <c r="AM47" s="28">
        <f t="shared" si="62"/>
        <v>-1530572190.7395999</v>
      </c>
      <c r="AN47" s="28">
        <f t="shared" si="62"/>
        <v>-1398206785.8844001</v>
      </c>
      <c r="AO47" s="28">
        <f t="shared" si="62"/>
        <v>-1324397326.0776</v>
      </c>
      <c r="AP47" s="28">
        <f t="shared" si="62"/>
        <v>-1309621530.4188001</v>
      </c>
      <c r="AQ47" s="28">
        <f t="shared" si="62"/>
        <v>-1204430921.7676001</v>
      </c>
      <c r="AR47" s="28">
        <f t="shared" si="62"/>
        <v>-1171558509.1084001</v>
      </c>
      <c r="AS47" s="28">
        <f t="shared" si="62"/>
        <v>-1380234212.0735998</v>
      </c>
      <c r="AT47" s="28">
        <f t="shared" si="62"/>
        <v>-1365523001.1691999</v>
      </c>
      <c r="AU47" s="28">
        <f t="shared" si="62"/>
        <v>-1269565389.4956</v>
      </c>
      <c r="AV47" s="28">
        <f t="shared" si="62"/>
        <v>-1094636149.8116</v>
      </c>
      <c r="AW47" s="28">
        <f t="shared" si="62"/>
        <v>-1214450063.3312001</v>
      </c>
      <c r="AX47" s="28">
        <f t="shared" si="62"/>
        <v>-1148538939.4868002</v>
      </c>
      <c r="AY47" s="28">
        <f t="shared" si="62"/>
        <v>-1029093452.312</v>
      </c>
      <c r="AZ47" s="28">
        <f t="shared" si="62"/>
        <v>-912708678.76999998</v>
      </c>
      <c r="BA47" s="28">
        <f t="shared" si="62"/>
        <v>-966476645.33319998</v>
      </c>
      <c r="BB47" s="28">
        <f t="shared" si="62"/>
        <v>-965766447.68720007</v>
      </c>
      <c r="BC47" s="28">
        <f t="shared" si="62"/>
        <v>-905480197.47199988</v>
      </c>
      <c r="BD47" s="28">
        <f t="shared" si="62"/>
        <v>-792737615.93959999</v>
      </c>
      <c r="BE47" s="28">
        <f t="shared" si="62"/>
        <v>-942028467.71160007</v>
      </c>
      <c r="BF47" s="28">
        <f t="shared" si="62"/>
        <v>-856598894.06439996</v>
      </c>
      <c r="BG47" s="28">
        <f t="shared" si="62"/>
        <v>-770285781.60280001</v>
      </c>
      <c r="BH47" s="28">
        <f t="shared" si="62"/>
        <v>-703335824.93879998</v>
      </c>
      <c r="BI47" s="28">
        <f t="shared" si="62"/>
        <v>-837715071.78279996</v>
      </c>
      <c r="BJ47" s="28">
        <f t="shared" si="62"/>
        <v>-761129027.17720008</v>
      </c>
      <c r="BK47" s="28">
        <f t="shared" si="62"/>
        <v>-694810452.53199995</v>
      </c>
      <c r="BL47" s="28">
        <f t="shared" si="62"/>
        <v>-653614035.78559995</v>
      </c>
      <c r="BM47" s="28">
        <f t="shared" si="62"/>
        <v>-648980937.67680001</v>
      </c>
      <c r="BN47" s="28">
        <f t="shared" si="62"/>
        <v>-584316686.89160001</v>
      </c>
      <c r="BO47" s="28">
        <f t="shared" ref="BO47:CJ47" si="63">BO42-BO45</f>
        <v>-519580365.63720006</v>
      </c>
      <c r="BP47" s="28">
        <f t="shared" si="63"/>
        <v>-510447612.64480001</v>
      </c>
      <c r="BQ47" s="28">
        <f t="shared" si="63"/>
        <v>-455184205.68400002</v>
      </c>
      <c r="BR47" s="28">
        <f t="shared" si="63"/>
        <v>-147870000</v>
      </c>
      <c r="BS47" s="28">
        <f t="shared" si="63"/>
        <v>-503831715.28120005</v>
      </c>
      <c r="BT47" s="28">
        <f t="shared" si="63"/>
        <v>-467102018.77999997</v>
      </c>
      <c r="BU47" s="28">
        <f t="shared" si="63"/>
        <v>-477454430.35599995</v>
      </c>
      <c r="BV47" s="28">
        <f t="shared" si="63"/>
        <v>-515936318.05199999</v>
      </c>
      <c r="BW47" s="28">
        <f t="shared" si="63"/>
        <v>-481982388.18599999</v>
      </c>
      <c r="BX47" s="28">
        <f t="shared" si="63"/>
        <v>-224236423.546</v>
      </c>
      <c r="BY47" s="28">
        <f t="shared" si="63"/>
        <v>-358986056.90359998</v>
      </c>
      <c r="BZ47" s="28">
        <f t="shared" si="63"/>
        <v>-189968023.31680003</v>
      </c>
      <c r="CA47" s="28">
        <f t="shared" si="63"/>
        <v>-211328042.74439999</v>
      </c>
      <c r="CB47" s="28">
        <f t="shared" si="63"/>
        <v>-165479246.60680002</v>
      </c>
      <c r="CC47" s="28">
        <f t="shared" si="63"/>
        <v>-137330018.646</v>
      </c>
      <c r="CD47" s="28">
        <f t="shared" si="63"/>
        <v>0</v>
      </c>
      <c r="CE47" s="28">
        <f t="shared" si="63"/>
        <v>-106460040</v>
      </c>
      <c r="CF47" s="28">
        <f t="shared" si="63"/>
        <v>-94692832.060800001</v>
      </c>
      <c r="CG47" s="28">
        <f t="shared" si="63"/>
        <v>-43745192.029600002</v>
      </c>
      <c r="CH47" s="28">
        <f t="shared" si="63"/>
        <v>-4220000</v>
      </c>
      <c r="CI47" s="28">
        <f t="shared" si="63"/>
        <v>-12510000</v>
      </c>
      <c r="CJ47" s="28">
        <f t="shared" si="63"/>
        <v>-3630000</v>
      </c>
    </row>
    <row r="49" spans="1:89" ht="14.25" customHeight="1" x14ac:dyDescent="0.25"/>
    <row r="50" spans="1:89" s="2" customFormat="1" ht="15" thickBot="1" x14ac:dyDescent="0.3">
      <c r="A50" s="17"/>
      <c r="B50" s="1"/>
      <c r="C50" s="1"/>
      <c r="D50" s="1"/>
      <c r="E50" s="1"/>
      <c r="F50" s="1"/>
      <c r="G50" s="1"/>
      <c r="H50" s="1"/>
      <c r="I50" s="1"/>
      <c r="J50" s="1"/>
      <c r="K50"/>
    </row>
    <row r="51" spans="1:89" s="56" customFormat="1" x14ac:dyDescent="0.25">
      <c r="A51" s="55" t="s">
        <v>104</v>
      </c>
      <c r="B51" s="188">
        <v>20180930</v>
      </c>
      <c r="C51" s="188">
        <v>20180630</v>
      </c>
      <c r="D51" s="188">
        <v>20180331</v>
      </c>
      <c r="E51" s="188">
        <v>20171231</v>
      </c>
      <c r="F51" s="188">
        <v>20170930</v>
      </c>
      <c r="G51" s="188">
        <v>20170630</v>
      </c>
      <c r="H51" s="188">
        <v>20170331</v>
      </c>
      <c r="I51" s="188">
        <v>20161231</v>
      </c>
      <c r="J51" s="188">
        <v>20160930</v>
      </c>
      <c r="K51" s="188">
        <v>20160630</v>
      </c>
      <c r="L51" s="188">
        <v>20160331</v>
      </c>
      <c r="M51" s="188">
        <v>20151231</v>
      </c>
      <c r="N51" s="188">
        <v>20150930</v>
      </c>
      <c r="O51" s="188">
        <v>20141231</v>
      </c>
      <c r="P51" s="188">
        <v>20131231</v>
      </c>
      <c r="Q51" s="188">
        <v>20121231</v>
      </c>
      <c r="R51" s="188">
        <v>20111231</v>
      </c>
      <c r="S51" s="188">
        <v>19700101</v>
      </c>
      <c r="T51" s="188">
        <v>20140331</v>
      </c>
      <c r="U51" s="188">
        <v>20131231</v>
      </c>
      <c r="V51" s="188">
        <v>20130930</v>
      </c>
      <c r="W51" s="188">
        <v>20130630</v>
      </c>
      <c r="X51" s="188">
        <v>20130331</v>
      </c>
      <c r="Y51" s="188">
        <v>20121231</v>
      </c>
      <c r="Z51" s="188">
        <v>20120930</v>
      </c>
      <c r="AA51" s="188">
        <v>20120630</v>
      </c>
      <c r="AB51" s="188">
        <v>20120331</v>
      </c>
      <c r="AC51" s="188">
        <v>20111231</v>
      </c>
      <c r="AD51" s="188">
        <v>20110930</v>
      </c>
      <c r="AE51" s="188">
        <v>20110630</v>
      </c>
      <c r="AF51" s="188">
        <v>20110331</v>
      </c>
      <c r="AG51" s="188">
        <v>20101231</v>
      </c>
      <c r="AH51" s="188">
        <v>20100930</v>
      </c>
      <c r="AI51" s="188">
        <v>20100630</v>
      </c>
      <c r="AJ51" s="188">
        <v>20100331</v>
      </c>
      <c r="AK51" s="188">
        <v>20091231</v>
      </c>
      <c r="AL51" s="188">
        <v>20090930</v>
      </c>
      <c r="AM51" s="188">
        <v>20090630</v>
      </c>
      <c r="AN51" s="188">
        <v>20090331</v>
      </c>
      <c r="AO51" s="188">
        <v>20081231</v>
      </c>
      <c r="AP51" s="188">
        <v>20080930</v>
      </c>
      <c r="AQ51" s="188">
        <v>20080630</v>
      </c>
      <c r="AR51" s="188">
        <v>20080331</v>
      </c>
      <c r="AS51" s="188">
        <v>20071231</v>
      </c>
      <c r="AT51" s="188">
        <v>20070930</v>
      </c>
      <c r="AU51" s="188">
        <v>20070630</v>
      </c>
      <c r="AV51" s="188">
        <v>20070331</v>
      </c>
      <c r="AW51" s="188">
        <v>20061231</v>
      </c>
      <c r="AX51" s="188">
        <v>20060930</v>
      </c>
      <c r="AY51" s="188">
        <v>20060630</v>
      </c>
      <c r="AZ51" s="188">
        <v>20060331</v>
      </c>
      <c r="BA51" s="188">
        <v>20051231</v>
      </c>
      <c r="BB51" s="188">
        <v>20050930</v>
      </c>
      <c r="BC51" s="188">
        <v>20050630</v>
      </c>
      <c r="BD51" s="188">
        <v>20050331</v>
      </c>
      <c r="BE51" s="188">
        <v>20041231</v>
      </c>
      <c r="BF51" s="188">
        <v>20040930</v>
      </c>
      <c r="BG51" s="188">
        <v>20040630</v>
      </c>
      <c r="BH51" s="188">
        <v>20040331</v>
      </c>
      <c r="BI51" s="188">
        <v>20031231</v>
      </c>
      <c r="BJ51" s="188">
        <v>20030930</v>
      </c>
      <c r="BK51" s="188">
        <v>20030630</v>
      </c>
      <c r="BL51" s="188">
        <v>20030331</v>
      </c>
      <c r="BM51" s="188">
        <v>20021231</v>
      </c>
      <c r="BN51" s="188">
        <v>20020930</v>
      </c>
      <c r="BO51" s="188">
        <v>20020630</v>
      </c>
      <c r="BP51" s="188">
        <v>20020331</v>
      </c>
      <c r="BQ51" s="188">
        <v>20011231</v>
      </c>
      <c r="BR51" s="188">
        <v>20010930</v>
      </c>
      <c r="BS51" s="188">
        <v>20010630</v>
      </c>
      <c r="BT51" s="188">
        <v>20010331</v>
      </c>
      <c r="BU51" s="188">
        <v>20001231</v>
      </c>
      <c r="BV51" s="188">
        <v>20000630</v>
      </c>
      <c r="BW51" s="188">
        <v>19991231</v>
      </c>
      <c r="BX51" s="188">
        <v>19990630</v>
      </c>
      <c r="BY51" s="188">
        <v>19981231</v>
      </c>
      <c r="BZ51" s="188">
        <v>19980630</v>
      </c>
      <c r="CA51" s="188">
        <v>19971231</v>
      </c>
      <c r="CB51" s="188">
        <v>19961231</v>
      </c>
      <c r="CC51" s="188">
        <v>19951231</v>
      </c>
      <c r="CD51" s="188">
        <v>19700101</v>
      </c>
      <c r="CE51" s="188">
        <v>19941231</v>
      </c>
      <c r="CF51" s="188">
        <v>19940630</v>
      </c>
      <c r="CG51" s="188">
        <v>19930630</v>
      </c>
      <c r="CH51" s="188">
        <v>19921231</v>
      </c>
      <c r="CI51" s="188">
        <v>19911231</v>
      </c>
      <c r="CJ51" s="188">
        <v>19901231</v>
      </c>
      <c r="CK51" s="188">
        <v>19700101</v>
      </c>
    </row>
    <row r="52" spans="1:89" s="43" customFormat="1" x14ac:dyDescent="0.25">
      <c r="A52" s="130" t="s">
        <v>570</v>
      </c>
      <c r="B52" s="42">
        <v>-25636</v>
      </c>
      <c r="C52" s="42">
        <v>-27718</v>
      </c>
      <c r="D52" s="42">
        <v>-35317</v>
      </c>
      <c r="E52" s="42">
        <v>-2171909.2799999998</v>
      </c>
      <c r="F52" s="42">
        <v>-34414</v>
      </c>
      <c r="G52" s="42">
        <v>-23309</v>
      </c>
      <c r="H52" s="42">
        <v>-16814</v>
      </c>
      <c r="I52" s="42">
        <v>-1346323.28</v>
      </c>
      <c r="J52" s="42"/>
      <c r="K52" s="42"/>
      <c r="M52" s="43">
        <v>-1106591.44</v>
      </c>
      <c r="U52" s="43">
        <v>-821239268.10000002</v>
      </c>
      <c r="Y52" s="43">
        <v>-777445872.55999994</v>
      </c>
      <c r="AC52" s="43">
        <v>-468723365.81</v>
      </c>
      <c r="AG52" s="43">
        <v>-189919617.83000001</v>
      </c>
    </row>
    <row r="53" spans="1:89" s="43" customFormat="1" x14ac:dyDescent="0.25">
      <c r="A53" s="131" t="s">
        <v>90</v>
      </c>
      <c r="B53" s="42">
        <v>217</v>
      </c>
      <c r="C53" s="42">
        <v>189</v>
      </c>
      <c r="D53" s="42"/>
      <c r="E53" s="42">
        <v>378508.09</v>
      </c>
      <c r="F53" s="42"/>
      <c r="G53" s="42"/>
      <c r="H53" s="42"/>
      <c r="I53" s="42">
        <v>4668557.12</v>
      </c>
      <c r="J53" s="42"/>
      <c r="K53" s="42"/>
      <c r="M53" s="43">
        <v>5798721.3799999999</v>
      </c>
      <c r="AD53" s="42"/>
      <c r="AE53" s="42"/>
      <c r="AF53" s="42"/>
      <c r="AG53" s="42"/>
      <c r="AH53" s="42"/>
      <c r="AI53" s="42"/>
      <c r="AJ53" s="42"/>
      <c r="AK53" s="42"/>
      <c r="AL53" s="42"/>
      <c r="AM53" s="42"/>
      <c r="AN53" s="42"/>
      <c r="AO53" s="42"/>
      <c r="AP53" s="42"/>
      <c r="AQ53" s="42"/>
      <c r="AR53" s="42"/>
      <c r="AS53" s="42"/>
      <c r="AT53" s="42"/>
      <c r="AU53" s="42"/>
      <c r="AV53" s="42"/>
      <c r="AW53" s="42"/>
      <c r="AX53" s="42"/>
      <c r="AY53" s="42"/>
      <c r="AZ53" s="42"/>
      <c r="BA53" s="42"/>
      <c r="BB53" s="42"/>
      <c r="BC53" s="42"/>
      <c r="BD53" s="42"/>
      <c r="BE53" s="42"/>
      <c r="BF53" s="42"/>
      <c r="BG53" s="42"/>
      <c r="BH53" s="42"/>
      <c r="BI53" s="42"/>
      <c r="BJ53" s="42"/>
      <c r="BK53" s="42"/>
      <c r="BL53" s="42"/>
      <c r="BM53" s="42"/>
      <c r="BN53" s="42">
        <v>0</v>
      </c>
      <c r="BO53" s="42">
        <v>0</v>
      </c>
      <c r="BP53" s="42">
        <v>0</v>
      </c>
      <c r="BQ53" s="42">
        <v>0</v>
      </c>
      <c r="BR53" s="42">
        <v>0</v>
      </c>
      <c r="BS53" s="42">
        <v>0</v>
      </c>
      <c r="BT53" s="42">
        <v>0</v>
      </c>
      <c r="BU53" s="42">
        <v>0</v>
      </c>
      <c r="BV53" s="42">
        <v>0</v>
      </c>
      <c r="BW53" s="42">
        <v>0</v>
      </c>
      <c r="BX53" s="42">
        <v>0</v>
      </c>
      <c r="BY53" s="42">
        <v>0</v>
      </c>
      <c r="BZ53" s="42">
        <v>0</v>
      </c>
      <c r="CA53" s="42">
        <v>0</v>
      </c>
      <c r="CB53" s="42">
        <v>0</v>
      </c>
      <c r="CC53" s="42">
        <v>0</v>
      </c>
      <c r="CD53" s="42">
        <v>0</v>
      </c>
      <c r="CE53" s="42">
        <v>0</v>
      </c>
      <c r="CF53" s="42">
        <v>0</v>
      </c>
      <c r="CG53" s="42">
        <v>0</v>
      </c>
    </row>
    <row r="54" spans="1:89" s="43" customFormat="1" x14ac:dyDescent="0.25">
      <c r="A54" s="131" t="s">
        <v>91</v>
      </c>
      <c r="B54" s="42">
        <v>3104</v>
      </c>
      <c r="C54" s="42">
        <v>-1424</v>
      </c>
      <c r="D54" s="42">
        <v>-340</v>
      </c>
      <c r="E54" s="42">
        <v>126.48</v>
      </c>
      <c r="F54" s="42">
        <v>2684</v>
      </c>
      <c r="G54" s="42">
        <v>-377</v>
      </c>
      <c r="H54" s="42">
        <v>1008</v>
      </c>
      <c r="I54" s="42"/>
      <c r="J54" s="42"/>
      <c r="K54" s="42"/>
      <c r="M54" s="43">
        <v>451009.67</v>
      </c>
      <c r="U54" s="43">
        <v>10846.94</v>
      </c>
      <c r="Y54" s="43">
        <v>-205399.9</v>
      </c>
      <c r="AC54" s="43">
        <v>11178.14</v>
      </c>
      <c r="AG54" s="43">
        <v>370867.58</v>
      </c>
    </row>
    <row r="55" spans="1:89" s="43" customFormat="1" x14ac:dyDescent="0.25">
      <c r="A55" s="131" t="s">
        <v>92</v>
      </c>
      <c r="B55" s="42">
        <v>463</v>
      </c>
      <c r="C55" s="42">
        <v>603</v>
      </c>
      <c r="D55" s="42">
        <v>653</v>
      </c>
      <c r="E55" s="42">
        <v>358407.7</v>
      </c>
      <c r="F55" s="42">
        <v>1204</v>
      </c>
      <c r="G55" s="42">
        <v>868</v>
      </c>
      <c r="H55" s="42">
        <v>644</v>
      </c>
      <c r="I55" s="42">
        <v>459844</v>
      </c>
      <c r="J55" s="42"/>
      <c r="K55" s="42"/>
      <c r="M55" s="43">
        <v>5143139.6100000003</v>
      </c>
      <c r="U55" s="43">
        <v>-5869478</v>
      </c>
      <c r="Y55" s="43">
        <v>-12046824.75</v>
      </c>
      <c r="AC55" s="43">
        <v>-8254042.6900000004</v>
      </c>
      <c r="AG55" s="43">
        <v>-2922096.12</v>
      </c>
    </row>
    <row r="56" spans="1:89" s="26" customFormat="1" x14ac:dyDescent="0.25">
      <c r="A56" s="132" t="s">
        <v>93</v>
      </c>
      <c r="B56" s="44">
        <f>SUM(B52:B55)</f>
        <v>-21852</v>
      </c>
      <c r="C56" s="44">
        <f t="shared" ref="C56:D56" si="64">SUM(C52:C55)</f>
        <v>-28350</v>
      </c>
      <c r="D56" s="44">
        <f t="shared" si="64"/>
        <v>-35004</v>
      </c>
      <c r="E56" s="44">
        <f>SUM(E52:E55)</f>
        <v>-1434867.0099999998</v>
      </c>
      <c r="F56" s="44">
        <f t="shared" ref="F56:BQ56" si="65">SUM(F52:F55)</f>
        <v>-30526</v>
      </c>
      <c r="G56" s="44">
        <f t="shared" si="65"/>
        <v>-22818</v>
      </c>
      <c r="H56" s="44">
        <f t="shared" si="65"/>
        <v>-15162</v>
      </c>
      <c r="I56" s="44">
        <f t="shared" si="65"/>
        <v>3782077.84</v>
      </c>
      <c r="J56" s="44">
        <f t="shared" si="65"/>
        <v>0</v>
      </c>
      <c r="K56" s="44">
        <f t="shared" si="65"/>
        <v>0</v>
      </c>
      <c r="L56" s="44">
        <f t="shared" si="65"/>
        <v>0</v>
      </c>
      <c r="M56" s="44">
        <f t="shared" si="65"/>
        <v>10286279.219999999</v>
      </c>
      <c r="N56" s="44">
        <f t="shared" si="65"/>
        <v>0</v>
      </c>
      <c r="O56" s="44">
        <f t="shared" si="65"/>
        <v>0</v>
      </c>
      <c r="P56" s="44">
        <f t="shared" si="65"/>
        <v>0</v>
      </c>
      <c r="Q56" s="44">
        <f t="shared" si="65"/>
        <v>0</v>
      </c>
      <c r="R56" s="44">
        <f t="shared" si="65"/>
        <v>0</v>
      </c>
      <c r="S56" s="44">
        <f t="shared" si="65"/>
        <v>0</v>
      </c>
      <c r="T56" s="44">
        <f t="shared" si="65"/>
        <v>0</v>
      </c>
      <c r="U56" s="44">
        <f t="shared" si="65"/>
        <v>-827097899.15999997</v>
      </c>
      <c r="V56" s="44">
        <f t="shared" si="65"/>
        <v>0</v>
      </c>
      <c r="W56" s="44">
        <f t="shared" si="65"/>
        <v>0</v>
      </c>
      <c r="X56" s="44">
        <f t="shared" si="65"/>
        <v>0</v>
      </c>
      <c r="Y56" s="44">
        <f t="shared" si="65"/>
        <v>-789698097.20999992</v>
      </c>
      <c r="Z56" s="44">
        <f t="shared" si="65"/>
        <v>0</v>
      </c>
      <c r="AA56" s="44">
        <f t="shared" si="65"/>
        <v>0</v>
      </c>
      <c r="AB56" s="44">
        <f t="shared" si="65"/>
        <v>0</v>
      </c>
      <c r="AC56" s="44">
        <f t="shared" si="65"/>
        <v>-476966230.36000001</v>
      </c>
      <c r="AD56" s="44">
        <f t="shared" si="65"/>
        <v>0</v>
      </c>
      <c r="AE56" s="44">
        <f t="shared" si="65"/>
        <v>0</v>
      </c>
      <c r="AF56" s="44">
        <f t="shared" si="65"/>
        <v>0</v>
      </c>
      <c r="AG56" s="44">
        <f t="shared" si="65"/>
        <v>-192470846.37</v>
      </c>
      <c r="AH56" s="44">
        <f t="shared" si="65"/>
        <v>0</v>
      </c>
      <c r="AI56" s="44">
        <f t="shared" si="65"/>
        <v>0</v>
      </c>
      <c r="AJ56" s="44">
        <f t="shared" si="65"/>
        <v>0</v>
      </c>
      <c r="AK56" s="44">
        <f t="shared" si="65"/>
        <v>0</v>
      </c>
      <c r="AL56" s="44">
        <f t="shared" si="65"/>
        <v>0</v>
      </c>
      <c r="AM56" s="44">
        <f t="shared" si="65"/>
        <v>0</v>
      </c>
      <c r="AN56" s="44">
        <f t="shared" si="65"/>
        <v>0</v>
      </c>
      <c r="AO56" s="44">
        <f t="shared" si="65"/>
        <v>0</v>
      </c>
      <c r="AP56" s="44">
        <f t="shared" si="65"/>
        <v>0</v>
      </c>
      <c r="AQ56" s="44">
        <f t="shared" si="65"/>
        <v>0</v>
      </c>
      <c r="AR56" s="44">
        <f t="shared" si="65"/>
        <v>0</v>
      </c>
      <c r="AS56" s="44">
        <f t="shared" si="65"/>
        <v>0</v>
      </c>
      <c r="AT56" s="44">
        <f t="shared" si="65"/>
        <v>0</v>
      </c>
      <c r="AU56" s="44">
        <f t="shared" si="65"/>
        <v>0</v>
      </c>
      <c r="AV56" s="44">
        <f t="shared" si="65"/>
        <v>0</v>
      </c>
      <c r="AW56" s="44">
        <f t="shared" si="65"/>
        <v>0</v>
      </c>
      <c r="AX56" s="44">
        <f t="shared" si="65"/>
        <v>0</v>
      </c>
      <c r="AY56" s="44">
        <f t="shared" si="65"/>
        <v>0</v>
      </c>
      <c r="AZ56" s="44">
        <f t="shared" si="65"/>
        <v>0</v>
      </c>
      <c r="BA56" s="44">
        <f t="shared" si="65"/>
        <v>0</v>
      </c>
      <c r="BB56" s="44">
        <f t="shared" si="65"/>
        <v>0</v>
      </c>
      <c r="BC56" s="44">
        <f t="shared" si="65"/>
        <v>0</v>
      </c>
      <c r="BD56" s="44">
        <f t="shared" si="65"/>
        <v>0</v>
      </c>
      <c r="BE56" s="44">
        <f t="shared" si="65"/>
        <v>0</v>
      </c>
      <c r="BF56" s="44">
        <f t="shared" si="65"/>
        <v>0</v>
      </c>
      <c r="BG56" s="44">
        <f t="shared" si="65"/>
        <v>0</v>
      </c>
      <c r="BH56" s="44">
        <f t="shared" si="65"/>
        <v>0</v>
      </c>
      <c r="BI56" s="44">
        <f t="shared" si="65"/>
        <v>0</v>
      </c>
      <c r="BJ56" s="44">
        <f t="shared" si="65"/>
        <v>0</v>
      </c>
      <c r="BK56" s="44">
        <f t="shared" si="65"/>
        <v>0</v>
      </c>
      <c r="BL56" s="44">
        <f t="shared" si="65"/>
        <v>0</v>
      </c>
      <c r="BM56" s="44">
        <f t="shared" si="65"/>
        <v>0</v>
      </c>
      <c r="BN56" s="44">
        <f t="shared" si="65"/>
        <v>0</v>
      </c>
      <c r="BO56" s="44">
        <f t="shared" si="65"/>
        <v>0</v>
      </c>
      <c r="BP56" s="44">
        <f t="shared" si="65"/>
        <v>0</v>
      </c>
      <c r="BQ56" s="44">
        <f t="shared" si="65"/>
        <v>0</v>
      </c>
      <c r="BR56" s="44">
        <f t="shared" ref="BR56:CK56" si="66">SUM(BR52:BR55)</f>
        <v>0</v>
      </c>
      <c r="BS56" s="44">
        <f t="shared" si="66"/>
        <v>0</v>
      </c>
      <c r="BT56" s="44">
        <f t="shared" si="66"/>
        <v>0</v>
      </c>
      <c r="BU56" s="44">
        <f t="shared" si="66"/>
        <v>0</v>
      </c>
      <c r="BV56" s="44">
        <f t="shared" si="66"/>
        <v>0</v>
      </c>
      <c r="BW56" s="44">
        <f t="shared" si="66"/>
        <v>0</v>
      </c>
      <c r="BX56" s="44">
        <f t="shared" si="66"/>
        <v>0</v>
      </c>
      <c r="BY56" s="44">
        <f t="shared" si="66"/>
        <v>0</v>
      </c>
      <c r="BZ56" s="44">
        <f t="shared" si="66"/>
        <v>0</v>
      </c>
      <c r="CA56" s="44">
        <f t="shared" si="66"/>
        <v>0</v>
      </c>
      <c r="CB56" s="44">
        <f t="shared" si="66"/>
        <v>0</v>
      </c>
      <c r="CC56" s="44">
        <f t="shared" si="66"/>
        <v>0</v>
      </c>
      <c r="CD56" s="44">
        <f t="shared" si="66"/>
        <v>0</v>
      </c>
      <c r="CE56" s="44">
        <f t="shared" si="66"/>
        <v>0</v>
      </c>
      <c r="CF56" s="44">
        <f t="shared" si="66"/>
        <v>0</v>
      </c>
      <c r="CG56" s="44">
        <f t="shared" si="66"/>
        <v>0</v>
      </c>
      <c r="CH56" s="44">
        <f t="shared" si="66"/>
        <v>0</v>
      </c>
      <c r="CI56" s="44">
        <f t="shared" si="66"/>
        <v>0</v>
      </c>
      <c r="CJ56" s="44">
        <f t="shared" si="66"/>
        <v>0</v>
      </c>
      <c r="CK56" s="44">
        <f t="shared" si="66"/>
        <v>0</v>
      </c>
    </row>
    <row r="57" spans="1:89" ht="12" customHeight="1" x14ac:dyDescent="0.25"/>
    <row r="58" spans="1:89" ht="28.8" x14ac:dyDescent="0.25">
      <c r="A58" s="133" t="s">
        <v>97</v>
      </c>
    </row>
    <row r="59" spans="1:89" x14ac:dyDescent="0.25">
      <c r="A59" s="22" t="s">
        <v>96</v>
      </c>
      <c r="B59" s="188">
        <v>147030620.96000001</v>
      </c>
      <c r="C59" s="188">
        <v>83578333.200000003</v>
      </c>
      <c r="D59" s="188">
        <v>19591430.170000002</v>
      </c>
      <c r="E59" s="188">
        <v>155224216.05000001</v>
      </c>
      <c r="F59" s="188">
        <v>114667336.39</v>
      </c>
      <c r="G59" s="188">
        <v>61958088.25</v>
      </c>
      <c r="H59" s="188">
        <v>16933743.390000001</v>
      </c>
      <c r="I59" s="188">
        <v>127774062.51000001</v>
      </c>
      <c r="J59" s="188">
        <v>93458406.379999995</v>
      </c>
      <c r="K59" s="188">
        <v>48290108.969999999</v>
      </c>
      <c r="L59" s="188">
        <v>8834269.5899999999</v>
      </c>
      <c r="M59" s="188">
        <v>118339162.06</v>
      </c>
      <c r="N59" s="188">
        <v>78883496.680000007</v>
      </c>
      <c r="O59" s="188">
        <v>94913963.019999996</v>
      </c>
      <c r="P59" s="188">
        <v>84018399.519999996</v>
      </c>
      <c r="Q59" s="188">
        <v>78574092.780000001</v>
      </c>
      <c r="R59" s="188">
        <v>69584154.75</v>
      </c>
      <c r="S59" s="188">
        <v>0</v>
      </c>
      <c r="T59" s="188">
        <v>2735548585.5999999</v>
      </c>
      <c r="U59" s="188">
        <v>8322215360.9499998</v>
      </c>
      <c r="V59" s="188">
        <v>7410685949.0799999</v>
      </c>
      <c r="W59" s="188">
        <v>6039984671.7299995</v>
      </c>
      <c r="X59" s="188">
        <v>3786290698.79</v>
      </c>
      <c r="Y59" s="188">
        <v>10335733704.780001</v>
      </c>
      <c r="Z59" s="188">
        <v>8113605924.1599998</v>
      </c>
      <c r="AA59" s="188">
        <v>5241364125.3599997</v>
      </c>
      <c r="AB59" s="188">
        <v>3166747159.3200002</v>
      </c>
      <c r="AC59" s="188">
        <v>6394377214.9799995</v>
      </c>
      <c r="AD59" s="188">
        <v>5001266488</v>
      </c>
      <c r="AE59" s="188">
        <v>3490797304.9400001</v>
      </c>
      <c r="AF59" s="188">
        <v>2161488984.3400002</v>
      </c>
      <c r="AG59" s="188">
        <v>4562056835.6000004</v>
      </c>
      <c r="AH59" s="188">
        <v>3532769841.4299998</v>
      </c>
      <c r="AI59" s="188">
        <v>2343182863.0100002</v>
      </c>
      <c r="AJ59" s="188">
        <v>1578085299.8699999</v>
      </c>
      <c r="AK59" s="188">
        <v>3466668431.5100002</v>
      </c>
      <c r="AL59" s="188">
        <v>2382708112.8800001</v>
      </c>
      <c r="AM59" s="188">
        <v>1619900643.9000001</v>
      </c>
      <c r="AN59" s="188">
        <v>1269280228.71</v>
      </c>
      <c r="AO59" s="188">
        <v>1829699892.55</v>
      </c>
      <c r="AP59" s="188">
        <v>1604086352.9400001</v>
      </c>
      <c r="AQ59" s="188">
        <v>1308146766.3</v>
      </c>
      <c r="AR59" s="188">
        <v>1015707693.3099999</v>
      </c>
      <c r="AS59" s="188">
        <v>1472784098.4200001</v>
      </c>
      <c r="AT59" s="188">
        <v>1326845730.0799999</v>
      </c>
      <c r="AU59" s="188">
        <v>1145272727.9100001</v>
      </c>
      <c r="AV59" s="188">
        <v>745206726.03999996</v>
      </c>
      <c r="AW59" s="188">
        <v>1179340016.0999999</v>
      </c>
      <c r="AX59" s="188">
        <v>1023357815.7</v>
      </c>
      <c r="AY59" s="188">
        <v>822921865.61000001</v>
      </c>
      <c r="AZ59" s="188">
        <v>548815529.96000004</v>
      </c>
      <c r="BA59" s="188">
        <v>799007076.76999998</v>
      </c>
      <c r="BB59" s="188">
        <v>773754249.82000005</v>
      </c>
      <c r="BC59" s="188">
        <v>592464063.88</v>
      </c>
      <c r="BD59" s="188">
        <v>416503687.60000002</v>
      </c>
      <c r="BE59" s="188">
        <v>829759695.11000001</v>
      </c>
      <c r="BF59" s="188">
        <v>679164074.51999998</v>
      </c>
      <c r="BG59" s="188">
        <v>537962660</v>
      </c>
      <c r="BH59" s="188">
        <v>383394123.19999999</v>
      </c>
      <c r="BI59" s="188">
        <v>703792730.94000006</v>
      </c>
      <c r="BJ59" s="188">
        <v>548305195.13</v>
      </c>
      <c r="BK59" s="188">
        <v>389654678.44</v>
      </c>
      <c r="BL59" s="188">
        <v>289511785.36000001</v>
      </c>
      <c r="BM59" s="188">
        <v>618984667.90999997</v>
      </c>
      <c r="BN59" s="188">
        <v>511693618.56</v>
      </c>
      <c r="BO59" s="188">
        <v>373562587.13</v>
      </c>
      <c r="BP59" s="188">
        <v>253237536.75999999</v>
      </c>
      <c r="BQ59" s="188">
        <v>816316516.73000002</v>
      </c>
      <c r="BR59" s="188">
        <v>650310000</v>
      </c>
      <c r="BS59" s="188">
        <v>478983205.56999999</v>
      </c>
      <c r="BT59" s="188">
        <v>281830575.43000001</v>
      </c>
      <c r="BU59" s="188">
        <v>768216832.5</v>
      </c>
      <c r="BV59" s="188">
        <v>429812800.44999999</v>
      </c>
      <c r="BW59" s="188">
        <v>649021962.89999998</v>
      </c>
      <c r="BX59" s="188">
        <v>317076251.63999999</v>
      </c>
      <c r="BY59" s="188">
        <v>553291095.09000003</v>
      </c>
      <c r="BZ59" s="188">
        <v>252919406.88</v>
      </c>
      <c r="CA59" s="188">
        <v>341298375.86000001</v>
      </c>
      <c r="CB59" s="188">
        <v>259939328.41</v>
      </c>
      <c r="CC59" s="188">
        <v>216927477.38</v>
      </c>
      <c r="CD59" s="188">
        <v>0</v>
      </c>
      <c r="CE59" s="188">
        <v>162135000</v>
      </c>
      <c r="CF59" s="188">
        <v>90056788.769999996</v>
      </c>
      <c r="CG59" s="188">
        <v>54430000</v>
      </c>
      <c r="CH59" s="188">
        <v>80440000</v>
      </c>
      <c r="CI59" s="188">
        <v>58950000</v>
      </c>
      <c r="CJ59" s="188">
        <v>67670000</v>
      </c>
      <c r="CK59" s="188">
        <v>0</v>
      </c>
    </row>
    <row r="60" spans="1:89" x14ac:dyDescent="0.25">
      <c r="A60" s="22" t="s">
        <v>95</v>
      </c>
      <c r="B60" s="188">
        <v>24055102.030000001</v>
      </c>
      <c r="C60" s="188">
        <v>14833979.970000001</v>
      </c>
      <c r="D60" s="188">
        <v>5246553.07</v>
      </c>
      <c r="E60" s="188">
        <v>25476937.940000001</v>
      </c>
      <c r="F60" s="188">
        <v>20249808.260000002</v>
      </c>
      <c r="G60" s="188">
        <v>12200381.68</v>
      </c>
      <c r="H60" s="188">
        <v>4219646.83</v>
      </c>
      <c r="I60" s="188">
        <v>22021985.010000002</v>
      </c>
      <c r="J60" s="188">
        <v>17539446.210000001</v>
      </c>
      <c r="K60" s="188">
        <v>9288285.5500000007</v>
      </c>
      <c r="L60" s="188">
        <v>2029810.56</v>
      </c>
      <c r="M60" s="188">
        <v>20513792.670000002</v>
      </c>
      <c r="N60" s="188">
        <v>15626808.42</v>
      </c>
      <c r="O60" s="188">
        <v>17208158.18</v>
      </c>
      <c r="P60" s="188">
        <v>16737393.439999999</v>
      </c>
      <c r="Q60" s="188">
        <v>18041146.789999999</v>
      </c>
      <c r="R60" s="188">
        <v>14607685.76</v>
      </c>
      <c r="S60" s="188">
        <v>0</v>
      </c>
      <c r="T60" s="188">
        <v>932767728.71000004</v>
      </c>
      <c r="U60" s="188">
        <v>2924864055.6500001</v>
      </c>
      <c r="V60" s="188">
        <v>2433760593.79</v>
      </c>
      <c r="W60" s="188">
        <v>1978855837.8399999</v>
      </c>
      <c r="X60" s="188">
        <v>1234975036.8900001</v>
      </c>
      <c r="Y60" s="188">
        <v>3402932422.5</v>
      </c>
      <c r="Z60" s="188">
        <v>2601217500.98</v>
      </c>
      <c r="AA60" s="188">
        <v>1712386078.7</v>
      </c>
      <c r="AB60" s="188">
        <v>1032090586.53</v>
      </c>
      <c r="AC60" s="188">
        <v>2105576465.3599999</v>
      </c>
      <c r="AD60" s="188">
        <v>1616253918.8800001</v>
      </c>
      <c r="AE60" s="188">
        <v>1129689950.29</v>
      </c>
      <c r="AF60" s="188">
        <v>699022568.51999998</v>
      </c>
      <c r="AG60" s="188">
        <v>1508186094.9300001</v>
      </c>
      <c r="AH60" s="188">
        <v>1146174819.1099999</v>
      </c>
      <c r="AI60" s="188">
        <v>766274681.52999997</v>
      </c>
      <c r="AJ60" s="188">
        <v>508597717.20999998</v>
      </c>
      <c r="AK60" s="188">
        <v>1138920195.73</v>
      </c>
      <c r="AL60" s="188">
        <v>782953680.64999998</v>
      </c>
      <c r="AM60" s="188">
        <v>537924395.76999998</v>
      </c>
      <c r="AN60" s="188">
        <v>391157082.13999999</v>
      </c>
      <c r="AO60" s="188">
        <v>569455764.67999995</v>
      </c>
      <c r="AP60" s="188">
        <v>497986317.94</v>
      </c>
      <c r="AQ60" s="188">
        <v>403560717.60000002</v>
      </c>
      <c r="AR60" s="188">
        <v>335817684.24000001</v>
      </c>
      <c r="AS60" s="188">
        <v>705562448.80999994</v>
      </c>
      <c r="AT60" s="188">
        <v>648250833.24000001</v>
      </c>
      <c r="AU60" s="188">
        <v>561779303.77999997</v>
      </c>
      <c r="AV60" s="188">
        <v>374547042.32999998</v>
      </c>
      <c r="AW60" s="188">
        <v>606385627.26999998</v>
      </c>
      <c r="AX60" s="188">
        <v>526228001.63</v>
      </c>
      <c r="AY60" s="188">
        <v>420222252.99000001</v>
      </c>
      <c r="AZ60" s="188">
        <v>280943626.88999999</v>
      </c>
      <c r="BA60" s="188">
        <v>396902090.45999998</v>
      </c>
      <c r="BB60" s="188">
        <v>383849839.51999998</v>
      </c>
      <c r="BC60" s="188">
        <v>336122195.32999998</v>
      </c>
      <c r="BD60" s="188">
        <v>238518321.50999999</v>
      </c>
      <c r="BE60" s="188">
        <v>441401360.93000001</v>
      </c>
      <c r="BF60" s="188">
        <v>355010263.50999999</v>
      </c>
      <c r="BG60" s="188">
        <v>278320628.12</v>
      </c>
      <c r="BH60" s="188">
        <v>193355065.81999999</v>
      </c>
      <c r="BI60" s="188">
        <v>383447938.93000001</v>
      </c>
      <c r="BJ60" s="188">
        <v>311366323.06999999</v>
      </c>
      <c r="BK60" s="188">
        <v>250049516.34999999</v>
      </c>
      <c r="BL60" s="188">
        <v>207396289.06999999</v>
      </c>
      <c r="BM60" s="188">
        <v>250085682.47999999</v>
      </c>
      <c r="BN60" s="188">
        <v>190785252.78999999</v>
      </c>
      <c r="BO60" s="188">
        <v>126708958.8</v>
      </c>
      <c r="BP60" s="188">
        <v>121401855.98999999</v>
      </c>
      <c r="BQ60" s="188">
        <v>116775657.84999999</v>
      </c>
      <c r="BR60" s="188">
        <v>160590000</v>
      </c>
      <c r="BS60" s="188">
        <v>179226656.44999999</v>
      </c>
      <c r="BT60" s="188">
        <v>138812074.46000001</v>
      </c>
      <c r="BU60" s="188">
        <v>238879360.28</v>
      </c>
      <c r="BV60" s="188">
        <v>295349924.56</v>
      </c>
      <c r="BW60" s="188">
        <v>303429006.82999998</v>
      </c>
      <c r="BX60" s="188">
        <v>66653678.539999999</v>
      </c>
      <c r="BY60" s="188">
        <v>260578360.56999999</v>
      </c>
      <c r="BZ60" s="188">
        <v>44632836.509999998</v>
      </c>
      <c r="CA60" s="188">
        <v>168102185.13</v>
      </c>
      <c r="CB60" s="188">
        <v>128029818.47</v>
      </c>
      <c r="CC60" s="188">
        <v>106844876.92</v>
      </c>
      <c r="CD60" s="188">
        <v>0</v>
      </c>
      <c r="CE60" s="188">
        <v>27810000</v>
      </c>
      <c r="CF60" s="188">
        <v>16447145.279999999</v>
      </c>
      <c r="CG60" s="188">
        <v>4330000</v>
      </c>
      <c r="CH60" s="188">
        <v>4220000</v>
      </c>
      <c r="CI60" s="188">
        <v>12510000</v>
      </c>
      <c r="CJ60" s="188">
        <v>3630000</v>
      </c>
      <c r="CK60" s="188">
        <v>0</v>
      </c>
    </row>
    <row r="61" spans="1:89" x14ac:dyDescent="0.25">
      <c r="A61" s="22" t="s">
        <v>94</v>
      </c>
      <c r="B61" s="188">
        <v>171085722.99000001</v>
      </c>
      <c r="C61" s="188">
        <v>98412313.170000002</v>
      </c>
      <c r="D61" s="188">
        <v>24837983.239999998</v>
      </c>
      <c r="E61" s="188">
        <v>180701153.99000001</v>
      </c>
      <c r="F61" s="188">
        <v>134917144.65000001</v>
      </c>
      <c r="G61" s="188">
        <v>74158469.930000007</v>
      </c>
      <c r="H61" s="188">
        <v>21153390.219999999</v>
      </c>
      <c r="I61" s="188">
        <v>149796047.52000001</v>
      </c>
      <c r="J61" s="188">
        <v>110997852.59</v>
      </c>
      <c r="K61" s="188">
        <v>57578394.520000003</v>
      </c>
      <c r="L61" s="188">
        <v>10864080.15</v>
      </c>
      <c r="M61" s="188">
        <v>138852954.72999999</v>
      </c>
      <c r="N61" s="188">
        <v>94510305.099999994</v>
      </c>
      <c r="O61" s="188">
        <v>112122121.2</v>
      </c>
      <c r="P61" s="188">
        <v>100755792.95999999</v>
      </c>
      <c r="Q61" s="188">
        <v>96615239.569999993</v>
      </c>
      <c r="R61" s="188">
        <v>84191840.510000005</v>
      </c>
      <c r="S61" s="188">
        <v>0</v>
      </c>
      <c r="T61" s="188">
        <v>3668316314.3099999</v>
      </c>
      <c r="U61" s="188">
        <v>11247079416.6</v>
      </c>
      <c r="V61" s="188">
        <v>9844446542.8700008</v>
      </c>
      <c r="W61" s="188">
        <v>8018840509.5699997</v>
      </c>
      <c r="X61" s="188">
        <v>5021265735.6800003</v>
      </c>
      <c r="Y61" s="188">
        <v>13738666127.280001</v>
      </c>
      <c r="Z61" s="188">
        <v>10714823425.139999</v>
      </c>
      <c r="AA61" s="188">
        <v>6953750204.0600004</v>
      </c>
      <c r="AB61" s="188">
        <v>4198837745.8499999</v>
      </c>
      <c r="AC61" s="188">
        <v>8499953680.3400002</v>
      </c>
      <c r="AD61" s="188">
        <v>6617520406.8800001</v>
      </c>
      <c r="AE61" s="188">
        <v>4620487255.2299995</v>
      </c>
      <c r="AF61" s="188">
        <v>2860511552.8600001</v>
      </c>
      <c r="AG61" s="188">
        <v>6070242930.5299997</v>
      </c>
      <c r="AH61" s="188">
        <v>4678944660.54</v>
      </c>
      <c r="AI61" s="188">
        <v>3109457544.54</v>
      </c>
      <c r="AJ61" s="188">
        <v>2086683017.0799999</v>
      </c>
      <c r="AK61" s="188">
        <v>4605588627.2399998</v>
      </c>
      <c r="AL61" s="188">
        <v>3165661793.5300002</v>
      </c>
      <c r="AM61" s="188">
        <v>2157825039.6700001</v>
      </c>
      <c r="AN61" s="188">
        <v>1660437310.8499999</v>
      </c>
      <c r="AO61" s="188">
        <v>2399155657.23</v>
      </c>
      <c r="AP61" s="188">
        <v>2102072670.8800001</v>
      </c>
      <c r="AQ61" s="188">
        <v>1711707483.9000001</v>
      </c>
      <c r="AR61" s="188">
        <v>1351525377.55</v>
      </c>
      <c r="AS61" s="188">
        <v>2178346547.23</v>
      </c>
      <c r="AT61" s="188">
        <v>1975096563.3199999</v>
      </c>
      <c r="AU61" s="188">
        <v>1707052031.6900001</v>
      </c>
      <c r="AV61" s="188">
        <v>1119753768.3699999</v>
      </c>
      <c r="AW61" s="188">
        <v>1785725643.3699999</v>
      </c>
      <c r="AX61" s="188">
        <v>1549585817.3299999</v>
      </c>
      <c r="AY61" s="188">
        <v>1243144118.5999999</v>
      </c>
      <c r="AZ61" s="188">
        <v>829759156.85000002</v>
      </c>
      <c r="BA61" s="188">
        <v>1195909167.23</v>
      </c>
      <c r="BB61" s="188">
        <v>1157604089.3399999</v>
      </c>
      <c r="BC61" s="188">
        <v>928586259.21000004</v>
      </c>
      <c r="BD61" s="188">
        <v>655022009.11000001</v>
      </c>
      <c r="BE61" s="188">
        <v>1271161056.04</v>
      </c>
      <c r="BF61" s="188">
        <v>1034174338.03</v>
      </c>
      <c r="BG61" s="188">
        <v>816283288.12</v>
      </c>
      <c r="BH61" s="188">
        <v>576749189.01999998</v>
      </c>
      <c r="BI61" s="188">
        <v>1087240669.8699999</v>
      </c>
      <c r="BJ61" s="188">
        <v>859671518.20000005</v>
      </c>
      <c r="BK61" s="188">
        <v>639704194.78999996</v>
      </c>
      <c r="BL61" s="188">
        <v>496908074.43000001</v>
      </c>
      <c r="BM61" s="188">
        <v>869070350.38999999</v>
      </c>
      <c r="BN61" s="188">
        <v>702478871.35000002</v>
      </c>
      <c r="BO61" s="188">
        <v>500271545.93000001</v>
      </c>
      <c r="BP61" s="188">
        <v>374639392.75</v>
      </c>
      <c r="BQ61" s="188">
        <v>933092174.58000004</v>
      </c>
      <c r="BR61" s="188">
        <v>814730000</v>
      </c>
      <c r="BS61" s="188">
        <v>658209862.01999998</v>
      </c>
      <c r="BT61" s="188">
        <v>420642649.88999999</v>
      </c>
      <c r="BU61" s="188">
        <v>1007096192.78</v>
      </c>
      <c r="BV61" s="188">
        <v>725162725.00999999</v>
      </c>
      <c r="BW61" s="188">
        <v>786944238.74000001</v>
      </c>
      <c r="BX61" s="188">
        <v>383729930.18000001</v>
      </c>
      <c r="BY61" s="188">
        <v>813869455.65999997</v>
      </c>
      <c r="BZ61" s="188">
        <v>297552243.38999999</v>
      </c>
      <c r="CA61" s="188">
        <v>509400560.99000001</v>
      </c>
      <c r="CB61" s="188">
        <v>387969146.88</v>
      </c>
      <c r="CC61" s="188">
        <v>323772354.30000001</v>
      </c>
      <c r="CD61" s="188">
        <v>0</v>
      </c>
      <c r="CE61" s="188">
        <v>189945000</v>
      </c>
      <c r="CF61" s="188">
        <v>106503934.05</v>
      </c>
      <c r="CG61" s="188">
        <v>58750000</v>
      </c>
      <c r="CH61" s="188">
        <v>84660000</v>
      </c>
      <c r="CI61" s="188">
        <v>71460000</v>
      </c>
      <c r="CJ61" s="188">
        <v>71300000</v>
      </c>
      <c r="CK61" s="188">
        <v>0</v>
      </c>
    </row>
    <row r="62" spans="1:89" x14ac:dyDescent="0.25">
      <c r="A62" s="22"/>
      <c r="B62" s="4"/>
      <c r="C62" s="4"/>
      <c r="D62" s="4"/>
      <c r="E62" s="155"/>
      <c r="F62" s="155"/>
      <c r="G62" s="155"/>
      <c r="H62" s="155"/>
      <c r="I62" s="155"/>
      <c r="J62" s="155"/>
      <c r="K62" s="155"/>
      <c r="L62" s="155"/>
      <c r="M62" s="155"/>
      <c r="N62" s="155"/>
      <c r="O62" s="155"/>
      <c r="P62" s="155"/>
      <c r="Q62" s="155"/>
      <c r="R62" s="155"/>
      <c r="S62" s="155"/>
      <c r="T62" s="155"/>
      <c r="U62" s="155"/>
      <c r="V62" s="155"/>
      <c r="W62" s="155"/>
      <c r="X62" s="155"/>
      <c r="Y62" s="155"/>
      <c r="Z62" s="155"/>
      <c r="AA62" s="155"/>
      <c r="AB62" s="155"/>
      <c r="AC62" s="155"/>
      <c r="AD62" s="155"/>
      <c r="AE62" s="155"/>
      <c r="AF62" s="155"/>
      <c r="AG62" s="155"/>
      <c r="AH62" s="155"/>
      <c r="AI62" s="155"/>
      <c r="AJ62" s="155"/>
      <c r="AK62" s="155"/>
      <c r="AL62" s="155"/>
      <c r="AM62" s="155"/>
      <c r="AN62" s="155"/>
      <c r="AO62" s="155"/>
      <c r="AP62" s="155"/>
      <c r="AQ62" s="155"/>
      <c r="AR62" s="155"/>
      <c r="AS62" s="155"/>
      <c r="AT62" s="155"/>
      <c r="AU62" s="155"/>
      <c r="AV62" s="155"/>
      <c r="AW62" s="155"/>
      <c r="AX62" s="155"/>
      <c r="AY62" s="155"/>
      <c r="AZ62" s="155"/>
      <c r="BA62" s="155"/>
      <c r="BB62" s="155"/>
      <c r="BC62" s="155"/>
      <c r="BD62" s="155"/>
      <c r="BE62" s="155"/>
      <c r="BF62" s="155"/>
      <c r="BG62" s="155"/>
      <c r="BH62" s="155"/>
      <c r="BI62" s="155"/>
      <c r="BJ62" s="155"/>
      <c r="BK62" s="155"/>
      <c r="BL62" s="155"/>
      <c r="BM62" s="155"/>
      <c r="BN62" s="155"/>
      <c r="BO62" s="155"/>
      <c r="BP62" s="155"/>
      <c r="BQ62" s="155"/>
      <c r="BR62" s="155"/>
      <c r="BS62" s="155"/>
      <c r="BT62" s="155"/>
      <c r="BU62" s="155"/>
      <c r="BV62" s="155"/>
      <c r="BW62" s="155"/>
      <c r="BX62" s="155"/>
      <c r="BY62" s="155"/>
      <c r="BZ62" s="155"/>
      <c r="CA62" s="155"/>
      <c r="CB62" s="155"/>
      <c r="CC62" s="155"/>
      <c r="CD62" s="155"/>
      <c r="CE62" s="155"/>
      <c r="CF62" s="155"/>
      <c r="CG62" s="155"/>
      <c r="CH62" s="155"/>
      <c r="CI62" s="155"/>
      <c r="CJ62" s="155"/>
      <c r="CK62" s="155"/>
    </row>
    <row r="65" spans="1:89" x14ac:dyDescent="0.25">
      <c r="A65" s="22" t="s">
        <v>98</v>
      </c>
      <c r="B65" s="188">
        <v>10097461.369999999</v>
      </c>
      <c r="C65" s="188">
        <v>6298289.5899999999</v>
      </c>
      <c r="D65" s="188">
        <v>4090676.54</v>
      </c>
      <c r="E65" s="188">
        <v>8230887.71</v>
      </c>
      <c r="F65" s="188">
        <v>5563118.3600000003</v>
      </c>
      <c r="G65" s="188">
        <v>2828229.63</v>
      </c>
      <c r="H65" s="188">
        <v>741331</v>
      </c>
      <c r="I65" s="188">
        <v>336511.65</v>
      </c>
      <c r="J65" s="188">
        <v>95728.77</v>
      </c>
      <c r="K65" s="188">
        <v>59769.87</v>
      </c>
      <c r="L65" s="188">
        <v>0</v>
      </c>
      <c r="M65" s="188">
        <v>0</v>
      </c>
      <c r="N65" s="188">
        <v>107261.55</v>
      </c>
      <c r="O65" s="188">
        <v>0</v>
      </c>
      <c r="P65" s="188">
        <v>0</v>
      </c>
      <c r="Q65" s="188">
        <v>0</v>
      </c>
      <c r="R65" s="188">
        <v>0</v>
      </c>
      <c r="S65" s="188">
        <v>0</v>
      </c>
      <c r="T65" s="188">
        <v>0</v>
      </c>
      <c r="U65" s="188">
        <v>4298863.95</v>
      </c>
      <c r="V65" s="188">
        <v>-2465402.86</v>
      </c>
      <c r="W65" s="188">
        <v>-2465402.86</v>
      </c>
      <c r="X65" s="188">
        <v>0</v>
      </c>
      <c r="Y65" s="188">
        <v>3007200.68</v>
      </c>
      <c r="Z65" s="188">
        <v>-917593.17</v>
      </c>
      <c r="AA65" s="188">
        <v>-984891.57</v>
      </c>
      <c r="AB65" s="188">
        <v>-9791.5400000000009</v>
      </c>
      <c r="AC65" s="188">
        <v>2400112.7400000002</v>
      </c>
      <c r="AD65" s="188">
        <v>-3804432.96</v>
      </c>
      <c r="AE65" s="188">
        <v>-3956459.4</v>
      </c>
      <c r="AF65" s="188">
        <v>9936.35</v>
      </c>
      <c r="AG65" s="188">
        <v>3377150.17</v>
      </c>
      <c r="AH65" s="188">
        <v>-3505725.42</v>
      </c>
      <c r="AI65" s="188">
        <v>-3858370.54</v>
      </c>
      <c r="AJ65" s="188">
        <v>126698.54</v>
      </c>
      <c r="AK65" s="188">
        <v>3117340.01</v>
      </c>
      <c r="AL65" s="188">
        <v>-2381433.1800000002</v>
      </c>
      <c r="AM65" s="188">
        <v>-2412569.77</v>
      </c>
      <c r="AN65" s="188">
        <v>0</v>
      </c>
      <c r="AO65" s="188">
        <v>1579121.31</v>
      </c>
      <c r="AP65" s="188">
        <v>-929569.49</v>
      </c>
      <c r="AQ65" s="188">
        <v>-929569.49</v>
      </c>
      <c r="AR65" s="188">
        <v>0</v>
      </c>
      <c r="AS65" s="188">
        <v>3199582.46</v>
      </c>
      <c r="AT65" s="188">
        <v>556604.28</v>
      </c>
      <c r="AU65" s="188">
        <v>47918.79</v>
      </c>
      <c r="AV65" s="188">
        <v>665864.48</v>
      </c>
      <c r="AW65" s="188">
        <v>5051692.58</v>
      </c>
      <c r="AX65" s="188">
        <v>2496157.7200000002</v>
      </c>
      <c r="AY65" s="188">
        <v>1832311.81</v>
      </c>
      <c r="AZ65" s="188">
        <v>100000</v>
      </c>
      <c r="BA65" s="188">
        <v>-3923017.4</v>
      </c>
      <c r="BB65" s="188">
        <v>-497364.9</v>
      </c>
      <c r="BC65" s="188">
        <v>-499893.8</v>
      </c>
      <c r="BD65" s="188">
        <v>0</v>
      </c>
      <c r="BE65" s="188">
        <v>-126753.75</v>
      </c>
      <c r="BF65" s="188">
        <v>344265.81</v>
      </c>
      <c r="BG65" s="188">
        <v>344265.81</v>
      </c>
      <c r="BH65" s="188">
        <v>1026367.48</v>
      </c>
      <c r="BI65" s="188">
        <v>-554425.18000000005</v>
      </c>
      <c r="BJ65" s="188">
        <v>287254.11</v>
      </c>
      <c r="BK65" s="188">
        <v>52424.27</v>
      </c>
      <c r="BL65" s="188">
        <v>265460.88</v>
      </c>
      <c r="BM65" s="188">
        <v>178932.4</v>
      </c>
      <c r="BN65" s="188">
        <v>1871129.6000000001</v>
      </c>
      <c r="BO65" s="188">
        <v>1511721.55</v>
      </c>
      <c r="BP65" s="188">
        <v>-174029.22</v>
      </c>
      <c r="BQ65" s="188">
        <v>12349967.949999999</v>
      </c>
      <c r="BR65" s="188">
        <v>12720000</v>
      </c>
      <c r="BS65" s="188">
        <v>9766309.1799999997</v>
      </c>
      <c r="BT65" s="188">
        <v>5348519.25</v>
      </c>
      <c r="BU65" s="188">
        <v>2373601.7000000002</v>
      </c>
      <c r="BV65" s="188">
        <v>0</v>
      </c>
      <c r="BW65" s="188">
        <v>0</v>
      </c>
      <c r="BX65" s="188">
        <v>0</v>
      </c>
      <c r="BY65" s="188">
        <v>0</v>
      </c>
      <c r="BZ65" s="188">
        <v>0</v>
      </c>
      <c r="CA65" s="188">
        <v>0</v>
      </c>
      <c r="CB65" s="188">
        <v>0</v>
      </c>
      <c r="CC65" s="188">
        <v>0</v>
      </c>
      <c r="CD65" s="188">
        <v>0</v>
      </c>
      <c r="CE65" s="188">
        <v>7729000</v>
      </c>
      <c r="CF65" s="188">
        <v>2092581.44</v>
      </c>
      <c r="CG65" s="188">
        <v>0</v>
      </c>
      <c r="CH65" s="188">
        <v>0</v>
      </c>
      <c r="CI65" s="188">
        <v>0</v>
      </c>
      <c r="CJ65" s="188">
        <v>0</v>
      </c>
      <c r="CK65" s="188">
        <v>0</v>
      </c>
    </row>
    <row r="66" spans="1:89" x14ac:dyDescent="0.25">
      <c r="A66" s="22" t="s">
        <v>99</v>
      </c>
      <c r="B66" s="188">
        <v>0</v>
      </c>
      <c r="C66" s="188">
        <v>0</v>
      </c>
      <c r="D66" s="188">
        <v>0</v>
      </c>
      <c r="E66" s="188">
        <v>0</v>
      </c>
      <c r="F66" s="188">
        <v>0</v>
      </c>
      <c r="G66" s="188">
        <v>0</v>
      </c>
      <c r="H66" s="188">
        <v>0</v>
      </c>
      <c r="I66" s="188">
        <v>0</v>
      </c>
      <c r="J66" s="188">
        <v>0</v>
      </c>
      <c r="K66" s="188">
        <v>0</v>
      </c>
      <c r="L66" s="188">
        <v>0</v>
      </c>
      <c r="M66" s="188">
        <v>0</v>
      </c>
      <c r="N66" s="188">
        <v>0</v>
      </c>
      <c r="O66" s="188">
        <v>0</v>
      </c>
      <c r="P66" s="188">
        <v>0</v>
      </c>
      <c r="Q66" s="188">
        <v>0</v>
      </c>
      <c r="R66" s="188">
        <v>0</v>
      </c>
      <c r="S66" s="188">
        <v>0</v>
      </c>
      <c r="T66" s="188">
        <v>0</v>
      </c>
      <c r="U66" s="188">
        <v>566442.73</v>
      </c>
      <c r="V66" s="188">
        <v>-6197824.0800000001</v>
      </c>
      <c r="W66" s="188">
        <v>-6197824.0800000001</v>
      </c>
      <c r="X66" s="188">
        <v>0</v>
      </c>
      <c r="Y66" s="188">
        <v>-396769.54</v>
      </c>
      <c r="Z66" s="188">
        <v>0</v>
      </c>
      <c r="AA66" s="188">
        <v>0</v>
      </c>
      <c r="AB66" s="188">
        <v>0</v>
      </c>
      <c r="AC66" s="188">
        <v>2110192.46</v>
      </c>
      <c r="AD66" s="188">
        <v>-4089468.16</v>
      </c>
      <c r="AE66" s="188">
        <v>-4089468.16</v>
      </c>
      <c r="AF66" s="188">
        <v>0</v>
      </c>
      <c r="AG66" s="188">
        <v>2545036.6</v>
      </c>
      <c r="AH66" s="188">
        <v>0</v>
      </c>
      <c r="AI66" s="188">
        <v>-4182065.41</v>
      </c>
      <c r="AJ66" s="188">
        <v>0</v>
      </c>
      <c r="AK66" s="188">
        <v>2508787.02</v>
      </c>
      <c r="AL66" s="188">
        <v>-2412569.77</v>
      </c>
      <c r="AM66" s="188">
        <v>0</v>
      </c>
      <c r="AN66" s="188">
        <v>0</v>
      </c>
      <c r="AO66" s="188">
        <v>0</v>
      </c>
      <c r="AP66" s="188">
        <v>0</v>
      </c>
      <c r="AQ66" s="188">
        <v>0</v>
      </c>
      <c r="AR66" s="188">
        <v>0</v>
      </c>
      <c r="AS66" s="188">
        <v>0</v>
      </c>
      <c r="AT66" s="188">
        <v>0</v>
      </c>
      <c r="AU66" s="188">
        <v>0</v>
      </c>
      <c r="AV66" s="188">
        <v>0</v>
      </c>
      <c r="AW66" s="188">
        <v>0</v>
      </c>
      <c r="AX66" s="188">
        <v>0</v>
      </c>
      <c r="AY66" s="188">
        <v>0</v>
      </c>
      <c r="AZ66" s="188">
        <v>0</v>
      </c>
      <c r="BA66" s="188">
        <v>0</v>
      </c>
      <c r="BB66" s="188">
        <v>0</v>
      </c>
      <c r="BC66" s="188">
        <v>0</v>
      </c>
      <c r="BD66" s="188">
        <v>0</v>
      </c>
      <c r="BE66" s="188">
        <v>0</v>
      </c>
      <c r="BF66" s="188">
        <v>0</v>
      </c>
      <c r="BG66" s="188">
        <v>0</v>
      </c>
      <c r="BH66" s="188">
        <v>0</v>
      </c>
      <c r="BI66" s="188">
        <v>0</v>
      </c>
      <c r="BJ66" s="188">
        <v>0</v>
      </c>
      <c r="BK66" s="188">
        <v>0</v>
      </c>
      <c r="BL66" s="188">
        <v>0</v>
      </c>
      <c r="BM66" s="188">
        <v>0</v>
      </c>
      <c r="BN66" s="188">
        <v>0</v>
      </c>
      <c r="BO66" s="188">
        <v>0</v>
      </c>
      <c r="BP66" s="188">
        <v>0</v>
      </c>
      <c r="BQ66" s="188">
        <v>0</v>
      </c>
      <c r="BR66" s="188">
        <v>0</v>
      </c>
      <c r="BS66" s="188">
        <v>0</v>
      </c>
      <c r="BT66" s="188">
        <v>0</v>
      </c>
      <c r="BU66" s="188">
        <v>0</v>
      </c>
      <c r="BV66" s="188">
        <v>0</v>
      </c>
      <c r="BW66" s="188">
        <v>0</v>
      </c>
      <c r="BX66" s="188">
        <v>0</v>
      </c>
      <c r="BY66" s="188">
        <v>0</v>
      </c>
      <c r="BZ66" s="188">
        <v>0</v>
      </c>
      <c r="CA66" s="188">
        <v>0</v>
      </c>
      <c r="CB66" s="188">
        <v>0</v>
      </c>
      <c r="CC66" s="188">
        <v>0</v>
      </c>
      <c r="CD66" s="188">
        <v>0</v>
      </c>
      <c r="CE66" s="188">
        <v>0</v>
      </c>
      <c r="CF66" s="188">
        <v>0</v>
      </c>
      <c r="CG66" s="188">
        <v>0</v>
      </c>
      <c r="CH66" s="188">
        <v>0</v>
      </c>
      <c r="CI66" s="188">
        <v>0</v>
      </c>
      <c r="CJ66" s="188">
        <v>0</v>
      </c>
      <c r="CK66" s="188">
        <v>0</v>
      </c>
    </row>
    <row r="67" spans="1:89" x14ac:dyDescent="0.25">
      <c r="A67" s="22" t="s">
        <v>100</v>
      </c>
      <c r="B67" s="4">
        <f>B65-B66</f>
        <v>10097461.369999999</v>
      </c>
      <c r="C67" s="4">
        <f t="shared" ref="C67:BN67" si="67">C65-C66</f>
        <v>6298289.5899999999</v>
      </c>
      <c r="D67" s="4">
        <f t="shared" si="67"/>
        <v>4090676.54</v>
      </c>
      <c r="E67" s="4">
        <f t="shared" si="67"/>
        <v>8230887.71</v>
      </c>
      <c r="F67" s="4">
        <f t="shared" si="67"/>
        <v>5563118.3600000003</v>
      </c>
      <c r="G67" s="4">
        <f t="shared" si="67"/>
        <v>2828229.63</v>
      </c>
      <c r="H67" s="4">
        <f t="shared" si="67"/>
        <v>741331</v>
      </c>
      <c r="I67" s="4">
        <f t="shared" si="67"/>
        <v>336511.65</v>
      </c>
      <c r="J67" s="4">
        <f t="shared" si="67"/>
        <v>95728.77</v>
      </c>
      <c r="K67" s="4">
        <f t="shared" si="67"/>
        <v>59769.87</v>
      </c>
      <c r="L67" s="4">
        <f t="shared" si="67"/>
        <v>0</v>
      </c>
      <c r="M67" s="4">
        <f t="shared" si="67"/>
        <v>0</v>
      </c>
      <c r="N67" s="4">
        <f t="shared" si="67"/>
        <v>107261.55</v>
      </c>
      <c r="O67" s="4">
        <f t="shared" si="67"/>
        <v>0</v>
      </c>
      <c r="P67" s="4">
        <f t="shared" si="67"/>
        <v>0</v>
      </c>
      <c r="Q67" s="4">
        <f t="shared" si="67"/>
        <v>0</v>
      </c>
      <c r="R67" s="4">
        <f t="shared" si="67"/>
        <v>0</v>
      </c>
      <c r="S67" s="4">
        <f t="shared" si="67"/>
        <v>0</v>
      </c>
      <c r="T67" s="4">
        <f t="shared" si="67"/>
        <v>0</v>
      </c>
      <c r="U67" s="4">
        <f t="shared" si="67"/>
        <v>3732421.22</v>
      </c>
      <c r="V67" s="4">
        <f t="shared" si="67"/>
        <v>3732421.22</v>
      </c>
      <c r="W67" s="4">
        <f t="shared" si="67"/>
        <v>3732421.22</v>
      </c>
      <c r="X67" s="4">
        <f t="shared" si="67"/>
        <v>0</v>
      </c>
      <c r="Y67" s="4">
        <f t="shared" si="67"/>
        <v>3403970.22</v>
      </c>
      <c r="Z67" s="4">
        <f t="shared" si="67"/>
        <v>-917593.17</v>
      </c>
      <c r="AA67" s="4">
        <f t="shared" si="67"/>
        <v>-984891.57</v>
      </c>
      <c r="AB67" s="4">
        <f t="shared" si="67"/>
        <v>-9791.5400000000009</v>
      </c>
      <c r="AC67" s="4">
        <f t="shared" si="67"/>
        <v>289920.28000000026</v>
      </c>
      <c r="AD67" s="4">
        <f t="shared" si="67"/>
        <v>285035.20000000019</v>
      </c>
      <c r="AE67" s="4">
        <f t="shared" si="67"/>
        <v>133008.76000000024</v>
      </c>
      <c r="AF67" s="4">
        <f t="shared" si="67"/>
        <v>9936.35</v>
      </c>
      <c r="AG67" s="4">
        <f t="shared" si="67"/>
        <v>832113.56999999983</v>
      </c>
      <c r="AH67" s="4">
        <f t="shared" si="67"/>
        <v>-3505725.42</v>
      </c>
      <c r="AI67" s="4">
        <f t="shared" si="67"/>
        <v>323694.87000000011</v>
      </c>
      <c r="AJ67" s="4">
        <f t="shared" si="67"/>
        <v>126698.54</v>
      </c>
      <c r="AK67" s="4">
        <f t="shared" si="67"/>
        <v>608552.98999999976</v>
      </c>
      <c r="AL67" s="4">
        <f t="shared" si="67"/>
        <v>31136.589999999851</v>
      </c>
      <c r="AM67" s="4">
        <f t="shared" si="67"/>
        <v>-2412569.77</v>
      </c>
      <c r="AN67" s="4">
        <f t="shared" si="67"/>
        <v>0</v>
      </c>
      <c r="AO67" s="4">
        <f t="shared" si="67"/>
        <v>1579121.31</v>
      </c>
      <c r="AP67" s="4">
        <f t="shared" si="67"/>
        <v>-929569.49</v>
      </c>
      <c r="AQ67" s="4">
        <f t="shared" si="67"/>
        <v>-929569.49</v>
      </c>
      <c r="AR67" s="4">
        <f t="shared" si="67"/>
        <v>0</v>
      </c>
      <c r="AS67" s="4">
        <f t="shared" si="67"/>
        <v>3199582.46</v>
      </c>
      <c r="AT67" s="4">
        <f t="shared" si="67"/>
        <v>556604.28</v>
      </c>
      <c r="AU67" s="4">
        <f t="shared" si="67"/>
        <v>47918.79</v>
      </c>
      <c r="AV67" s="4">
        <f t="shared" si="67"/>
        <v>665864.48</v>
      </c>
      <c r="AW67" s="4">
        <f t="shared" si="67"/>
        <v>5051692.58</v>
      </c>
      <c r="AX67" s="4">
        <f t="shared" si="67"/>
        <v>2496157.7200000002</v>
      </c>
      <c r="AY67" s="4">
        <f t="shared" si="67"/>
        <v>1832311.81</v>
      </c>
      <c r="AZ67" s="4">
        <f t="shared" si="67"/>
        <v>100000</v>
      </c>
      <c r="BA67" s="4">
        <f t="shared" si="67"/>
        <v>-3923017.4</v>
      </c>
      <c r="BB67" s="4">
        <f t="shared" si="67"/>
        <v>-497364.9</v>
      </c>
      <c r="BC67" s="4">
        <f t="shared" si="67"/>
        <v>-499893.8</v>
      </c>
      <c r="BD67" s="4">
        <f t="shared" si="67"/>
        <v>0</v>
      </c>
      <c r="BE67" s="4">
        <f t="shared" si="67"/>
        <v>-126753.75</v>
      </c>
      <c r="BF67" s="4">
        <f t="shared" si="67"/>
        <v>344265.81</v>
      </c>
      <c r="BG67" s="4">
        <f t="shared" si="67"/>
        <v>344265.81</v>
      </c>
      <c r="BH67" s="4">
        <f t="shared" si="67"/>
        <v>1026367.48</v>
      </c>
      <c r="BI67" s="4">
        <f t="shared" si="67"/>
        <v>-554425.18000000005</v>
      </c>
      <c r="BJ67" s="4">
        <f t="shared" si="67"/>
        <v>287254.11</v>
      </c>
      <c r="BK67" s="4">
        <f t="shared" si="67"/>
        <v>52424.27</v>
      </c>
      <c r="BL67" s="4">
        <f t="shared" si="67"/>
        <v>265460.88</v>
      </c>
      <c r="BM67" s="4">
        <f t="shared" si="67"/>
        <v>178932.4</v>
      </c>
      <c r="BN67" s="4">
        <f t="shared" si="67"/>
        <v>1871129.6000000001</v>
      </c>
      <c r="BO67" s="4">
        <f t="shared" ref="BO67:CJ67" si="68">BO65-BO66</f>
        <v>1511721.55</v>
      </c>
      <c r="BP67" s="4">
        <f t="shared" si="68"/>
        <v>-174029.22</v>
      </c>
      <c r="BQ67" s="4">
        <f t="shared" si="68"/>
        <v>12349967.949999999</v>
      </c>
      <c r="BR67" s="4">
        <f t="shared" si="68"/>
        <v>12720000</v>
      </c>
      <c r="BS67" s="4">
        <f t="shared" si="68"/>
        <v>9766309.1799999997</v>
      </c>
      <c r="BT67" s="4">
        <f t="shared" si="68"/>
        <v>5348519.25</v>
      </c>
      <c r="BU67" s="4">
        <f t="shared" si="68"/>
        <v>2373601.7000000002</v>
      </c>
      <c r="BV67" s="4">
        <f t="shared" si="68"/>
        <v>0</v>
      </c>
      <c r="BW67" s="4">
        <f t="shared" si="68"/>
        <v>0</v>
      </c>
      <c r="BX67" s="4">
        <f t="shared" si="68"/>
        <v>0</v>
      </c>
      <c r="BY67" s="4">
        <f t="shared" si="68"/>
        <v>0</v>
      </c>
      <c r="BZ67" s="4">
        <f t="shared" si="68"/>
        <v>0</v>
      </c>
      <c r="CA67" s="4">
        <f t="shared" si="68"/>
        <v>0</v>
      </c>
      <c r="CB67" s="4">
        <f t="shared" si="68"/>
        <v>0</v>
      </c>
      <c r="CC67" s="4">
        <f t="shared" si="68"/>
        <v>0</v>
      </c>
      <c r="CD67" s="4">
        <f t="shared" si="68"/>
        <v>0</v>
      </c>
      <c r="CE67" s="4">
        <f t="shared" si="68"/>
        <v>7729000</v>
      </c>
      <c r="CF67" s="4">
        <f t="shared" si="68"/>
        <v>2092581.44</v>
      </c>
      <c r="CG67" s="4">
        <f t="shared" si="68"/>
        <v>0</v>
      </c>
      <c r="CH67" s="4">
        <f t="shared" si="68"/>
        <v>0</v>
      </c>
      <c r="CI67" s="4">
        <f t="shared" si="68"/>
        <v>0</v>
      </c>
      <c r="CJ67" s="4">
        <f t="shared" si="68"/>
        <v>0</v>
      </c>
      <c r="CK67" s="4"/>
    </row>
    <row r="68" spans="1:89" x14ac:dyDescent="0.25">
      <c r="A68" s="22" t="s">
        <v>101</v>
      </c>
      <c r="B68" s="188">
        <v>-1166585.8899999999</v>
      </c>
      <c r="C68" s="188">
        <v>-879288.47</v>
      </c>
      <c r="D68" s="188">
        <v>-630229.32999999996</v>
      </c>
      <c r="E68" s="188">
        <v>-1434867.01</v>
      </c>
      <c r="F68" s="188">
        <v>-758922.69</v>
      </c>
      <c r="G68" s="188">
        <v>-281346.90000000002</v>
      </c>
      <c r="H68" s="188">
        <v>183351.79</v>
      </c>
      <c r="I68" s="188">
        <v>3782077.84</v>
      </c>
      <c r="J68" s="188">
        <v>3238675.13</v>
      </c>
      <c r="K68" s="188">
        <v>1975386.39</v>
      </c>
      <c r="L68" s="188">
        <v>993260.07</v>
      </c>
      <c r="M68" s="188">
        <v>5143139.6100000003</v>
      </c>
      <c r="N68" s="188">
        <v>4223801.82</v>
      </c>
      <c r="O68" s="188">
        <v>9559356.6699999999</v>
      </c>
      <c r="P68" s="188">
        <v>10976780</v>
      </c>
      <c r="Q68" s="188">
        <v>-4194.4399999999996</v>
      </c>
      <c r="R68" s="188">
        <v>-591674.91</v>
      </c>
      <c r="S68" s="188">
        <v>0</v>
      </c>
      <c r="T68" s="188">
        <v>-245115593.80000001</v>
      </c>
      <c r="U68" s="188">
        <v>-826879677.55999994</v>
      </c>
      <c r="V68" s="188">
        <v>-659404182.44000006</v>
      </c>
      <c r="W68" s="188">
        <v>-471944898.50999999</v>
      </c>
      <c r="X68" s="188">
        <v>-238664090.94</v>
      </c>
      <c r="Y68" s="188">
        <v>-789586016.60000002</v>
      </c>
      <c r="Z68" s="188">
        <v>-620329449.92999995</v>
      </c>
      <c r="AA68" s="188">
        <v>-400245467.81999999</v>
      </c>
      <c r="AB68" s="188">
        <v>-142309808.88</v>
      </c>
      <c r="AC68" s="188">
        <v>-476587420.81</v>
      </c>
      <c r="AD68" s="188">
        <v>-235104521.34</v>
      </c>
      <c r="AE68" s="188">
        <v>-187674784.06999999</v>
      </c>
      <c r="AF68" s="188">
        <v>-23414404.640000001</v>
      </c>
      <c r="AG68" s="188">
        <v>-192470846.37</v>
      </c>
      <c r="AH68" s="188">
        <v>-105230410.26000001</v>
      </c>
      <c r="AI68" s="188">
        <v>-77281557.629999995</v>
      </c>
      <c r="AJ68" s="188">
        <v>-11990167.300000001</v>
      </c>
      <c r="AK68" s="188">
        <v>-109732181.41</v>
      </c>
      <c r="AL68" s="188">
        <v>-66018480.219999999</v>
      </c>
      <c r="AM68" s="188">
        <v>-40647909.57</v>
      </c>
      <c r="AN68" s="188">
        <v>-10967664.689999999</v>
      </c>
      <c r="AO68" s="188">
        <v>-159954267.43000001</v>
      </c>
      <c r="AP68" s="188">
        <v>-87720223.980000004</v>
      </c>
      <c r="AQ68" s="188">
        <v>-74810065.359999999</v>
      </c>
      <c r="AR68" s="188">
        <v>-15614749.33</v>
      </c>
      <c r="AS68" s="188">
        <v>-92227613.010000005</v>
      </c>
      <c r="AT68" s="188">
        <v>-41018279.990000002</v>
      </c>
      <c r="AU68" s="188">
        <v>-36487207.520000003</v>
      </c>
      <c r="AV68" s="188">
        <v>-3376979.14</v>
      </c>
      <c r="AW68" s="188">
        <v>-50497352.530000001</v>
      </c>
      <c r="AX68" s="188">
        <v>-26367719.059999999</v>
      </c>
      <c r="AY68" s="188">
        <v>-24396518</v>
      </c>
      <c r="AZ68" s="188">
        <v>-2917708.8</v>
      </c>
      <c r="BA68" s="188">
        <v>-25225980.809999999</v>
      </c>
      <c r="BB68" s="188">
        <v>-7438048.8600000003</v>
      </c>
      <c r="BC68" s="188">
        <v>-5495968.9100000001</v>
      </c>
      <c r="BD68" s="188">
        <v>-6057952.7199999997</v>
      </c>
      <c r="BE68" s="188">
        <v>-26456599.109999999</v>
      </c>
      <c r="BF68" s="188">
        <v>-12780406.130000001</v>
      </c>
      <c r="BG68" s="188">
        <v>-11107770.039999999</v>
      </c>
      <c r="BH68" s="188">
        <v>-1735818.19</v>
      </c>
      <c r="BI68" s="188">
        <v>-28358707.260000002</v>
      </c>
      <c r="BJ68" s="188">
        <v>-19582453.850000001</v>
      </c>
      <c r="BK68" s="188">
        <v>-12127010.279999999</v>
      </c>
      <c r="BL68" s="188">
        <v>-2445731.69</v>
      </c>
      <c r="BM68" s="188">
        <v>-26693808.859999999</v>
      </c>
      <c r="BN68" s="188">
        <v>-21740886.899999999</v>
      </c>
      <c r="BO68" s="188">
        <v>-11645839.699999999</v>
      </c>
      <c r="BP68" s="188">
        <v>-7526726.1299999999</v>
      </c>
      <c r="BQ68" s="188">
        <v>-25420934.84</v>
      </c>
      <c r="BR68" s="188">
        <v>0</v>
      </c>
      <c r="BS68" s="188">
        <v>-16481097.720000001</v>
      </c>
      <c r="BT68" s="188">
        <v>-5451391.75</v>
      </c>
      <c r="BU68" s="188">
        <v>-14348624.140000001</v>
      </c>
      <c r="BV68" s="188">
        <v>-7438579.8600000003</v>
      </c>
      <c r="BW68" s="188">
        <v>-15086567.960000001</v>
      </c>
      <c r="BX68" s="188">
        <v>-9593131.2100000009</v>
      </c>
      <c r="BY68" s="188">
        <v>-42791521.079999998</v>
      </c>
      <c r="BZ68" s="188">
        <v>-3834295.55</v>
      </c>
      <c r="CA68" s="188">
        <v>11835075.34</v>
      </c>
      <c r="CB68" s="188">
        <v>16252757.800000001</v>
      </c>
      <c r="CC68" s="188">
        <v>12407743.33</v>
      </c>
      <c r="CD68" s="188">
        <v>0</v>
      </c>
      <c r="CE68" s="188">
        <v>0</v>
      </c>
      <c r="CF68" s="188">
        <v>0</v>
      </c>
      <c r="CG68" s="188">
        <v>0</v>
      </c>
      <c r="CH68" s="188">
        <v>0</v>
      </c>
      <c r="CI68" s="188">
        <v>0</v>
      </c>
      <c r="CJ68" s="188">
        <v>0</v>
      </c>
      <c r="CK68" s="188">
        <v>0</v>
      </c>
    </row>
    <row r="69" spans="1:89" x14ac:dyDescent="0.25">
      <c r="A69" s="22" t="s">
        <v>102</v>
      </c>
      <c r="B69" s="31">
        <v>0.08</v>
      </c>
      <c r="C69" s="31">
        <v>0.08</v>
      </c>
      <c r="D69" s="31">
        <v>0.08</v>
      </c>
      <c r="E69" s="31">
        <v>0.08</v>
      </c>
      <c r="F69" s="31">
        <v>0.08</v>
      </c>
      <c r="G69" s="31">
        <v>0.08</v>
      </c>
      <c r="H69" s="31">
        <v>0.08</v>
      </c>
      <c r="I69" s="31">
        <v>0.08</v>
      </c>
      <c r="J69" s="31">
        <v>0.08</v>
      </c>
      <c r="K69" s="31">
        <v>0.08</v>
      </c>
      <c r="L69" s="31">
        <v>0.08</v>
      </c>
      <c r="M69" s="31">
        <v>0.08</v>
      </c>
      <c r="N69" s="31">
        <v>0.08</v>
      </c>
      <c r="O69" s="31">
        <v>0.08</v>
      </c>
      <c r="P69" s="31">
        <v>0.08</v>
      </c>
      <c r="Q69" s="31">
        <v>0.08</v>
      </c>
      <c r="R69" s="31">
        <v>0.08</v>
      </c>
      <c r="S69" s="31">
        <v>0.08</v>
      </c>
      <c r="T69" s="31">
        <v>0.08</v>
      </c>
      <c r="U69" s="31">
        <v>0.08</v>
      </c>
      <c r="V69" s="31">
        <v>0.08</v>
      </c>
      <c r="W69" s="31">
        <v>0.08</v>
      </c>
      <c r="X69" s="31">
        <v>0.08</v>
      </c>
      <c r="Y69" s="31">
        <v>0.08</v>
      </c>
      <c r="Z69" s="31">
        <v>0.08</v>
      </c>
      <c r="AA69" s="31">
        <v>0.08</v>
      </c>
      <c r="AB69" s="31">
        <v>0.08</v>
      </c>
      <c r="AC69" s="31">
        <v>0.08</v>
      </c>
      <c r="AD69" s="31">
        <v>0.08</v>
      </c>
      <c r="AE69" s="31">
        <v>0.08</v>
      </c>
      <c r="AF69" s="31">
        <v>0.08</v>
      </c>
      <c r="AG69" s="31">
        <v>0.08</v>
      </c>
      <c r="AH69" s="31">
        <v>0.08</v>
      </c>
      <c r="AI69" s="31">
        <v>0.08</v>
      </c>
      <c r="AJ69" s="31">
        <v>0.08</v>
      </c>
      <c r="AK69" s="31">
        <v>0.08</v>
      </c>
      <c r="AL69" s="31">
        <v>0.08</v>
      </c>
      <c r="AM69" s="31">
        <v>0.08</v>
      </c>
      <c r="AN69" s="31">
        <v>0.08</v>
      </c>
      <c r="AO69" s="31">
        <v>0.08</v>
      </c>
      <c r="AP69" s="31">
        <v>0.08</v>
      </c>
      <c r="AQ69" s="31">
        <v>0.08</v>
      </c>
      <c r="AR69" s="31">
        <v>0.08</v>
      </c>
      <c r="AS69" s="31">
        <v>0.08</v>
      </c>
      <c r="AT69" s="31">
        <v>0.08</v>
      </c>
      <c r="AU69" s="31">
        <v>0.08</v>
      </c>
      <c r="AV69" s="31">
        <v>0.08</v>
      </c>
      <c r="AW69" s="31">
        <v>0.08</v>
      </c>
      <c r="AX69" s="31">
        <v>0.08</v>
      </c>
      <c r="AY69" s="31">
        <v>0.08</v>
      </c>
      <c r="AZ69" s="31">
        <v>0.08</v>
      </c>
      <c r="BA69" s="31">
        <v>0.08</v>
      </c>
      <c r="BB69" s="31">
        <v>0.08</v>
      </c>
      <c r="BC69" s="31">
        <v>0.08</v>
      </c>
      <c r="BD69" s="31">
        <v>0.08</v>
      </c>
      <c r="BE69" s="31">
        <v>0.08</v>
      </c>
      <c r="BF69" s="31">
        <v>0.08</v>
      </c>
      <c r="BG69" s="31">
        <v>0.08</v>
      </c>
      <c r="BH69" s="31">
        <v>0.08</v>
      </c>
      <c r="BI69" s="31">
        <v>0.08</v>
      </c>
      <c r="BJ69" s="31">
        <v>0.08</v>
      </c>
      <c r="BK69" s="31">
        <v>0.08</v>
      </c>
      <c r="BL69" s="31">
        <v>0.08</v>
      </c>
      <c r="BM69" s="31">
        <v>0.08</v>
      </c>
      <c r="BN69" s="31">
        <v>0.08</v>
      </c>
      <c r="BO69" s="31">
        <v>0.08</v>
      </c>
      <c r="BP69" s="31">
        <v>0.08</v>
      </c>
      <c r="BQ69" s="31">
        <v>0.08</v>
      </c>
      <c r="BR69" s="31">
        <v>0.08</v>
      </c>
      <c r="BS69" s="31">
        <v>0.08</v>
      </c>
      <c r="BT69" s="31">
        <v>0.08</v>
      </c>
      <c r="BU69" s="31">
        <v>0.08</v>
      </c>
      <c r="BV69" s="31">
        <v>0.08</v>
      </c>
      <c r="BW69" s="31">
        <v>0.08</v>
      </c>
      <c r="BX69" s="31">
        <v>0.08</v>
      </c>
      <c r="BY69" s="31">
        <v>0.08</v>
      </c>
      <c r="BZ69" s="31">
        <v>0.08</v>
      </c>
      <c r="CA69" s="31">
        <v>0.08</v>
      </c>
      <c r="CB69" s="31">
        <v>0.08</v>
      </c>
      <c r="CC69" s="31">
        <v>0.08</v>
      </c>
      <c r="CD69" s="31">
        <v>0.08</v>
      </c>
      <c r="CE69" s="31">
        <v>0.08</v>
      </c>
      <c r="CF69" s="31">
        <v>0.08</v>
      </c>
      <c r="CG69" s="31">
        <v>0.08</v>
      </c>
      <c r="CH69" s="31">
        <v>0.08</v>
      </c>
      <c r="CI69" s="31">
        <v>0.08</v>
      </c>
      <c r="CJ69" s="31">
        <v>0.08</v>
      </c>
      <c r="CK69" s="4"/>
    </row>
    <row r="70" spans="1:89" x14ac:dyDescent="0.25">
      <c r="A70" s="22" t="s">
        <v>103</v>
      </c>
      <c r="B70" s="188">
        <v>1205364297.6300001</v>
      </c>
      <c r="C70" s="188">
        <v>1143112009.8699999</v>
      </c>
      <c r="D70" s="188">
        <v>1105757564.23</v>
      </c>
      <c r="E70" s="188">
        <v>1094321354.0599999</v>
      </c>
      <c r="F70" s="188">
        <v>1053764474.4</v>
      </c>
      <c r="G70" s="188">
        <v>1001055226.26</v>
      </c>
      <c r="H70" s="188">
        <v>991797985.12</v>
      </c>
      <c r="I70" s="188">
        <v>985414241.73000002</v>
      </c>
      <c r="J70" s="188">
        <v>444444693.16000003</v>
      </c>
      <c r="K70" s="188">
        <v>399276395.75</v>
      </c>
      <c r="L70" s="188">
        <v>478018286.77999997</v>
      </c>
      <c r="M70" s="188">
        <v>387347869.01999998</v>
      </c>
      <c r="N70" s="188">
        <v>317743228</v>
      </c>
      <c r="O70" s="188">
        <v>254378428.47999999</v>
      </c>
      <c r="P70" s="188">
        <v>209769272.30000001</v>
      </c>
      <c r="Q70" s="188">
        <v>0</v>
      </c>
      <c r="R70" s="188"/>
      <c r="S70" s="188"/>
      <c r="T70" s="188">
        <v>39754833137.690002</v>
      </c>
      <c r="U70" s="188">
        <v>37019284552.089996</v>
      </c>
      <c r="V70" s="188">
        <v>35936255140.220001</v>
      </c>
      <c r="W70" s="188">
        <v>34492053862.870003</v>
      </c>
      <c r="X70" s="188">
        <v>35275133265.93</v>
      </c>
      <c r="Y70" s="188">
        <v>31521070553.299999</v>
      </c>
      <c r="Z70" s="188">
        <v>29621442772.68</v>
      </c>
      <c r="AA70" s="188">
        <v>26749200973.880001</v>
      </c>
      <c r="AB70" s="188">
        <v>26577947881.900002</v>
      </c>
      <c r="AC70" s="188">
        <v>23446688740.450001</v>
      </c>
      <c r="AD70" s="188">
        <v>22228578013.470001</v>
      </c>
      <c r="AE70" s="188">
        <v>20718108830.41</v>
      </c>
      <c r="AF70" s="188">
        <v>20565137134.060001</v>
      </c>
      <c r="AG70" s="188">
        <v>18366101541.470001</v>
      </c>
      <c r="AH70" s="188">
        <v>17519043970.790001</v>
      </c>
      <c r="AI70" s="188">
        <v>16339410822.219999</v>
      </c>
      <c r="AJ70" s="188">
        <v>16187697852.24</v>
      </c>
      <c r="AK70" s="188">
        <v>14580462144.59</v>
      </c>
      <c r="AL70" s="188">
        <v>13658846653.6</v>
      </c>
      <c r="AM70" s="188">
        <v>12886039184.620001</v>
      </c>
      <c r="AN70" s="188">
        <v>12725217105.43</v>
      </c>
      <c r="AO70" s="188">
        <v>11455936876.719999</v>
      </c>
      <c r="AP70" s="188">
        <v>11230323337.110001</v>
      </c>
      <c r="AQ70" s="188">
        <v>10934383750.469999</v>
      </c>
      <c r="AR70" s="188">
        <v>10641944677.48</v>
      </c>
      <c r="AS70" s="188">
        <v>9626236984.1700001</v>
      </c>
      <c r="AT70" s="188">
        <v>9485588152.4899998</v>
      </c>
      <c r="AU70" s="188">
        <v>9304015150.3199997</v>
      </c>
      <c r="AV70" s="188">
        <v>9051649388.7700005</v>
      </c>
      <c r="AW70" s="188">
        <v>8295168514.6400003</v>
      </c>
      <c r="AX70" s="188">
        <v>8139685182.96</v>
      </c>
      <c r="AY70" s="188">
        <v>7938750364.1499996</v>
      </c>
      <c r="AZ70" s="188">
        <v>7934784508.5</v>
      </c>
      <c r="BA70" s="188">
        <v>7385968978.54</v>
      </c>
      <c r="BB70" s="188">
        <v>7360716151.5900002</v>
      </c>
      <c r="BC70" s="188">
        <v>7179425965.6499996</v>
      </c>
      <c r="BD70" s="188">
        <v>7003465589.3699999</v>
      </c>
      <c r="BE70" s="188">
        <v>6586961901.7700005</v>
      </c>
      <c r="BF70" s="188">
        <v>6433916281.1800003</v>
      </c>
      <c r="BG70" s="188">
        <v>6292714866.6599998</v>
      </c>
      <c r="BH70" s="188">
        <v>6409286809.8599997</v>
      </c>
      <c r="BI70" s="188">
        <v>6025892686.6599998</v>
      </c>
      <c r="BJ70" s="188">
        <v>5870405150.8400002</v>
      </c>
      <c r="BK70" s="188">
        <v>5711754634.1499996</v>
      </c>
      <c r="BL70" s="188">
        <v>5611611741.0699997</v>
      </c>
      <c r="BM70" s="188">
        <v>5322099955.71</v>
      </c>
      <c r="BN70" s="188">
        <v>5214293132.5200005</v>
      </c>
      <c r="BO70" s="188">
        <v>5075362101.0900002</v>
      </c>
      <c r="BP70" s="188">
        <v>4954980669.5600004</v>
      </c>
      <c r="BQ70" s="188">
        <v>4702243132.8000002</v>
      </c>
      <c r="BR70" s="188">
        <v>0</v>
      </c>
      <c r="BS70" s="188">
        <v>4385655821.6400003</v>
      </c>
      <c r="BT70" s="188">
        <v>4238623191.5</v>
      </c>
      <c r="BU70" s="188">
        <v>3191216198.9499998</v>
      </c>
      <c r="BV70" s="188">
        <v>2850312166.9000001</v>
      </c>
      <c r="BW70" s="188">
        <v>2420499366.4499998</v>
      </c>
      <c r="BX70" s="188">
        <v>2089698452.7</v>
      </c>
      <c r="BY70" s="188">
        <v>1764990217.6700001</v>
      </c>
      <c r="BZ70" s="188">
        <v>1864618529.46</v>
      </c>
      <c r="CA70" s="188">
        <v>392384778.43000001</v>
      </c>
      <c r="CB70" s="188">
        <v>264958379.21000001</v>
      </c>
      <c r="CC70" s="188">
        <v>225967479.94999999</v>
      </c>
      <c r="CD70" s="188">
        <v>0</v>
      </c>
      <c r="CE70" s="188">
        <v>1079738000</v>
      </c>
      <c r="CF70" s="188">
        <v>1004228352.76</v>
      </c>
      <c r="CG70" s="188">
        <v>492689900.37</v>
      </c>
      <c r="CH70" s="188">
        <v>0</v>
      </c>
      <c r="CI70" s="188">
        <v>0</v>
      </c>
      <c r="CJ70" s="188">
        <v>0</v>
      </c>
      <c r="CK70" s="188">
        <v>0</v>
      </c>
    </row>
  </sheetData>
  <phoneticPr fontId="1" type="noConversion"/>
  <pageMargins left="0.7" right="0.7" top="0.75" bottom="0.75" header="0.3" footer="0.3"/>
  <pageSetup paperSize="9" orientation="portrait" r:id="rId1"/>
  <ignoredErrors>
    <ignoredError sqref="AS56" formulaRange="1"/>
  </ignoredErrors>
  <drawing r:id="rId2"/>
  <tableParts count="3">
    <tablePart r:id="rId3"/>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投资和筹资活动现金流表"/>
  <dimension ref="A1:BV51"/>
  <sheetViews>
    <sheetView zoomScale="95" zoomScaleNormal="95" workbookViewId="0">
      <selection activeCell="O41" sqref="O41"/>
    </sheetView>
  </sheetViews>
  <sheetFormatPr defaultRowHeight="14.4" x14ac:dyDescent="0.25"/>
  <cols>
    <col min="1" max="1" width="77.5546875" style="17" bestFit="1" customWidth="1"/>
    <col min="2" max="2" width="22.5546875" hidden="1" customWidth="1"/>
    <col min="3" max="3" width="20" hidden="1" customWidth="1"/>
    <col min="4" max="4" width="18.6640625" hidden="1" customWidth="1"/>
    <col min="5" max="5" width="22.5546875" bestFit="1" customWidth="1"/>
    <col min="6" max="8" width="18.109375" hidden="1" customWidth="1"/>
    <col min="9" max="9" width="22.5546875" bestFit="1" customWidth="1"/>
    <col min="10" max="12" width="18.109375" hidden="1" customWidth="1"/>
    <col min="13" max="13" width="22.5546875" bestFit="1" customWidth="1"/>
    <col min="14" max="14" width="18.109375" hidden="1" customWidth="1"/>
    <col min="15" max="15" width="18.109375" bestFit="1" customWidth="1"/>
    <col min="16" max="16" width="20.33203125" bestFit="1" customWidth="1"/>
    <col min="17" max="17" width="22.5546875" bestFit="1" customWidth="1"/>
    <col min="18" max="18" width="20.33203125" bestFit="1" customWidth="1"/>
    <col min="19" max="19" width="20.33203125" hidden="1" customWidth="1"/>
    <col min="20" max="20" width="21.5546875" hidden="1" customWidth="1"/>
    <col min="21" max="21" width="22.5546875" bestFit="1" customWidth="1"/>
    <col min="22" max="23" width="21.5546875" hidden="1" customWidth="1"/>
    <col min="24" max="24" width="20.33203125" hidden="1" customWidth="1"/>
    <col min="25" max="25" width="22.5546875" bestFit="1" customWidth="1"/>
    <col min="26" max="27" width="21.5546875" hidden="1" customWidth="1"/>
    <col min="28" max="28" width="20.33203125" hidden="1" customWidth="1"/>
    <col min="29" max="29" width="21.5546875" bestFit="1" customWidth="1"/>
    <col min="30" max="31" width="21.5546875" hidden="1" customWidth="1"/>
    <col min="32" max="32" width="20.33203125" hidden="1" customWidth="1"/>
    <col min="33" max="33" width="20.33203125" bestFit="1" customWidth="1"/>
    <col min="34" max="36" width="20.33203125" hidden="1" customWidth="1"/>
    <col min="37" max="37" width="20.33203125" bestFit="1" customWidth="1"/>
    <col min="38" max="40" width="20.33203125" hidden="1" customWidth="1"/>
    <col min="41" max="41" width="20.33203125" bestFit="1" customWidth="1"/>
    <col min="42" max="44" width="20.33203125" hidden="1" customWidth="1"/>
    <col min="45" max="45" width="20.33203125" bestFit="1" customWidth="1"/>
    <col min="46" max="48" width="20.33203125" hidden="1" customWidth="1"/>
    <col min="49" max="49" width="20.33203125" bestFit="1" customWidth="1"/>
    <col min="50" max="52" width="20.33203125" hidden="1" customWidth="1"/>
    <col min="53" max="53" width="20.33203125" bestFit="1" customWidth="1"/>
    <col min="54" max="56" width="20.33203125" hidden="1" customWidth="1"/>
    <col min="57" max="57" width="20.33203125" bestFit="1" customWidth="1"/>
    <col min="58" max="60" width="20.33203125" hidden="1" customWidth="1"/>
    <col min="61" max="61" width="20.33203125" bestFit="1" customWidth="1"/>
    <col min="62" max="64" width="20.33203125" hidden="1" customWidth="1"/>
    <col min="65" max="65" width="20.33203125" bestFit="1" customWidth="1"/>
    <col min="66" max="66" width="20.33203125" hidden="1" customWidth="1"/>
    <col min="67" max="67" width="20.33203125" bestFit="1" customWidth="1"/>
    <col min="68" max="68" width="20.33203125" hidden="1" customWidth="1"/>
    <col min="69" max="69" width="20.33203125" bestFit="1" customWidth="1"/>
    <col min="70" max="70" width="20.33203125" hidden="1" customWidth="1"/>
    <col min="71" max="71" width="20.33203125" bestFit="1" customWidth="1"/>
    <col min="72" max="72" width="19.33203125" hidden="1" customWidth="1"/>
    <col min="73" max="73" width="20.33203125" bestFit="1" customWidth="1"/>
    <col min="74" max="74" width="12.21875" hidden="1" customWidth="1"/>
  </cols>
  <sheetData>
    <row r="1" spans="1:74" s="6" customFormat="1" x14ac:dyDescent="0.25">
      <c r="A1" s="103">
        <v>603060</v>
      </c>
      <c r="B1" s="1">
        <v>43373</v>
      </c>
      <c r="C1" s="1">
        <v>43281</v>
      </c>
      <c r="D1" s="1">
        <v>43190</v>
      </c>
      <c r="E1" s="1">
        <v>43100</v>
      </c>
      <c r="F1" s="1">
        <v>43008</v>
      </c>
      <c r="G1" s="1">
        <v>42916</v>
      </c>
      <c r="H1" s="1">
        <v>42825</v>
      </c>
      <c r="I1" s="1">
        <v>42735</v>
      </c>
      <c r="J1" s="1">
        <v>42643</v>
      </c>
      <c r="K1" s="1">
        <v>42551</v>
      </c>
      <c r="L1" s="1">
        <v>42460</v>
      </c>
      <c r="M1" s="1">
        <v>42369</v>
      </c>
      <c r="N1" s="1">
        <v>42277</v>
      </c>
      <c r="O1" s="1">
        <v>42004</v>
      </c>
      <c r="P1" s="1">
        <v>41639</v>
      </c>
      <c r="Q1" s="1">
        <v>41274</v>
      </c>
      <c r="R1" s="1">
        <v>40908</v>
      </c>
      <c r="S1" s="1">
        <v>25569</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row>
    <row r="2" spans="1:74" s="45" customFormat="1" x14ac:dyDescent="0.25">
      <c r="A2" s="46" t="s">
        <v>292</v>
      </c>
    </row>
    <row r="3" spans="1:74" s="191" customFormat="1" x14ac:dyDescent="0.25">
      <c r="A3" s="191" t="s">
        <v>320</v>
      </c>
      <c r="B3" s="188">
        <v>55629.26</v>
      </c>
      <c r="C3" s="188">
        <v>52629.26</v>
      </c>
      <c r="D3" s="188">
        <v>37795.65</v>
      </c>
      <c r="E3" s="188">
        <v>370072.1</v>
      </c>
      <c r="F3" s="188">
        <v>436200</v>
      </c>
      <c r="G3" s="188">
        <v>424700</v>
      </c>
      <c r="H3" s="188">
        <v>281880</v>
      </c>
      <c r="I3" s="188">
        <v>9612025.1600000001</v>
      </c>
      <c r="J3" s="188">
        <v>49163.3</v>
      </c>
      <c r="K3" s="188">
        <v>17833</v>
      </c>
      <c r="L3" s="188">
        <v>7689</v>
      </c>
      <c r="M3" s="188">
        <v>67792.53</v>
      </c>
      <c r="N3" s="188">
        <v>45745.03</v>
      </c>
      <c r="O3" s="188">
        <v>176528</v>
      </c>
      <c r="P3" s="188">
        <v>119436</v>
      </c>
      <c r="Q3" s="188">
        <v>1219188.68</v>
      </c>
      <c r="R3" s="188">
        <v>374680.55</v>
      </c>
      <c r="S3" s="188">
        <v>0</v>
      </c>
      <c r="T3" s="191">
        <v>23558470.84</v>
      </c>
      <c r="U3" s="191">
        <v>3782193.81</v>
      </c>
      <c r="V3" s="191">
        <v>3391378.97</v>
      </c>
      <c r="W3" s="191">
        <v>3252166.77</v>
      </c>
      <c r="X3" s="191">
        <v>261460.28</v>
      </c>
      <c r="Y3" s="191">
        <v>685226.29</v>
      </c>
      <c r="Z3" s="191">
        <v>185350.6</v>
      </c>
      <c r="AA3" s="191">
        <v>185350.6</v>
      </c>
      <c r="AB3" s="191">
        <v>28460.6</v>
      </c>
      <c r="AC3" s="191">
        <v>5239472.51</v>
      </c>
      <c r="AD3" s="191">
        <v>203195</v>
      </c>
      <c r="AE3" s="191">
        <v>200000</v>
      </c>
      <c r="AF3" s="191">
        <v>0</v>
      </c>
      <c r="AG3" s="191">
        <v>1556299.86</v>
      </c>
      <c r="AH3" s="191">
        <v>13391400.119999999</v>
      </c>
      <c r="AI3" s="191">
        <v>13290787.810000001</v>
      </c>
      <c r="AJ3" s="191">
        <v>510426.18</v>
      </c>
      <c r="AK3" s="191">
        <v>310042.07</v>
      </c>
      <c r="AL3" s="191">
        <v>167266.07</v>
      </c>
      <c r="AM3" s="191">
        <v>167266.07</v>
      </c>
      <c r="AN3" s="191">
        <v>1649.81</v>
      </c>
      <c r="AO3" s="191">
        <v>3361413.55</v>
      </c>
      <c r="AP3" s="191">
        <v>2432381.64</v>
      </c>
      <c r="AQ3" s="191">
        <v>710417.99</v>
      </c>
      <c r="AR3" s="191">
        <v>5100</v>
      </c>
      <c r="AS3" s="191">
        <v>1461877.56</v>
      </c>
      <c r="AT3" s="191">
        <v>915725.99</v>
      </c>
      <c r="AU3" s="191">
        <v>888021.74</v>
      </c>
      <c r="AV3" s="191">
        <v>464588.74</v>
      </c>
      <c r="AW3" s="191">
        <v>573336.46</v>
      </c>
      <c r="AX3" s="191">
        <v>488804.96</v>
      </c>
      <c r="AY3" s="191">
        <v>270000</v>
      </c>
      <c r="AZ3" s="191">
        <v>0</v>
      </c>
      <c r="BA3" s="191">
        <v>863329.02</v>
      </c>
      <c r="BB3" s="191">
        <v>813805.81</v>
      </c>
      <c r="BC3" s="191">
        <v>727743.76</v>
      </c>
      <c r="BD3" s="191">
        <v>17650.599999999999</v>
      </c>
      <c r="BE3" s="191">
        <v>8589013.4800000004</v>
      </c>
      <c r="BF3" s="191">
        <v>7499124.0300000003</v>
      </c>
      <c r="BG3" s="191">
        <v>7168613.4299999997</v>
      </c>
      <c r="BH3" s="191">
        <v>21398</v>
      </c>
      <c r="BI3" s="191">
        <v>6970503.7599999998</v>
      </c>
      <c r="BJ3" s="191">
        <v>0</v>
      </c>
      <c r="BK3" s="191">
        <v>211614.42</v>
      </c>
      <c r="BL3" s="191">
        <v>50000</v>
      </c>
      <c r="BM3" s="191">
        <v>27193335.649999999</v>
      </c>
      <c r="BN3" s="191">
        <v>40285.5</v>
      </c>
      <c r="BO3" s="191">
        <v>371490.58</v>
      </c>
      <c r="BP3" s="191">
        <v>0</v>
      </c>
      <c r="BQ3" s="191">
        <v>3580</v>
      </c>
      <c r="BR3" s="191">
        <v>1500</v>
      </c>
      <c r="BS3" s="191">
        <v>52101.23</v>
      </c>
      <c r="BT3" s="191">
        <v>1680</v>
      </c>
      <c r="BU3" s="191">
        <v>25980.76</v>
      </c>
      <c r="BV3" s="191">
        <v>0</v>
      </c>
    </row>
    <row r="4" spans="1:74" s="191" customFormat="1" x14ac:dyDescent="0.25">
      <c r="A4" s="191" t="s">
        <v>304</v>
      </c>
      <c r="B4" s="188">
        <v>74805991.439999998</v>
      </c>
      <c r="C4" s="188">
        <v>44863084.299999997</v>
      </c>
      <c r="D4" s="188">
        <v>20165188.25</v>
      </c>
      <c r="E4" s="188">
        <v>95221366.510000005</v>
      </c>
      <c r="F4" s="188">
        <v>59997371.659999996</v>
      </c>
      <c r="G4" s="188">
        <v>30176346.969999999</v>
      </c>
      <c r="H4" s="188">
        <v>17617551.010000002</v>
      </c>
      <c r="I4" s="188">
        <v>68799140.079999998</v>
      </c>
      <c r="J4" s="188">
        <v>56123747.530000001</v>
      </c>
      <c r="K4" s="188">
        <v>33793913.229999997</v>
      </c>
      <c r="L4" s="188">
        <v>16034616.74</v>
      </c>
      <c r="M4" s="188">
        <v>44719761.340000004</v>
      </c>
      <c r="N4" s="188">
        <v>28732733.170000002</v>
      </c>
      <c r="O4" s="188">
        <v>34035618.399999999</v>
      </c>
      <c r="P4" s="188">
        <v>205534323.25</v>
      </c>
      <c r="Q4" s="188">
        <v>98020191.620000005</v>
      </c>
      <c r="R4" s="188">
        <v>20215098.969999999</v>
      </c>
      <c r="S4" s="188">
        <v>0</v>
      </c>
      <c r="T4" s="191">
        <v>88471907.120000005</v>
      </c>
      <c r="U4" s="191">
        <v>341534397.35000002</v>
      </c>
      <c r="V4" s="191">
        <v>286139179.36000001</v>
      </c>
      <c r="W4" s="191">
        <v>215862695.83000001</v>
      </c>
      <c r="X4" s="191">
        <v>144070201.88999999</v>
      </c>
      <c r="Y4" s="191">
        <v>355506717.47000003</v>
      </c>
      <c r="Z4" s="191">
        <v>228521903.88999999</v>
      </c>
      <c r="AA4" s="191">
        <v>204363119.03999999</v>
      </c>
      <c r="AB4" s="191">
        <v>146432254.69999999</v>
      </c>
      <c r="AC4" s="191">
        <v>536106369.48000002</v>
      </c>
      <c r="AD4" s="191">
        <v>351106948.10000002</v>
      </c>
      <c r="AE4" s="191">
        <v>288668171.64999998</v>
      </c>
      <c r="AF4" s="191">
        <v>103106550.39</v>
      </c>
      <c r="AG4" s="191">
        <v>462908343.55000001</v>
      </c>
      <c r="AH4" s="191">
        <v>328702496.94999999</v>
      </c>
      <c r="AI4" s="191">
        <v>247966835.41</v>
      </c>
      <c r="AJ4" s="191">
        <v>135287234.63999999</v>
      </c>
      <c r="AK4" s="191">
        <v>985162241.49000001</v>
      </c>
      <c r="AL4" s="191">
        <v>193936548.19</v>
      </c>
      <c r="AM4" s="191">
        <v>169537553.47</v>
      </c>
      <c r="AN4" s="191">
        <v>105598391.20999999</v>
      </c>
      <c r="AO4" s="191">
        <v>109368261.26000001</v>
      </c>
      <c r="AP4" s="191">
        <v>82119739.920000002</v>
      </c>
      <c r="AQ4" s="191">
        <v>74523182.519999996</v>
      </c>
      <c r="AR4" s="191">
        <v>4086163.05</v>
      </c>
      <c r="AS4" s="191">
        <v>248805213.50999999</v>
      </c>
      <c r="AT4" s="191">
        <v>180806493.18000001</v>
      </c>
      <c r="AU4" s="191">
        <v>102706016.8</v>
      </c>
      <c r="AV4" s="191">
        <v>39566827.240000002</v>
      </c>
      <c r="AW4" s="191">
        <v>251397575.99000001</v>
      </c>
      <c r="AX4" s="191">
        <v>231787598.30000001</v>
      </c>
      <c r="AY4" s="191">
        <v>193913936.41999999</v>
      </c>
      <c r="AZ4" s="191">
        <v>732516.47</v>
      </c>
      <c r="BA4" s="191">
        <v>117069771.09999999</v>
      </c>
      <c r="BB4" s="191">
        <v>72571280.939999998</v>
      </c>
      <c r="BC4" s="191">
        <v>69853888.430000007</v>
      </c>
      <c r="BD4" s="191">
        <v>48611645.549999997</v>
      </c>
      <c r="BE4" s="191">
        <v>683013865.38</v>
      </c>
      <c r="BF4" s="191">
        <v>111516381.05</v>
      </c>
      <c r="BG4" s="191">
        <v>99482044.859999999</v>
      </c>
      <c r="BH4" s="191">
        <v>66469318.329999998</v>
      </c>
      <c r="BI4" s="191">
        <v>1370837016.3299999</v>
      </c>
      <c r="BJ4" s="191">
        <v>869403485.79999995</v>
      </c>
      <c r="BK4" s="191">
        <v>102523951.22</v>
      </c>
      <c r="BL4" s="191">
        <v>18067034.449999999</v>
      </c>
      <c r="BM4" s="191">
        <v>1276551302.9200001</v>
      </c>
      <c r="BN4" s="191">
        <v>227870170.09</v>
      </c>
      <c r="BO4" s="191">
        <v>1825260201.4100001</v>
      </c>
      <c r="BP4" s="191">
        <v>1033022955.65</v>
      </c>
      <c r="BQ4" s="191">
        <v>508204018.88</v>
      </c>
      <c r="BR4" s="191">
        <v>378968057.27999997</v>
      </c>
      <c r="BS4" s="191">
        <v>94153230.329999998</v>
      </c>
      <c r="BT4" s="191">
        <v>6757461.4400000004</v>
      </c>
      <c r="BU4" s="191">
        <v>585117171</v>
      </c>
      <c r="BV4" s="191">
        <v>0</v>
      </c>
    </row>
    <row r="5" spans="1:74" s="47" customFormat="1" x14ac:dyDescent="0.25">
      <c r="A5" s="47" t="s">
        <v>295</v>
      </c>
      <c r="E5" s="47">
        <f>E4-E3</f>
        <v>94851294.410000011</v>
      </c>
      <c r="F5" s="47">
        <f t="shared" ref="F5:AR5" si="0">F4-F3</f>
        <v>59561171.659999996</v>
      </c>
      <c r="G5" s="47">
        <f t="shared" si="0"/>
        <v>29751646.969999999</v>
      </c>
      <c r="H5" s="47">
        <f t="shared" si="0"/>
        <v>17335671.010000002</v>
      </c>
      <c r="I5" s="47">
        <f t="shared" si="0"/>
        <v>59187114.920000002</v>
      </c>
      <c r="J5" s="47">
        <f t="shared" si="0"/>
        <v>56074584.230000004</v>
      </c>
      <c r="K5" s="47">
        <f t="shared" si="0"/>
        <v>33776080.229999997</v>
      </c>
      <c r="L5" s="47">
        <f t="shared" si="0"/>
        <v>16026927.74</v>
      </c>
      <c r="M5" s="47">
        <f t="shared" si="0"/>
        <v>44651968.810000002</v>
      </c>
      <c r="N5" s="47">
        <f t="shared" si="0"/>
        <v>28686988.140000001</v>
      </c>
      <c r="O5" s="47">
        <f t="shared" si="0"/>
        <v>33859090.399999999</v>
      </c>
      <c r="P5" s="47">
        <f t="shared" si="0"/>
        <v>205414887.25</v>
      </c>
      <c r="Q5" s="47">
        <f t="shared" si="0"/>
        <v>96801002.939999998</v>
      </c>
      <c r="R5" s="47">
        <f t="shared" si="0"/>
        <v>19840418.419999998</v>
      </c>
      <c r="S5" s="47">
        <f t="shared" si="0"/>
        <v>0</v>
      </c>
      <c r="T5" s="47">
        <f t="shared" si="0"/>
        <v>64913436.280000001</v>
      </c>
      <c r="U5" s="47">
        <f t="shared" si="0"/>
        <v>337752203.54000002</v>
      </c>
      <c r="V5" s="47">
        <f t="shared" si="0"/>
        <v>282747800.38999999</v>
      </c>
      <c r="W5" s="47">
        <f t="shared" si="0"/>
        <v>212610529.06</v>
      </c>
      <c r="X5" s="47">
        <f t="shared" si="0"/>
        <v>143808741.60999998</v>
      </c>
      <c r="Y5" s="47">
        <f t="shared" si="0"/>
        <v>354821491.18000001</v>
      </c>
      <c r="Z5" s="47">
        <f t="shared" si="0"/>
        <v>228336553.28999999</v>
      </c>
      <c r="AA5" s="47">
        <f t="shared" si="0"/>
        <v>204177768.44</v>
      </c>
      <c r="AB5" s="47">
        <f t="shared" si="0"/>
        <v>146403794.09999999</v>
      </c>
      <c r="AC5" s="47">
        <f t="shared" si="0"/>
        <v>530866896.97000003</v>
      </c>
      <c r="AD5" s="47">
        <f t="shared" si="0"/>
        <v>350903753.10000002</v>
      </c>
      <c r="AE5" s="47">
        <f t="shared" si="0"/>
        <v>288468171.64999998</v>
      </c>
      <c r="AF5" s="47">
        <f t="shared" si="0"/>
        <v>103106550.39</v>
      </c>
      <c r="AG5" s="47">
        <f t="shared" si="0"/>
        <v>461352043.69</v>
      </c>
      <c r="AH5" s="47">
        <f t="shared" si="0"/>
        <v>315311096.82999998</v>
      </c>
      <c r="AI5" s="47">
        <f t="shared" si="0"/>
        <v>234676047.59999999</v>
      </c>
      <c r="AJ5" s="47">
        <f t="shared" si="0"/>
        <v>134776808.45999998</v>
      </c>
      <c r="AK5" s="47">
        <f t="shared" si="0"/>
        <v>984852199.41999996</v>
      </c>
      <c r="AL5" s="47">
        <f t="shared" si="0"/>
        <v>193769282.12</v>
      </c>
      <c r="AM5" s="47">
        <f t="shared" si="0"/>
        <v>169370287.40000001</v>
      </c>
      <c r="AN5" s="47">
        <f t="shared" si="0"/>
        <v>105596741.39999999</v>
      </c>
      <c r="AO5" s="47">
        <f t="shared" si="0"/>
        <v>106006847.71000001</v>
      </c>
      <c r="AP5" s="47">
        <f t="shared" si="0"/>
        <v>79687358.280000001</v>
      </c>
      <c r="AQ5" s="47">
        <f t="shared" si="0"/>
        <v>73812764.530000001</v>
      </c>
      <c r="AR5" s="47">
        <f t="shared" si="0"/>
        <v>4081063.05</v>
      </c>
    </row>
    <row r="6" spans="1:74" s="104" customFormat="1" x14ac:dyDescent="0.25">
      <c r="A6" s="104" t="s">
        <v>305</v>
      </c>
      <c r="B6" s="188">
        <v>0</v>
      </c>
      <c r="C6" s="188">
        <v>16895591.510000002</v>
      </c>
      <c r="D6" s="188">
        <v>0</v>
      </c>
      <c r="E6" s="188">
        <v>26809345.239999998</v>
      </c>
      <c r="F6" s="188">
        <v>0</v>
      </c>
      <c r="G6" s="188">
        <v>12871866.01</v>
      </c>
      <c r="H6" s="188">
        <v>0</v>
      </c>
      <c r="I6" s="188">
        <v>23950808.620000001</v>
      </c>
      <c r="J6" s="188">
        <v>0</v>
      </c>
      <c r="K6" s="188">
        <v>11482492.609999999</v>
      </c>
      <c r="L6" s="188">
        <v>0</v>
      </c>
      <c r="M6" s="188">
        <v>22725146.620000001</v>
      </c>
      <c r="N6" s="188">
        <v>0</v>
      </c>
      <c r="O6" s="188">
        <v>19959625.489999998</v>
      </c>
      <c r="P6" s="188">
        <v>18635575.57</v>
      </c>
      <c r="Q6" s="188">
        <v>0</v>
      </c>
      <c r="R6" s="188">
        <v>0</v>
      </c>
      <c r="S6" s="188">
        <v>0</v>
      </c>
      <c r="T6" s="191">
        <v>0</v>
      </c>
      <c r="U6" s="191">
        <v>640477322.51999998</v>
      </c>
      <c r="V6" s="191">
        <v>0</v>
      </c>
      <c r="W6" s="191">
        <v>313438532.41000003</v>
      </c>
      <c r="X6" s="191">
        <v>0</v>
      </c>
      <c r="Y6" s="191">
        <v>660996817.02999997</v>
      </c>
      <c r="Z6" s="191">
        <v>0</v>
      </c>
      <c r="AA6" s="191">
        <v>330900138.69999999</v>
      </c>
      <c r="AB6" s="191">
        <v>0</v>
      </c>
      <c r="AC6" s="191">
        <v>700477452.44000006</v>
      </c>
      <c r="AD6" s="191">
        <v>0</v>
      </c>
      <c r="AE6" s="191">
        <v>353569837.38999999</v>
      </c>
      <c r="AF6" s="191">
        <v>0</v>
      </c>
      <c r="AG6" s="191">
        <v>722805104.55999994</v>
      </c>
      <c r="AH6" s="191">
        <v>0</v>
      </c>
      <c r="AI6" s="191">
        <v>360067389.06999999</v>
      </c>
      <c r="AJ6" s="191">
        <v>0</v>
      </c>
      <c r="AK6" s="191">
        <v>646335570.79999995</v>
      </c>
      <c r="AL6" s="191">
        <v>0</v>
      </c>
      <c r="AM6" s="191">
        <v>352652082.83999997</v>
      </c>
      <c r="AN6" s="191">
        <v>0</v>
      </c>
      <c r="AO6" s="191">
        <v>434466978.80000001</v>
      </c>
      <c r="AP6" s="191">
        <v>0</v>
      </c>
      <c r="AQ6" s="191">
        <v>220055249.78</v>
      </c>
      <c r="AR6" s="191">
        <v>0</v>
      </c>
      <c r="AS6" s="191">
        <v>466252820.24000001</v>
      </c>
      <c r="AT6" s="191">
        <v>0</v>
      </c>
      <c r="AU6" s="191">
        <v>0</v>
      </c>
      <c r="AV6" s="191">
        <v>0</v>
      </c>
      <c r="AW6" s="191">
        <v>467047308.91000003</v>
      </c>
      <c r="AX6" s="191">
        <v>322210774.50999999</v>
      </c>
      <c r="AY6" s="191">
        <v>214415246.97</v>
      </c>
      <c r="AZ6" s="191">
        <v>106891762.23999999</v>
      </c>
      <c r="BA6" s="191">
        <v>478234075.06999999</v>
      </c>
      <c r="BB6" s="191">
        <v>357766299.13</v>
      </c>
      <c r="BC6" s="191">
        <v>237335309.81999999</v>
      </c>
      <c r="BD6" s="191">
        <v>118623693.14</v>
      </c>
      <c r="BE6" s="191">
        <v>404552322.94</v>
      </c>
      <c r="BF6" s="191">
        <v>305788725.56</v>
      </c>
      <c r="BG6" s="191">
        <v>208996928.00999999</v>
      </c>
      <c r="BH6" s="191">
        <v>112312929.75</v>
      </c>
      <c r="BI6" s="191">
        <v>275750634.47000003</v>
      </c>
      <c r="BJ6" s="191">
        <v>202256946.52000001</v>
      </c>
      <c r="BK6" s="191">
        <v>113461866.70999999</v>
      </c>
      <c r="BL6" s="191">
        <v>56664861.82</v>
      </c>
      <c r="BM6" s="191">
        <v>233663769.53999999</v>
      </c>
      <c r="BN6" s="191">
        <v>102939387.53</v>
      </c>
      <c r="BO6" s="191">
        <v>165653982.56</v>
      </c>
      <c r="BP6" s="191">
        <v>49234570.869999997</v>
      </c>
      <c r="BQ6" s="191">
        <v>130519869.31</v>
      </c>
      <c r="BR6" s="191">
        <v>62414344.259999998</v>
      </c>
      <c r="BS6" s="191">
        <v>56928281.189999998</v>
      </c>
      <c r="BT6" s="191">
        <v>29633190.559999999</v>
      </c>
      <c r="BU6" s="191">
        <v>42460875.850000001</v>
      </c>
      <c r="BV6" s="191">
        <v>0</v>
      </c>
    </row>
    <row r="7" spans="1:74" s="191" customFormat="1" x14ac:dyDescent="0.25">
      <c r="A7" s="191" t="s">
        <v>306</v>
      </c>
      <c r="B7" s="188">
        <v>0</v>
      </c>
      <c r="C7" s="188">
        <v>1815688.67</v>
      </c>
      <c r="D7" s="188">
        <v>0</v>
      </c>
      <c r="E7" s="188">
        <v>3381039.48</v>
      </c>
      <c r="F7" s="188">
        <v>0</v>
      </c>
      <c r="G7" s="188">
        <v>1613504.83</v>
      </c>
      <c r="H7" s="188">
        <v>0</v>
      </c>
      <c r="I7" s="188">
        <v>3232061.94</v>
      </c>
      <c r="J7" s="188">
        <v>0</v>
      </c>
      <c r="K7" s="188">
        <v>1592210.19</v>
      </c>
      <c r="L7" s="188">
        <v>0</v>
      </c>
      <c r="M7" s="188">
        <v>3041889.61</v>
      </c>
      <c r="N7" s="188">
        <v>0</v>
      </c>
      <c r="O7" s="188">
        <v>2568358.56</v>
      </c>
      <c r="P7" s="188">
        <v>2197792.02</v>
      </c>
      <c r="Q7" s="188">
        <v>0</v>
      </c>
      <c r="R7" s="188">
        <v>0</v>
      </c>
      <c r="S7" s="188">
        <v>0</v>
      </c>
      <c r="T7" s="191">
        <v>0</v>
      </c>
      <c r="U7" s="191">
        <v>8486946.6699999999</v>
      </c>
      <c r="V7" s="191">
        <v>0</v>
      </c>
      <c r="W7" s="191">
        <v>4060746.45</v>
      </c>
      <c r="X7" s="191">
        <v>0</v>
      </c>
      <c r="Y7" s="191">
        <v>9029127.9100000001</v>
      </c>
      <c r="Z7" s="191">
        <v>0</v>
      </c>
      <c r="AA7" s="191">
        <v>4484684.68</v>
      </c>
      <c r="AB7" s="191">
        <v>0</v>
      </c>
      <c r="AC7" s="191">
        <v>8175665.5899999999</v>
      </c>
      <c r="AD7" s="191">
        <v>0</v>
      </c>
      <c r="AE7" s="191">
        <v>3786462.11</v>
      </c>
      <c r="AF7" s="191">
        <v>0</v>
      </c>
      <c r="AG7" s="191">
        <v>9197284.1500000004</v>
      </c>
      <c r="AH7" s="191">
        <v>0</v>
      </c>
      <c r="AI7" s="191">
        <v>4877963.95</v>
      </c>
      <c r="AJ7" s="191">
        <v>0</v>
      </c>
      <c r="AK7" s="191">
        <v>7271245.3099999996</v>
      </c>
      <c r="AL7" s="191">
        <v>0</v>
      </c>
      <c r="AM7" s="191">
        <v>4907043.74</v>
      </c>
      <c r="AN7" s="191">
        <v>0</v>
      </c>
      <c r="AO7" s="191">
        <v>1586144.88</v>
      </c>
      <c r="AP7" s="191">
        <v>0</v>
      </c>
      <c r="AQ7" s="191">
        <v>845090.25</v>
      </c>
      <c r="AR7" s="191">
        <v>0</v>
      </c>
      <c r="AS7" s="191">
        <v>1586144.88</v>
      </c>
      <c r="AT7" s="191">
        <v>0</v>
      </c>
      <c r="AU7" s="191">
        <v>0</v>
      </c>
      <c r="AV7" s="191">
        <v>0</v>
      </c>
      <c r="AW7" s="191">
        <v>3799631.08</v>
      </c>
      <c r="AX7" s="191">
        <v>3384594.86</v>
      </c>
      <c r="AY7" s="191">
        <v>1952934.44</v>
      </c>
      <c r="AZ7" s="191">
        <v>567536.22</v>
      </c>
      <c r="BA7" s="191">
        <v>1586144.88</v>
      </c>
      <c r="BB7" s="191">
        <v>1189608.6599999999</v>
      </c>
      <c r="BC7" s="191">
        <v>793072.44</v>
      </c>
      <c r="BD7" s="191">
        <v>396536.22</v>
      </c>
      <c r="BE7" s="191">
        <v>2026799.88</v>
      </c>
      <c r="BF7" s="191">
        <v>1513263.66</v>
      </c>
      <c r="BG7" s="191">
        <v>968842.44</v>
      </c>
      <c r="BH7" s="191">
        <v>572304.69999999995</v>
      </c>
      <c r="BI7" s="191">
        <v>2294148.85</v>
      </c>
      <c r="BJ7" s="191">
        <v>1897612.63</v>
      </c>
      <c r="BK7" s="191">
        <v>1501076.41</v>
      </c>
      <c r="BL7" s="191">
        <v>397126.17</v>
      </c>
      <c r="BM7" s="191">
        <v>3779059.29</v>
      </c>
      <c r="BN7" s="191">
        <v>943096.31999999995</v>
      </c>
      <c r="BO7" s="191">
        <v>1696119.74</v>
      </c>
      <c r="BP7" s="191">
        <v>808679.94</v>
      </c>
      <c r="BQ7" s="191">
        <v>2290393.21</v>
      </c>
      <c r="BR7" s="191">
        <v>677235.94</v>
      </c>
      <c r="BS7" s="191">
        <v>16746446.949999999</v>
      </c>
      <c r="BT7" s="191">
        <v>1394056.95</v>
      </c>
      <c r="BU7" s="191">
        <v>2442875.52</v>
      </c>
      <c r="BV7" s="191">
        <v>0</v>
      </c>
    </row>
    <row r="8" spans="1:74" s="191" customFormat="1" x14ac:dyDescent="0.25">
      <c r="A8" s="191" t="s">
        <v>307</v>
      </c>
      <c r="B8" s="188">
        <v>0</v>
      </c>
      <c r="C8" s="188">
        <v>2934456.31</v>
      </c>
      <c r="D8" s="188">
        <v>0</v>
      </c>
      <c r="E8" s="188">
        <v>5093971.0599999996</v>
      </c>
      <c r="F8" s="188">
        <v>0</v>
      </c>
      <c r="G8" s="188">
        <v>2722045.52</v>
      </c>
      <c r="H8" s="188">
        <v>0</v>
      </c>
      <c r="I8" s="188">
        <v>4709691.8600000003</v>
      </c>
      <c r="J8" s="188">
        <v>0</v>
      </c>
      <c r="K8" s="188">
        <v>2343474.65</v>
      </c>
      <c r="L8" s="188">
        <v>0</v>
      </c>
      <c r="M8" s="188">
        <v>4194991.1500000004</v>
      </c>
      <c r="N8" s="188">
        <v>0</v>
      </c>
      <c r="O8" s="188">
        <v>3655631.76</v>
      </c>
      <c r="P8" s="188">
        <v>3868753.34</v>
      </c>
      <c r="Q8" s="188">
        <v>0</v>
      </c>
      <c r="R8" s="188">
        <v>0</v>
      </c>
      <c r="S8" s="188">
        <v>0</v>
      </c>
      <c r="T8" s="191">
        <v>0</v>
      </c>
      <c r="U8" s="191">
        <v>32579186.390000001</v>
      </c>
      <c r="V8" s="191">
        <v>0</v>
      </c>
      <c r="W8" s="191">
        <v>16946915.23</v>
      </c>
      <c r="X8" s="191">
        <v>0</v>
      </c>
      <c r="Y8" s="191">
        <v>36112959.259999998</v>
      </c>
      <c r="Z8" s="191">
        <v>0</v>
      </c>
      <c r="AA8" s="191">
        <v>20521731.27</v>
      </c>
      <c r="AB8" s="191">
        <v>0</v>
      </c>
      <c r="AC8" s="191">
        <v>48417441.210000001</v>
      </c>
      <c r="AD8" s="191">
        <v>0</v>
      </c>
      <c r="AE8" s="191">
        <v>33027836.780000001</v>
      </c>
      <c r="AF8" s="191">
        <v>0</v>
      </c>
      <c r="AG8" s="191">
        <v>38118543.149999999</v>
      </c>
      <c r="AH8" s="191">
        <v>0</v>
      </c>
      <c r="AI8" s="191">
        <v>19325171.309999999</v>
      </c>
      <c r="AJ8" s="191">
        <v>0</v>
      </c>
      <c r="AK8" s="191">
        <v>29472070.109999999</v>
      </c>
      <c r="AL8" s="191">
        <v>0</v>
      </c>
      <c r="AM8" s="191">
        <v>17523174.57</v>
      </c>
      <c r="AN8" s="191">
        <v>0</v>
      </c>
      <c r="AO8" s="191">
        <v>0</v>
      </c>
      <c r="AP8" s="191">
        <v>0</v>
      </c>
      <c r="AQ8" s="191">
        <v>-3272209.09</v>
      </c>
      <c r="AR8" s="191">
        <v>0</v>
      </c>
      <c r="AS8" s="191">
        <v>820470.57</v>
      </c>
      <c r="AT8" s="191">
        <v>0</v>
      </c>
      <c r="AU8" s="191">
        <v>0</v>
      </c>
      <c r="AV8" s="191">
        <v>0</v>
      </c>
      <c r="AW8" s="191">
        <v>0</v>
      </c>
      <c r="AX8" s="191">
        <v>0</v>
      </c>
      <c r="AY8" s="191">
        <v>0</v>
      </c>
      <c r="AZ8" s="191">
        <v>0</v>
      </c>
      <c r="BA8" s="191">
        <v>0</v>
      </c>
      <c r="BB8" s="191">
        <v>0</v>
      </c>
      <c r="BC8" s="191">
        <v>0</v>
      </c>
      <c r="BD8" s="191">
        <v>0</v>
      </c>
      <c r="BE8" s="191">
        <v>0</v>
      </c>
      <c r="BF8" s="191">
        <v>0</v>
      </c>
      <c r="BG8" s="191">
        <v>0</v>
      </c>
      <c r="BH8" s="191">
        <v>0</v>
      </c>
      <c r="BI8" s="191">
        <v>0</v>
      </c>
      <c r="BJ8" s="191">
        <v>0</v>
      </c>
      <c r="BK8" s="191">
        <v>0</v>
      </c>
      <c r="BL8" s="191">
        <v>0</v>
      </c>
      <c r="BM8" s="191">
        <v>0</v>
      </c>
      <c r="BN8" s="191">
        <v>0</v>
      </c>
      <c r="BO8" s="191">
        <v>0</v>
      </c>
      <c r="BP8" s="191">
        <v>0</v>
      </c>
      <c r="BQ8" s="191">
        <v>0</v>
      </c>
      <c r="BR8" s="191">
        <v>0</v>
      </c>
      <c r="BS8" s="191">
        <v>0</v>
      </c>
      <c r="BT8" s="191">
        <v>0</v>
      </c>
      <c r="BU8" s="191">
        <v>0</v>
      </c>
      <c r="BV8" s="191">
        <v>0</v>
      </c>
    </row>
    <row r="9" spans="1:74" s="191" customFormat="1" x14ac:dyDescent="0.25">
      <c r="A9" s="191" t="s">
        <v>308</v>
      </c>
      <c r="B9" s="188">
        <v>0</v>
      </c>
      <c r="C9" s="188">
        <v>174958.78</v>
      </c>
      <c r="D9" s="188">
        <v>0</v>
      </c>
      <c r="E9" s="188">
        <v>-305982.92</v>
      </c>
      <c r="F9" s="188">
        <v>0</v>
      </c>
      <c r="G9" s="188">
        <v>-239730.3</v>
      </c>
      <c r="H9" s="188">
        <v>0</v>
      </c>
      <c r="I9" s="188">
        <v>109300.88</v>
      </c>
      <c r="J9" s="188">
        <v>0</v>
      </c>
      <c r="K9" s="188">
        <v>137951.65</v>
      </c>
      <c r="L9" s="188">
        <v>0</v>
      </c>
      <c r="M9" s="188">
        <v>1045475.52</v>
      </c>
      <c r="N9" s="188">
        <v>0</v>
      </c>
      <c r="O9" s="188">
        <v>702006.33</v>
      </c>
      <c r="P9" s="188">
        <v>971546.66</v>
      </c>
      <c r="Q9" s="188">
        <v>0</v>
      </c>
      <c r="R9" s="188">
        <v>0</v>
      </c>
      <c r="S9" s="188">
        <v>0</v>
      </c>
      <c r="T9" s="191">
        <v>0</v>
      </c>
      <c r="U9" s="191">
        <v>1912291.32</v>
      </c>
      <c r="V9" s="191">
        <v>0</v>
      </c>
      <c r="W9" s="191">
        <v>68747.679999999993</v>
      </c>
      <c r="X9" s="191">
        <v>0</v>
      </c>
      <c r="Y9" s="191">
        <v>1095331.6000000001</v>
      </c>
      <c r="Z9" s="191">
        <v>0</v>
      </c>
      <c r="AA9" s="191">
        <v>714503.17</v>
      </c>
      <c r="AB9" s="191">
        <v>0</v>
      </c>
      <c r="AC9" s="191">
        <v>6136174.5300000003</v>
      </c>
      <c r="AD9" s="191">
        <v>0</v>
      </c>
      <c r="AE9" s="191">
        <v>1553017.11</v>
      </c>
      <c r="AF9" s="191">
        <v>0</v>
      </c>
      <c r="AG9" s="191">
        <v>810820.36</v>
      </c>
      <c r="AH9" s="191">
        <v>0</v>
      </c>
      <c r="AI9" s="191">
        <v>-257394.23</v>
      </c>
      <c r="AJ9" s="191">
        <v>0</v>
      </c>
      <c r="AK9" s="191">
        <v>415296.61</v>
      </c>
      <c r="AL9" s="191">
        <v>0</v>
      </c>
      <c r="AM9" s="191">
        <v>249641.93</v>
      </c>
      <c r="AN9" s="191">
        <v>0</v>
      </c>
      <c r="AO9" s="191">
        <v>-633994.59</v>
      </c>
      <c r="AP9" s="191">
        <v>0</v>
      </c>
      <c r="AQ9" s="191">
        <v>-661025</v>
      </c>
      <c r="AR9" s="191">
        <v>0</v>
      </c>
      <c r="AS9" s="191">
        <v>-598305.26</v>
      </c>
      <c r="AT9" s="191">
        <v>0</v>
      </c>
      <c r="AU9" s="191">
        <v>0</v>
      </c>
      <c r="AV9" s="191">
        <v>0</v>
      </c>
      <c r="AW9" s="191">
        <v>269102.78999999998</v>
      </c>
      <c r="AX9" s="191">
        <v>146154.56</v>
      </c>
      <c r="AY9" s="191">
        <v>-125360.21</v>
      </c>
      <c r="AZ9" s="191">
        <v>0</v>
      </c>
      <c r="BA9" s="191">
        <v>-191319.73</v>
      </c>
      <c r="BB9" s="191">
        <v>-54708.43</v>
      </c>
      <c r="BC9" s="191">
        <v>-7534.17</v>
      </c>
      <c r="BD9" s="191">
        <v>-12970.6</v>
      </c>
      <c r="BE9" s="191">
        <v>2450780.61</v>
      </c>
      <c r="BF9" s="191">
        <v>461041.96</v>
      </c>
      <c r="BG9" s="191">
        <v>260575.46</v>
      </c>
      <c r="BH9" s="191">
        <v>-14558</v>
      </c>
      <c r="BI9" s="191">
        <v>3395525.08</v>
      </c>
      <c r="BJ9" s="191">
        <v>-15527.85</v>
      </c>
      <c r="BK9" s="191">
        <v>13728.15</v>
      </c>
      <c r="BL9" s="191">
        <v>-38776.370000000003</v>
      </c>
      <c r="BM9" s="191">
        <v>925739.38</v>
      </c>
      <c r="BN9" s="191">
        <v>510508.23</v>
      </c>
      <c r="BO9" s="191">
        <v>-49398.94</v>
      </c>
      <c r="BP9" s="191">
        <v>1595890.7</v>
      </c>
      <c r="BQ9" s="191">
        <v>-3580</v>
      </c>
      <c r="BR9" s="191">
        <v>-1500</v>
      </c>
      <c r="BS9" s="191">
        <v>169771.53</v>
      </c>
      <c r="BT9" s="191">
        <v>-1680</v>
      </c>
      <c r="BU9" s="191">
        <v>0</v>
      </c>
      <c r="BV9" s="191">
        <v>0</v>
      </c>
    </row>
    <row r="10" spans="1:74" s="191" customFormat="1" x14ac:dyDescent="0.25">
      <c r="A10" s="191" t="s">
        <v>309</v>
      </c>
      <c r="B10" s="188">
        <v>0</v>
      </c>
      <c r="C10" s="188">
        <v>0</v>
      </c>
      <c r="D10" s="188">
        <v>0</v>
      </c>
      <c r="E10" s="188">
        <v>497595.84</v>
      </c>
      <c r="F10" s="188">
        <v>0</v>
      </c>
      <c r="G10" s="188">
        <v>0</v>
      </c>
      <c r="H10" s="188">
        <v>0</v>
      </c>
      <c r="I10" s="188">
        <v>0</v>
      </c>
      <c r="J10" s="188">
        <v>0</v>
      </c>
      <c r="K10" s="188">
        <v>0</v>
      </c>
      <c r="L10" s="188">
        <v>0</v>
      </c>
      <c r="M10" s="188">
        <v>0</v>
      </c>
      <c r="N10" s="188">
        <v>0</v>
      </c>
      <c r="O10" s="188">
        <v>0</v>
      </c>
      <c r="P10" s="188">
        <v>0</v>
      </c>
      <c r="Q10" s="188">
        <v>0</v>
      </c>
      <c r="R10" s="188">
        <v>0</v>
      </c>
      <c r="S10" s="188">
        <v>0</v>
      </c>
      <c r="T10" s="191">
        <v>0</v>
      </c>
      <c r="U10" s="191">
        <v>0</v>
      </c>
      <c r="V10" s="191">
        <v>0</v>
      </c>
      <c r="W10" s="191">
        <v>0</v>
      </c>
      <c r="X10" s="191">
        <v>0</v>
      </c>
      <c r="Y10" s="191">
        <v>0</v>
      </c>
      <c r="Z10" s="191">
        <v>0</v>
      </c>
      <c r="AA10" s="191">
        <v>0</v>
      </c>
      <c r="AB10" s="191">
        <v>0</v>
      </c>
      <c r="AC10" s="191">
        <v>0</v>
      </c>
      <c r="AD10" s="191">
        <v>0</v>
      </c>
      <c r="AE10" s="191">
        <v>0</v>
      </c>
      <c r="AF10" s="191">
        <v>0</v>
      </c>
      <c r="AG10" s="191">
        <v>0</v>
      </c>
      <c r="AH10" s="191">
        <v>0</v>
      </c>
      <c r="AI10" s="191">
        <v>0</v>
      </c>
      <c r="AJ10" s="191">
        <v>0</v>
      </c>
      <c r="AK10" s="191">
        <v>0</v>
      </c>
      <c r="AL10" s="191">
        <v>0</v>
      </c>
      <c r="AM10" s="191">
        <v>0</v>
      </c>
      <c r="AN10" s="191">
        <v>0</v>
      </c>
      <c r="AO10" s="191">
        <v>2625775.1800000002</v>
      </c>
      <c r="AP10" s="191">
        <v>0</v>
      </c>
      <c r="AQ10" s="191">
        <v>0</v>
      </c>
      <c r="AR10" s="191">
        <v>0</v>
      </c>
      <c r="AS10" s="191">
        <v>577470.38</v>
      </c>
      <c r="AT10" s="191">
        <v>0</v>
      </c>
      <c r="AU10" s="191">
        <v>0</v>
      </c>
      <c r="AV10" s="191">
        <v>0</v>
      </c>
      <c r="AW10" s="191">
        <v>0</v>
      </c>
      <c r="AX10" s="191">
        <v>0</v>
      </c>
      <c r="AY10" s="191">
        <v>1108956.43</v>
      </c>
      <c r="AZ10" s="191">
        <v>0</v>
      </c>
      <c r="BA10" s="191">
        <v>0</v>
      </c>
      <c r="BB10" s="191">
        <v>0</v>
      </c>
      <c r="BC10" s="191">
        <v>0</v>
      </c>
      <c r="BD10" s="191">
        <v>0</v>
      </c>
      <c r="BE10" s="191">
        <v>10234174.27</v>
      </c>
      <c r="BF10" s="191">
        <v>6735200.1100000003</v>
      </c>
      <c r="BG10" s="191">
        <v>2122271.27</v>
      </c>
      <c r="BH10" s="191">
        <v>0</v>
      </c>
      <c r="BI10" s="191">
        <v>5443986.7300000004</v>
      </c>
      <c r="BJ10" s="191">
        <v>2732944.24</v>
      </c>
      <c r="BK10" s="191">
        <v>1676945.26</v>
      </c>
      <c r="BL10" s="191">
        <v>15909.78</v>
      </c>
      <c r="BM10" s="191">
        <v>4369433.5199999996</v>
      </c>
      <c r="BN10" s="191">
        <v>256577.04</v>
      </c>
      <c r="BO10" s="191">
        <v>2074884.19</v>
      </c>
      <c r="BP10" s="191">
        <v>0</v>
      </c>
      <c r="BQ10" s="191">
        <v>1025342.66</v>
      </c>
      <c r="BR10" s="191">
        <v>43944</v>
      </c>
      <c r="BS10" s="191">
        <v>0</v>
      </c>
      <c r="BT10" s="191">
        <v>7101</v>
      </c>
      <c r="BU10" s="191">
        <v>0</v>
      </c>
      <c r="BV10" s="191">
        <v>0</v>
      </c>
    </row>
    <row r="11" spans="1:74" s="47" customFormat="1" x14ac:dyDescent="0.25">
      <c r="A11" s="134" t="s">
        <v>296</v>
      </c>
      <c r="E11" s="47">
        <f>E5-E6-E7-E8-E9-E10</f>
        <v>59375325.710000016</v>
      </c>
      <c r="F11" s="47">
        <f t="shared" ref="F11:BQ11" si="1">F5-F6-F7-F8-F9-F10</f>
        <v>59561171.659999996</v>
      </c>
      <c r="G11" s="47">
        <f t="shared" si="1"/>
        <v>12783960.910000002</v>
      </c>
      <c r="H11" s="47">
        <f t="shared" si="1"/>
        <v>17335671.010000002</v>
      </c>
      <c r="I11" s="47">
        <f t="shared" si="1"/>
        <v>27185251.619999997</v>
      </c>
      <c r="J11" s="47">
        <f t="shared" si="1"/>
        <v>56074584.230000004</v>
      </c>
      <c r="K11" s="47">
        <f t="shared" si="1"/>
        <v>18219951.129999999</v>
      </c>
      <c r="L11" s="47">
        <f t="shared" si="1"/>
        <v>16026927.74</v>
      </c>
      <c r="M11" s="47">
        <f t="shared" si="1"/>
        <v>13644465.910000002</v>
      </c>
      <c r="N11" s="47">
        <f t="shared" si="1"/>
        <v>28686988.140000001</v>
      </c>
      <c r="O11" s="47">
        <f t="shared" si="1"/>
        <v>6973468.2599999998</v>
      </c>
      <c r="P11" s="47">
        <f t="shared" si="1"/>
        <v>179741219.66</v>
      </c>
      <c r="Q11" s="47">
        <f t="shared" si="1"/>
        <v>96801002.939999998</v>
      </c>
      <c r="R11" s="47">
        <f t="shared" si="1"/>
        <v>19840418.419999998</v>
      </c>
      <c r="S11" s="47">
        <f t="shared" si="1"/>
        <v>0</v>
      </c>
      <c r="T11" s="47">
        <f t="shared" si="1"/>
        <v>64913436.280000001</v>
      </c>
      <c r="U11" s="47">
        <f t="shared" si="1"/>
        <v>-345703543.35999995</v>
      </c>
      <c r="V11" s="47">
        <f t="shared" si="1"/>
        <v>282747800.38999999</v>
      </c>
      <c r="W11" s="47">
        <f t="shared" si="1"/>
        <v>-121904412.71000004</v>
      </c>
      <c r="X11" s="47">
        <f t="shared" si="1"/>
        <v>143808741.60999998</v>
      </c>
      <c r="Y11" s="47">
        <f t="shared" si="1"/>
        <v>-352412744.62</v>
      </c>
      <c r="Z11" s="47">
        <f t="shared" si="1"/>
        <v>228336553.28999999</v>
      </c>
      <c r="AA11" s="47">
        <f t="shared" si="1"/>
        <v>-152443289.38</v>
      </c>
      <c r="AB11" s="47">
        <f t="shared" si="1"/>
        <v>146403794.09999999</v>
      </c>
      <c r="AC11" s="47">
        <f t="shared" si="1"/>
        <v>-232339836.80000004</v>
      </c>
      <c r="AD11" s="47">
        <f t="shared" si="1"/>
        <v>350903753.10000002</v>
      </c>
      <c r="AE11" s="47">
        <f t="shared" si="1"/>
        <v>-103468981.74000001</v>
      </c>
      <c r="AF11" s="47">
        <f t="shared" si="1"/>
        <v>103106550.39</v>
      </c>
      <c r="AG11" s="47">
        <f t="shared" si="1"/>
        <v>-309579708.52999991</v>
      </c>
      <c r="AH11" s="47">
        <f t="shared" si="1"/>
        <v>315311096.82999998</v>
      </c>
      <c r="AI11" s="47">
        <f t="shared" si="1"/>
        <v>-149337082.5</v>
      </c>
      <c r="AJ11" s="47">
        <f t="shared" si="1"/>
        <v>134776808.45999998</v>
      </c>
      <c r="AK11" s="47">
        <f t="shared" si="1"/>
        <v>301358016.58999997</v>
      </c>
      <c r="AL11" s="47">
        <f t="shared" si="1"/>
        <v>193769282.12</v>
      </c>
      <c r="AM11" s="47">
        <f t="shared" si="1"/>
        <v>-205961655.67999998</v>
      </c>
      <c r="AN11" s="47">
        <f t="shared" si="1"/>
        <v>105596741.39999999</v>
      </c>
      <c r="AO11" s="47">
        <f t="shared" si="1"/>
        <v>-332038056.56000006</v>
      </c>
      <c r="AP11" s="47">
        <f t="shared" si="1"/>
        <v>79687358.280000001</v>
      </c>
      <c r="AQ11" s="47">
        <f t="shared" si="1"/>
        <v>-143154341.41</v>
      </c>
      <c r="AR11" s="47">
        <f t="shared" si="1"/>
        <v>4081063.05</v>
      </c>
      <c r="AS11" s="47">
        <f t="shared" si="1"/>
        <v>-468638600.81</v>
      </c>
      <c r="AT11" s="47">
        <f t="shared" si="1"/>
        <v>0</v>
      </c>
      <c r="AU11" s="47">
        <f t="shared" si="1"/>
        <v>0</v>
      </c>
      <c r="AV11" s="47">
        <f t="shared" si="1"/>
        <v>0</v>
      </c>
      <c r="AW11" s="47">
        <f t="shared" si="1"/>
        <v>-471116042.78000003</v>
      </c>
      <c r="AX11" s="47">
        <f t="shared" si="1"/>
        <v>-325741523.93000001</v>
      </c>
      <c r="AY11" s="47">
        <f t="shared" si="1"/>
        <v>-217351777.63</v>
      </c>
      <c r="AZ11" s="47">
        <f t="shared" si="1"/>
        <v>-107459298.45999999</v>
      </c>
      <c r="BA11" s="47">
        <f t="shared" si="1"/>
        <v>-479628900.21999997</v>
      </c>
      <c r="BB11" s="47">
        <f t="shared" si="1"/>
        <v>-358901199.36000001</v>
      </c>
      <c r="BC11" s="47">
        <f t="shared" si="1"/>
        <v>-238120848.09</v>
      </c>
      <c r="BD11" s="47">
        <f t="shared" si="1"/>
        <v>-119007258.76000001</v>
      </c>
      <c r="BE11" s="47">
        <f t="shared" si="1"/>
        <v>-419264077.69999999</v>
      </c>
      <c r="BF11" s="47">
        <f t="shared" si="1"/>
        <v>-314498231.29000002</v>
      </c>
      <c r="BG11" s="47">
        <f t="shared" si="1"/>
        <v>-212348617.18000001</v>
      </c>
      <c r="BH11" s="47">
        <f t="shared" si="1"/>
        <v>-112870676.45</v>
      </c>
      <c r="BI11" s="47">
        <f t="shared" si="1"/>
        <v>-286884295.13000005</v>
      </c>
      <c r="BJ11" s="47">
        <f t="shared" si="1"/>
        <v>-206871975.54000002</v>
      </c>
      <c r="BK11" s="47">
        <f t="shared" si="1"/>
        <v>-116653616.53</v>
      </c>
      <c r="BL11" s="47">
        <f t="shared" si="1"/>
        <v>-57039121.400000006</v>
      </c>
      <c r="BM11" s="47">
        <f t="shared" si="1"/>
        <v>-242738001.72999999</v>
      </c>
      <c r="BN11" s="47">
        <f t="shared" si="1"/>
        <v>-104649569.12</v>
      </c>
      <c r="BO11" s="47">
        <f t="shared" si="1"/>
        <v>-169375587.55000001</v>
      </c>
      <c r="BP11" s="47">
        <f t="shared" si="1"/>
        <v>-51639141.509999998</v>
      </c>
      <c r="BQ11" s="47">
        <f t="shared" si="1"/>
        <v>-133832025.17999999</v>
      </c>
      <c r="BR11" s="47">
        <f t="shared" ref="BR11:BS11" si="2">BR5-BR6-BR7-BR8-BR9-BR10</f>
        <v>-63134024.199999996</v>
      </c>
      <c r="BS11" s="47">
        <f t="shared" si="2"/>
        <v>-73844499.670000002</v>
      </c>
    </row>
    <row r="12" spans="1:74" s="26" customFormat="1" x14ac:dyDescent="0.25">
      <c r="A12" s="17" t="s">
        <v>297</v>
      </c>
      <c r="E12" s="26">
        <f t="shared" ref="E12:Q12" si="3">I34</f>
        <v>416358416.99000001</v>
      </c>
      <c r="F12" s="26">
        <f t="shared" si="3"/>
        <v>409281856.69</v>
      </c>
      <c r="G12" s="26">
        <f t="shared" si="3"/>
        <v>409439801.31</v>
      </c>
      <c r="H12" s="26">
        <f t="shared" si="3"/>
        <v>402209558.91000003</v>
      </c>
      <c r="I12" s="26">
        <f t="shared" si="3"/>
        <v>382712115.77999997</v>
      </c>
      <c r="J12" s="26">
        <f t="shared" si="3"/>
        <v>374389056.73000002</v>
      </c>
      <c r="K12" s="26">
        <f t="shared" si="3"/>
        <v>121825467.78999999</v>
      </c>
      <c r="L12" s="26">
        <f t="shared" si="3"/>
        <v>95918076.370000005</v>
      </c>
      <c r="M12" s="26">
        <f t="shared" si="3"/>
        <v>0</v>
      </c>
      <c r="N12" s="26">
        <f t="shared" si="3"/>
        <v>0</v>
      </c>
      <c r="O12" s="26">
        <f t="shared" si="3"/>
        <v>0</v>
      </c>
      <c r="P12" s="26">
        <f t="shared" si="3"/>
        <v>7740932584.29</v>
      </c>
      <c r="Q12" s="26">
        <f t="shared" si="3"/>
        <v>7185660413.8000002</v>
      </c>
      <c r="R12" s="191">
        <f t="shared" ref="R12" si="4">V34</f>
        <v>7206369226.2600002</v>
      </c>
      <c r="S12" s="191">
        <f t="shared" ref="S12" si="5">W34</f>
        <v>7305520980.6000004</v>
      </c>
      <c r="T12" s="191">
        <f t="shared" ref="T12" si="6">X34</f>
        <v>7309510343.54</v>
      </c>
      <c r="U12" s="191">
        <f t="shared" ref="U12" si="7">Y34</f>
        <v>7323681060.21</v>
      </c>
      <c r="V12" s="191">
        <f t="shared" ref="V12" si="8">Z34</f>
        <v>7096907237.8900003</v>
      </c>
      <c r="W12" s="191">
        <f t="shared" ref="W12" si="9">AA34</f>
        <v>7178823552.6900005</v>
      </c>
      <c r="X12" s="191">
        <f t="shared" ref="X12" si="10">AB34</f>
        <v>7177450438.9000006</v>
      </c>
      <c r="Y12" s="191">
        <f t="shared" ref="Y12" si="11">AC34</f>
        <v>7191077877.1500006</v>
      </c>
      <c r="Z12" s="191">
        <f t="shared" ref="Z12" si="12">AD34</f>
        <v>7214379651.8800001</v>
      </c>
      <c r="AA12" s="191">
        <f t="shared" ref="AA12" si="13">AE34</f>
        <v>7202577572.4200001</v>
      </c>
      <c r="AB12" s="191">
        <f t="shared" ref="AB12" si="14">AF34</f>
        <v>7220461628.0700006</v>
      </c>
      <c r="AC12" s="191">
        <f t="shared" ref="AC12" si="15">AG34</f>
        <v>7302164048.0600004</v>
      </c>
      <c r="AD12" s="191">
        <f t="shared" ref="AD12" si="16">AH34</f>
        <v>7390458786.0300007</v>
      </c>
      <c r="AE12" s="191">
        <f t="shared" ref="AE12" si="17">AI34</f>
        <v>7429552899.6000004</v>
      </c>
      <c r="AF12" s="191">
        <f t="shared" ref="AF12" si="18">AJ34</f>
        <v>7515825873.4499998</v>
      </c>
      <c r="AG12" s="191">
        <f t="shared" ref="AG12" si="19">AK34</f>
        <v>7564552230.4400005</v>
      </c>
      <c r="AH12" s="191">
        <f t="shared" ref="AH12" si="20">AL34</f>
        <v>7607103266.1599998</v>
      </c>
      <c r="AI12" s="191">
        <f t="shared" ref="AI12" si="21">AM34</f>
        <v>7706877443.3000002</v>
      </c>
      <c r="AJ12" s="191">
        <f t="shared" ref="AJ12" si="22">AN34</f>
        <v>4750016360.8599997</v>
      </c>
      <c r="AK12" s="191">
        <f t="shared" ref="AK12" si="23">AO34</f>
        <v>4754868668.1300001</v>
      </c>
      <c r="AL12" s="191">
        <f t="shared" ref="AL12" si="24">AP34</f>
        <v>4841679198.5100002</v>
      </c>
      <c r="AM12" s="191">
        <f t="shared" ref="AM12" si="25">AQ34</f>
        <v>4945499008.7600002</v>
      </c>
      <c r="AN12" s="191">
        <f t="shared" ref="AN12" si="26">AR34</f>
        <v>4983590367.6400003</v>
      </c>
      <c r="AO12" s="191">
        <f t="shared" ref="AO12" si="27">AS34</f>
        <v>5087759145.3900003</v>
      </c>
      <c r="AP12" s="191">
        <f t="shared" ref="AP12" si="28">AT34</f>
        <v>5119825755.0799999</v>
      </c>
      <c r="AQ12" s="191">
        <f t="shared" ref="AQ12" si="29">AU34</f>
        <v>5166324238.8199997</v>
      </c>
      <c r="AR12" s="191">
        <f t="shared" ref="AR12" si="30">AV34</f>
        <v>5229742144.5900002</v>
      </c>
      <c r="AS12" s="191">
        <f t="shared" ref="AS12" si="31">AW34</f>
        <v>5303368604.3599997</v>
      </c>
      <c r="AT12" s="191">
        <f t="shared" ref="AT12" si="32">AX34</f>
        <v>5412891640.3100004</v>
      </c>
      <c r="AU12" s="191">
        <f t="shared" ref="AU12" si="33">AY34</f>
        <v>5477269087.8599997</v>
      </c>
      <c r="AV12" s="191">
        <f t="shared" ref="AV12" si="34">AZ34</f>
        <v>5394582476.9899998</v>
      </c>
      <c r="AW12" s="191">
        <f t="shared" ref="AW12" si="35">BA34</f>
        <v>5501322858.9799995</v>
      </c>
      <c r="AX12" s="191">
        <f t="shared" ref="AX12" si="36">BB34</f>
        <v>5577867470.3299999</v>
      </c>
      <c r="AY12" s="191">
        <f t="shared" ref="AY12" si="37">BC34</f>
        <v>5696283898.6499996</v>
      </c>
      <c r="AZ12" s="191">
        <f t="shared" ref="AZ12" si="38">BD34</f>
        <v>5779603253.5100002</v>
      </c>
      <c r="BA12" s="191">
        <f t="shared" ref="BA12" si="39">BE34</f>
        <v>5840992847.29</v>
      </c>
      <c r="BB12" s="191">
        <f t="shared" ref="BB12" si="40">BF34</f>
        <v>5434316703.3800001</v>
      </c>
      <c r="BC12" s="191">
        <f t="shared" ref="BC12" si="41">BG34</f>
        <v>5519652065.3800001</v>
      </c>
      <c r="BD12" s="191">
        <f t="shared" ref="BD12" si="42">BH34</f>
        <v>5587811046.9799995</v>
      </c>
      <c r="BE12" s="191">
        <f t="shared" ref="BE12" si="43">BI34</f>
        <v>5587556850.7200003</v>
      </c>
      <c r="BF12" s="191">
        <f t="shared" ref="BF12" si="44">BJ34</f>
        <v>5175235607.8500004</v>
      </c>
      <c r="BG12" s="191">
        <f t="shared" ref="BG12" si="45">BK34</f>
        <v>4543535291.6599998</v>
      </c>
      <c r="BH12" s="191">
        <f t="shared" ref="BH12" si="46">BL34</f>
        <v>4478639735.0500002</v>
      </c>
      <c r="BI12" s="191">
        <f t="shared" ref="BI12" si="47">BM34</f>
        <v>4520776529.7700005</v>
      </c>
      <c r="BJ12" s="191">
        <f t="shared" ref="BJ12" si="48">BN34</f>
        <v>3620875395.5999999</v>
      </c>
      <c r="BK12" s="191">
        <f t="shared" ref="BK12" si="49">BO34</f>
        <v>3684993020.0500002</v>
      </c>
      <c r="BL12" s="191">
        <f t="shared" ref="BL12" si="50">BP34</f>
        <v>3523637936.8200002</v>
      </c>
      <c r="BM12" s="191">
        <f t="shared" ref="BM12" si="51">BQ34</f>
        <v>4841679198.5100002</v>
      </c>
      <c r="BN12" s="191">
        <f t="shared" ref="BN12" si="52">BR34</f>
        <v>4945499008.7600002</v>
      </c>
    </row>
    <row r="13" spans="1:74" s="218" customFormat="1" x14ac:dyDescent="0.25">
      <c r="A13" s="218" t="s">
        <v>350</v>
      </c>
      <c r="E13" s="218">
        <f>E11/E12</f>
        <v>0.14260628172055442</v>
      </c>
      <c r="F13" s="218">
        <f t="shared" ref="F13:AR13" si="53">F11/F12</f>
        <v>0.14552604931401361</v>
      </c>
      <c r="G13" s="218">
        <f t="shared" si="53"/>
        <v>3.1223053716560534E-2</v>
      </c>
      <c r="H13" s="218">
        <f t="shared" si="53"/>
        <v>4.3101091522986648E-2</v>
      </c>
      <c r="I13" s="218">
        <f t="shared" si="53"/>
        <v>7.1033161739847542E-2</v>
      </c>
      <c r="J13" s="218">
        <f t="shared" si="53"/>
        <v>0.14977623737127441</v>
      </c>
      <c r="K13" s="218">
        <f t="shared" si="53"/>
        <v>0.14955781792200579</v>
      </c>
      <c r="L13" s="218">
        <f t="shared" si="53"/>
        <v>0.16708975353276259</v>
      </c>
      <c r="M13" s="218" t="e">
        <f t="shared" si="53"/>
        <v>#DIV/0!</v>
      </c>
      <c r="N13" s="218" t="e">
        <f t="shared" si="53"/>
        <v>#DIV/0!</v>
      </c>
      <c r="O13" s="218" t="e">
        <f t="shared" si="53"/>
        <v>#DIV/0!</v>
      </c>
      <c r="P13" s="218">
        <f t="shared" si="53"/>
        <v>2.3219582098516094E-2</v>
      </c>
      <c r="Q13" s="218">
        <f t="shared" si="53"/>
        <v>1.3471413532720595E-2</v>
      </c>
      <c r="R13" s="218">
        <f t="shared" si="53"/>
        <v>2.7531781674052362E-3</v>
      </c>
      <c r="S13" s="218">
        <f t="shared" si="53"/>
        <v>0</v>
      </c>
      <c r="T13" s="218">
        <f t="shared" si="53"/>
        <v>8.8806819101595776E-3</v>
      </c>
      <c r="U13" s="218">
        <f t="shared" si="53"/>
        <v>-4.7203522452421924E-2</v>
      </c>
      <c r="V13" s="218">
        <f t="shared" si="53"/>
        <v>3.9840988604222541E-2</v>
      </c>
      <c r="W13" s="218">
        <f t="shared" si="53"/>
        <v>-1.6981112826532814E-2</v>
      </c>
      <c r="X13" s="218">
        <f t="shared" si="53"/>
        <v>2.003618733897378E-2</v>
      </c>
      <c r="Y13" s="218">
        <f t="shared" si="53"/>
        <v>-4.9006943137107253E-2</v>
      </c>
      <c r="Z13" s="218">
        <f t="shared" si="53"/>
        <v>3.1650199228217442E-2</v>
      </c>
      <c r="AA13" s="218">
        <f t="shared" si="53"/>
        <v>-2.1165102055093931E-2</v>
      </c>
      <c r="AB13" s="218">
        <f t="shared" si="53"/>
        <v>2.0276237398845248E-2</v>
      </c>
      <c r="AC13" s="218">
        <f t="shared" si="53"/>
        <v>-3.1817942636022653E-2</v>
      </c>
      <c r="AD13" s="218">
        <f t="shared" si="53"/>
        <v>4.748064541856381E-2</v>
      </c>
      <c r="AE13" s="218">
        <f t="shared" si="53"/>
        <v>-1.3926676764838794E-2</v>
      </c>
      <c r="AF13" s="218">
        <f t="shared" si="53"/>
        <v>1.3718592224738552E-2</v>
      </c>
      <c r="AG13" s="218">
        <f t="shared" si="53"/>
        <v>-4.0925054001774389E-2</v>
      </c>
      <c r="AH13" s="218">
        <f t="shared" si="53"/>
        <v>4.144956178426723E-2</v>
      </c>
      <c r="AI13" s="218">
        <f t="shared" si="53"/>
        <v>-1.9377119150873055E-2</v>
      </c>
      <c r="AJ13" s="218">
        <f t="shared" si="53"/>
        <v>2.8373967207893654E-2</v>
      </c>
      <c r="AK13" s="218">
        <f t="shared" si="53"/>
        <v>6.3378830757173862E-2</v>
      </c>
      <c r="AL13" s="218">
        <f t="shared" si="53"/>
        <v>4.0021090653761492E-2</v>
      </c>
      <c r="AM13" s="218">
        <f t="shared" si="53"/>
        <v>-4.1646283886657046E-2</v>
      </c>
      <c r="AN13" s="218">
        <f t="shared" si="53"/>
        <v>2.1188888654587748E-2</v>
      </c>
      <c r="AO13" s="218">
        <f t="shared" si="53"/>
        <v>-6.5262141361557668E-2</v>
      </c>
      <c r="AP13" s="218">
        <f t="shared" si="53"/>
        <v>1.5564466857281717E-2</v>
      </c>
      <c r="AQ13" s="218">
        <f t="shared" si="53"/>
        <v>-2.7709128345900485E-2</v>
      </c>
      <c r="AR13" s="218">
        <f t="shared" si="53"/>
        <v>7.8035645681340682E-4</v>
      </c>
    </row>
    <row r="14" spans="1:74" s="48" customFormat="1" x14ac:dyDescent="0.25">
      <c r="A14" s="46" t="s">
        <v>293</v>
      </c>
    </row>
    <row r="15" spans="1:74" s="26" customFormat="1" x14ac:dyDescent="0.25">
      <c r="A15" s="17" t="s">
        <v>313</v>
      </c>
      <c r="B15" s="188">
        <v>0</v>
      </c>
      <c r="C15" s="188">
        <v>0</v>
      </c>
      <c r="D15" s="188">
        <v>0</v>
      </c>
      <c r="E15" s="188">
        <v>0</v>
      </c>
      <c r="F15" s="188">
        <v>0</v>
      </c>
      <c r="G15" s="188">
        <v>0</v>
      </c>
      <c r="H15" s="188">
        <v>0</v>
      </c>
      <c r="I15" s="188">
        <v>0</v>
      </c>
      <c r="J15" s="188">
        <v>0</v>
      </c>
      <c r="K15" s="188">
        <v>0</v>
      </c>
      <c r="L15" s="188">
        <v>0</v>
      </c>
      <c r="M15" s="188">
        <v>107261.55</v>
      </c>
      <c r="N15" s="188">
        <v>107261.55</v>
      </c>
      <c r="O15" s="188">
        <v>0</v>
      </c>
      <c r="P15" s="188">
        <v>0</v>
      </c>
      <c r="Q15" s="188">
        <v>0</v>
      </c>
      <c r="R15" s="188">
        <v>0</v>
      </c>
      <c r="S15" s="188">
        <v>0</v>
      </c>
      <c r="T15" s="188">
        <v>0</v>
      </c>
      <c r="U15" s="188">
        <v>0</v>
      </c>
      <c r="V15" s="188">
        <v>0</v>
      </c>
      <c r="W15" s="188">
        <v>0</v>
      </c>
      <c r="X15" s="188">
        <v>0</v>
      </c>
      <c r="Y15" s="188">
        <v>0</v>
      </c>
      <c r="Z15" s="188">
        <v>0</v>
      </c>
      <c r="AA15" s="188">
        <v>0</v>
      </c>
      <c r="AB15" s="188">
        <v>0</v>
      </c>
      <c r="AC15" s="188">
        <v>0</v>
      </c>
      <c r="AD15" s="188">
        <v>0</v>
      </c>
      <c r="AE15" s="188">
        <v>0</v>
      </c>
      <c r="AF15" s="188">
        <v>0</v>
      </c>
      <c r="AG15" s="188">
        <v>0</v>
      </c>
      <c r="AH15" s="188">
        <v>0</v>
      </c>
      <c r="AI15" s="188">
        <v>0</v>
      </c>
      <c r="AJ15" s="188">
        <v>0</v>
      </c>
      <c r="AK15" s="188">
        <v>0</v>
      </c>
      <c r="AL15" s="188">
        <v>0</v>
      </c>
      <c r="AM15" s="188">
        <v>0</v>
      </c>
      <c r="AN15" s="188">
        <v>0</v>
      </c>
      <c r="AO15" s="188">
        <v>0</v>
      </c>
      <c r="AP15" s="188">
        <v>0</v>
      </c>
      <c r="AQ15" s="188">
        <v>0</v>
      </c>
      <c r="AR15" s="188">
        <v>0</v>
      </c>
      <c r="AS15" s="188">
        <v>0</v>
      </c>
      <c r="AT15" s="188">
        <v>0</v>
      </c>
      <c r="AU15" s="188">
        <v>0</v>
      </c>
      <c r="AV15" s="188">
        <v>0</v>
      </c>
      <c r="AW15" s="188">
        <v>0</v>
      </c>
      <c r="AX15" s="188">
        <v>0</v>
      </c>
      <c r="AY15" s="188">
        <v>0</v>
      </c>
      <c r="AZ15" s="188">
        <v>0</v>
      </c>
      <c r="BA15" s="188">
        <v>0</v>
      </c>
      <c r="BB15" s="188">
        <v>0</v>
      </c>
      <c r="BC15" s="188">
        <v>0</v>
      </c>
      <c r="BD15" s="188">
        <v>0</v>
      </c>
      <c r="BE15" s="188">
        <v>0</v>
      </c>
      <c r="BF15" s="188">
        <v>0</v>
      </c>
      <c r="BG15" s="188">
        <v>0</v>
      </c>
      <c r="BH15" s="188">
        <v>0</v>
      </c>
      <c r="BI15" s="188">
        <v>0</v>
      </c>
      <c r="BJ15" s="188">
        <v>0</v>
      </c>
      <c r="BK15" s="188">
        <v>0</v>
      </c>
      <c r="BL15" s="188">
        <v>0</v>
      </c>
      <c r="BM15" s="188">
        <v>0</v>
      </c>
      <c r="BN15" s="188">
        <v>0</v>
      </c>
      <c r="BO15" s="188">
        <v>0</v>
      </c>
      <c r="BP15" s="188">
        <v>0</v>
      </c>
      <c r="BQ15" s="188">
        <v>0</v>
      </c>
      <c r="BR15" s="188">
        <v>0</v>
      </c>
      <c r="BS15" s="188">
        <v>0</v>
      </c>
      <c r="BT15" s="188">
        <v>0</v>
      </c>
      <c r="BU15" s="188">
        <v>0</v>
      </c>
      <c r="BV15" s="188">
        <v>0</v>
      </c>
    </row>
    <row r="16" spans="1:74" s="26" customFormat="1" x14ac:dyDescent="0.25">
      <c r="A16" s="17" t="s">
        <v>314</v>
      </c>
      <c r="B16" s="188">
        <v>21781052.800000001</v>
      </c>
      <c r="C16" s="188">
        <v>21781052.800000001</v>
      </c>
      <c r="D16" s="188">
        <v>0</v>
      </c>
      <c r="E16" s="188">
        <v>0</v>
      </c>
      <c r="F16" s="188">
        <v>0</v>
      </c>
      <c r="G16" s="188">
        <v>0</v>
      </c>
      <c r="H16" s="188">
        <v>0</v>
      </c>
      <c r="I16" s="188">
        <v>0</v>
      </c>
      <c r="J16" s="188">
        <v>0</v>
      </c>
      <c r="K16" s="188">
        <v>0</v>
      </c>
      <c r="L16" s="188">
        <v>0</v>
      </c>
      <c r="M16" s="188">
        <v>1028781.98</v>
      </c>
      <c r="N16" s="188">
        <v>1028781.98</v>
      </c>
      <c r="O16" s="188">
        <v>600000</v>
      </c>
      <c r="P16" s="188">
        <v>27774600</v>
      </c>
      <c r="Q16" s="188">
        <v>3635607.03</v>
      </c>
      <c r="R16" s="188">
        <v>37253856.159999996</v>
      </c>
      <c r="S16" s="188">
        <v>0</v>
      </c>
      <c r="T16" s="188">
        <v>0</v>
      </c>
      <c r="U16" s="188">
        <v>0</v>
      </c>
      <c r="V16" s="188">
        <v>0</v>
      </c>
      <c r="W16" s="188">
        <v>0</v>
      </c>
      <c r="X16" s="188">
        <v>0</v>
      </c>
      <c r="Y16" s="188">
        <v>0</v>
      </c>
      <c r="Z16" s="188">
        <v>0</v>
      </c>
      <c r="AA16" s="188">
        <v>0</v>
      </c>
      <c r="AB16" s="188">
        <v>0</v>
      </c>
      <c r="AC16" s="188">
        <v>0</v>
      </c>
      <c r="AD16" s="188">
        <v>0</v>
      </c>
      <c r="AE16" s="188">
        <v>0</v>
      </c>
      <c r="AF16" s="188">
        <v>0</v>
      </c>
      <c r="AG16" s="188">
        <v>0</v>
      </c>
      <c r="AH16" s="188">
        <v>0</v>
      </c>
      <c r="AI16" s="188">
        <v>0</v>
      </c>
      <c r="AJ16" s="188">
        <v>0</v>
      </c>
      <c r="AK16" s="188">
        <v>3269464666.25</v>
      </c>
      <c r="AL16" s="188">
        <v>0</v>
      </c>
      <c r="AM16" s="188">
        <v>0</v>
      </c>
      <c r="AN16" s="188">
        <v>0</v>
      </c>
      <c r="AO16" s="188">
        <v>0</v>
      </c>
      <c r="AP16" s="188">
        <v>0</v>
      </c>
      <c r="AQ16" s="188">
        <v>0</v>
      </c>
      <c r="AR16" s="188">
        <v>0</v>
      </c>
      <c r="AS16" s="188">
        <v>0</v>
      </c>
      <c r="AT16" s="188">
        <v>0</v>
      </c>
      <c r="AU16" s="188">
        <v>0</v>
      </c>
      <c r="AV16" s="188">
        <v>0</v>
      </c>
      <c r="AW16" s="188">
        <v>0</v>
      </c>
      <c r="AX16" s="188">
        <v>0</v>
      </c>
      <c r="AY16" s="188">
        <v>0</v>
      </c>
      <c r="AZ16" s="188">
        <v>0</v>
      </c>
      <c r="BA16" s="188">
        <v>0</v>
      </c>
      <c r="BB16" s="188">
        <v>0</v>
      </c>
      <c r="BC16" s="188">
        <v>0</v>
      </c>
      <c r="BD16" s="188">
        <v>0</v>
      </c>
      <c r="BE16" s="188">
        <v>0</v>
      </c>
      <c r="BF16" s="188">
        <v>0</v>
      </c>
      <c r="BG16" s="188">
        <v>0</v>
      </c>
      <c r="BH16" s="188">
        <v>0</v>
      </c>
      <c r="BI16" s="188">
        <v>0</v>
      </c>
      <c r="BJ16" s="188">
        <v>0</v>
      </c>
      <c r="BK16" s="188">
        <v>0</v>
      </c>
      <c r="BL16" s="188">
        <v>0</v>
      </c>
      <c r="BM16" s="188">
        <v>0</v>
      </c>
      <c r="BN16" s="188">
        <v>0</v>
      </c>
      <c r="BO16" s="188">
        <v>0</v>
      </c>
      <c r="BP16" s="188">
        <v>0</v>
      </c>
      <c r="BQ16" s="188">
        <v>0</v>
      </c>
      <c r="BR16" s="188">
        <v>0</v>
      </c>
      <c r="BS16" s="188">
        <v>0</v>
      </c>
      <c r="BT16" s="188">
        <v>0</v>
      </c>
      <c r="BU16" s="188">
        <v>0</v>
      </c>
      <c r="BV16" s="188">
        <v>0</v>
      </c>
    </row>
    <row r="17" spans="1:74" s="47" customFormat="1" x14ac:dyDescent="0.25">
      <c r="A17" s="134" t="s">
        <v>298</v>
      </c>
      <c r="E17" s="47">
        <f>E16-E15</f>
        <v>0</v>
      </c>
      <c r="F17" s="47">
        <f t="shared" ref="F17:AV17" si="54">F16-F15</f>
        <v>0</v>
      </c>
      <c r="G17" s="47">
        <f t="shared" si="54"/>
        <v>0</v>
      </c>
      <c r="H17" s="47">
        <f t="shared" si="54"/>
        <v>0</v>
      </c>
      <c r="I17" s="47">
        <f t="shared" si="54"/>
        <v>0</v>
      </c>
      <c r="J17" s="47">
        <f t="shared" si="54"/>
        <v>0</v>
      </c>
      <c r="K17" s="47">
        <f t="shared" si="54"/>
        <v>0</v>
      </c>
      <c r="L17" s="47">
        <f t="shared" si="54"/>
        <v>0</v>
      </c>
      <c r="M17" s="47">
        <f t="shared" si="54"/>
        <v>921520.42999999993</v>
      </c>
      <c r="N17" s="47">
        <f t="shared" si="54"/>
        <v>921520.42999999993</v>
      </c>
      <c r="O17" s="47">
        <f t="shared" si="54"/>
        <v>600000</v>
      </c>
      <c r="P17" s="47">
        <f t="shared" si="54"/>
        <v>27774600</v>
      </c>
      <c r="Q17" s="47">
        <f t="shared" si="54"/>
        <v>3635607.03</v>
      </c>
      <c r="R17" s="47">
        <f t="shared" si="54"/>
        <v>37253856.159999996</v>
      </c>
      <c r="S17" s="47">
        <f t="shared" si="54"/>
        <v>0</v>
      </c>
      <c r="T17" s="47">
        <f t="shared" si="54"/>
        <v>0</v>
      </c>
      <c r="U17" s="47">
        <f t="shared" si="54"/>
        <v>0</v>
      </c>
      <c r="V17" s="47">
        <f t="shared" si="54"/>
        <v>0</v>
      </c>
      <c r="W17" s="47">
        <f t="shared" si="54"/>
        <v>0</v>
      </c>
      <c r="X17" s="47">
        <f t="shared" si="54"/>
        <v>0</v>
      </c>
      <c r="Y17" s="47">
        <f t="shared" si="54"/>
        <v>0</v>
      </c>
      <c r="Z17" s="47">
        <f t="shared" si="54"/>
        <v>0</v>
      </c>
      <c r="AA17" s="47">
        <f t="shared" si="54"/>
        <v>0</v>
      </c>
      <c r="AB17" s="47">
        <f t="shared" si="54"/>
        <v>0</v>
      </c>
      <c r="AC17" s="47">
        <f t="shared" si="54"/>
        <v>0</v>
      </c>
      <c r="AD17" s="47">
        <f t="shared" si="54"/>
        <v>0</v>
      </c>
      <c r="AE17" s="47">
        <f t="shared" si="54"/>
        <v>0</v>
      </c>
      <c r="AF17" s="47">
        <f t="shared" si="54"/>
        <v>0</v>
      </c>
      <c r="AG17" s="47">
        <f t="shared" si="54"/>
        <v>0</v>
      </c>
      <c r="AH17" s="47">
        <f t="shared" si="54"/>
        <v>0</v>
      </c>
      <c r="AI17" s="47">
        <f t="shared" si="54"/>
        <v>0</v>
      </c>
      <c r="AJ17" s="47">
        <f t="shared" si="54"/>
        <v>0</v>
      </c>
      <c r="AK17" s="47">
        <f t="shared" si="54"/>
        <v>3269464666.25</v>
      </c>
      <c r="AL17" s="47">
        <f t="shared" si="54"/>
        <v>0</v>
      </c>
      <c r="AM17" s="47">
        <f t="shared" si="54"/>
        <v>0</v>
      </c>
      <c r="AN17" s="47">
        <f t="shared" si="54"/>
        <v>0</v>
      </c>
      <c r="AO17" s="47">
        <f t="shared" si="54"/>
        <v>0</v>
      </c>
      <c r="AP17" s="47">
        <f t="shared" si="54"/>
        <v>0</v>
      </c>
      <c r="AQ17" s="47">
        <f t="shared" si="54"/>
        <v>0</v>
      </c>
      <c r="AR17" s="47">
        <f t="shared" si="54"/>
        <v>0</v>
      </c>
      <c r="AS17" s="47">
        <f t="shared" si="54"/>
        <v>0</v>
      </c>
      <c r="AT17" s="47">
        <f t="shared" si="54"/>
        <v>0</v>
      </c>
      <c r="AU17" s="47">
        <f t="shared" si="54"/>
        <v>0</v>
      </c>
      <c r="AV17" s="47">
        <f t="shared" si="54"/>
        <v>0</v>
      </c>
    </row>
    <row r="18" spans="1:74" s="48" customFormat="1" x14ac:dyDescent="0.25">
      <c r="A18" s="46" t="s">
        <v>294</v>
      </c>
    </row>
    <row r="19" spans="1:74" s="191" customFormat="1" x14ac:dyDescent="0.25">
      <c r="A19" s="191" t="s">
        <v>299</v>
      </c>
      <c r="E19" s="191">
        <f>E5+E17</f>
        <v>94851294.410000011</v>
      </c>
      <c r="F19" s="191">
        <f t="shared" ref="F19:AS19" si="55">F5+F17</f>
        <v>59561171.659999996</v>
      </c>
      <c r="G19" s="191">
        <f t="shared" si="55"/>
        <v>29751646.969999999</v>
      </c>
      <c r="H19" s="191">
        <f t="shared" si="55"/>
        <v>17335671.010000002</v>
      </c>
      <c r="I19" s="191">
        <f t="shared" si="55"/>
        <v>59187114.920000002</v>
      </c>
      <c r="J19" s="191">
        <f t="shared" si="55"/>
        <v>56074584.230000004</v>
      </c>
      <c r="K19" s="191">
        <f t="shared" si="55"/>
        <v>33776080.229999997</v>
      </c>
      <c r="L19" s="191">
        <f t="shared" si="55"/>
        <v>16026927.74</v>
      </c>
      <c r="M19" s="191">
        <f t="shared" si="55"/>
        <v>45573489.240000002</v>
      </c>
      <c r="N19" s="191">
        <f t="shared" si="55"/>
        <v>29608508.57</v>
      </c>
      <c r="O19" s="191">
        <f t="shared" si="55"/>
        <v>34459090.399999999</v>
      </c>
      <c r="P19" s="191">
        <f t="shared" si="55"/>
        <v>233189487.25</v>
      </c>
      <c r="Q19" s="191">
        <f t="shared" si="55"/>
        <v>100436609.97</v>
      </c>
      <c r="R19" s="191">
        <f t="shared" si="55"/>
        <v>57094274.579999998</v>
      </c>
      <c r="S19" s="191">
        <f t="shared" si="55"/>
        <v>0</v>
      </c>
      <c r="T19" s="191">
        <f t="shared" si="55"/>
        <v>64913436.280000001</v>
      </c>
      <c r="U19" s="191">
        <f t="shared" si="55"/>
        <v>337752203.54000002</v>
      </c>
      <c r="V19" s="191">
        <f t="shared" si="55"/>
        <v>282747800.38999999</v>
      </c>
      <c r="W19" s="191">
        <f t="shared" si="55"/>
        <v>212610529.06</v>
      </c>
      <c r="X19" s="191">
        <f t="shared" si="55"/>
        <v>143808741.60999998</v>
      </c>
      <c r="Y19" s="191">
        <f t="shared" si="55"/>
        <v>354821491.18000001</v>
      </c>
      <c r="Z19" s="191">
        <f t="shared" si="55"/>
        <v>228336553.28999999</v>
      </c>
      <c r="AA19" s="191">
        <f t="shared" si="55"/>
        <v>204177768.44</v>
      </c>
      <c r="AB19" s="191">
        <f t="shared" si="55"/>
        <v>146403794.09999999</v>
      </c>
      <c r="AC19" s="191">
        <f t="shared" si="55"/>
        <v>530866896.97000003</v>
      </c>
      <c r="AD19" s="191">
        <f t="shared" si="55"/>
        <v>350903753.10000002</v>
      </c>
      <c r="AE19" s="191">
        <f t="shared" si="55"/>
        <v>288468171.64999998</v>
      </c>
      <c r="AF19" s="191">
        <f t="shared" si="55"/>
        <v>103106550.39</v>
      </c>
      <c r="AG19" s="191">
        <f t="shared" si="55"/>
        <v>461352043.69</v>
      </c>
      <c r="AH19" s="191">
        <f t="shared" si="55"/>
        <v>315311096.82999998</v>
      </c>
      <c r="AI19" s="191">
        <f t="shared" si="55"/>
        <v>234676047.59999999</v>
      </c>
      <c r="AJ19" s="191">
        <f t="shared" si="55"/>
        <v>134776808.45999998</v>
      </c>
      <c r="AK19" s="191">
        <f t="shared" si="55"/>
        <v>4254316865.6700001</v>
      </c>
      <c r="AL19" s="191">
        <f t="shared" si="55"/>
        <v>193769282.12</v>
      </c>
      <c r="AM19" s="191">
        <f t="shared" si="55"/>
        <v>169370287.40000001</v>
      </c>
      <c r="AN19" s="191">
        <f t="shared" si="55"/>
        <v>105596741.39999999</v>
      </c>
      <c r="AO19" s="191">
        <f t="shared" si="55"/>
        <v>106006847.71000001</v>
      </c>
      <c r="AP19" s="191">
        <f t="shared" si="55"/>
        <v>79687358.280000001</v>
      </c>
      <c r="AQ19" s="191">
        <f t="shared" si="55"/>
        <v>73812764.530000001</v>
      </c>
      <c r="AR19" s="191">
        <f t="shared" si="55"/>
        <v>4081063.05</v>
      </c>
      <c r="AS19" s="191">
        <f t="shared" si="55"/>
        <v>0</v>
      </c>
    </row>
    <row r="20" spans="1:74" s="191" customFormat="1" x14ac:dyDescent="0.25">
      <c r="A20" s="191" t="s">
        <v>300</v>
      </c>
      <c r="B20" s="188">
        <v>125501648.61</v>
      </c>
      <c r="C20" s="188">
        <v>44626943.229999997</v>
      </c>
      <c r="D20" s="188">
        <v>-7657688.1900000004</v>
      </c>
      <c r="E20" s="188">
        <v>155508915.56</v>
      </c>
      <c r="F20" s="188">
        <v>109780058.19</v>
      </c>
      <c r="G20" s="188">
        <v>67019547.100000001</v>
      </c>
      <c r="H20" s="188">
        <v>19076292.600000001</v>
      </c>
      <c r="I20" s="188">
        <v>203345786.18000001</v>
      </c>
      <c r="J20" s="188">
        <v>137669225.16</v>
      </c>
      <c r="K20" s="188">
        <v>66600627.039999999</v>
      </c>
      <c r="L20" s="188">
        <v>4261735.37</v>
      </c>
      <c r="M20" s="188">
        <v>178388453.16999999</v>
      </c>
      <c r="N20" s="188">
        <v>85764753.120000005</v>
      </c>
      <c r="O20" s="188">
        <v>146597397.75</v>
      </c>
      <c r="P20" s="188">
        <v>112746080.40000001</v>
      </c>
      <c r="Q20" s="188">
        <v>109982674.95999999</v>
      </c>
      <c r="R20" s="188">
        <v>93640742.540000007</v>
      </c>
      <c r="S20" s="188">
        <v>0</v>
      </c>
      <c r="T20" s="191">
        <v>-2201725478.6399999</v>
      </c>
      <c r="U20" s="191">
        <v>1458910756.8800001</v>
      </c>
      <c r="V20" s="191">
        <v>313978957.69999999</v>
      </c>
      <c r="W20" s="191">
        <v>1497787082.24</v>
      </c>
      <c r="X20" s="191">
        <v>1136711876.1900001</v>
      </c>
      <c r="Y20" s="191">
        <v>8749667084.4799995</v>
      </c>
      <c r="Z20" s="191">
        <v>6548229191.1899996</v>
      </c>
      <c r="AA20" s="191">
        <v>3947604599.0900002</v>
      </c>
      <c r="AB20" s="191">
        <v>1681643781.72</v>
      </c>
      <c r="AC20" s="191">
        <v>9533022924.4099998</v>
      </c>
      <c r="AD20" s="191">
        <v>6771939952.1899996</v>
      </c>
      <c r="AE20" s="191">
        <v>5409806169.54</v>
      </c>
      <c r="AF20" s="191">
        <v>2364903317.4000001</v>
      </c>
      <c r="AG20" s="191">
        <v>7703120285.2600002</v>
      </c>
      <c r="AH20" s="191">
        <v>4790789702.7799997</v>
      </c>
      <c r="AI20" s="191">
        <v>3138660150.8800001</v>
      </c>
      <c r="AJ20" s="191">
        <v>2138624515.8499999</v>
      </c>
      <c r="AK20" s="191">
        <v>6054009663</v>
      </c>
      <c r="AL20" s="191">
        <v>4845240857.8000002</v>
      </c>
      <c r="AM20" s="191">
        <v>1883351626.01</v>
      </c>
      <c r="AN20" s="191">
        <v>1227477879.51</v>
      </c>
      <c r="AO20" s="191">
        <v>1972636550.8099999</v>
      </c>
      <c r="AP20" s="191">
        <v>1857136349.6300001</v>
      </c>
      <c r="AQ20" s="191">
        <v>1196792212.5999999</v>
      </c>
      <c r="AR20" s="191">
        <v>1171946368.1099999</v>
      </c>
      <c r="AS20" s="191">
        <v>1665545943.71</v>
      </c>
      <c r="AT20" s="191">
        <v>2089846017.8800001</v>
      </c>
      <c r="AU20" s="191">
        <v>1599888081.8099999</v>
      </c>
      <c r="AV20" s="191">
        <v>1055798280.0700001</v>
      </c>
      <c r="AW20" s="191">
        <v>1336270367.45</v>
      </c>
      <c r="AX20" s="191">
        <v>1192408273.4000001</v>
      </c>
      <c r="AY20" s="191">
        <v>889923241.13999999</v>
      </c>
      <c r="AZ20" s="191">
        <v>788427165.83000004</v>
      </c>
      <c r="BA20" s="191">
        <v>1252717668.0899999</v>
      </c>
      <c r="BB20" s="191">
        <v>807940999.38999999</v>
      </c>
      <c r="BC20" s="191">
        <v>713289532.66999996</v>
      </c>
      <c r="BD20" s="191">
        <v>410809880.20999998</v>
      </c>
      <c r="BE20" s="191">
        <v>821693394.29999995</v>
      </c>
      <c r="BF20" s="191">
        <v>845972023.45000005</v>
      </c>
      <c r="BG20" s="191">
        <v>673455379.76999998</v>
      </c>
      <c r="BH20" s="191">
        <v>959479476.41999996</v>
      </c>
      <c r="BI20" s="191">
        <v>1044659243.4</v>
      </c>
      <c r="BJ20" s="191">
        <v>796479775.66999996</v>
      </c>
      <c r="BK20" s="191">
        <v>324143510.37</v>
      </c>
      <c r="BL20" s="191">
        <v>233531826.72</v>
      </c>
      <c r="BM20" s="191">
        <v>1053290717.92</v>
      </c>
      <c r="BN20" s="191">
        <v>513631576.39999998</v>
      </c>
      <c r="BO20" s="191">
        <v>1073187941.83</v>
      </c>
      <c r="BP20" s="191">
        <v>259841859.31999999</v>
      </c>
      <c r="BQ20" s="191">
        <v>1294995783.27</v>
      </c>
      <c r="BR20" s="191">
        <v>527169463.72000003</v>
      </c>
      <c r="BS20" s="191">
        <v>898446895.69000006</v>
      </c>
      <c r="BT20" s="191">
        <v>436278873.26999998</v>
      </c>
      <c r="BU20" s="191">
        <v>359005459.04000002</v>
      </c>
      <c r="BV20" s="191">
        <v>0</v>
      </c>
    </row>
    <row r="21" spans="1:74" s="219" customFormat="1" x14ac:dyDescent="0.25">
      <c r="A21" s="219" t="s">
        <v>665</v>
      </c>
      <c r="E21" s="219">
        <f>E20/E19</f>
        <v>1.6395023022859767</v>
      </c>
      <c r="F21" s="219">
        <f t="shared" ref="F21:AS21" si="56">F20/F19</f>
        <v>1.8431480632494999</v>
      </c>
      <c r="G21" s="219">
        <f t="shared" si="56"/>
        <v>2.2526331791842984</v>
      </c>
      <c r="H21" s="219">
        <f t="shared" si="56"/>
        <v>1.1004069348683376</v>
      </c>
      <c r="I21" s="219">
        <f t="shared" si="56"/>
        <v>3.435642816090148</v>
      </c>
      <c r="J21" s="219">
        <f t="shared" si="56"/>
        <v>2.4551091559649354</v>
      </c>
      <c r="K21" s="219">
        <f t="shared" si="56"/>
        <v>1.9718281868849057</v>
      </c>
      <c r="L21" s="219">
        <f t="shared" si="56"/>
        <v>0.26591093683935207</v>
      </c>
      <c r="M21" s="219">
        <f t="shared" si="56"/>
        <v>3.9143031649511677</v>
      </c>
      <c r="N21" s="219">
        <f t="shared" si="56"/>
        <v>2.8966252358586804</v>
      </c>
      <c r="O21" s="219">
        <f t="shared" si="56"/>
        <v>4.254244556321777</v>
      </c>
      <c r="P21" s="219">
        <f t="shared" si="56"/>
        <v>0.4834955543219927</v>
      </c>
      <c r="Q21" s="219">
        <f t="shared" si="56"/>
        <v>1.0950456710242547</v>
      </c>
      <c r="R21" s="219">
        <f t="shared" si="56"/>
        <v>1.6401074053194495</v>
      </c>
      <c r="S21" s="219" t="e">
        <f t="shared" si="56"/>
        <v>#DIV/0!</v>
      </c>
      <c r="T21" s="219">
        <f t="shared" si="56"/>
        <v>-33.917869778808139</v>
      </c>
      <c r="U21" s="219">
        <f t="shared" si="56"/>
        <v>4.3194707290998364</v>
      </c>
      <c r="V21" s="219">
        <f t="shared" si="56"/>
        <v>1.1104558807068428</v>
      </c>
      <c r="W21" s="219">
        <f t="shared" si="56"/>
        <v>7.0447455676915949</v>
      </c>
      <c r="X21" s="219">
        <f t="shared" si="56"/>
        <v>7.9043308735201174</v>
      </c>
      <c r="Y21" s="219">
        <f t="shared" si="56"/>
        <v>24.659349284007479</v>
      </c>
      <c r="Z21" s="219">
        <f t="shared" si="56"/>
        <v>28.677971603054672</v>
      </c>
      <c r="AA21" s="219">
        <f t="shared" si="56"/>
        <v>19.334154884987147</v>
      </c>
      <c r="AB21" s="219">
        <f t="shared" si="56"/>
        <v>11.486340173475053</v>
      </c>
      <c r="AC21" s="219">
        <f t="shared" si="56"/>
        <v>17.957463497575596</v>
      </c>
      <c r="AD21" s="219">
        <f t="shared" si="56"/>
        <v>19.298568032870662</v>
      </c>
      <c r="AE21" s="219">
        <f t="shared" si="56"/>
        <v>18.753563481879546</v>
      </c>
      <c r="AF21" s="219">
        <f t="shared" si="56"/>
        <v>22.936499266581659</v>
      </c>
      <c r="AG21" s="219">
        <f t="shared" si="56"/>
        <v>16.696837893355081</v>
      </c>
      <c r="AH21" s="219">
        <f t="shared" si="56"/>
        <v>15.193850615929811</v>
      </c>
      <c r="AI21" s="219">
        <f t="shared" si="56"/>
        <v>13.374437583122139</v>
      </c>
      <c r="AJ21" s="219">
        <f t="shared" si="56"/>
        <v>15.867897009037101</v>
      </c>
      <c r="AK21" s="219">
        <f t="shared" si="56"/>
        <v>1.4230274458051144</v>
      </c>
      <c r="AL21" s="219">
        <f t="shared" si="56"/>
        <v>25.005206216325739</v>
      </c>
      <c r="AM21" s="219">
        <f t="shared" si="56"/>
        <v>11.119728583574453</v>
      </c>
      <c r="AN21" s="219">
        <f t="shared" si="56"/>
        <v>11.624202255070724</v>
      </c>
      <c r="AO21" s="219">
        <f t="shared" si="56"/>
        <v>18.608576647864172</v>
      </c>
      <c r="AP21" s="219">
        <f t="shared" si="56"/>
        <v>23.305281913155174</v>
      </c>
      <c r="AQ21" s="219">
        <f t="shared" si="56"/>
        <v>16.213892274873178</v>
      </c>
      <c r="AR21" s="219">
        <f t="shared" si="56"/>
        <v>287.16693512245541</v>
      </c>
      <c r="AS21" s="219" t="e">
        <f t="shared" si="56"/>
        <v>#DIV/0!</v>
      </c>
    </row>
    <row r="22" spans="1:74" s="191" customFormat="1" x14ac:dyDescent="0.25">
      <c r="A22" s="191" t="s">
        <v>301</v>
      </c>
      <c r="E22" s="191">
        <f>I35</f>
        <v>442073371.21000004</v>
      </c>
      <c r="F22" s="191">
        <f t="shared" ref="F22:Y22" si="57">J35</f>
        <v>173441088.34999999</v>
      </c>
      <c r="G22" s="191">
        <f t="shared" si="57"/>
        <v>125763270.44</v>
      </c>
      <c r="H22" s="191">
        <f t="shared" si="57"/>
        <v>203669416.86000001</v>
      </c>
      <c r="I22" s="191">
        <f t="shared" si="57"/>
        <v>121360190</v>
      </c>
      <c r="J22" s="191">
        <f t="shared" si="57"/>
        <v>121048251.62</v>
      </c>
      <c r="K22" s="191">
        <f t="shared" si="57"/>
        <v>131378573.28</v>
      </c>
      <c r="L22" s="191">
        <f t="shared" si="57"/>
        <v>106634430.42</v>
      </c>
      <c r="M22" s="191">
        <f t="shared" si="57"/>
        <v>0</v>
      </c>
      <c r="N22" s="191">
        <f t="shared" si="57"/>
        <v>0</v>
      </c>
      <c r="O22" s="191">
        <f t="shared" si="57"/>
        <v>0</v>
      </c>
      <c r="P22" s="191">
        <f t="shared" si="57"/>
        <v>0</v>
      </c>
      <c r="Q22" s="191">
        <f t="shared" si="57"/>
        <v>0</v>
      </c>
      <c r="R22" s="191">
        <f t="shared" si="57"/>
        <v>0</v>
      </c>
      <c r="S22" s="191">
        <f t="shared" si="57"/>
        <v>0</v>
      </c>
      <c r="T22" s="191">
        <f t="shared" si="57"/>
        <v>0</v>
      </c>
      <c r="U22" s="191">
        <f t="shared" si="57"/>
        <v>0</v>
      </c>
      <c r="V22" s="191">
        <f t="shared" si="57"/>
        <v>0</v>
      </c>
      <c r="W22" s="191">
        <f t="shared" si="57"/>
        <v>0</v>
      </c>
      <c r="X22" s="191">
        <f t="shared" si="57"/>
        <v>0</v>
      </c>
      <c r="Y22" s="191">
        <f t="shared" si="57"/>
        <v>0</v>
      </c>
      <c r="Z22" s="191">
        <f t="shared" ref="Z22" si="58">AD35</f>
        <v>0</v>
      </c>
      <c r="AA22" s="191">
        <f t="shared" ref="AA22" si="59">AE35</f>
        <v>0</v>
      </c>
      <c r="AB22" s="191">
        <f t="shared" ref="AB22" si="60">AF35</f>
        <v>0</v>
      </c>
      <c r="AC22" s="191">
        <f t="shared" ref="AC22" si="61">AG35</f>
        <v>0</v>
      </c>
      <c r="AD22" s="191">
        <f t="shared" ref="AD22" si="62">AH35</f>
        <v>0</v>
      </c>
      <c r="AE22" s="191">
        <f t="shared" ref="AE22" si="63">AI35</f>
        <v>0</v>
      </c>
      <c r="AF22" s="191">
        <f t="shared" ref="AF22" si="64">AJ35</f>
        <v>0</v>
      </c>
      <c r="AG22" s="191">
        <f t="shared" ref="AG22" si="65">AK35</f>
        <v>0</v>
      </c>
      <c r="AH22" s="191">
        <f t="shared" ref="AH22" si="66">AL35</f>
        <v>0</v>
      </c>
      <c r="AI22" s="191">
        <f t="shared" ref="AI22" si="67">AM35</f>
        <v>0</v>
      </c>
      <c r="AJ22" s="191">
        <f t="shared" ref="AJ22" si="68">AN35</f>
        <v>0</v>
      </c>
      <c r="AK22" s="191">
        <f t="shared" ref="AK22" si="69">AO35</f>
        <v>0</v>
      </c>
      <c r="AL22" s="191">
        <f t="shared" ref="AL22" si="70">AP35</f>
        <v>0</v>
      </c>
      <c r="AM22" s="191">
        <f t="shared" ref="AM22" si="71">AQ35</f>
        <v>0</v>
      </c>
      <c r="AN22" s="191">
        <f t="shared" ref="AN22" si="72">AR35</f>
        <v>0</v>
      </c>
      <c r="AO22" s="191">
        <f t="shared" ref="AO22" si="73">AS35</f>
        <v>0</v>
      </c>
      <c r="AP22" s="191">
        <f t="shared" ref="AP22" si="74">AT35</f>
        <v>0</v>
      </c>
      <c r="AQ22" s="191">
        <f t="shared" ref="AQ22" si="75">AU35</f>
        <v>0</v>
      </c>
      <c r="AR22" s="191">
        <f t="shared" ref="AR22" si="76">AV35</f>
        <v>0</v>
      </c>
      <c r="AS22" s="191">
        <f t="shared" ref="AS22" si="77">AW35</f>
        <v>0</v>
      </c>
    </row>
    <row r="23" spans="1:74" s="191" customFormat="1" x14ac:dyDescent="0.25">
      <c r="A23" s="191" t="s">
        <v>302</v>
      </c>
      <c r="E23" s="191">
        <f>E20+E22-E19</f>
        <v>502730992.35999995</v>
      </c>
      <c r="F23" s="191">
        <f t="shared" ref="F23:AS23" si="78">F20+F22-F19</f>
        <v>223659974.87999997</v>
      </c>
      <c r="G23" s="191">
        <f t="shared" si="78"/>
        <v>163031170.56999999</v>
      </c>
      <c r="H23" s="191">
        <f t="shared" si="78"/>
        <v>205410038.45000002</v>
      </c>
      <c r="I23" s="191">
        <f t="shared" si="78"/>
        <v>265518861.25999999</v>
      </c>
      <c r="J23" s="191">
        <f t="shared" si="78"/>
        <v>202642892.55000001</v>
      </c>
      <c r="K23" s="191">
        <f t="shared" si="78"/>
        <v>164203120.09</v>
      </c>
      <c r="L23" s="191">
        <f t="shared" si="78"/>
        <v>94869238.050000012</v>
      </c>
      <c r="M23" s="191">
        <f t="shared" si="78"/>
        <v>132814963.92999998</v>
      </c>
      <c r="N23" s="191">
        <f t="shared" si="78"/>
        <v>56156244.550000004</v>
      </c>
      <c r="O23" s="191">
        <f t="shared" si="78"/>
        <v>112138307.34999999</v>
      </c>
      <c r="P23" s="191">
        <f t="shared" si="78"/>
        <v>-120443406.84999999</v>
      </c>
      <c r="Q23" s="191">
        <f t="shared" si="78"/>
        <v>9546064.9899999946</v>
      </c>
      <c r="R23" s="191">
        <f t="shared" si="78"/>
        <v>36546467.960000008</v>
      </c>
      <c r="S23" s="191">
        <f t="shared" si="78"/>
        <v>0</v>
      </c>
      <c r="T23" s="191">
        <f t="shared" si="78"/>
        <v>-2266638914.9200001</v>
      </c>
      <c r="U23" s="191">
        <f t="shared" si="78"/>
        <v>1121158553.3400002</v>
      </c>
      <c r="V23" s="191">
        <f t="shared" si="78"/>
        <v>31231157.310000002</v>
      </c>
      <c r="W23" s="191">
        <f t="shared" si="78"/>
        <v>1285176553.1800001</v>
      </c>
      <c r="X23" s="191">
        <f t="shared" si="78"/>
        <v>992903134.58000004</v>
      </c>
      <c r="Y23" s="191">
        <f t="shared" si="78"/>
        <v>8394845593.2999992</v>
      </c>
      <c r="Z23" s="191">
        <f t="shared" si="78"/>
        <v>6319892637.8999996</v>
      </c>
      <c r="AA23" s="191">
        <f t="shared" si="78"/>
        <v>3743426830.6500001</v>
      </c>
      <c r="AB23" s="191">
        <f t="shared" si="78"/>
        <v>1535239987.6200001</v>
      </c>
      <c r="AC23" s="191">
        <f t="shared" si="78"/>
        <v>9002156027.4400005</v>
      </c>
      <c r="AD23" s="191">
        <f t="shared" si="78"/>
        <v>6421036199.0899992</v>
      </c>
      <c r="AE23" s="191">
        <f t="shared" si="78"/>
        <v>5121337997.8900003</v>
      </c>
      <c r="AF23" s="191">
        <f t="shared" si="78"/>
        <v>2261796767.0100002</v>
      </c>
      <c r="AG23" s="191">
        <f t="shared" si="78"/>
        <v>7241768241.5700006</v>
      </c>
      <c r="AH23" s="191">
        <f t="shared" si="78"/>
        <v>4475478605.9499998</v>
      </c>
      <c r="AI23" s="191">
        <f t="shared" si="78"/>
        <v>2903984103.2800002</v>
      </c>
      <c r="AJ23" s="191">
        <f t="shared" si="78"/>
        <v>2003847707.3899999</v>
      </c>
      <c r="AK23" s="191">
        <f t="shared" si="78"/>
        <v>1799692797.3299999</v>
      </c>
      <c r="AL23" s="191">
        <f t="shared" si="78"/>
        <v>4651471575.6800003</v>
      </c>
      <c r="AM23" s="191">
        <f t="shared" si="78"/>
        <v>1713981338.6099999</v>
      </c>
      <c r="AN23" s="191">
        <f t="shared" si="78"/>
        <v>1121881138.1099999</v>
      </c>
      <c r="AO23" s="191">
        <f t="shared" si="78"/>
        <v>1866629703.0999999</v>
      </c>
      <c r="AP23" s="191">
        <f t="shared" si="78"/>
        <v>1777448991.3500001</v>
      </c>
      <c r="AQ23" s="191">
        <f t="shared" si="78"/>
        <v>1122979448.0699999</v>
      </c>
      <c r="AR23" s="191">
        <f t="shared" si="78"/>
        <v>1167865305.0599999</v>
      </c>
      <c r="AS23" s="191">
        <f t="shared" si="78"/>
        <v>1665545943.71</v>
      </c>
    </row>
    <row r="24" spans="1:74" s="219" customFormat="1" x14ac:dyDescent="0.25">
      <c r="A24" s="219" t="s">
        <v>303</v>
      </c>
      <c r="B24" s="188">
        <v>-53497103.719999999</v>
      </c>
      <c r="C24" s="188">
        <v>-52297103.719999999</v>
      </c>
      <c r="D24" s="188">
        <v>-567103.72</v>
      </c>
      <c r="E24" s="188">
        <v>-123222270.77</v>
      </c>
      <c r="F24" s="188">
        <v>-123222270.77</v>
      </c>
      <c r="G24" s="188">
        <v>-123222270.77</v>
      </c>
      <c r="H24" s="188">
        <v>-33689772.359999999</v>
      </c>
      <c r="I24" s="188">
        <v>365598873.93000001</v>
      </c>
      <c r="J24" s="188">
        <v>-110010213.81</v>
      </c>
      <c r="K24" s="188">
        <v>-108847151.98</v>
      </c>
      <c r="L24" s="188">
        <v>16266632.189999999</v>
      </c>
      <c r="M24" s="188">
        <v>-52083823.039999999</v>
      </c>
      <c r="N24" s="188">
        <v>-49783663.729999997</v>
      </c>
      <c r="O24" s="188">
        <v>-111140469.13</v>
      </c>
      <c r="P24" s="188">
        <v>72950844.609999999</v>
      </c>
      <c r="Q24" s="188">
        <v>35371287.210000001</v>
      </c>
      <c r="R24" s="188">
        <v>15274725.51</v>
      </c>
      <c r="S24" s="188">
        <v>0</v>
      </c>
      <c r="T24" s="191">
        <v>0</v>
      </c>
      <c r="U24" s="191">
        <v>-3219033426.9200001</v>
      </c>
      <c r="V24" s="191">
        <v>-3318001362.1599998</v>
      </c>
      <c r="W24" s="191">
        <v>-3391501362.1599998</v>
      </c>
      <c r="X24" s="191">
        <v>-32227986.16</v>
      </c>
      <c r="Y24" s="191">
        <v>-2113851892.23</v>
      </c>
      <c r="Z24" s="191">
        <v>-2116322677.4300001</v>
      </c>
      <c r="AA24" s="191">
        <v>-2116322677.4300001</v>
      </c>
      <c r="AB24" s="191">
        <v>-215868531.93000001</v>
      </c>
      <c r="AC24" s="191">
        <v>-1503137193.9100001</v>
      </c>
      <c r="AD24" s="191">
        <v>-1427440016</v>
      </c>
      <c r="AE24" s="191">
        <v>-1044440016</v>
      </c>
      <c r="AF24" s="191">
        <v>-205650000</v>
      </c>
      <c r="AG24" s="191">
        <v>-647767438.72000003</v>
      </c>
      <c r="AH24" s="191">
        <v>-500767438.72000003</v>
      </c>
      <c r="AI24" s="191">
        <v>-500767438.72000003</v>
      </c>
      <c r="AJ24" s="191">
        <v>0</v>
      </c>
      <c r="AK24" s="191">
        <v>-178798336</v>
      </c>
      <c r="AL24" s="191">
        <v>-193030418.09</v>
      </c>
      <c r="AM24" s="191">
        <v>-193030418.09</v>
      </c>
      <c r="AN24" s="191">
        <v>0</v>
      </c>
      <c r="AO24" s="191">
        <v>-2500000</v>
      </c>
      <c r="AP24" s="191">
        <v>0</v>
      </c>
      <c r="AQ24" s="191">
        <v>0</v>
      </c>
      <c r="AR24" s="191">
        <v>0</v>
      </c>
      <c r="AS24" s="191">
        <v>-147684288</v>
      </c>
      <c r="AT24" s="191">
        <v>-11287580.49</v>
      </c>
      <c r="AU24" s="191">
        <v>-11287580.49</v>
      </c>
      <c r="AV24" s="191">
        <v>0</v>
      </c>
      <c r="AW24" s="191">
        <v>-271140480</v>
      </c>
      <c r="AX24" s="191">
        <v>-265331306.06</v>
      </c>
      <c r="AY24" s="191">
        <v>-220552618.06</v>
      </c>
      <c r="AZ24" s="191">
        <v>0</v>
      </c>
      <c r="BA24" s="191">
        <v>0</v>
      </c>
      <c r="BB24" s="191">
        <v>0</v>
      </c>
      <c r="BC24" s="191">
        <v>0</v>
      </c>
      <c r="BD24" s="191">
        <v>0</v>
      </c>
      <c r="BE24" s="191">
        <v>-268690480</v>
      </c>
      <c r="BF24" s="191">
        <v>-271140480</v>
      </c>
      <c r="BG24" s="191">
        <v>-271140480</v>
      </c>
      <c r="BH24" s="191">
        <v>0</v>
      </c>
      <c r="BI24" s="191">
        <v>-15606000</v>
      </c>
      <c r="BJ24" s="191">
        <v>0</v>
      </c>
      <c r="BK24" s="191">
        <v>0</v>
      </c>
      <c r="BL24" s="191">
        <v>0</v>
      </c>
      <c r="BM24" s="191">
        <v>-5320000</v>
      </c>
      <c r="BN24" s="191">
        <v>-6120000</v>
      </c>
      <c r="BO24" s="191">
        <v>562994338.32000005</v>
      </c>
      <c r="BP24" s="191">
        <v>613134338.32000005</v>
      </c>
      <c r="BQ24" s="191">
        <v>0</v>
      </c>
      <c r="BR24" s="191">
        <v>4623692.53</v>
      </c>
      <c r="BS24" s="191">
        <v>-400000000</v>
      </c>
      <c r="BT24" s="191">
        <v>-237866348.78</v>
      </c>
      <c r="BU24" s="191">
        <v>1108113819.7</v>
      </c>
      <c r="BV24" s="191">
        <v>0</v>
      </c>
    </row>
    <row r="25" spans="1:74" s="240" customFormat="1" ht="138.6" customHeight="1" x14ac:dyDescent="0.25">
      <c r="A25" s="274" t="s">
        <v>741</v>
      </c>
      <c r="B25" s="275"/>
      <c r="C25" s="275"/>
      <c r="D25" s="275"/>
      <c r="E25" s="275"/>
      <c r="F25" s="275"/>
      <c r="G25" s="275"/>
      <c r="H25" s="275"/>
      <c r="I25" s="275"/>
      <c r="J25" s="275"/>
      <c r="K25" s="275"/>
      <c r="L25" s="275"/>
      <c r="M25" s="275"/>
      <c r="N25" s="275"/>
      <c r="O25" s="275"/>
      <c r="P25" s="275"/>
      <c r="Q25" s="275"/>
      <c r="R25" s="275"/>
      <c r="S25" s="275"/>
      <c r="T25" s="275"/>
      <c r="U25" s="275"/>
      <c r="V25" s="275"/>
      <c r="W25" s="275"/>
      <c r="X25" s="275"/>
      <c r="Y25" s="275"/>
      <c r="Z25" s="275"/>
      <c r="AA25" s="275"/>
      <c r="AB25" s="275"/>
      <c r="AC25" s="275"/>
      <c r="AD25" s="275"/>
      <c r="AE25" s="275"/>
      <c r="AF25" s="275"/>
      <c r="AG25" s="275"/>
      <c r="AH25" s="275"/>
      <c r="AI25" s="275"/>
      <c r="AJ25" s="275"/>
      <c r="AK25" s="275"/>
    </row>
    <row r="26" spans="1:74" s="26" customFormat="1" x14ac:dyDescent="0.25">
      <c r="A26" s="17" t="s">
        <v>629</v>
      </c>
      <c r="E26" s="26">
        <f>现金流量表!E15</f>
        <v>0</v>
      </c>
      <c r="F26" s="26">
        <f>现金流量表!F15</f>
        <v>0</v>
      </c>
      <c r="G26" s="26">
        <f>现金流量表!G15</f>
        <v>0</v>
      </c>
      <c r="H26" s="26">
        <f>现金流量表!H15</f>
        <v>0</v>
      </c>
      <c r="I26" s="26">
        <f>现金流量表!I15</f>
        <v>0</v>
      </c>
      <c r="J26" s="26">
        <f>现金流量表!J15</f>
        <v>0</v>
      </c>
      <c r="K26" s="26">
        <f>现金流量表!K15</f>
        <v>0</v>
      </c>
      <c r="L26" s="26">
        <f>现金流量表!L15</f>
        <v>0</v>
      </c>
      <c r="M26" s="26">
        <f>现金流量表!M15</f>
        <v>1000000</v>
      </c>
      <c r="N26" s="26">
        <f>现金流量表!N15</f>
        <v>1000000</v>
      </c>
      <c r="O26" s="26">
        <f>现金流量表!O15</f>
        <v>0</v>
      </c>
      <c r="P26" s="26">
        <f>现金流量表!P15</f>
        <v>0</v>
      </c>
      <c r="Q26" s="26">
        <f>现金流量表!Q15</f>
        <v>0</v>
      </c>
      <c r="R26" s="26">
        <f>现金流量表!R15</f>
        <v>0</v>
      </c>
      <c r="S26" s="26">
        <f>现金流量表!S15</f>
        <v>0</v>
      </c>
      <c r="T26" s="26">
        <f>现金流量表!T15</f>
        <v>0</v>
      </c>
      <c r="U26" s="26">
        <f>现金流量表!U15</f>
        <v>0</v>
      </c>
      <c r="V26" s="26">
        <f>现金流量表!V15</f>
        <v>0</v>
      </c>
      <c r="W26" s="26">
        <f>现金流量表!W15</f>
        <v>0</v>
      </c>
      <c r="X26" s="26">
        <f>现金流量表!X15</f>
        <v>0</v>
      </c>
      <c r="Y26" s="26">
        <f>现金流量表!Y15</f>
        <v>0</v>
      </c>
      <c r="Z26" s="26">
        <f>现金流量表!Z15</f>
        <v>0</v>
      </c>
      <c r="AA26" s="26">
        <f>现金流量表!AA15</f>
        <v>0</v>
      </c>
      <c r="AB26" s="26">
        <f>现金流量表!AB15</f>
        <v>0</v>
      </c>
      <c r="AC26" s="26">
        <f>现金流量表!AC15</f>
        <v>0</v>
      </c>
      <c r="AD26" s="26">
        <f>现金流量表!AD15</f>
        <v>0</v>
      </c>
      <c r="AE26" s="26">
        <f>现金流量表!AE15</f>
        <v>0</v>
      </c>
      <c r="AF26" s="26">
        <f>现金流量表!AF15</f>
        <v>0</v>
      </c>
      <c r="AG26" s="26">
        <f>现金流量表!AG15</f>
        <v>0</v>
      </c>
      <c r="AH26" s="26">
        <f>现金流量表!AH15</f>
        <v>0</v>
      </c>
      <c r="AI26" s="26">
        <f>现金流量表!AI15</f>
        <v>0</v>
      </c>
      <c r="AJ26" s="26">
        <f>现金流量表!AJ15</f>
        <v>0</v>
      </c>
      <c r="AK26" s="26">
        <f>现金流量表!AK15</f>
        <v>0</v>
      </c>
      <c r="AL26" s="26">
        <f>现金流量表!AL15</f>
        <v>0</v>
      </c>
      <c r="AM26" s="26">
        <f>现金流量表!AM15</f>
        <v>0</v>
      </c>
      <c r="AN26" s="26">
        <f>现金流量表!AN15</f>
        <v>0</v>
      </c>
      <c r="AO26" s="26">
        <f>现金流量表!AO15</f>
        <v>0</v>
      </c>
      <c r="AP26" s="26">
        <f>现金流量表!AP15</f>
        <v>0</v>
      </c>
      <c r="AQ26" s="26">
        <f>现金流量表!AQ15</f>
        <v>0</v>
      </c>
      <c r="AR26" s="26">
        <f>现金流量表!AR15</f>
        <v>0</v>
      </c>
      <c r="AS26" s="26">
        <f>现金流量表!AS15</f>
        <v>0</v>
      </c>
      <c r="AT26" s="26">
        <f>现金流量表!AT15</f>
        <v>0</v>
      </c>
      <c r="AU26" s="26">
        <f>现金流量表!AU15</f>
        <v>0</v>
      </c>
      <c r="AV26" s="26">
        <f>现金流量表!AV15</f>
        <v>0</v>
      </c>
      <c r="AW26" s="26">
        <f>现金流量表!AW15</f>
        <v>0</v>
      </c>
      <c r="AX26" s="26">
        <f>现金流量表!AX15</f>
        <v>0</v>
      </c>
      <c r="AY26" s="26">
        <f>现金流量表!AY15</f>
        <v>0</v>
      </c>
      <c r="AZ26" s="26">
        <f>现金流量表!AZ15</f>
        <v>0</v>
      </c>
      <c r="BA26" s="26">
        <f>现金流量表!BA15</f>
        <v>0</v>
      </c>
      <c r="BB26" s="26">
        <f>现金流量表!BB15</f>
        <v>0</v>
      </c>
      <c r="BC26" s="26">
        <f>现金流量表!BC15</f>
        <v>0</v>
      </c>
      <c r="BD26" s="26">
        <f>现金流量表!BD15</f>
        <v>0</v>
      </c>
      <c r="BE26" s="26">
        <f>现金流量表!BE15</f>
        <v>0</v>
      </c>
      <c r="BF26" s="26">
        <f>现金流量表!BF15</f>
        <v>0</v>
      </c>
      <c r="BG26" s="26">
        <f>现金流量表!BG15</f>
        <v>0</v>
      </c>
      <c r="BH26" s="26">
        <f>现金流量表!BH15</f>
        <v>0</v>
      </c>
      <c r="BI26" s="26">
        <f>现金流量表!BI15</f>
        <v>0</v>
      </c>
      <c r="BJ26" s="26">
        <f>现金流量表!BJ15</f>
        <v>0</v>
      </c>
      <c r="BK26" s="26">
        <f>现金流量表!BK15</f>
        <v>0</v>
      </c>
      <c r="BL26" s="26">
        <f>现金流量表!BL15</f>
        <v>0</v>
      </c>
      <c r="BM26" s="26">
        <f>现金流量表!BM15</f>
        <v>0</v>
      </c>
      <c r="BN26" s="26">
        <f>现金流量表!BN15</f>
        <v>0</v>
      </c>
      <c r="BO26" s="26">
        <f>现金流量表!BO15</f>
        <v>0</v>
      </c>
      <c r="BP26" s="26">
        <f>现金流量表!BP15</f>
        <v>0</v>
      </c>
      <c r="BQ26" s="26">
        <f>现金流量表!BQ15</f>
        <v>0</v>
      </c>
      <c r="BR26" s="26">
        <f>现金流量表!BR15</f>
        <v>0</v>
      </c>
      <c r="BS26" s="26">
        <f>现金流量表!BS15</f>
        <v>0</v>
      </c>
      <c r="BT26" s="26">
        <f>现金流量表!BT15</f>
        <v>0</v>
      </c>
      <c r="BU26" s="26">
        <f>现金流量表!BU15</f>
        <v>0</v>
      </c>
      <c r="BV26" s="26">
        <f>现金流量表!BV15</f>
        <v>0</v>
      </c>
    </row>
    <row r="27" spans="1:74" s="26" customFormat="1" x14ac:dyDescent="0.25">
      <c r="A27" s="17" t="s">
        <v>630</v>
      </c>
      <c r="E27" s="26">
        <f>现金流量表!E22</f>
        <v>33000000</v>
      </c>
      <c r="F27" s="26">
        <f>现金流量表!F22</f>
        <v>0</v>
      </c>
      <c r="G27" s="26">
        <f>现金流量表!G22</f>
        <v>0</v>
      </c>
      <c r="H27" s="26">
        <f>现金流量表!H22</f>
        <v>0</v>
      </c>
      <c r="I27" s="26">
        <f>现金流量表!I22</f>
        <v>0</v>
      </c>
      <c r="J27" s="26">
        <f>现金流量表!J22</f>
        <v>0</v>
      </c>
      <c r="K27" s="26">
        <f>现金流量表!K22</f>
        <v>0</v>
      </c>
      <c r="L27" s="26">
        <f>现金流量表!L22</f>
        <v>0</v>
      </c>
      <c r="M27" s="26">
        <f>现金流量表!M22</f>
        <v>0</v>
      </c>
      <c r="N27" s="26">
        <f>现金流量表!N22</f>
        <v>0</v>
      </c>
      <c r="O27" s="26">
        <f>现金流量表!O22</f>
        <v>0</v>
      </c>
      <c r="P27" s="26">
        <f>现金流量表!P22</f>
        <v>0</v>
      </c>
      <c r="Q27" s="26">
        <f>现金流量表!Q22</f>
        <v>28858831.859999999</v>
      </c>
      <c r="R27" s="26">
        <f>现金流量表!R22</f>
        <v>1000000</v>
      </c>
      <c r="S27" s="26">
        <f>现金流量表!S22</f>
        <v>0</v>
      </c>
      <c r="T27" s="26">
        <f>现金流量表!T22</f>
        <v>0</v>
      </c>
      <c r="U27" s="26">
        <f>现金流量表!U22</f>
        <v>0</v>
      </c>
      <c r="V27" s="26">
        <f>现金流量表!V22</f>
        <v>0</v>
      </c>
      <c r="W27" s="26">
        <f>现金流量表!W22</f>
        <v>0</v>
      </c>
      <c r="X27" s="26">
        <f>现金流量表!X22</f>
        <v>0</v>
      </c>
      <c r="Y27" s="26">
        <f>现金流量表!Y22</f>
        <v>0</v>
      </c>
      <c r="Z27" s="26">
        <f>现金流量表!Z22</f>
        <v>0</v>
      </c>
      <c r="AA27" s="26">
        <f>现金流量表!AA22</f>
        <v>0</v>
      </c>
      <c r="AB27" s="26">
        <f>现金流量表!AB22</f>
        <v>0</v>
      </c>
      <c r="AC27" s="26">
        <f>现金流量表!AC22</f>
        <v>0</v>
      </c>
      <c r="AD27" s="26">
        <f>现金流量表!AD22</f>
        <v>0</v>
      </c>
      <c r="AE27" s="26">
        <f>现金流量表!AE22</f>
        <v>0</v>
      </c>
      <c r="AF27" s="26">
        <f>现金流量表!AF22</f>
        <v>0</v>
      </c>
      <c r="AG27" s="26">
        <f>现金流量表!AG22</f>
        <v>0</v>
      </c>
      <c r="AH27" s="26">
        <f>现金流量表!AH22</f>
        <v>0</v>
      </c>
      <c r="AI27" s="26">
        <f>现金流量表!AI22</f>
        <v>0</v>
      </c>
      <c r="AJ27" s="26">
        <f>现金流量表!AJ22</f>
        <v>0</v>
      </c>
      <c r="AK27" s="26">
        <f>现金流量表!AK22</f>
        <v>0</v>
      </c>
      <c r="AL27" s="26">
        <f>现金流量表!AL22</f>
        <v>0</v>
      </c>
      <c r="AM27" s="26">
        <f>现金流量表!AM22</f>
        <v>0</v>
      </c>
      <c r="AN27" s="26">
        <f>现金流量表!AN22</f>
        <v>0</v>
      </c>
      <c r="AO27" s="26">
        <f>现金流量表!AO22</f>
        <v>0</v>
      </c>
      <c r="AP27" s="26">
        <f>现金流量表!AP22</f>
        <v>0</v>
      </c>
      <c r="AQ27" s="26">
        <f>现金流量表!AQ22</f>
        <v>0</v>
      </c>
      <c r="AR27" s="26">
        <f>现金流量表!AR22</f>
        <v>0</v>
      </c>
      <c r="AS27" s="26">
        <f>现金流量表!AS22</f>
        <v>0</v>
      </c>
      <c r="AT27" s="26">
        <f>现金流量表!AT22</f>
        <v>0</v>
      </c>
      <c r="AU27" s="26">
        <f>现金流量表!AU22</f>
        <v>0</v>
      </c>
      <c r="AV27" s="26">
        <f>现金流量表!AV22</f>
        <v>0</v>
      </c>
      <c r="AW27" s="26">
        <f>现金流量表!AW22</f>
        <v>0</v>
      </c>
      <c r="AX27" s="26">
        <f>现金流量表!AX22</f>
        <v>0</v>
      </c>
      <c r="AY27" s="26">
        <f>现金流量表!AY22</f>
        <v>0</v>
      </c>
      <c r="AZ27" s="26">
        <f>现金流量表!AZ22</f>
        <v>0</v>
      </c>
      <c r="BA27" s="26">
        <f>现金流量表!BA22</f>
        <v>0</v>
      </c>
      <c r="BB27" s="26">
        <f>现金流量表!BB22</f>
        <v>0</v>
      </c>
      <c r="BC27" s="26">
        <f>现金流量表!BC22</f>
        <v>0</v>
      </c>
      <c r="BD27" s="26">
        <f>现金流量表!BD22</f>
        <v>0</v>
      </c>
      <c r="BE27" s="26">
        <f>现金流量表!BE22</f>
        <v>0</v>
      </c>
      <c r="BF27" s="26">
        <f>现金流量表!BF22</f>
        <v>0</v>
      </c>
      <c r="BG27" s="26">
        <f>现金流量表!BG22</f>
        <v>0</v>
      </c>
      <c r="BH27" s="26">
        <f>现金流量表!BH22</f>
        <v>0</v>
      </c>
      <c r="BI27" s="26">
        <f>现金流量表!BI22</f>
        <v>0</v>
      </c>
      <c r="BJ27" s="26">
        <f>现金流量表!BJ22</f>
        <v>0</v>
      </c>
      <c r="BK27" s="26">
        <f>现金流量表!BK22</f>
        <v>0</v>
      </c>
      <c r="BL27" s="26">
        <f>现金流量表!BL22</f>
        <v>0</v>
      </c>
      <c r="BM27" s="26">
        <f>现金流量表!BM22</f>
        <v>0</v>
      </c>
      <c r="BN27" s="26">
        <f>现金流量表!BN22</f>
        <v>0</v>
      </c>
      <c r="BO27" s="26">
        <f>现金流量表!BO22</f>
        <v>0</v>
      </c>
      <c r="BP27" s="26">
        <f>现金流量表!BP22</f>
        <v>0</v>
      </c>
      <c r="BQ27" s="26">
        <f>现金流量表!BQ22</f>
        <v>0</v>
      </c>
      <c r="BR27" s="26">
        <f>现金流量表!BR22</f>
        <v>0</v>
      </c>
      <c r="BS27" s="26">
        <f>现金流量表!BS22</f>
        <v>0</v>
      </c>
      <c r="BT27" s="26">
        <f>现金流量表!BT22</f>
        <v>0</v>
      </c>
      <c r="BU27" s="26">
        <f>现金流量表!BU22</f>
        <v>0</v>
      </c>
      <c r="BV27" s="26">
        <f>现金流量表!BV22</f>
        <v>0</v>
      </c>
    </row>
    <row r="28" spans="1:74" s="26" customFormat="1" x14ac:dyDescent="0.25">
      <c r="A28" s="17" t="s">
        <v>631</v>
      </c>
      <c r="E28" s="26">
        <f>E27-E26</f>
        <v>33000000</v>
      </c>
      <c r="F28" s="26">
        <f t="shared" ref="F28:BQ28" si="79">F27-F26</f>
        <v>0</v>
      </c>
      <c r="G28" s="26">
        <f t="shared" si="79"/>
        <v>0</v>
      </c>
      <c r="H28" s="26">
        <f t="shared" si="79"/>
        <v>0</v>
      </c>
      <c r="I28" s="26">
        <f t="shared" si="79"/>
        <v>0</v>
      </c>
      <c r="J28" s="26">
        <f t="shared" si="79"/>
        <v>0</v>
      </c>
      <c r="K28" s="26">
        <f t="shared" si="79"/>
        <v>0</v>
      </c>
      <c r="L28" s="26">
        <f t="shared" si="79"/>
        <v>0</v>
      </c>
      <c r="M28" s="26">
        <f t="shared" si="79"/>
        <v>-1000000</v>
      </c>
      <c r="N28" s="26">
        <f t="shared" si="79"/>
        <v>-1000000</v>
      </c>
      <c r="O28" s="26">
        <f t="shared" si="79"/>
        <v>0</v>
      </c>
      <c r="P28" s="26">
        <f t="shared" si="79"/>
        <v>0</v>
      </c>
      <c r="Q28" s="26">
        <f t="shared" si="79"/>
        <v>28858831.859999999</v>
      </c>
      <c r="R28" s="26">
        <f t="shared" si="79"/>
        <v>1000000</v>
      </c>
      <c r="S28" s="26">
        <f t="shared" si="79"/>
        <v>0</v>
      </c>
      <c r="T28" s="26">
        <f t="shared" si="79"/>
        <v>0</v>
      </c>
      <c r="U28" s="26">
        <f t="shared" si="79"/>
        <v>0</v>
      </c>
      <c r="V28" s="26">
        <f t="shared" si="79"/>
        <v>0</v>
      </c>
      <c r="W28" s="26">
        <f t="shared" si="79"/>
        <v>0</v>
      </c>
      <c r="X28" s="26">
        <f t="shared" si="79"/>
        <v>0</v>
      </c>
      <c r="Y28" s="26">
        <f t="shared" si="79"/>
        <v>0</v>
      </c>
      <c r="Z28" s="26">
        <f t="shared" si="79"/>
        <v>0</v>
      </c>
      <c r="AA28" s="26">
        <f t="shared" si="79"/>
        <v>0</v>
      </c>
      <c r="AB28" s="26">
        <f t="shared" si="79"/>
        <v>0</v>
      </c>
      <c r="AC28" s="26">
        <f t="shared" si="79"/>
        <v>0</v>
      </c>
      <c r="AD28" s="26">
        <f t="shared" si="79"/>
        <v>0</v>
      </c>
      <c r="AE28" s="26">
        <f t="shared" si="79"/>
        <v>0</v>
      </c>
      <c r="AF28" s="26">
        <f t="shared" si="79"/>
        <v>0</v>
      </c>
      <c r="AG28" s="26">
        <f t="shared" si="79"/>
        <v>0</v>
      </c>
      <c r="AH28" s="26">
        <f t="shared" si="79"/>
        <v>0</v>
      </c>
      <c r="AI28" s="26">
        <f t="shared" si="79"/>
        <v>0</v>
      </c>
      <c r="AJ28" s="26">
        <f t="shared" si="79"/>
        <v>0</v>
      </c>
      <c r="AK28" s="26">
        <f t="shared" si="79"/>
        <v>0</v>
      </c>
      <c r="AL28" s="26">
        <f t="shared" si="79"/>
        <v>0</v>
      </c>
      <c r="AM28" s="26">
        <f t="shared" si="79"/>
        <v>0</v>
      </c>
      <c r="AN28" s="26">
        <f t="shared" si="79"/>
        <v>0</v>
      </c>
      <c r="AO28" s="26">
        <f t="shared" si="79"/>
        <v>0</v>
      </c>
      <c r="AP28" s="26">
        <f t="shared" si="79"/>
        <v>0</v>
      </c>
      <c r="AQ28" s="26">
        <f t="shared" si="79"/>
        <v>0</v>
      </c>
      <c r="AR28" s="26">
        <f t="shared" si="79"/>
        <v>0</v>
      </c>
      <c r="AS28" s="26">
        <f t="shared" si="79"/>
        <v>0</v>
      </c>
      <c r="AT28" s="26">
        <f t="shared" si="79"/>
        <v>0</v>
      </c>
      <c r="AU28" s="26">
        <f t="shared" si="79"/>
        <v>0</v>
      </c>
      <c r="AV28" s="26">
        <f t="shared" si="79"/>
        <v>0</v>
      </c>
      <c r="AW28" s="26">
        <f t="shared" si="79"/>
        <v>0</v>
      </c>
      <c r="AX28" s="26">
        <f t="shared" si="79"/>
        <v>0</v>
      </c>
      <c r="AY28" s="26">
        <f t="shared" si="79"/>
        <v>0</v>
      </c>
      <c r="AZ28" s="26">
        <f t="shared" si="79"/>
        <v>0</v>
      </c>
      <c r="BA28" s="26">
        <f t="shared" si="79"/>
        <v>0</v>
      </c>
      <c r="BB28" s="26">
        <f t="shared" si="79"/>
        <v>0</v>
      </c>
      <c r="BC28" s="26">
        <f t="shared" si="79"/>
        <v>0</v>
      </c>
      <c r="BD28" s="26">
        <f t="shared" si="79"/>
        <v>0</v>
      </c>
      <c r="BE28" s="26">
        <f t="shared" si="79"/>
        <v>0</v>
      </c>
      <c r="BF28" s="26">
        <f t="shared" si="79"/>
        <v>0</v>
      </c>
      <c r="BG28" s="26">
        <f t="shared" si="79"/>
        <v>0</v>
      </c>
      <c r="BH28" s="26">
        <f t="shared" si="79"/>
        <v>0</v>
      </c>
      <c r="BI28" s="26">
        <f t="shared" si="79"/>
        <v>0</v>
      </c>
      <c r="BJ28" s="26">
        <f t="shared" si="79"/>
        <v>0</v>
      </c>
      <c r="BK28" s="26">
        <f t="shared" si="79"/>
        <v>0</v>
      </c>
      <c r="BL28" s="26">
        <f t="shared" si="79"/>
        <v>0</v>
      </c>
      <c r="BM28" s="26">
        <f t="shared" si="79"/>
        <v>0</v>
      </c>
      <c r="BN28" s="26">
        <f t="shared" si="79"/>
        <v>0</v>
      </c>
      <c r="BO28" s="26">
        <f t="shared" si="79"/>
        <v>0</v>
      </c>
      <c r="BP28" s="26">
        <f t="shared" si="79"/>
        <v>0</v>
      </c>
      <c r="BQ28" s="26">
        <f t="shared" si="79"/>
        <v>0</v>
      </c>
      <c r="BR28" s="26">
        <f t="shared" ref="BR28:BV28" si="80">BR27-BR26</f>
        <v>0</v>
      </c>
      <c r="BS28" s="26">
        <f t="shared" si="80"/>
        <v>0</v>
      </c>
      <c r="BT28" s="26">
        <f t="shared" si="80"/>
        <v>0</v>
      </c>
      <c r="BU28" s="26">
        <f t="shared" si="80"/>
        <v>0</v>
      </c>
      <c r="BV28" s="26">
        <f t="shared" si="80"/>
        <v>0</v>
      </c>
    </row>
    <row r="29" spans="1:74" s="26" customFormat="1" ht="16.2" customHeight="1" x14ac:dyDescent="0.25">
      <c r="A29" s="179" t="s">
        <v>632</v>
      </c>
      <c r="E29" s="180" t="e">
        <f>POWER(E28/U28,1/5)-1</f>
        <v>#DIV/0!</v>
      </c>
    </row>
    <row r="30" spans="1:74" s="30" customFormat="1" ht="15" customHeight="1" thickBot="1" x14ac:dyDescent="0.3">
      <c r="A30" s="135" t="s">
        <v>315</v>
      </c>
      <c r="B30" s="1">
        <v>43373</v>
      </c>
      <c r="C30" s="1">
        <v>43281</v>
      </c>
      <c r="D30" s="1">
        <v>43190</v>
      </c>
      <c r="E30" s="1">
        <v>43100</v>
      </c>
      <c r="F30" s="1">
        <v>43008</v>
      </c>
      <c r="G30" s="1">
        <v>42916</v>
      </c>
      <c r="H30" s="1">
        <v>42825</v>
      </c>
      <c r="I30" s="1">
        <v>42735</v>
      </c>
      <c r="J30" s="1">
        <v>42643</v>
      </c>
      <c r="K30" s="1">
        <v>42551</v>
      </c>
      <c r="L30" s="1">
        <v>42460</v>
      </c>
      <c r="M30" s="1">
        <v>42369</v>
      </c>
      <c r="N30" s="1">
        <v>42277</v>
      </c>
      <c r="O30" s="1">
        <v>42004</v>
      </c>
      <c r="P30" s="1">
        <v>41639</v>
      </c>
      <c r="Q30" s="1">
        <v>41274</v>
      </c>
      <c r="R30" s="1">
        <v>40908</v>
      </c>
      <c r="S30" s="1">
        <v>25569</v>
      </c>
      <c r="T30" s="1">
        <v>41729</v>
      </c>
      <c r="U30" s="1">
        <v>41639</v>
      </c>
      <c r="V30" s="1">
        <v>41547</v>
      </c>
      <c r="W30" s="1">
        <v>41455</v>
      </c>
      <c r="X30" s="1">
        <v>41364</v>
      </c>
      <c r="Y30" s="1">
        <v>41274</v>
      </c>
      <c r="Z30" s="1">
        <v>41182</v>
      </c>
      <c r="AA30" s="1">
        <v>41090</v>
      </c>
      <c r="AB30" s="1">
        <v>40999</v>
      </c>
      <c r="AC30" s="1">
        <v>40908</v>
      </c>
      <c r="AD30" s="1">
        <v>40816</v>
      </c>
      <c r="AE30" s="1">
        <v>40724</v>
      </c>
      <c r="AF30" s="1">
        <v>40633</v>
      </c>
      <c r="AG30" s="1">
        <v>40543</v>
      </c>
      <c r="AH30" s="1">
        <v>40451</v>
      </c>
      <c r="AI30" s="1">
        <v>40359</v>
      </c>
      <c r="AJ30" s="1">
        <v>40268</v>
      </c>
      <c r="AK30" s="1">
        <v>40178</v>
      </c>
      <c r="AL30" s="1">
        <v>40086</v>
      </c>
      <c r="AM30" s="1">
        <v>39994</v>
      </c>
      <c r="AN30" s="1">
        <v>39903</v>
      </c>
      <c r="AO30" s="1">
        <v>39813</v>
      </c>
      <c r="AP30" s="1">
        <v>39721</v>
      </c>
      <c r="AQ30" s="1">
        <v>39629</v>
      </c>
      <c r="AR30" s="1">
        <v>39538</v>
      </c>
      <c r="AS30" s="1">
        <v>39447</v>
      </c>
      <c r="AT30" s="1">
        <v>39355</v>
      </c>
      <c r="AU30" s="1">
        <v>39263</v>
      </c>
      <c r="AV30" s="1">
        <v>39172</v>
      </c>
      <c r="AW30" s="1">
        <v>39082</v>
      </c>
      <c r="AX30" s="1">
        <v>38990</v>
      </c>
      <c r="AY30" s="1">
        <v>38898</v>
      </c>
      <c r="AZ30" s="1">
        <v>38807</v>
      </c>
      <c r="BA30" s="1">
        <v>38717</v>
      </c>
      <c r="BB30" s="1">
        <v>38625</v>
      </c>
      <c r="BC30" s="1">
        <v>38533</v>
      </c>
      <c r="BD30" s="1">
        <v>38442</v>
      </c>
      <c r="BE30" s="1">
        <v>38352</v>
      </c>
      <c r="BF30" s="1">
        <v>38260</v>
      </c>
      <c r="BG30" s="1">
        <v>38168</v>
      </c>
      <c r="BH30" s="1">
        <v>38077</v>
      </c>
      <c r="BI30" s="1">
        <v>37986</v>
      </c>
      <c r="BJ30" s="1">
        <v>37894</v>
      </c>
      <c r="BK30" s="1">
        <v>37802</v>
      </c>
      <c r="BL30" s="1">
        <v>37711</v>
      </c>
      <c r="BM30" s="1">
        <v>37621</v>
      </c>
      <c r="BN30" s="1">
        <v>37437</v>
      </c>
      <c r="BO30" s="1">
        <v>37256</v>
      </c>
      <c r="BP30" s="1">
        <v>37072</v>
      </c>
      <c r="BQ30" s="1">
        <v>36891</v>
      </c>
      <c r="BR30" s="1">
        <v>36707</v>
      </c>
      <c r="BS30" s="1">
        <v>36525</v>
      </c>
      <c r="BT30" s="1">
        <v>36341</v>
      </c>
      <c r="BU30" s="1">
        <v>36160</v>
      </c>
      <c r="BV30" s="1">
        <v>25569</v>
      </c>
    </row>
    <row r="31" spans="1:74" s="51" customFormat="1" ht="17.399999999999999" customHeight="1" x14ac:dyDescent="0.25">
      <c r="A31" s="110" t="s">
        <v>310</v>
      </c>
      <c r="B31" s="188">
        <v>653970623.74000001</v>
      </c>
      <c r="C31" s="188">
        <v>639768840.00999999</v>
      </c>
      <c r="D31" s="188">
        <v>589045323.54999995</v>
      </c>
      <c r="E31" s="188">
        <v>577918906.80999994</v>
      </c>
      <c r="F31" s="188">
        <v>500623791.82999998</v>
      </c>
      <c r="G31" s="188">
        <v>494948720.62</v>
      </c>
      <c r="H31" s="188">
        <v>490549876.63999999</v>
      </c>
      <c r="I31" s="188">
        <v>480305874.88999999</v>
      </c>
      <c r="J31" s="188">
        <v>473229314.58999997</v>
      </c>
      <c r="K31" s="188">
        <v>473387259.20999998</v>
      </c>
      <c r="L31" s="188">
        <v>466157016.81</v>
      </c>
      <c r="M31" s="188">
        <v>445794850.39999998</v>
      </c>
      <c r="N31" s="188">
        <v>437471791.35000002</v>
      </c>
      <c r="O31" s="188">
        <v>183908202.41</v>
      </c>
      <c r="P31" s="188">
        <v>132002042.64</v>
      </c>
      <c r="Q31" s="188">
        <v>0</v>
      </c>
      <c r="R31" s="188"/>
      <c r="S31" s="188"/>
      <c r="T31" s="188">
        <v>7742554203.8199997</v>
      </c>
      <c r="U31" s="188">
        <v>7187282033.3299999</v>
      </c>
      <c r="V31" s="188">
        <v>7207990845.79</v>
      </c>
      <c r="W31" s="188">
        <v>7307142600.1300001</v>
      </c>
      <c r="X31" s="188">
        <v>7311131963.0699997</v>
      </c>
      <c r="Y31" s="188">
        <v>7325302679.7399998</v>
      </c>
      <c r="Z31" s="188">
        <v>7098528857.4200001</v>
      </c>
      <c r="AA31" s="188">
        <v>7180445172.2200003</v>
      </c>
      <c r="AB31" s="188">
        <v>7179072058.4300003</v>
      </c>
      <c r="AC31" s="188">
        <v>7192699496.6800003</v>
      </c>
      <c r="AD31" s="188">
        <v>7216001271.4099998</v>
      </c>
      <c r="AE31" s="188">
        <v>7204199191.9499998</v>
      </c>
      <c r="AF31" s="188">
        <v>7222083247.6000004</v>
      </c>
      <c r="AG31" s="188">
        <v>7303785667.5900002</v>
      </c>
      <c r="AH31" s="188">
        <v>7392080405.5600004</v>
      </c>
      <c r="AI31" s="188">
        <v>7431174519.1300001</v>
      </c>
      <c r="AJ31" s="188">
        <v>7517447492.9799995</v>
      </c>
      <c r="AK31" s="188">
        <v>7566173849.9700003</v>
      </c>
      <c r="AL31" s="188">
        <v>7607103266.1599998</v>
      </c>
      <c r="AM31" s="188">
        <v>7706877443.3000002</v>
      </c>
      <c r="AN31" s="188">
        <v>4750016360.8599997</v>
      </c>
      <c r="AO31" s="188">
        <v>4754868668.1300001</v>
      </c>
      <c r="AP31" s="188">
        <v>4841679198.5100002</v>
      </c>
      <c r="AQ31" s="188">
        <v>4945499008.7600002</v>
      </c>
      <c r="AR31" s="188">
        <v>4983590367.6400003</v>
      </c>
      <c r="AS31" s="188">
        <v>5087759145.3900003</v>
      </c>
      <c r="AT31" s="188">
        <v>5119825755.0799999</v>
      </c>
      <c r="AU31" s="188">
        <v>5166324238.8199997</v>
      </c>
      <c r="AV31" s="188">
        <v>5229742144.5900002</v>
      </c>
      <c r="AW31" s="188">
        <v>5303368604.3599997</v>
      </c>
      <c r="AX31" s="188">
        <v>5412891640.3100004</v>
      </c>
      <c r="AY31" s="188">
        <v>5477269087.8599997</v>
      </c>
      <c r="AZ31" s="188">
        <v>5394582476.9899998</v>
      </c>
      <c r="BA31" s="188">
        <v>5501322858.9799995</v>
      </c>
      <c r="BB31" s="188">
        <v>5577867470.3299999</v>
      </c>
      <c r="BC31" s="188">
        <v>5696283898.6499996</v>
      </c>
      <c r="BD31" s="188">
        <v>5779603253.5100002</v>
      </c>
      <c r="BE31" s="188">
        <v>5840992847.29</v>
      </c>
      <c r="BF31" s="188">
        <v>5434316703.3800001</v>
      </c>
      <c r="BG31" s="188">
        <v>5519652065.3800001</v>
      </c>
      <c r="BH31" s="188">
        <v>5587811046.9799995</v>
      </c>
      <c r="BI31" s="188">
        <v>5587556850.7200003</v>
      </c>
      <c r="BJ31" s="188">
        <v>5175235607.8500004</v>
      </c>
      <c r="BK31" s="188">
        <v>4543535291.6599998</v>
      </c>
      <c r="BL31" s="188">
        <v>4478639735.0500002</v>
      </c>
      <c r="BM31" s="188">
        <v>4520776529.7700005</v>
      </c>
      <c r="BN31" s="188">
        <v>3620875395.5999999</v>
      </c>
      <c r="BO31" s="188">
        <v>3684993020.0500002</v>
      </c>
      <c r="BP31" s="188">
        <v>3523637936.8200002</v>
      </c>
      <c r="BQ31" s="188">
        <v>3558533656.5999999</v>
      </c>
      <c r="BR31" s="188">
        <v>0</v>
      </c>
      <c r="BS31" s="188">
        <v>3540915525.1199999</v>
      </c>
      <c r="BT31" s="188">
        <v>1786934979.5599999</v>
      </c>
      <c r="BU31" s="188">
        <v>1665815375.1099999</v>
      </c>
      <c r="BV31" s="188">
        <v>1686369507.6900001</v>
      </c>
    </row>
    <row r="32" spans="1:74" s="54" customFormat="1" ht="15" customHeight="1" x14ac:dyDescent="0.25">
      <c r="A32" s="136" t="s">
        <v>311</v>
      </c>
      <c r="B32" s="188">
        <v>80234108.319999993</v>
      </c>
      <c r="C32" s="188">
        <v>80234108.319999993</v>
      </c>
      <c r="D32" s="188">
        <v>62947457.899999999</v>
      </c>
      <c r="E32" s="188">
        <v>62947457.899999999</v>
      </c>
      <c r="F32" s="188">
        <v>62947457.899999999</v>
      </c>
      <c r="G32" s="188">
        <v>62947457.899999999</v>
      </c>
      <c r="H32" s="188">
        <v>62947457.899999999</v>
      </c>
      <c r="I32" s="188">
        <v>62947457.899999999</v>
      </c>
      <c r="J32" s="188">
        <v>62947457.899999999</v>
      </c>
      <c r="K32" s="188">
        <v>62947457.899999999</v>
      </c>
      <c r="L32" s="188">
        <v>62947457.899999999</v>
      </c>
      <c r="M32" s="188">
        <v>62082734.619999997</v>
      </c>
      <c r="N32" s="188">
        <v>62082734.619999997</v>
      </c>
      <c r="O32" s="188">
        <v>62082734.619999997</v>
      </c>
      <c r="P32" s="188">
        <v>36083966.270000003</v>
      </c>
      <c r="Q32" s="188">
        <v>0</v>
      </c>
      <c r="R32" s="188"/>
      <c r="S32" s="188"/>
      <c r="T32" s="188">
        <v>1621619.53</v>
      </c>
      <c r="U32" s="188">
        <v>1621619.53</v>
      </c>
      <c r="V32" s="188">
        <v>1621619.53</v>
      </c>
      <c r="W32" s="188">
        <v>1621619.53</v>
      </c>
      <c r="X32" s="188">
        <v>1621619.53</v>
      </c>
      <c r="Y32" s="188">
        <v>1621619.53</v>
      </c>
      <c r="Z32" s="188">
        <v>1621619.53</v>
      </c>
      <c r="AA32" s="188">
        <v>1621619.53</v>
      </c>
      <c r="AB32" s="188">
        <v>1621619.53</v>
      </c>
      <c r="AC32" s="188">
        <v>1621619.53</v>
      </c>
      <c r="AD32" s="188">
        <v>1621619.53</v>
      </c>
      <c r="AE32" s="188">
        <v>1621619.53</v>
      </c>
      <c r="AF32" s="188">
        <v>1621619.53</v>
      </c>
      <c r="AG32" s="188">
        <v>1621619.53</v>
      </c>
      <c r="AH32" s="188">
        <v>1621619.53</v>
      </c>
      <c r="AI32" s="188">
        <v>1621619.53</v>
      </c>
      <c r="AJ32" s="188">
        <v>1621619.53</v>
      </c>
      <c r="AK32" s="188">
        <v>1621619.53</v>
      </c>
      <c r="AL32" s="188">
        <v>0</v>
      </c>
      <c r="AM32" s="188">
        <v>0</v>
      </c>
      <c r="AN32" s="188">
        <v>0</v>
      </c>
      <c r="AO32" s="188">
        <v>0</v>
      </c>
      <c r="AP32" s="188">
        <v>0</v>
      </c>
      <c r="AQ32" s="188">
        <v>0</v>
      </c>
      <c r="AR32" s="188">
        <v>0</v>
      </c>
      <c r="AS32" s="188">
        <v>0</v>
      </c>
      <c r="AT32" s="188">
        <v>0</v>
      </c>
      <c r="AU32" s="188">
        <v>0</v>
      </c>
      <c r="AV32" s="188">
        <v>0</v>
      </c>
      <c r="AW32" s="188">
        <v>0</v>
      </c>
      <c r="AX32" s="188">
        <v>0</v>
      </c>
      <c r="AY32" s="188">
        <v>0</v>
      </c>
      <c r="AZ32" s="188">
        <v>0</v>
      </c>
      <c r="BA32" s="188">
        <v>0</v>
      </c>
      <c r="BB32" s="188">
        <v>0</v>
      </c>
      <c r="BC32" s="188">
        <v>0</v>
      </c>
      <c r="BD32" s="188">
        <v>0</v>
      </c>
      <c r="BE32" s="188">
        <v>0</v>
      </c>
      <c r="BF32" s="188">
        <v>0</v>
      </c>
      <c r="BG32" s="188">
        <v>0</v>
      </c>
      <c r="BH32" s="188">
        <v>0</v>
      </c>
      <c r="BI32" s="188">
        <v>0</v>
      </c>
      <c r="BJ32" s="188">
        <v>0</v>
      </c>
      <c r="BK32" s="188">
        <v>0</v>
      </c>
      <c r="BL32" s="188">
        <v>0</v>
      </c>
      <c r="BM32" s="188">
        <v>0</v>
      </c>
      <c r="BN32" s="188">
        <v>0</v>
      </c>
      <c r="BO32" s="188">
        <v>0</v>
      </c>
      <c r="BP32" s="188">
        <v>0</v>
      </c>
      <c r="BQ32" s="188">
        <v>0</v>
      </c>
      <c r="BR32" s="188">
        <v>0</v>
      </c>
      <c r="BS32" s="188">
        <v>0</v>
      </c>
      <c r="BT32" s="188">
        <v>0</v>
      </c>
      <c r="BU32" s="188">
        <v>0</v>
      </c>
      <c r="BV32" s="188">
        <v>0</v>
      </c>
    </row>
    <row r="33" spans="1:74" s="54" customFormat="1" ht="19.2" customHeight="1" x14ac:dyDescent="0.25">
      <c r="A33" s="136" t="s">
        <v>312</v>
      </c>
      <c r="B33" s="188">
        <v>1000000</v>
      </c>
      <c r="C33" s="188">
        <v>1000000</v>
      </c>
      <c r="D33" s="188">
        <v>1000000</v>
      </c>
      <c r="E33" s="188">
        <v>1000000</v>
      </c>
      <c r="F33" s="188">
        <v>1000000</v>
      </c>
      <c r="G33" s="188">
        <v>1000000</v>
      </c>
      <c r="H33" s="188">
        <v>1000000</v>
      </c>
      <c r="I33" s="188">
        <v>1000000</v>
      </c>
      <c r="J33" s="188">
        <v>1000000</v>
      </c>
      <c r="K33" s="188">
        <v>1000000</v>
      </c>
      <c r="L33" s="188">
        <v>1000000</v>
      </c>
      <c r="M33" s="188">
        <v>1000000</v>
      </c>
      <c r="N33" s="188">
        <v>1000000</v>
      </c>
      <c r="O33" s="188">
        <v>0</v>
      </c>
      <c r="P33" s="188">
        <v>0</v>
      </c>
      <c r="Q33" s="188">
        <v>0</v>
      </c>
      <c r="R33" s="188"/>
      <c r="S33" s="188"/>
      <c r="T33" s="188">
        <v>0</v>
      </c>
      <c r="U33" s="188">
        <v>0</v>
      </c>
      <c r="V33" s="188">
        <v>0</v>
      </c>
      <c r="W33" s="188">
        <v>0</v>
      </c>
      <c r="X33" s="188">
        <v>0</v>
      </c>
      <c r="Y33" s="188">
        <v>0</v>
      </c>
      <c r="Z33" s="188">
        <v>0</v>
      </c>
      <c r="AA33" s="188">
        <v>0</v>
      </c>
      <c r="AB33" s="188">
        <v>0</v>
      </c>
      <c r="AC33" s="188">
        <v>0</v>
      </c>
      <c r="AD33" s="188">
        <v>0</v>
      </c>
      <c r="AE33" s="188">
        <v>0</v>
      </c>
      <c r="AF33" s="188">
        <v>0</v>
      </c>
      <c r="AG33" s="188">
        <v>0</v>
      </c>
      <c r="AH33" s="188">
        <v>0</v>
      </c>
      <c r="AI33" s="188">
        <v>0</v>
      </c>
      <c r="AJ33" s="188">
        <v>0</v>
      </c>
      <c r="AK33" s="188">
        <v>0</v>
      </c>
      <c r="AL33" s="188">
        <v>0</v>
      </c>
      <c r="AM33" s="188">
        <v>0</v>
      </c>
      <c r="AN33" s="188">
        <v>0</v>
      </c>
      <c r="AO33" s="188">
        <v>0</v>
      </c>
      <c r="AP33" s="188">
        <v>0</v>
      </c>
      <c r="AQ33" s="188">
        <v>0</v>
      </c>
      <c r="AR33" s="188">
        <v>0</v>
      </c>
      <c r="AS33" s="188">
        <v>0</v>
      </c>
      <c r="AT33" s="188">
        <v>0</v>
      </c>
      <c r="AU33" s="188">
        <v>0</v>
      </c>
      <c r="AV33" s="188">
        <v>0</v>
      </c>
      <c r="AW33" s="188">
        <v>0</v>
      </c>
      <c r="AX33" s="188">
        <v>0</v>
      </c>
      <c r="AY33" s="188">
        <v>0</v>
      </c>
      <c r="AZ33" s="188">
        <v>0</v>
      </c>
      <c r="BA33" s="188">
        <v>0</v>
      </c>
      <c r="BB33" s="188">
        <v>0</v>
      </c>
      <c r="BC33" s="188">
        <v>0</v>
      </c>
      <c r="BD33" s="188">
        <v>0</v>
      </c>
      <c r="BE33" s="188">
        <v>0</v>
      </c>
      <c r="BF33" s="188">
        <v>0</v>
      </c>
      <c r="BG33" s="188">
        <v>0</v>
      </c>
      <c r="BH33" s="188">
        <v>0</v>
      </c>
      <c r="BI33" s="188">
        <v>0</v>
      </c>
      <c r="BJ33" s="188">
        <v>0</v>
      </c>
      <c r="BK33" s="188">
        <v>0</v>
      </c>
      <c r="BL33" s="188">
        <v>0</v>
      </c>
      <c r="BM33" s="188">
        <v>0</v>
      </c>
      <c r="BN33" s="188">
        <v>0</v>
      </c>
      <c r="BO33" s="188">
        <v>0</v>
      </c>
      <c r="BP33" s="188">
        <v>0</v>
      </c>
      <c r="BQ33" s="188">
        <v>0</v>
      </c>
      <c r="BR33" s="188">
        <v>0</v>
      </c>
      <c r="BS33" s="188">
        <v>0</v>
      </c>
      <c r="BT33" s="188">
        <v>0</v>
      </c>
      <c r="BU33" s="188">
        <v>0</v>
      </c>
      <c r="BV33" s="188">
        <v>0</v>
      </c>
    </row>
    <row r="34" spans="1:74" s="44" customFormat="1" ht="15" thickBot="1" x14ac:dyDescent="0.3">
      <c r="A34" s="137" t="s">
        <v>315</v>
      </c>
      <c r="B34" s="49"/>
      <c r="C34" s="49"/>
      <c r="D34" s="49"/>
      <c r="E34" s="49">
        <f>E31-E32-E33</f>
        <v>513971448.90999997</v>
      </c>
      <c r="F34" s="49">
        <f t="shared" ref="F34:BP34" si="81">F31-F32-F33</f>
        <v>436676333.93000001</v>
      </c>
      <c r="G34" s="49">
        <f t="shared" si="81"/>
        <v>431001262.72000003</v>
      </c>
      <c r="H34" s="49">
        <f t="shared" si="81"/>
        <v>426602418.74000001</v>
      </c>
      <c r="I34" s="49">
        <f t="shared" si="81"/>
        <v>416358416.99000001</v>
      </c>
      <c r="J34" s="49">
        <f t="shared" si="81"/>
        <v>409281856.69</v>
      </c>
      <c r="K34" s="49">
        <f t="shared" si="81"/>
        <v>409439801.31</v>
      </c>
      <c r="L34" s="49">
        <f t="shared" si="81"/>
        <v>402209558.91000003</v>
      </c>
      <c r="M34" s="49">
        <f t="shared" si="81"/>
        <v>382712115.77999997</v>
      </c>
      <c r="N34" s="49">
        <f t="shared" si="81"/>
        <v>374389056.73000002</v>
      </c>
      <c r="O34" s="49">
        <f t="shared" si="81"/>
        <v>121825467.78999999</v>
      </c>
      <c r="P34" s="49">
        <f t="shared" si="81"/>
        <v>95918076.370000005</v>
      </c>
      <c r="Q34" s="49">
        <f t="shared" si="81"/>
        <v>0</v>
      </c>
      <c r="R34" s="49">
        <f t="shared" si="81"/>
        <v>0</v>
      </c>
      <c r="S34" s="49">
        <f t="shared" si="81"/>
        <v>0</v>
      </c>
      <c r="T34" s="49">
        <f t="shared" si="81"/>
        <v>7740932584.29</v>
      </c>
      <c r="U34" s="49">
        <f t="shared" si="81"/>
        <v>7185660413.8000002</v>
      </c>
      <c r="V34" s="49">
        <f t="shared" si="81"/>
        <v>7206369226.2600002</v>
      </c>
      <c r="W34" s="49">
        <f t="shared" si="81"/>
        <v>7305520980.6000004</v>
      </c>
      <c r="X34" s="49">
        <f t="shared" si="81"/>
        <v>7309510343.54</v>
      </c>
      <c r="Y34" s="49">
        <f t="shared" si="81"/>
        <v>7323681060.21</v>
      </c>
      <c r="Z34" s="49">
        <f t="shared" si="81"/>
        <v>7096907237.8900003</v>
      </c>
      <c r="AA34" s="49">
        <f t="shared" si="81"/>
        <v>7178823552.6900005</v>
      </c>
      <c r="AB34" s="49">
        <f t="shared" si="81"/>
        <v>7177450438.9000006</v>
      </c>
      <c r="AC34" s="49">
        <f t="shared" si="81"/>
        <v>7191077877.1500006</v>
      </c>
      <c r="AD34" s="49">
        <f t="shared" si="81"/>
        <v>7214379651.8800001</v>
      </c>
      <c r="AE34" s="49">
        <f t="shared" si="81"/>
        <v>7202577572.4200001</v>
      </c>
      <c r="AF34" s="49">
        <f t="shared" si="81"/>
        <v>7220461628.0700006</v>
      </c>
      <c r="AG34" s="49">
        <f t="shared" si="81"/>
        <v>7302164048.0600004</v>
      </c>
      <c r="AH34" s="49">
        <f t="shared" si="81"/>
        <v>7390458786.0300007</v>
      </c>
      <c r="AI34" s="49">
        <f t="shared" si="81"/>
        <v>7429552899.6000004</v>
      </c>
      <c r="AJ34" s="49">
        <f t="shared" si="81"/>
        <v>7515825873.4499998</v>
      </c>
      <c r="AK34" s="49">
        <f t="shared" si="81"/>
        <v>7564552230.4400005</v>
      </c>
      <c r="AL34" s="49">
        <f t="shared" si="81"/>
        <v>7607103266.1599998</v>
      </c>
      <c r="AM34" s="49">
        <f t="shared" si="81"/>
        <v>7706877443.3000002</v>
      </c>
      <c r="AN34" s="49">
        <f t="shared" si="81"/>
        <v>4750016360.8599997</v>
      </c>
      <c r="AO34" s="49">
        <f t="shared" si="81"/>
        <v>4754868668.1300001</v>
      </c>
      <c r="AP34" s="49">
        <f t="shared" si="81"/>
        <v>4841679198.5100002</v>
      </c>
      <c r="AQ34" s="49">
        <f t="shared" si="81"/>
        <v>4945499008.7600002</v>
      </c>
      <c r="AR34" s="49">
        <f t="shared" si="81"/>
        <v>4983590367.6400003</v>
      </c>
      <c r="AS34" s="49">
        <f t="shared" si="81"/>
        <v>5087759145.3900003</v>
      </c>
      <c r="AT34" s="49">
        <f t="shared" si="81"/>
        <v>5119825755.0799999</v>
      </c>
      <c r="AU34" s="49">
        <f t="shared" si="81"/>
        <v>5166324238.8199997</v>
      </c>
      <c r="AV34" s="49">
        <f t="shared" si="81"/>
        <v>5229742144.5900002</v>
      </c>
      <c r="AW34" s="49">
        <f t="shared" si="81"/>
        <v>5303368604.3599997</v>
      </c>
      <c r="AX34" s="49">
        <f t="shared" si="81"/>
        <v>5412891640.3100004</v>
      </c>
      <c r="AY34" s="49">
        <f t="shared" si="81"/>
        <v>5477269087.8599997</v>
      </c>
      <c r="AZ34" s="49">
        <f t="shared" si="81"/>
        <v>5394582476.9899998</v>
      </c>
      <c r="BA34" s="49">
        <f t="shared" si="81"/>
        <v>5501322858.9799995</v>
      </c>
      <c r="BB34" s="49">
        <f t="shared" si="81"/>
        <v>5577867470.3299999</v>
      </c>
      <c r="BC34" s="49">
        <f t="shared" si="81"/>
        <v>5696283898.6499996</v>
      </c>
      <c r="BD34" s="49">
        <f t="shared" si="81"/>
        <v>5779603253.5100002</v>
      </c>
      <c r="BE34" s="49">
        <f t="shared" si="81"/>
        <v>5840992847.29</v>
      </c>
      <c r="BF34" s="49">
        <f t="shared" si="81"/>
        <v>5434316703.3800001</v>
      </c>
      <c r="BG34" s="49">
        <f t="shared" si="81"/>
        <v>5519652065.3800001</v>
      </c>
      <c r="BH34" s="49">
        <f t="shared" si="81"/>
        <v>5587811046.9799995</v>
      </c>
      <c r="BI34" s="49">
        <f t="shared" si="81"/>
        <v>5587556850.7200003</v>
      </c>
      <c r="BJ34" s="49">
        <f t="shared" si="81"/>
        <v>5175235607.8500004</v>
      </c>
      <c r="BK34" s="49">
        <f t="shared" si="81"/>
        <v>4543535291.6599998</v>
      </c>
      <c r="BL34" s="49">
        <f t="shared" si="81"/>
        <v>4478639735.0500002</v>
      </c>
      <c r="BM34" s="49">
        <f t="shared" si="81"/>
        <v>4520776529.7700005</v>
      </c>
      <c r="BN34" s="49">
        <f t="shared" si="81"/>
        <v>3620875395.5999999</v>
      </c>
      <c r="BO34" s="49">
        <f t="shared" si="81"/>
        <v>3684993020.0500002</v>
      </c>
      <c r="BP34" s="49">
        <f t="shared" si="81"/>
        <v>3523637936.8200002</v>
      </c>
      <c r="BQ34" s="49">
        <f>AP31-AP32-AP33</f>
        <v>4841679198.5100002</v>
      </c>
      <c r="BR34" s="49">
        <f>AQ31-AQ32-AQ33</f>
        <v>4945499008.7600002</v>
      </c>
      <c r="BS34" s="49">
        <f>AR31-AR32-AR33</f>
        <v>4983590367.6400003</v>
      </c>
      <c r="BT34" s="49"/>
      <c r="BU34" s="50"/>
    </row>
    <row r="35" spans="1:74" s="105" customFormat="1" ht="15" thickBot="1" x14ac:dyDescent="0.3">
      <c r="A35" s="138" t="s">
        <v>317</v>
      </c>
      <c r="B35" s="33">
        <f>SUM(B22:B31)</f>
        <v>600516893.01999998</v>
      </c>
      <c r="C35" s="33">
        <f>SUM(C22:C31)</f>
        <v>587515017.28999996</v>
      </c>
      <c r="D35" s="33">
        <f>SUM(D22:D31)</f>
        <v>588521409.82999992</v>
      </c>
      <c r="E35" s="33">
        <f>资产资本表!E17</f>
        <v>359724222.34000003</v>
      </c>
      <c r="F35" s="33">
        <f>资产资本表!F17</f>
        <v>272744670.59000003</v>
      </c>
      <c r="G35" s="33">
        <f>资产资本表!G17</f>
        <v>360990104.43000001</v>
      </c>
      <c r="H35" s="33">
        <f>资产资本表!H17</f>
        <v>543018430.06000006</v>
      </c>
      <c r="I35" s="33">
        <f>资产资本表!I17</f>
        <v>442073371.21000004</v>
      </c>
      <c r="J35" s="33">
        <f>资产资本表!J17</f>
        <v>173441088.34999999</v>
      </c>
      <c r="K35" s="33">
        <f>资产资本表!K17</f>
        <v>125763270.44</v>
      </c>
      <c r="L35" s="33">
        <f>资产资本表!L17</f>
        <v>203669416.86000001</v>
      </c>
      <c r="M35" s="33">
        <f>资产资本表!M17</f>
        <v>121360190</v>
      </c>
      <c r="N35" s="33">
        <f>资产资本表!N17</f>
        <v>121048251.62</v>
      </c>
      <c r="O35" s="33">
        <f>资产资本表!O17</f>
        <v>131378573.28</v>
      </c>
      <c r="P35" s="33">
        <f>资产资本表!P17</f>
        <v>106634430.42</v>
      </c>
      <c r="Q35" s="33">
        <f>资产资本表!Q17</f>
        <v>0</v>
      </c>
      <c r="R35" s="33">
        <f>资产资本表!R17</f>
        <v>0</v>
      </c>
      <c r="S35" s="33">
        <f>资产资本表!S17</f>
        <v>0</v>
      </c>
      <c r="T35" s="33">
        <f>资产资本表!T17</f>
        <v>0</v>
      </c>
      <c r="U35" s="33">
        <f>资产资本表!U17</f>
        <v>0</v>
      </c>
      <c r="V35" s="33">
        <f>资产资本表!V17</f>
        <v>0</v>
      </c>
      <c r="W35" s="33">
        <f>资产资本表!W17</f>
        <v>0</v>
      </c>
      <c r="X35" s="33">
        <f>资产资本表!X17</f>
        <v>0</v>
      </c>
      <c r="Y35" s="33">
        <f>资产资本表!Y17</f>
        <v>0</v>
      </c>
      <c r="Z35" s="33">
        <f>资产资本表!Z17</f>
        <v>0</v>
      </c>
      <c r="AA35" s="33">
        <f>资产资本表!AA17</f>
        <v>0</v>
      </c>
      <c r="AB35" s="33">
        <f>资产资本表!AB17</f>
        <v>0</v>
      </c>
      <c r="AC35" s="33">
        <f>资产资本表!AC17</f>
        <v>0</v>
      </c>
      <c r="AD35" s="33">
        <f>资产资本表!AD17</f>
        <v>0</v>
      </c>
      <c r="AE35" s="33">
        <f>资产资本表!AE17</f>
        <v>0</v>
      </c>
      <c r="AF35" s="33">
        <f>资产资本表!AF17</f>
        <v>0</v>
      </c>
      <c r="AG35" s="33">
        <f>资产资本表!AG17</f>
        <v>0</v>
      </c>
      <c r="AH35" s="33">
        <f>资产资本表!AH17</f>
        <v>0</v>
      </c>
      <c r="AI35" s="33">
        <f>资产资本表!AI17</f>
        <v>0</v>
      </c>
      <c r="AJ35" s="33">
        <f>资产资本表!AJ17</f>
        <v>0</v>
      </c>
      <c r="AK35" s="33">
        <f>资产资本表!AK17</f>
        <v>0</v>
      </c>
      <c r="AL35" s="33">
        <f>资产资本表!AL17</f>
        <v>0</v>
      </c>
      <c r="AM35" s="33">
        <f>资产资本表!AM17</f>
        <v>0</v>
      </c>
      <c r="AN35" s="33">
        <f>资产资本表!AN17</f>
        <v>0</v>
      </c>
      <c r="AO35" s="33">
        <f>资产资本表!AO17</f>
        <v>0</v>
      </c>
      <c r="AP35" s="33">
        <f>资产资本表!AP17</f>
        <v>0</v>
      </c>
      <c r="AQ35" s="33">
        <f>资产资本表!AQ17</f>
        <v>0</v>
      </c>
      <c r="AR35" s="33">
        <f>资产资本表!AR17</f>
        <v>0</v>
      </c>
      <c r="AS35" s="33">
        <f>资产资本表!AS17</f>
        <v>0</v>
      </c>
      <c r="AT35" s="33">
        <f>资产资本表!AT17</f>
        <v>0</v>
      </c>
      <c r="AU35" s="33">
        <f>资产资本表!AU17</f>
        <v>0</v>
      </c>
      <c r="AV35" s="33">
        <f>资产资本表!AV17</f>
        <v>0</v>
      </c>
      <c r="AW35" s="33">
        <f>资产资本表!AW17</f>
        <v>0</v>
      </c>
      <c r="AX35" s="33">
        <f>资产资本表!AX17</f>
        <v>0</v>
      </c>
      <c r="AY35" s="33">
        <f>资产资本表!AY17</f>
        <v>0</v>
      </c>
      <c r="AZ35" s="33">
        <f>资产资本表!AZ17</f>
        <v>0</v>
      </c>
      <c r="BA35" s="33">
        <f>资产资本表!BA17</f>
        <v>0</v>
      </c>
      <c r="BB35" s="33">
        <f>资产资本表!BB17</f>
        <v>0</v>
      </c>
      <c r="BC35" s="33">
        <f>资产资本表!BC17</f>
        <v>0</v>
      </c>
      <c r="BD35" s="33">
        <f>资产资本表!BD17</f>
        <v>0</v>
      </c>
      <c r="BE35" s="33">
        <f>资产资本表!BE17</f>
        <v>0</v>
      </c>
      <c r="BF35" s="33">
        <f>资产资本表!BF17</f>
        <v>0</v>
      </c>
      <c r="BG35" s="33">
        <f>资产资本表!BG17</f>
        <v>0</v>
      </c>
      <c r="BH35" s="33">
        <f>资产资本表!BH17</f>
        <v>0</v>
      </c>
      <c r="BI35" s="33">
        <f>资产资本表!BI17</f>
        <v>0</v>
      </c>
      <c r="BJ35" s="33">
        <f>资产资本表!BJ17</f>
        <v>0</v>
      </c>
      <c r="BK35" s="33">
        <f>资产资本表!BK17</f>
        <v>0</v>
      </c>
      <c r="BL35" s="33">
        <f>资产资本表!BL17</f>
        <v>0</v>
      </c>
      <c r="BM35" s="33">
        <f>资产资本表!BM17</f>
        <v>0</v>
      </c>
      <c r="BN35" s="33">
        <f>资产资本表!BN17</f>
        <v>0</v>
      </c>
      <c r="BO35" s="33">
        <f>资产资本表!BO17</f>
        <v>0</v>
      </c>
      <c r="BP35" s="33">
        <f>资产资本表!BP17</f>
        <v>0</v>
      </c>
      <c r="BQ35" s="33">
        <f>资产资本表!BQ17</f>
        <v>0</v>
      </c>
      <c r="BR35" s="33">
        <f>资产资本表!BR17</f>
        <v>0</v>
      </c>
      <c r="BS35" s="33">
        <f>资产资本表!BS17</f>
        <v>0</v>
      </c>
      <c r="BT35" s="33">
        <f>资产资本表!BT17</f>
        <v>0</v>
      </c>
      <c r="BU35" s="33">
        <f>资产资本表!BU17</f>
        <v>0</v>
      </c>
      <c r="BV35" s="33">
        <f>资产资本表!BV17</f>
        <v>0</v>
      </c>
    </row>
    <row r="36" spans="1:74" s="26" customFormat="1" x14ac:dyDescent="0.25">
      <c r="A36" s="17"/>
    </row>
    <row r="37" spans="1:74" s="26" customFormat="1" x14ac:dyDescent="0.25">
      <c r="A37" s="17"/>
    </row>
    <row r="38" spans="1:74" s="18" customFormat="1" x14ac:dyDescent="0.25">
      <c r="A38" s="18" t="s">
        <v>318</v>
      </c>
      <c r="B38" s="1">
        <v>43373</v>
      </c>
      <c r="C38" s="1">
        <v>43281</v>
      </c>
      <c r="D38" s="1">
        <v>43190</v>
      </c>
      <c r="E38" s="1">
        <v>43100</v>
      </c>
      <c r="F38" s="1">
        <v>43008</v>
      </c>
      <c r="G38" s="1">
        <v>42916</v>
      </c>
      <c r="H38" s="1">
        <v>42825</v>
      </c>
      <c r="I38" s="1">
        <v>42735</v>
      </c>
      <c r="J38" s="1">
        <v>42643</v>
      </c>
      <c r="K38" s="1">
        <v>42551</v>
      </c>
      <c r="L38" s="1">
        <v>42460</v>
      </c>
      <c r="M38" s="1">
        <v>42369</v>
      </c>
      <c r="N38" s="1">
        <v>42277</v>
      </c>
      <c r="O38" s="1">
        <v>42004</v>
      </c>
      <c r="P38" s="1">
        <v>41639</v>
      </c>
      <c r="Q38" s="1">
        <v>41274</v>
      </c>
      <c r="R38" s="1">
        <v>40908</v>
      </c>
      <c r="S38" s="1">
        <v>25569</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37437</v>
      </c>
      <c r="BO38" s="1">
        <v>37256</v>
      </c>
      <c r="BP38" s="1">
        <v>37072</v>
      </c>
      <c r="BQ38" s="1">
        <v>36891</v>
      </c>
      <c r="BR38" s="1">
        <v>36707</v>
      </c>
      <c r="BS38" s="1">
        <v>36525</v>
      </c>
      <c r="BT38" s="1">
        <v>36341</v>
      </c>
      <c r="BU38" s="1">
        <v>36160</v>
      </c>
      <c r="BV38" s="1">
        <v>25569</v>
      </c>
    </row>
    <row r="39" spans="1:74" s="48" customFormat="1" x14ac:dyDescent="0.25">
      <c r="A39" s="46" t="s">
        <v>319</v>
      </c>
    </row>
    <row r="40" spans="1:74" s="191" customFormat="1" x14ac:dyDescent="0.25">
      <c r="A40" s="191" t="s">
        <v>742</v>
      </c>
      <c r="B40" s="188">
        <v>0</v>
      </c>
      <c r="C40" s="188">
        <v>0</v>
      </c>
      <c r="D40" s="188">
        <v>0</v>
      </c>
      <c r="E40" s="188">
        <v>0</v>
      </c>
      <c r="F40" s="188">
        <v>0</v>
      </c>
      <c r="G40" s="188">
        <v>0</v>
      </c>
      <c r="H40" s="188">
        <v>0</v>
      </c>
      <c r="I40" s="188">
        <v>519200000</v>
      </c>
      <c r="J40" s="188">
        <v>0</v>
      </c>
      <c r="K40" s="188">
        <v>0</v>
      </c>
      <c r="L40" s="188">
        <v>0</v>
      </c>
      <c r="M40" s="188">
        <v>1250000</v>
      </c>
      <c r="N40" s="188">
        <v>0</v>
      </c>
      <c r="O40" s="188">
        <v>0</v>
      </c>
      <c r="P40" s="188">
        <v>2172280</v>
      </c>
      <c r="Q40" s="188">
        <v>3000000</v>
      </c>
      <c r="R40" s="188">
        <v>17450000</v>
      </c>
      <c r="S40" s="188">
        <v>0</v>
      </c>
      <c r="T40" s="191">
        <v>0</v>
      </c>
      <c r="U40" s="191">
        <v>172467935.24000001</v>
      </c>
      <c r="V40" s="191">
        <v>73500000</v>
      </c>
      <c r="W40" s="191">
        <v>0</v>
      </c>
      <c r="X40" s="191">
        <v>0</v>
      </c>
      <c r="Y40" s="191">
        <v>0</v>
      </c>
      <c r="Z40" s="191">
        <v>0</v>
      </c>
      <c r="AA40" s="191">
        <v>0</v>
      </c>
      <c r="AB40" s="191">
        <v>0</v>
      </c>
      <c r="AC40" s="191">
        <v>0</v>
      </c>
      <c r="AD40" s="191">
        <v>0</v>
      </c>
      <c r="AE40" s="191">
        <v>0</v>
      </c>
      <c r="AF40" s="191">
        <v>0</v>
      </c>
      <c r="AG40" s="191">
        <v>13000000</v>
      </c>
      <c r="AH40" s="191">
        <v>0</v>
      </c>
      <c r="AI40" s="191">
        <v>0</v>
      </c>
      <c r="AJ40" s="191">
        <v>0</v>
      </c>
      <c r="AK40" s="191">
        <v>11000000</v>
      </c>
      <c r="AL40" s="191">
        <v>0</v>
      </c>
      <c r="AM40" s="191">
        <v>0</v>
      </c>
      <c r="AN40" s="191">
        <v>0</v>
      </c>
      <c r="AO40" s="191">
        <v>0</v>
      </c>
      <c r="AP40" s="191">
        <v>0</v>
      </c>
      <c r="AQ40" s="191">
        <v>0</v>
      </c>
      <c r="AR40" s="191">
        <v>0</v>
      </c>
      <c r="AS40" s="191">
        <v>15000000</v>
      </c>
      <c r="AT40" s="191">
        <v>15000000</v>
      </c>
      <c r="AU40" s="191">
        <v>15000000</v>
      </c>
      <c r="AV40" s="191">
        <v>0</v>
      </c>
      <c r="AW40" s="191">
        <v>0</v>
      </c>
      <c r="AX40" s="191">
        <v>1000000</v>
      </c>
      <c r="AY40" s="191">
        <v>1000000</v>
      </c>
      <c r="AZ40" s="191">
        <v>0</v>
      </c>
      <c r="BA40" s="191">
        <v>0</v>
      </c>
      <c r="BB40" s="191">
        <v>0</v>
      </c>
      <c r="BC40" s="191">
        <v>0</v>
      </c>
      <c r="BD40" s="191">
        <v>0</v>
      </c>
      <c r="BE40" s="191">
        <v>2450000</v>
      </c>
      <c r="BF40" s="191">
        <v>0</v>
      </c>
      <c r="BG40" s="191">
        <v>0</v>
      </c>
      <c r="BH40" s="191">
        <v>0</v>
      </c>
      <c r="BI40" s="191">
        <v>0</v>
      </c>
      <c r="BJ40" s="191">
        <v>0</v>
      </c>
      <c r="BK40" s="191">
        <v>0</v>
      </c>
      <c r="BL40" s="191">
        <v>0</v>
      </c>
      <c r="BM40" s="191">
        <v>800000</v>
      </c>
      <c r="BN40" s="191">
        <v>0</v>
      </c>
      <c r="BO40" s="191">
        <v>615571049.24000001</v>
      </c>
      <c r="BP40" s="191">
        <v>614591049.24000001</v>
      </c>
      <c r="BQ40" s="191">
        <v>0</v>
      </c>
      <c r="BR40" s="191">
        <v>0</v>
      </c>
      <c r="BS40" s="191">
        <v>0</v>
      </c>
      <c r="BT40" s="191">
        <v>0</v>
      </c>
      <c r="BU40" s="191">
        <v>1165397962.47</v>
      </c>
      <c r="BV40" s="191">
        <v>0</v>
      </c>
    </row>
    <row r="41" spans="1:74" s="53" customFormat="1" ht="21.75" customHeight="1" x14ac:dyDescent="0.25">
      <c r="A41" s="139" t="s">
        <v>633</v>
      </c>
      <c r="B41" s="53">
        <v>1419647033.29</v>
      </c>
      <c r="C41" s="53">
        <v>682396282.87</v>
      </c>
      <c r="D41" s="53">
        <v>73246783.790000007</v>
      </c>
      <c r="E41" s="53">
        <v>44000000</v>
      </c>
      <c r="I41" s="53">
        <v>35200000</v>
      </c>
      <c r="M41" s="53">
        <v>118130000</v>
      </c>
      <c r="O41" s="53">
        <v>23000000</v>
      </c>
    </row>
    <row r="42" spans="1:74" s="26" customFormat="1" x14ac:dyDescent="0.25">
      <c r="A42" s="17" t="s">
        <v>322</v>
      </c>
      <c r="E42" s="26">
        <f>E40-E41</f>
        <v>-44000000</v>
      </c>
      <c r="F42" s="26">
        <f t="shared" ref="F42:Y42" si="82">F40-F41</f>
        <v>0</v>
      </c>
      <c r="G42" s="26">
        <f t="shared" si="82"/>
        <v>0</v>
      </c>
      <c r="H42" s="26">
        <f t="shared" si="82"/>
        <v>0</v>
      </c>
      <c r="I42" s="26">
        <f>I40-I41</f>
        <v>484000000</v>
      </c>
      <c r="J42" s="26">
        <f t="shared" si="82"/>
        <v>0</v>
      </c>
      <c r="K42" s="26">
        <f t="shared" si="82"/>
        <v>0</v>
      </c>
      <c r="L42" s="26">
        <f t="shared" si="82"/>
        <v>0</v>
      </c>
      <c r="M42" s="26">
        <f t="shared" si="82"/>
        <v>-116880000</v>
      </c>
      <c r="N42" s="26">
        <f t="shared" si="82"/>
        <v>0</v>
      </c>
      <c r="O42" s="26">
        <f t="shared" si="82"/>
        <v>-23000000</v>
      </c>
      <c r="P42" s="26">
        <f t="shared" si="82"/>
        <v>2172280</v>
      </c>
      <c r="Q42" s="26">
        <f t="shared" si="82"/>
        <v>3000000</v>
      </c>
      <c r="R42" s="26">
        <f t="shared" si="82"/>
        <v>17450000</v>
      </c>
      <c r="S42" s="26">
        <f t="shared" si="82"/>
        <v>0</v>
      </c>
      <c r="T42" s="26">
        <f t="shared" si="82"/>
        <v>0</v>
      </c>
      <c r="U42" s="26">
        <f t="shared" si="82"/>
        <v>172467935.24000001</v>
      </c>
      <c r="V42" s="26">
        <f t="shared" si="82"/>
        <v>73500000</v>
      </c>
      <c r="W42" s="26">
        <f t="shared" si="82"/>
        <v>0</v>
      </c>
      <c r="X42" s="26">
        <f t="shared" si="82"/>
        <v>0</v>
      </c>
      <c r="Y42" s="26">
        <f t="shared" si="82"/>
        <v>0</v>
      </c>
      <c r="Z42" s="26">
        <f t="shared" ref="Z42:BQ42" si="83">Z40-Z41</f>
        <v>0</v>
      </c>
      <c r="AA42" s="26">
        <f t="shared" si="83"/>
        <v>0</v>
      </c>
      <c r="AB42" s="26">
        <f t="shared" si="83"/>
        <v>0</v>
      </c>
      <c r="AC42" s="26">
        <f t="shared" si="83"/>
        <v>0</v>
      </c>
      <c r="AD42" s="26">
        <f t="shared" si="83"/>
        <v>0</v>
      </c>
      <c r="AE42" s="26">
        <f t="shared" si="83"/>
        <v>0</v>
      </c>
      <c r="AF42" s="26">
        <f t="shared" si="83"/>
        <v>0</v>
      </c>
      <c r="AG42" s="26">
        <f t="shared" si="83"/>
        <v>13000000</v>
      </c>
      <c r="AH42" s="26">
        <f t="shared" si="83"/>
        <v>0</v>
      </c>
      <c r="AI42" s="26">
        <f t="shared" si="83"/>
        <v>0</v>
      </c>
      <c r="AJ42" s="26">
        <f t="shared" si="83"/>
        <v>0</v>
      </c>
      <c r="AK42" s="26">
        <f t="shared" si="83"/>
        <v>11000000</v>
      </c>
      <c r="AL42" s="191">
        <f t="shared" si="83"/>
        <v>0</v>
      </c>
      <c r="AM42" s="191">
        <f t="shared" si="83"/>
        <v>0</v>
      </c>
      <c r="AN42" s="191">
        <f t="shared" si="83"/>
        <v>0</v>
      </c>
      <c r="AO42" s="191">
        <f t="shared" si="83"/>
        <v>0</v>
      </c>
      <c r="AP42" s="191">
        <f t="shared" si="83"/>
        <v>0</v>
      </c>
      <c r="AQ42" s="191">
        <f t="shared" si="83"/>
        <v>0</v>
      </c>
      <c r="AR42" s="191">
        <f t="shared" si="83"/>
        <v>0</v>
      </c>
      <c r="AS42" s="191">
        <f t="shared" si="83"/>
        <v>15000000</v>
      </c>
      <c r="AT42" s="191">
        <f t="shared" si="83"/>
        <v>15000000</v>
      </c>
      <c r="AU42" s="191">
        <f t="shared" si="83"/>
        <v>15000000</v>
      </c>
      <c r="AV42" s="191">
        <f t="shared" si="83"/>
        <v>0</v>
      </c>
      <c r="AW42" s="191">
        <f t="shared" si="83"/>
        <v>0</v>
      </c>
      <c r="AX42" s="191">
        <f t="shared" si="83"/>
        <v>1000000</v>
      </c>
      <c r="AY42" s="191">
        <f t="shared" si="83"/>
        <v>1000000</v>
      </c>
      <c r="AZ42" s="191">
        <f t="shared" si="83"/>
        <v>0</v>
      </c>
      <c r="BA42" s="26">
        <f t="shared" si="83"/>
        <v>0</v>
      </c>
      <c r="BB42" s="26">
        <f t="shared" si="83"/>
        <v>0</v>
      </c>
      <c r="BC42" s="26">
        <f t="shared" si="83"/>
        <v>0</v>
      </c>
      <c r="BD42" s="26">
        <f t="shared" si="83"/>
        <v>0</v>
      </c>
      <c r="BE42" s="26">
        <f t="shared" si="83"/>
        <v>2450000</v>
      </c>
      <c r="BF42" s="26">
        <f t="shared" si="83"/>
        <v>0</v>
      </c>
      <c r="BG42" s="26">
        <f t="shared" si="83"/>
        <v>0</v>
      </c>
      <c r="BH42" s="26">
        <f t="shared" si="83"/>
        <v>0</v>
      </c>
      <c r="BI42" s="26">
        <f t="shared" si="83"/>
        <v>0</v>
      </c>
      <c r="BJ42" s="26">
        <f t="shared" si="83"/>
        <v>0</v>
      </c>
      <c r="BK42" s="26">
        <f t="shared" si="83"/>
        <v>0</v>
      </c>
      <c r="BL42" s="26">
        <f t="shared" si="83"/>
        <v>0</v>
      </c>
      <c r="BM42" s="26">
        <f t="shared" si="83"/>
        <v>800000</v>
      </c>
      <c r="BN42" s="26">
        <f t="shared" si="83"/>
        <v>0</v>
      </c>
      <c r="BO42" s="26">
        <f t="shared" si="83"/>
        <v>615571049.24000001</v>
      </c>
      <c r="BP42" s="26">
        <f t="shared" si="83"/>
        <v>614591049.24000001</v>
      </c>
      <c r="BQ42" s="26">
        <f t="shared" si="83"/>
        <v>0</v>
      </c>
      <c r="BR42" s="26">
        <f t="shared" ref="BR42:BV42" si="84">BR40-BR41</f>
        <v>0</v>
      </c>
      <c r="BS42" s="26">
        <f t="shared" si="84"/>
        <v>0</v>
      </c>
      <c r="BT42" s="26">
        <f t="shared" si="84"/>
        <v>0</v>
      </c>
      <c r="BU42" s="26">
        <f t="shared" si="84"/>
        <v>1165397962.47</v>
      </c>
      <c r="BV42" s="26">
        <f t="shared" si="84"/>
        <v>0</v>
      </c>
    </row>
    <row r="43" spans="1:74" s="52" customFormat="1" ht="15" customHeight="1" x14ac:dyDescent="0.25">
      <c r="A43" s="140" t="s">
        <v>321</v>
      </c>
    </row>
    <row r="44" spans="1:74" s="191" customFormat="1" x14ac:dyDescent="0.25">
      <c r="A44" s="191" t="s">
        <v>324</v>
      </c>
      <c r="B44" s="188">
        <v>0</v>
      </c>
      <c r="C44" s="188">
        <v>0</v>
      </c>
      <c r="D44" s="188">
        <v>0</v>
      </c>
      <c r="E44" s="188">
        <v>0</v>
      </c>
      <c r="F44" s="188">
        <v>0</v>
      </c>
      <c r="G44" s="188">
        <v>0</v>
      </c>
      <c r="H44" s="188">
        <v>0</v>
      </c>
      <c r="I44" s="188">
        <v>52421993.420000002</v>
      </c>
      <c r="J44" s="188">
        <v>49821993.420000002</v>
      </c>
      <c r="K44" s="188">
        <v>47680065.509999998</v>
      </c>
      <c r="L44" s="188">
        <v>26660263.5</v>
      </c>
      <c r="M44" s="188">
        <v>44625725.329999998</v>
      </c>
      <c r="N44" s="188">
        <v>11330000</v>
      </c>
      <c r="O44" s="188">
        <v>34603887</v>
      </c>
      <c r="P44" s="188">
        <v>192098585</v>
      </c>
      <c r="Q44" s="188">
        <v>65837129</v>
      </c>
      <c r="R44" s="188">
        <v>19000000</v>
      </c>
      <c r="S44" s="188">
        <v>0</v>
      </c>
      <c r="T44" s="188">
        <v>0</v>
      </c>
      <c r="U44" s="188">
        <v>0</v>
      </c>
      <c r="V44" s="188">
        <v>0</v>
      </c>
      <c r="W44" s="188">
        <v>0</v>
      </c>
      <c r="X44" s="188">
        <v>0</v>
      </c>
      <c r="Y44" s="188">
        <v>0</v>
      </c>
      <c r="Z44" s="188">
        <v>0</v>
      </c>
      <c r="AA44" s="188">
        <v>0</v>
      </c>
      <c r="AB44" s="188">
        <v>0</v>
      </c>
      <c r="AC44" s="188">
        <v>0</v>
      </c>
      <c r="AD44" s="188">
        <v>0</v>
      </c>
      <c r="AE44" s="188">
        <v>0</v>
      </c>
      <c r="AF44" s="188">
        <v>0</v>
      </c>
      <c r="AG44" s="188">
        <v>0</v>
      </c>
      <c r="AH44" s="188">
        <v>0</v>
      </c>
      <c r="AI44" s="188">
        <v>0</v>
      </c>
      <c r="AJ44" s="188">
        <v>0</v>
      </c>
      <c r="AK44" s="188">
        <v>0</v>
      </c>
      <c r="AL44" s="188">
        <v>0</v>
      </c>
      <c r="AM44" s="188">
        <v>0</v>
      </c>
      <c r="AN44" s="188">
        <v>0</v>
      </c>
      <c r="AO44" s="188">
        <v>0</v>
      </c>
      <c r="AP44" s="188">
        <v>0</v>
      </c>
      <c r="AQ44" s="188">
        <v>0</v>
      </c>
      <c r="AR44" s="188">
        <v>0</v>
      </c>
      <c r="AS44" s="188">
        <v>0</v>
      </c>
      <c r="AT44" s="188">
        <v>0</v>
      </c>
      <c r="AU44" s="188">
        <v>0</v>
      </c>
      <c r="AV44" s="188">
        <v>0</v>
      </c>
      <c r="AW44" s="188">
        <v>0</v>
      </c>
      <c r="AX44" s="188">
        <v>0</v>
      </c>
      <c r="AY44" s="188">
        <v>0</v>
      </c>
      <c r="AZ44" s="188">
        <v>0</v>
      </c>
      <c r="BA44" s="188">
        <v>0</v>
      </c>
      <c r="BB44" s="188">
        <v>0</v>
      </c>
      <c r="BC44" s="188">
        <v>0</v>
      </c>
      <c r="BD44" s="188">
        <v>0</v>
      </c>
      <c r="BE44" s="188">
        <v>0</v>
      </c>
      <c r="BF44" s="188">
        <v>0</v>
      </c>
      <c r="BG44" s="188">
        <v>0</v>
      </c>
      <c r="BH44" s="188">
        <v>0</v>
      </c>
      <c r="BI44" s="188">
        <v>0</v>
      </c>
      <c r="BJ44" s="188">
        <v>0</v>
      </c>
      <c r="BK44" s="188">
        <v>0</v>
      </c>
      <c r="BL44" s="188">
        <v>0</v>
      </c>
      <c r="BM44" s="188">
        <v>0</v>
      </c>
      <c r="BN44" s="188">
        <v>0</v>
      </c>
      <c r="BO44" s="188">
        <v>0</v>
      </c>
      <c r="BP44" s="188">
        <v>0</v>
      </c>
      <c r="BQ44" s="188">
        <v>0</v>
      </c>
      <c r="BR44" s="188">
        <v>0</v>
      </c>
      <c r="BS44" s="188">
        <v>0</v>
      </c>
      <c r="BT44" s="188">
        <v>0</v>
      </c>
      <c r="BU44" s="188">
        <v>0</v>
      </c>
      <c r="BV44" s="188">
        <v>0</v>
      </c>
    </row>
    <row r="45" spans="1:74" s="191" customFormat="1" x14ac:dyDescent="0.25">
      <c r="A45" s="191" t="s">
        <v>323</v>
      </c>
      <c r="E45" s="191">
        <f>股权价值增加表!E53</f>
        <v>378508.09</v>
      </c>
      <c r="F45" s="191">
        <f>股权价值增加表!F53</f>
        <v>0</v>
      </c>
      <c r="G45" s="191">
        <f>股权价值增加表!G53</f>
        <v>0</v>
      </c>
      <c r="H45" s="191">
        <f>股权价值增加表!H53</f>
        <v>0</v>
      </c>
      <c r="I45" s="191">
        <f>股权价值增加表!I53</f>
        <v>4668557.12</v>
      </c>
      <c r="J45" s="191">
        <f>股权价值增加表!J53</f>
        <v>0</v>
      </c>
      <c r="K45" s="191">
        <f>股权价值增加表!K53</f>
        <v>0</v>
      </c>
      <c r="L45" s="191">
        <f>股权价值增加表!L53</f>
        <v>0</v>
      </c>
      <c r="M45" s="191">
        <f>股权价值增加表!M53</f>
        <v>5798721.3799999999</v>
      </c>
      <c r="N45" s="191">
        <f>股权价值增加表!N53</f>
        <v>0</v>
      </c>
      <c r="O45" s="191">
        <f>股权价值增加表!O53</f>
        <v>0</v>
      </c>
      <c r="P45" s="191">
        <f>股权价值增加表!P53</f>
        <v>0</v>
      </c>
      <c r="Q45" s="191">
        <f>股权价值增加表!Q53</f>
        <v>0</v>
      </c>
      <c r="R45" s="191">
        <f>股权价值增加表!R53</f>
        <v>0</v>
      </c>
      <c r="S45" s="191">
        <f>股权价值增加表!S53</f>
        <v>0</v>
      </c>
      <c r="T45" s="191">
        <f>股权价值增加表!T53</f>
        <v>0</v>
      </c>
      <c r="U45" s="191">
        <f>股权价值增加表!U53</f>
        <v>0</v>
      </c>
      <c r="V45" s="191">
        <f>股权价值增加表!V53</f>
        <v>0</v>
      </c>
      <c r="W45" s="191">
        <f>股权价值增加表!W53</f>
        <v>0</v>
      </c>
      <c r="X45" s="191">
        <f>股权价值增加表!X53</f>
        <v>0</v>
      </c>
      <c r="Y45" s="191">
        <f>股权价值增加表!Y53</f>
        <v>0</v>
      </c>
      <c r="Z45" s="191">
        <f>股权价值增加表!Z53</f>
        <v>0</v>
      </c>
      <c r="AA45" s="191">
        <f>股权价值增加表!AA53</f>
        <v>0</v>
      </c>
      <c r="AB45" s="191">
        <f>股权价值增加表!AB53</f>
        <v>0</v>
      </c>
      <c r="AC45" s="191">
        <f>股权价值增加表!AC53</f>
        <v>0</v>
      </c>
      <c r="AD45" s="191">
        <f>股权价值增加表!AD53</f>
        <v>0</v>
      </c>
      <c r="AE45" s="191">
        <f>股权价值增加表!AE53</f>
        <v>0</v>
      </c>
      <c r="AF45" s="191">
        <f>股权价值增加表!AF53</f>
        <v>0</v>
      </c>
      <c r="AG45" s="191">
        <f>股权价值增加表!AG53</f>
        <v>0</v>
      </c>
      <c r="AH45" s="191">
        <f>股权价值增加表!AH53</f>
        <v>0</v>
      </c>
      <c r="AI45" s="191">
        <f>股权价值增加表!AI53</f>
        <v>0</v>
      </c>
      <c r="AJ45" s="191">
        <f>股权价值增加表!AJ53</f>
        <v>0</v>
      </c>
      <c r="AK45" s="191">
        <f>股权价值增加表!AK53</f>
        <v>0</v>
      </c>
      <c r="AL45" s="191">
        <f>股权价值增加表!AL53</f>
        <v>0</v>
      </c>
      <c r="AM45" s="191">
        <f>股权价值增加表!AM53</f>
        <v>0</v>
      </c>
      <c r="AN45" s="191">
        <f>股权价值增加表!AN53</f>
        <v>0</v>
      </c>
      <c r="AO45" s="191">
        <f>股权价值增加表!AO53</f>
        <v>0</v>
      </c>
      <c r="AP45" s="191">
        <f>股权价值增加表!AP53</f>
        <v>0</v>
      </c>
      <c r="AQ45" s="191">
        <f>股权价值增加表!AQ53</f>
        <v>0</v>
      </c>
      <c r="AR45" s="191">
        <f>股权价值增加表!AR53</f>
        <v>0</v>
      </c>
      <c r="AS45" s="191">
        <f>股权价值增加表!AS53</f>
        <v>0</v>
      </c>
      <c r="AT45" s="191">
        <f>股权价值增加表!AT53</f>
        <v>0</v>
      </c>
      <c r="AU45" s="191">
        <f>股权价值增加表!AU53</f>
        <v>0</v>
      </c>
      <c r="AV45" s="191">
        <f>股权价值增加表!AV53</f>
        <v>0</v>
      </c>
      <c r="AW45" s="191">
        <f>股权价值增加表!AW53</f>
        <v>0</v>
      </c>
      <c r="AX45" s="191">
        <f>股权价值增加表!AX53</f>
        <v>0</v>
      </c>
      <c r="AY45" s="191">
        <f>股权价值增加表!AY53</f>
        <v>0</v>
      </c>
      <c r="AZ45" s="191">
        <f>股权价值增加表!AZ53</f>
        <v>0</v>
      </c>
      <c r="BA45" s="191">
        <f>股权价值增加表!BA53</f>
        <v>0</v>
      </c>
      <c r="BB45" s="191">
        <f>股权价值增加表!BB53</f>
        <v>0</v>
      </c>
      <c r="BC45" s="191">
        <f>股权价值增加表!BC53</f>
        <v>0</v>
      </c>
      <c r="BD45" s="191">
        <f>股权价值增加表!BD53</f>
        <v>0</v>
      </c>
      <c r="BE45" s="191">
        <f>股权价值增加表!BE53</f>
        <v>0</v>
      </c>
      <c r="BF45" s="191">
        <f>股权价值增加表!BF53</f>
        <v>0</v>
      </c>
      <c r="BG45" s="191">
        <f>股权价值增加表!BG53</f>
        <v>0</v>
      </c>
      <c r="BH45" s="191">
        <f>股权价值增加表!BH53</f>
        <v>0</v>
      </c>
      <c r="BI45" s="191">
        <f>股权价值增加表!BI53</f>
        <v>0</v>
      </c>
      <c r="BJ45" s="191">
        <f>股权价值增加表!BJ53</f>
        <v>0</v>
      </c>
      <c r="BK45" s="191">
        <f>股权价值增加表!BK53</f>
        <v>0</v>
      </c>
      <c r="BL45" s="191">
        <f>股权价值增加表!BL53</f>
        <v>0</v>
      </c>
      <c r="BM45" s="191">
        <f>股权价值增加表!BM53</f>
        <v>0</v>
      </c>
      <c r="BN45" s="191">
        <f>股权价值增加表!BN53</f>
        <v>0</v>
      </c>
      <c r="BO45" s="191">
        <f>股权价值增加表!BO53</f>
        <v>0</v>
      </c>
      <c r="BP45" s="191">
        <f>股权价值增加表!BP53</f>
        <v>0</v>
      </c>
      <c r="BQ45" s="191">
        <f>股权价值增加表!BQ53</f>
        <v>0</v>
      </c>
      <c r="BR45" s="191">
        <f>股权价值增加表!BR53</f>
        <v>0</v>
      </c>
      <c r="BS45" s="191">
        <f>股权价值增加表!BS53</f>
        <v>0</v>
      </c>
      <c r="BT45" s="191">
        <f>股权价值增加表!BT53</f>
        <v>0</v>
      </c>
      <c r="BU45" s="191">
        <f>股权价值增加表!BU53</f>
        <v>0</v>
      </c>
      <c r="BV45" s="191">
        <f>股权价值增加表!BV53</f>
        <v>0</v>
      </c>
    </row>
    <row r="46" spans="1:74" s="191" customFormat="1" x14ac:dyDescent="0.25">
      <c r="A46" s="191" t="s">
        <v>325</v>
      </c>
      <c r="B46" s="188">
        <v>0</v>
      </c>
      <c r="C46" s="188">
        <v>0</v>
      </c>
      <c r="D46" s="188">
        <v>0</v>
      </c>
      <c r="E46" s="188">
        <v>0</v>
      </c>
      <c r="F46" s="188">
        <v>0</v>
      </c>
      <c r="G46" s="188">
        <v>0</v>
      </c>
      <c r="H46" s="188">
        <v>0</v>
      </c>
      <c r="I46" s="188">
        <v>0</v>
      </c>
      <c r="J46" s="188">
        <v>0</v>
      </c>
      <c r="K46" s="188">
        <v>0</v>
      </c>
      <c r="L46" s="188">
        <v>0</v>
      </c>
      <c r="M46" s="188">
        <v>0</v>
      </c>
      <c r="N46" s="188">
        <v>0</v>
      </c>
      <c r="O46" s="188">
        <v>0</v>
      </c>
      <c r="P46" s="188">
        <v>0</v>
      </c>
      <c r="Q46" s="188">
        <v>0</v>
      </c>
      <c r="R46" s="188"/>
      <c r="S46" s="188"/>
      <c r="T46" s="188">
        <v>0</v>
      </c>
      <c r="U46" s="188">
        <v>0</v>
      </c>
      <c r="V46" s="188">
        <v>0</v>
      </c>
      <c r="W46" s="188">
        <v>0</v>
      </c>
      <c r="X46" s="188">
        <v>0</v>
      </c>
      <c r="Y46" s="188">
        <v>0</v>
      </c>
      <c r="Z46" s="188">
        <v>0</v>
      </c>
      <c r="AA46" s="188">
        <v>0</v>
      </c>
      <c r="AB46" s="188">
        <v>0</v>
      </c>
      <c r="AC46" s="188">
        <v>0</v>
      </c>
      <c r="AD46" s="188">
        <v>0</v>
      </c>
      <c r="AE46" s="188">
        <v>0</v>
      </c>
      <c r="AF46" s="188">
        <v>0</v>
      </c>
      <c r="AG46" s="188">
        <v>0</v>
      </c>
      <c r="AH46" s="188">
        <v>0</v>
      </c>
      <c r="AI46" s="188">
        <v>0</v>
      </c>
      <c r="AJ46" s="188">
        <v>0</v>
      </c>
      <c r="AK46" s="188">
        <v>0</v>
      </c>
      <c r="AL46" s="188">
        <v>0</v>
      </c>
      <c r="AM46" s="188">
        <v>0</v>
      </c>
      <c r="AN46" s="188">
        <v>0</v>
      </c>
      <c r="AO46" s="188">
        <v>0</v>
      </c>
      <c r="AP46" s="188">
        <v>0</v>
      </c>
      <c r="AQ46" s="188">
        <v>0</v>
      </c>
      <c r="AR46" s="188">
        <v>0</v>
      </c>
      <c r="AS46" s="188">
        <v>0</v>
      </c>
      <c r="AT46" s="188">
        <v>0</v>
      </c>
      <c r="AU46" s="188">
        <v>0</v>
      </c>
      <c r="AV46" s="188">
        <v>0</v>
      </c>
      <c r="AW46" s="188">
        <v>0</v>
      </c>
      <c r="AX46" s="188">
        <v>0</v>
      </c>
      <c r="AY46" s="188">
        <v>0</v>
      </c>
      <c r="AZ46" s="188">
        <v>0</v>
      </c>
      <c r="BA46" s="188">
        <v>0</v>
      </c>
      <c r="BB46" s="188">
        <v>0</v>
      </c>
      <c r="BC46" s="188">
        <v>0</v>
      </c>
      <c r="BD46" s="188">
        <v>0</v>
      </c>
      <c r="BE46" s="188">
        <v>0</v>
      </c>
      <c r="BF46" s="188">
        <v>0</v>
      </c>
      <c r="BG46" s="188">
        <v>0</v>
      </c>
      <c r="BH46" s="188">
        <v>0</v>
      </c>
      <c r="BI46" s="188">
        <v>0</v>
      </c>
      <c r="BJ46" s="188">
        <v>0</v>
      </c>
      <c r="BK46" s="188">
        <v>0</v>
      </c>
      <c r="BL46" s="188">
        <v>0</v>
      </c>
      <c r="BM46" s="188">
        <v>0</v>
      </c>
      <c r="BN46" s="188">
        <v>0</v>
      </c>
      <c r="BO46" s="188">
        <v>0</v>
      </c>
      <c r="BP46" s="188">
        <v>0</v>
      </c>
      <c r="BQ46" s="188">
        <v>0</v>
      </c>
      <c r="BR46" s="188">
        <v>0</v>
      </c>
      <c r="BS46" s="188">
        <v>0</v>
      </c>
      <c r="BT46" s="188">
        <v>0</v>
      </c>
      <c r="BU46" s="188">
        <v>0</v>
      </c>
      <c r="BV46" s="188">
        <v>0</v>
      </c>
    </row>
    <row r="47" spans="1:74" s="191" customFormat="1" x14ac:dyDescent="0.25">
      <c r="A47" s="191" t="s">
        <v>326</v>
      </c>
      <c r="B47" s="188">
        <v>0</v>
      </c>
      <c r="C47" s="188">
        <v>0</v>
      </c>
      <c r="D47" s="188">
        <v>0</v>
      </c>
      <c r="E47" s="188">
        <v>76655193.420000002</v>
      </c>
      <c r="F47" s="188">
        <v>76655193.420000002</v>
      </c>
      <c r="G47" s="188">
        <v>76655193.420000002</v>
      </c>
      <c r="H47" s="188">
        <v>33004010</v>
      </c>
      <c r="I47" s="188">
        <v>66184525.329999998</v>
      </c>
      <c r="J47" s="188">
        <v>27891600</v>
      </c>
      <c r="K47" s="188">
        <v>26204400</v>
      </c>
      <c r="L47" s="188">
        <v>9187200</v>
      </c>
      <c r="M47" s="188">
        <v>57248800</v>
      </c>
      <c r="N47" s="188">
        <v>21561600</v>
      </c>
      <c r="O47" s="188">
        <v>109998801</v>
      </c>
      <c r="P47" s="188">
        <v>79500000</v>
      </c>
      <c r="Q47" s="188">
        <v>19000000</v>
      </c>
      <c r="R47" s="188">
        <v>0</v>
      </c>
      <c r="S47" s="188">
        <v>0</v>
      </c>
      <c r="T47" s="188">
        <v>0</v>
      </c>
      <c r="U47" s="188">
        <v>0</v>
      </c>
      <c r="V47" s="188">
        <v>0</v>
      </c>
      <c r="W47" s="188">
        <v>0</v>
      </c>
      <c r="X47" s="188">
        <v>0</v>
      </c>
      <c r="Y47" s="188">
        <v>0</v>
      </c>
      <c r="Z47" s="188">
        <v>0</v>
      </c>
      <c r="AA47" s="188">
        <v>0</v>
      </c>
      <c r="AB47" s="188">
        <v>0</v>
      </c>
      <c r="AC47" s="188">
        <v>0</v>
      </c>
      <c r="AD47" s="188">
        <v>0</v>
      </c>
      <c r="AE47" s="188">
        <v>0</v>
      </c>
      <c r="AF47" s="188">
        <v>0</v>
      </c>
      <c r="AG47" s="188">
        <v>0</v>
      </c>
      <c r="AH47" s="188">
        <v>0</v>
      </c>
      <c r="AI47" s="188">
        <v>0</v>
      </c>
      <c r="AJ47" s="188">
        <v>0</v>
      </c>
      <c r="AK47" s="188">
        <v>0</v>
      </c>
      <c r="AL47" s="188">
        <v>2450000</v>
      </c>
      <c r="AM47" s="188">
        <v>2450000</v>
      </c>
      <c r="AN47" s="188">
        <v>0</v>
      </c>
      <c r="AO47" s="188">
        <v>0</v>
      </c>
      <c r="AP47" s="188">
        <v>0</v>
      </c>
      <c r="AQ47" s="188">
        <v>0</v>
      </c>
      <c r="AR47" s="188">
        <v>0</v>
      </c>
      <c r="AS47" s="188">
        <v>0</v>
      </c>
      <c r="AT47" s="188">
        <v>0</v>
      </c>
      <c r="AU47" s="188">
        <v>0</v>
      </c>
      <c r="AV47" s="188">
        <v>0</v>
      </c>
      <c r="AW47" s="188">
        <v>0</v>
      </c>
      <c r="AX47" s="188">
        <v>0</v>
      </c>
      <c r="AY47" s="188">
        <v>0</v>
      </c>
      <c r="AZ47" s="188">
        <v>0</v>
      </c>
      <c r="BA47" s="188">
        <v>0</v>
      </c>
      <c r="BB47" s="188">
        <v>0</v>
      </c>
      <c r="BC47" s="188">
        <v>0</v>
      </c>
      <c r="BD47" s="188">
        <v>0</v>
      </c>
      <c r="BE47" s="188">
        <v>0</v>
      </c>
      <c r="BF47" s="188">
        <v>0</v>
      </c>
      <c r="BG47" s="188">
        <v>0</v>
      </c>
      <c r="BH47" s="188">
        <v>0</v>
      </c>
      <c r="BI47" s="188">
        <v>0</v>
      </c>
      <c r="BJ47" s="188">
        <v>0</v>
      </c>
      <c r="BK47" s="188">
        <v>0</v>
      </c>
      <c r="BL47" s="188">
        <v>0</v>
      </c>
      <c r="BM47" s="188">
        <v>0</v>
      </c>
      <c r="BN47" s="188">
        <v>0</v>
      </c>
      <c r="BO47" s="188">
        <v>0</v>
      </c>
      <c r="BP47" s="188">
        <v>0</v>
      </c>
      <c r="BQ47" s="188">
        <v>0</v>
      </c>
      <c r="BR47" s="188">
        <v>2814887.33</v>
      </c>
      <c r="BS47" s="188">
        <v>0</v>
      </c>
      <c r="BT47" s="188">
        <v>0</v>
      </c>
      <c r="BU47" s="188">
        <v>70000000</v>
      </c>
      <c r="BV47" s="188">
        <v>0</v>
      </c>
    </row>
    <row r="48" spans="1:74" s="191" customFormat="1" x14ac:dyDescent="0.25">
      <c r="A48" s="191" t="s">
        <v>597</v>
      </c>
      <c r="B48" s="188">
        <v>0</v>
      </c>
      <c r="C48" s="188">
        <v>0</v>
      </c>
      <c r="D48" s="188">
        <v>0</v>
      </c>
      <c r="E48" s="188">
        <v>0</v>
      </c>
      <c r="F48" s="188">
        <v>0</v>
      </c>
      <c r="G48" s="188">
        <v>0</v>
      </c>
      <c r="H48" s="188">
        <v>0</v>
      </c>
      <c r="I48" s="188">
        <v>0</v>
      </c>
      <c r="J48" s="188">
        <v>0</v>
      </c>
      <c r="K48" s="188">
        <v>0</v>
      </c>
      <c r="L48" s="188">
        <v>0</v>
      </c>
      <c r="M48" s="188">
        <v>0</v>
      </c>
      <c r="N48" s="188">
        <v>0</v>
      </c>
      <c r="O48" s="188">
        <v>0</v>
      </c>
      <c r="P48" s="188">
        <v>0</v>
      </c>
      <c r="Q48" s="188">
        <v>0</v>
      </c>
      <c r="R48" s="188">
        <v>0</v>
      </c>
      <c r="S48" s="188">
        <v>0</v>
      </c>
      <c r="T48" s="188">
        <v>0</v>
      </c>
      <c r="U48" s="188">
        <v>0</v>
      </c>
      <c r="V48" s="188">
        <v>0</v>
      </c>
      <c r="W48" s="188">
        <v>0</v>
      </c>
      <c r="X48" s="188">
        <v>0</v>
      </c>
      <c r="Y48" s="188">
        <v>0</v>
      </c>
      <c r="Z48" s="188">
        <v>0</v>
      </c>
      <c r="AA48" s="188">
        <v>0</v>
      </c>
      <c r="AB48" s="188">
        <v>0</v>
      </c>
      <c r="AC48" s="188">
        <v>0</v>
      </c>
      <c r="AD48" s="188">
        <v>0</v>
      </c>
      <c r="AE48" s="188">
        <v>0</v>
      </c>
      <c r="AF48" s="188">
        <v>0</v>
      </c>
      <c r="AG48" s="188">
        <v>0</v>
      </c>
      <c r="AH48" s="188">
        <v>0</v>
      </c>
      <c r="AI48" s="188">
        <v>0</v>
      </c>
      <c r="AJ48" s="188">
        <v>0</v>
      </c>
      <c r="AK48" s="188">
        <v>0</v>
      </c>
      <c r="AL48" s="188">
        <v>0</v>
      </c>
      <c r="AM48" s="188">
        <v>0</v>
      </c>
      <c r="AN48" s="188">
        <v>0</v>
      </c>
      <c r="AO48" s="188">
        <v>0</v>
      </c>
      <c r="AP48" s="188">
        <v>0</v>
      </c>
      <c r="AQ48" s="188">
        <v>0</v>
      </c>
      <c r="AR48" s="188">
        <v>0</v>
      </c>
      <c r="AS48" s="188">
        <v>0</v>
      </c>
      <c r="AT48" s="188">
        <v>0</v>
      </c>
      <c r="AU48" s="188">
        <v>0</v>
      </c>
      <c r="AV48" s="188">
        <v>0</v>
      </c>
      <c r="AW48" s="188">
        <v>0</v>
      </c>
      <c r="AX48" s="188">
        <v>0</v>
      </c>
      <c r="AY48" s="188">
        <v>0</v>
      </c>
      <c r="AZ48" s="188">
        <v>0</v>
      </c>
      <c r="BA48" s="188">
        <v>0</v>
      </c>
      <c r="BB48" s="188">
        <v>0</v>
      </c>
      <c r="BC48" s="188">
        <v>0</v>
      </c>
      <c r="BD48" s="188">
        <v>0</v>
      </c>
      <c r="BE48" s="188">
        <v>0</v>
      </c>
      <c r="BF48" s="188">
        <v>0</v>
      </c>
      <c r="BG48" s="188">
        <v>0</v>
      </c>
      <c r="BH48" s="188">
        <v>0</v>
      </c>
      <c r="BI48" s="188">
        <v>0</v>
      </c>
      <c r="BJ48" s="188">
        <v>0</v>
      </c>
      <c r="BK48" s="188">
        <v>0</v>
      </c>
      <c r="BL48" s="188">
        <v>0</v>
      </c>
      <c r="BM48" s="188">
        <v>0</v>
      </c>
      <c r="BN48" s="188">
        <v>0</v>
      </c>
      <c r="BO48" s="188">
        <v>0</v>
      </c>
      <c r="BP48" s="188">
        <v>0</v>
      </c>
      <c r="BQ48" s="188">
        <v>0</v>
      </c>
      <c r="BR48" s="188">
        <v>0</v>
      </c>
      <c r="BS48" s="188">
        <v>0</v>
      </c>
      <c r="BT48" s="188">
        <v>0</v>
      </c>
      <c r="BU48" s="188">
        <v>0</v>
      </c>
      <c r="BV48" s="188">
        <v>0</v>
      </c>
    </row>
    <row r="49" spans="1:74" s="191" customFormat="1" x14ac:dyDescent="0.25">
      <c r="A49" s="191" t="s">
        <v>598</v>
      </c>
      <c r="E49" s="191">
        <f>E44+E48-E45-E46-E47</f>
        <v>-77033701.510000005</v>
      </c>
      <c r="F49" s="191">
        <f t="shared" ref="F49:BQ49" si="85">F44+F48-F45-F46-F47</f>
        <v>-76655193.420000002</v>
      </c>
      <c r="G49" s="191">
        <f t="shared" si="85"/>
        <v>-76655193.420000002</v>
      </c>
      <c r="H49" s="191">
        <f t="shared" si="85"/>
        <v>-33004010</v>
      </c>
      <c r="I49" s="191">
        <f t="shared" si="85"/>
        <v>-18431089.029999994</v>
      </c>
      <c r="J49" s="191">
        <f t="shared" si="85"/>
        <v>21930393.420000002</v>
      </c>
      <c r="K49" s="191">
        <f t="shared" si="85"/>
        <v>21475665.509999998</v>
      </c>
      <c r="L49" s="191">
        <f t="shared" si="85"/>
        <v>17473063.5</v>
      </c>
      <c r="M49" s="191">
        <f t="shared" si="85"/>
        <v>-18421796.050000004</v>
      </c>
      <c r="N49" s="191">
        <f t="shared" si="85"/>
        <v>-10231600</v>
      </c>
      <c r="O49" s="191">
        <f t="shared" si="85"/>
        <v>-75394914</v>
      </c>
      <c r="P49" s="191">
        <f t="shared" si="85"/>
        <v>112598585</v>
      </c>
      <c r="Q49" s="191">
        <f t="shared" si="85"/>
        <v>46837129</v>
      </c>
      <c r="R49" s="191">
        <f t="shared" si="85"/>
        <v>19000000</v>
      </c>
      <c r="S49" s="191">
        <f t="shared" si="85"/>
        <v>0</v>
      </c>
      <c r="T49" s="191">
        <f t="shared" si="85"/>
        <v>0</v>
      </c>
      <c r="U49" s="191">
        <f t="shared" si="85"/>
        <v>0</v>
      </c>
      <c r="V49" s="191">
        <f t="shared" si="85"/>
        <v>0</v>
      </c>
      <c r="W49" s="191">
        <f t="shared" si="85"/>
        <v>0</v>
      </c>
      <c r="X49" s="191">
        <f t="shared" si="85"/>
        <v>0</v>
      </c>
      <c r="Y49" s="191">
        <f t="shared" si="85"/>
        <v>0</v>
      </c>
      <c r="Z49" s="191">
        <f t="shared" si="85"/>
        <v>0</v>
      </c>
      <c r="AA49" s="191">
        <f t="shared" si="85"/>
        <v>0</v>
      </c>
      <c r="AB49" s="191">
        <f t="shared" si="85"/>
        <v>0</v>
      </c>
      <c r="AC49" s="191">
        <f t="shared" si="85"/>
        <v>0</v>
      </c>
      <c r="AD49" s="191">
        <f t="shared" si="85"/>
        <v>0</v>
      </c>
      <c r="AE49" s="191">
        <f t="shared" si="85"/>
        <v>0</v>
      </c>
      <c r="AF49" s="191">
        <f t="shared" si="85"/>
        <v>0</v>
      </c>
      <c r="AG49" s="191">
        <f t="shared" si="85"/>
        <v>0</v>
      </c>
      <c r="AH49" s="191">
        <f t="shared" si="85"/>
        <v>0</v>
      </c>
      <c r="AI49" s="191">
        <f t="shared" si="85"/>
        <v>0</v>
      </c>
      <c r="AJ49" s="191">
        <f t="shared" si="85"/>
        <v>0</v>
      </c>
      <c r="AK49" s="191">
        <f t="shared" si="85"/>
        <v>0</v>
      </c>
      <c r="AL49" s="191">
        <f t="shared" si="85"/>
        <v>-2450000</v>
      </c>
      <c r="AM49" s="191">
        <f t="shared" si="85"/>
        <v>-2450000</v>
      </c>
      <c r="AN49" s="191">
        <f t="shared" si="85"/>
        <v>0</v>
      </c>
      <c r="AO49" s="191">
        <f t="shared" si="85"/>
        <v>0</v>
      </c>
      <c r="AP49" s="191">
        <f t="shared" si="85"/>
        <v>0</v>
      </c>
      <c r="AQ49" s="191">
        <f t="shared" si="85"/>
        <v>0</v>
      </c>
      <c r="AR49" s="191">
        <f t="shared" si="85"/>
        <v>0</v>
      </c>
      <c r="AS49" s="191">
        <f t="shared" si="85"/>
        <v>0</v>
      </c>
      <c r="AT49" s="191">
        <f t="shared" si="85"/>
        <v>0</v>
      </c>
      <c r="AU49" s="191">
        <f t="shared" si="85"/>
        <v>0</v>
      </c>
      <c r="AV49" s="191">
        <f t="shared" si="85"/>
        <v>0</v>
      </c>
      <c r="AW49" s="191">
        <f t="shared" si="85"/>
        <v>0</v>
      </c>
      <c r="AX49" s="191">
        <f t="shared" si="85"/>
        <v>0</v>
      </c>
      <c r="AY49" s="191">
        <f t="shared" si="85"/>
        <v>0</v>
      </c>
      <c r="AZ49" s="191">
        <f t="shared" si="85"/>
        <v>0</v>
      </c>
      <c r="BA49" s="191">
        <f t="shared" si="85"/>
        <v>0</v>
      </c>
      <c r="BB49" s="191">
        <f t="shared" si="85"/>
        <v>0</v>
      </c>
      <c r="BC49" s="191">
        <f t="shared" si="85"/>
        <v>0</v>
      </c>
      <c r="BD49" s="191">
        <f t="shared" si="85"/>
        <v>0</v>
      </c>
      <c r="BE49" s="191">
        <f t="shared" si="85"/>
        <v>0</v>
      </c>
      <c r="BF49" s="191">
        <f t="shared" si="85"/>
        <v>0</v>
      </c>
      <c r="BG49" s="191">
        <f t="shared" si="85"/>
        <v>0</v>
      </c>
      <c r="BH49" s="191">
        <f t="shared" si="85"/>
        <v>0</v>
      </c>
      <c r="BI49" s="191">
        <f t="shared" si="85"/>
        <v>0</v>
      </c>
      <c r="BJ49" s="191">
        <f t="shared" si="85"/>
        <v>0</v>
      </c>
      <c r="BK49" s="191">
        <f t="shared" si="85"/>
        <v>0</v>
      </c>
      <c r="BL49" s="191">
        <f t="shared" si="85"/>
        <v>0</v>
      </c>
      <c r="BM49" s="191">
        <f t="shared" si="85"/>
        <v>0</v>
      </c>
      <c r="BN49" s="191">
        <f t="shared" si="85"/>
        <v>0</v>
      </c>
      <c r="BO49" s="191">
        <f t="shared" si="85"/>
        <v>0</v>
      </c>
      <c r="BP49" s="191">
        <f t="shared" si="85"/>
        <v>0</v>
      </c>
      <c r="BQ49" s="191">
        <f t="shared" si="85"/>
        <v>0</v>
      </c>
      <c r="BR49" s="191">
        <f t="shared" ref="BR49:BV49" si="86">BR44+BR48-BR45-BR46-BR47</f>
        <v>-2814887.33</v>
      </c>
      <c r="BS49" s="191">
        <f t="shared" si="86"/>
        <v>0</v>
      </c>
      <c r="BT49" s="191">
        <f t="shared" si="86"/>
        <v>0</v>
      </c>
      <c r="BU49" s="191">
        <f t="shared" si="86"/>
        <v>-70000000</v>
      </c>
      <c r="BV49" s="191">
        <f t="shared" si="86"/>
        <v>0</v>
      </c>
    </row>
    <row r="50" spans="1:74" s="26" customFormat="1" x14ac:dyDescent="0.25"/>
    <row r="51" spans="1:74" s="16" customFormat="1" ht="120" customHeight="1" x14ac:dyDescent="0.25">
      <c r="A51" s="276" t="s">
        <v>666</v>
      </c>
      <c r="B51" s="277"/>
      <c r="C51" s="277"/>
      <c r="D51" s="277"/>
      <c r="E51" s="277"/>
      <c r="F51" s="277"/>
      <c r="G51" s="277"/>
      <c r="H51" s="277"/>
      <c r="I51" s="277"/>
      <c r="J51" s="277"/>
      <c r="K51" s="277"/>
      <c r="L51" s="277"/>
      <c r="M51" s="277"/>
      <c r="N51" s="277"/>
      <c r="O51" s="277"/>
      <c r="P51" s="277"/>
      <c r="Q51" s="277"/>
      <c r="R51" s="277"/>
      <c r="S51" s="277"/>
      <c r="T51" s="277"/>
      <c r="U51" s="277"/>
      <c r="V51" s="277"/>
      <c r="W51" s="277"/>
      <c r="X51" s="277"/>
      <c r="Y51" s="277"/>
      <c r="Z51" s="277"/>
      <c r="AA51" s="277"/>
      <c r="AB51" s="277"/>
      <c r="AC51" s="277"/>
      <c r="AD51" s="277"/>
      <c r="AE51" s="277"/>
      <c r="AF51" s="277"/>
      <c r="AG51" s="277"/>
      <c r="AH51" s="277"/>
      <c r="AI51" s="277"/>
      <c r="AJ51" s="277"/>
      <c r="AK51" s="277"/>
    </row>
  </sheetData>
  <mergeCells count="2">
    <mergeCell ref="A25:AK25"/>
    <mergeCell ref="A51:AK51"/>
  </mergeCells>
  <phoneticPr fontId="1" type="noConversion"/>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平均资本成本表"/>
  <dimension ref="A1:BV16"/>
  <sheetViews>
    <sheetView workbookViewId="0">
      <selection activeCell="E12" sqref="E12"/>
    </sheetView>
  </sheetViews>
  <sheetFormatPr defaultRowHeight="14.4" x14ac:dyDescent="0.25"/>
  <cols>
    <col min="1" max="1" width="63.6640625" style="17" bestFit="1" customWidth="1"/>
    <col min="2" max="4" width="9.5546875" hidden="1" customWidth="1"/>
    <col min="5" max="5" width="19.33203125" bestFit="1" customWidth="1"/>
    <col min="6" max="8" width="19.33203125" hidden="1" customWidth="1"/>
    <col min="9" max="9" width="19.33203125" bestFit="1" customWidth="1"/>
    <col min="10" max="12" width="17.21875" hidden="1" customWidth="1"/>
    <col min="13" max="13" width="17.21875" bestFit="1" customWidth="1"/>
    <col min="14" max="14" width="17.21875" hidden="1" customWidth="1"/>
    <col min="15" max="16" width="17.21875" bestFit="1" customWidth="1"/>
    <col min="17" max="17" width="15" bestFit="1" customWidth="1"/>
    <col min="18" max="18" width="20.44140625" bestFit="1" customWidth="1"/>
    <col min="19" max="20" width="20.44140625" hidden="1" customWidth="1"/>
    <col min="21" max="21" width="20.44140625" bestFit="1" customWidth="1"/>
    <col min="22" max="24" width="20.44140625" hidden="1" customWidth="1"/>
    <col min="25" max="25" width="20.44140625" bestFit="1" customWidth="1"/>
    <col min="26" max="28" width="20.44140625" hidden="1" customWidth="1"/>
    <col min="29" max="29" width="20.44140625" bestFit="1" customWidth="1"/>
    <col min="30" max="32" width="20.44140625" hidden="1" customWidth="1"/>
    <col min="33" max="33" width="20.44140625" bestFit="1" customWidth="1"/>
    <col min="34" max="36" width="20.44140625" hidden="1" customWidth="1"/>
    <col min="37" max="37" width="20.44140625" bestFit="1" customWidth="1"/>
    <col min="38" max="40" width="20.44140625" hidden="1" customWidth="1"/>
    <col min="41" max="41" width="20.44140625" bestFit="1" customWidth="1"/>
    <col min="42" max="44" width="20.44140625" hidden="1" customWidth="1"/>
    <col min="45" max="45" width="19.33203125" bestFit="1" customWidth="1"/>
    <col min="46" max="48" width="19.33203125" hidden="1" customWidth="1"/>
    <col min="49" max="49" width="19.33203125" bestFit="1" customWidth="1"/>
    <col min="50" max="52" width="19.33203125" hidden="1" customWidth="1"/>
    <col min="53" max="53" width="19.33203125" bestFit="1" customWidth="1"/>
    <col min="54" max="56" width="19.33203125" hidden="1" customWidth="1"/>
    <col min="57" max="57" width="19.33203125" bestFit="1" customWidth="1"/>
    <col min="58" max="60" width="19.33203125" hidden="1" customWidth="1"/>
    <col min="61" max="61" width="19.33203125" bestFit="1" customWidth="1"/>
    <col min="62" max="64" width="19.33203125" hidden="1" customWidth="1"/>
    <col min="65" max="65" width="19.33203125" bestFit="1" customWidth="1"/>
    <col min="66" max="66" width="19.33203125" hidden="1" customWidth="1"/>
    <col min="67" max="67" width="19.33203125" bestFit="1" customWidth="1"/>
    <col min="68" max="68" width="19.33203125" hidden="1" customWidth="1"/>
    <col min="69" max="69" width="19.33203125" bestFit="1" customWidth="1"/>
    <col min="70" max="70" width="19.33203125" hidden="1" customWidth="1"/>
    <col min="71" max="71" width="19.33203125" bestFit="1" customWidth="1"/>
    <col min="72" max="72" width="19.33203125" hidden="1" customWidth="1"/>
    <col min="73" max="73" width="19.33203125" bestFit="1" customWidth="1"/>
    <col min="74" max="74" width="9.5546875" hidden="1" customWidth="1"/>
  </cols>
  <sheetData>
    <row r="1" spans="1:74" x14ac:dyDescent="0.25">
      <c r="A1" s="17">
        <v>603060</v>
      </c>
      <c r="B1" s="1">
        <v>43373</v>
      </c>
      <c r="C1" s="1">
        <v>43281</v>
      </c>
      <c r="D1" s="1">
        <v>43190</v>
      </c>
      <c r="E1" s="1">
        <v>43100</v>
      </c>
      <c r="F1" s="1">
        <v>43008</v>
      </c>
      <c r="G1" s="1">
        <v>42916</v>
      </c>
      <c r="H1" s="1">
        <v>42825</v>
      </c>
      <c r="I1" s="1">
        <v>42735</v>
      </c>
      <c r="J1" s="1">
        <v>42643</v>
      </c>
      <c r="K1" s="1">
        <v>42551</v>
      </c>
      <c r="L1" s="1">
        <v>42460</v>
      </c>
      <c r="M1" s="1">
        <v>42369</v>
      </c>
      <c r="N1" s="1">
        <v>42277</v>
      </c>
      <c r="O1" s="1">
        <v>42004</v>
      </c>
      <c r="P1" s="1">
        <v>41639</v>
      </c>
      <c r="Q1" s="1">
        <v>41274</v>
      </c>
      <c r="R1" s="1">
        <v>40908</v>
      </c>
      <c r="S1" s="1">
        <v>25569</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row>
    <row r="2" spans="1:74" s="48" customFormat="1" x14ac:dyDescent="0.25">
      <c r="A2" s="46" t="s">
        <v>327</v>
      </c>
    </row>
    <row r="3" spans="1:74" s="26" customFormat="1" x14ac:dyDescent="0.25">
      <c r="A3" s="17" t="s">
        <v>328</v>
      </c>
      <c r="B3" s="26">
        <f>平均资本成本表!E53</f>
        <v>0</v>
      </c>
      <c r="E3" s="26">
        <f>股权价值增加表!E53</f>
        <v>378508.09</v>
      </c>
      <c r="F3" s="26">
        <f>股权价值增加表!F53</f>
        <v>0</v>
      </c>
      <c r="G3" s="26">
        <f>股权价值增加表!G53</f>
        <v>0</v>
      </c>
      <c r="H3" s="26">
        <f>股权价值增加表!H53</f>
        <v>0</v>
      </c>
      <c r="I3" s="26">
        <f>股权价值增加表!I53</f>
        <v>4668557.12</v>
      </c>
      <c r="J3" s="26">
        <f>股权价值增加表!J53</f>
        <v>0</v>
      </c>
      <c r="K3" s="26">
        <f>股权价值增加表!K53</f>
        <v>0</v>
      </c>
      <c r="L3" s="26">
        <f>股权价值增加表!L53</f>
        <v>0</v>
      </c>
      <c r="M3" s="26">
        <f>股权价值增加表!M53</f>
        <v>5798721.3799999999</v>
      </c>
      <c r="N3" s="26">
        <f>股权价值增加表!N53</f>
        <v>0</v>
      </c>
      <c r="O3" s="26">
        <f>股权价值增加表!O53</f>
        <v>0</v>
      </c>
      <c r="P3" s="26">
        <f>股权价值增加表!P53</f>
        <v>0</v>
      </c>
      <c r="Q3" s="26">
        <f>股权价值增加表!Q53</f>
        <v>0</v>
      </c>
      <c r="R3" s="26">
        <f>股权价值增加表!R53</f>
        <v>0</v>
      </c>
      <c r="S3" s="26">
        <f>股权价值增加表!S53</f>
        <v>0</v>
      </c>
      <c r="T3" s="26">
        <f>股权价值增加表!T53</f>
        <v>0</v>
      </c>
      <c r="U3" s="26">
        <f>股权价值增加表!U53</f>
        <v>0</v>
      </c>
      <c r="V3" s="26">
        <f>股权价值增加表!V53</f>
        <v>0</v>
      </c>
      <c r="W3" s="26">
        <f>股权价值增加表!W53</f>
        <v>0</v>
      </c>
      <c r="X3" s="26">
        <f>股权价值增加表!X53</f>
        <v>0</v>
      </c>
      <c r="Y3" s="26">
        <f>股权价值增加表!Y53</f>
        <v>0</v>
      </c>
      <c r="Z3" s="26">
        <f>股权价值增加表!Z53</f>
        <v>0</v>
      </c>
      <c r="AA3" s="26">
        <f>股权价值增加表!AA53</f>
        <v>0</v>
      </c>
      <c r="AB3" s="26">
        <f>股权价值增加表!AB53</f>
        <v>0</v>
      </c>
      <c r="AC3" s="26">
        <f>股权价值增加表!AC53</f>
        <v>0</v>
      </c>
      <c r="AD3" s="26">
        <f>股权价值增加表!AD53</f>
        <v>0</v>
      </c>
      <c r="AE3" s="26">
        <f>股权价值增加表!AE53</f>
        <v>0</v>
      </c>
      <c r="AF3" s="26">
        <f>股权价值增加表!AF53</f>
        <v>0</v>
      </c>
      <c r="AG3" s="26">
        <f>股权价值增加表!AG53</f>
        <v>0</v>
      </c>
      <c r="AH3" s="26">
        <f>股权价值增加表!AH53</f>
        <v>0</v>
      </c>
      <c r="AI3" s="26">
        <f>股权价值增加表!AI53</f>
        <v>0</v>
      </c>
      <c r="AJ3" s="26">
        <f>股权价值增加表!AJ53</f>
        <v>0</v>
      </c>
      <c r="AK3" s="26">
        <f>股权价值增加表!AK53</f>
        <v>0</v>
      </c>
      <c r="AL3" s="26">
        <f>股权价值增加表!AL53</f>
        <v>0</v>
      </c>
      <c r="AM3" s="26">
        <f>股权价值增加表!AM53</f>
        <v>0</v>
      </c>
      <c r="AN3" s="26">
        <f>股权价值增加表!AN53</f>
        <v>0</v>
      </c>
      <c r="AO3" s="26">
        <f>股权价值增加表!AO53</f>
        <v>0</v>
      </c>
      <c r="AP3" s="26">
        <f>股权价值增加表!AP53</f>
        <v>0</v>
      </c>
      <c r="AQ3" s="26">
        <f>股权价值增加表!AQ53</f>
        <v>0</v>
      </c>
      <c r="AR3" s="26">
        <f>股权价值增加表!AR53</f>
        <v>0</v>
      </c>
      <c r="AS3" s="26">
        <f>股权价值增加表!AS53</f>
        <v>0</v>
      </c>
      <c r="AT3" s="26">
        <f>股权价值增加表!AT53</f>
        <v>0</v>
      </c>
      <c r="AU3" s="26">
        <f>股权价值增加表!AU53</f>
        <v>0</v>
      </c>
      <c r="AV3" s="26">
        <f>股权价值增加表!AV53</f>
        <v>0</v>
      </c>
      <c r="AW3" s="26">
        <f>股权价值增加表!AW53</f>
        <v>0</v>
      </c>
      <c r="AX3" s="26">
        <f>股权价值增加表!AX53</f>
        <v>0</v>
      </c>
      <c r="AY3" s="26">
        <f>股权价值增加表!AY53</f>
        <v>0</v>
      </c>
      <c r="AZ3" s="26">
        <f>股权价值增加表!AZ53</f>
        <v>0</v>
      </c>
      <c r="BA3" s="26">
        <f>股权价值增加表!BA53</f>
        <v>0</v>
      </c>
      <c r="BB3" s="26">
        <f>股权价值增加表!BB53</f>
        <v>0</v>
      </c>
      <c r="BC3" s="26">
        <f>股权价值增加表!BC53</f>
        <v>0</v>
      </c>
      <c r="BD3" s="26">
        <f>股权价值增加表!BD53</f>
        <v>0</v>
      </c>
      <c r="BE3" s="26">
        <f>股权价值增加表!BE53</f>
        <v>0</v>
      </c>
      <c r="BF3" s="26">
        <f>股权价值增加表!BF53</f>
        <v>0</v>
      </c>
      <c r="BG3" s="26">
        <f>股权价值增加表!BG53</f>
        <v>0</v>
      </c>
      <c r="BH3" s="26">
        <f>股权价值增加表!BH53</f>
        <v>0</v>
      </c>
      <c r="BI3" s="26">
        <f>股权价值增加表!BI53</f>
        <v>0</v>
      </c>
      <c r="BJ3" s="26">
        <f>股权价值增加表!BJ53</f>
        <v>0</v>
      </c>
      <c r="BK3" s="26">
        <f>股权价值增加表!BK53</f>
        <v>0</v>
      </c>
      <c r="BL3" s="26">
        <f>股权价值增加表!BL53</f>
        <v>0</v>
      </c>
      <c r="BM3" s="26">
        <f>股权价值增加表!BM53</f>
        <v>0</v>
      </c>
      <c r="BN3" s="26">
        <f>股权价值增加表!BN53</f>
        <v>0</v>
      </c>
      <c r="BO3" s="26">
        <f>股权价值增加表!BO53</f>
        <v>0</v>
      </c>
      <c r="BP3" s="26">
        <f>股权价值增加表!BP53</f>
        <v>0</v>
      </c>
      <c r="BQ3" s="26">
        <f>股权价值增加表!BQ53</f>
        <v>0</v>
      </c>
      <c r="BR3" s="26">
        <f>股权价值增加表!BR53</f>
        <v>0</v>
      </c>
      <c r="BS3" s="26">
        <f>股权价值增加表!BS53</f>
        <v>0</v>
      </c>
      <c r="BT3" s="26">
        <f>股权价值增加表!BT53</f>
        <v>0</v>
      </c>
      <c r="BU3" s="26">
        <f>股权价值增加表!BU53</f>
        <v>0</v>
      </c>
      <c r="BV3" s="26">
        <f>股权价值增加表!BV53</f>
        <v>0</v>
      </c>
    </row>
    <row r="4" spans="1:74" s="26" customFormat="1" x14ac:dyDescent="0.25">
      <c r="A4" s="17" t="s">
        <v>329</v>
      </c>
      <c r="E4" s="26">
        <f>资产资本表!E89</f>
        <v>0</v>
      </c>
      <c r="F4" s="26">
        <f>资产资本表!F89</f>
        <v>0</v>
      </c>
      <c r="G4" s="26">
        <f>资产资本表!G89</f>
        <v>0</v>
      </c>
      <c r="H4" s="26">
        <f>资产资本表!H89</f>
        <v>43651183.420000002</v>
      </c>
      <c r="I4" s="26">
        <f>资产资本表!I89</f>
        <v>76655193.420000002</v>
      </c>
      <c r="J4" s="26">
        <f>资产资本表!J89</f>
        <v>112348118.75</v>
      </c>
      <c r="K4" s="26">
        <f>资产资本表!K89</f>
        <v>111893390.84</v>
      </c>
      <c r="L4" s="26">
        <f>资产资本表!L89</f>
        <v>90417725.329999998</v>
      </c>
      <c r="M4" s="26">
        <f>资产资本表!M89</f>
        <v>103040800</v>
      </c>
      <c r="N4" s="26">
        <f>资产资本表!N89</f>
        <v>178435714</v>
      </c>
      <c r="O4" s="26">
        <f>资产资本表!O89</f>
        <v>71213008.239999995</v>
      </c>
      <c r="P4" s="26">
        <f>资产资本表!P89</f>
        <v>23881671.98</v>
      </c>
      <c r="Q4" s="26">
        <f>资产资本表!Q89</f>
        <v>0</v>
      </c>
      <c r="R4" s="26">
        <f>资产资本表!R89</f>
        <v>0</v>
      </c>
      <c r="S4" s="26">
        <f>资产资本表!S89</f>
        <v>0</v>
      </c>
      <c r="T4" s="26">
        <f>资产资本表!T89</f>
        <v>0</v>
      </c>
      <c r="U4" s="26">
        <f>资产资本表!U89</f>
        <v>0</v>
      </c>
      <c r="V4" s="26">
        <f>资产资本表!V89</f>
        <v>0</v>
      </c>
      <c r="W4" s="26">
        <f>资产资本表!W89</f>
        <v>0</v>
      </c>
      <c r="X4" s="26">
        <f>资产资本表!X89</f>
        <v>0</v>
      </c>
      <c r="Y4" s="26">
        <f>资产资本表!Y89</f>
        <v>0</v>
      </c>
      <c r="Z4" s="26">
        <f>资产资本表!Z89</f>
        <v>0</v>
      </c>
      <c r="AA4" s="26">
        <f>资产资本表!AA89</f>
        <v>0</v>
      </c>
      <c r="AB4" s="26">
        <f>资产资本表!AB89</f>
        <v>0</v>
      </c>
      <c r="AC4" s="26">
        <f>资产资本表!AC89</f>
        <v>0</v>
      </c>
      <c r="AD4" s="26">
        <f>资产资本表!AD89</f>
        <v>0</v>
      </c>
      <c r="AE4" s="26">
        <f>资产资本表!AE89</f>
        <v>0</v>
      </c>
      <c r="AF4" s="26">
        <f>资产资本表!AF89</f>
        <v>0</v>
      </c>
      <c r="AG4" s="26">
        <f>资产资本表!AG89</f>
        <v>0</v>
      </c>
      <c r="AH4" s="26">
        <f>资产资本表!AH89</f>
        <v>0</v>
      </c>
      <c r="AI4" s="26">
        <f>资产资本表!AI89</f>
        <v>0</v>
      </c>
      <c r="AJ4" s="26">
        <f>资产资本表!AJ89</f>
        <v>0</v>
      </c>
      <c r="AK4" s="26">
        <f>资产资本表!AK89</f>
        <v>0</v>
      </c>
      <c r="AL4" s="26">
        <f>资产资本表!AL89</f>
        <v>0</v>
      </c>
      <c r="AM4" s="26">
        <f>资产资本表!AM89</f>
        <v>0</v>
      </c>
      <c r="AN4" s="26">
        <f>资产资本表!AN89</f>
        <v>0</v>
      </c>
      <c r="AO4" s="26">
        <f>资产资本表!AO89</f>
        <v>0</v>
      </c>
      <c r="AP4" s="26">
        <f>资产资本表!AP89</f>
        <v>0</v>
      </c>
      <c r="AQ4" s="26">
        <f>资产资本表!AQ89</f>
        <v>0</v>
      </c>
      <c r="AR4" s="26">
        <f>资产资本表!AR89</f>
        <v>0</v>
      </c>
      <c r="AS4" s="26">
        <f>资产资本表!AS89</f>
        <v>0</v>
      </c>
      <c r="AT4" s="26">
        <f>资产资本表!AT89</f>
        <v>0</v>
      </c>
      <c r="AU4" s="26">
        <f>资产资本表!AU89</f>
        <v>0</v>
      </c>
      <c r="AV4" s="26">
        <f>资产资本表!AV89</f>
        <v>0</v>
      </c>
      <c r="AW4" s="26">
        <f>资产资本表!AW89</f>
        <v>0</v>
      </c>
      <c r="AX4" s="26">
        <f>资产资本表!AX89</f>
        <v>0</v>
      </c>
      <c r="AY4" s="26">
        <f>资产资本表!AY89</f>
        <v>0</v>
      </c>
      <c r="AZ4" s="26">
        <f>资产资本表!AZ89</f>
        <v>0</v>
      </c>
      <c r="BA4" s="26">
        <f>资产资本表!BA89</f>
        <v>0</v>
      </c>
      <c r="BB4" s="26">
        <f>资产资本表!BB89</f>
        <v>0</v>
      </c>
      <c r="BC4" s="26">
        <f>资产资本表!BC89</f>
        <v>0</v>
      </c>
      <c r="BD4" s="26">
        <f>资产资本表!BD89</f>
        <v>0</v>
      </c>
      <c r="BE4" s="26">
        <f>资产资本表!BE89</f>
        <v>0</v>
      </c>
      <c r="BF4" s="26">
        <f>资产资本表!BF89</f>
        <v>0</v>
      </c>
      <c r="BG4" s="26">
        <f>资产资本表!BG89</f>
        <v>0</v>
      </c>
      <c r="BH4" s="26">
        <f>资产资本表!BH89</f>
        <v>0</v>
      </c>
      <c r="BI4" s="26">
        <f>资产资本表!BI89</f>
        <v>0</v>
      </c>
      <c r="BJ4" s="26">
        <f>资产资本表!BJ89</f>
        <v>0</v>
      </c>
      <c r="BK4" s="26">
        <f>资产资本表!BK89</f>
        <v>0</v>
      </c>
      <c r="BL4" s="26">
        <f>资产资本表!BL89</f>
        <v>0</v>
      </c>
      <c r="BM4" s="26">
        <f>资产资本表!BM89</f>
        <v>0</v>
      </c>
      <c r="BN4" s="26">
        <f>资产资本表!BN89</f>
        <v>0</v>
      </c>
      <c r="BO4" s="26">
        <f>资产资本表!BO89</f>
        <v>0</v>
      </c>
      <c r="BP4" s="26">
        <f>资产资本表!BP89</f>
        <v>0</v>
      </c>
      <c r="BQ4" s="26">
        <f>资产资本表!BQ89</f>
        <v>0</v>
      </c>
      <c r="BR4" s="26">
        <f>资产资本表!BR89</f>
        <v>0</v>
      </c>
      <c r="BS4" s="26">
        <f>资产资本表!BS89</f>
        <v>0</v>
      </c>
      <c r="BT4" s="26">
        <f>资产资本表!BT89</f>
        <v>0</v>
      </c>
      <c r="BU4" s="26">
        <f>资产资本表!BU89</f>
        <v>0</v>
      </c>
      <c r="BV4" s="26">
        <f>资产资本表!BV89</f>
        <v>0</v>
      </c>
    </row>
    <row r="5" spans="1:74" s="63" customFormat="1" x14ac:dyDescent="0.25">
      <c r="A5" s="63" t="s">
        <v>333</v>
      </c>
      <c r="E5" s="63">
        <f>IF(E4+I4=0,0,E3/((E4+I4)/2))</f>
        <v>9.8756019810979697E-3</v>
      </c>
      <c r="F5" s="63">
        <f t="shared" ref="F5:BQ5" si="0">IF(F4+J4=0,0,F3/((F4+J4)/2))</f>
        <v>0</v>
      </c>
      <c r="G5" s="63">
        <f t="shared" si="0"/>
        <v>0</v>
      </c>
      <c r="H5" s="63">
        <f t="shared" si="0"/>
        <v>0</v>
      </c>
      <c r="I5" s="63">
        <f t="shared" si="0"/>
        <v>5.196061449281477E-2</v>
      </c>
      <c r="J5" s="63">
        <f t="shared" si="0"/>
        <v>0</v>
      </c>
      <c r="K5" s="63">
        <f t="shared" si="0"/>
        <v>0</v>
      </c>
      <c r="L5" s="63">
        <f t="shared" si="0"/>
        <v>0</v>
      </c>
      <c r="M5" s="63">
        <f t="shared" si="0"/>
        <v>0.1125519479662425</v>
      </c>
      <c r="N5" s="63">
        <f t="shared" si="0"/>
        <v>0</v>
      </c>
      <c r="O5" s="63">
        <f t="shared" si="0"/>
        <v>0</v>
      </c>
      <c r="P5" s="63">
        <f t="shared" si="0"/>
        <v>0</v>
      </c>
      <c r="Q5" s="63">
        <f t="shared" si="0"/>
        <v>0</v>
      </c>
      <c r="R5" s="63">
        <f t="shared" si="0"/>
        <v>0</v>
      </c>
      <c r="S5" s="63">
        <f t="shared" si="0"/>
        <v>0</v>
      </c>
      <c r="T5" s="63">
        <f t="shared" si="0"/>
        <v>0</v>
      </c>
      <c r="U5" s="63">
        <f t="shared" si="0"/>
        <v>0</v>
      </c>
      <c r="V5" s="63">
        <f t="shared" si="0"/>
        <v>0</v>
      </c>
      <c r="W5" s="63">
        <f t="shared" si="0"/>
        <v>0</v>
      </c>
      <c r="X5" s="63">
        <f t="shared" si="0"/>
        <v>0</v>
      </c>
      <c r="Y5" s="63">
        <f t="shared" si="0"/>
        <v>0</v>
      </c>
      <c r="Z5" s="63">
        <f t="shared" si="0"/>
        <v>0</v>
      </c>
      <c r="AA5" s="63">
        <f t="shared" si="0"/>
        <v>0</v>
      </c>
      <c r="AB5" s="63">
        <f t="shared" si="0"/>
        <v>0</v>
      </c>
      <c r="AC5" s="63">
        <f t="shared" si="0"/>
        <v>0</v>
      </c>
      <c r="AD5" s="63">
        <f t="shared" si="0"/>
        <v>0</v>
      </c>
      <c r="AE5" s="63">
        <f t="shared" si="0"/>
        <v>0</v>
      </c>
      <c r="AF5" s="63">
        <f t="shared" si="0"/>
        <v>0</v>
      </c>
      <c r="AG5" s="63">
        <f t="shared" si="0"/>
        <v>0</v>
      </c>
      <c r="AH5" s="63">
        <f t="shared" si="0"/>
        <v>0</v>
      </c>
      <c r="AI5" s="63">
        <f t="shared" si="0"/>
        <v>0</v>
      </c>
      <c r="AJ5" s="63">
        <f t="shared" si="0"/>
        <v>0</v>
      </c>
      <c r="AK5" s="63">
        <f t="shared" si="0"/>
        <v>0</v>
      </c>
      <c r="AL5" s="63">
        <f t="shared" si="0"/>
        <v>0</v>
      </c>
      <c r="AM5" s="63">
        <f t="shared" si="0"/>
        <v>0</v>
      </c>
      <c r="AN5" s="63">
        <f t="shared" si="0"/>
        <v>0</v>
      </c>
      <c r="AO5" s="63">
        <f t="shared" si="0"/>
        <v>0</v>
      </c>
      <c r="AP5" s="63">
        <f t="shared" si="0"/>
        <v>0</v>
      </c>
      <c r="AQ5" s="63">
        <f t="shared" si="0"/>
        <v>0</v>
      </c>
      <c r="AR5" s="63">
        <f t="shared" si="0"/>
        <v>0</v>
      </c>
      <c r="AS5" s="63">
        <f t="shared" si="0"/>
        <v>0</v>
      </c>
      <c r="AT5" s="63">
        <f t="shared" si="0"/>
        <v>0</v>
      </c>
      <c r="AU5" s="63">
        <f t="shared" si="0"/>
        <v>0</v>
      </c>
      <c r="AV5" s="63">
        <f t="shared" si="0"/>
        <v>0</v>
      </c>
      <c r="AW5" s="63">
        <f t="shared" si="0"/>
        <v>0</v>
      </c>
      <c r="AX5" s="63">
        <f t="shared" si="0"/>
        <v>0</v>
      </c>
      <c r="AY5" s="63">
        <f t="shared" si="0"/>
        <v>0</v>
      </c>
      <c r="AZ5" s="63">
        <f t="shared" si="0"/>
        <v>0</v>
      </c>
      <c r="BA5" s="63">
        <f t="shared" si="0"/>
        <v>0</v>
      </c>
      <c r="BB5" s="63">
        <f t="shared" si="0"/>
        <v>0</v>
      </c>
      <c r="BC5" s="63">
        <f t="shared" si="0"/>
        <v>0</v>
      </c>
      <c r="BD5" s="63">
        <f t="shared" si="0"/>
        <v>0</v>
      </c>
      <c r="BE5" s="63">
        <f t="shared" si="0"/>
        <v>0</v>
      </c>
      <c r="BF5" s="63">
        <f t="shared" si="0"/>
        <v>0</v>
      </c>
      <c r="BG5" s="63">
        <f t="shared" si="0"/>
        <v>0</v>
      </c>
      <c r="BH5" s="63">
        <f t="shared" si="0"/>
        <v>0</v>
      </c>
      <c r="BI5" s="63">
        <f t="shared" si="0"/>
        <v>0</v>
      </c>
      <c r="BJ5" s="63">
        <f t="shared" si="0"/>
        <v>0</v>
      </c>
      <c r="BK5" s="63">
        <f t="shared" si="0"/>
        <v>0</v>
      </c>
      <c r="BL5" s="63">
        <f t="shared" si="0"/>
        <v>0</v>
      </c>
      <c r="BM5" s="63">
        <f t="shared" si="0"/>
        <v>0</v>
      </c>
      <c r="BN5" s="63">
        <f t="shared" si="0"/>
        <v>0</v>
      </c>
      <c r="BO5" s="63">
        <f t="shared" si="0"/>
        <v>0</v>
      </c>
      <c r="BP5" s="63">
        <f t="shared" si="0"/>
        <v>0</v>
      </c>
      <c r="BQ5" s="63">
        <f t="shared" si="0"/>
        <v>0</v>
      </c>
      <c r="BR5" s="63">
        <f t="shared" ref="BR5:BV5" si="1">IF(BR4+BV4=0,0,BR3/((BR4+BV4)/2))</f>
        <v>0</v>
      </c>
      <c r="BS5" s="63">
        <f t="shared" si="1"/>
        <v>0</v>
      </c>
      <c r="BT5" s="63">
        <f t="shared" si="1"/>
        <v>0</v>
      </c>
      <c r="BU5" s="63">
        <f t="shared" si="1"/>
        <v>0</v>
      </c>
      <c r="BV5" s="63">
        <f t="shared" si="1"/>
        <v>0</v>
      </c>
    </row>
    <row r="6" spans="1:74" s="63" customFormat="1" x14ac:dyDescent="0.25">
      <c r="A6" s="63" t="s">
        <v>346</v>
      </c>
      <c r="E6" s="63">
        <f>股权价值增加表!E41</f>
        <v>0.15392334875860242</v>
      </c>
      <c r="F6" s="63">
        <f>股权价值增加表!F41</f>
        <v>0.16239012876467226</v>
      </c>
      <c r="G6" s="63">
        <f>股权价值增加表!G41</f>
        <v>0.17726988412841904</v>
      </c>
      <c r="H6" s="63">
        <f>股权价值增加表!H41</f>
        <v>0.19949409292566414</v>
      </c>
      <c r="I6" s="63">
        <f>股权价值增加表!I41</f>
        <v>0.14746581532756517</v>
      </c>
      <c r="J6" s="63">
        <f>股权价值增加表!J41</f>
        <v>0.15801608590381105</v>
      </c>
      <c r="K6" s="63">
        <f>股权价值增加表!K41</f>
        <v>0.16131546611244418</v>
      </c>
      <c r="L6" s="63">
        <f>股权价值增加表!L41</f>
        <v>0.18683685429180114</v>
      </c>
      <c r="M6" s="63">
        <f>股权价值增加表!M41</f>
        <v>0.15393949090814096</v>
      </c>
      <c r="N6" s="63">
        <f>股权价值增加表!N41</f>
        <v>0.16534502140761798</v>
      </c>
      <c r="O6" s="63">
        <f>股权价值增加表!O41</f>
        <v>0.15347692316045833</v>
      </c>
      <c r="P6" s="63">
        <f>股权价值增加表!P41</f>
        <v>0.16611842305330007</v>
      </c>
      <c r="Q6" s="63">
        <f>股权价值增加表!Q41</f>
        <v>0.18673189519888075</v>
      </c>
      <c r="R6" s="63">
        <f>股权价值增加表!R41</f>
        <v>0.17350476805724366</v>
      </c>
      <c r="S6" s="63" t="e">
        <f>股权价值增加表!S41</f>
        <v>#DIV/0!</v>
      </c>
      <c r="T6" s="63">
        <f>股权价值增加表!T41</f>
        <v>3.8054197786823956</v>
      </c>
      <c r="U6" s="63">
        <f>股权价值增加表!U41</f>
        <v>3.4966723297173448</v>
      </c>
      <c r="V6" s="63">
        <f>股权价值增加表!V41</f>
        <v>3.6700742808608782</v>
      </c>
      <c r="W6" s="63">
        <f>股权价值增加表!W41</f>
        <v>4.1600802808156203</v>
      </c>
      <c r="X6" s="63">
        <f>股权价值增加表!X41</f>
        <v>5.1745322558829017</v>
      </c>
      <c r="Y6" s="63">
        <f>股权价值增加表!Y41</f>
        <v>4.2259737182528205</v>
      </c>
      <c r="Z6" s="63">
        <f>股权价值增加表!Z41</f>
        <v>4.1994958162188993</v>
      </c>
      <c r="AA6" s="63">
        <f>股权价值增加表!AA41</f>
        <v>4.2888934709841644</v>
      </c>
      <c r="AB6" s="63">
        <f>股权价值增加表!AB41</f>
        <v>7.2529196118367807</v>
      </c>
      <c r="AC6" s="63">
        <f>股权价值增加表!AC41</f>
        <v>4.3403190402720826</v>
      </c>
      <c r="AD6" s="63">
        <f>股权价值增加表!AD41</f>
        <v>6.8662940813406408</v>
      </c>
      <c r="AE6" s="63">
        <f>股权价值增加表!AE41</f>
        <v>6.0151388463021531</v>
      </c>
      <c r="AF6" s="63">
        <f>股权价值增加表!AF41</f>
        <v>29.841717588486997</v>
      </c>
      <c r="AG6" s="63">
        <f>股权价值增加表!AG41</f>
        <v>7.7005557380970249</v>
      </c>
      <c r="AH6" s="63">
        <f>股权价值增加表!AH41</f>
        <v>11.267420694522546</v>
      </c>
      <c r="AI6" s="63">
        <f>股权价值增加表!AI41</f>
        <v>9.8740053906789367</v>
      </c>
      <c r="AJ6" s="63">
        <f>股权价值增加表!AJ41</f>
        <v>41.974362341375894</v>
      </c>
      <c r="AK6" s="63">
        <f>股权价值增加表!AK41</f>
        <v>10.321847157562512</v>
      </c>
      <c r="AL6" s="63">
        <f>股权价值增加表!AL41</f>
        <v>11.854023058184643</v>
      </c>
      <c r="AM6" s="63">
        <f>股权价值增加表!AM41</f>
        <v>14.068775080429651</v>
      </c>
      <c r="AN6" s="63">
        <f>股权价值增加表!AN41</f>
        <v>35.664573379659004</v>
      </c>
      <c r="AO6" s="63">
        <f>股权价值增加表!AO41</f>
        <v>3.52531305832122</v>
      </c>
      <c r="AP6" s="63">
        <f>股权价值增加表!AP41</f>
        <v>5.7377873328213909</v>
      </c>
      <c r="AQ6" s="63">
        <f>股权价值增加表!AQ41</f>
        <v>5.4623444638231016</v>
      </c>
      <c r="AR6" s="63">
        <f>股权价值增加表!AR41</f>
        <v>21.506440938812048</v>
      </c>
      <c r="AS6" s="63">
        <f>股权价值增加表!AS41</f>
        <v>7.3937250836614146</v>
      </c>
      <c r="AT6" s="63">
        <f>股权价值增加表!AT41</f>
        <v>15.592366512196667</v>
      </c>
      <c r="AU6" s="63">
        <f>股权价值增加表!AU41</f>
        <v>15.376416082794156</v>
      </c>
      <c r="AV6" s="63">
        <f>股权价值增加表!AV41</f>
        <v>92.644454630179325</v>
      </c>
      <c r="AW6" s="63">
        <f>股权价值增加表!AW41</f>
        <v>10.916220541131098</v>
      </c>
      <c r="AX6" s="63">
        <f>股权价值增加表!AX41</f>
        <v>18.231369460204579</v>
      </c>
      <c r="AY6" s="63">
        <f>股权价值增加表!AY41</f>
        <v>16.021387764306059</v>
      </c>
      <c r="AZ6" s="63">
        <f>股权价值增加表!AZ41</f>
        <v>93.098322439196252</v>
      </c>
      <c r="BA6" s="63">
        <f>股权价值增加表!BA41</f>
        <v>18.631308838172576</v>
      </c>
      <c r="BB6" s="63">
        <f>股权价值增加表!BB41</f>
        <v>55.304324722487436</v>
      </c>
      <c r="BC6" s="63">
        <f>股权价值增加表!BC41</f>
        <v>67.277250227328935</v>
      </c>
      <c r="BD6" s="63">
        <f>股权价值增加表!BD41</f>
        <v>39.372760490940244</v>
      </c>
      <c r="BE6" s="63">
        <f>股权价值增加表!BE41</f>
        <v>16.764297507062913</v>
      </c>
      <c r="BF6" s="63">
        <f>股权价值增加表!BF41</f>
        <v>27.049077122304052</v>
      </c>
      <c r="BG6" s="63">
        <f>股权价值增加表!BG41</f>
        <v>24.303157252166653</v>
      </c>
      <c r="BH6" s="63">
        <f>股权价值增加表!BH41</f>
        <v>70.000749015543192</v>
      </c>
      <c r="BI6" s="63">
        <f>股权价值增加表!BI41</f>
        <v>13.790967082937895</v>
      </c>
      <c r="BJ6" s="63">
        <f>股权价值增加表!BJ41</f>
        <v>15.67040258955069</v>
      </c>
      <c r="BK6" s="63">
        <f>股权价值增加表!BK41</f>
        <v>20.530470057823827</v>
      </c>
      <c r="BL6" s="63">
        <f>股权价值增加表!BL41</f>
        <v>76.496332781702776</v>
      </c>
      <c r="BM6" s="63">
        <f>股权价值增加表!BM41</f>
        <v>9.3062959249435355</v>
      </c>
      <c r="BN6" s="63">
        <f>股权价值增加表!BN41</f>
        <v>8.0800067537645504</v>
      </c>
      <c r="BO6" s="63">
        <f>股权价值增加表!BO41</f>
        <v>9.6301249443167141</v>
      </c>
      <c r="BP6" s="63">
        <f>股权价值增加表!BP41</f>
        <v>16.511200920697274</v>
      </c>
      <c r="BQ6" s="63">
        <f>股权价值增加表!BQ41</f>
        <v>3.0916829946917983</v>
      </c>
      <c r="BR6" s="63">
        <f>股权价值增加表!BR41</f>
        <v>12.625</v>
      </c>
      <c r="BS6" s="63">
        <f>股权价值增加表!BS41</f>
        <v>6.8283566880658215</v>
      </c>
      <c r="BT6" s="63">
        <f>股权价值增加表!BT41</f>
        <v>12.853075776272602</v>
      </c>
      <c r="BU6" s="63">
        <f>股权价值增加表!BU41</f>
        <v>14.285141378045161</v>
      </c>
    </row>
    <row r="7" spans="1:74" s="63" customFormat="1" x14ac:dyDescent="0.25">
      <c r="A7" s="63" t="s">
        <v>330</v>
      </c>
      <c r="E7" s="63">
        <f>E5*(1-E6)</f>
        <v>8.3555162531602813E-3</v>
      </c>
      <c r="F7" s="63">
        <f t="shared" ref="F7:BQ7" si="2">F5*(1-F6)</f>
        <v>0</v>
      </c>
      <c r="G7" s="63">
        <f t="shared" si="2"/>
        <v>0</v>
      </c>
      <c r="H7" s="63">
        <f t="shared" si="2"/>
        <v>0</v>
      </c>
      <c r="I7" s="63">
        <f t="shared" si="2"/>
        <v>4.429820011171054E-2</v>
      </c>
      <c r="J7" s="63">
        <f t="shared" si="2"/>
        <v>0</v>
      </c>
      <c r="K7" s="63">
        <f t="shared" si="2"/>
        <v>0</v>
      </c>
      <c r="L7" s="63">
        <f t="shared" si="2"/>
        <v>0</v>
      </c>
      <c r="M7" s="63">
        <f t="shared" si="2"/>
        <v>9.5225758395599561E-2</v>
      </c>
      <c r="N7" s="63">
        <f t="shared" si="2"/>
        <v>0</v>
      </c>
      <c r="O7" s="63">
        <f t="shared" si="2"/>
        <v>0</v>
      </c>
      <c r="P7" s="63">
        <f t="shared" si="2"/>
        <v>0</v>
      </c>
      <c r="Q7" s="63">
        <f t="shared" si="2"/>
        <v>0</v>
      </c>
      <c r="R7" s="63">
        <f t="shared" si="2"/>
        <v>0</v>
      </c>
      <c r="S7" s="63" t="e">
        <f t="shared" si="2"/>
        <v>#DIV/0!</v>
      </c>
      <c r="T7" s="63">
        <f t="shared" si="2"/>
        <v>0</v>
      </c>
      <c r="U7" s="63">
        <f t="shared" si="2"/>
        <v>0</v>
      </c>
      <c r="V7" s="63">
        <f t="shared" si="2"/>
        <v>0</v>
      </c>
      <c r="W7" s="63">
        <f t="shared" si="2"/>
        <v>0</v>
      </c>
      <c r="X7" s="63">
        <f t="shared" si="2"/>
        <v>0</v>
      </c>
      <c r="Y7" s="63">
        <f t="shared" si="2"/>
        <v>0</v>
      </c>
      <c r="Z7" s="63">
        <f t="shared" si="2"/>
        <v>0</v>
      </c>
      <c r="AA7" s="63">
        <f t="shared" si="2"/>
        <v>0</v>
      </c>
      <c r="AB7" s="63">
        <f t="shared" si="2"/>
        <v>0</v>
      </c>
      <c r="AC7" s="63">
        <f t="shared" si="2"/>
        <v>0</v>
      </c>
      <c r="AD7" s="63">
        <f t="shared" si="2"/>
        <v>0</v>
      </c>
      <c r="AE7" s="63">
        <f t="shared" si="2"/>
        <v>0</v>
      </c>
      <c r="AF7" s="63">
        <f t="shared" si="2"/>
        <v>0</v>
      </c>
      <c r="AG7" s="63">
        <f t="shared" si="2"/>
        <v>0</v>
      </c>
      <c r="AH7" s="63">
        <f t="shared" si="2"/>
        <v>0</v>
      </c>
      <c r="AI7" s="63">
        <f t="shared" si="2"/>
        <v>0</v>
      </c>
      <c r="AJ7" s="63">
        <f t="shared" si="2"/>
        <v>0</v>
      </c>
      <c r="AK7" s="63">
        <f t="shared" si="2"/>
        <v>0</v>
      </c>
      <c r="AL7" s="63">
        <f t="shared" si="2"/>
        <v>0</v>
      </c>
      <c r="AM7" s="63">
        <f t="shared" si="2"/>
        <v>0</v>
      </c>
      <c r="AN7" s="63">
        <f t="shared" si="2"/>
        <v>0</v>
      </c>
      <c r="AO7" s="63">
        <f t="shared" si="2"/>
        <v>0</v>
      </c>
      <c r="AP7" s="63">
        <f t="shared" si="2"/>
        <v>0</v>
      </c>
      <c r="AQ7" s="63">
        <f t="shared" si="2"/>
        <v>0</v>
      </c>
      <c r="AR7" s="63">
        <f t="shared" si="2"/>
        <v>0</v>
      </c>
      <c r="AS7" s="63">
        <f t="shared" si="2"/>
        <v>0</v>
      </c>
      <c r="AT7" s="63">
        <f t="shared" si="2"/>
        <v>0</v>
      </c>
      <c r="AU7" s="63">
        <f t="shared" si="2"/>
        <v>0</v>
      </c>
      <c r="AV7" s="63">
        <f t="shared" si="2"/>
        <v>0</v>
      </c>
      <c r="AW7" s="63">
        <f t="shared" si="2"/>
        <v>0</v>
      </c>
      <c r="AX7" s="63">
        <f t="shared" si="2"/>
        <v>0</v>
      </c>
      <c r="AY7" s="63">
        <f t="shared" si="2"/>
        <v>0</v>
      </c>
      <c r="AZ7" s="63">
        <f t="shared" si="2"/>
        <v>0</v>
      </c>
      <c r="BA7" s="63">
        <f t="shared" si="2"/>
        <v>0</v>
      </c>
      <c r="BB7" s="63">
        <f t="shared" si="2"/>
        <v>0</v>
      </c>
      <c r="BC7" s="63">
        <f t="shared" si="2"/>
        <v>0</v>
      </c>
      <c r="BD7" s="63">
        <f t="shared" si="2"/>
        <v>0</v>
      </c>
      <c r="BE7" s="63">
        <f t="shared" si="2"/>
        <v>0</v>
      </c>
      <c r="BF7" s="63">
        <f t="shared" si="2"/>
        <v>0</v>
      </c>
      <c r="BG7" s="63">
        <f t="shared" si="2"/>
        <v>0</v>
      </c>
      <c r="BH7" s="63">
        <f t="shared" si="2"/>
        <v>0</v>
      </c>
      <c r="BI7" s="63">
        <f t="shared" si="2"/>
        <v>0</v>
      </c>
      <c r="BJ7" s="63">
        <f t="shared" si="2"/>
        <v>0</v>
      </c>
      <c r="BK7" s="63">
        <f t="shared" si="2"/>
        <v>0</v>
      </c>
      <c r="BL7" s="63">
        <f t="shared" si="2"/>
        <v>0</v>
      </c>
      <c r="BM7" s="63">
        <f t="shared" si="2"/>
        <v>0</v>
      </c>
      <c r="BN7" s="63">
        <f t="shared" si="2"/>
        <v>0</v>
      </c>
      <c r="BO7" s="63">
        <f t="shared" si="2"/>
        <v>0</v>
      </c>
      <c r="BP7" s="63">
        <f t="shared" si="2"/>
        <v>0</v>
      </c>
      <c r="BQ7" s="63">
        <f t="shared" si="2"/>
        <v>0</v>
      </c>
      <c r="BR7" s="63">
        <f>BR5*(1-BR6)</f>
        <v>0</v>
      </c>
      <c r="BS7" s="63">
        <f>BS5*(1-BS6)</f>
        <v>0</v>
      </c>
      <c r="BT7" s="63">
        <f>BT5*(1-BT6)</f>
        <v>0</v>
      </c>
      <c r="BU7" s="63">
        <f>BU5*(1-BU6)</f>
        <v>0</v>
      </c>
      <c r="BV7" s="63">
        <f>BV5*(1-BV6)</f>
        <v>0</v>
      </c>
    </row>
    <row r="8" spans="1:74" s="26" customFormat="1" x14ac:dyDescent="0.25">
      <c r="A8" s="17" t="s">
        <v>331</v>
      </c>
      <c r="E8" s="26">
        <f>资产资本表!E107</f>
        <v>1094321354.0599999</v>
      </c>
      <c r="F8" s="26">
        <f>资产资本表!F107</f>
        <v>1053764474.4</v>
      </c>
      <c r="G8" s="26">
        <f>资产资本表!G107</f>
        <v>1001055226.26</v>
      </c>
      <c r="H8" s="26">
        <f>资产资本表!H107</f>
        <v>991797985.12</v>
      </c>
      <c r="I8" s="26">
        <f>资产资本表!I107</f>
        <v>985414241.73000002</v>
      </c>
      <c r="J8" s="26">
        <f>资产资本表!J107</f>
        <v>444444693.15999997</v>
      </c>
      <c r="K8" s="26">
        <f>资产资本表!K107</f>
        <v>399276395.75</v>
      </c>
      <c r="L8" s="26">
        <f>资产资本表!L107</f>
        <v>478018286.77999997</v>
      </c>
      <c r="M8" s="26">
        <f>资产资本表!M107</f>
        <v>387347869.01999998</v>
      </c>
      <c r="N8" s="26">
        <f>资产资本表!N107</f>
        <v>317743228</v>
      </c>
      <c r="O8" s="26">
        <f>资产资本表!O107</f>
        <v>254378428.47999999</v>
      </c>
      <c r="P8" s="26">
        <f>资产资本表!P107</f>
        <v>209769272.30000001</v>
      </c>
      <c r="Q8" s="26">
        <f>资产资本表!Q107</f>
        <v>0</v>
      </c>
      <c r="R8" s="26">
        <f>资产资本表!R107</f>
        <v>39038063287.049995</v>
      </c>
      <c r="S8" s="26">
        <f>资产资本表!S107</f>
        <v>38186456366.719994</v>
      </c>
      <c r="T8" s="26">
        <f>资产资本表!T107</f>
        <v>39754833137.689995</v>
      </c>
      <c r="U8" s="26">
        <f>资产资本表!U107</f>
        <v>37019284552.089996</v>
      </c>
      <c r="V8" s="26">
        <f>资产资本表!V107</f>
        <v>35936255140.220001</v>
      </c>
      <c r="W8" s="26">
        <f>资产资本表!W107</f>
        <v>34492053862.870003</v>
      </c>
      <c r="X8" s="26">
        <f>资产资本表!X107</f>
        <v>35275133265.93</v>
      </c>
      <c r="Y8" s="26">
        <f>资产资本表!Y107</f>
        <v>31521070553.299999</v>
      </c>
      <c r="Z8" s="26">
        <f>资产资本表!Z107</f>
        <v>29621442772.68</v>
      </c>
      <c r="AA8" s="26">
        <f>资产资本表!AA107</f>
        <v>26749200973.880001</v>
      </c>
      <c r="AB8" s="26">
        <f>资产资本表!AB107</f>
        <v>26577947881.900002</v>
      </c>
      <c r="AC8" s="26">
        <f>资产资本表!AC107</f>
        <v>23446688740.450001</v>
      </c>
      <c r="AD8" s="26">
        <f>资产资本表!AD107</f>
        <v>22228578013.470001</v>
      </c>
      <c r="AE8" s="26">
        <f>资产资本表!AE107</f>
        <v>20718108830.41</v>
      </c>
      <c r="AF8" s="26">
        <f>资产资本表!AF107</f>
        <v>20565137134.060001</v>
      </c>
      <c r="AG8" s="26">
        <f>资产资本表!AG107</f>
        <v>18366101541.469997</v>
      </c>
      <c r="AH8" s="26">
        <f>资产资本表!AH107</f>
        <v>17519043970.790001</v>
      </c>
      <c r="AI8" s="26">
        <f>资产资本表!AI107</f>
        <v>16339410822.219999</v>
      </c>
      <c r="AJ8" s="26">
        <f>资产资本表!AJ107</f>
        <v>16187697852.24</v>
      </c>
      <c r="AK8" s="26">
        <f>资产资本表!AK107</f>
        <v>14580462144.59</v>
      </c>
      <c r="AL8" s="26">
        <f>资产资本表!AL107</f>
        <v>13658846653.599998</v>
      </c>
      <c r="AM8" s="26">
        <f>资产资本表!AM107</f>
        <v>12886039184.620001</v>
      </c>
      <c r="AN8" s="26">
        <f>资产资本表!AN107</f>
        <v>12725217105.43</v>
      </c>
      <c r="AO8" s="26">
        <f>资产资本表!AO107</f>
        <v>11455936876.719999</v>
      </c>
      <c r="AP8" s="26">
        <f>资产资本表!AP107</f>
        <v>11230323337.110001</v>
      </c>
      <c r="AQ8" s="26">
        <f>资产资本表!AQ107</f>
        <v>10934383750.469999</v>
      </c>
      <c r="AR8" s="26">
        <f>资产资本表!AR107</f>
        <v>10641944677.480001</v>
      </c>
      <c r="AS8" s="26">
        <f>资产资本表!AS107</f>
        <v>9626236984.1700001</v>
      </c>
      <c r="AT8" s="26">
        <f>资产资本表!AT107</f>
        <v>9485588152.4899998</v>
      </c>
      <c r="AU8" s="26">
        <f>资产资本表!AU107</f>
        <v>9304015150.3199997</v>
      </c>
      <c r="AV8" s="26">
        <f>资产资本表!AV107</f>
        <v>9051649388.7700005</v>
      </c>
      <c r="AW8" s="26">
        <f>资产资本表!AW107</f>
        <v>8295168514.6399994</v>
      </c>
      <c r="AX8" s="26">
        <f>资产资本表!AX107</f>
        <v>8139685182.96</v>
      </c>
      <c r="AY8" s="26">
        <f>资产资本表!AY107</f>
        <v>7938750364.1499996</v>
      </c>
      <c r="AZ8" s="26">
        <f>资产资本表!AZ107</f>
        <v>7934784508.5</v>
      </c>
      <c r="BA8" s="26">
        <f>资产资本表!BA107</f>
        <v>7385968978.54</v>
      </c>
      <c r="BB8" s="26">
        <f>资产资本表!BB107</f>
        <v>7360716151.5900002</v>
      </c>
      <c r="BC8" s="26">
        <f>资产资本表!BC107</f>
        <v>7179425965.6500006</v>
      </c>
      <c r="BD8" s="26">
        <f>资产资本表!BD107</f>
        <v>7003465589.3699999</v>
      </c>
      <c r="BE8" s="26">
        <f>资产资本表!BE107</f>
        <v>6586961901.7700005</v>
      </c>
      <c r="BF8" s="26">
        <f>资产资本表!BF107</f>
        <v>6433916281.1799994</v>
      </c>
      <c r="BG8" s="26">
        <f>资产资本表!BG107</f>
        <v>6292714866.6600008</v>
      </c>
      <c r="BH8" s="26">
        <f>资产资本表!BH107</f>
        <v>6409286809.8599997</v>
      </c>
      <c r="BI8" s="26">
        <f>资产资本表!BI107</f>
        <v>6025892686.6600008</v>
      </c>
      <c r="BJ8" s="26">
        <f>资产资本表!BJ107</f>
        <v>5870405150.8400002</v>
      </c>
      <c r="BK8" s="26">
        <f>资产资本表!BK107</f>
        <v>5711754634.1499996</v>
      </c>
      <c r="BL8" s="26">
        <f>资产资本表!BL107</f>
        <v>5611611741.0699997</v>
      </c>
      <c r="BM8" s="26">
        <f>资产资本表!BM107</f>
        <v>5322099955.71</v>
      </c>
      <c r="BN8" s="26">
        <f>资产资本表!BN107</f>
        <v>5214293132.5199995</v>
      </c>
      <c r="BO8" s="26">
        <f>资产资本表!BO107</f>
        <v>5075362101.0900002</v>
      </c>
      <c r="BP8" s="26">
        <f>资产资本表!BP107</f>
        <v>4954980669.5600004</v>
      </c>
      <c r="BQ8" s="26">
        <f>资产资本表!BQ107</f>
        <v>4702243132.8000002</v>
      </c>
      <c r="BR8" s="26">
        <f>资产资本表!BR107</f>
        <v>4561780000</v>
      </c>
      <c r="BS8" s="26">
        <f>资产资本表!BS107</f>
        <v>4385655821.6400003</v>
      </c>
      <c r="BT8" s="26">
        <f>资产资本表!BT107</f>
        <v>4238623191.5</v>
      </c>
      <c r="BU8" s="26">
        <f>资产资本表!BU107</f>
        <v>3191216198.9499998</v>
      </c>
    </row>
    <row r="9" spans="1:74" s="63" customFormat="1" x14ac:dyDescent="0.25">
      <c r="A9" s="63" t="s">
        <v>740</v>
      </c>
      <c r="E9" s="63">
        <f>根据DCF测算价值表!$D$1</f>
        <v>0.08</v>
      </c>
      <c r="F9" s="63">
        <f>根据DCF测算价值表!$D$1</f>
        <v>0.08</v>
      </c>
      <c r="G9" s="63">
        <f>根据DCF测算价值表!$D$1</f>
        <v>0.08</v>
      </c>
      <c r="H9" s="63">
        <f>根据DCF测算价值表!$D$1</f>
        <v>0.08</v>
      </c>
      <c r="I9" s="63">
        <f>根据DCF测算价值表!$D$1</f>
        <v>0.08</v>
      </c>
      <c r="J9" s="63">
        <f>根据DCF测算价值表!$D$1</f>
        <v>0.08</v>
      </c>
      <c r="K9" s="63">
        <f>根据DCF测算价值表!$D$1</f>
        <v>0.08</v>
      </c>
      <c r="L9" s="63">
        <f>根据DCF测算价值表!$D$1</f>
        <v>0.08</v>
      </c>
      <c r="M9" s="63">
        <f>根据DCF测算价值表!$D$1</f>
        <v>0.08</v>
      </c>
      <c r="N9" s="63">
        <f>根据DCF测算价值表!$D$1</f>
        <v>0.08</v>
      </c>
      <c r="O9" s="63">
        <f>根据DCF测算价值表!$D$1</f>
        <v>0.08</v>
      </c>
      <c r="P9" s="63">
        <f>根据DCF测算价值表!$D$1</f>
        <v>0.08</v>
      </c>
      <c r="Q9" s="63">
        <f>根据DCF测算价值表!$D$1</f>
        <v>0.08</v>
      </c>
      <c r="R9" s="63">
        <f>根据DCF测算价值表!$D$1</f>
        <v>0.08</v>
      </c>
      <c r="S9" s="63">
        <f>根据DCF测算价值表!$D$1</f>
        <v>0.08</v>
      </c>
      <c r="T9" s="63">
        <f>根据DCF测算价值表!$D$1</f>
        <v>0.08</v>
      </c>
      <c r="U9" s="63">
        <f>根据DCF测算价值表!$D$1</f>
        <v>0.08</v>
      </c>
      <c r="V9" s="63">
        <f>根据DCF测算价值表!$D$1</f>
        <v>0.08</v>
      </c>
      <c r="W9" s="63">
        <f>根据DCF测算价值表!$D$1</f>
        <v>0.08</v>
      </c>
      <c r="X9" s="63">
        <f>根据DCF测算价值表!$D$1</f>
        <v>0.08</v>
      </c>
      <c r="Y9" s="63">
        <f>根据DCF测算价值表!$D$1</f>
        <v>0.08</v>
      </c>
      <c r="Z9" s="63">
        <f>根据DCF测算价值表!$D$1</f>
        <v>0.08</v>
      </c>
      <c r="AA9" s="63">
        <f>根据DCF测算价值表!$D$1</f>
        <v>0.08</v>
      </c>
      <c r="AB9" s="63">
        <f>根据DCF测算价值表!$D$1</f>
        <v>0.08</v>
      </c>
      <c r="AC9" s="63">
        <f>根据DCF测算价值表!$D$1</f>
        <v>0.08</v>
      </c>
      <c r="AD9" s="63">
        <f>根据DCF测算价值表!$D$1</f>
        <v>0.08</v>
      </c>
      <c r="AE9" s="63">
        <f>根据DCF测算价值表!$D$1</f>
        <v>0.08</v>
      </c>
      <c r="AF9" s="63">
        <f>根据DCF测算价值表!$D$1</f>
        <v>0.08</v>
      </c>
      <c r="AG9" s="63">
        <f>根据DCF测算价值表!$D$1</f>
        <v>0.08</v>
      </c>
      <c r="AH9" s="63">
        <f>根据DCF测算价值表!$D$1</f>
        <v>0.08</v>
      </c>
      <c r="AI9" s="63">
        <f>根据DCF测算价值表!$D$1</f>
        <v>0.08</v>
      </c>
      <c r="AJ9" s="63">
        <f>根据DCF测算价值表!$D$1</f>
        <v>0.08</v>
      </c>
      <c r="AK9" s="63">
        <f>根据DCF测算价值表!$D$1</f>
        <v>0.08</v>
      </c>
      <c r="AL9" s="63">
        <f>根据DCF测算价值表!$D$1</f>
        <v>0.08</v>
      </c>
      <c r="AM9" s="63">
        <f>根据DCF测算价值表!$D$1</f>
        <v>0.08</v>
      </c>
      <c r="AN9" s="63">
        <f>根据DCF测算价值表!$D$1</f>
        <v>0.08</v>
      </c>
      <c r="AO9" s="63">
        <f>根据DCF测算价值表!$D$1</f>
        <v>0.08</v>
      </c>
      <c r="AP9" s="63">
        <f>根据DCF测算价值表!$D$1</f>
        <v>0.08</v>
      </c>
      <c r="AQ9" s="63">
        <f>根据DCF测算价值表!$D$1</f>
        <v>0.08</v>
      </c>
      <c r="AR9" s="63">
        <f>根据DCF测算价值表!$D$1</f>
        <v>0.08</v>
      </c>
      <c r="AS9" s="63">
        <f>根据DCF测算价值表!$D$1</f>
        <v>0.08</v>
      </c>
      <c r="AT9" s="63">
        <f>根据DCF测算价值表!$D$1</f>
        <v>0.08</v>
      </c>
      <c r="AU9" s="63">
        <f>根据DCF测算价值表!$D$1</f>
        <v>0.08</v>
      </c>
      <c r="AV9" s="63">
        <f>根据DCF测算价值表!$D$1</f>
        <v>0.08</v>
      </c>
      <c r="AW9" s="63">
        <f>根据DCF测算价值表!$D$1</f>
        <v>0.08</v>
      </c>
      <c r="AX9" s="63">
        <f>根据DCF测算价值表!$D$1</f>
        <v>0.08</v>
      </c>
      <c r="AY9" s="63">
        <f>根据DCF测算价值表!$D$1</f>
        <v>0.08</v>
      </c>
      <c r="AZ9" s="63">
        <f>根据DCF测算价值表!$D$1</f>
        <v>0.08</v>
      </c>
      <c r="BA9" s="63">
        <f>根据DCF测算价值表!$D$1</f>
        <v>0.08</v>
      </c>
      <c r="BB9" s="63">
        <f>根据DCF测算价值表!$D$1</f>
        <v>0.08</v>
      </c>
      <c r="BC9" s="63">
        <f>根据DCF测算价值表!$D$1</f>
        <v>0.08</v>
      </c>
      <c r="BD9" s="63">
        <f>根据DCF测算价值表!$D$1</f>
        <v>0.08</v>
      </c>
      <c r="BE9" s="63">
        <f>根据DCF测算价值表!$D$1</f>
        <v>0.08</v>
      </c>
      <c r="BF9" s="63">
        <f>根据DCF测算价值表!$D$1</f>
        <v>0.08</v>
      </c>
      <c r="BG9" s="63">
        <f>根据DCF测算价值表!$D$1</f>
        <v>0.08</v>
      </c>
      <c r="BH9" s="63">
        <f>根据DCF测算价值表!$D$1</f>
        <v>0.08</v>
      </c>
      <c r="BI9" s="63">
        <f>根据DCF测算价值表!$D$1</f>
        <v>0.08</v>
      </c>
      <c r="BJ9" s="63">
        <f>根据DCF测算价值表!$D$1</f>
        <v>0.08</v>
      </c>
      <c r="BK9" s="63">
        <f>根据DCF测算价值表!$D$1</f>
        <v>0.08</v>
      </c>
      <c r="BL9" s="63">
        <f>根据DCF测算价值表!$D$1</f>
        <v>0.08</v>
      </c>
      <c r="BM9" s="63">
        <f>根据DCF测算价值表!$D$1</f>
        <v>0.08</v>
      </c>
      <c r="BN9" s="63">
        <f>根据DCF测算价值表!$D$1</f>
        <v>0.08</v>
      </c>
      <c r="BO9" s="63">
        <f>根据DCF测算价值表!$D$1</f>
        <v>0.08</v>
      </c>
      <c r="BP9" s="63">
        <f>根据DCF测算价值表!$D$1</f>
        <v>0.08</v>
      </c>
      <c r="BQ9" s="63">
        <f>根据DCF测算价值表!$D$1</f>
        <v>0.08</v>
      </c>
      <c r="BR9" s="63">
        <f>根据DCF测算价值表!$D$1</f>
        <v>0.08</v>
      </c>
      <c r="BS9" s="63">
        <f>根据DCF测算价值表!$D$1</f>
        <v>0.08</v>
      </c>
      <c r="BT9" s="63">
        <f>根据DCF测算价值表!$D$1</f>
        <v>0.08</v>
      </c>
      <c r="BU9" s="63">
        <f>根据DCF测算价值表!$D$1</f>
        <v>0.08</v>
      </c>
      <c r="BV9" s="63" t="e">
        <f>股东权益回报率分析表!BV14</f>
        <v>#DIV/0!</v>
      </c>
    </row>
    <row r="10" spans="1:74" s="26" customFormat="1" x14ac:dyDescent="0.25">
      <c r="A10" s="17" t="s">
        <v>332</v>
      </c>
      <c r="E10" s="26">
        <f>资产资本表!E70</f>
        <v>1094888457.78</v>
      </c>
      <c r="F10" s="26">
        <f>资产资本表!F70</f>
        <v>1054331578.12</v>
      </c>
      <c r="G10" s="26">
        <f>资产资本表!G70</f>
        <v>1001622329.98</v>
      </c>
      <c r="H10" s="26">
        <f>资产资本表!H70</f>
        <v>1045999168.54</v>
      </c>
      <c r="I10" s="26">
        <f>资产资本表!I70</f>
        <v>1062069435.15</v>
      </c>
      <c r="J10" s="26">
        <f>资产资本表!J70</f>
        <v>557692811.90999997</v>
      </c>
      <c r="K10" s="26">
        <f>资产资本表!K70</f>
        <v>512069786.58999997</v>
      </c>
      <c r="L10" s="26">
        <f>资产资本表!L70</f>
        <v>568436012.11000001</v>
      </c>
      <c r="M10" s="26">
        <f>资产资本表!M70</f>
        <v>490388669.01999992</v>
      </c>
      <c r="N10" s="26">
        <f>资产资本表!N70</f>
        <v>496178942.00000006</v>
      </c>
      <c r="O10" s="26">
        <f>资产资本表!O70</f>
        <v>329687136.41000009</v>
      </c>
      <c r="P10" s="26">
        <f>资产资本表!P70</f>
        <v>237522643.97</v>
      </c>
      <c r="Q10" s="26">
        <f>资产资本表!Q70</f>
        <v>0</v>
      </c>
      <c r="R10" s="26">
        <f>资产资本表!R70</f>
        <v>0</v>
      </c>
      <c r="S10" s="26">
        <f>资产资本表!S70</f>
        <v>0</v>
      </c>
      <c r="T10" s="26">
        <f>资产资本表!T70</f>
        <v>0</v>
      </c>
      <c r="U10" s="26">
        <f>资产资本表!U70</f>
        <v>0</v>
      </c>
      <c r="V10" s="26">
        <f>资产资本表!V70</f>
        <v>0</v>
      </c>
      <c r="W10" s="26">
        <f>资产资本表!W70</f>
        <v>0</v>
      </c>
      <c r="X10" s="26">
        <f>资产资本表!X70</f>
        <v>0</v>
      </c>
      <c r="Y10" s="26">
        <f>资产资本表!Y70</f>
        <v>0</v>
      </c>
      <c r="Z10" s="26">
        <f>资产资本表!Z70</f>
        <v>0</v>
      </c>
      <c r="AA10" s="26">
        <f>资产资本表!AA70</f>
        <v>0</v>
      </c>
      <c r="AB10" s="26">
        <f>资产资本表!AB70</f>
        <v>0</v>
      </c>
      <c r="AC10" s="26">
        <f>资产资本表!AC70</f>
        <v>0</v>
      </c>
      <c r="AD10" s="26">
        <f>资产资本表!AD70</f>
        <v>0</v>
      </c>
      <c r="AE10" s="26">
        <f>资产资本表!AE70</f>
        <v>0</v>
      </c>
      <c r="AF10" s="26">
        <f>资产资本表!AF70</f>
        <v>0</v>
      </c>
      <c r="AG10" s="26">
        <f>资产资本表!AG70</f>
        <v>0</v>
      </c>
      <c r="AH10" s="26">
        <f>资产资本表!AH70</f>
        <v>0</v>
      </c>
      <c r="AI10" s="26">
        <f>资产资本表!AI70</f>
        <v>0</v>
      </c>
      <c r="AJ10" s="26">
        <f>资产资本表!AJ70</f>
        <v>0</v>
      </c>
      <c r="AK10" s="26">
        <f>资产资本表!AK70</f>
        <v>0</v>
      </c>
      <c r="AL10" s="26">
        <f>资产资本表!AL70</f>
        <v>0</v>
      </c>
      <c r="AM10" s="26">
        <f>资产资本表!AM70</f>
        <v>0</v>
      </c>
      <c r="AN10" s="26">
        <f>资产资本表!AN70</f>
        <v>0</v>
      </c>
      <c r="AO10" s="26">
        <f>资产资本表!AO70</f>
        <v>0</v>
      </c>
      <c r="AP10" s="26">
        <f>资产资本表!AP70</f>
        <v>0</v>
      </c>
      <c r="AQ10" s="26">
        <f>资产资本表!AQ70</f>
        <v>0</v>
      </c>
      <c r="AR10" s="26">
        <f>资产资本表!AR70</f>
        <v>0</v>
      </c>
      <c r="AS10" s="26">
        <f>资产资本表!AS70</f>
        <v>0</v>
      </c>
      <c r="AT10" s="26">
        <f>资产资本表!AT70</f>
        <v>0</v>
      </c>
      <c r="AU10" s="26">
        <f>资产资本表!AU70</f>
        <v>0</v>
      </c>
      <c r="AV10" s="26">
        <f>资产资本表!AV70</f>
        <v>0</v>
      </c>
      <c r="AW10" s="26">
        <f>资产资本表!AW70</f>
        <v>0</v>
      </c>
      <c r="AX10" s="26">
        <f>资产资本表!AX70</f>
        <v>0</v>
      </c>
      <c r="AY10" s="26">
        <f>资产资本表!AY70</f>
        <v>0</v>
      </c>
      <c r="AZ10" s="26">
        <f>资产资本表!AZ70</f>
        <v>0</v>
      </c>
      <c r="BA10" s="26">
        <f>资产资本表!BA70</f>
        <v>0</v>
      </c>
      <c r="BB10" s="26">
        <f>资产资本表!BB70</f>
        <v>0</v>
      </c>
      <c r="BC10" s="26">
        <f>资产资本表!BC70</f>
        <v>0</v>
      </c>
      <c r="BD10" s="26">
        <f>资产资本表!BD70</f>
        <v>0</v>
      </c>
      <c r="BE10" s="26">
        <f>资产资本表!BE70</f>
        <v>0</v>
      </c>
      <c r="BF10" s="26">
        <f>资产资本表!BF70</f>
        <v>0</v>
      </c>
      <c r="BG10" s="26">
        <f>资产资本表!BG70</f>
        <v>0</v>
      </c>
      <c r="BH10" s="26">
        <f>资产资本表!BH70</f>
        <v>0</v>
      </c>
      <c r="BI10" s="26">
        <f>资产资本表!BI70</f>
        <v>0</v>
      </c>
      <c r="BJ10" s="26">
        <f>资产资本表!BJ70</f>
        <v>0</v>
      </c>
      <c r="BK10" s="26">
        <f>资产资本表!BK70</f>
        <v>0</v>
      </c>
      <c r="BL10" s="26">
        <f>资产资本表!BL70</f>
        <v>0</v>
      </c>
      <c r="BM10" s="26">
        <f>资产资本表!BM70</f>
        <v>0</v>
      </c>
      <c r="BN10" s="26">
        <f>资产资本表!BN70</f>
        <v>0</v>
      </c>
      <c r="BO10" s="26">
        <f>资产资本表!BO70</f>
        <v>0</v>
      </c>
      <c r="BP10" s="26">
        <f>资产资本表!BP70</f>
        <v>0</v>
      </c>
      <c r="BQ10" s="26">
        <f>资产资本表!BQ70</f>
        <v>0</v>
      </c>
      <c r="BR10" s="26">
        <f>资产资本表!BR70</f>
        <v>0</v>
      </c>
      <c r="BS10" s="26">
        <f>资产资本表!BS70</f>
        <v>0</v>
      </c>
      <c r="BT10" s="26">
        <f>资产资本表!BT70</f>
        <v>0</v>
      </c>
      <c r="BU10" s="26">
        <f>资产资本表!BU70</f>
        <v>0</v>
      </c>
    </row>
    <row r="11" spans="1:74" s="63" customFormat="1" x14ac:dyDescent="0.25">
      <c r="A11" s="17" t="s">
        <v>347</v>
      </c>
      <c r="E11" s="63">
        <f>E4/E10</f>
        <v>0</v>
      </c>
      <c r="F11" s="63">
        <f t="shared" ref="F11:BQ11" si="3">F4/F10</f>
        <v>0</v>
      </c>
      <c r="G11" s="63">
        <f t="shared" si="3"/>
        <v>0</v>
      </c>
      <c r="H11" s="63">
        <f t="shared" si="3"/>
        <v>4.1731566078516191E-2</v>
      </c>
      <c r="I11" s="63">
        <f t="shared" si="3"/>
        <v>7.2175312538933681E-2</v>
      </c>
      <c r="J11" s="63">
        <f t="shared" si="3"/>
        <v>0.20145161700260653</v>
      </c>
      <c r="K11" s="63">
        <f t="shared" si="3"/>
        <v>0.21851199537689173</v>
      </c>
      <c r="L11" s="63">
        <f t="shared" si="3"/>
        <v>0.15906403430418647</v>
      </c>
      <c r="M11" s="63">
        <f t="shared" si="3"/>
        <v>0.210120678778974</v>
      </c>
      <c r="N11" s="63">
        <f t="shared" si="3"/>
        <v>0.35961968333593647</v>
      </c>
      <c r="O11" s="63">
        <f t="shared" si="3"/>
        <v>0.21600177979476654</v>
      </c>
      <c r="P11" s="63">
        <f t="shared" si="3"/>
        <v>0.1005448220886946</v>
      </c>
      <c r="Q11" s="63" t="e">
        <f t="shared" si="3"/>
        <v>#DIV/0!</v>
      </c>
      <c r="R11" s="63" t="e">
        <f t="shared" si="3"/>
        <v>#DIV/0!</v>
      </c>
      <c r="S11" s="63" t="e">
        <f t="shared" si="3"/>
        <v>#DIV/0!</v>
      </c>
      <c r="T11" s="63" t="e">
        <f t="shared" si="3"/>
        <v>#DIV/0!</v>
      </c>
      <c r="U11" s="63" t="e">
        <f t="shared" si="3"/>
        <v>#DIV/0!</v>
      </c>
      <c r="V11" s="63" t="e">
        <f t="shared" si="3"/>
        <v>#DIV/0!</v>
      </c>
      <c r="W11" s="63" t="e">
        <f t="shared" si="3"/>
        <v>#DIV/0!</v>
      </c>
      <c r="X11" s="63" t="e">
        <f t="shared" si="3"/>
        <v>#DIV/0!</v>
      </c>
      <c r="Y11" s="63" t="e">
        <f t="shared" si="3"/>
        <v>#DIV/0!</v>
      </c>
      <c r="Z11" s="63" t="e">
        <f t="shared" si="3"/>
        <v>#DIV/0!</v>
      </c>
      <c r="AA11" s="63" t="e">
        <f t="shared" si="3"/>
        <v>#DIV/0!</v>
      </c>
      <c r="AB11" s="63" t="e">
        <f t="shared" si="3"/>
        <v>#DIV/0!</v>
      </c>
      <c r="AC11" s="63" t="e">
        <f t="shared" si="3"/>
        <v>#DIV/0!</v>
      </c>
      <c r="AD11" s="63" t="e">
        <f t="shared" si="3"/>
        <v>#DIV/0!</v>
      </c>
      <c r="AE11" s="63" t="e">
        <f t="shared" si="3"/>
        <v>#DIV/0!</v>
      </c>
      <c r="AF11" s="63" t="e">
        <f t="shared" si="3"/>
        <v>#DIV/0!</v>
      </c>
      <c r="AG11" s="63" t="e">
        <f t="shared" si="3"/>
        <v>#DIV/0!</v>
      </c>
      <c r="AH11" s="63" t="e">
        <f t="shared" si="3"/>
        <v>#DIV/0!</v>
      </c>
      <c r="AI11" s="63" t="e">
        <f t="shared" si="3"/>
        <v>#DIV/0!</v>
      </c>
      <c r="AJ11" s="63" t="e">
        <f t="shared" si="3"/>
        <v>#DIV/0!</v>
      </c>
      <c r="AK11" s="63" t="e">
        <f t="shared" si="3"/>
        <v>#DIV/0!</v>
      </c>
      <c r="AL11" s="63" t="e">
        <f t="shared" si="3"/>
        <v>#DIV/0!</v>
      </c>
      <c r="AM11" s="63" t="e">
        <f t="shared" si="3"/>
        <v>#DIV/0!</v>
      </c>
      <c r="AN11" s="63" t="e">
        <f t="shared" si="3"/>
        <v>#DIV/0!</v>
      </c>
      <c r="AO11" s="63" t="e">
        <f t="shared" si="3"/>
        <v>#DIV/0!</v>
      </c>
      <c r="AP11" s="63" t="e">
        <f t="shared" si="3"/>
        <v>#DIV/0!</v>
      </c>
      <c r="AQ11" s="63" t="e">
        <f t="shared" si="3"/>
        <v>#DIV/0!</v>
      </c>
      <c r="AR11" s="63" t="e">
        <f t="shared" si="3"/>
        <v>#DIV/0!</v>
      </c>
      <c r="AS11" s="63" t="e">
        <f t="shared" si="3"/>
        <v>#DIV/0!</v>
      </c>
      <c r="AT11" s="63" t="e">
        <f t="shared" si="3"/>
        <v>#DIV/0!</v>
      </c>
      <c r="AU11" s="63" t="e">
        <f t="shared" si="3"/>
        <v>#DIV/0!</v>
      </c>
      <c r="AV11" s="63" t="e">
        <f t="shared" si="3"/>
        <v>#DIV/0!</v>
      </c>
      <c r="AW11" s="63" t="e">
        <f t="shared" si="3"/>
        <v>#DIV/0!</v>
      </c>
      <c r="AX11" s="63" t="e">
        <f t="shared" si="3"/>
        <v>#DIV/0!</v>
      </c>
      <c r="AY11" s="63" t="e">
        <f t="shared" si="3"/>
        <v>#DIV/0!</v>
      </c>
      <c r="AZ11" s="63" t="e">
        <f t="shared" si="3"/>
        <v>#DIV/0!</v>
      </c>
      <c r="BA11" s="63" t="e">
        <f t="shared" si="3"/>
        <v>#DIV/0!</v>
      </c>
      <c r="BB11" s="63" t="e">
        <f t="shared" si="3"/>
        <v>#DIV/0!</v>
      </c>
      <c r="BC11" s="63" t="e">
        <f t="shared" si="3"/>
        <v>#DIV/0!</v>
      </c>
      <c r="BD11" s="63" t="e">
        <f t="shared" si="3"/>
        <v>#DIV/0!</v>
      </c>
      <c r="BE11" s="63" t="e">
        <f t="shared" si="3"/>
        <v>#DIV/0!</v>
      </c>
      <c r="BF11" s="63" t="e">
        <f t="shared" si="3"/>
        <v>#DIV/0!</v>
      </c>
      <c r="BG11" s="63" t="e">
        <f t="shared" si="3"/>
        <v>#DIV/0!</v>
      </c>
      <c r="BH11" s="63" t="e">
        <f t="shared" si="3"/>
        <v>#DIV/0!</v>
      </c>
      <c r="BI11" s="63" t="e">
        <f t="shared" si="3"/>
        <v>#DIV/0!</v>
      </c>
      <c r="BJ11" s="63" t="e">
        <f t="shared" si="3"/>
        <v>#DIV/0!</v>
      </c>
      <c r="BK11" s="63" t="e">
        <f t="shared" si="3"/>
        <v>#DIV/0!</v>
      </c>
      <c r="BL11" s="63" t="e">
        <f t="shared" si="3"/>
        <v>#DIV/0!</v>
      </c>
      <c r="BM11" s="63" t="e">
        <f t="shared" si="3"/>
        <v>#DIV/0!</v>
      </c>
      <c r="BN11" s="63" t="e">
        <f t="shared" si="3"/>
        <v>#DIV/0!</v>
      </c>
      <c r="BO11" s="63" t="e">
        <f t="shared" si="3"/>
        <v>#DIV/0!</v>
      </c>
      <c r="BP11" s="63" t="e">
        <f t="shared" si="3"/>
        <v>#DIV/0!</v>
      </c>
      <c r="BQ11" s="63" t="e">
        <f t="shared" si="3"/>
        <v>#DIV/0!</v>
      </c>
      <c r="BR11" s="63" t="e">
        <f>BR4/BR10</f>
        <v>#DIV/0!</v>
      </c>
      <c r="BS11" s="63" t="e">
        <f>BS4/BS10</f>
        <v>#DIV/0!</v>
      </c>
      <c r="BT11" s="63" t="e">
        <f>BT4/BT10</f>
        <v>#DIV/0!</v>
      </c>
      <c r="BU11" s="63" t="e">
        <f>BU4/BU10</f>
        <v>#DIV/0!</v>
      </c>
      <c r="BV11" s="63" t="e">
        <f>BV4/BV10*100</f>
        <v>#DIV/0!</v>
      </c>
    </row>
    <row r="12" spans="1:74" s="63" customFormat="1" x14ac:dyDescent="0.25">
      <c r="A12" s="17" t="s">
        <v>348</v>
      </c>
      <c r="E12" s="63">
        <f>E8/E10</f>
        <v>0.99948204429778176</v>
      </c>
      <c r="F12" s="63">
        <f t="shared" ref="F12:BQ12" si="4">F8/F10</f>
        <v>0.99946212014154856</v>
      </c>
      <c r="G12" s="63">
        <f t="shared" si="4"/>
        <v>0.99943381481919302</v>
      </c>
      <c r="H12" s="63">
        <f t="shared" si="4"/>
        <v>0.94818238383912512</v>
      </c>
      <c r="I12" s="63">
        <f t="shared" si="4"/>
        <v>0.92782468746106639</v>
      </c>
      <c r="J12" s="63">
        <f t="shared" si="4"/>
        <v>0.7969345913529976</v>
      </c>
      <c r="K12" s="63">
        <f t="shared" si="4"/>
        <v>0.77973043168369838</v>
      </c>
      <c r="L12" s="63">
        <f t="shared" si="4"/>
        <v>0.84093596569581341</v>
      </c>
      <c r="M12" s="63">
        <f t="shared" si="4"/>
        <v>0.78987932122102611</v>
      </c>
      <c r="N12" s="63">
        <f t="shared" si="4"/>
        <v>0.64038031666406348</v>
      </c>
      <c r="O12" s="63">
        <f t="shared" si="4"/>
        <v>0.77157523114172732</v>
      </c>
      <c r="P12" s="63">
        <f t="shared" si="4"/>
        <v>0.88315483860349187</v>
      </c>
      <c r="Q12" s="63" t="e">
        <f t="shared" si="4"/>
        <v>#DIV/0!</v>
      </c>
      <c r="R12" s="63" t="e">
        <f t="shared" si="4"/>
        <v>#DIV/0!</v>
      </c>
      <c r="S12" s="63" t="e">
        <f t="shared" si="4"/>
        <v>#DIV/0!</v>
      </c>
      <c r="T12" s="63" t="e">
        <f t="shared" si="4"/>
        <v>#DIV/0!</v>
      </c>
      <c r="U12" s="63" t="e">
        <f t="shared" si="4"/>
        <v>#DIV/0!</v>
      </c>
      <c r="V12" s="63" t="e">
        <f t="shared" si="4"/>
        <v>#DIV/0!</v>
      </c>
      <c r="W12" s="63" t="e">
        <f t="shared" si="4"/>
        <v>#DIV/0!</v>
      </c>
      <c r="X12" s="63" t="e">
        <f t="shared" si="4"/>
        <v>#DIV/0!</v>
      </c>
      <c r="Y12" s="63" t="e">
        <f t="shared" si="4"/>
        <v>#DIV/0!</v>
      </c>
      <c r="Z12" s="63" t="e">
        <f t="shared" si="4"/>
        <v>#DIV/0!</v>
      </c>
      <c r="AA12" s="63" t="e">
        <f t="shared" si="4"/>
        <v>#DIV/0!</v>
      </c>
      <c r="AB12" s="63" t="e">
        <f t="shared" si="4"/>
        <v>#DIV/0!</v>
      </c>
      <c r="AC12" s="63" t="e">
        <f t="shared" si="4"/>
        <v>#DIV/0!</v>
      </c>
      <c r="AD12" s="63" t="e">
        <f t="shared" si="4"/>
        <v>#DIV/0!</v>
      </c>
      <c r="AE12" s="63" t="e">
        <f t="shared" si="4"/>
        <v>#DIV/0!</v>
      </c>
      <c r="AF12" s="63" t="e">
        <f t="shared" si="4"/>
        <v>#DIV/0!</v>
      </c>
      <c r="AG12" s="63" t="e">
        <f t="shared" si="4"/>
        <v>#DIV/0!</v>
      </c>
      <c r="AH12" s="63" t="e">
        <f t="shared" si="4"/>
        <v>#DIV/0!</v>
      </c>
      <c r="AI12" s="63" t="e">
        <f t="shared" si="4"/>
        <v>#DIV/0!</v>
      </c>
      <c r="AJ12" s="63" t="e">
        <f t="shared" si="4"/>
        <v>#DIV/0!</v>
      </c>
      <c r="AK12" s="63" t="e">
        <f t="shared" si="4"/>
        <v>#DIV/0!</v>
      </c>
      <c r="AL12" s="63" t="e">
        <f t="shared" si="4"/>
        <v>#DIV/0!</v>
      </c>
      <c r="AM12" s="63" t="e">
        <f t="shared" si="4"/>
        <v>#DIV/0!</v>
      </c>
      <c r="AN12" s="63" t="e">
        <f t="shared" si="4"/>
        <v>#DIV/0!</v>
      </c>
      <c r="AO12" s="63" t="e">
        <f t="shared" si="4"/>
        <v>#DIV/0!</v>
      </c>
      <c r="AP12" s="63" t="e">
        <f t="shared" si="4"/>
        <v>#DIV/0!</v>
      </c>
      <c r="AQ12" s="63" t="e">
        <f t="shared" si="4"/>
        <v>#DIV/0!</v>
      </c>
      <c r="AR12" s="63" t="e">
        <f t="shared" si="4"/>
        <v>#DIV/0!</v>
      </c>
      <c r="AS12" s="63" t="e">
        <f t="shared" si="4"/>
        <v>#DIV/0!</v>
      </c>
      <c r="AT12" s="63" t="e">
        <f t="shared" si="4"/>
        <v>#DIV/0!</v>
      </c>
      <c r="AU12" s="63" t="e">
        <f t="shared" si="4"/>
        <v>#DIV/0!</v>
      </c>
      <c r="AV12" s="63" t="e">
        <f t="shared" si="4"/>
        <v>#DIV/0!</v>
      </c>
      <c r="AW12" s="63" t="e">
        <f t="shared" si="4"/>
        <v>#DIV/0!</v>
      </c>
      <c r="AX12" s="63" t="e">
        <f t="shared" si="4"/>
        <v>#DIV/0!</v>
      </c>
      <c r="AY12" s="63" t="e">
        <f t="shared" si="4"/>
        <v>#DIV/0!</v>
      </c>
      <c r="AZ12" s="63" t="e">
        <f t="shared" si="4"/>
        <v>#DIV/0!</v>
      </c>
      <c r="BA12" s="63" t="e">
        <f t="shared" si="4"/>
        <v>#DIV/0!</v>
      </c>
      <c r="BB12" s="63" t="e">
        <f t="shared" si="4"/>
        <v>#DIV/0!</v>
      </c>
      <c r="BC12" s="63" t="e">
        <f t="shared" si="4"/>
        <v>#DIV/0!</v>
      </c>
      <c r="BD12" s="63" t="e">
        <f t="shared" si="4"/>
        <v>#DIV/0!</v>
      </c>
      <c r="BE12" s="63" t="e">
        <f t="shared" si="4"/>
        <v>#DIV/0!</v>
      </c>
      <c r="BF12" s="63" t="e">
        <f t="shared" si="4"/>
        <v>#DIV/0!</v>
      </c>
      <c r="BG12" s="63" t="e">
        <f t="shared" si="4"/>
        <v>#DIV/0!</v>
      </c>
      <c r="BH12" s="63" t="e">
        <f t="shared" si="4"/>
        <v>#DIV/0!</v>
      </c>
      <c r="BI12" s="63" t="e">
        <f t="shared" si="4"/>
        <v>#DIV/0!</v>
      </c>
      <c r="BJ12" s="63" t="e">
        <f t="shared" si="4"/>
        <v>#DIV/0!</v>
      </c>
      <c r="BK12" s="63" t="e">
        <f t="shared" si="4"/>
        <v>#DIV/0!</v>
      </c>
      <c r="BL12" s="63" t="e">
        <f t="shared" si="4"/>
        <v>#DIV/0!</v>
      </c>
      <c r="BM12" s="63" t="e">
        <f t="shared" si="4"/>
        <v>#DIV/0!</v>
      </c>
      <c r="BN12" s="63" t="e">
        <f t="shared" si="4"/>
        <v>#DIV/0!</v>
      </c>
      <c r="BO12" s="63" t="e">
        <f t="shared" si="4"/>
        <v>#DIV/0!</v>
      </c>
      <c r="BP12" s="63" t="e">
        <f t="shared" si="4"/>
        <v>#DIV/0!</v>
      </c>
      <c r="BQ12" s="63" t="e">
        <f t="shared" si="4"/>
        <v>#DIV/0!</v>
      </c>
      <c r="BR12" s="63" t="e">
        <f>BR8/BR10</f>
        <v>#DIV/0!</v>
      </c>
      <c r="BS12" s="63" t="e">
        <f>BS8/BS10</f>
        <v>#DIV/0!</v>
      </c>
      <c r="BT12" s="63" t="e">
        <f>BT8/BT10</f>
        <v>#DIV/0!</v>
      </c>
      <c r="BU12" s="63" t="e">
        <f>BU8/BU10</f>
        <v>#DIV/0!</v>
      </c>
      <c r="BV12" s="63" t="e">
        <f>BV8/BV10*100</f>
        <v>#DIV/0!</v>
      </c>
    </row>
    <row r="13" spans="1:74" s="63" customFormat="1" x14ac:dyDescent="0.25">
      <c r="A13" s="63" t="s">
        <v>349</v>
      </c>
      <c r="E13" s="63">
        <f>E5*E11*(1-E6)+E9*E12</f>
        <v>7.9958563543822539E-2</v>
      </c>
      <c r="F13" s="63">
        <f t="shared" ref="F13:J13" si="5">F5*F11*(1-F6)+F9*F12</f>
        <v>7.9956969611323883E-2</v>
      </c>
      <c r="G13" s="63">
        <f t="shared" si="5"/>
        <v>7.9954705185535449E-2</v>
      </c>
      <c r="H13" s="63">
        <f t="shared" si="5"/>
        <v>7.5854590707130007E-2</v>
      </c>
      <c r="I13" s="63">
        <f t="shared" si="5"/>
        <v>7.7423211434860251E-2</v>
      </c>
      <c r="J13" s="63">
        <f t="shared" si="5"/>
        <v>6.3754767308239813E-2</v>
      </c>
      <c r="K13" s="63">
        <f t="shared" ref="K13" si="6">K5*K11*(1-K6)+K9*K12</f>
        <v>6.2378434534695874E-2</v>
      </c>
      <c r="L13" s="63">
        <f t="shared" ref="L13" si="7">L5*L11*(1-L6)+L9*L12</f>
        <v>6.7274877255665069E-2</v>
      </c>
      <c r="M13" s="63">
        <f t="shared" ref="M13" si="8">M5*M11*(1-M6)+M9*M12</f>
        <v>8.319924668900805E-2</v>
      </c>
      <c r="N13" s="63">
        <f t="shared" ref="N13:O13" si="9">N5*N11*(1-N6)+N9*N12</f>
        <v>5.1230425333125079E-2</v>
      </c>
      <c r="O13" s="63">
        <f t="shared" si="9"/>
        <v>6.1726018491338186E-2</v>
      </c>
      <c r="P13" s="63">
        <f t="shared" ref="P13" si="10">P5*P11*(1-P6)+P9*P12</f>
        <v>7.0652387088279353E-2</v>
      </c>
      <c r="Q13" s="63" t="e">
        <f t="shared" ref="Q13" si="11">Q5*Q11*(1-Q6)+Q9*Q12</f>
        <v>#DIV/0!</v>
      </c>
      <c r="R13" s="63" t="e">
        <f t="shared" ref="R13" si="12">R5*R11*(1-R6)+R9*R12</f>
        <v>#DIV/0!</v>
      </c>
      <c r="S13" s="63" t="e">
        <f t="shared" ref="S13:T13" si="13">S5*S11*(1-S6)+S9*S12</f>
        <v>#DIV/0!</v>
      </c>
      <c r="T13" s="63" t="e">
        <f t="shared" si="13"/>
        <v>#DIV/0!</v>
      </c>
      <c r="U13" s="63" t="e">
        <f t="shared" ref="U13" si="14">U5*U11*(1-U6)+U9*U12</f>
        <v>#DIV/0!</v>
      </c>
      <c r="V13" s="63" t="e">
        <f t="shared" ref="V13" si="15">V5*V11*(1-V6)+V9*V12</f>
        <v>#DIV/0!</v>
      </c>
      <c r="W13" s="63" t="e">
        <f t="shared" ref="W13" si="16">W5*W11*(1-W6)+W9*W12</f>
        <v>#DIV/0!</v>
      </c>
      <c r="X13" s="63" t="e">
        <f t="shared" ref="X13:Y13" si="17">X5*X11*(1-X6)+X9*X12</f>
        <v>#DIV/0!</v>
      </c>
      <c r="Y13" s="63" t="e">
        <f t="shared" si="17"/>
        <v>#DIV/0!</v>
      </c>
      <c r="Z13" s="63" t="e">
        <f t="shared" ref="Z13" si="18">Z5*Z11*(1-Z6)+Z9*Z12</f>
        <v>#DIV/0!</v>
      </c>
      <c r="AA13" s="63" t="e">
        <f t="shared" ref="AA13" si="19">AA5*AA11*(1-AA6)+AA9*AA12</f>
        <v>#DIV/0!</v>
      </c>
      <c r="AB13" s="63" t="e">
        <f t="shared" ref="AB13" si="20">AB5*AB11*(1-AB6)+AB9*AB12</f>
        <v>#DIV/0!</v>
      </c>
      <c r="AC13" s="63" t="e">
        <f t="shared" ref="AC13:AD13" si="21">AC5*AC11*(1-AC6)+AC9*AC12</f>
        <v>#DIV/0!</v>
      </c>
      <c r="AD13" s="63" t="e">
        <f t="shared" si="21"/>
        <v>#DIV/0!</v>
      </c>
      <c r="AE13" s="63" t="e">
        <f t="shared" ref="AE13" si="22">AE5*AE11*(1-AE6)+AE9*AE12</f>
        <v>#DIV/0!</v>
      </c>
      <c r="AF13" s="63" t="e">
        <f t="shared" ref="AF13" si="23">AF5*AF11*(1-AF6)+AF9*AF12</f>
        <v>#DIV/0!</v>
      </c>
      <c r="AG13" s="63" t="e">
        <f t="shared" ref="AG13" si="24">AG5*AG11*(1-AG6)+AG9*AG12</f>
        <v>#DIV/0!</v>
      </c>
      <c r="AH13" s="63" t="e">
        <f t="shared" ref="AH13:AI13" si="25">AH5*AH11*(1-AH6)+AH9*AH12</f>
        <v>#DIV/0!</v>
      </c>
      <c r="AI13" s="63" t="e">
        <f t="shared" si="25"/>
        <v>#DIV/0!</v>
      </c>
      <c r="AJ13" s="63" t="e">
        <f t="shared" ref="AJ13" si="26">AJ5*AJ11*(1-AJ6)+AJ9*AJ12</f>
        <v>#DIV/0!</v>
      </c>
      <c r="AK13" s="63" t="e">
        <f t="shared" ref="AK13" si="27">AK5*AK11*(1-AK6)+AK9*AK12</f>
        <v>#DIV/0!</v>
      </c>
      <c r="AL13" s="63" t="e">
        <f t="shared" ref="AL13" si="28">AL5*AL11*(1-AL6)+AL9*AL12</f>
        <v>#DIV/0!</v>
      </c>
      <c r="AM13" s="63" t="e">
        <f t="shared" ref="AM13:AN13" si="29">AM5*AM11*(1-AM6)+AM9*AM12</f>
        <v>#DIV/0!</v>
      </c>
      <c r="AN13" s="63" t="e">
        <f t="shared" si="29"/>
        <v>#DIV/0!</v>
      </c>
      <c r="AO13" s="63" t="e">
        <f t="shared" ref="AO13" si="30">AO5*AO11*(1-AO6)+AO9*AO12</f>
        <v>#DIV/0!</v>
      </c>
      <c r="AP13" s="63" t="e">
        <f t="shared" ref="AP13" si="31">AP5*AP11*(1-AP6)+AP9*AP12</f>
        <v>#DIV/0!</v>
      </c>
      <c r="AQ13" s="63" t="e">
        <f t="shared" ref="AQ13" si="32">AQ5*AQ11*(1-AQ6)+AQ9*AQ12</f>
        <v>#DIV/0!</v>
      </c>
      <c r="AR13" s="63" t="e">
        <f t="shared" ref="AR13:AS13" si="33">AR5*AR11*(1-AR6)+AR9*AR12</f>
        <v>#DIV/0!</v>
      </c>
      <c r="AS13" s="63" t="e">
        <f t="shared" si="33"/>
        <v>#DIV/0!</v>
      </c>
      <c r="AT13" s="63" t="e">
        <f t="shared" ref="AT13" si="34">AT5*AT11*(1-AT6)+AT9*AT12</f>
        <v>#DIV/0!</v>
      </c>
      <c r="AU13" s="63" t="e">
        <f t="shared" ref="AU13" si="35">AU5*AU11*(1-AU6)+AU9*AU12</f>
        <v>#DIV/0!</v>
      </c>
      <c r="AV13" s="63" t="e">
        <f t="shared" ref="AV13" si="36">AV5*AV11*(1-AV6)+AV9*AV12</f>
        <v>#DIV/0!</v>
      </c>
      <c r="AW13" s="63" t="e">
        <f t="shared" ref="AW13:AX13" si="37">AW5*AW11*(1-AW6)+AW9*AW12</f>
        <v>#DIV/0!</v>
      </c>
      <c r="AX13" s="63" t="e">
        <f t="shared" si="37"/>
        <v>#DIV/0!</v>
      </c>
      <c r="AY13" s="63" t="e">
        <f t="shared" ref="AY13" si="38">AY5*AY11*(1-AY6)+AY9*AY12</f>
        <v>#DIV/0!</v>
      </c>
      <c r="AZ13" s="63" t="e">
        <f t="shared" ref="AZ13" si="39">AZ5*AZ11*(1-AZ6)+AZ9*AZ12</f>
        <v>#DIV/0!</v>
      </c>
      <c r="BA13" s="63" t="e">
        <f t="shared" ref="BA13" si="40">BA5*BA11*(1-BA6)+BA9*BA12</f>
        <v>#DIV/0!</v>
      </c>
      <c r="BB13" s="63" t="e">
        <f t="shared" ref="BB13:BC13" si="41">BB5*BB11*(1-BB6)+BB9*BB12</f>
        <v>#DIV/0!</v>
      </c>
      <c r="BC13" s="63" t="e">
        <f t="shared" si="41"/>
        <v>#DIV/0!</v>
      </c>
      <c r="BD13" s="63" t="e">
        <f t="shared" ref="BD13" si="42">BD5*BD11*(1-BD6)+BD9*BD12</f>
        <v>#DIV/0!</v>
      </c>
      <c r="BE13" s="63" t="e">
        <f t="shared" ref="BE13" si="43">BE5*BE11*(1-BE6)+BE9*BE12</f>
        <v>#DIV/0!</v>
      </c>
      <c r="BF13" s="63" t="e">
        <f t="shared" ref="BF13" si="44">BF5*BF11*(1-BF6)+BF9*BF12</f>
        <v>#DIV/0!</v>
      </c>
      <c r="BG13" s="63" t="e">
        <f t="shared" ref="BG13:BH13" si="45">BG5*BG11*(1-BG6)+BG9*BG12</f>
        <v>#DIV/0!</v>
      </c>
      <c r="BH13" s="63" t="e">
        <f t="shared" si="45"/>
        <v>#DIV/0!</v>
      </c>
      <c r="BI13" s="63" t="e">
        <f t="shared" ref="BI13" si="46">BI5*BI11*(1-BI6)+BI9*BI12</f>
        <v>#DIV/0!</v>
      </c>
      <c r="BJ13" s="63" t="e">
        <f t="shared" ref="BJ13" si="47">BJ5*BJ11*(1-BJ6)+BJ9*BJ12</f>
        <v>#DIV/0!</v>
      </c>
      <c r="BK13" s="63" t="e">
        <f t="shared" ref="BK13" si="48">BK5*BK11*(1-BK6)+BK9*BK12</f>
        <v>#DIV/0!</v>
      </c>
      <c r="BL13" s="63" t="e">
        <f t="shared" ref="BL13:BM13" si="49">BL5*BL11*(1-BL6)+BL9*BL12</f>
        <v>#DIV/0!</v>
      </c>
      <c r="BM13" s="63" t="e">
        <f t="shared" si="49"/>
        <v>#DIV/0!</v>
      </c>
      <c r="BN13" s="63" t="e">
        <f t="shared" ref="BN13" si="50">BN5*BN11*(1-BN6)+BN9*BN12</f>
        <v>#DIV/0!</v>
      </c>
      <c r="BO13" s="63" t="e">
        <f t="shared" ref="BO13" si="51">BO5*BO11*(1-BO6)+BO9*BO12</f>
        <v>#DIV/0!</v>
      </c>
      <c r="BP13" s="63" t="e">
        <f t="shared" ref="BP13" si="52">BP5*BP11*(1-BP6)+BP9*BP12</f>
        <v>#DIV/0!</v>
      </c>
      <c r="BQ13" s="63" t="e">
        <f t="shared" ref="BQ13:BR13" si="53">BQ5*BQ11*(1-BQ6)+BQ9*BQ12</f>
        <v>#DIV/0!</v>
      </c>
      <c r="BR13" s="63" t="e">
        <f t="shared" si="53"/>
        <v>#DIV/0!</v>
      </c>
      <c r="BS13" s="63" t="e">
        <f t="shared" ref="BS13" si="54">BS5*BS11*(1-BS6)+BS9*BS12</f>
        <v>#DIV/0!</v>
      </c>
      <c r="BT13" s="63" t="e">
        <f t="shared" ref="BT13" si="55">BT5*BT11*(1-BT6)+BT9*BT12</f>
        <v>#DIV/0!</v>
      </c>
      <c r="BU13" s="63" t="e">
        <f t="shared" ref="BU13" si="56">BU5*BU11*(1-BU6)+BU9*BU12</f>
        <v>#DIV/0!</v>
      </c>
      <c r="BV13" s="63" t="e">
        <f t="shared" ref="BV13" si="57">BV5*BV11*(1-BV6)+BV9*BV12</f>
        <v>#DIV/0!</v>
      </c>
    </row>
    <row r="14" spans="1:74" s="16" customFormat="1" ht="56.4" customHeight="1" x14ac:dyDescent="0.25">
      <c r="A14" s="278" t="s">
        <v>667</v>
      </c>
      <c r="B14" s="277"/>
      <c r="C14" s="277"/>
      <c r="D14" s="277"/>
      <c r="E14" s="277"/>
      <c r="F14" s="277"/>
      <c r="G14" s="277"/>
      <c r="H14" s="277"/>
      <c r="I14" s="277"/>
      <c r="J14" s="277"/>
      <c r="K14" s="277"/>
      <c r="L14" s="277"/>
      <c r="M14" s="277"/>
      <c r="N14" s="277"/>
      <c r="O14" s="277"/>
      <c r="P14" s="277"/>
      <c r="Q14" s="277"/>
      <c r="R14" s="277"/>
      <c r="S14" s="277"/>
      <c r="T14" s="277"/>
      <c r="U14" s="277"/>
      <c r="V14" s="277"/>
      <c r="W14" s="277"/>
      <c r="X14" s="277"/>
      <c r="Y14" s="277"/>
      <c r="Z14" s="277"/>
      <c r="AA14" s="277"/>
      <c r="AB14" s="277"/>
      <c r="AC14" s="277"/>
      <c r="AD14" s="277"/>
      <c r="AE14" s="277"/>
      <c r="AF14" s="277"/>
      <c r="AG14" s="277"/>
    </row>
    <row r="16" spans="1:74" s="45" customFormat="1" x14ac:dyDescent="0.25">
      <c r="A16" s="46"/>
    </row>
  </sheetData>
  <mergeCells count="1">
    <mergeCell ref="A14:AG14"/>
  </mergeCells>
  <phoneticPr fontId="1" type="noConversion"/>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资产资本结构分析表"/>
  <dimension ref="A1:CL87"/>
  <sheetViews>
    <sheetView topLeftCell="A11" workbookViewId="0">
      <selection activeCell="E20" sqref="E20"/>
    </sheetView>
  </sheetViews>
  <sheetFormatPr defaultRowHeight="14.4" x14ac:dyDescent="0.25"/>
  <cols>
    <col min="1" max="1" width="37.33203125" style="17" bestFit="1" customWidth="1"/>
    <col min="2" max="4" width="9.5546875" hidden="1" customWidth="1"/>
    <col min="5" max="5" width="21.44140625" bestFit="1" customWidth="1"/>
    <col min="6" max="8" width="21.44140625" hidden="1" customWidth="1"/>
    <col min="9" max="9" width="21.44140625" bestFit="1" customWidth="1"/>
    <col min="10" max="11" width="19" hidden="1" customWidth="1"/>
    <col min="12" max="16" width="19" bestFit="1" customWidth="1"/>
    <col min="17" max="17" width="9.5546875" hidden="1" customWidth="1"/>
    <col min="18" max="21" width="10.44140625" bestFit="1" customWidth="1"/>
    <col min="22" max="90" width="8.5546875" bestFit="1" customWidth="1"/>
  </cols>
  <sheetData>
    <row r="1" spans="1:90" s="26" customFormat="1" x14ac:dyDescent="0.25">
      <c r="A1" s="17">
        <v>603060</v>
      </c>
      <c r="B1" s="1">
        <v>43373</v>
      </c>
      <c r="C1" s="1">
        <v>43281</v>
      </c>
      <c r="D1" s="1">
        <v>43190</v>
      </c>
      <c r="E1" s="1">
        <v>43100</v>
      </c>
      <c r="F1" s="1">
        <v>43008</v>
      </c>
      <c r="G1" s="1">
        <v>42916</v>
      </c>
      <c r="H1" s="1">
        <v>42825</v>
      </c>
      <c r="I1" s="1">
        <v>42735</v>
      </c>
      <c r="J1" s="1">
        <v>42643</v>
      </c>
      <c r="K1" s="1">
        <v>42551</v>
      </c>
      <c r="L1" s="1">
        <v>42369</v>
      </c>
      <c r="M1" s="1">
        <v>42004</v>
      </c>
      <c r="N1" s="1">
        <v>41639</v>
      </c>
      <c r="O1" s="1">
        <v>41274</v>
      </c>
      <c r="P1" s="1">
        <v>40908</v>
      </c>
      <c r="Q1" s="1">
        <v>25569</v>
      </c>
      <c r="R1" s="188"/>
      <c r="S1" s="188"/>
      <c r="T1" s="188"/>
      <c r="U1" s="188"/>
      <c r="V1" s="188"/>
      <c r="W1" s="188"/>
      <c r="X1" s="188"/>
      <c r="Y1" s="188"/>
      <c r="Z1" s="188"/>
      <c r="AA1" s="188"/>
      <c r="AB1" s="188"/>
      <c r="AC1" s="188"/>
      <c r="AD1" s="188"/>
      <c r="AE1" s="188"/>
      <c r="AF1" s="188"/>
      <c r="AG1" s="188"/>
      <c r="AH1" s="188"/>
      <c r="AI1" s="188"/>
      <c r="AJ1" s="188"/>
      <c r="AK1" s="188"/>
      <c r="AL1" s="188"/>
      <c r="AM1" s="188"/>
      <c r="AN1" s="188"/>
      <c r="AO1" s="188"/>
      <c r="AP1" s="188"/>
      <c r="AQ1" s="188"/>
      <c r="AR1" s="188"/>
      <c r="AS1" s="188"/>
      <c r="AT1" s="188"/>
      <c r="AU1" s="188"/>
      <c r="AV1" s="188"/>
      <c r="AW1" s="188"/>
      <c r="AX1" s="188"/>
      <c r="AY1" s="188"/>
      <c r="AZ1" s="188"/>
      <c r="BA1" s="188"/>
      <c r="BB1" s="188"/>
      <c r="BC1" s="188"/>
      <c r="BD1" s="188"/>
      <c r="BE1" s="188"/>
      <c r="BF1" s="188"/>
      <c r="BG1" s="188"/>
      <c r="BH1" s="188"/>
      <c r="BI1" s="188"/>
      <c r="BJ1" s="188"/>
      <c r="BK1" s="188"/>
      <c r="BL1" s="188"/>
      <c r="BM1" s="188"/>
      <c r="BN1" s="188"/>
      <c r="BO1" s="188"/>
      <c r="BP1" s="188"/>
      <c r="BQ1" s="188"/>
      <c r="BR1" s="188"/>
      <c r="BS1" s="188"/>
      <c r="BT1" s="188"/>
      <c r="BU1" s="188"/>
      <c r="BV1" s="188"/>
      <c r="BW1" s="188"/>
      <c r="BX1" s="188"/>
      <c r="BY1" s="188"/>
      <c r="BZ1" s="188"/>
      <c r="CA1" s="188"/>
      <c r="CB1" s="188"/>
      <c r="CC1" s="188"/>
      <c r="CD1" s="188"/>
      <c r="CE1" s="188"/>
      <c r="CF1" s="188"/>
      <c r="CG1" s="188"/>
      <c r="CH1" s="188"/>
      <c r="CI1" s="188"/>
      <c r="CJ1" s="188"/>
      <c r="CK1" s="188"/>
      <c r="CL1" s="188"/>
    </row>
    <row r="2" spans="1:90" s="26" customFormat="1" x14ac:dyDescent="0.25">
      <c r="A2" s="41" t="s">
        <v>551</v>
      </c>
      <c r="E2" s="26">
        <f>资产资本表!E17</f>
        <v>359724222.34000003</v>
      </c>
      <c r="F2" s="26">
        <f>资产资本表!F17</f>
        <v>272744670.59000003</v>
      </c>
      <c r="G2" s="26">
        <f>资产资本表!G17</f>
        <v>360990104.43000001</v>
      </c>
      <c r="H2" s="26">
        <f>资产资本表!H17</f>
        <v>543018430.06000006</v>
      </c>
      <c r="I2" s="26">
        <f>资产资本表!I17</f>
        <v>442073371.21000004</v>
      </c>
      <c r="J2" s="26">
        <f>资产资本表!J17</f>
        <v>173441088.34999999</v>
      </c>
      <c r="K2" s="26">
        <f>资产资本表!K17</f>
        <v>125763270.44</v>
      </c>
      <c r="L2" s="26">
        <f>资产资本表!L17</f>
        <v>203669416.86000001</v>
      </c>
      <c r="M2" s="26">
        <f>资产资本表!M17</f>
        <v>121360190</v>
      </c>
      <c r="N2" s="26">
        <f>资产资本表!N17</f>
        <v>121048251.62</v>
      </c>
      <c r="O2" s="26">
        <f>资产资本表!O17</f>
        <v>131378573.28</v>
      </c>
      <c r="P2" s="26">
        <f>资产资本表!P17</f>
        <v>106634430.42</v>
      </c>
      <c r="Q2" s="26">
        <f>资产资本表!Q17</f>
        <v>0</v>
      </c>
      <c r="R2" s="26">
        <f>资产资本表!R17</f>
        <v>0</v>
      </c>
      <c r="S2" s="26">
        <f>资产资本表!S17</f>
        <v>0</v>
      </c>
      <c r="T2" s="26">
        <f>资产资本表!T17</f>
        <v>0</v>
      </c>
      <c r="U2" s="26">
        <f>资产资本表!U17</f>
        <v>0</v>
      </c>
      <c r="V2" s="26">
        <f>资产资本表!V17</f>
        <v>0</v>
      </c>
      <c r="W2" s="26">
        <f>资产资本表!W17</f>
        <v>0</v>
      </c>
      <c r="X2" s="26">
        <f>资产资本表!X17</f>
        <v>0</v>
      </c>
      <c r="Y2" s="26">
        <f>资产资本表!Y17</f>
        <v>0</v>
      </c>
      <c r="Z2" s="26">
        <f>资产资本表!Z17</f>
        <v>0</v>
      </c>
      <c r="AA2" s="26">
        <f>资产资本表!AA17</f>
        <v>0</v>
      </c>
      <c r="AB2" s="26">
        <f>资产资本表!AB17</f>
        <v>0</v>
      </c>
      <c r="AC2" s="26">
        <f>资产资本表!AC17</f>
        <v>0</v>
      </c>
      <c r="AD2" s="26">
        <f>资产资本表!AD17</f>
        <v>0</v>
      </c>
      <c r="AE2" s="26">
        <f>资产资本表!AE17</f>
        <v>0</v>
      </c>
      <c r="AF2" s="26">
        <f>资产资本表!AF17</f>
        <v>0</v>
      </c>
      <c r="AG2" s="26">
        <f>资产资本表!AG17</f>
        <v>0</v>
      </c>
      <c r="AH2" s="26">
        <f>资产资本表!AH17</f>
        <v>0</v>
      </c>
      <c r="AI2" s="26">
        <f>资产资本表!AI17</f>
        <v>0</v>
      </c>
      <c r="AJ2" s="26">
        <f>资产资本表!AJ17</f>
        <v>0</v>
      </c>
      <c r="AK2" s="26">
        <f>资产资本表!AK17</f>
        <v>0</v>
      </c>
      <c r="AL2" s="26">
        <f>资产资本表!AL17</f>
        <v>0</v>
      </c>
      <c r="AM2" s="26">
        <f>资产资本表!AM17</f>
        <v>0</v>
      </c>
      <c r="AN2" s="26">
        <f>资产资本表!AN17</f>
        <v>0</v>
      </c>
      <c r="AO2" s="26">
        <f>资产资本表!AO17</f>
        <v>0</v>
      </c>
      <c r="AP2" s="26">
        <f>资产资本表!AP17</f>
        <v>0</v>
      </c>
      <c r="AQ2" s="26">
        <f>资产资本表!AQ17</f>
        <v>0</v>
      </c>
      <c r="AR2" s="26">
        <f>资产资本表!AR17</f>
        <v>0</v>
      </c>
      <c r="AS2" s="26">
        <f>资产资本表!AS17</f>
        <v>0</v>
      </c>
      <c r="AT2" s="26">
        <f>资产资本表!AT17</f>
        <v>0</v>
      </c>
      <c r="AU2" s="26">
        <f>资产资本表!AU17</f>
        <v>0</v>
      </c>
      <c r="AV2" s="26">
        <f>资产资本表!AV17</f>
        <v>0</v>
      </c>
      <c r="AW2" s="26">
        <f>资产资本表!AW17</f>
        <v>0</v>
      </c>
      <c r="AX2" s="26">
        <f>资产资本表!AX17</f>
        <v>0</v>
      </c>
      <c r="AY2" s="26">
        <f>资产资本表!AY17</f>
        <v>0</v>
      </c>
      <c r="AZ2" s="26">
        <f>资产资本表!AZ17</f>
        <v>0</v>
      </c>
      <c r="BA2" s="26">
        <f>资产资本表!BA17</f>
        <v>0</v>
      </c>
      <c r="BB2" s="26">
        <f>资产资本表!BB17</f>
        <v>0</v>
      </c>
      <c r="BC2" s="26">
        <f>资产资本表!BC17</f>
        <v>0</v>
      </c>
      <c r="BD2" s="26">
        <f>资产资本表!BD17</f>
        <v>0</v>
      </c>
      <c r="BE2" s="26">
        <f>资产资本表!BE17</f>
        <v>0</v>
      </c>
      <c r="BF2" s="26">
        <f>资产资本表!BF17</f>
        <v>0</v>
      </c>
      <c r="BG2" s="26">
        <f>资产资本表!BG17</f>
        <v>0</v>
      </c>
      <c r="BH2" s="26">
        <f>资产资本表!BH17</f>
        <v>0</v>
      </c>
      <c r="BI2" s="26">
        <f>资产资本表!BI17</f>
        <v>0</v>
      </c>
      <c r="BJ2" s="26">
        <f>资产资本表!BJ17</f>
        <v>0</v>
      </c>
      <c r="BK2" s="26">
        <f>资产资本表!BK17</f>
        <v>0</v>
      </c>
      <c r="BL2" s="26">
        <f>资产资本表!BL17</f>
        <v>0</v>
      </c>
      <c r="BM2" s="26">
        <f>资产资本表!BM17</f>
        <v>0</v>
      </c>
      <c r="BN2" s="26">
        <f>资产资本表!BN17</f>
        <v>0</v>
      </c>
      <c r="BO2" s="26">
        <f>资产资本表!BO17</f>
        <v>0</v>
      </c>
      <c r="BP2" s="26">
        <f>资产资本表!BP17</f>
        <v>0</v>
      </c>
      <c r="BQ2" s="26">
        <f>资产资本表!BQ17</f>
        <v>0</v>
      </c>
      <c r="BR2" s="26">
        <f>资产资本表!BR17</f>
        <v>0</v>
      </c>
      <c r="BS2" s="26">
        <f>资产资本表!BS17</f>
        <v>0</v>
      </c>
      <c r="BT2" s="26">
        <f>资产资本表!BT17</f>
        <v>0</v>
      </c>
      <c r="BU2" s="26">
        <f>资产资本表!BU17</f>
        <v>0</v>
      </c>
      <c r="BV2" s="26">
        <f>资产资本表!BV17</f>
        <v>0</v>
      </c>
      <c r="BW2" s="26">
        <f>资产资本表!BW17</f>
        <v>0</v>
      </c>
      <c r="BX2" s="26">
        <f>资产资本表!BX17</f>
        <v>0</v>
      </c>
      <c r="BY2" s="26">
        <f>资产资本表!BY17</f>
        <v>0</v>
      </c>
      <c r="BZ2" s="26">
        <f>资产资本表!BZ17</f>
        <v>0</v>
      </c>
      <c r="CA2" s="26">
        <f>资产资本表!CA17</f>
        <v>0</v>
      </c>
      <c r="CB2" s="26">
        <f>资产资本表!CB17</f>
        <v>0</v>
      </c>
      <c r="CC2" s="26">
        <f>资产资本表!CC17</f>
        <v>0</v>
      </c>
      <c r="CD2" s="26">
        <f>资产资本表!CD17</f>
        <v>0</v>
      </c>
      <c r="CE2" s="26">
        <f>资产资本表!CE17</f>
        <v>0</v>
      </c>
      <c r="CF2" s="26">
        <f>资产资本表!CF17</f>
        <v>0</v>
      </c>
      <c r="CG2" s="26">
        <f>资产资本表!CG17</f>
        <v>0</v>
      </c>
      <c r="CH2" s="26">
        <f>资产资本表!CH17</f>
        <v>0</v>
      </c>
      <c r="CI2" s="26">
        <f>资产资本表!CI17</f>
        <v>0</v>
      </c>
      <c r="CJ2" s="26">
        <f>资产资本表!CJ17</f>
        <v>0</v>
      </c>
      <c r="CK2" s="26">
        <f>资产资本表!CK17</f>
        <v>0</v>
      </c>
      <c r="CL2" s="26">
        <f>资产资本表!CL17</f>
        <v>0</v>
      </c>
    </row>
    <row r="3" spans="1:90" s="26" customFormat="1" x14ac:dyDescent="0.25">
      <c r="A3" s="41" t="s">
        <v>552</v>
      </c>
      <c r="E3" s="26">
        <f>资产资本表!E19</f>
        <v>33000000</v>
      </c>
      <c r="F3" s="26">
        <f>资产资本表!F19</f>
        <v>0</v>
      </c>
      <c r="G3" s="26">
        <f>资产资本表!G19</f>
        <v>0</v>
      </c>
      <c r="H3" s="26">
        <f>资产资本表!H19</f>
        <v>0</v>
      </c>
      <c r="I3" s="26">
        <f>资产资本表!I19</f>
        <v>0</v>
      </c>
      <c r="J3" s="26">
        <f>资产资本表!J19</f>
        <v>0</v>
      </c>
      <c r="K3" s="26">
        <f>资产资本表!K19</f>
        <v>0</v>
      </c>
      <c r="L3" s="26">
        <f>资产资本表!L19</f>
        <v>0</v>
      </c>
      <c r="M3" s="26">
        <f>资产资本表!M19</f>
        <v>0</v>
      </c>
      <c r="N3" s="26">
        <f>资产资本表!N19</f>
        <v>0</v>
      </c>
      <c r="O3" s="26">
        <f>资产资本表!O19</f>
        <v>1000000</v>
      </c>
      <c r="P3" s="26">
        <f>资产资本表!P19</f>
        <v>1000000</v>
      </c>
      <c r="Q3" s="26">
        <f>资产资本表!Q19</f>
        <v>0</v>
      </c>
      <c r="R3" s="26">
        <f>资产资本表!R19</f>
        <v>0</v>
      </c>
      <c r="S3" s="26">
        <f>资产资本表!S19</f>
        <v>0</v>
      </c>
      <c r="T3" s="26">
        <f>资产资本表!T19</f>
        <v>0</v>
      </c>
      <c r="U3" s="26">
        <f>资产资本表!U19</f>
        <v>0</v>
      </c>
      <c r="V3" s="26">
        <f>资产资本表!V19</f>
        <v>0</v>
      </c>
      <c r="W3" s="26">
        <f>资产资本表!W19</f>
        <v>0</v>
      </c>
      <c r="X3" s="26">
        <f>资产资本表!X19</f>
        <v>0</v>
      </c>
      <c r="Y3" s="26">
        <f>资产资本表!Y19</f>
        <v>0</v>
      </c>
      <c r="Z3" s="26">
        <f>资产资本表!Z19</f>
        <v>0</v>
      </c>
      <c r="AA3" s="26">
        <f>资产资本表!AA19</f>
        <v>0</v>
      </c>
      <c r="AB3" s="26">
        <f>资产资本表!AB19</f>
        <v>0</v>
      </c>
      <c r="AC3" s="26">
        <f>资产资本表!AC19</f>
        <v>0</v>
      </c>
      <c r="AD3" s="26">
        <f>资产资本表!AD19</f>
        <v>0</v>
      </c>
      <c r="AE3" s="26">
        <f>资产资本表!AE19</f>
        <v>0</v>
      </c>
      <c r="AF3" s="26">
        <f>资产资本表!AF19</f>
        <v>0</v>
      </c>
      <c r="AG3" s="26">
        <f>资产资本表!AG19</f>
        <v>0</v>
      </c>
      <c r="AH3" s="26">
        <f>资产资本表!AH19</f>
        <v>0</v>
      </c>
      <c r="AI3" s="26">
        <f>资产资本表!AI19</f>
        <v>0</v>
      </c>
      <c r="AJ3" s="26">
        <f>资产资本表!AJ19</f>
        <v>0</v>
      </c>
      <c r="AK3" s="26">
        <f>资产资本表!AK19</f>
        <v>0</v>
      </c>
      <c r="AL3" s="26">
        <f>资产资本表!AL19</f>
        <v>0</v>
      </c>
      <c r="AM3" s="26">
        <f>资产资本表!AM19</f>
        <v>0</v>
      </c>
      <c r="AN3" s="26">
        <f>资产资本表!AN19</f>
        <v>0</v>
      </c>
      <c r="AO3" s="26">
        <f>资产资本表!AO19</f>
        <v>0</v>
      </c>
      <c r="AP3" s="26">
        <f>资产资本表!AP19</f>
        <v>0</v>
      </c>
      <c r="AQ3" s="26">
        <f>资产资本表!AQ19</f>
        <v>0</v>
      </c>
      <c r="AR3" s="26">
        <f>资产资本表!AR19</f>
        <v>0</v>
      </c>
      <c r="AS3" s="26">
        <f>资产资本表!AS19</f>
        <v>0</v>
      </c>
      <c r="AT3" s="26">
        <f>资产资本表!AT19</f>
        <v>0</v>
      </c>
      <c r="AU3" s="26">
        <f>资产资本表!AU19</f>
        <v>0</v>
      </c>
      <c r="AV3" s="26">
        <f>资产资本表!AV19</f>
        <v>0</v>
      </c>
      <c r="AW3" s="26">
        <f>资产资本表!AW19</f>
        <v>0</v>
      </c>
      <c r="AX3" s="26">
        <f>资产资本表!AX19</f>
        <v>0</v>
      </c>
      <c r="AY3" s="26">
        <f>资产资本表!AY19</f>
        <v>0</v>
      </c>
      <c r="AZ3" s="26">
        <f>资产资本表!AZ19</f>
        <v>0</v>
      </c>
      <c r="BA3" s="26">
        <f>资产资本表!BA19</f>
        <v>0</v>
      </c>
      <c r="BB3" s="26">
        <f>资产资本表!BB19</f>
        <v>0</v>
      </c>
      <c r="BC3" s="26">
        <f>资产资本表!BC19</f>
        <v>0</v>
      </c>
      <c r="BD3" s="26">
        <f>资产资本表!BD19</f>
        <v>0</v>
      </c>
      <c r="BE3" s="26">
        <f>资产资本表!BE19</f>
        <v>0</v>
      </c>
      <c r="BF3" s="26">
        <f>资产资本表!BF19</f>
        <v>0</v>
      </c>
      <c r="BG3" s="26">
        <f>资产资本表!BG19</f>
        <v>0</v>
      </c>
      <c r="BH3" s="26">
        <f>资产资本表!BH19</f>
        <v>0</v>
      </c>
      <c r="BI3" s="26">
        <f>资产资本表!BI19</f>
        <v>0</v>
      </c>
      <c r="BJ3" s="26">
        <f>资产资本表!BJ19</f>
        <v>0</v>
      </c>
      <c r="BK3" s="26">
        <f>资产资本表!BK19</f>
        <v>0</v>
      </c>
      <c r="BL3" s="26">
        <f>资产资本表!BL19</f>
        <v>0</v>
      </c>
      <c r="BM3" s="26">
        <f>资产资本表!BM19</f>
        <v>0</v>
      </c>
      <c r="BN3" s="26">
        <f>资产资本表!BN19</f>
        <v>0</v>
      </c>
      <c r="BO3" s="26">
        <f>资产资本表!BO19</f>
        <v>0</v>
      </c>
      <c r="BP3" s="26">
        <f>资产资本表!BP19</f>
        <v>0</v>
      </c>
      <c r="BQ3" s="26">
        <f>资产资本表!BQ19</f>
        <v>0</v>
      </c>
      <c r="BR3" s="26">
        <f>资产资本表!BR19</f>
        <v>0</v>
      </c>
      <c r="BS3" s="26">
        <f>资产资本表!BS19</f>
        <v>0</v>
      </c>
      <c r="BT3" s="26">
        <f>资产资本表!BT19</f>
        <v>0</v>
      </c>
      <c r="BU3" s="26">
        <f>资产资本表!BU19</f>
        <v>0</v>
      </c>
      <c r="BV3" s="26">
        <f>资产资本表!BV19</f>
        <v>0</v>
      </c>
      <c r="BW3" s="26">
        <f>资产资本表!BW19</f>
        <v>0</v>
      </c>
      <c r="BX3" s="26">
        <f>资产资本表!BX19</f>
        <v>0</v>
      </c>
      <c r="BY3" s="26">
        <f>资产资本表!BY19</f>
        <v>0</v>
      </c>
      <c r="BZ3" s="26">
        <f>资产资本表!BZ19</f>
        <v>0</v>
      </c>
      <c r="CA3" s="26">
        <f>资产资本表!CA19</f>
        <v>0</v>
      </c>
      <c r="CB3" s="26">
        <f>资产资本表!CB19</f>
        <v>0</v>
      </c>
      <c r="CC3" s="26">
        <f>资产资本表!CC19</f>
        <v>0</v>
      </c>
      <c r="CD3" s="26">
        <f>资产资本表!CD19</f>
        <v>0</v>
      </c>
      <c r="CE3" s="26">
        <f>资产资本表!CE19</f>
        <v>0</v>
      </c>
      <c r="CF3" s="26">
        <f>资产资本表!CF19</f>
        <v>0</v>
      </c>
      <c r="CG3" s="26">
        <f>资产资本表!CG19</f>
        <v>0</v>
      </c>
      <c r="CH3" s="26">
        <f>资产资本表!CH19</f>
        <v>0</v>
      </c>
      <c r="CI3" s="26">
        <f>资产资本表!CI19</f>
        <v>0</v>
      </c>
      <c r="CJ3" s="26">
        <f>资产资本表!CJ19</f>
        <v>0</v>
      </c>
      <c r="CK3" s="26">
        <f>资产资本表!CK19</f>
        <v>0</v>
      </c>
    </row>
    <row r="4" spans="1:90" s="26" customFormat="1" x14ac:dyDescent="0.25">
      <c r="A4" s="17" t="s">
        <v>557</v>
      </c>
      <c r="E4" s="26">
        <f>资产资本表!E50</f>
        <v>191971497.01999995</v>
      </c>
      <c r="F4" s="26">
        <f>资产资本表!F50</f>
        <v>314958716.34000003</v>
      </c>
      <c r="G4" s="26">
        <f>资产资本表!G50</f>
        <v>179942635.36999997</v>
      </c>
      <c r="H4" s="26">
        <f>资产资本表!H50</f>
        <v>46953509.559999973</v>
      </c>
      <c r="I4" s="26">
        <f>资产资本表!I50</f>
        <v>174160219.69000003</v>
      </c>
      <c r="J4" s="26">
        <f>资产资本表!J50</f>
        <v>-54243005.640000015</v>
      </c>
      <c r="K4" s="26">
        <f>资产资本表!K50</f>
        <v>-52081627.970000014</v>
      </c>
      <c r="L4" s="26">
        <f>资产资本表!L50</f>
        <v>-65944078.750000015</v>
      </c>
      <c r="M4" s="26">
        <f>资产资本表!M50</f>
        <v>-40591410.170000017</v>
      </c>
      <c r="N4" s="26">
        <f>资产资本表!N50</f>
        <v>-24105600.079999983</v>
      </c>
      <c r="O4" s="26">
        <f>资产资本表!O50</f>
        <v>17286619.160000011</v>
      </c>
      <c r="P4" s="26">
        <f>资产资本表!P50</f>
        <v>-393556.98000000417</v>
      </c>
      <c r="Q4" s="26">
        <f>资产资本表!Q50</f>
        <v>0</v>
      </c>
      <c r="R4" s="26">
        <f>资产资本表!R50</f>
        <v>0</v>
      </c>
      <c r="S4" s="26">
        <f>资产资本表!S50</f>
        <v>0</v>
      </c>
      <c r="T4" s="26">
        <f>资产资本表!T50</f>
        <v>0</v>
      </c>
      <c r="U4" s="26">
        <f>资产资本表!U50</f>
        <v>0</v>
      </c>
      <c r="V4" s="26">
        <f>资产资本表!V50</f>
        <v>0</v>
      </c>
      <c r="W4" s="26">
        <f>资产资本表!W50</f>
        <v>0</v>
      </c>
      <c r="X4" s="26">
        <f>资产资本表!X50</f>
        <v>0</v>
      </c>
      <c r="Y4" s="26">
        <f>资产资本表!Y50</f>
        <v>0</v>
      </c>
      <c r="Z4" s="26">
        <f>资产资本表!Z50</f>
        <v>0</v>
      </c>
      <c r="AA4" s="26">
        <f>资产资本表!AA50</f>
        <v>0</v>
      </c>
      <c r="AB4" s="26">
        <f>资产资本表!AB50</f>
        <v>0</v>
      </c>
      <c r="AC4" s="26">
        <f>资产资本表!AC50</f>
        <v>0</v>
      </c>
      <c r="AD4" s="26">
        <f>资产资本表!AD50</f>
        <v>0</v>
      </c>
      <c r="AE4" s="26">
        <f>资产资本表!AE50</f>
        <v>0</v>
      </c>
      <c r="AF4" s="26">
        <f>资产资本表!AF50</f>
        <v>0</v>
      </c>
      <c r="AG4" s="26">
        <f>资产资本表!AG50</f>
        <v>0</v>
      </c>
      <c r="AH4" s="26">
        <f>资产资本表!AH50</f>
        <v>0</v>
      </c>
      <c r="AI4" s="26">
        <f>资产资本表!AI50</f>
        <v>0</v>
      </c>
      <c r="AJ4" s="26">
        <f>资产资本表!AJ50</f>
        <v>0</v>
      </c>
      <c r="AK4" s="26">
        <f>资产资本表!AK50</f>
        <v>0</v>
      </c>
      <c r="AL4" s="26">
        <f>资产资本表!AL50</f>
        <v>0</v>
      </c>
      <c r="AM4" s="26">
        <f>资产资本表!AM50</f>
        <v>0</v>
      </c>
      <c r="AN4" s="26">
        <f>资产资本表!AN50</f>
        <v>0</v>
      </c>
      <c r="AO4" s="26">
        <f>资产资本表!AO50</f>
        <v>0</v>
      </c>
      <c r="AP4" s="26">
        <f>资产资本表!AP50</f>
        <v>0</v>
      </c>
      <c r="AQ4" s="26">
        <f>资产资本表!AQ50</f>
        <v>0</v>
      </c>
      <c r="AR4" s="26">
        <f>资产资本表!AR50</f>
        <v>0</v>
      </c>
      <c r="AS4" s="26">
        <f>资产资本表!AS50</f>
        <v>0</v>
      </c>
      <c r="AT4" s="26">
        <f>资产资本表!AT50</f>
        <v>0</v>
      </c>
      <c r="AU4" s="26">
        <f>资产资本表!AU50</f>
        <v>0</v>
      </c>
      <c r="AV4" s="26">
        <f>资产资本表!AV50</f>
        <v>0</v>
      </c>
      <c r="AW4" s="26">
        <f>资产资本表!AW50</f>
        <v>0</v>
      </c>
      <c r="AX4" s="26">
        <f>资产资本表!AX50</f>
        <v>0</v>
      </c>
      <c r="AY4" s="26">
        <f>资产资本表!AY50</f>
        <v>0</v>
      </c>
      <c r="AZ4" s="26">
        <f>资产资本表!AZ50</f>
        <v>0</v>
      </c>
      <c r="BA4" s="26">
        <f>资产资本表!BA50</f>
        <v>0</v>
      </c>
      <c r="BB4" s="26">
        <f>资产资本表!BB50</f>
        <v>0</v>
      </c>
      <c r="BC4" s="26">
        <f>资产资本表!BC50</f>
        <v>0</v>
      </c>
      <c r="BD4" s="26">
        <f>资产资本表!BD50</f>
        <v>0</v>
      </c>
      <c r="BE4" s="26">
        <f>资产资本表!BE50</f>
        <v>0</v>
      </c>
      <c r="BF4" s="26">
        <f>资产资本表!BF50</f>
        <v>0</v>
      </c>
      <c r="BG4" s="26">
        <f>资产资本表!BG50</f>
        <v>0</v>
      </c>
      <c r="BH4" s="26">
        <f>资产资本表!BH50</f>
        <v>0</v>
      </c>
      <c r="BI4" s="26">
        <f>资产资本表!BI50</f>
        <v>0</v>
      </c>
      <c r="BJ4" s="26">
        <f>资产资本表!BJ50</f>
        <v>0</v>
      </c>
      <c r="BK4" s="26">
        <f>资产资本表!BK50</f>
        <v>0</v>
      </c>
      <c r="BL4" s="26">
        <f>资产资本表!BL50</f>
        <v>0</v>
      </c>
      <c r="BM4" s="26">
        <f>资产资本表!BM50</f>
        <v>0</v>
      </c>
      <c r="BN4" s="26">
        <f>资产资本表!BN50</f>
        <v>0</v>
      </c>
      <c r="BO4" s="26">
        <f>资产资本表!BO50</f>
        <v>0</v>
      </c>
      <c r="BP4" s="26">
        <f>资产资本表!BP50</f>
        <v>0</v>
      </c>
      <c r="BQ4" s="26">
        <f>资产资本表!BQ50</f>
        <v>0</v>
      </c>
      <c r="BR4" s="26">
        <f>资产资本表!BR50</f>
        <v>0</v>
      </c>
      <c r="BS4" s="26">
        <f>资产资本表!BS50</f>
        <v>0</v>
      </c>
      <c r="BT4" s="26">
        <f>资产资本表!BT50</f>
        <v>0</v>
      </c>
      <c r="BU4" s="26">
        <f>资产资本表!BU50</f>
        <v>0</v>
      </c>
      <c r="BV4" s="26">
        <f>资产资本表!BV50</f>
        <v>0</v>
      </c>
      <c r="BW4" s="26">
        <f>资产资本表!BW50</f>
        <v>0</v>
      </c>
      <c r="BX4" s="26">
        <f>资产资本表!BX50</f>
        <v>0</v>
      </c>
      <c r="BY4" s="26">
        <f>资产资本表!BY50</f>
        <v>0</v>
      </c>
      <c r="BZ4" s="26">
        <f>资产资本表!BZ50</f>
        <v>0</v>
      </c>
      <c r="CA4" s="26">
        <f>资产资本表!CA50</f>
        <v>0</v>
      </c>
      <c r="CB4" s="26">
        <f>资产资本表!CB50</f>
        <v>0</v>
      </c>
      <c r="CC4" s="26">
        <f>资产资本表!CC50</f>
        <v>0</v>
      </c>
      <c r="CD4" s="26">
        <f>资产资本表!CD50</f>
        <v>0</v>
      </c>
      <c r="CE4" s="26">
        <f>资产资本表!CE50</f>
        <v>0</v>
      </c>
      <c r="CF4" s="26">
        <f>资产资本表!CF50</f>
        <v>0</v>
      </c>
      <c r="CG4" s="26">
        <f>资产资本表!CG50</f>
        <v>0</v>
      </c>
      <c r="CH4" s="26">
        <f>资产资本表!CH50</f>
        <v>0</v>
      </c>
      <c r="CI4" s="26">
        <f>资产资本表!CI50</f>
        <v>0</v>
      </c>
      <c r="CJ4" s="26">
        <f>资产资本表!CJ50</f>
        <v>0</v>
      </c>
      <c r="CK4" s="26">
        <f>资产资本表!CK50</f>
        <v>0</v>
      </c>
    </row>
    <row r="5" spans="1:90" s="26" customFormat="1" x14ac:dyDescent="0.25">
      <c r="A5" s="17" t="s">
        <v>334</v>
      </c>
      <c r="E5" s="26">
        <f>资产资本表!E33</f>
        <v>432441366.89999998</v>
      </c>
      <c r="F5" s="26">
        <f>资产资本表!F33</f>
        <v>561248011.47000003</v>
      </c>
      <c r="G5" s="26">
        <f>资产资本表!G33</f>
        <v>423431060.61000001</v>
      </c>
      <c r="H5" s="26">
        <f>资产资本表!H33</f>
        <v>267909018.56999999</v>
      </c>
      <c r="I5" s="26">
        <f>资产资本表!I33</f>
        <v>391710871.29000002</v>
      </c>
      <c r="J5" s="26">
        <f>资产资本表!J33</f>
        <v>148594951.60999998</v>
      </c>
      <c r="K5" s="26">
        <f>资产资本表!K33</f>
        <v>130686785.02999999</v>
      </c>
      <c r="L5" s="26">
        <f>资产资本表!L33</f>
        <v>91749480.739999995</v>
      </c>
      <c r="M5" s="26">
        <f>资产资本表!M33</f>
        <v>71822316</v>
      </c>
      <c r="N5" s="26">
        <f>资产资本表!N33</f>
        <v>67755197.140000001</v>
      </c>
      <c r="O5" s="26">
        <f>资产资本表!O33</f>
        <v>126178862.11</v>
      </c>
      <c r="P5" s="26">
        <f>资产资本表!P33</f>
        <v>50035570.579999998</v>
      </c>
      <c r="Q5" s="26">
        <f>资产资本表!Q33</f>
        <v>0</v>
      </c>
      <c r="R5" s="26">
        <f>资产资本表!R33</f>
        <v>0</v>
      </c>
      <c r="S5" s="26">
        <f>资产资本表!S33</f>
        <v>0</v>
      </c>
      <c r="T5" s="26">
        <f>资产资本表!T33</f>
        <v>0</v>
      </c>
      <c r="U5" s="26">
        <f>资产资本表!U33</f>
        <v>0</v>
      </c>
      <c r="V5" s="26">
        <f>资产资本表!V33</f>
        <v>0</v>
      </c>
      <c r="W5" s="26">
        <f>资产资本表!W33</f>
        <v>0</v>
      </c>
      <c r="X5" s="26">
        <f>资产资本表!X33</f>
        <v>0</v>
      </c>
      <c r="Y5" s="26">
        <f>资产资本表!Y33</f>
        <v>0</v>
      </c>
      <c r="Z5" s="26">
        <f>资产资本表!Z33</f>
        <v>0</v>
      </c>
      <c r="AA5" s="26">
        <f>资产资本表!AA33</f>
        <v>0</v>
      </c>
      <c r="AB5" s="26">
        <f>资产资本表!AB33</f>
        <v>0</v>
      </c>
      <c r="AC5" s="26">
        <f>资产资本表!AC33</f>
        <v>0</v>
      </c>
      <c r="AD5" s="26">
        <f>资产资本表!AD33</f>
        <v>0</v>
      </c>
      <c r="AE5" s="26">
        <f>资产资本表!AE33</f>
        <v>0</v>
      </c>
      <c r="AF5" s="26">
        <f>资产资本表!AF33</f>
        <v>0</v>
      </c>
      <c r="AG5" s="26">
        <f>资产资本表!AG33</f>
        <v>0</v>
      </c>
      <c r="AH5" s="26">
        <f>资产资本表!AH33</f>
        <v>0</v>
      </c>
      <c r="AI5" s="26">
        <f>资产资本表!AI33</f>
        <v>0</v>
      </c>
      <c r="AJ5" s="26">
        <f>资产资本表!AJ33</f>
        <v>0</v>
      </c>
      <c r="AK5" s="26">
        <f>资产资本表!AK33</f>
        <v>0</v>
      </c>
      <c r="AL5" s="26">
        <f>资产资本表!AL33</f>
        <v>0</v>
      </c>
      <c r="AM5" s="26">
        <f>资产资本表!AM33</f>
        <v>0</v>
      </c>
      <c r="AN5" s="26">
        <f>资产资本表!AN33</f>
        <v>0</v>
      </c>
      <c r="AO5" s="26">
        <f>资产资本表!AO33</f>
        <v>0</v>
      </c>
      <c r="AP5" s="26">
        <f>资产资本表!AP33</f>
        <v>0</v>
      </c>
      <c r="AQ5" s="26">
        <f>资产资本表!AQ33</f>
        <v>0</v>
      </c>
      <c r="AR5" s="26">
        <f>资产资本表!AR33</f>
        <v>0</v>
      </c>
      <c r="AS5" s="26">
        <f>资产资本表!AS33</f>
        <v>0</v>
      </c>
      <c r="AT5" s="26">
        <f>资产资本表!AT33</f>
        <v>0</v>
      </c>
      <c r="AU5" s="26">
        <f>资产资本表!AU33</f>
        <v>0</v>
      </c>
      <c r="AV5" s="26">
        <f>资产资本表!AV33</f>
        <v>0</v>
      </c>
      <c r="AW5" s="26">
        <f>资产资本表!AW33</f>
        <v>0</v>
      </c>
      <c r="AX5" s="26">
        <f>资产资本表!AX33</f>
        <v>0</v>
      </c>
      <c r="AY5" s="26">
        <f>资产资本表!AY33</f>
        <v>0</v>
      </c>
      <c r="AZ5" s="26">
        <f>资产资本表!AZ33</f>
        <v>0</v>
      </c>
      <c r="BA5" s="26">
        <f>资产资本表!BA33</f>
        <v>0</v>
      </c>
      <c r="BB5" s="26">
        <f>资产资本表!BB33</f>
        <v>0</v>
      </c>
      <c r="BC5" s="26">
        <f>资产资本表!BC33</f>
        <v>0</v>
      </c>
      <c r="BD5" s="26">
        <f>资产资本表!BD33</f>
        <v>0</v>
      </c>
      <c r="BE5" s="26">
        <f>资产资本表!BE33</f>
        <v>0</v>
      </c>
      <c r="BF5" s="26">
        <f>资产资本表!BF33</f>
        <v>0</v>
      </c>
      <c r="BG5" s="26">
        <f>资产资本表!BG33</f>
        <v>0</v>
      </c>
      <c r="BH5" s="26">
        <f>资产资本表!BH33</f>
        <v>0</v>
      </c>
      <c r="BI5" s="26">
        <f>资产资本表!BI33</f>
        <v>0</v>
      </c>
      <c r="BJ5" s="26">
        <f>资产资本表!BJ33</f>
        <v>0</v>
      </c>
      <c r="BK5" s="26">
        <f>资产资本表!BK33</f>
        <v>0</v>
      </c>
      <c r="BL5" s="26">
        <f>资产资本表!BL33</f>
        <v>0</v>
      </c>
      <c r="BM5" s="26">
        <f>资产资本表!BM33</f>
        <v>0</v>
      </c>
      <c r="BN5" s="26">
        <f>资产资本表!BN33</f>
        <v>0</v>
      </c>
      <c r="BO5" s="26">
        <f>资产资本表!BO33</f>
        <v>0</v>
      </c>
      <c r="BP5" s="26">
        <f>资产资本表!BP33</f>
        <v>0</v>
      </c>
      <c r="BQ5" s="26">
        <f>资产资本表!BQ33</f>
        <v>0</v>
      </c>
      <c r="BR5" s="26">
        <f>资产资本表!BR33</f>
        <v>0</v>
      </c>
      <c r="BS5" s="26">
        <f>资产资本表!BS33</f>
        <v>0</v>
      </c>
      <c r="BT5" s="26">
        <f>资产资本表!BT33</f>
        <v>0</v>
      </c>
      <c r="BU5" s="26">
        <f>资产资本表!BU33</f>
        <v>0</v>
      </c>
      <c r="BV5" s="26">
        <f>资产资本表!BV33</f>
        <v>0</v>
      </c>
      <c r="BW5" s="26">
        <f>资产资本表!BW33</f>
        <v>0</v>
      </c>
      <c r="BX5" s="26">
        <f>资产资本表!BX33</f>
        <v>0</v>
      </c>
      <c r="BY5" s="26">
        <f>资产资本表!BY33</f>
        <v>0</v>
      </c>
      <c r="BZ5" s="26">
        <f>资产资本表!BZ33</f>
        <v>0</v>
      </c>
      <c r="CA5" s="26">
        <f>资产资本表!CA33</f>
        <v>0</v>
      </c>
      <c r="CB5" s="26">
        <f>资产资本表!CB33</f>
        <v>0</v>
      </c>
      <c r="CC5" s="26">
        <f>资产资本表!CC33</f>
        <v>0</v>
      </c>
      <c r="CD5" s="26">
        <f>资产资本表!CD33</f>
        <v>0</v>
      </c>
      <c r="CE5" s="26">
        <f>资产资本表!CE33</f>
        <v>0</v>
      </c>
      <c r="CF5" s="26">
        <f>资产资本表!CF33</f>
        <v>0</v>
      </c>
      <c r="CG5" s="26">
        <f>资产资本表!CG33</f>
        <v>0</v>
      </c>
      <c r="CH5" s="26">
        <f>资产资本表!CH33</f>
        <v>0</v>
      </c>
      <c r="CI5" s="26">
        <f>资产资本表!CI33</f>
        <v>0</v>
      </c>
      <c r="CJ5" s="26">
        <f>资产资本表!CJ33</f>
        <v>0</v>
      </c>
      <c r="CK5" s="26">
        <f>资产资本表!CK33</f>
        <v>0</v>
      </c>
      <c r="CL5" s="26">
        <f>资产资本表!CL33</f>
        <v>0</v>
      </c>
    </row>
    <row r="6" spans="1:90" s="26" customFormat="1" x14ac:dyDescent="0.25">
      <c r="A6" s="17" t="s">
        <v>335</v>
      </c>
      <c r="E6" s="26">
        <f>资产资本表!E49</f>
        <v>240469869.88000003</v>
      </c>
      <c r="F6" s="26">
        <f>资产资本表!F49</f>
        <v>246289295.13000003</v>
      </c>
      <c r="G6" s="26">
        <f>资产资本表!G49</f>
        <v>243488425.24000004</v>
      </c>
      <c r="H6" s="26">
        <f>资产资本表!H49</f>
        <v>220955509.01000002</v>
      </c>
      <c r="I6" s="26">
        <f>资产资本表!I49</f>
        <v>217550651.59999999</v>
      </c>
      <c r="J6" s="26">
        <f>资产资本表!J49</f>
        <v>202837957.25</v>
      </c>
      <c r="K6" s="26">
        <f>资产资本表!K49</f>
        <v>182768413</v>
      </c>
      <c r="L6" s="26">
        <f>资产资本表!L49</f>
        <v>157693559.49000001</v>
      </c>
      <c r="M6" s="26">
        <f>资产资本表!M49</f>
        <v>112413726.17000002</v>
      </c>
      <c r="N6" s="26">
        <f>资产资本表!N49</f>
        <v>91860797.219999984</v>
      </c>
      <c r="O6" s="26">
        <f>资产资本表!O49</f>
        <v>108892242.94999999</v>
      </c>
      <c r="P6" s="26">
        <f>资产资本表!P49</f>
        <v>50429127.560000002</v>
      </c>
      <c r="Q6" s="26">
        <f>资产资本表!Q49</f>
        <v>0</v>
      </c>
      <c r="R6" s="26">
        <f>资产资本表!R49</f>
        <v>0</v>
      </c>
      <c r="S6" s="26">
        <f>资产资本表!S49</f>
        <v>0</v>
      </c>
      <c r="T6" s="26">
        <f>资产资本表!T49</f>
        <v>0</v>
      </c>
      <c r="U6" s="26">
        <f>资产资本表!U49</f>
        <v>0</v>
      </c>
      <c r="V6" s="26">
        <f>资产资本表!V49</f>
        <v>0</v>
      </c>
      <c r="W6" s="26">
        <f>资产资本表!W49</f>
        <v>0</v>
      </c>
      <c r="X6" s="26">
        <f>资产资本表!X49</f>
        <v>0</v>
      </c>
      <c r="Y6" s="26">
        <f>资产资本表!Y49</f>
        <v>0</v>
      </c>
      <c r="Z6" s="26">
        <f>资产资本表!Z49</f>
        <v>0</v>
      </c>
      <c r="AA6" s="26">
        <f>资产资本表!AA49</f>
        <v>0</v>
      </c>
      <c r="AB6" s="26">
        <f>资产资本表!AB49</f>
        <v>0</v>
      </c>
      <c r="AC6" s="26">
        <f>资产资本表!AC49</f>
        <v>0</v>
      </c>
      <c r="AD6" s="26">
        <f>资产资本表!AD49</f>
        <v>0</v>
      </c>
      <c r="AE6" s="26">
        <f>资产资本表!AE49</f>
        <v>0</v>
      </c>
      <c r="AF6" s="26">
        <f>资产资本表!AF49</f>
        <v>0</v>
      </c>
      <c r="AG6" s="26">
        <f>资产资本表!AG49</f>
        <v>0</v>
      </c>
      <c r="AH6" s="26">
        <f>资产资本表!AH49</f>
        <v>0</v>
      </c>
      <c r="AI6" s="26">
        <f>资产资本表!AI49</f>
        <v>0</v>
      </c>
      <c r="AJ6" s="26">
        <f>资产资本表!AJ49</f>
        <v>0</v>
      </c>
      <c r="AK6" s="26">
        <f>资产资本表!AK49</f>
        <v>0</v>
      </c>
      <c r="AL6" s="26">
        <f>资产资本表!AL49</f>
        <v>0</v>
      </c>
      <c r="AM6" s="26">
        <f>资产资本表!AM49</f>
        <v>0</v>
      </c>
      <c r="AN6" s="26">
        <f>资产资本表!AN49</f>
        <v>0</v>
      </c>
      <c r="AO6" s="26">
        <f>资产资本表!AO49</f>
        <v>0</v>
      </c>
      <c r="AP6" s="26">
        <f>资产资本表!AP49</f>
        <v>0</v>
      </c>
      <c r="AQ6" s="26">
        <f>资产资本表!AQ49</f>
        <v>0</v>
      </c>
      <c r="AR6" s="26">
        <f>资产资本表!AR49</f>
        <v>0</v>
      </c>
      <c r="AS6" s="26">
        <f>资产资本表!AS49</f>
        <v>0</v>
      </c>
      <c r="AT6" s="26">
        <f>资产资本表!AT49</f>
        <v>0</v>
      </c>
      <c r="AU6" s="26">
        <f>资产资本表!AU49</f>
        <v>0</v>
      </c>
      <c r="AV6" s="26">
        <f>资产资本表!AV49</f>
        <v>0</v>
      </c>
      <c r="AW6" s="26">
        <f>资产资本表!AW49</f>
        <v>0</v>
      </c>
      <c r="AX6" s="26">
        <f>资产资本表!AX49</f>
        <v>0</v>
      </c>
      <c r="AY6" s="26">
        <f>资产资本表!AY49</f>
        <v>0</v>
      </c>
      <c r="AZ6" s="26">
        <f>资产资本表!AZ49</f>
        <v>0</v>
      </c>
      <c r="BA6" s="26">
        <f>资产资本表!BA49</f>
        <v>0</v>
      </c>
      <c r="BB6" s="26">
        <f>资产资本表!BB49</f>
        <v>0</v>
      </c>
      <c r="BC6" s="26">
        <f>资产资本表!BC49</f>
        <v>0</v>
      </c>
      <c r="BD6" s="26">
        <f>资产资本表!BD49</f>
        <v>0</v>
      </c>
      <c r="BE6" s="26">
        <f>资产资本表!BE49</f>
        <v>0</v>
      </c>
      <c r="BF6" s="26">
        <f>资产资本表!BF49</f>
        <v>0</v>
      </c>
      <c r="BG6" s="26">
        <f>资产资本表!BG49</f>
        <v>0</v>
      </c>
      <c r="BH6" s="26">
        <f>资产资本表!BH49</f>
        <v>0</v>
      </c>
      <c r="BI6" s="26">
        <f>资产资本表!BI49</f>
        <v>0</v>
      </c>
      <c r="BJ6" s="26">
        <f>资产资本表!BJ49</f>
        <v>0</v>
      </c>
      <c r="BK6" s="26">
        <f>资产资本表!BK49</f>
        <v>0</v>
      </c>
      <c r="BL6" s="26">
        <f>资产资本表!BL49</f>
        <v>0</v>
      </c>
      <c r="BM6" s="26">
        <f>资产资本表!BM49</f>
        <v>0</v>
      </c>
      <c r="BN6" s="26">
        <f>资产资本表!BN49</f>
        <v>0</v>
      </c>
      <c r="BO6" s="26">
        <f>资产资本表!BO49</f>
        <v>0</v>
      </c>
      <c r="BP6" s="26">
        <f>资产资本表!BP49</f>
        <v>0</v>
      </c>
      <c r="BQ6" s="26">
        <f>资产资本表!BQ49</f>
        <v>0</v>
      </c>
      <c r="BR6" s="26">
        <f>资产资本表!BR49</f>
        <v>0</v>
      </c>
      <c r="BS6" s="26">
        <f>资产资本表!BS49</f>
        <v>0</v>
      </c>
      <c r="BT6" s="26">
        <f>资产资本表!BT49</f>
        <v>0</v>
      </c>
      <c r="BU6" s="26">
        <f>资产资本表!BU49</f>
        <v>0</v>
      </c>
      <c r="BV6" s="26">
        <f>资产资本表!BV49</f>
        <v>0</v>
      </c>
      <c r="BW6" s="26">
        <f>资产资本表!BW49</f>
        <v>0</v>
      </c>
      <c r="BX6" s="26">
        <f>资产资本表!BX49</f>
        <v>0</v>
      </c>
      <c r="BY6" s="26">
        <f>资产资本表!BY49</f>
        <v>0</v>
      </c>
      <c r="BZ6" s="26">
        <f>资产资本表!BZ49</f>
        <v>0</v>
      </c>
      <c r="CA6" s="26">
        <f>资产资本表!CA49</f>
        <v>0</v>
      </c>
      <c r="CB6" s="26">
        <f>资产资本表!CB49</f>
        <v>0</v>
      </c>
      <c r="CC6" s="26">
        <f>资产资本表!CC49</f>
        <v>0</v>
      </c>
      <c r="CD6" s="26">
        <f>资产资本表!CD49</f>
        <v>0</v>
      </c>
      <c r="CE6" s="26">
        <f>资产资本表!CE49</f>
        <v>0</v>
      </c>
      <c r="CF6" s="26">
        <f>资产资本表!CF49</f>
        <v>0</v>
      </c>
      <c r="CG6" s="26">
        <f>资产资本表!CG49</f>
        <v>0</v>
      </c>
      <c r="CH6" s="26">
        <f>资产资本表!CH49</f>
        <v>0</v>
      </c>
      <c r="CI6" s="26">
        <f>资产资本表!CI49</f>
        <v>0</v>
      </c>
      <c r="CJ6" s="26">
        <f>资产资本表!CJ49</f>
        <v>0</v>
      </c>
      <c r="CK6" s="26">
        <f>资产资本表!CK49</f>
        <v>0</v>
      </c>
      <c r="CL6" s="26">
        <f>资产资本表!CL49</f>
        <v>0</v>
      </c>
    </row>
    <row r="7" spans="1:90" s="26" customFormat="1" x14ac:dyDescent="0.25">
      <c r="A7" s="17" t="s">
        <v>336</v>
      </c>
      <c r="E7" s="26">
        <f>资产资本表!E68</f>
        <v>510192738.41999996</v>
      </c>
      <c r="F7" s="26">
        <f>资产资本表!F68</f>
        <v>466628191.19</v>
      </c>
      <c r="G7" s="26">
        <f>资产资本表!G68</f>
        <v>460689590.17999995</v>
      </c>
      <c r="H7" s="26">
        <f>资产资本表!H68</f>
        <v>456027228.91999996</v>
      </c>
      <c r="I7" s="26">
        <f>资产资本表!I68</f>
        <v>445835844.24999994</v>
      </c>
      <c r="J7" s="26">
        <f>资产资本表!J68</f>
        <v>438494729.19999999</v>
      </c>
      <c r="K7" s="26">
        <f>资产资本表!K68</f>
        <v>438388144.12</v>
      </c>
      <c r="L7" s="26">
        <f>资产资本表!L68</f>
        <v>430710674</v>
      </c>
      <c r="M7" s="26">
        <f>资产资本表!M68</f>
        <v>409619889.18999994</v>
      </c>
      <c r="N7" s="26">
        <f>资产资本表!N68</f>
        <v>399236290.46000004</v>
      </c>
      <c r="O7" s="26">
        <f>资产资本表!O68</f>
        <v>180021943.97000003</v>
      </c>
      <c r="P7" s="26">
        <f>资产资本表!P68</f>
        <v>130281770.53</v>
      </c>
      <c r="Q7" s="26">
        <f>资产资本表!Q68</f>
        <v>0</v>
      </c>
      <c r="R7" s="26">
        <f>资产资本表!R68</f>
        <v>0</v>
      </c>
      <c r="S7" s="26">
        <f>资产资本表!S68</f>
        <v>0</v>
      </c>
      <c r="T7" s="26">
        <f>资产资本表!T68</f>
        <v>0</v>
      </c>
      <c r="U7" s="26">
        <f>资产资本表!U68</f>
        <v>0</v>
      </c>
      <c r="V7" s="26">
        <f>资产资本表!V68</f>
        <v>0</v>
      </c>
      <c r="W7" s="26">
        <f>资产资本表!W68</f>
        <v>0</v>
      </c>
      <c r="X7" s="26">
        <f>资产资本表!X68</f>
        <v>0</v>
      </c>
      <c r="Y7" s="26">
        <f>资产资本表!Y68</f>
        <v>0</v>
      </c>
      <c r="Z7" s="26">
        <f>资产资本表!Z68</f>
        <v>0</v>
      </c>
      <c r="AA7" s="26">
        <f>资产资本表!AA68</f>
        <v>0</v>
      </c>
      <c r="AB7" s="26">
        <f>资产资本表!AB68</f>
        <v>0</v>
      </c>
      <c r="AC7" s="26">
        <f>资产资本表!AC68</f>
        <v>0</v>
      </c>
      <c r="AD7" s="26">
        <f>资产资本表!AD68</f>
        <v>0</v>
      </c>
      <c r="AE7" s="26">
        <f>资产资本表!AE68</f>
        <v>0</v>
      </c>
      <c r="AF7" s="26">
        <f>资产资本表!AF68</f>
        <v>0</v>
      </c>
      <c r="AG7" s="26">
        <f>资产资本表!AG68</f>
        <v>0</v>
      </c>
      <c r="AH7" s="26">
        <f>资产资本表!AH68</f>
        <v>0</v>
      </c>
      <c r="AI7" s="26">
        <f>资产资本表!AI68</f>
        <v>0</v>
      </c>
      <c r="AJ7" s="26">
        <f>资产资本表!AJ68</f>
        <v>0</v>
      </c>
      <c r="AK7" s="26">
        <f>资产资本表!AK68</f>
        <v>0</v>
      </c>
      <c r="AL7" s="26">
        <f>资产资本表!AL68</f>
        <v>0</v>
      </c>
      <c r="AM7" s="26">
        <f>资产资本表!AM68</f>
        <v>0</v>
      </c>
      <c r="AN7" s="26">
        <f>资产资本表!AN68</f>
        <v>0</v>
      </c>
      <c r="AO7" s="26">
        <f>资产资本表!AO68</f>
        <v>0</v>
      </c>
      <c r="AP7" s="26">
        <f>资产资本表!AP68</f>
        <v>0</v>
      </c>
      <c r="AQ7" s="26">
        <f>资产资本表!AQ68</f>
        <v>0</v>
      </c>
      <c r="AR7" s="26">
        <f>资产资本表!AR68</f>
        <v>0</v>
      </c>
      <c r="AS7" s="26">
        <f>资产资本表!AS68</f>
        <v>0</v>
      </c>
      <c r="AT7" s="26">
        <f>资产资本表!AT68</f>
        <v>0</v>
      </c>
      <c r="AU7" s="26">
        <f>资产资本表!AU68</f>
        <v>0</v>
      </c>
      <c r="AV7" s="26">
        <f>资产资本表!AV68</f>
        <v>0</v>
      </c>
      <c r="AW7" s="26">
        <f>资产资本表!AW68</f>
        <v>0</v>
      </c>
      <c r="AX7" s="26">
        <f>资产资本表!AX68</f>
        <v>0</v>
      </c>
      <c r="AY7" s="26">
        <f>资产资本表!AY68</f>
        <v>0</v>
      </c>
      <c r="AZ7" s="26">
        <f>资产资本表!AZ68</f>
        <v>0</v>
      </c>
      <c r="BA7" s="26">
        <f>资产资本表!BA68</f>
        <v>0</v>
      </c>
      <c r="BB7" s="26">
        <f>资产资本表!BB68</f>
        <v>0</v>
      </c>
      <c r="BC7" s="26">
        <f>资产资本表!BC68</f>
        <v>0</v>
      </c>
      <c r="BD7" s="26">
        <f>资产资本表!BD68</f>
        <v>0</v>
      </c>
      <c r="BE7" s="26">
        <f>资产资本表!BE68</f>
        <v>0</v>
      </c>
      <c r="BF7" s="26">
        <f>资产资本表!BF68</f>
        <v>0</v>
      </c>
      <c r="BG7" s="26">
        <f>资产资本表!BG68</f>
        <v>0</v>
      </c>
      <c r="BH7" s="26">
        <f>资产资本表!BH68</f>
        <v>0</v>
      </c>
      <c r="BI7" s="26">
        <f>资产资本表!BI68</f>
        <v>0</v>
      </c>
      <c r="BJ7" s="26">
        <f>资产资本表!BJ68</f>
        <v>0</v>
      </c>
      <c r="BK7" s="26">
        <f>资产资本表!BK68</f>
        <v>0</v>
      </c>
      <c r="BL7" s="26">
        <f>资产资本表!BL68</f>
        <v>0</v>
      </c>
      <c r="BM7" s="26">
        <f>资产资本表!BM68</f>
        <v>0</v>
      </c>
      <c r="BN7" s="26">
        <f>资产资本表!BN68</f>
        <v>0</v>
      </c>
      <c r="BO7" s="26">
        <f>资产资本表!BO68</f>
        <v>0</v>
      </c>
      <c r="BP7" s="26">
        <f>资产资本表!BP68</f>
        <v>0</v>
      </c>
      <c r="BQ7" s="26">
        <f>资产资本表!BQ68</f>
        <v>0</v>
      </c>
      <c r="BR7" s="26">
        <f>资产资本表!BR68</f>
        <v>0</v>
      </c>
      <c r="BS7" s="26">
        <f>资产资本表!BS68</f>
        <v>0</v>
      </c>
      <c r="BT7" s="26">
        <f>资产资本表!BT68</f>
        <v>0</v>
      </c>
      <c r="BU7" s="26">
        <f>资产资本表!BU68</f>
        <v>0</v>
      </c>
      <c r="BV7" s="26">
        <f>资产资本表!BV68</f>
        <v>0</v>
      </c>
      <c r="BW7" s="26">
        <f>资产资本表!BW68</f>
        <v>0</v>
      </c>
      <c r="BX7" s="26">
        <f>资产资本表!BX68</f>
        <v>0</v>
      </c>
      <c r="BY7" s="26">
        <f>资产资本表!BY68</f>
        <v>0</v>
      </c>
      <c r="BZ7" s="26">
        <f>资产资本表!BZ68</f>
        <v>0</v>
      </c>
      <c r="CA7" s="26">
        <f>资产资本表!CA68</f>
        <v>0</v>
      </c>
      <c r="CB7" s="26">
        <f>资产资本表!CB68</f>
        <v>0</v>
      </c>
      <c r="CC7" s="26">
        <f>资产资本表!CC68</f>
        <v>0</v>
      </c>
      <c r="CD7" s="26">
        <f>资产资本表!CD68</f>
        <v>0</v>
      </c>
      <c r="CE7" s="26">
        <f>资产资本表!CE68</f>
        <v>0</v>
      </c>
      <c r="CF7" s="26">
        <f>资产资本表!CF68</f>
        <v>0</v>
      </c>
      <c r="CG7" s="26">
        <f>资产资本表!CG68</f>
        <v>0</v>
      </c>
      <c r="CH7" s="26">
        <f>资产资本表!CH68</f>
        <v>0</v>
      </c>
      <c r="CI7" s="26">
        <f>资产资本表!CI68</f>
        <v>0</v>
      </c>
      <c r="CJ7" s="26">
        <f>资产资本表!CJ68</f>
        <v>0</v>
      </c>
      <c r="CK7" s="26">
        <f>资产资本表!CK68</f>
        <v>0</v>
      </c>
    </row>
    <row r="8" spans="1:90" s="26" customFormat="1" x14ac:dyDescent="0.25">
      <c r="A8" s="41" t="s">
        <v>636</v>
      </c>
      <c r="E8" s="26">
        <f>资产资本表!E69</f>
        <v>702164235.43999994</v>
      </c>
      <c r="F8" s="26">
        <f>资产资本表!F69</f>
        <v>781586907.52999997</v>
      </c>
      <c r="G8" s="26">
        <f>资产资本表!G69</f>
        <v>640632225.54999995</v>
      </c>
      <c r="H8" s="26">
        <f>资产资本表!H69</f>
        <v>502980738.4799999</v>
      </c>
      <c r="I8" s="26">
        <f>资产资本表!I69</f>
        <v>619996063.93999994</v>
      </c>
      <c r="J8" s="26">
        <f>资产资本表!J69</f>
        <v>384251723.55999994</v>
      </c>
      <c r="K8" s="26">
        <f>资产资本表!K69</f>
        <v>386306516.14999998</v>
      </c>
      <c r="L8" s="26">
        <f>资产资本表!L69</f>
        <v>364766595.25</v>
      </c>
      <c r="M8" s="26">
        <f>资产资本表!M69</f>
        <v>369028479.01999992</v>
      </c>
      <c r="N8" s="26">
        <f>资产资本表!N69</f>
        <v>375130690.38000005</v>
      </c>
      <c r="O8" s="26">
        <f>资产资本表!O69</f>
        <v>197308563.13000005</v>
      </c>
      <c r="P8" s="26">
        <f>资产资本表!P69</f>
        <v>129888213.55</v>
      </c>
      <c r="Q8" s="26">
        <f>资产资本表!Q69</f>
        <v>0</v>
      </c>
      <c r="R8" s="26">
        <f>资产资本表!R69</f>
        <v>0</v>
      </c>
      <c r="S8" s="26">
        <f>资产资本表!S69</f>
        <v>0</v>
      </c>
      <c r="T8" s="26">
        <f>资产资本表!T69</f>
        <v>0</v>
      </c>
      <c r="U8" s="26">
        <f>资产资本表!U69</f>
        <v>0</v>
      </c>
      <c r="V8" s="26">
        <f>资产资本表!V69</f>
        <v>0</v>
      </c>
      <c r="W8" s="26">
        <f>资产资本表!W69</f>
        <v>0</v>
      </c>
      <c r="X8" s="26">
        <f>资产资本表!X69</f>
        <v>0</v>
      </c>
      <c r="Y8" s="26">
        <f>资产资本表!Y69</f>
        <v>0</v>
      </c>
      <c r="Z8" s="26">
        <f>资产资本表!Z69</f>
        <v>0</v>
      </c>
      <c r="AA8" s="26">
        <f>资产资本表!AA69</f>
        <v>0</v>
      </c>
      <c r="AB8" s="26">
        <f>资产资本表!AB69</f>
        <v>0</v>
      </c>
      <c r="AC8" s="26">
        <f>资产资本表!AC69</f>
        <v>0</v>
      </c>
      <c r="AD8" s="26">
        <f>资产资本表!AD69</f>
        <v>0</v>
      </c>
      <c r="AE8" s="26">
        <f>资产资本表!AE69</f>
        <v>0</v>
      </c>
      <c r="AF8" s="26">
        <f>资产资本表!AF69</f>
        <v>0</v>
      </c>
      <c r="AG8" s="26">
        <f>资产资本表!AG69</f>
        <v>0</v>
      </c>
      <c r="AH8" s="26">
        <f>资产资本表!AH69</f>
        <v>0</v>
      </c>
      <c r="AI8" s="26">
        <f>资产资本表!AI69</f>
        <v>0</v>
      </c>
      <c r="AJ8" s="26">
        <f>资产资本表!AJ69</f>
        <v>0</v>
      </c>
      <c r="AK8" s="26">
        <f>资产资本表!AK69</f>
        <v>0</v>
      </c>
      <c r="AL8" s="26">
        <f>资产资本表!AL69</f>
        <v>0</v>
      </c>
      <c r="AM8" s="26">
        <f>资产资本表!AM69</f>
        <v>0</v>
      </c>
      <c r="AN8" s="26">
        <f>资产资本表!AN69</f>
        <v>0</v>
      </c>
      <c r="AO8" s="26">
        <f>资产资本表!AO69</f>
        <v>0</v>
      </c>
      <c r="AP8" s="26">
        <f>资产资本表!AP69</f>
        <v>0</v>
      </c>
      <c r="AQ8" s="26">
        <f>资产资本表!AQ69</f>
        <v>0</v>
      </c>
      <c r="AR8" s="26">
        <f>资产资本表!AR69</f>
        <v>0</v>
      </c>
      <c r="AS8" s="26">
        <f>资产资本表!AS69</f>
        <v>0</v>
      </c>
      <c r="AT8" s="26">
        <f>资产资本表!AT69</f>
        <v>0</v>
      </c>
      <c r="AU8" s="26">
        <f>资产资本表!AU69</f>
        <v>0</v>
      </c>
      <c r="AV8" s="26">
        <f>资产资本表!AV69</f>
        <v>0</v>
      </c>
      <c r="AW8" s="26">
        <f>资产资本表!AW69</f>
        <v>0</v>
      </c>
      <c r="AX8" s="26">
        <f>资产资本表!AX69</f>
        <v>0</v>
      </c>
      <c r="AY8" s="26">
        <f>资产资本表!AY69</f>
        <v>0</v>
      </c>
      <c r="AZ8" s="26">
        <f>资产资本表!AZ69</f>
        <v>0</v>
      </c>
      <c r="BA8" s="26">
        <f>资产资本表!BA69</f>
        <v>0</v>
      </c>
      <c r="BB8" s="26">
        <f>资产资本表!BB69</f>
        <v>0</v>
      </c>
      <c r="BC8" s="26">
        <f>资产资本表!BC69</f>
        <v>0</v>
      </c>
      <c r="BD8" s="26">
        <f>资产资本表!BD69</f>
        <v>0</v>
      </c>
      <c r="BE8" s="26">
        <f>资产资本表!BE69</f>
        <v>0</v>
      </c>
      <c r="BF8" s="26">
        <f>资产资本表!BF69</f>
        <v>0</v>
      </c>
      <c r="BG8" s="26">
        <f>资产资本表!BG69</f>
        <v>0</v>
      </c>
      <c r="BH8" s="26">
        <f>资产资本表!BH69</f>
        <v>0</v>
      </c>
      <c r="BI8" s="26">
        <f>资产资本表!BI69</f>
        <v>0</v>
      </c>
      <c r="BJ8" s="26">
        <f>资产资本表!BJ69</f>
        <v>0</v>
      </c>
      <c r="BK8" s="26">
        <f>资产资本表!BK69</f>
        <v>0</v>
      </c>
      <c r="BL8" s="26">
        <f>资产资本表!BL69</f>
        <v>0</v>
      </c>
      <c r="BM8" s="26">
        <f>资产资本表!BM69</f>
        <v>0</v>
      </c>
      <c r="BN8" s="26">
        <f>资产资本表!BN69</f>
        <v>0</v>
      </c>
      <c r="BO8" s="26">
        <f>资产资本表!BO69</f>
        <v>0</v>
      </c>
      <c r="BP8" s="26">
        <f>资产资本表!BP69</f>
        <v>0</v>
      </c>
      <c r="BQ8" s="26">
        <f>资产资本表!BQ69</f>
        <v>0</v>
      </c>
      <c r="BR8" s="26">
        <f>资产资本表!BR69</f>
        <v>0</v>
      </c>
      <c r="BS8" s="26">
        <f>资产资本表!BS69</f>
        <v>0</v>
      </c>
      <c r="BT8" s="26">
        <f>资产资本表!BT69</f>
        <v>0</v>
      </c>
      <c r="BU8" s="26">
        <f>资产资本表!BU69</f>
        <v>0</v>
      </c>
      <c r="BV8" s="26">
        <f>资产资本表!BV69</f>
        <v>0</v>
      </c>
      <c r="BW8" s="26">
        <f>资产资本表!BW69</f>
        <v>0</v>
      </c>
      <c r="BX8" s="26">
        <f>资产资本表!BX69</f>
        <v>0</v>
      </c>
      <c r="BY8" s="26">
        <f>资产资本表!BY69</f>
        <v>0</v>
      </c>
      <c r="BZ8" s="26">
        <f>资产资本表!BZ69</f>
        <v>0</v>
      </c>
      <c r="CA8" s="26">
        <f>资产资本表!CA69</f>
        <v>0</v>
      </c>
      <c r="CB8" s="26">
        <f>资产资本表!CB69</f>
        <v>0</v>
      </c>
      <c r="CC8" s="26">
        <f>资产资本表!CC69</f>
        <v>0</v>
      </c>
      <c r="CD8" s="26">
        <f>资产资本表!CD69</f>
        <v>0</v>
      </c>
      <c r="CE8" s="26">
        <f>资产资本表!CE69</f>
        <v>0</v>
      </c>
      <c r="CF8" s="26">
        <f>资产资本表!CF69</f>
        <v>0</v>
      </c>
      <c r="CG8" s="26">
        <f>资产资本表!CG69</f>
        <v>0</v>
      </c>
      <c r="CH8" s="26">
        <f>资产资本表!CH69</f>
        <v>0</v>
      </c>
      <c r="CI8" s="26">
        <f>资产资本表!CI69</f>
        <v>0</v>
      </c>
      <c r="CJ8" s="26">
        <f>资产资本表!CJ69</f>
        <v>0</v>
      </c>
      <c r="CK8" s="26">
        <f>资产资本表!CK69</f>
        <v>0</v>
      </c>
      <c r="CL8" s="26">
        <f>资产资本表!CL69</f>
        <v>0</v>
      </c>
    </row>
    <row r="9" spans="1:90" s="48" customFormat="1" x14ac:dyDescent="0.25">
      <c r="A9" s="46" t="s">
        <v>638</v>
      </c>
      <c r="E9" s="48">
        <f>资产资本表!E70</f>
        <v>1094888457.78</v>
      </c>
      <c r="F9" s="48">
        <f>资产资本表!F70</f>
        <v>1054331578.12</v>
      </c>
      <c r="G9" s="48">
        <f>资产资本表!G70</f>
        <v>1001622329.98</v>
      </c>
      <c r="H9" s="48">
        <f>资产资本表!H70</f>
        <v>1045999168.54</v>
      </c>
      <c r="I9" s="48">
        <f>资产资本表!I70</f>
        <v>1062069435.15</v>
      </c>
      <c r="J9" s="48">
        <f>资产资本表!J70</f>
        <v>557692811.90999997</v>
      </c>
      <c r="K9" s="48">
        <f>资产资本表!K70</f>
        <v>512069786.58999997</v>
      </c>
      <c r="L9" s="48">
        <f>资产资本表!L70</f>
        <v>568436012.11000001</v>
      </c>
      <c r="M9" s="48">
        <f>资产资本表!M70</f>
        <v>490388669.01999992</v>
      </c>
      <c r="N9" s="48">
        <f>资产资本表!N70</f>
        <v>496178942.00000006</v>
      </c>
      <c r="O9" s="48">
        <f>资产资本表!O70</f>
        <v>329687136.41000009</v>
      </c>
      <c r="P9" s="48">
        <f>资产资本表!P70</f>
        <v>237522643.97</v>
      </c>
      <c r="Q9" s="48">
        <f>资产资本表!Q70</f>
        <v>0</v>
      </c>
      <c r="R9" s="48">
        <f>资产资本表!R70</f>
        <v>0</v>
      </c>
      <c r="S9" s="48">
        <f>资产资本表!S70</f>
        <v>0</v>
      </c>
      <c r="T9" s="48">
        <f>资产资本表!T70</f>
        <v>0</v>
      </c>
      <c r="U9" s="48">
        <f>资产资本表!U70</f>
        <v>0</v>
      </c>
      <c r="V9" s="48">
        <f>资产资本表!V70</f>
        <v>0</v>
      </c>
      <c r="W9" s="48">
        <f>资产资本表!W70</f>
        <v>0</v>
      </c>
      <c r="X9" s="48">
        <f>资产资本表!X70</f>
        <v>0</v>
      </c>
      <c r="Y9" s="48">
        <f>资产资本表!Y70</f>
        <v>0</v>
      </c>
      <c r="Z9" s="48">
        <f>资产资本表!Z70</f>
        <v>0</v>
      </c>
      <c r="AA9" s="48">
        <f>资产资本表!AA70</f>
        <v>0</v>
      </c>
      <c r="AB9" s="48">
        <f>资产资本表!AB70</f>
        <v>0</v>
      </c>
      <c r="AC9" s="48">
        <f>资产资本表!AC70</f>
        <v>0</v>
      </c>
      <c r="AD9" s="48">
        <f>资产资本表!AD70</f>
        <v>0</v>
      </c>
      <c r="AE9" s="48">
        <f>资产资本表!AE70</f>
        <v>0</v>
      </c>
      <c r="AF9" s="48">
        <f>资产资本表!AF70</f>
        <v>0</v>
      </c>
      <c r="AG9" s="48">
        <f>资产资本表!AG70</f>
        <v>0</v>
      </c>
      <c r="AH9" s="48">
        <f>资产资本表!AH70</f>
        <v>0</v>
      </c>
      <c r="AI9" s="48">
        <f>资产资本表!AI70</f>
        <v>0</v>
      </c>
      <c r="AJ9" s="48">
        <f>资产资本表!AJ70</f>
        <v>0</v>
      </c>
      <c r="AK9" s="48">
        <f>资产资本表!AK70</f>
        <v>0</v>
      </c>
      <c r="AL9" s="48">
        <f>资产资本表!AL70</f>
        <v>0</v>
      </c>
      <c r="AM9" s="48">
        <f>资产资本表!AM70</f>
        <v>0</v>
      </c>
      <c r="AN9" s="48">
        <f>资产资本表!AN70</f>
        <v>0</v>
      </c>
      <c r="AO9" s="48">
        <f>资产资本表!AO70</f>
        <v>0</v>
      </c>
      <c r="AP9" s="48">
        <f>资产资本表!AP70</f>
        <v>0</v>
      </c>
      <c r="AQ9" s="48">
        <f>资产资本表!AQ70</f>
        <v>0</v>
      </c>
      <c r="AR9" s="48">
        <f>资产资本表!AR70</f>
        <v>0</v>
      </c>
      <c r="AS9" s="48">
        <f>资产资本表!AS70</f>
        <v>0</v>
      </c>
      <c r="AT9" s="48">
        <f>资产资本表!AT70</f>
        <v>0</v>
      </c>
      <c r="AU9" s="48">
        <f>资产资本表!AU70</f>
        <v>0</v>
      </c>
      <c r="AV9" s="48">
        <f>资产资本表!AV70</f>
        <v>0</v>
      </c>
      <c r="AW9" s="48">
        <f>资产资本表!AW70</f>
        <v>0</v>
      </c>
      <c r="AX9" s="48">
        <f>资产资本表!AX70</f>
        <v>0</v>
      </c>
      <c r="AY9" s="48">
        <f>资产资本表!AY70</f>
        <v>0</v>
      </c>
      <c r="AZ9" s="48">
        <f>资产资本表!AZ70</f>
        <v>0</v>
      </c>
      <c r="BA9" s="48">
        <f>资产资本表!BA70</f>
        <v>0</v>
      </c>
      <c r="BB9" s="48">
        <f>资产资本表!BB70</f>
        <v>0</v>
      </c>
      <c r="BC9" s="48">
        <f>资产资本表!BC70</f>
        <v>0</v>
      </c>
      <c r="BD9" s="48">
        <f>资产资本表!BD70</f>
        <v>0</v>
      </c>
      <c r="BE9" s="48">
        <f>资产资本表!BE70</f>
        <v>0</v>
      </c>
      <c r="BF9" s="48">
        <f>资产资本表!BF70</f>
        <v>0</v>
      </c>
      <c r="BG9" s="48">
        <f>资产资本表!BG70</f>
        <v>0</v>
      </c>
      <c r="BH9" s="48">
        <f>资产资本表!BH70</f>
        <v>0</v>
      </c>
      <c r="BI9" s="48">
        <f>资产资本表!BI70</f>
        <v>0</v>
      </c>
      <c r="BJ9" s="48">
        <f>资产资本表!BJ70</f>
        <v>0</v>
      </c>
      <c r="BK9" s="48">
        <f>资产资本表!BK70</f>
        <v>0</v>
      </c>
      <c r="BL9" s="48">
        <f>资产资本表!BL70</f>
        <v>0</v>
      </c>
      <c r="BM9" s="48">
        <f>资产资本表!BM70</f>
        <v>0</v>
      </c>
      <c r="BN9" s="48">
        <f>资产资本表!BN70</f>
        <v>0</v>
      </c>
      <c r="BO9" s="48">
        <f>资产资本表!BO70</f>
        <v>0</v>
      </c>
      <c r="BP9" s="48">
        <f>资产资本表!BP70</f>
        <v>0</v>
      </c>
      <c r="BQ9" s="48">
        <f>资产资本表!BQ70</f>
        <v>0</v>
      </c>
      <c r="BR9" s="48">
        <f>资产资本表!BR70</f>
        <v>0</v>
      </c>
      <c r="BS9" s="48">
        <f>资产资本表!BS70</f>
        <v>0</v>
      </c>
      <c r="BT9" s="48">
        <f>资产资本表!BT70</f>
        <v>0</v>
      </c>
      <c r="BU9" s="48">
        <f>资产资本表!BU70</f>
        <v>0</v>
      </c>
      <c r="BV9" s="48">
        <f>资产资本表!BV70</f>
        <v>0</v>
      </c>
      <c r="BW9" s="48">
        <f>资产资本表!BW70</f>
        <v>0</v>
      </c>
      <c r="BX9" s="48">
        <f>资产资本表!BX70</f>
        <v>0</v>
      </c>
      <c r="BY9" s="48">
        <f>资产资本表!BY70</f>
        <v>0</v>
      </c>
      <c r="BZ9" s="48">
        <f>资产资本表!BZ70</f>
        <v>0</v>
      </c>
      <c r="CA9" s="48">
        <f>资产资本表!CA70</f>
        <v>0</v>
      </c>
      <c r="CB9" s="48">
        <f>资产资本表!CB70</f>
        <v>0</v>
      </c>
      <c r="CC9" s="48">
        <f>资产资本表!CC70</f>
        <v>0</v>
      </c>
      <c r="CD9" s="48">
        <f>资产资本表!CD70</f>
        <v>0</v>
      </c>
      <c r="CE9" s="48">
        <f>资产资本表!CE70</f>
        <v>0</v>
      </c>
      <c r="CF9" s="48">
        <f>资产资本表!CF70</f>
        <v>0</v>
      </c>
      <c r="CG9" s="48">
        <f>资产资本表!CG70</f>
        <v>0</v>
      </c>
      <c r="CH9" s="48">
        <f>资产资本表!CH70</f>
        <v>0</v>
      </c>
      <c r="CI9" s="48">
        <f>资产资本表!CI70</f>
        <v>0</v>
      </c>
      <c r="CJ9" s="48">
        <f>资产资本表!CJ70</f>
        <v>0</v>
      </c>
      <c r="CK9" s="48">
        <f>资产资本表!CK70</f>
        <v>0</v>
      </c>
      <c r="CL9" s="48">
        <f>资产资本表!CL70</f>
        <v>0</v>
      </c>
    </row>
    <row r="10" spans="1:90" s="26" customFormat="1" x14ac:dyDescent="0.25">
      <c r="A10" s="17" t="s">
        <v>339</v>
      </c>
      <c r="E10" s="26">
        <f>资产资本表!E72</f>
        <v>0</v>
      </c>
      <c r="F10" s="26">
        <f>资产资本表!F72</f>
        <v>0</v>
      </c>
      <c r="G10" s="26">
        <f>资产资本表!G72</f>
        <v>0</v>
      </c>
      <c r="H10" s="26">
        <f>资产资本表!H72</f>
        <v>33760703.5</v>
      </c>
      <c r="I10" s="26">
        <f>资产资本表!I72</f>
        <v>58246810</v>
      </c>
      <c r="J10" s="26">
        <f>资产资本表!J72</f>
        <v>84242535.329999998</v>
      </c>
      <c r="K10" s="26">
        <f>资产资本表!K72</f>
        <v>84242535.329999998</v>
      </c>
      <c r="L10" s="26">
        <f>资产资本表!L72</f>
        <v>51435725.329999998</v>
      </c>
      <c r="M10" s="26">
        <f>资产资本表!M72</f>
        <v>42500000</v>
      </c>
      <c r="N10" s="26">
        <f>资产资本表!N72</f>
        <v>92895714</v>
      </c>
      <c r="O10" s="26">
        <f>资产资本表!O72</f>
        <v>65837129</v>
      </c>
      <c r="P10" s="26">
        <f>资产资本表!P72</f>
        <v>19000000</v>
      </c>
      <c r="Q10" s="26">
        <f>资产资本表!Q72</f>
        <v>0</v>
      </c>
      <c r="R10" s="26">
        <f>资产资本表!R72</f>
        <v>0</v>
      </c>
      <c r="S10" s="26">
        <f>资产资本表!S72</f>
        <v>0</v>
      </c>
      <c r="T10" s="26">
        <f>资产资本表!T72</f>
        <v>0</v>
      </c>
      <c r="U10" s="26">
        <f>资产资本表!U72</f>
        <v>0</v>
      </c>
      <c r="V10" s="26">
        <f>资产资本表!V72</f>
        <v>0</v>
      </c>
      <c r="W10" s="26">
        <f>资产资本表!W72</f>
        <v>0</v>
      </c>
      <c r="X10" s="26">
        <f>资产资本表!X72</f>
        <v>0</v>
      </c>
      <c r="Y10" s="26">
        <f>资产资本表!Y72</f>
        <v>0</v>
      </c>
      <c r="Z10" s="26">
        <f>资产资本表!Z72</f>
        <v>0</v>
      </c>
      <c r="AA10" s="26">
        <f>资产资本表!AA72</f>
        <v>0</v>
      </c>
      <c r="AB10" s="26">
        <f>资产资本表!AB72</f>
        <v>0</v>
      </c>
      <c r="AC10" s="26">
        <f>资产资本表!AC72</f>
        <v>0</v>
      </c>
      <c r="AD10" s="26">
        <f>资产资本表!AD72</f>
        <v>0</v>
      </c>
      <c r="AE10" s="26">
        <f>资产资本表!AE72</f>
        <v>0</v>
      </c>
      <c r="AF10" s="26">
        <f>资产资本表!AF72</f>
        <v>0</v>
      </c>
      <c r="AG10" s="26">
        <f>资产资本表!AG72</f>
        <v>0</v>
      </c>
      <c r="AH10" s="26">
        <f>资产资本表!AH72</f>
        <v>0</v>
      </c>
      <c r="AI10" s="26">
        <f>资产资本表!AI72</f>
        <v>0</v>
      </c>
      <c r="AJ10" s="26">
        <f>资产资本表!AJ72</f>
        <v>0</v>
      </c>
      <c r="AK10" s="26">
        <f>资产资本表!AK72</f>
        <v>0</v>
      </c>
      <c r="AL10" s="26">
        <f>资产资本表!AL72</f>
        <v>0</v>
      </c>
      <c r="AM10" s="26">
        <f>资产资本表!AM72</f>
        <v>0</v>
      </c>
      <c r="AN10" s="26">
        <f>资产资本表!AN72</f>
        <v>0</v>
      </c>
      <c r="AO10" s="26">
        <f>资产资本表!AO72</f>
        <v>0</v>
      </c>
      <c r="AP10" s="26">
        <f>资产资本表!AP72</f>
        <v>0</v>
      </c>
      <c r="AQ10" s="26">
        <f>资产资本表!AQ72</f>
        <v>0</v>
      </c>
      <c r="AR10" s="26">
        <f>资产资本表!AR72</f>
        <v>0</v>
      </c>
      <c r="AS10" s="26">
        <f>资产资本表!AS72</f>
        <v>0</v>
      </c>
      <c r="AT10" s="26">
        <f>资产资本表!AT72</f>
        <v>0</v>
      </c>
      <c r="AU10" s="26">
        <f>资产资本表!AU72</f>
        <v>0</v>
      </c>
      <c r="AV10" s="26">
        <f>资产资本表!AV72</f>
        <v>0</v>
      </c>
      <c r="AW10" s="26">
        <f>资产资本表!AW72</f>
        <v>0</v>
      </c>
      <c r="AX10" s="26">
        <f>资产资本表!AX72</f>
        <v>0</v>
      </c>
      <c r="AY10" s="26">
        <f>资产资本表!AY72</f>
        <v>0</v>
      </c>
      <c r="AZ10" s="26">
        <f>资产资本表!AZ72</f>
        <v>0</v>
      </c>
      <c r="BA10" s="26">
        <f>资产资本表!BA72</f>
        <v>0</v>
      </c>
      <c r="BB10" s="26">
        <f>资产资本表!BB72</f>
        <v>0</v>
      </c>
      <c r="BC10" s="26">
        <f>资产资本表!BC72</f>
        <v>0</v>
      </c>
      <c r="BD10" s="26">
        <f>资产资本表!BD72</f>
        <v>0</v>
      </c>
      <c r="BE10" s="26">
        <f>资产资本表!BE72</f>
        <v>0</v>
      </c>
      <c r="BF10" s="26">
        <f>资产资本表!BF72</f>
        <v>0</v>
      </c>
      <c r="BG10" s="26">
        <f>资产资本表!BG72</f>
        <v>0</v>
      </c>
      <c r="BH10" s="26">
        <f>资产资本表!BH72</f>
        <v>0</v>
      </c>
      <c r="BI10" s="26">
        <f>资产资本表!BI72</f>
        <v>0</v>
      </c>
      <c r="BJ10" s="26">
        <f>资产资本表!BJ72</f>
        <v>0</v>
      </c>
      <c r="BK10" s="26">
        <f>资产资本表!BK72</f>
        <v>0</v>
      </c>
      <c r="BL10" s="26">
        <f>资产资本表!BL72</f>
        <v>0</v>
      </c>
      <c r="BM10" s="26">
        <f>资产资本表!BM72</f>
        <v>0</v>
      </c>
      <c r="BN10" s="26">
        <f>资产资本表!BN72</f>
        <v>0</v>
      </c>
      <c r="BO10" s="26">
        <f>资产资本表!BO72</f>
        <v>0</v>
      </c>
      <c r="BP10" s="26">
        <f>资产资本表!BP72</f>
        <v>0</v>
      </c>
      <c r="BQ10" s="26">
        <f>资产资本表!BQ72</f>
        <v>0</v>
      </c>
      <c r="BR10" s="26">
        <f>资产资本表!BR72</f>
        <v>0</v>
      </c>
      <c r="BS10" s="26">
        <f>资产资本表!BS72</f>
        <v>0</v>
      </c>
      <c r="BT10" s="26">
        <f>资产资本表!BT72</f>
        <v>0</v>
      </c>
      <c r="BU10" s="26">
        <f>资产资本表!BU72</f>
        <v>0</v>
      </c>
      <c r="BV10" s="26">
        <f>资产资本表!BV72</f>
        <v>0</v>
      </c>
      <c r="BW10" s="26">
        <f>资产资本表!BW72</f>
        <v>0</v>
      </c>
      <c r="BX10" s="26">
        <f>资产资本表!BX72</f>
        <v>0</v>
      </c>
      <c r="BY10" s="26">
        <f>资产资本表!BY72</f>
        <v>0</v>
      </c>
      <c r="BZ10" s="26">
        <f>资产资本表!BZ72</f>
        <v>0</v>
      </c>
      <c r="CA10" s="26">
        <f>资产资本表!CA72</f>
        <v>0</v>
      </c>
      <c r="CB10" s="26">
        <f>资产资本表!CB72</f>
        <v>0</v>
      </c>
      <c r="CC10" s="26">
        <f>资产资本表!CC72</f>
        <v>0</v>
      </c>
      <c r="CD10" s="26">
        <f>资产资本表!CD72</f>
        <v>0</v>
      </c>
      <c r="CE10" s="26">
        <f>资产资本表!CE72</f>
        <v>0</v>
      </c>
      <c r="CF10" s="26">
        <f>资产资本表!CF72</f>
        <v>0</v>
      </c>
      <c r="CG10" s="26">
        <f>资产资本表!CG72</f>
        <v>0</v>
      </c>
      <c r="CH10" s="26">
        <f>资产资本表!CH72</f>
        <v>0</v>
      </c>
      <c r="CI10" s="26">
        <f>资产资本表!CI72</f>
        <v>0</v>
      </c>
      <c r="CJ10" s="26">
        <f>资产资本表!CJ72</f>
        <v>0</v>
      </c>
      <c r="CK10" s="26">
        <f>资产资本表!CK72</f>
        <v>0</v>
      </c>
    </row>
    <row r="11" spans="1:90" s="26" customFormat="1" x14ac:dyDescent="0.25">
      <c r="A11" s="17" t="s">
        <v>340</v>
      </c>
      <c r="E11" s="26">
        <f>资产资本表!E81</f>
        <v>0</v>
      </c>
      <c r="F11" s="26">
        <f>资产资本表!F81</f>
        <v>0</v>
      </c>
      <c r="G11" s="26">
        <f>资产资本表!G81</f>
        <v>0</v>
      </c>
      <c r="H11" s="26">
        <f>资产资本表!H81</f>
        <v>9890479.9199999999</v>
      </c>
      <c r="I11" s="26">
        <f>资产资本表!I81</f>
        <v>18408383.420000002</v>
      </c>
      <c r="J11" s="26">
        <f>资产资本表!J81</f>
        <v>28105583.420000002</v>
      </c>
      <c r="K11" s="26">
        <f>资产资本表!K81</f>
        <v>27650855.510000002</v>
      </c>
      <c r="L11" s="26">
        <f>资产资本表!L81</f>
        <v>38982000</v>
      </c>
      <c r="M11" s="26">
        <f>资产资本表!M81</f>
        <v>60540800</v>
      </c>
      <c r="N11" s="26">
        <f>资产资本表!N81</f>
        <v>85540000</v>
      </c>
      <c r="O11" s="26">
        <f>资产资本表!O81</f>
        <v>5375879.2400000002</v>
      </c>
      <c r="P11" s="26">
        <f>资产资本表!P81</f>
        <v>4881671.9800000004</v>
      </c>
      <c r="Q11" s="26">
        <f>资产资本表!Q81</f>
        <v>0</v>
      </c>
      <c r="R11" s="26">
        <f>资产资本表!R81</f>
        <v>0</v>
      </c>
      <c r="S11" s="26">
        <f>资产资本表!S81</f>
        <v>0</v>
      </c>
      <c r="T11" s="26">
        <f>资产资本表!T81</f>
        <v>0</v>
      </c>
      <c r="U11" s="26">
        <f>资产资本表!U81</f>
        <v>0</v>
      </c>
      <c r="V11" s="26">
        <f>资产资本表!V81</f>
        <v>0</v>
      </c>
      <c r="W11" s="26">
        <f>资产资本表!W81</f>
        <v>0</v>
      </c>
      <c r="X11" s="26">
        <f>资产资本表!X81</f>
        <v>0</v>
      </c>
      <c r="Y11" s="26">
        <f>资产资本表!Y81</f>
        <v>0</v>
      </c>
      <c r="Z11" s="26">
        <f>资产资本表!Z81</f>
        <v>0</v>
      </c>
      <c r="AA11" s="26">
        <f>资产资本表!AA81</f>
        <v>0</v>
      </c>
      <c r="AB11" s="26">
        <f>资产资本表!AB81</f>
        <v>0</v>
      </c>
      <c r="AC11" s="26">
        <f>资产资本表!AC81</f>
        <v>0</v>
      </c>
      <c r="AD11" s="26">
        <f>资产资本表!AD81</f>
        <v>0</v>
      </c>
      <c r="AE11" s="26">
        <f>资产资本表!AE81</f>
        <v>0</v>
      </c>
      <c r="AF11" s="26">
        <f>资产资本表!AF81</f>
        <v>0</v>
      </c>
      <c r="AG11" s="26">
        <f>资产资本表!AG81</f>
        <v>0</v>
      </c>
      <c r="AH11" s="26">
        <f>资产资本表!AH81</f>
        <v>0</v>
      </c>
      <c r="AI11" s="26">
        <f>资产资本表!AI81</f>
        <v>0</v>
      </c>
      <c r="AJ11" s="26">
        <f>资产资本表!AJ81</f>
        <v>0</v>
      </c>
      <c r="AK11" s="26">
        <f>资产资本表!AK81</f>
        <v>0</v>
      </c>
      <c r="AL11" s="26">
        <f>资产资本表!AL81</f>
        <v>0</v>
      </c>
      <c r="AM11" s="26">
        <f>资产资本表!AM81</f>
        <v>0</v>
      </c>
      <c r="AN11" s="26">
        <f>资产资本表!AN81</f>
        <v>0</v>
      </c>
      <c r="AO11" s="26">
        <f>资产资本表!AO81</f>
        <v>0</v>
      </c>
      <c r="AP11" s="26">
        <f>资产资本表!AP81</f>
        <v>0</v>
      </c>
      <c r="AQ11" s="26">
        <f>资产资本表!AQ81</f>
        <v>0</v>
      </c>
      <c r="AR11" s="26">
        <f>资产资本表!AR81</f>
        <v>0</v>
      </c>
      <c r="AS11" s="26">
        <f>资产资本表!AS81</f>
        <v>0</v>
      </c>
      <c r="AT11" s="26">
        <f>资产资本表!AT81</f>
        <v>0</v>
      </c>
      <c r="AU11" s="26">
        <f>资产资本表!AU81</f>
        <v>0</v>
      </c>
      <c r="AV11" s="26">
        <f>资产资本表!AV81</f>
        <v>0</v>
      </c>
      <c r="AW11" s="26">
        <f>资产资本表!AW81</f>
        <v>0</v>
      </c>
      <c r="AX11" s="26">
        <f>资产资本表!AX81</f>
        <v>0</v>
      </c>
      <c r="AY11" s="26">
        <f>资产资本表!AY81</f>
        <v>0</v>
      </c>
      <c r="AZ11" s="26">
        <f>资产资本表!AZ81</f>
        <v>0</v>
      </c>
      <c r="BA11" s="26">
        <f>资产资本表!BA81</f>
        <v>0</v>
      </c>
      <c r="BB11" s="26">
        <f>资产资本表!BB81</f>
        <v>0</v>
      </c>
      <c r="BC11" s="26">
        <f>资产资本表!BC81</f>
        <v>0</v>
      </c>
      <c r="BD11" s="26">
        <f>资产资本表!BD81</f>
        <v>0</v>
      </c>
      <c r="BE11" s="26">
        <f>资产资本表!BE81</f>
        <v>0</v>
      </c>
      <c r="BF11" s="26">
        <f>资产资本表!BF81</f>
        <v>0</v>
      </c>
      <c r="BG11" s="26">
        <f>资产资本表!BG81</f>
        <v>0</v>
      </c>
      <c r="BH11" s="26">
        <f>资产资本表!BH81</f>
        <v>0</v>
      </c>
      <c r="BI11" s="26">
        <f>资产资本表!BI81</f>
        <v>0</v>
      </c>
      <c r="BJ11" s="26">
        <f>资产资本表!BJ81</f>
        <v>0</v>
      </c>
      <c r="BK11" s="26">
        <f>资产资本表!BK81</f>
        <v>0</v>
      </c>
      <c r="BL11" s="26">
        <f>资产资本表!BL81</f>
        <v>0</v>
      </c>
      <c r="BM11" s="26">
        <f>资产资本表!BM81</f>
        <v>0</v>
      </c>
      <c r="BN11" s="26">
        <f>资产资本表!BN81</f>
        <v>0</v>
      </c>
      <c r="BO11" s="26">
        <f>资产资本表!BO81</f>
        <v>0</v>
      </c>
      <c r="BP11" s="26">
        <f>资产资本表!BP81</f>
        <v>0</v>
      </c>
      <c r="BQ11" s="26">
        <f>资产资本表!BQ81</f>
        <v>0</v>
      </c>
      <c r="BR11" s="26">
        <f>资产资本表!BR81</f>
        <v>0</v>
      </c>
      <c r="BS11" s="26">
        <f>资产资本表!BS81</f>
        <v>0</v>
      </c>
      <c r="BT11" s="26">
        <f>资产资本表!BT81</f>
        <v>0</v>
      </c>
      <c r="BU11" s="26">
        <f>资产资本表!BU81</f>
        <v>0</v>
      </c>
      <c r="BV11" s="26">
        <f>资产资本表!BV81</f>
        <v>0</v>
      </c>
      <c r="BW11" s="26">
        <f>资产资本表!BW81</f>
        <v>0</v>
      </c>
      <c r="BX11" s="26">
        <f>资产资本表!BX81</f>
        <v>0</v>
      </c>
      <c r="BY11" s="26">
        <f>资产资本表!BY81</f>
        <v>0</v>
      </c>
      <c r="BZ11" s="26">
        <f>资产资本表!BZ81</f>
        <v>0</v>
      </c>
      <c r="CA11" s="26">
        <f>资产资本表!CA81</f>
        <v>0</v>
      </c>
      <c r="CB11" s="26">
        <f>资产资本表!CB81</f>
        <v>0</v>
      </c>
      <c r="CC11" s="26">
        <f>资产资本表!CC81</f>
        <v>0</v>
      </c>
      <c r="CD11" s="26">
        <f>资产资本表!CD81</f>
        <v>0</v>
      </c>
      <c r="CE11" s="26">
        <f>资产资本表!CE81</f>
        <v>0</v>
      </c>
      <c r="CF11" s="26">
        <f>资产资本表!CF81</f>
        <v>0</v>
      </c>
      <c r="CG11" s="26">
        <f>资产资本表!CG81</f>
        <v>0</v>
      </c>
      <c r="CH11" s="26">
        <f>资产资本表!CH81</f>
        <v>0</v>
      </c>
      <c r="CI11" s="26">
        <f>资产资本表!CI81</f>
        <v>0</v>
      </c>
      <c r="CJ11" s="26">
        <f>资产资本表!CJ81</f>
        <v>0</v>
      </c>
      <c r="CK11" s="26">
        <f>资产资本表!CK81</f>
        <v>0</v>
      </c>
    </row>
    <row r="12" spans="1:90" s="26" customFormat="1" x14ac:dyDescent="0.25">
      <c r="A12" s="41" t="s">
        <v>637</v>
      </c>
      <c r="E12" s="26">
        <f>资产资本表!E89</f>
        <v>0</v>
      </c>
      <c r="F12" s="26">
        <f>资产资本表!F89</f>
        <v>0</v>
      </c>
      <c r="G12" s="26">
        <f>资产资本表!G89</f>
        <v>0</v>
      </c>
      <c r="H12" s="26">
        <f>资产资本表!H89</f>
        <v>43651183.420000002</v>
      </c>
      <c r="I12" s="26">
        <f>资产资本表!I89</f>
        <v>76655193.420000002</v>
      </c>
      <c r="J12" s="26">
        <f>资产资本表!J89</f>
        <v>112348118.75</v>
      </c>
      <c r="K12" s="26">
        <f>资产资本表!K89</f>
        <v>111893390.84</v>
      </c>
      <c r="L12" s="26">
        <f>资产资本表!L89</f>
        <v>90417725.329999998</v>
      </c>
      <c r="M12" s="26">
        <f>资产资本表!M89</f>
        <v>103040800</v>
      </c>
      <c r="N12" s="26">
        <f>资产资本表!N89</f>
        <v>178435714</v>
      </c>
      <c r="O12" s="26">
        <f>资产资本表!O89</f>
        <v>71213008.239999995</v>
      </c>
      <c r="P12" s="26">
        <f>资产资本表!P89</f>
        <v>23881671.98</v>
      </c>
      <c r="Q12" s="26">
        <f>资产资本表!Q89</f>
        <v>0</v>
      </c>
      <c r="R12" s="26">
        <f>资产资本表!R89</f>
        <v>0</v>
      </c>
      <c r="S12" s="26">
        <f>资产资本表!S89</f>
        <v>0</v>
      </c>
      <c r="T12" s="26">
        <f>资产资本表!T89</f>
        <v>0</v>
      </c>
      <c r="U12" s="26">
        <f>资产资本表!U89</f>
        <v>0</v>
      </c>
      <c r="V12" s="26">
        <f>资产资本表!V89</f>
        <v>0</v>
      </c>
      <c r="W12" s="26">
        <f>资产资本表!W89</f>
        <v>0</v>
      </c>
      <c r="X12" s="26">
        <f>资产资本表!X89</f>
        <v>0</v>
      </c>
      <c r="Y12" s="26">
        <f>资产资本表!Y89</f>
        <v>0</v>
      </c>
      <c r="Z12" s="26">
        <f>资产资本表!Z89</f>
        <v>0</v>
      </c>
      <c r="AA12" s="26">
        <f>资产资本表!AA89</f>
        <v>0</v>
      </c>
      <c r="AB12" s="26">
        <f>资产资本表!AB89</f>
        <v>0</v>
      </c>
      <c r="AC12" s="26">
        <f>资产资本表!AC89</f>
        <v>0</v>
      </c>
      <c r="AD12" s="26">
        <f>资产资本表!AD89</f>
        <v>0</v>
      </c>
      <c r="AE12" s="26">
        <f>资产资本表!AE89</f>
        <v>0</v>
      </c>
      <c r="AF12" s="26">
        <f>资产资本表!AF89</f>
        <v>0</v>
      </c>
      <c r="AG12" s="26">
        <f>资产资本表!AG89</f>
        <v>0</v>
      </c>
      <c r="AH12" s="26">
        <f>资产资本表!AH89</f>
        <v>0</v>
      </c>
      <c r="AI12" s="26">
        <f>资产资本表!AI89</f>
        <v>0</v>
      </c>
      <c r="AJ12" s="26">
        <f>资产资本表!AJ89</f>
        <v>0</v>
      </c>
      <c r="AK12" s="26">
        <f>资产资本表!AK89</f>
        <v>0</v>
      </c>
      <c r="AL12" s="26">
        <f>资产资本表!AL89</f>
        <v>0</v>
      </c>
      <c r="AM12" s="26">
        <f>资产资本表!AM89</f>
        <v>0</v>
      </c>
      <c r="AN12" s="26">
        <f>资产资本表!AN89</f>
        <v>0</v>
      </c>
      <c r="AO12" s="26">
        <f>资产资本表!AO89</f>
        <v>0</v>
      </c>
      <c r="AP12" s="26">
        <f>资产资本表!AP89</f>
        <v>0</v>
      </c>
      <c r="AQ12" s="26">
        <f>资产资本表!AQ89</f>
        <v>0</v>
      </c>
      <c r="AR12" s="26">
        <f>资产资本表!AR89</f>
        <v>0</v>
      </c>
      <c r="AS12" s="26">
        <f>资产资本表!AS89</f>
        <v>0</v>
      </c>
      <c r="AT12" s="26">
        <f>资产资本表!AT89</f>
        <v>0</v>
      </c>
      <c r="AU12" s="26">
        <f>资产资本表!AU89</f>
        <v>0</v>
      </c>
      <c r="AV12" s="26">
        <f>资产资本表!AV89</f>
        <v>0</v>
      </c>
      <c r="AW12" s="26">
        <f>资产资本表!AW89</f>
        <v>0</v>
      </c>
      <c r="AX12" s="26">
        <f>资产资本表!AX89</f>
        <v>0</v>
      </c>
      <c r="AY12" s="26">
        <f>资产资本表!AY89</f>
        <v>0</v>
      </c>
      <c r="AZ12" s="26">
        <f>资产资本表!AZ89</f>
        <v>0</v>
      </c>
      <c r="BA12" s="26">
        <f>资产资本表!BA89</f>
        <v>0</v>
      </c>
      <c r="BB12" s="26">
        <f>资产资本表!BB89</f>
        <v>0</v>
      </c>
      <c r="BC12" s="26">
        <f>资产资本表!BC89</f>
        <v>0</v>
      </c>
      <c r="BD12" s="26">
        <f>资产资本表!BD89</f>
        <v>0</v>
      </c>
      <c r="BE12" s="26">
        <f>资产资本表!BE89</f>
        <v>0</v>
      </c>
      <c r="BF12" s="26">
        <f>资产资本表!BF89</f>
        <v>0</v>
      </c>
      <c r="BG12" s="26">
        <f>资产资本表!BG89</f>
        <v>0</v>
      </c>
      <c r="BH12" s="26">
        <f>资产资本表!BH89</f>
        <v>0</v>
      </c>
      <c r="BI12" s="26">
        <f>资产资本表!BI89</f>
        <v>0</v>
      </c>
      <c r="BJ12" s="26">
        <f>资产资本表!BJ89</f>
        <v>0</v>
      </c>
      <c r="BK12" s="26">
        <f>资产资本表!BK89</f>
        <v>0</v>
      </c>
      <c r="BL12" s="26">
        <f>资产资本表!BL89</f>
        <v>0</v>
      </c>
      <c r="BM12" s="26">
        <f>资产资本表!BM89</f>
        <v>0</v>
      </c>
      <c r="BN12" s="26">
        <f>资产资本表!BN89</f>
        <v>0</v>
      </c>
      <c r="BO12" s="26">
        <f>资产资本表!BO89</f>
        <v>0</v>
      </c>
      <c r="BP12" s="26">
        <f>资产资本表!BP89</f>
        <v>0</v>
      </c>
      <c r="BQ12" s="26">
        <f>资产资本表!BQ89</f>
        <v>0</v>
      </c>
      <c r="BR12" s="26">
        <f>资产资本表!BR89</f>
        <v>0</v>
      </c>
      <c r="BS12" s="26">
        <f>资产资本表!BS89</f>
        <v>0</v>
      </c>
      <c r="BT12" s="26">
        <f>资产资本表!BT89</f>
        <v>0</v>
      </c>
      <c r="BU12" s="26">
        <f>资产资本表!BU89</f>
        <v>0</v>
      </c>
      <c r="BV12" s="26">
        <f>资产资本表!BV89</f>
        <v>0</v>
      </c>
      <c r="BW12" s="26">
        <f>资产资本表!BW89</f>
        <v>0</v>
      </c>
      <c r="BX12" s="26">
        <f>资产资本表!BX89</f>
        <v>0</v>
      </c>
      <c r="BY12" s="26">
        <f>资产资本表!BY89</f>
        <v>0</v>
      </c>
      <c r="BZ12" s="26">
        <f>资产资本表!BZ89</f>
        <v>0</v>
      </c>
      <c r="CA12" s="26">
        <f>资产资本表!CA89</f>
        <v>0</v>
      </c>
      <c r="CB12" s="26">
        <f>资产资本表!CB89</f>
        <v>0</v>
      </c>
      <c r="CC12" s="26">
        <f>资产资本表!CC89</f>
        <v>0</v>
      </c>
      <c r="CD12" s="26">
        <f>资产资本表!CD89</f>
        <v>0</v>
      </c>
      <c r="CE12" s="26">
        <f>资产资本表!CE89</f>
        <v>0</v>
      </c>
      <c r="CF12" s="26">
        <f>资产资本表!CF89</f>
        <v>0</v>
      </c>
      <c r="CG12" s="26">
        <f>资产资本表!CG89</f>
        <v>0</v>
      </c>
      <c r="CH12" s="26">
        <f>资产资本表!CH89</f>
        <v>0</v>
      </c>
      <c r="CI12" s="26">
        <f>资产资本表!CI89</f>
        <v>0</v>
      </c>
      <c r="CJ12" s="26">
        <f>资产资本表!CJ89</f>
        <v>0</v>
      </c>
      <c r="CK12" s="26">
        <f>资产资本表!CK89</f>
        <v>0</v>
      </c>
      <c r="CL12" s="26">
        <f>资产资本表!CL89</f>
        <v>0</v>
      </c>
    </row>
    <row r="13" spans="1:90" s="26" customFormat="1" x14ac:dyDescent="0.25">
      <c r="A13" s="41" t="s">
        <v>345</v>
      </c>
      <c r="E13" s="26">
        <f>E9-E12</f>
        <v>1094888457.78</v>
      </c>
      <c r="F13" s="26">
        <f t="shared" ref="F13:BQ13" si="0">F9-F12</f>
        <v>1054331578.12</v>
      </c>
      <c r="G13" s="26">
        <f t="shared" si="0"/>
        <v>1001622329.98</v>
      </c>
      <c r="H13" s="26">
        <f t="shared" si="0"/>
        <v>1002347985.12</v>
      </c>
      <c r="I13" s="26">
        <f t="shared" si="0"/>
        <v>985414241.73000002</v>
      </c>
      <c r="J13" s="26">
        <f t="shared" si="0"/>
        <v>445344693.15999997</v>
      </c>
      <c r="K13" s="26">
        <f t="shared" si="0"/>
        <v>400176395.75</v>
      </c>
      <c r="L13" s="26">
        <f t="shared" si="0"/>
        <v>478018286.78000003</v>
      </c>
      <c r="M13" s="26">
        <f t="shared" si="0"/>
        <v>387347869.01999992</v>
      </c>
      <c r="N13" s="26">
        <f t="shared" si="0"/>
        <v>317743228.00000006</v>
      </c>
      <c r="O13" s="26">
        <f t="shared" si="0"/>
        <v>258474128.17000008</v>
      </c>
      <c r="P13" s="26">
        <f t="shared" si="0"/>
        <v>213640971.99000001</v>
      </c>
      <c r="Q13" s="26">
        <f t="shared" si="0"/>
        <v>0</v>
      </c>
      <c r="R13" s="26">
        <f t="shared" si="0"/>
        <v>0</v>
      </c>
      <c r="S13" s="26">
        <f t="shared" si="0"/>
        <v>0</v>
      </c>
      <c r="T13" s="26">
        <f t="shared" si="0"/>
        <v>0</v>
      </c>
      <c r="U13" s="26">
        <f t="shared" si="0"/>
        <v>0</v>
      </c>
      <c r="V13" s="26">
        <f t="shared" si="0"/>
        <v>0</v>
      </c>
      <c r="W13" s="26">
        <f t="shared" si="0"/>
        <v>0</v>
      </c>
      <c r="X13" s="26">
        <f t="shared" si="0"/>
        <v>0</v>
      </c>
      <c r="Y13" s="26">
        <f t="shared" si="0"/>
        <v>0</v>
      </c>
      <c r="Z13" s="26">
        <f t="shared" si="0"/>
        <v>0</v>
      </c>
      <c r="AA13" s="26">
        <f t="shared" si="0"/>
        <v>0</v>
      </c>
      <c r="AB13" s="26">
        <f t="shared" si="0"/>
        <v>0</v>
      </c>
      <c r="AC13" s="26">
        <f t="shared" si="0"/>
        <v>0</v>
      </c>
      <c r="AD13" s="26">
        <f t="shared" si="0"/>
        <v>0</v>
      </c>
      <c r="AE13" s="26">
        <f t="shared" si="0"/>
        <v>0</v>
      </c>
      <c r="AF13" s="26">
        <f t="shared" si="0"/>
        <v>0</v>
      </c>
      <c r="AG13" s="26">
        <f t="shared" si="0"/>
        <v>0</v>
      </c>
      <c r="AH13" s="26">
        <f t="shared" si="0"/>
        <v>0</v>
      </c>
      <c r="AI13" s="26">
        <f t="shared" si="0"/>
        <v>0</v>
      </c>
      <c r="AJ13" s="26">
        <f t="shared" si="0"/>
        <v>0</v>
      </c>
      <c r="AK13" s="26">
        <f t="shared" si="0"/>
        <v>0</v>
      </c>
      <c r="AL13" s="26">
        <f t="shared" si="0"/>
        <v>0</v>
      </c>
      <c r="AM13" s="26">
        <f t="shared" si="0"/>
        <v>0</v>
      </c>
      <c r="AN13" s="26">
        <f t="shared" si="0"/>
        <v>0</v>
      </c>
      <c r="AO13" s="26">
        <f t="shared" si="0"/>
        <v>0</v>
      </c>
      <c r="AP13" s="26">
        <f t="shared" si="0"/>
        <v>0</v>
      </c>
      <c r="AQ13" s="26">
        <f t="shared" si="0"/>
        <v>0</v>
      </c>
      <c r="AR13" s="26">
        <f t="shared" si="0"/>
        <v>0</v>
      </c>
      <c r="AS13" s="26">
        <f t="shared" si="0"/>
        <v>0</v>
      </c>
      <c r="AT13" s="26">
        <f t="shared" si="0"/>
        <v>0</v>
      </c>
      <c r="AU13" s="26">
        <f t="shared" si="0"/>
        <v>0</v>
      </c>
      <c r="AV13" s="26">
        <f t="shared" si="0"/>
        <v>0</v>
      </c>
      <c r="AW13" s="26">
        <f t="shared" si="0"/>
        <v>0</v>
      </c>
      <c r="AX13" s="26">
        <f t="shared" si="0"/>
        <v>0</v>
      </c>
      <c r="AY13" s="26">
        <f t="shared" si="0"/>
        <v>0</v>
      </c>
      <c r="AZ13" s="26">
        <f t="shared" si="0"/>
        <v>0</v>
      </c>
      <c r="BA13" s="26">
        <f t="shared" si="0"/>
        <v>0</v>
      </c>
      <c r="BB13" s="26">
        <f t="shared" si="0"/>
        <v>0</v>
      </c>
      <c r="BC13" s="26">
        <f t="shared" si="0"/>
        <v>0</v>
      </c>
      <c r="BD13" s="26">
        <f t="shared" si="0"/>
        <v>0</v>
      </c>
      <c r="BE13" s="26">
        <f t="shared" si="0"/>
        <v>0</v>
      </c>
      <c r="BF13" s="26">
        <f t="shared" si="0"/>
        <v>0</v>
      </c>
      <c r="BG13" s="26">
        <f t="shared" si="0"/>
        <v>0</v>
      </c>
      <c r="BH13" s="26">
        <f t="shared" si="0"/>
        <v>0</v>
      </c>
      <c r="BI13" s="26">
        <f t="shared" si="0"/>
        <v>0</v>
      </c>
      <c r="BJ13" s="26">
        <f t="shared" si="0"/>
        <v>0</v>
      </c>
      <c r="BK13" s="26">
        <f t="shared" si="0"/>
        <v>0</v>
      </c>
      <c r="BL13" s="26">
        <f t="shared" si="0"/>
        <v>0</v>
      </c>
      <c r="BM13" s="26">
        <f t="shared" si="0"/>
        <v>0</v>
      </c>
      <c r="BN13" s="26">
        <f t="shared" si="0"/>
        <v>0</v>
      </c>
      <c r="BO13" s="26">
        <f t="shared" si="0"/>
        <v>0</v>
      </c>
      <c r="BP13" s="26">
        <f t="shared" si="0"/>
        <v>0</v>
      </c>
      <c r="BQ13" s="26">
        <f t="shared" si="0"/>
        <v>0</v>
      </c>
      <c r="BR13" s="26">
        <f t="shared" ref="BR13:CL13" si="1">BR9-BR12</f>
        <v>0</v>
      </c>
      <c r="BS13" s="26">
        <f t="shared" si="1"/>
        <v>0</v>
      </c>
      <c r="BT13" s="26">
        <f t="shared" si="1"/>
        <v>0</v>
      </c>
      <c r="BU13" s="26">
        <f t="shared" si="1"/>
        <v>0</v>
      </c>
      <c r="BV13" s="26">
        <f t="shared" si="1"/>
        <v>0</v>
      </c>
      <c r="BW13" s="26">
        <f t="shared" si="1"/>
        <v>0</v>
      </c>
      <c r="BX13" s="26">
        <f t="shared" si="1"/>
        <v>0</v>
      </c>
      <c r="BY13" s="26">
        <f t="shared" si="1"/>
        <v>0</v>
      </c>
      <c r="BZ13" s="26">
        <f t="shared" si="1"/>
        <v>0</v>
      </c>
      <c r="CA13" s="26">
        <f t="shared" si="1"/>
        <v>0</v>
      </c>
      <c r="CB13" s="26">
        <f t="shared" si="1"/>
        <v>0</v>
      </c>
      <c r="CC13" s="26">
        <f t="shared" si="1"/>
        <v>0</v>
      </c>
      <c r="CD13" s="26">
        <f t="shared" si="1"/>
        <v>0</v>
      </c>
      <c r="CE13" s="26">
        <f t="shared" si="1"/>
        <v>0</v>
      </c>
      <c r="CF13" s="26">
        <f t="shared" si="1"/>
        <v>0</v>
      </c>
      <c r="CG13" s="26">
        <f t="shared" si="1"/>
        <v>0</v>
      </c>
      <c r="CH13" s="26">
        <f t="shared" si="1"/>
        <v>0</v>
      </c>
      <c r="CI13" s="26">
        <f t="shared" si="1"/>
        <v>0</v>
      </c>
      <c r="CJ13" s="26">
        <f t="shared" si="1"/>
        <v>0</v>
      </c>
      <c r="CK13" s="26">
        <f t="shared" si="1"/>
        <v>0</v>
      </c>
      <c r="CL13" s="26">
        <f t="shared" si="1"/>
        <v>0</v>
      </c>
    </row>
    <row r="14" spans="1:90" s="48" customFormat="1" x14ac:dyDescent="0.25">
      <c r="A14" s="46" t="s">
        <v>639</v>
      </c>
      <c r="E14" s="48">
        <f>E9</f>
        <v>1094888457.78</v>
      </c>
      <c r="F14" s="48">
        <f t="shared" ref="F14:BQ14" si="2">F9</f>
        <v>1054331578.12</v>
      </c>
      <c r="G14" s="48">
        <f t="shared" si="2"/>
        <v>1001622329.98</v>
      </c>
      <c r="H14" s="48">
        <f t="shared" si="2"/>
        <v>1045999168.54</v>
      </c>
      <c r="I14" s="48">
        <f t="shared" si="2"/>
        <v>1062069435.15</v>
      </c>
      <c r="J14" s="48">
        <f t="shared" si="2"/>
        <v>557692811.90999997</v>
      </c>
      <c r="K14" s="48">
        <f t="shared" si="2"/>
        <v>512069786.58999997</v>
      </c>
      <c r="L14" s="48">
        <f t="shared" si="2"/>
        <v>568436012.11000001</v>
      </c>
      <c r="M14" s="48">
        <f t="shared" si="2"/>
        <v>490388669.01999992</v>
      </c>
      <c r="N14" s="48">
        <f t="shared" si="2"/>
        <v>496178942.00000006</v>
      </c>
      <c r="O14" s="48">
        <f t="shared" si="2"/>
        <v>329687136.41000009</v>
      </c>
      <c r="P14" s="48">
        <f t="shared" si="2"/>
        <v>237522643.97</v>
      </c>
      <c r="Q14" s="48">
        <f t="shared" si="2"/>
        <v>0</v>
      </c>
      <c r="R14" s="48">
        <f t="shared" si="2"/>
        <v>0</v>
      </c>
      <c r="S14" s="48">
        <f t="shared" si="2"/>
        <v>0</v>
      </c>
      <c r="T14" s="48">
        <f t="shared" si="2"/>
        <v>0</v>
      </c>
      <c r="U14" s="48">
        <f t="shared" si="2"/>
        <v>0</v>
      </c>
      <c r="V14" s="48">
        <f t="shared" si="2"/>
        <v>0</v>
      </c>
      <c r="W14" s="48">
        <f t="shared" si="2"/>
        <v>0</v>
      </c>
      <c r="X14" s="48">
        <f t="shared" si="2"/>
        <v>0</v>
      </c>
      <c r="Y14" s="48">
        <f t="shared" si="2"/>
        <v>0</v>
      </c>
      <c r="Z14" s="48">
        <f t="shared" si="2"/>
        <v>0</v>
      </c>
      <c r="AA14" s="48">
        <f t="shared" si="2"/>
        <v>0</v>
      </c>
      <c r="AB14" s="48">
        <f t="shared" si="2"/>
        <v>0</v>
      </c>
      <c r="AC14" s="48">
        <f t="shared" si="2"/>
        <v>0</v>
      </c>
      <c r="AD14" s="48">
        <f t="shared" si="2"/>
        <v>0</v>
      </c>
      <c r="AE14" s="48">
        <f t="shared" si="2"/>
        <v>0</v>
      </c>
      <c r="AF14" s="48">
        <f t="shared" si="2"/>
        <v>0</v>
      </c>
      <c r="AG14" s="48">
        <f t="shared" si="2"/>
        <v>0</v>
      </c>
      <c r="AH14" s="48">
        <f t="shared" si="2"/>
        <v>0</v>
      </c>
      <c r="AI14" s="48">
        <f t="shared" si="2"/>
        <v>0</v>
      </c>
      <c r="AJ14" s="48">
        <f t="shared" si="2"/>
        <v>0</v>
      </c>
      <c r="AK14" s="48">
        <f t="shared" si="2"/>
        <v>0</v>
      </c>
      <c r="AL14" s="48">
        <f t="shared" si="2"/>
        <v>0</v>
      </c>
      <c r="AM14" s="48">
        <f t="shared" si="2"/>
        <v>0</v>
      </c>
      <c r="AN14" s="48">
        <f t="shared" si="2"/>
        <v>0</v>
      </c>
      <c r="AO14" s="48">
        <f t="shared" si="2"/>
        <v>0</v>
      </c>
      <c r="AP14" s="48">
        <f t="shared" si="2"/>
        <v>0</v>
      </c>
      <c r="AQ14" s="48">
        <f t="shared" si="2"/>
        <v>0</v>
      </c>
      <c r="AR14" s="48">
        <f t="shared" si="2"/>
        <v>0</v>
      </c>
      <c r="AS14" s="48">
        <f t="shared" si="2"/>
        <v>0</v>
      </c>
      <c r="AT14" s="48">
        <f t="shared" si="2"/>
        <v>0</v>
      </c>
      <c r="AU14" s="48">
        <f t="shared" si="2"/>
        <v>0</v>
      </c>
      <c r="AV14" s="48">
        <f t="shared" si="2"/>
        <v>0</v>
      </c>
      <c r="AW14" s="48">
        <f t="shared" si="2"/>
        <v>0</v>
      </c>
      <c r="AX14" s="48">
        <f t="shared" si="2"/>
        <v>0</v>
      </c>
      <c r="AY14" s="48">
        <f t="shared" si="2"/>
        <v>0</v>
      </c>
      <c r="AZ14" s="48">
        <f t="shared" si="2"/>
        <v>0</v>
      </c>
      <c r="BA14" s="48">
        <f t="shared" si="2"/>
        <v>0</v>
      </c>
      <c r="BB14" s="48">
        <f t="shared" si="2"/>
        <v>0</v>
      </c>
      <c r="BC14" s="48">
        <f t="shared" si="2"/>
        <v>0</v>
      </c>
      <c r="BD14" s="48">
        <f t="shared" si="2"/>
        <v>0</v>
      </c>
      <c r="BE14" s="48">
        <f t="shared" si="2"/>
        <v>0</v>
      </c>
      <c r="BF14" s="48">
        <f t="shared" si="2"/>
        <v>0</v>
      </c>
      <c r="BG14" s="48">
        <f t="shared" si="2"/>
        <v>0</v>
      </c>
      <c r="BH14" s="48">
        <f t="shared" si="2"/>
        <v>0</v>
      </c>
      <c r="BI14" s="48">
        <f t="shared" si="2"/>
        <v>0</v>
      </c>
      <c r="BJ14" s="48">
        <f t="shared" si="2"/>
        <v>0</v>
      </c>
      <c r="BK14" s="48">
        <f t="shared" si="2"/>
        <v>0</v>
      </c>
      <c r="BL14" s="48">
        <f t="shared" si="2"/>
        <v>0</v>
      </c>
      <c r="BM14" s="48">
        <f t="shared" si="2"/>
        <v>0</v>
      </c>
      <c r="BN14" s="48">
        <f t="shared" si="2"/>
        <v>0</v>
      </c>
      <c r="BO14" s="48">
        <f t="shared" si="2"/>
        <v>0</v>
      </c>
      <c r="BP14" s="48">
        <f t="shared" si="2"/>
        <v>0</v>
      </c>
      <c r="BQ14" s="48">
        <f t="shared" si="2"/>
        <v>0</v>
      </c>
      <c r="BR14" s="48">
        <f t="shared" ref="BR14:CL14" si="3">BR9</f>
        <v>0</v>
      </c>
      <c r="BS14" s="48">
        <f t="shared" si="3"/>
        <v>0</v>
      </c>
      <c r="BT14" s="48">
        <f t="shared" si="3"/>
        <v>0</v>
      </c>
      <c r="BU14" s="48">
        <f t="shared" si="3"/>
        <v>0</v>
      </c>
      <c r="BV14" s="48">
        <f t="shared" si="3"/>
        <v>0</v>
      </c>
      <c r="BW14" s="48">
        <f t="shared" si="3"/>
        <v>0</v>
      </c>
      <c r="BX14" s="48">
        <f t="shared" si="3"/>
        <v>0</v>
      </c>
      <c r="BY14" s="48">
        <f t="shared" si="3"/>
        <v>0</v>
      </c>
      <c r="BZ14" s="48">
        <f t="shared" si="3"/>
        <v>0</v>
      </c>
      <c r="CA14" s="48">
        <f t="shared" si="3"/>
        <v>0</v>
      </c>
      <c r="CB14" s="48">
        <f t="shared" si="3"/>
        <v>0</v>
      </c>
      <c r="CC14" s="48">
        <f t="shared" si="3"/>
        <v>0</v>
      </c>
      <c r="CD14" s="48">
        <f t="shared" si="3"/>
        <v>0</v>
      </c>
      <c r="CE14" s="48">
        <f t="shared" si="3"/>
        <v>0</v>
      </c>
      <c r="CF14" s="48">
        <f t="shared" si="3"/>
        <v>0</v>
      </c>
      <c r="CG14" s="48">
        <f t="shared" si="3"/>
        <v>0</v>
      </c>
      <c r="CH14" s="48">
        <f t="shared" si="3"/>
        <v>0</v>
      </c>
      <c r="CI14" s="48">
        <f t="shared" si="3"/>
        <v>0</v>
      </c>
      <c r="CJ14" s="48">
        <f t="shared" si="3"/>
        <v>0</v>
      </c>
      <c r="CK14" s="48">
        <f t="shared" si="3"/>
        <v>0</v>
      </c>
      <c r="CL14" s="48">
        <f t="shared" si="3"/>
        <v>0</v>
      </c>
    </row>
    <row r="15" spans="1:90" s="58" customFormat="1" x14ac:dyDescent="0.25">
      <c r="A15" s="46" t="s">
        <v>343</v>
      </c>
      <c r="E15" s="58">
        <f>E11+E13-E3-E4-E7</f>
        <v>359724222.34000003</v>
      </c>
      <c r="F15" s="58">
        <f t="shared" ref="F15:BQ15" si="4">F11+F13-F3-F4-F7</f>
        <v>272744670.58999997</v>
      </c>
      <c r="G15" s="58">
        <f t="shared" si="4"/>
        <v>360990104.43000007</v>
      </c>
      <c r="H15" s="58">
        <f t="shared" si="4"/>
        <v>509257726.56000006</v>
      </c>
      <c r="I15" s="58">
        <f t="shared" si="4"/>
        <v>383826561.20999998</v>
      </c>
      <c r="J15" s="58">
        <f t="shared" si="4"/>
        <v>89198553.020000041</v>
      </c>
      <c r="K15" s="58">
        <f t="shared" si="4"/>
        <v>41520735.110000014</v>
      </c>
      <c r="L15" s="58">
        <f t="shared" si="4"/>
        <v>152233691.53000009</v>
      </c>
      <c r="M15" s="58">
        <f t="shared" si="4"/>
        <v>78860190</v>
      </c>
      <c r="N15" s="58">
        <f t="shared" si="4"/>
        <v>28152537.620000005</v>
      </c>
      <c r="O15" s="58">
        <f t="shared" si="4"/>
        <v>65541444.280000031</v>
      </c>
      <c r="P15" s="58">
        <f t="shared" si="4"/>
        <v>87634430.419999987</v>
      </c>
      <c r="Q15" s="58">
        <f t="shared" si="4"/>
        <v>0</v>
      </c>
      <c r="R15" s="58">
        <f t="shared" si="4"/>
        <v>0</v>
      </c>
      <c r="S15" s="58">
        <f t="shared" si="4"/>
        <v>0</v>
      </c>
      <c r="T15" s="58">
        <f t="shared" si="4"/>
        <v>0</v>
      </c>
      <c r="U15" s="58">
        <f t="shared" si="4"/>
        <v>0</v>
      </c>
      <c r="V15" s="58">
        <f t="shared" si="4"/>
        <v>0</v>
      </c>
      <c r="W15" s="58">
        <f t="shared" si="4"/>
        <v>0</v>
      </c>
      <c r="X15" s="58">
        <f t="shared" si="4"/>
        <v>0</v>
      </c>
      <c r="Y15" s="58">
        <f t="shared" si="4"/>
        <v>0</v>
      </c>
      <c r="Z15" s="58">
        <f t="shared" si="4"/>
        <v>0</v>
      </c>
      <c r="AA15" s="58">
        <f t="shared" si="4"/>
        <v>0</v>
      </c>
      <c r="AB15" s="58">
        <f t="shared" si="4"/>
        <v>0</v>
      </c>
      <c r="AC15" s="58">
        <f t="shared" si="4"/>
        <v>0</v>
      </c>
      <c r="AD15" s="58">
        <f t="shared" si="4"/>
        <v>0</v>
      </c>
      <c r="AE15" s="58">
        <f t="shared" si="4"/>
        <v>0</v>
      </c>
      <c r="AF15" s="58">
        <f t="shared" si="4"/>
        <v>0</v>
      </c>
      <c r="AG15" s="58">
        <f t="shared" si="4"/>
        <v>0</v>
      </c>
      <c r="AH15" s="58">
        <f t="shared" si="4"/>
        <v>0</v>
      </c>
      <c r="AI15" s="58">
        <f t="shared" si="4"/>
        <v>0</v>
      </c>
      <c r="AJ15" s="58">
        <f t="shared" si="4"/>
        <v>0</v>
      </c>
      <c r="AK15" s="58">
        <f t="shared" si="4"/>
        <v>0</v>
      </c>
      <c r="AL15" s="58">
        <f t="shared" si="4"/>
        <v>0</v>
      </c>
      <c r="AM15" s="58">
        <f t="shared" si="4"/>
        <v>0</v>
      </c>
      <c r="AN15" s="58">
        <f t="shared" si="4"/>
        <v>0</v>
      </c>
      <c r="AO15" s="58">
        <f t="shared" si="4"/>
        <v>0</v>
      </c>
      <c r="AP15" s="58">
        <f t="shared" si="4"/>
        <v>0</v>
      </c>
      <c r="AQ15" s="58">
        <f t="shared" si="4"/>
        <v>0</v>
      </c>
      <c r="AR15" s="58">
        <f t="shared" si="4"/>
        <v>0</v>
      </c>
      <c r="AS15" s="58">
        <f t="shared" si="4"/>
        <v>0</v>
      </c>
      <c r="AT15" s="58">
        <f t="shared" si="4"/>
        <v>0</v>
      </c>
      <c r="AU15" s="58">
        <f t="shared" si="4"/>
        <v>0</v>
      </c>
      <c r="AV15" s="58">
        <f t="shared" si="4"/>
        <v>0</v>
      </c>
      <c r="AW15" s="58">
        <f t="shared" si="4"/>
        <v>0</v>
      </c>
      <c r="AX15" s="58">
        <f t="shared" si="4"/>
        <v>0</v>
      </c>
      <c r="AY15" s="58">
        <f t="shared" si="4"/>
        <v>0</v>
      </c>
      <c r="AZ15" s="58">
        <f t="shared" si="4"/>
        <v>0</v>
      </c>
      <c r="BA15" s="58">
        <f t="shared" si="4"/>
        <v>0</v>
      </c>
      <c r="BB15" s="58">
        <f t="shared" si="4"/>
        <v>0</v>
      </c>
      <c r="BC15" s="58">
        <f t="shared" si="4"/>
        <v>0</v>
      </c>
      <c r="BD15" s="58">
        <f t="shared" si="4"/>
        <v>0</v>
      </c>
      <c r="BE15" s="58">
        <f t="shared" si="4"/>
        <v>0</v>
      </c>
      <c r="BF15" s="58">
        <f t="shared" si="4"/>
        <v>0</v>
      </c>
      <c r="BG15" s="58">
        <f t="shared" si="4"/>
        <v>0</v>
      </c>
      <c r="BH15" s="58">
        <f t="shared" si="4"/>
        <v>0</v>
      </c>
      <c r="BI15" s="58">
        <f t="shared" si="4"/>
        <v>0</v>
      </c>
      <c r="BJ15" s="58">
        <f t="shared" si="4"/>
        <v>0</v>
      </c>
      <c r="BK15" s="58">
        <f t="shared" si="4"/>
        <v>0</v>
      </c>
      <c r="BL15" s="58">
        <f t="shared" si="4"/>
        <v>0</v>
      </c>
      <c r="BM15" s="58">
        <f t="shared" si="4"/>
        <v>0</v>
      </c>
      <c r="BN15" s="58">
        <f t="shared" si="4"/>
        <v>0</v>
      </c>
      <c r="BO15" s="58">
        <f t="shared" si="4"/>
        <v>0</v>
      </c>
      <c r="BP15" s="58">
        <f t="shared" si="4"/>
        <v>0</v>
      </c>
      <c r="BQ15" s="58">
        <f t="shared" si="4"/>
        <v>0</v>
      </c>
      <c r="BR15" s="58">
        <f t="shared" ref="BR15:CL15" si="5">BR11+BR13-BR3-BR4-BR7</f>
        <v>0</v>
      </c>
      <c r="BS15" s="58">
        <f t="shared" si="5"/>
        <v>0</v>
      </c>
      <c r="BT15" s="58">
        <f t="shared" si="5"/>
        <v>0</v>
      </c>
      <c r="BU15" s="58">
        <f t="shared" si="5"/>
        <v>0</v>
      </c>
      <c r="BV15" s="58">
        <f t="shared" si="5"/>
        <v>0</v>
      </c>
      <c r="BW15" s="58">
        <f t="shared" si="5"/>
        <v>0</v>
      </c>
      <c r="BX15" s="58">
        <f t="shared" si="5"/>
        <v>0</v>
      </c>
      <c r="BY15" s="58">
        <f t="shared" si="5"/>
        <v>0</v>
      </c>
      <c r="BZ15" s="58">
        <f t="shared" si="5"/>
        <v>0</v>
      </c>
      <c r="CA15" s="58">
        <f t="shared" si="5"/>
        <v>0</v>
      </c>
      <c r="CB15" s="58">
        <f t="shared" si="5"/>
        <v>0</v>
      </c>
      <c r="CC15" s="58">
        <f t="shared" si="5"/>
        <v>0</v>
      </c>
      <c r="CD15" s="58">
        <f t="shared" si="5"/>
        <v>0</v>
      </c>
      <c r="CE15" s="58">
        <f t="shared" si="5"/>
        <v>0</v>
      </c>
      <c r="CF15" s="58">
        <f t="shared" si="5"/>
        <v>0</v>
      </c>
      <c r="CG15" s="58">
        <f t="shared" si="5"/>
        <v>0</v>
      </c>
      <c r="CH15" s="58">
        <f t="shared" si="5"/>
        <v>0</v>
      </c>
      <c r="CI15" s="58">
        <f t="shared" si="5"/>
        <v>0</v>
      </c>
      <c r="CJ15" s="58">
        <f t="shared" si="5"/>
        <v>0</v>
      </c>
      <c r="CK15" s="58">
        <f t="shared" si="5"/>
        <v>0</v>
      </c>
      <c r="CL15" s="58">
        <f t="shared" si="5"/>
        <v>0</v>
      </c>
    </row>
    <row r="16" spans="1:90" s="58" customFormat="1" x14ac:dyDescent="0.25">
      <c r="A16" s="46" t="s">
        <v>344</v>
      </c>
      <c r="E16" s="58">
        <f>E10-E2</f>
        <v>-359724222.34000003</v>
      </c>
      <c r="F16" s="58">
        <f t="shared" ref="F16:BQ16" si="6">F10-F2</f>
        <v>-272744670.59000003</v>
      </c>
      <c r="G16" s="58">
        <f t="shared" si="6"/>
        <v>-360990104.43000001</v>
      </c>
      <c r="H16" s="58">
        <f t="shared" si="6"/>
        <v>-509257726.56000006</v>
      </c>
      <c r="I16" s="58">
        <f t="shared" si="6"/>
        <v>-383826561.21000004</v>
      </c>
      <c r="J16" s="58">
        <f t="shared" si="6"/>
        <v>-89198553.019999996</v>
      </c>
      <c r="K16" s="58">
        <f t="shared" si="6"/>
        <v>-41520735.109999999</v>
      </c>
      <c r="L16" s="58">
        <f t="shared" si="6"/>
        <v>-152233691.53000003</v>
      </c>
      <c r="M16" s="58">
        <f t="shared" si="6"/>
        <v>-78860190</v>
      </c>
      <c r="N16" s="58">
        <f t="shared" si="6"/>
        <v>-28152537.620000005</v>
      </c>
      <c r="O16" s="58">
        <f t="shared" si="6"/>
        <v>-65541444.280000001</v>
      </c>
      <c r="P16" s="58">
        <f t="shared" si="6"/>
        <v>-87634430.420000002</v>
      </c>
      <c r="Q16" s="58">
        <f t="shared" si="6"/>
        <v>0</v>
      </c>
      <c r="R16" s="58">
        <f t="shared" si="6"/>
        <v>0</v>
      </c>
      <c r="S16" s="58">
        <f t="shared" si="6"/>
        <v>0</v>
      </c>
      <c r="T16" s="58">
        <f t="shared" si="6"/>
        <v>0</v>
      </c>
      <c r="U16" s="58">
        <f t="shared" si="6"/>
        <v>0</v>
      </c>
      <c r="V16" s="58">
        <f t="shared" si="6"/>
        <v>0</v>
      </c>
      <c r="W16" s="58">
        <f t="shared" si="6"/>
        <v>0</v>
      </c>
      <c r="X16" s="58">
        <f t="shared" si="6"/>
        <v>0</v>
      </c>
      <c r="Y16" s="58">
        <f t="shared" si="6"/>
        <v>0</v>
      </c>
      <c r="Z16" s="58">
        <f t="shared" si="6"/>
        <v>0</v>
      </c>
      <c r="AA16" s="58">
        <f t="shared" si="6"/>
        <v>0</v>
      </c>
      <c r="AB16" s="58">
        <f t="shared" si="6"/>
        <v>0</v>
      </c>
      <c r="AC16" s="58">
        <f t="shared" si="6"/>
        <v>0</v>
      </c>
      <c r="AD16" s="58">
        <f t="shared" si="6"/>
        <v>0</v>
      </c>
      <c r="AE16" s="58">
        <f t="shared" si="6"/>
        <v>0</v>
      </c>
      <c r="AF16" s="58">
        <f t="shared" si="6"/>
        <v>0</v>
      </c>
      <c r="AG16" s="58">
        <f t="shared" si="6"/>
        <v>0</v>
      </c>
      <c r="AH16" s="58">
        <f t="shared" si="6"/>
        <v>0</v>
      </c>
      <c r="AI16" s="58">
        <f t="shared" si="6"/>
        <v>0</v>
      </c>
      <c r="AJ16" s="58">
        <f t="shared" si="6"/>
        <v>0</v>
      </c>
      <c r="AK16" s="58">
        <f t="shared" si="6"/>
        <v>0</v>
      </c>
      <c r="AL16" s="58">
        <f t="shared" si="6"/>
        <v>0</v>
      </c>
      <c r="AM16" s="58">
        <f t="shared" si="6"/>
        <v>0</v>
      </c>
      <c r="AN16" s="58">
        <f t="shared" si="6"/>
        <v>0</v>
      </c>
      <c r="AO16" s="58">
        <f t="shared" si="6"/>
        <v>0</v>
      </c>
      <c r="AP16" s="58">
        <f t="shared" si="6"/>
        <v>0</v>
      </c>
      <c r="AQ16" s="58">
        <f t="shared" si="6"/>
        <v>0</v>
      </c>
      <c r="AR16" s="58">
        <f t="shared" si="6"/>
        <v>0</v>
      </c>
      <c r="AS16" s="58">
        <f t="shared" si="6"/>
        <v>0</v>
      </c>
      <c r="AT16" s="58">
        <f t="shared" si="6"/>
        <v>0</v>
      </c>
      <c r="AU16" s="58">
        <f t="shared" si="6"/>
        <v>0</v>
      </c>
      <c r="AV16" s="58">
        <f t="shared" si="6"/>
        <v>0</v>
      </c>
      <c r="AW16" s="58">
        <f t="shared" si="6"/>
        <v>0</v>
      </c>
      <c r="AX16" s="58">
        <f t="shared" si="6"/>
        <v>0</v>
      </c>
      <c r="AY16" s="58">
        <f t="shared" si="6"/>
        <v>0</v>
      </c>
      <c r="AZ16" s="58">
        <f t="shared" si="6"/>
        <v>0</v>
      </c>
      <c r="BA16" s="58">
        <f t="shared" si="6"/>
        <v>0</v>
      </c>
      <c r="BB16" s="58">
        <f t="shared" si="6"/>
        <v>0</v>
      </c>
      <c r="BC16" s="58">
        <f t="shared" si="6"/>
        <v>0</v>
      </c>
      <c r="BD16" s="58">
        <f t="shared" si="6"/>
        <v>0</v>
      </c>
      <c r="BE16" s="58">
        <f t="shared" si="6"/>
        <v>0</v>
      </c>
      <c r="BF16" s="58">
        <f t="shared" si="6"/>
        <v>0</v>
      </c>
      <c r="BG16" s="58">
        <f t="shared" si="6"/>
        <v>0</v>
      </c>
      <c r="BH16" s="58">
        <f t="shared" si="6"/>
        <v>0</v>
      </c>
      <c r="BI16" s="58">
        <f t="shared" si="6"/>
        <v>0</v>
      </c>
      <c r="BJ16" s="58">
        <f t="shared" si="6"/>
        <v>0</v>
      </c>
      <c r="BK16" s="58">
        <f t="shared" si="6"/>
        <v>0</v>
      </c>
      <c r="BL16" s="58">
        <f t="shared" si="6"/>
        <v>0</v>
      </c>
      <c r="BM16" s="58">
        <f t="shared" si="6"/>
        <v>0</v>
      </c>
      <c r="BN16" s="58">
        <f t="shared" si="6"/>
        <v>0</v>
      </c>
      <c r="BO16" s="58">
        <f t="shared" si="6"/>
        <v>0</v>
      </c>
      <c r="BP16" s="58">
        <f t="shared" si="6"/>
        <v>0</v>
      </c>
      <c r="BQ16" s="58">
        <f t="shared" si="6"/>
        <v>0</v>
      </c>
      <c r="BR16" s="58">
        <f t="shared" ref="BR16:CL16" si="7">BR10-BR2</f>
        <v>0</v>
      </c>
      <c r="BS16" s="58">
        <f t="shared" si="7"/>
        <v>0</v>
      </c>
      <c r="BT16" s="58">
        <f t="shared" si="7"/>
        <v>0</v>
      </c>
      <c r="BU16" s="58">
        <f t="shared" si="7"/>
        <v>0</v>
      </c>
      <c r="BV16" s="58">
        <f t="shared" si="7"/>
        <v>0</v>
      </c>
      <c r="BW16" s="58">
        <f t="shared" si="7"/>
        <v>0</v>
      </c>
      <c r="BX16" s="58">
        <f t="shared" si="7"/>
        <v>0</v>
      </c>
      <c r="BY16" s="58">
        <f t="shared" si="7"/>
        <v>0</v>
      </c>
      <c r="BZ16" s="58">
        <f t="shared" si="7"/>
        <v>0</v>
      </c>
      <c r="CA16" s="58">
        <f t="shared" si="7"/>
        <v>0</v>
      </c>
      <c r="CB16" s="58">
        <f t="shared" si="7"/>
        <v>0</v>
      </c>
      <c r="CC16" s="58">
        <f t="shared" si="7"/>
        <v>0</v>
      </c>
      <c r="CD16" s="58">
        <f t="shared" si="7"/>
        <v>0</v>
      </c>
      <c r="CE16" s="58">
        <f t="shared" si="7"/>
        <v>0</v>
      </c>
      <c r="CF16" s="58">
        <f t="shared" si="7"/>
        <v>0</v>
      </c>
      <c r="CG16" s="58">
        <f t="shared" si="7"/>
        <v>0</v>
      </c>
      <c r="CH16" s="58">
        <f t="shared" si="7"/>
        <v>0</v>
      </c>
      <c r="CI16" s="58">
        <f t="shared" si="7"/>
        <v>0</v>
      </c>
      <c r="CJ16" s="58">
        <f t="shared" si="7"/>
        <v>0</v>
      </c>
      <c r="CK16" s="58">
        <f t="shared" si="7"/>
        <v>0</v>
      </c>
      <c r="CL16" s="58">
        <f t="shared" si="7"/>
        <v>0</v>
      </c>
    </row>
    <row r="17" spans="1:90" s="59" customFormat="1" x14ac:dyDescent="0.25">
      <c r="A17" s="66" t="s">
        <v>664</v>
      </c>
      <c r="E17" s="59">
        <f>(E11+E13-E7-E3)/E4</f>
        <v>2.8738418355018784</v>
      </c>
      <c r="F17" s="59">
        <f t="shared" ref="F17:BQ17" si="8">(F11+F13-F7-F3)/F4</f>
        <v>1.865969590425846</v>
      </c>
      <c r="G17" s="59">
        <f t="shared" si="8"/>
        <v>3.0061399216907563</v>
      </c>
      <c r="H17" s="59">
        <f t="shared" si="8"/>
        <v>11.845999187967843</v>
      </c>
      <c r="I17" s="59">
        <f t="shared" si="8"/>
        <v>3.2038704469551074</v>
      </c>
      <c r="J17" s="59">
        <f t="shared" si="8"/>
        <v>-0.64442497180176506</v>
      </c>
      <c r="K17" s="59">
        <f t="shared" si="8"/>
        <v>0.20277578239457655</v>
      </c>
      <c r="L17" s="59">
        <f t="shared" si="8"/>
        <v>-1.3085270795446515</v>
      </c>
      <c r="M17" s="59">
        <f t="shared" si="8"/>
        <v>-0.94278025005111488</v>
      </c>
      <c r="N17" s="59">
        <f t="shared" si="8"/>
        <v>-0.16788370862244986</v>
      </c>
      <c r="O17" s="59">
        <f t="shared" si="8"/>
        <v>4.7914553258429047</v>
      </c>
      <c r="P17" s="59">
        <f t="shared" si="8"/>
        <v>-221.67278913462309</v>
      </c>
      <c r="Q17" s="59" t="e">
        <f t="shared" si="8"/>
        <v>#DIV/0!</v>
      </c>
      <c r="R17" s="59" t="e">
        <f t="shared" si="8"/>
        <v>#DIV/0!</v>
      </c>
      <c r="S17" s="59" t="e">
        <f t="shared" si="8"/>
        <v>#DIV/0!</v>
      </c>
      <c r="T17" s="59" t="e">
        <f t="shared" si="8"/>
        <v>#DIV/0!</v>
      </c>
      <c r="U17" s="59" t="e">
        <f t="shared" si="8"/>
        <v>#DIV/0!</v>
      </c>
      <c r="V17" s="59" t="e">
        <f t="shared" si="8"/>
        <v>#DIV/0!</v>
      </c>
      <c r="W17" s="59" t="e">
        <f t="shared" si="8"/>
        <v>#DIV/0!</v>
      </c>
      <c r="X17" s="59" t="e">
        <f t="shared" si="8"/>
        <v>#DIV/0!</v>
      </c>
      <c r="Y17" s="59" t="e">
        <f t="shared" si="8"/>
        <v>#DIV/0!</v>
      </c>
      <c r="Z17" s="59" t="e">
        <f t="shared" si="8"/>
        <v>#DIV/0!</v>
      </c>
      <c r="AA17" s="59" t="e">
        <f t="shared" si="8"/>
        <v>#DIV/0!</v>
      </c>
      <c r="AB17" s="59" t="e">
        <f t="shared" si="8"/>
        <v>#DIV/0!</v>
      </c>
      <c r="AC17" s="59" t="e">
        <f t="shared" si="8"/>
        <v>#DIV/0!</v>
      </c>
      <c r="AD17" s="59" t="e">
        <f t="shared" si="8"/>
        <v>#DIV/0!</v>
      </c>
      <c r="AE17" s="59" t="e">
        <f t="shared" si="8"/>
        <v>#DIV/0!</v>
      </c>
      <c r="AF17" s="59" t="e">
        <f t="shared" si="8"/>
        <v>#DIV/0!</v>
      </c>
      <c r="AG17" s="59" t="e">
        <f t="shared" si="8"/>
        <v>#DIV/0!</v>
      </c>
      <c r="AH17" s="59" t="e">
        <f t="shared" si="8"/>
        <v>#DIV/0!</v>
      </c>
      <c r="AI17" s="59" t="e">
        <f t="shared" si="8"/>
        <v>#DIV/0!</v>
      </c>
      <c r="AJ17" s="59" t="e">
        <f t="shared" si="8"/>
        <v>#DIV/0!</v>
      </c>
      <c r="AK17" s="59" t="e">
        <f t="shared" si="8"/>
        <v>#DIV/0!</v>
      </c>
      <c r="AL17" s="59" t="e">
        <f t="shared" si="8"/>
        <v>#DIV/0!</v>
      </c>
      <c r="AM17" s="59" t="e">
        <f t="shared" si="8"/>
        <v>#DIV/0!</v>
      </c>
      <c r="AN17" s="59" t="e">
        <f t="shared" si="8"/>
        <v>#DIV/0!</v>
      </c>
      <c r="AO17" s="59" t="e">
        <f t="shared" si="8"/>
        <v>#DIV/0!</v>
      </c>
      <c r="AP17" s="59" t="e">
        <f t="shared" si="8"/>
        <v>#DIV/0!</v>
      </c>
      <c r="AQ17" s="59" t="e">
        <f t="shared" si="8"/>
        <v>#DIV/0!</v>
      </c>
      <c r="AR17" s="59" t="e">
        <f t="shared" si="8"/>
        <v>#DIV/0!</v>
      </c>
      <c r="AS17" s="59" t="e">
        <f t="shared" si="8"/>
        <v>#DIV/0!</v>
      </c>
      <c r="AT17" s="59" t="e">
        <f t="shared" si="8"/>
        <v>#DIV/0!</v>
      </c>
      <c r="AU17" s="59" t="e">
        <f t="shared" si="8"/>
        <v>#DIV/0!</v>
      </c>
      <c r="AV17" s="59" t="e">
        <f t="shared" si="8"/>
        <v>#DIV/0!</v>
      </c>
      <c r="AW17" s="59" t="e">
        <f t="shared" si="8"/>
        <v>#DIV/0!</v>
      </c>
      <c r="AX17" s="59" t="e">
        <f t="shared" si="8"/>
        <v>#DIV/0!</v>
      </c>
      <c r="AY17" s="59" t="e">
        <f t="shared" si="8"/>
        <v>#DIV/0!</v>
      </c>
      <c r="AZ17" s="59" t="e">
        <f t="shared" si="8"/>
        <v>#DIV/0!</v>
      </c>
      <c r="BA17" s="59" t="e">
        <f t="shared" si="8"/>
        <v>#DIV/0!</v>
      </c>
      <c r="BB17" s="59" t="e">
        <f t="shared" si="8"/>
        <v>#DIV/0!</v>
      </c>
      <c r="BC17" s="59" t="e">
        <f t="shared" si="8"/>
        <v>#DIV/0!</v>
      </c>
      <c r="BD17" s="59" t="e">
        <f t="shared" si="8"/>
        <v>#DIV/0!</v>
      </c>
      <c r="BE17" s="59" t="e">
        <f t="shared" si="8"/>
        <v>#DIV/0!</v>
      </c>
      <c r="BF17" s="59" t="e">
        <f t="shared" si="8"/>
        <v>#DIV/0!</v>
      </c>
      <c r="BG17" s="59" t="e">
        <f t="shared" si="8"/>
        <v>#DIV/0!</v>
      </c>
      <c r="BH17" s="59" t="e">
        <f t="shared" si="8"/>
        <v>#DIV/0!</v>
      </c>
      <c r="BI17" s="59" t="e">
        <f t="shared" si="8"/>
        <v>#DIV/0!</v>
      </c>
      <c r="BJ17" s="59" t="e">
        <f t="shared" si="8"/>
        <v>#DIV/0!</v>
      </c>
      <c r="BK17" s="59" t="e">
        <f t="shared" si="8"/>
        <v>#DIV/0!</v>
      </c>
      <c r="BL17" s="59" t="e">
        <f t="shared" si="8"/>
        <v>#DIV/0!</v>
      </c>
      <c r="BM17" s="59" t="e">
        <f t="shared" si="8"/>
        <v>#DIV/0!</v>
      </c>
      <c r="BN17" s="59" t="e">
        <f t="shared" si="8"/>
        <v>#DIV/0!</v>
      </c>
      <c r="BO17" s="59" t="e">
        <f t="shared" si="8"/>
        <v>#DIV/0!</v>
      </c>
      <c r="BP17" s="59" t="e">
        <f t="shared" si="8"/>
        <v>#DIV/0!</v>
      </c>
      <c r="BQ17" s="59" t="e">
        <f t="shared" si="8"/>
        <v>#DIV/0!</v>
      </c>
      <c r="BR17" s="59" t="e">
        <f t="shared" ref="BR17:CL17" si="9">(BR11+BR13-BR7-BR3)/BR4</f>
        <v>#DIV/0!</v>
      </c>
      <c r="BS17" s="59" t="e">
        <f t="shared" si="9"/>
        <v>#DIV/0!</v>
      </c>
      <c r="BT17" s="59" t="e">
        <f t="shared" si="9"/>
        <v>#DIV/0!</v>
      </c>
      <c r="BU17" s="59" t="e">
        <f t="shared" si="9"/>
        <v>#DIV/0!</v>
      </c>
      <c r="BV17" s="59" t="e">
        <f t="shared" si="9"/>
        <v>#DIV/0!</v>
      </c>
      <c r="BW17" s="59" t="e">
        <f t="shared" si="9"/>
        <v>#DIV/0!</v>
      </c>
      <c r="BX17" s="59" t="e">
        <f t="shared" si="9"/>
        <v>#DIV/0!</v>
      </c>
      <c r="BY17" s="59" t="e">
        <f t="shared" si="9"/>
        <v>#DIV/0!</v>
      </c>
      <c r="BZ17" s="59" t="e">
        <f t="shared" si="9"/>
        <v>#DIV/0!</v>
      </c>
      <c r="CA17" s="59" t="e">
        <f t="shared" si="9"/>
        <v>#DIV/0!</v>
      </c>
      <c r="CB17" s="59" t="e">
        <f t="shared" si="9"/>
        <v>#DIV/0!</v>
      </c>
      <c r="CC17" s="59" t="e">
        <f t="shared" si="9"/>
        <v>#DIV/0!</v>
      </c>
      <c r="CD17" s="59" t="e">
        <f t="shared" si="9"/>
        <v>#DIV/0!</v>
      </c>
      <c r="CE17" s="59" t="e">
        <f t="shared" si="9"/>
        <v>#DIV/0!</v>
      </c>
      <c r="CF17" s="59" t="e">
        <f t="shared" si="9"/>
        <v>#DIV/0!</v>
      </c>
      <c r="CG17" s="59" t="e">
        <f t="shared" si="9"/>
        <v>#DIV/0!</v>
      </c>
      <c r="CH17" s="59" t="e">
        <f t="shared" si="9"/>
        <v>#DIV/0!</v>
      </c>
      <c r="CI17" s="59" t="e">
        <f t="shared" si="9"/>
        <v>#DIV/0!</v>
      </c>
      <c r="CJ17" s="59" t="e">
        <f t="shared" si="9"/>
        <v>#DIV/0!</v>
      </c>
      <c r="CK17" s="59" t="e">
        <f t="shared" si="9"/>
        <v>#DIV/0!</v>
      </c>
      <c r="CL17" s="59" t="e">
        <f t="shared" si="9"/>
        <v>#DIV/0!</v>
      </c>
    </row>
    <row r="18" spans="1:90" s="16" customFormat="1" ht="258" customHeight="1" x14ac:dyDescent="0.25">
      <c r="A18" s="276" t="s">
        <v>743</v>
      </c>
      <c r="B18" s="278"/>
      <c r="C18" s="278"/>
      <c r="D18" s="278"/>
      <c r="E18" s="278"/>
      <c r="F18" s="278"/>
      <c r="G18" s="278"/>
      <c r="H18" s="278"/>
      <c r="I18" s="278"/>
      <c r="J18" s="278"/>
      <c r="K18" s="278"/>
      <c r="L18" s="278"/>
      <c r="M18" s="278"/>
      <c r="N18" s="278"/>
      <c r="O18" s="278"/>
      <c r="P18" s="278"/>
      <c r="Q18" s="278"/>
      <c r="R18" s="278"/>
      <c r="S18" s="278"/>
      <c r="T18" s="278"/>
      <c r="U18" s="278"/>
      <c r="V18" s="278"/>
      <c r="W18" s="278"/>
      <c r="X18" s="278"/>
      <c r="Y18" s="278"/>
      <c r="Z18" s="278"/>
      <c r="AA18" s="278"/>
      <c r="AB18" s="278"/>
      <c r="AC18" s="278"/>
      <c r="AD18" s="278"/>
      <c r="AE18" s="278"/>
      <c r="AF18" s="278"/>
      <c r="AG18" s="278"/>
    </row>
    <row r="19" spans="1:90" x14ac:dyDescent="0.25">
      <c r="A19" s="112" t="s">
        <v>573</v>
      </c>
      <c r="B19" s="113"/>
      <c r="C19" s="113"/>
      <c r="D19" s="113"/>
      <c r="E19" s="113" t="s">
        <v>566</v>
      </c>
      <c r="F19" s="113"/>
      <c r="G19" s="113"/>
      <c r="H19" s="113"/>
      <c r="I19" s="113" t="s">
        <v>601</v>
      </c>
      <c r="M19" s="113" t="s">
        <v>568</v>
      </c>
      <c r="N19" s="63"/>
      <c r="O19" s="63"/>
      <c r="P19" s="63"/>
      <c r="Q19" s="63"/>
      <c r="R19" s="63"/>
      <c r="S19" s="63"/>
      <c r="T19" s="63"/>
      <c r="U19" s="63"/>
    </row>
    <row r="20" spans="1:90" s="63" customFormat="1" ht="14.25" customHeight="1" x14ac:dyDescent="0.25">
      <c r="A20" s="112" t="s">
        <v>574</v>
      </c>
      <c r="B20" s="114"/>
      <c r="C20" s="114"/>
      <c r="D20" s="114"/>
      <c r="E20" s="114">
        <f>POWER(E9/O9,1/5)-1</f>
        <v>0.27131618219580655</v>
      </c>
      <c r="F20" s="114"/>
      <c r="G20" s="114"/>
      <c r="H20" s="114"/>
      <c r="I20" s="114" t="e">
        <f>POWER(E9/Y9,1/6)-1</f>
        <v>#DIV/0!</v>
      </c>
      <c r="M20" s="114" t="e">
        <f>POWER(E9/AC9,1/7)-1</f>
        <v>#DIV/0!</v>
      </c>
    </row>
    <row r="21" spans="1:90" s="63" customFormat="1" ht="14.25" customHeight="1" x14ac:dyDescent="0.25">
      <c r="A21" s="112" t="s">
        <v>572</v>
      </c>
      <c r="B21" s="114"/>
      <c r="C21" s="114"/>
      <c r="D21" s="114"/>
      <c r="E21" s="114">
        <f>POWER(E4/O4,1/5)-1</f>
        <v>0.61847254814068631</v>
      </c>
      <c r="F21" s="114"/>
      <c r="G21" s="114"/>
      <c r="H21" s="114"/>
      <c r="I21" s="114" t="e">
        <f>POWER(E4/Y4,1/6)-1</f>
        <v>#DIV/0!</v>
      </c>
      <c r="M21" s="114" t="e">
        <f>POWER(E4/AC4,1/7)-1</f>
        <v>#DIV/0!</v>
      </c>
    </row>
    <row r="22" spans="1:90" s="63" customFormat="1" ht="14.25" customHeight="1" x14ac:dyDescent="0.25">
      <c r="A22" s="112" t="s">
        <v>575</v>
      </c>
      <c r="B22" s="114"/>
      <c r="C22" s="114"/>
      <c r="D22" s="114"/>
      <c r="E22" s="114">
        <f>POWER(E5/O5,1/5)-1</f>
        <v>0.27934632216911215</v>
      </c>
      <c r="F22" s="114"/>
      <c r="G22" s="114"/>
      <c r="H22" s="114"/>
      <c r="I22" s="114" t="e">
        <f>POWER(E5/Y5,1/6)-1</f>
        <v>#DIV/0!</v>
      </c>
      <c r="M22" s="114" t="e">
        <f>POWER(E5/AC5,1/7)-1</f>
        <v>#DIV/0!</v>
      </c>
    </row>
    <row r="23" spans="1:90" s="63" customFormat="1" ht="14.25" customHeight="1" x14ac:dyDescent="0.25">
      <c r="A23" s="112" t="s">
        <v>576</v>
      </c>
      <c r="B23" s="114"/>
      <c r="C23" s="114"/>
      <c r="D23" s="114"/>
      <c r="E23" s="114">
        <f>POWER(E6/O6,1/5)-1</f>
        <v>0.17169005831234019</v>
      </c>
      <c r="F23" s="114"/>
      <c r="G23" s="114"/>
      <c r="H23" s="114"/>
      <c r="I23" s="114" t="e">
        <f>POWER(E6/Y6,1/6)-1</f>
        <v>#DIV/0!</v>
      </c>
      <c r="M23" s="114" t="e">
        <f>POWER(E6/AC6,1/7)-1</f>
        <v>#DIV/0!</v>
      </c>
    </row>
    <row r="24" spans="1:90" s="63" customFormat="1" ht="14.25" customHeight="1" x14ac:dyDescent="0.25">
      <c r="A24" s="112" t="s">
        <v>577</v>
      </c>
      <c r="B24" s="114"/>
      <c r="C24" s="114"/>
      <c r="D24" s="114"/>
      <c r="E24" s="114">
        <f>POWER(E7/O7,1/5)-1</f>
        <v>0.23163427172985473</v>
      </c>
      <c r="F24" s="114"/>
      <c r="G24" s="114"/>
      <c r="H24" s="114"/>
      <c r="I24" s="114" t="e">
        <f>POWER(E7/Y7,1/6)-1</f>
        <v>#DIV/0!</v>
      </c>
      <c r="M24" s="114" t="e">
        <f>POWER(E7/AC7,1/7)-1</f>
        <v>#DIV/0!</v>
      </c>
    </row>
    <row r="25" spans="1:90" s="106" customFormat="1" x14ac:dyDescent="0.25">
      <c r="A25" s="141" t="s">
        <v>553</v>
      </c>
      <c r="B25" s="107"/>
      <c r="C25" s="107"/>
      <c r="D25" s="107"/>
      <c r="E25" s="107">
        <f>(E2-I2)/I2</f>
        <v>-0.18627936951868862</v>
      </c>
      <c r="F25" s="107">
        <f t="shared" ref="F25:BQ25" si="10">(F2-J2)/J2</f>
        <v>0.57254934908853761</v>
      </c>
      <c r="G25" s="107">
        <f t="shared" si="10"/>
        <v>1.8703937418852641</v>
      </c>
      <c r="H25" s="107">
        <f t="shared" si="10"/>
        <v>1.6661756017756195</v>
      </c>
      <c r="I25" s="107">
        <f t="shared" si="10"/>
        <v>2.6426555628332489</v>
      </c>
      <c r="J25" s="106">
        <f t="shared" si="10"/>
        <v>0.43282605100711313</v>
      </c>
      <c r="K25" s="106">
        <f t="shared" si="10"/>
        <v>-4.2741390013669993E-2</v>
      </c>
      <c r="L25" s="106">
        <f t="shared" si="10"/>
        <v>0.90997800670767637</v>
      </c>
      <c r="M25" s="107" t="e">
        <f t="shared" si="10"/>
        <v>#DIV/0!</v>
      </c>
      <c r="N25" s="107" t="e">
        <f t="shared" si="10"/>
        <v>#DIV/0!</v>
      </c>
      <c r="O25" s="107" t="e">
        <f t="shared" si="10"/>
        <v>#DIV/0!</v>
      </c>
      <c r="P25" s="107" t="e">
        <f t="shared" si="10"/>
        <v>#DIV/0!</v>
      </c>
      <c r="Q25" s="107" t="e">
        <f t="shared" si="10"/>
        <v>#DIV/0!</v>
      </c>
      <c r="R25" s="107" t="e">
        <f t="shared" si="10"/>
        <v>#DIV/0!</v>
      </c>
      <c r="S25" s="107" t="e">
        <f t="shared" si="10"/>
        <v>#DIV/0!</v>
      </c>
      <c r="T25" s="107" t="e">
        <f t="shared" si="10"/>
        <v>#DIV/0!</v>
      </c>
      <c r="U25" s="107" t="e">
        <f t="shared" si="10"/>
        <v>#DIV/0!</v>
      </c>
      <c r="V25" s="106" t="e">
        <f t="shared" si="10"/>
        <v>#DIV/0!</v>
      </c>
      <c r="W25" s="106" t="e">
        <f t="shared" si="10"/>
        <v>#DIV/0!</v>
      </c>
      <c r="X25" s="106" t="e">
        <f t="shared" si="10"/>
        <v>#DIV/0!</v>
      </c>
      <c r="Y25" s="106" t="e">
        <f t="shared" si="10"/>
        <v>#DIV/0!</v>
      </c>
      <c r="Z25" s="106" t="e">
        <f t="shared" si="10"/>
        <v>#DIV/0!</v>
      </c>
      <c r="AA25" s="106" t="e">
        <f t="shared" si="10"/>
        <v>#DIV/0!</v>
      </c>
      <c r="AB25" s="106" t="e">
        <f t="shared" si="10"/>
        <v>#DIV/0!</v>
      </c>
      <c r="AC25" s="106" t="e">
        <f t="shared" si="10"/>
        <v>#DIV/0!</v>
      </c>
      <c r="AD25" s="106" t="e">
        <f t="shared" si="10"/>
        <v>#DIV/0!</v>
      </c>
      <c r="AE25" s="106" t="e">
        <f t="shared" si="10"/>
        <v>#DIV/0!</v>
      </c>
      <c r="AF25" s="106" t="e">
        <f t="shared" si="10"/>
        <v>#DIV/0!</v>
      </c>
      <c r="AG25" s="106" t="e">
        <f t="shared" si="10"/>
        <v>#DIV/0!</v>
      </c>
      <c r="AH25" s="106" t="e">
        <f t="shared" si="10"/>
        <v>#DIV/0!</v>
      </c>
      <c r="AI25" s="106" t="e">
        <f t="shared" si="10"/>
        <v>#DIV/0!</v>
      </c>
      <c r="AJ25" s="106" t="e">
        <f t="shared" si="10"/>
        <v>#DIV/0!</v>
      </c>
      <c r="AK25" s="106" t="e">
        <f t="shared" si="10"/>
        <v>#DIV/0!</v>
      </c>
      <c r="AL25" s="106" t="e">
        <f t="shared" si="10"/>
        <v>#DIV/0!</v>
      </c>
      <c r="AM25" s="106" t="e">
        <f t="shared" si="10"/>
        <v>#DIV/0!</v>
      </c>
      <c r="AN25" s="106" t="e">
        <f t="shared" si="10"/>
        <v>#DIV/0!</v>
      </c>
      <c r="AO25" s="106" t="e">
        <f t="shared" si="10"/>
        <v>#DIV/0!</v>
      </c>
      <c r="AP25" s="106" t="e">
        <f t="shared" si="10"/>
        <v>#DIV/0!</v>
      </c>
      <c r="AQ25" s="106" t="e">
        <f t="shared" si="10"/>
        <v>#DIV/0!</v>
      </c>
      <c r="AR25" s="106" t="e">
        <f t="shared" si="10"/>
        <v>#DIV/0!</v>
      </c>
      <c r="AS25" s="106" t="e">
        <f t="shared" si="10"/>
        <v>#DIV/0!</v>
      </c>
      <c r="AT25" s="106" t="e">
        <f t="shared" si="10"/>
        <v>#DIV/0!</v>
      </c>
      <c r="AU25" s="106" t="e">
        <f t="shared" si="10"/>
        <v>#DIV/0!</v>
      </c>
      <c r="AV25" s="106" t="e">
        <f t="shared" si="10"/>
        <v>#DIV/0!</v>
      </c>
      <c r="AW25" s="106" t="e">
        <f t="shared" si="10"/>
        <v>#DIV/0!</v>
      </c>
      <c r="AX25" s="106" t="e">
        <f t="shared" si="10"/>
        <v>#DIV/0!</v>
      </c>
      <c r="AY25" s="106" t="e">
        <f t="shared" si="10"/>
        <v>#DIV/0!</v>
      </c>
      <c r="AZ25" s="106" t="e">
        <f t="shared" si="10"/>
        <v>#DIV/0!</v>
      </c>
      <c r="BA25" s="106" t="e">
        <f t="shared" si="10"/>
        <v>#DIV/0!</v>
      </c>
      <c r="BB25" s="106" t="e">
        <f t="shared" si="10"/>
        <v>#DIV/0!</v>
      </c>
      <c r="BC25" s="106" t="e">
        <f t="shared" si="10"/>
        <v>#DIV/0!</v>
      </c>
      <c r="BD25" s="106" t="e">
        <f t="shared" si="10"/>
        <v>#DIV/0!</v>
      </c>
      <c r="BE25" s="106" t="e">
        <f t="shared" si="10"/>
        <v>#DIV/0!</v>
      </c>
      <c r="BF25" s="106" t="e">
        <f t="shared" si="10"/>
        <v>#DIV/0!</v>
      </c>
      <c r="BG25" s="106" t="e">
        <f t="shared" si="10"/>
        <v>#DIV/0!</v>
      </c>
      <c r="BH25" s="106" t="e">
        <f t="shared" si="10"/>
        <v>#DIV/0!</v>
      </c>
      <c r="BI25" s="106" t="e">
        <f t="shared" si="10"/>
        <v>#DIV/0!</v>
      </c>
      <c r="BJ25" s="106" t="e">
        <f t="shared" si="10"/>
        <v>#DIV/0!</v>
      </c>
      <c r="BK25" s="106" t="e">
        <f t="shared" si="10"/>
        <v>#DIV/0!</v>
      </c>
      <c r="BL25" s="106" t="e">
        <f t="shared" si="10"/>
        <v>#DIV/0!</v>
      </c>
      <c r="BM25" s="106" t="e">
        <f t="shared" si="10"/>
        <v>#DIV/0!</v>
      </c>
      <c r="BN25" s="106" t="e">
        <f t="shared" si="10"/>
        <v>#DIV/0!</v>
      </c>
      <c r="BO25" s="106" t="e">
        <f t="shared" si="10"/>
        <v>#DIV/0!</v>
      </c>
      <c r="BP25" s="106" t="e">
        <f t="shared" si="10"/>
        <v>#DIV/0!</v>
      </c>
      <c r="BQ25" s="106" t="e">
        <f t="shared" si="10"/>
        <v>#DIV/0!</v>
      </c>
      <c r="BR25" s="106" t="e">
        <f t="shared" ref="BR25:CK25" si="11">(BR2-BV2)/BV2</f>
        <v>#DIV/0!</v>
      </c>
      <c r="BS25" s="106" t="e">
        <f t="shared" si="11"/>
        <v>#DIV/0!</v>
      </c>
      <c r="BT25" s="106" t="e">
        <f t="shared" si="11"/>
        <v>#DIV/0!</v>
      </c>
      <c r="BU25" s="106" t="e">
        <f t="shared" si="11"/>
        <v>#DIV/0!</v>
      </c>
      <c r="BV25" s="106" t="e">
        <f t="shared" si="11"/>
        <v>#DIV/0!</v>
      </c>
      <c r="BW25" s="106" t="e">
        <f t="shared" si="11"/>
        <v>#DIV/0!</v>
      </c>
      <c r="BX25" s="106" t="e">
        <f t="shared" si="11"/>
        <v>#DIV/0!</v>
      </c>
      <c r="BY25" s="106" t="e">
        <f t="shared" si="11"/>
        <v>#DIV/0!</v>
      </c>
      <c r="BZ25" s="106" t="e">
        <f t="shared" si="11"/>
        <v>#DIV/0!</v>
      </c>
      <c r="CA25" s="106" t="e">
        <f t="shared" si="11"/>
        <v>#DIV/0!</v>
      </c>
      <c r="CB25" s="106" t="e">
        <f t="shared" si="11"/>
        <v>#DIV/0!</v>
      </c>
      <c r="CC25" s="106" t="e">
        <f t="shared" si="11"/>
        <v>#DIV/0!</v>
      </c>
      <c r="CD25" s="106" t="e">
        <f t="shared" si="11"/>
        <v>#DIV/0!</v>
      </c>
      <c r="CE25" s="106" t="e">
        <f t="shared" si="11"/>
        <v>#DIV/0!</v>
      </c>
      <c r="CF25" s="106" t="e">
        <f t="shared" si="11"/>
        <v>#DIV/0!</v>
      </c>
      <c r="CG25" s="106" t="e">
        <f t="shared" si="11"/>
        <v>#DIV/0!</v>
      </c>
      <c r="CH25" s="106" t="e">
        <f t="shared" si="11"/>
        <v>#DIV/0!</v>
      </c>
      <c r="CI25" s="106" t="e">
        <f t="shared" si="11"/>
        <v>#DIV/0!</v>
      </c>
      <c r="CJ25" s="106" t="e">
        <f t="shared" si="11"/>
        <v>#DIV/0!</v>
      </c>
      <c r="CK25" s="106" t="e">
        <f t="shared" si="11"/>
        <v>#DIV/0!</v>
      </c>
    </row>
    <row r="26" spans="1:90" s="107" customFormat="1" x14ac:dyDescent="0.25">
      <c r="A26" s="141" t="s">
        <v>561</v>
      </c>
      <c r="E26" s="107">
        <f>E2/E9</f>
        <v>0.32854873917419702</v>
      </c>
      <c r="F26" s="107">
        <f t="shared" ref="F26:BQ26" si="12">F2/F9</f>
        <v>0.25868965347347045</v>
      </c>
      <c r="G26" s="107">
        <f t="shared" si="12"/>
        <v>0.36040540793175818</v>
      </c>
      <c r="H26" s="107">
        <f t="shared" si="12"/>
        <v>0.51913849111174948</v>
      </c>
      <c r="I26" s="107">
        <f t="shared" si="12"/>
        <v>0.4162377303961905</v>
      </c>
      <c r="J26" s="107">
        <f t="shared" si="12"/>
        <v>0.3109975324157303</v>
      </c>
      <c r="K26" s="107">
        <f t="shared" si="12"/>
        <v>0.24559791210781812</v>
      </c>
      <c r="L26" s="107">
        <f t="shared" si="12"/>
        <v>0.35829787789832579</v>
      </c>
      <c r="M26" s="107">
        <f t="shared" si="12"/>
        <v>0.24747755742914701</v>
      </c>
      <c r="N26" s="107">
        <f t="shared" si="12"/>
        <v>0.24396088058892268</v>
      </c>
      <c r="O26" s="107">
        <f t="shared" si="12"/>
        <v>0.39849469017989569</v>
      </c>
      <c r="P26" s="107">
        <f t="shared" si="12"/>
        <v>0.44894427174475343</v>
      </c>
      <c r="Q26" s="107" t="e">
        <f t="shared" si="12"/>
        <v>#DIV/0!</v>
      </c>
      <c r="R26" s="107" t="e">
        <f t="shared" si="12"/>
        <v>#DIV/0!</v>
      </c>
      <c r="S26" s="107" t="e">
        <f t="shared" si="12"/>
        <v>#DIV/0!</v>
      </c>
      <c r="T26" s="107" t="e">
        <f t="shared" si="12"/>
        <v>#DIV/0!</v>
      </c>
      <c r="U26" s="107" t="e">
        <f t="shared" si="12"/>
        <v>#DIV/0!</v>
      </c>
      <c r="V26" s="107" t="e">
        <f t="shared" si="12"/>
        <v>#DIV/0!</v>
      </c>
      <c r="W26" s="107" t="e">
        <f t="shared" si="12"/>
        <v>#DIV/0!</v>
      </c>
      <c r="X26" s="107" t="e">
        <f t="shared" si="12"/>
        <v>#DIV/0!</v>
      </c>
      <c r="Y26" s="107" t="e">
        <f t="shared" si="12"/>
        <v>#DIV/0!</v>
      </c>
      <c r="Z26" s="107" t="e">
        <f t="shared" si="12"/>
        <v>#DIV/0!</v>
      </c>
      <c r="AA26" s="107" t="e">
        <f t="shared" si="12"/>
        <v>#DIV/0!</v>
      </c>
      <c r="AB26" s="107" t="e">
        <f t="shared" si="12"/>
        <v>#DIV/0!</v>
      </c>
      <c r="AC26" s="107" t="e">
        <f t="shared" si="12"/>
        <v>#DIV/0!</v>
      </c>
      <c r="AD26" s="107" t="e">
        <f t="shared" si="12"/>
        <v>#DIV/0!</v>
      </c>
      <c r="AE26" s="107" t="e">
        <f t="shared" si="12"/>
        <v>#DIV/0!</v>
      </c>
      <c r="AF26" s="107" t="e">
        <f t="shared" si="12"/>
        <v>#DIV/0!</v>
      </c>
      <c r="AG26" s="107" t="e">
        <f t="shared" si="12"/>
        <v>#DIV/0!</v>
      </c>
      <c r="AH26" s="107" t="e">
        <f t="shared" si="12"/>
        <v>#DIV/0!</v>
      </c>
      <c r="AI26" s="107" t="e">
        <f t="shared" si="12"/>
        <v>#DIV/0!</v>
      </c>
      <c r="AJ26" s="107" t="e">
        <f t="shared" si="12"/>
        <v>#DIV/0!</v>
      </c>
      <c r="AK26" s="107" t="e">
        <f t="shared" si="12"/>
        <v>#DIV/0!</v>
      </c>
      <c r="AL26" s="107" t="e">
        <f t="shared" si="12"/>
        <v>#DIV/0!</v>
      </c>
      <c r="AM26" s="107" t="e">
        <f t="shared" si="12"/>
        <v>#DIV/0!</v>
      </c>
      <c r="AN26" s="107" t="e">
        <f t="shared" si="12"/>
        <v>#DIV/0!</v>
      </c>
      <c r="AO26" s="107" t="e">
        <f t="shared" si="12"/>
        <v>#DIV/0!</v>
      </c>
      <c r="AP26" s="107" t="e">
        <f t="shared" si="12"/>
        <v>#DIV/0!</v>
      </c>
      <c r="AQ26" s="107" t="e">
        <f t="shared" si="12"/>
        <v>#DIV/0!</v>
      </c>
      <c r="AR26" s="107" t="e">
        <f t="shared" si="12"/>
        <v>#DIV/0!</v>
      </c>
      <c r="AS26" s="107" t="e">
        <f t="shared" si="12"/>
        <v>#DIV/0!</v>
      </c>
      <c r="AT26" s="107" t="e">
        <f t="shared" si="12"/>
        <v>#DIV/0!</v>
      </c>
      <c r="AU26" s="107" t="e">
        <f t="shared" si="12"/>
        <v>#DIV/0!</v>
      </c>
      <c r="AV26" s="107" t="e">
        <f t="shared" si="12"/>
        <v>#DIV/0!</v>
      </c>
      <c r="AW26" s="107" t="e">
        <f t="shared" si="12"/>
        <v>#DIV/0!</v>
      </c>
      <c r="AX26" s="107" t="e">
        <f t="shared" si="12"/>
        <v>#DIV/0!</v>
      </c>
      <c r="AY26" s="107" t="e">
        <f t="shared" si="12"/>
        <v>#DIV/0!</v>
      </c>
      <c r="AZ26" s="107" t="e">
        <f t="shared" si="12"/>
        <v>#DIV/0!</v>
      </c>
      <c r="BA26" s="107" t="e">
        <f t="shared" si="12"/>
        <v>#DIV/0!</v>
      </c>
      <c r="BB26" s="107" t="e">
        <f t="shared" si="12"/>
        <v>#DIV/0!</v>
      </c>
      <c r="BC26" s="107" t="e">
        <f t="shared" si="12"/>
        <v>#DIV/0!</v>
      </c>
      <c r="BD26" s="107" t="e">
        <f t="shared" si="12"/>
        <v>#DIV/0!</v>
      </c>
      <c r="BE26" s="107" t="e">
        <f t="shared" si="12"/>
        <v>#DIV/0!</v>
      </c>
      <c r="BF26" s="107" t="e">
        <f t="shared" si="12"/>
        <v>#DIV/0!</v>
      </c>
      <c r="BG26" s="107" t="e">
        <f t="shared" si="12"/>
        <v>#DIV/0!</v>
      </c>
      <c r="BH26" s="107" t="e">
        <f t="shared" si="12"/>
        <v>#DIV/0!</v>
      </c>
      <c r="BI26" s="107" t="e">
        <f t="shared" si="12"/>
        <v>#DIV/0!</v>
      </c>
      <c r="BJ26" s="107" t="e">
        <f t="shared" si="12"/>
        <v>#DIV/0!</v>
      </c>
      <c r="BK26" s="107" t="e">
        <f t="shared" si="12"/>
        <v>#DIV/0!</v>
      </c>
      <c r="BL26" s="107" t="e">
        <f t="shared" si="12"/>
        <v>#DIV/0!</v>
      </c>
      <c r="BM26" s="107" t="e">
        <f t="shared" si="12"/>
        <v>#DIV/0!</v>
      </c>
      <c r="BN26" s="107" t="e">
        <f t="shared" si="12"/>
        <v>#DIV/0!</v>
      </c>
      <c r="BO26" s="107" t="e">
        <f t="shared" si="12"/>
        <v>#DIV/0!</v>
      </c>
      <c r="BP26" s="107" t="e">
        <f t="shared" si="12"/>
        <v>#DIV/0!</v>
      </c>
      <c r="BQ26" s="107" t="e">
        <f t="shared" si="12"/>
        <v>#DIV/0!</v>
      </c>
      <c r="BR26" s="107" t="e">
        <f t="shared" ref="BR26:CK26" si="13">BR2/BR9</f>
        <v>#DIV/0!</v>
      </c>
      <c r="BS26" s="107" t="e">
        <f t="shared" si="13"/>
        <v>#DIV/0!</v>
      </c>
      <c r="BT26" s="107" t="e">
        <f t="shared" si="13"/>
        <v>#DIV/0!</v>
      </c>
      <c r="BU26" s="107" t="e">
        <f t="shared" si="13"/>
        <v>#DIV/0!</v>
      </c>
      <c r="BV26" s="107" t="e">
        <f t="shared" si="13"/>
        <v>#DIV/0!</v>
      </c>
      <c r="BW26" s="107" t="e">
        <f t="shared" si="13"/>
        <v>#DIV/0!</v>
      </c>
      <c r="BX26" s="107" t="e">
        <f t="shared" si="13"/>
        <v>#DIV/0!</v>
      </c>
      <c r="BY26" s="107" t="e">
        <f t="shared" si="13"/>
        <v>#DIV/0!</v>
      </c>
      <c r="BZ26" s="107" t="e">
        <f t="shared" si="13"/>
        <v>#DIV/0!</v>
      </c>
      <c r="CA26" s="107" t="e">
        <f t="shared" si="13"/>
        <v>#DIV/0!</v>
      </c>
      <c r="CB26" s="107" t="e">
        <f t="shared" si="13"/>
        <v>#DIV/0!</v>
      </c>
      <c r="CC26" s="107" t="e">
        <f t="shared" si="13"/>
        <v>#DIV/0!</v>
      </c>
      <c r="CD26" s="107" t="e">
        <f t="shared" si="13"/>
        <v>#DIV/0!</v>
      </c>
      <c r="CE26" s="107" t="e">
        <f t="shared" si="13"/>
        <v>#DIV/0!</v>
      </c>
      <c r="CF26" s="107" t="e">
        <f t="shared" si="13"/>
        <v>#DIV/0!</v>
      </c>
      <c r="CG26" s="107" t="e">
        <f t="shared" si="13"/>
        <v>#DIV/0!</v>
      </c>
      <c r="CH26" s="107" t="e">
        <f t="shared" si="13"/>
        <v>#DIV/0!</v>
      </c>
      <c r="CI26" s="107" t="e">
        <f t="shared" si="13"/>
        <v>#DIV/0!</v>
      </c>
      <c r="CJ26" s="107" t="e">
        <f t="shared" si="13"/>
        <v>#DIV/0!</v>
      </c>
      <c r="CK26" s="107" t="e">
        <f t="shared" si="13"/>
        <v>#DIV/0!</v>
      </c>
    </row>
    <row r="27" spans="1:90" s="108" customFormat="1" x14ac:dyDescent="0.25">
      <c r="A27" s="142" t="s">
        <v>554</v>
      </c>
      <c r="E27" s="108" t="e">
        <f>(E3-I3)/I3</f>
        <v>#DIV/0!</v>
      </c>
      <c r="F27" s="108" t="e">
        <f t="shared" ref="F27:BQ27" si="14">(F3-J3)/J3</f>
        <v>#DIV/0!</v>
      </c>
      <c r="G27" s="108" t="e">
        <f t="shared" si="14"/>
        <v>#DIV/0!</v>
      </c>
      <c r="H27" s="108" t="e">
        <f t="shared" si="14"/>
        <v>#DIV/0!</v>
      </c>
      <c r="I27" s="108" t="e">
        <f t="shared" si="14"/>
        <v>#DIV/0!</v>
      </c>
      <c r="J27" s="108" t="e">
        <f t="shared" si="14"/>
        <v>#DIV/0!</v>
      </c>
      <c r="K27" s="108">
        <f t="shared" si="14"/>
        <v>-1</v>
      </c>
      <c r="L27" s="108">
        <f t="shared" si="14"/>
        <v>-1</v>
      </c>
      <c r="M27" s="108" t="e">
        <f t="shared" si="14"/>
        <v>#DIV/0!</v>
      </c>
      <c r="N27" s="108" t="e">
        <f t="shared" si="14"/>
        <v>#DIV/0!</v>
      </c>
      <c r="O27" s="108" t="e">
        <f t="shared" si="14"/>
        <v>#DIV/0!</v>
      </c>
      <c r="P27" s="108" t="e">
        <f t="shared" si="14"/>
        <v>#DIV/0!</v>
      </c>
      <c r="Q27" s="108" t="e">
        <f t="shared" si="14"/>
        <v>#DIV/0!</v>
      </c>
      <c r="R27" s="108" t="e">
        <f t="shared" si="14"/>
        <v>#DIV/0!</v>
      </c>
      <c r="S27" s="108" t="e">
        <f t="shared" si="14"/>
        <v>#DIV/0!</v>
      </c>
      <c r="T27" s="108" t="e">
        <f t="shared" si="14"/>
        <v>#DIV/0!</v>
      </c>
      <c r="U27" s="108" t="e">
        <f t="shared" si="14"/>
        <v>#DIV/0!</v>
      </c>
      <c r="V27" s="108" t="e">
        <f t="shared" si="14"/>
        <v>#DIV/0!</v>
      </c>
      <c r="W27" s="108" t="e">
        <f t="shared" si="14"/>
        <v>#DIV/0!</v>
      </c>
      <c r="X27" s="108" t="e">
        <f t="shared" si="14"/>
        <v>#DIV/0!</v>
      </c>
      <c r="Y27" s="108" t="e">
        <f t="shared" si="14"/>
        <v>#DIV/0!</v>
      </c>
      <c r="Z27" s="108" t="e">
        <f t="shared" si="14"/>
        <v>#DIV/0!</v>
      </c>
      <c r="AA27" s="108" t="e">
        <f t="shared" si="14"/>
        <v>#DIV/0!</v>
      </c>
      <c r="AB27" s="108" t="e">
        <f t="shared" si="14"/>
        <v>#DIV/0!</v>
      </c>
      <c r="AC27" s="108" t="e">
        <f t="shared" si="14"/>
        <v>#DIV/0!</v>
      </c>
      <c r="AD27" s="108" t="e">
        <f t="shared" si="14"/>
        <v>#DIV/0!</v>
      </c>
      <c r="AE27" s="108" t="e">
        <f t="shared" si="14"/>
        <v>#DIV/0!</v>
      </c>
      <c r="AF27" s="108" t="e">
        <f t="shared" si="14"/>
        <v>#DIV/0!</v>
      </c>
      <c r="AG27" s="108" t="e">
        <f t="shared" si="14"/>
        <v>#DIV/0!</v>
      </c>
      <c r="AH27" s="108" t="e">
        <f t="shared" si="14"/>
        <v>#DIV/0!</v>
      </c>
      <c r="AI27" s="108" t="e">
        <f t="shared" si="14"/>
        <v>#DIV/0!</v>
      </c>
      <c r="AJ27" s="108" t="e">
        <f t="shared" si="14"/>
        <v>#DIV/0!</v>
      </c>
      <c r="AK27" s="108" t="e">
        <f t="shared" si="14"/>
        <v>#DIV/0!</v>
      </c>
      <c r="AL27" s="108" t="e">
        <f t="shared" si="14"/>
        <v>#DIV/0!</v>
      </c>
      <c r="AM27" s="108" t="e">
        <f t="shared" si="14"/>
        <v>#DIV/0!</v>
      </c>
      <c r="AN27" s="108" t="e">
        <f t="shared" si="14"/>
        <v>#DIV/0!</v>
      </c>
      <c r="AO27" s="108" t="e">
        <f t="shared" si="14"/>
        <v>#DIV/0!</v>
      </c>
      <c r="AP27" s="108" t="e">
        <f t="shared" si="14"/>
        <v>#DIV/0!</v>
      </c>
      <c r="AQ27" s="108" t="e">
        <f t="shared" si="14"/>
        <v>#DIV/0!</v>
      </c>
      <c r="AR27" s="108" t="e">
        <f t="shared" si="14"/>
        <v>#DIV/0!</v>
      </c>
      <c r="AS27" s="108" t="e">
        <f t="shared" si="14"/>
        <v>#DIV/0!</v>
      </c>
      <c r="AT27" s="108" t="e">
        <f t="shared" si="14"/>
        <v>#DIV/0!</v>
      </c>
      <c r="AU27" s="108" t="e">
        <f t="shared" si="14"/>
        <v>#DIV/0!</v>
      </c>
      <c r="AV27" s="108" t="e">
        <f t="shared" si="14"/>
        <v>#DIV/0!</v>
      </c>
      <c r="AW27" s="108" t="e">
        <f t="shared" si="14"/>
        <v>#DIV/0!</v>
      </c>
      <c r="AX27" s="108" t="e">
        <f t="shared" si="14"/>
        <v>#DIV/0!</v>
      </c>
      <c r="AY27" s="108" t="e">
        <f t="shared" si="14"/>
        <v>#DIV/0!</v>
      </c>
      <c r="AZ27" s="108" t="e">
        <f t="shared" si="14"/>
        <v>#DIV/0!</v>
      </c>
      <c r="BA27" s="108" t="e">
        <f t="shared" si="14"/>
        <v>#DIV/0!</v>
      </c>
      <c r="BB27" s="108" t="e">
        <f t="shared" si="14"/>
        <v>#DIV/0!</v>
      </c>
      <c r="BC27" s="108" t="e">
        <f t="shared" si="14"/>
        <v>#DIV/0!</v>
      </c>
      <c r="BD27" s="108" t="e">
        <f t="shared" si="14"/>
        <v>#DIV/0!</v>
      </c>
      <c r="BE27" s="108" t="e">
        <f t="shared" si="14"/>
        <v>#DIV/0!</v>
      </c>
      <c r="BF27" s="108" t="e">
        <f t="shared" si="14"/>
        <v>#DIV/0!</v>
      </c>
      <c r="BG27" s="108" t="e">
        <f t="shared" si="14"/>
        <v>#DIV/0!</v>
      </c>
      <c r="BH27" s="108" t="e">
        <f t="shared" si="14"/>
        <v>#DIV/0!</v>
      </c>
      <c r="BI27" s="108" t="e">
        <f t="shared" si="14"/>
        <v>#DIV/0!</v>
      </c>
      <c r="BJ27" s="108" t="e">
        <f t="shared" si="14"/>
        <v>#DIV/0!</v>
      </c>
      <c r="BK27" s="108" t="e">
        <f t="shared" si="14"/>
        <v>#DIV/0!</v>
      </c>
      <c r="BL27" s="108" t="e">
        <f t="shared" si="14"/>
        <v>#DIV/0!</v>
      </c>
      <c r="BM27" s="108" t="e">
        <f t="shared" si="14"/>
        <v>#DIV/0!</v>
      </c>
      <c r="BN27" s="108" t="e">
        <f t="shared" si="14"/>
        <v>#DIV/0!</v>
      </c>
      <c r="BO27" s="108" t="e">
        <f t="shared" si="14"/>
        <v>#DIV/0!</v>
      </c>
      <c r="BP27" s="108" t="e">
        <f t="shared" si="14"/>
        <v>#DIV/0!</v>
      </c>
      <c r="BQ27" s="108" t="e">
        <f t="shared" si="14"/>
        <v>#DIV/0!</v>
      </c>
      <c r="BR27" s="108" t="e">
        <f t="shared" ref="BR27:CL27" si="15">(BR3-BV3)/BV3</f>
        <v>#DIV/0!</v>
      </c>
      <c r="BS27" s="108" t="e">
        <f t="shared" si="15"/>
        <v>#DIV/0!</v>
      </c>
      <c r="BT27" s="108" t="e">
        <f t="shared" si="15"/>
        <v>#DIV/0!</v>
      </c>
      <c r="BU27" s="108" t="e">
        <f t="shared" si="15"/>
        <v>#DIV/0!</v>
      </c>
      <c r="BV27" s="108" t="e">
        <f t="shared" si="15"/>
        <v>#DIV/0!</v>
      </c>
      <c r="BW27" s="108" t="e">
        <f t="shared" si="15"/>
        <v>#DIV/0!</v>
      </c>
      <c r="BX27" s="108" t="e">
        <f t="shared" si="15"/>
        <v>#DIV/0!</v>
      </c>
      <c r="BY27" s="108" t="e">
        <f t="shared" si="15"/>
        <v>#DIV/0!</v>
      </c>
      <c r="BZ27" s="108" t="e">
        <f t="shared" si="15"/>
        <v>#DIV/0!</v>
      </c>
      <c r="CA27" s="108" t="e">
        <f t="shared" si="15"/>
        <v>#DIV/0!</v>
      </c>
      <c r="CB27" s="108" t="e">
        <f t="shared" si="15"/>
        <v>#DIV/0!</v>
      </c>
      <c r="CC27" s="108" t="e">
        <f t="shared" si="15"/>
        <v>#DIV/0!</v>
      </c>
      <c r="CD27" s="108" t="e">
        <f t="shared" si="15"/>
        <v>#DIV/0!</v>
      </c>
      <c r="CE27" s="108" t="e">
        <f t="shared" si="15"/>
        <v>#DIV/0!</v>
      </c>
      <c r="CF27" s="108" t="e">
        <f t="shared" si="15"/>
        <v>#DIV/0!</v>
      </c>
      <c r="CG27" s="108" t="e">
        <f t="shared" si="15"/>
        <v>#DIV/0!</v>
      </c>
      <c r="CH27" s="108" t="e">
        <f t="shared" si="15"/>
        <v>#DIV/0!</v>
      </c>
      <c r="CI27" s="108" t="e">
        <f t="shared" si="15"/>
        <v>#DIV/0!</v>
      </c>
      <c r="CJ27" s="108" t="e">
        <f t="shared" si="15"/>
        <v>#DIV/0!</v>
      </c>
      <c r="CK27" s="108" t="e">
        <f t="shared" si="15"/>
        <v>#DIV/0!</v>
      </c>
      <c r="CL27" s="108" t="e">
        <f t="shared" si="15"/>
        <v>#DIV/0!</v>
      </c>
    </row>
    <row r="28" spans="1:90" s="108" customFormat="1" x14ac:dyDescent="0.25">
      <c r="A28" s="142" t="s">
        <v>562</v>
      </c>
      <c r="E28" s="108">
        <f>E3/E9</f>
        <v>3.0140056519465851E-2</v>
      </c>
      <c r="F28" s="108">
        <f t="shared" ref="F28:BQ28" si="16">F3/F9</f>
        <v>0</v>
      </c>
      <c r="G28" s="108">
        <f t="shared" si="16"/>
        <v>0</v>
      </c>
      <c r="H28" s="108">
        <f t="shared" si="16"/>
        <v>0</v>
      </c>
      <c r="I28" s="108">
        <f t="shared" si="16"/>
        <v>0</v>
      </c>
      <c r="J28" s="108">
        <f t="shared" si="16"/>
        <v>0</v>
      </c>
      <c r="K28" s="108">
        <f t="shared" si="16"/>
        <v>0</v>
      </c>
      <c r="L28" s="108">
        <f t="shared" si="16"/>
        <v>0</v>
      </c>
      <c r="M28" s="108">
        <f t="shared" si="16"/>
        <v>0</v>
      </c>
      <c r="N28" s="108">
        <f t="shared" si="16"/>
        <v>0</v>
      </c>
      <c r="O28" s="108">
        <f t="shared" si="16"/>
        <v>3.0331787005374589E-3</v>
      </c>
      <c r="P28" s="108">
        <f t="shared" si="16"/>
        <v>4.2101249097172555E-3</v>
      </c>
      <c r="Q28" s="108" t="e">
        <f t="shared" si="16"/>
        <v>#DIV/0!</v>
      </c>
      <c r="R28" s="108" t="e">
        <f t="shared" si="16"/>
        <v>#DIV/0!</v>
      </c>
      <c r="S28" s="108" t="e">
        <f t="shared" si="16"/>
        <v>#DIV/0!</v>
      </c>
      <c r="T28" s="108" t="e">
        <f t="shared" si="16"/>
        <v>#DIV/0!</v>
      </c>
      <c r="U28" s="108" t="e">
        <f t="shared" si="16"/>
        <v>#DIV/0!</v>
      </c>
      <c r="V28" s="108" t="e">
        <f t="shared" si="16"/>
        <v>#DIV/0!</v>
      </c>
      <c r="W28" s="108" t="e">
        <f t="shared" si="16"/>
        <v>#DIV/0!</v>
      </c>
      <c r="X28" s="108" t="e">
        <f t="shared" si="16"/>
        <v>#DIV/0!</v>
      </c>
      <c r="Y28" s="108" t="e">
        <f t="shared" si="16"/>
        <v>#DIV/0!</v>
      </c>
      <c r="Z28" s="108" t="e">
        <f t="shared" si="16"/>
        <v>#DIV/0!</v>
      </c>
      <c r="AA28" s="108" t="e">
        <f t="shared" si="16"/>
        <v>#DIV/0!</v>
      </c>
      <c r="AB28" s="108" t="e">
        <f t="shared" si="16"/>
        <v>#DIV/0!</v>
      </c>
      <c r="AC28" s="108" t="e">
        <f t="shared" si="16"/>
        <v>#DIV/0!</v>
      </c>
      <c r="AD28" s="108" t="e">
        <f t="shared" si="16"/>
        <v>#DIV/0!</v>
      </c>
      <c r="AE28" s="108" t="e">
        <f t="shared" si="16"/>
        <v>#DIV/0!</v>
      </c>
      <c r="AF28" s="108" t="e">
        <f t="shared" si="16"/>
        <v>#DIV/0!</v>
      </c>
      <c r="AG28" s="108" t="e">
        <f t="shared" si="16"/>
        <v>#DIV/0!</v>
      </c>
      <c r="AH28" s="108" t="e">
        <f t="shared" si="16"/>
        <v>#DIV/0!</v>
      </c>
      <c r="AI28" s="108" t="e">
        <f t="shared" si="16"/>
        <v>#DIV/0!</v>
      </c>
      <c r="AJ28" s="108" t="e">
        <f t="shared" si="16"/>
        <v>#DIV/0!</v>
      </c>
      <c r="AK28" s="108" t="e">
        <f t="shared" si="16"/>
        <v>#DIV/0!</v>
      </c>
      <c r="AL28" s="108" t="e">
        <f t="shared" si="16"/>
        <v>#DIV/0!</v>
      </c>
      <c r="AM28" s="108" t="e">
        <f t="shared" si="16"/>
        <v>#DIV/0!</v>
      </c>
      <c r="AN28" s="108" t="e">
        <f t="shared" si="16"/>
        <v>#DIV/0!</v>
      </c>
      <c r="AO28" s="108" t="e">
        <f t="shared" si="16"/>
        <v>#DIV/0!</v>
      </c>
      <c r="AP28" s="108" t="e">
        <f t="shared" si="16"/>
        <v>#DIV/0!</v>
      </c>
      <c r="AQ28" s="108" t="e">
        <f t="shared" si="16"/>
        <v>#DIV/0!</v>
      </c>
      <c r="AR28" s="108" t="e">
        <f t="shared" si="16"/>
        <v>#DIV/0!</v>
      </c>
      <c r="AS28" s="108" t="e">
        <f t="shared" si="16"/>
        <v>#DIV/0!</v>
      </c>
      <c r="AT28" s="108" t="e">
        <f t="shared" si="16"/>
        <v>#DIV/0!</v>
      </c>
      <c r="AU28" s="108" t="e">
        <f t="shared" si="16"/>
        <v>#DIV/0!</v>
      </c>
      <c r="AV28" s="108" t="e">
        <f t="shared" si="16"/>
        <v>#DIV/0!</v>
      </c>
      <c r="AW28" s="108" t="e">
        <f t="shared" si="16"/>
        <v>#DIV/0!</v>
      </c>
      <c r="AX28" s="108" t="e">
        <f t="shared" si="16"/>
        <v>#DIV/0!</v>
      </c>
      <c r="AY28" s="108" t="e">
        <f t="shared" si="16"/>
        <v>#DIV/0!</v>
      </c>
      <c r="AZ28" s="108" t="e">
        <f t="shared" si="16"/>
        <v>#DIV/0!</v>
      </c>
      <c r="BA28" s="108" t="e">
        <f t="shared" si="16"/>
        <v>#DIV/0!</v>
      </c>
      <c r="BB28" s="108" t="e">
        <f t="shared" si="16"/>
        <v>#DIV/0!</v>
      </c>
      <c r="BC28" s="108" t="e">
        <f t="shared" si="16"/>
        <v>#DIV/0!</v>
      </c>
      <c r="BD28" s="108" t="e">
        <f t="shared" si="16"/>
        <v>#DIV/0!</v>
      </c>
      <c r="BE28" s="108" t="e">
        <f t="shared" si="16"/>
        <v>#DIV/0!</v>
      </c>
      <c r="BF28" s="108" t="e">
        <f t="shared" si="16"/>
        <v>#DIV/0!</v>
      </c>
      <c r="BG28" s="108" t="e">
        <f t="shared" si="16"/>
        <v>#DIV/0!</v>
      </c>
      <c r="BH28" s="108" t="e">
        <f t="shared" si="16"/>
        <v>#DIV/0!</v>
      </c>
      <c r="BI28" s="108" t="e">
        <f t="shared" si="16"/>
        <v>#DIV/0!</v>
      </c>
      <c r="BJ28" s="108" t="e">
        <f t="shared" si="16"/>
        <v>#DIV/0!</v>
      </c>
      <c r="BK28" s="108" t="e">
        <f t="shared" si="16"/>
        <v>#DIV/0!</v>
      </c>
      <c r="BL28" s="108" t="e">
        <f t="shared" si="16"/>
        <v>#DIV/0!</v>
      </c>
      <c r="BM28" s="108" t="e">
        <f t="shared" si="16"/>
        <v>#DIV/0!</v>
      </c>
      <c r="BN28" s="108" t="e">
        <f t="shared" si="16"/>
        <v>#DIV/0!</v>
      </c>
      <c r="BO28" s="108" t="e">
        <f t="shared" si="16"/>
        <v>#DIV/0!</v>
      </c>
      <c r="BP28" s="108" t="e">
        <f t="shared" si="16"/>
        <v>#DIV/0!</v>
      </c>
      <c r="BQ28" s="108" t="e">
        <f t="shared" si="16"/>
        <v>#DIV/0!</v>
      </c>
      <c r="BR28" s="108" t="e">
        <f t="shared" ref="BR28:CK28" si="17">BR3/BR9</f>
        <v>#DIV/0!</v>
      </c>
      <c r="BS28" s="108" t="e">
        <f t="shared" si="17"/>
        <v>#DIV/0!</v>
      </c>
      <c r="BT28" s="108" t="e">
        <f t="shared" si="17"/>
        <v>#DIV/0!</v>
      </c>
      <c r="BU28" s="108" t="e">
        <f t="shared" si="17"/>
        <v>#DIV/0!</v>
      </c>
      <c r="BV28" s="108" t="e">
        <f t="shared" si="17"/>
        <v>#DIV/0!</v>
      </c>
      <c r="BW28" s="108" t="e">
        <f t="shared" si="17"/>
        <v>#DIV/0!</v>
      </c>
      <c r="BX28" s="108" t="e">
        <f t="shared" si="17"/>
        <v>#DIV/0!</v>
      </c>
      <c r="BY28" s="108" t="e">
        <f t="shared" si="17"/>
        <v>#DIV/0!</v>
      </c>
      <c r="BZ28" s="108" t="e">
        <f t="shared" si="17"/>
        <v>#DIV/0!</v>
      </c>
      <c r="CA28" s="108" t="e">
        <f t="shared" si="17"/>
        <v>#DIV/0!</v>
      </c>
      <c r="CB28" s="108" t="e">
        <f t="shared" si="17"/>
        <v>#DIV/0!</v>
      </c>
      <c r="CC28" s="108" t="e">
        <f t="shared" si="17"/>
        <v>#DIV/0!</v>
      </c>
      <c r="CD28" s="108" t="e">
        <f t="shared" si="17"/>
        <v>#DIV/0!</v>
      </c>
      <c r="CE28" s="108" t="e">
        <f t="shared" si="17"/>
        <v>#DIV/0!</v>
      </c>
      <c r="CF28" s="108" t="e">
        <f t="shared" si="17"/>
        <v>#DIV/0!</v>
      </c>
      <c r="CG28" s="108" t="e">
        <f t="shared" si="17"/>
        <v>#DIV/0!</v>
      </c>
      <c r="CH28" s="108" t="e">
        <f t="shared" si="17"/>
        <v>#DIV/0!</v>
      </c>
      <c r="CI28" s="108" t="e">
        <f t="shared" si="17"/>
        <v>#DIV/0!</v>
      </c>
      <c r="CJ28" s="108" t="e">
        <f t="shared" si="17"/>
        <v>#DIV/0!</v>
      </c>
      <c r="CK28" s="108" t="e">
        <f t="shared" si="17"/>
        <v>#DIV/0!</v>
      </c>
    </row>
    <row r="29" spans="1:90" s="107" customFormat="1" x14ac:dyDescent="0.25">
      <c r="A29" s="141" t="s">
        <v>571</v>
      </c>
      <c r="E29" s="107">
        <f>(E4-I4)/I4</f>
        <v>0.10226949277914017</v>
      </c>
      <c r="F29" s="107">
        <f t="shared" ref="F29:BQ29" si="18">(F4-J4)/J4</f>
        <v>-6.8064392380893866</v>
      </c>
      <c r="G29" s="107">
        <f t="shared" si="18"/>
        <v>-4.4550117264700377</v>
      </c>
      <c r="H29" s="107">
        <f t="shared" si="18"/>
        <v>-1.7120201002125601</v>
      </c>
      <c r="I29" s="107">
        <f t="shared" si="18"/>
        <v>-5.2905683483427488</v>
      </c>
      <c r="J29" s="107">
        <f t="shared" si="18"/>
        <v>1.2502242408395607</v>
      </c>
      <c r="K29" s="107">
        <f t="shared" si="18"/>
        <v>-4.012829026193458</v>
      </c>
      <c r="L29" s="107">
        <f t="shared" si="18"/>
        <v>166.55916449506071</v>
      </c>
      <c r="M29" s="107" t="e">
        <f t="shared" si="18"/>
        <v>#DIV/0!</v>
      </c>
      <c r="N29" s="107" t="e">
        <f t="shared" si="18"/>
        <v>#DIV/0!</v>
      </c>
      <c r="O29" s="107" t="e">
        <f t="shared" si="18"/>
        <v>#DIV/0!</v>
      </c>
      <c r="P29" s="107" t="e">
        <f t="shared" si="18"/>
        <v>#DIV/0!</v>
      </c>
      <c r="Q29" s="107" t="e">
        <f t="shared" si="18"/>
        <v>#DIV/0!</v>
      </c>
      <c r="R29" s="107" t="e">
        <f t="shared" si="18"/>
        <v>#DIV/0!</v>
      </c>
      <c r="S29" s="107" t="e">
        <f t="shared" si="18"/>
        <v>#DIV/0!</v>
      </c>
      <c r="T29" s="107" t="e">
        <f t="shared" si="18"/>
        <v>#DIV/0!</v>
      </c>
      <c r="U29" s="107" t="e">
        <f t="shared" si="18"/>
        <v>#DIV/0!</v>
      </c>
      <c r="V29" s="107" t="e">
        <f t="shared" si="18"/>
        <v>#DIV/0!</v>
      </c>
      <c r="W29" s="107" t="e">
        <f t="shared" si="18"/>
        <v>#DIV/0!</v>
      </c>
      <c r="X29" s="107" t="e">
        <f t="shared" si="18"/>
        <v>#DIV/0!</v>
      </c>
      <c r="Y29" s="107" t="e">
        <f t="shared" si="18"/>
        <v>#DIV/0!</v>
      </c>
      <c r="Z29" s="107" t="e">
        <f t="shared" si="18"/>
        <v>#DIV/0!</v>
      </c>
      <c r="AA29" s="107" t="e">
        <f t="shared" si="18"/>
        <v>#DIV/0!</v>
      </c>
      <c r="AB29" s="107" t="e">
        <f t="shared" si="18"/>
        <v>#DIV/0!</v>
      </c>
      <c r="AC29" s="107" t="e">
        <f t="shared" si="18"/>
        <v>#DIV/0!</v>
      </c>
      <c r="AD29" s="107" t="e">
        <f t="shared" si="18"/>
        <v>#DIV/0!</v>
      </c>
      <c r="AE29" s="107" t="e">
        <f t="shared" si="18"/>
        <v>#DIV/0!</v>
      </c>
      <c r="AF29" s="107" t="e">
        <f t="shared" si="18"/>
        <v>#DIV/0!</v>
      </c>
      <c r="AG29" s="107" t="e">
        <f t="shared" si="18"/>
        <v>#DIV/0!</v>
      </c>
      <c r="AH29" s="107" t="e">
        <f t="shared" si="18"/>
        <v>#DIV/0!</v>
      </c>
      <c r="AI29" s="107" t="e">
        <f t="shared" si="18"/>
        <v>#DIV/0!</v>
      </c>
      <c r="AJ29" s="107" t="e">
        <f t="shared" si="18"/>
        <v>#DIV/0!</v>
      </c>
      <c r="AK29" s="107" t="e">
        <f t="shared" si="18"/>
        <v>#DIV/0!</v>
      </c>
      <c r="AL29" s="107" t="e">
        <f t="shared" si="18"/>
        <v>#DIV/0!</v>
      </c>
      <c r="AM29" s="107" t="e">
        <f t="shared" si="18"/>
        <v>#DIV/0!</v>
      </c>
      <c r="AN29" s="107" t="e">
        <f t="shared" si="18"/>
        <v>#DIV/0!</v>
      </c>
      <c r="AO29" s="107" t="e">
        <f t="shared" si="18"/>
        <v>#DIV/0!</v>
      </c>
      <c r="AP29" s="107" t="e">
        <f t="shared" si="18"/>
        <v>#DIV/0!</v>
      </c>
      <c r="AQ29" s="107" t="e">
        <f t="shared" si="18"/>
        <v>#DIV/0!</v>
      </c>
      <c r="AR29" s="107" t="e">
        <f t="shared" si="18"/>
        <v>#DIV/0!</v>
      </c>
      <c r="AS29" s="107" t="e">
        <f t="shared" si="18"/>
        <v>#DIV/0!</v>
      </c>
      <c r="AT29" s="107" t="e">
        <f t="shared" si="18"/>
        <v>#DIV/0!</v>
      </c>
      <c r="AU29" s="107" t="e">
        <f t="shared" si="18"/>
        <v>#DIV/0!</v>
      </c>
      <c r="AV29" s="107" t="e">
        <f t="shared" si="18"/>
        <v>#DIV/0!</v>
      </c>
      <c r="AW29" s="107" t="e">
        <f t="shared" si="18"/>
        <v>#DIV/0!</v>
      </c>
      <c r="AX29" s="107" t="e">
        <f t="shared" si="18"/>
        <v>#DIV/0!</v>
      </c>
      <c r="AY29" s="107" t="e">
        <f t="shared" si="18"/>
        <v>#DIV/0!</v>
      </c>
      <c r="AZ29" s="107" t="e">
        <f t="shared" si="18"/>
        <v>#DIV/0!</v>
      </c>
      <c r="BA29" s="107" t="e">
        <f t="shared" si="18"/>
        <v>#DIV/0!</v>
      </c>
      <c r="BB29" s="107" t="e">
        <f t="shared" si="18"/>
        <v>#DIV/0!</v>
      </c>
      <c r="BC29" s="107" t="e">
        <f t="shared" si="18"/>
        <v>#DIV/0!</v>
      </c>
      <c r="BD29" s="107" t="e">
        <f t="shared" si="18"/>
        <v>#DIV/0!</v>
      </c>
      <c r="BE29" s="107" t="e">
        <f t="shared" si="18"/>
        <v>#DIV/0!</v>
      </c>
      <c r="BF29" s="107" t="e">
        <f t="shared" si="18"/>
        <v>#DIV/0!</v>
      </c>
      <c r="BG29" s="107" t="e">
        <f t="shared" si="18"/>
        <v>#DIV/0!</v>
      </c>
      <c r="BH29" s="107" t="e">
        <f t="shared" si="18"/>
        <v>#DIV/0!</v>
      </c>
      <c r="BI29" s="107" t="e">
        <f t="shared" si="18"/>
        <v>#DIV/0!</v>
      </c>
      <c r="BJ29" s="107" t="e">
        <f t="shared" si="18"/>
        <v>#DIV/0!</v>
      </c>
      <c r="BK29" s="107" t="e">
        <f t="shared" si="18"/>
        <v>#DIV/0!</v>
      </c>
      <c r="BL29" s="107" t="e">
        <f t="shared" si="18"/>
        <v>#DIV/0!</v>
      </c>
      <c r="BM29" s="107" t="e">
        <f t="shared" si="18"/>
        <v>#DIV/0!</v>
      </c>
      <c r="BN29" s="107" t="e">
        <f t="shared" si="18"/>
        <v>#DIV/0!</v>
      </c>
      <c r="BO29" s="107" t="e">
        <f t="shared" si="18"/>
        <v>#DIV/0!</v>
      </c>
      <c r="BP29" s="107" t="e">
        <f t="shared" si="18"/>
        <v>#DIV/0!</v>
      </c>
      <c r="BQ29" s="107" t="e">
        <f t="shared" si="18"/>
        <v>#DIV/0!</v>
      </c>
      <c r="BR29" s="107" t="e">
        <f t="shared" ref="BR29:CK29" si="19">(BR4-BV4)/BV4</f>
        <v>#DIV/0!</v>
      </c>
      <c r="BS29" s="107" t="e">
        <f t="shared" si="19"/>
        <v>#DIV/0!</v>
      </c>
      <c r="BT29" s="107" t="e">
        <f t="shared" si="19"/>
        <v>#DIV/0!</v>
      </c>
      <c r="BU29" s="107" t="e">
        <f t="shared" si="19"/>
        <v>#DIV/0!</v>
      </c>
      <c r="BV29" s="107" t="e">
        <f t="shared" si="19"/>
        <v>#DIV/0!</v>
      </c>
      <c r="BW29" s="107" t="e">
        <f t="shared" si="19"/>
        <v>#DIV/0!</v>
      </c>
      <c r="BX29" s="107" t="e">
        <f t="shared" si="19"/>
        <v>#DIV/0!</v>
      </c>
      <c r="BY29" s="107" t="e">
        <f t="shared" si="19"/>
        <v>#DIV/0!</v>
      </c>
      <c r="BZ29" s="107" t="e">
        <f t="shared" si="19"/>
        <v>#DIV/0!</v>
      </c>
      <c r="CA29" s="107" t="e">
        <f t="shared" si="19"/>
        <v>#DIV/0!</v>
      </c>
      <c r="CB29" s="107" t="e">
        <f t="shared" si="19"/>
        <v>#DIV/0!</v>
      </c>
      <c r="CC29" s="107" t="e">
        <f t="shared" si="19"/>
        <v>#DIV/0!</v>
      </c>
      <c r="CD29" s="107" t="e">
        <f t="shared" si="19"/>
        <v>#DIV/0!</v>
      </c>
      <c r="CE29" s="107" t="e">
        <f t="shared" si="19"/>
        <v>#DIV/0!</v>
      </c>
      <c r="CF29" s="107" t="e">
        <f t="shared" si="19"/>
        <v>#DIV/0!</v>
      </c>
      <c r="CG29" s="107" t="e">
        <f t="shared" si="19"/>
        <v>#DIV/0!</v>
      </c>
      <c r="CH29" s="107" t="e">
        <f t="shared" si="19"/>
        <v>#DIV/0!</v>
      </c>
      <c r="CI29" s="107" t="e">
        <f t="shared" si="19"/>
        <v>#DIV/0!</v>
      </c>
      <c r="CJ29" s="107" t="e">
        <f t="shared" si="19"/>
        <v>#DIV/0!</v>
      </c>
      <c r="CK29" s="107" t="e">
        <f t="shared" si="19"/>
        <v>#DIV/0!</v>
      </c>
    </row>
    <row r="30" spans="1:90" s="107" customFormat="1" x14ac:dyDescent="0.25">
      <c r="A30" s="141" t="s">
        <v>555</v>
      </c>
      <c r="E30" s="107">
        <f>(E5-I5)/I5</f>
        <v>0.10398101915288804</v>
      </c>
      <c r="F30" s="107">
        <f t="shared" ref="F30:BQ30" si="20">(F5-J5)/J5</f>
        <v>2.7770328358330967</v>
      </c>
      <c r="G30" s="107">
        <f t="shared" si="20"/>
        <v>2.2400449709800325</v>
      </c>
      <c r="H30" s="107">
        <f t="shared" si="20"/>
        <v>1.9200058290160955</v>
      </c>
      <c r="I30" s="107">
        <f t="shared" si="20"/>
        <v>4.453888054654211</v>
      </c>
      <c r="J30" s="107">
        <f t="shared" si="20"/>
        <v>1.1931151835181566</v>
      </c>
      <c r="K30" s="107">
        <f t="shared" si="20"/>
        <v>3.5726450885807462E-2</v>
      </c>
      <c r="L30" s="107">
        <f t="shared" si="20"/>
        <v>0.83368510994203993</v>
      </c>
      <c r="M30" s="107" t="e">
        <f t="shared" si="20"/>
        <v>#DIV/0!</v>
      </c>
      <c r="N30" s="107" t="e">
        <f t="shared" si="20"/>
        <v>#DIV/0!</v>
      </c>
      <c r="O30" s="107" t="e">
        <f t="shared" si="20"/>
        <v>#DIV/0!</v>
      </c>
      <c r="P30" s="107" t="e">
        <f t="shared" si="20"/>
        <v>#DIV/0!</v>
      </c>
      <c r="Q30" s="107" t="e">
        <f t="shared" si="20"/>
        <v>#DIV/0!</v>
      </c>
      <c r="R30" s="107" t="e">
        <f t="shared" si="20"/>
        <v>#DIV/0!</v>
      </c>
      <c r="S30" s="107" t="e">
        <f t="shared" si="20"/>
        <v>#DIV/0!</v>
      </c>
      <c r="T30" s="107" t="e">
        <f t="shared" si="20"/>
        <v>#DIV/0!</v>
      </c>
      <c r="U30" s="107" t="e">
        <f t="shared" si="20"/>
        <v>#DIV/0!</v>
      </c>
      <c r="V30" s="107" t="e">
        <f t="shared" si="20"/>
        <v>#DIV/0!</v>
      </c>
      <c r="W30" s="107" t="e">
        <f t="shared" si="20"/>
        <v>#DIV/0!</v>
      </c>
      <c r="X30" s="107" t="e">
        <f t="shared" si="20"/>
        <v>#DIV/0!</v>
      </c>
      <c r="Y30" s="107" t="e">
        <f t="shared" si="20"/>
        <v>#DIV/0!</v>
      </c>
      <c r="Z30" s="107" t="e">
        <f t="shared" si="20"/>
        <v>#DIV/0!</v>
      </c>
      <c r="AA30" s="107" t="e">
        <f t="shared" si="20"/>
        <v>#DIV/0!</v>
      </c>
      <c r="AB30" s="107" t="e">
        <f t="shared" si="20"/>
        <v>#DIV/0!</v>
      </c>
      <c r="AC30" s="107" t="e">
        <f t="shared" si="20"/>
        <v>#DIV/0!</v>
      </c>
      <c r="AD30" s="107" t="e">
        <f t="shared" si="20"/>
        <v>#DIV/0!</v>
      </c>
      <c r="AE30" s="107" t="e">
        <f t="shared" si="20"/>
        <v>#DIV/0!</v>
      </c>
      <c r="AF30" s="107" t="e">
        <f t="shared" si="20"/>
        <v>#DIV/0!</v>
      </c>
      <c r="AG30" s="107" t="e">
        <f t="shared" si="20"/>
        <v>#DIV/0!</v>
      </c>
      <c r="AH30" s="107" t="e">
        <f t="shared" si="20"/>
        <v>#DIV/0!</v>
      </c>
      <c r="AI30" s="107" t="e">
        <f t="shared" si="20"/>
        <v>#DIV/0!</v>
      </c>
      <c r="AJ30" s="107" t="e">
        <f t="shared" si="20"/>
        <v>#DIV/0!</v>
      </c>
      <c r="AK30" s="107" t="e">
        <f t="shared" si="20"/>
        <v>#DIV/0!</v>
      </c>
      <c r="AL30" s="107" t="e">
        <f t="shared" si="20"/>
        <v>#DIV/0!</v>
      </c>
      <c r="AM30" s="107" t="e">
        <f t="shared" si="20"/>
        <v>#DIV/0!</v>
      </c>
      <c r="AN30" s="107" t="e">
        <f t="shared" si="20"/>
        <v>#DIV/0!</v>
      </c>
      <c r="AO30" s="107" t="e">
        <f t="shared" si="20"/>
        <v>#DIV/0!</v>
      </c>
      <c r="AP30" s="107" t="e">
        <f t="shared" si="20"/>
        <v>#DIV/0!</v>
      </c>
      <c r="AQ30" s="107" t="e">
        <f t="shared" si="20"/>
        <v>#DIV/0!</v>
      </c>
      <c r="AR30" s="107" t="e">
        <f t="shared" si="20"/>
        <v>#DIV/0!</v>
      </c>
      <c r="AS30" s="107" t="e">
        <f t="shared" si="20"/>
        <v>#DIV/0!</v>
      </c>
      <c r="AT30" s="107" t="e">
        <f t="shared" si="20"/>
        <v>#DIV/0!</v>
      </c>
      <c r="AU30" s="107" t="e">
        <f t="shared" si="20"/>
        <v>#DIV/0!</v>
      </c>
      <c r="AV30" s="107" t="e">
        <f t="shared" si="20"/>
        <v>#DIV/0!</v>
      </c>
      <c r="AW30" s="107" t="e">
        <f t="shared" si="20"/>
        <v>#DIV/0!</v>
      </c>
      <c r="AX30" s="107" t="e">
        <f t="shared" si="20"/>
        <v>#DIV/0!</v>
      </c>
      <c r="AY30" s="107" t="e">
        <f t="shared" si="20"/>
        <v>#DIV/0!</v>
      </c>
      <c r="AZ30" s="107" t="e">
        <f t="shared" si="20"/>
        <v>#DIV/0!</v>
      </c>
      <c r="BA30" s="107" t="e">
        <f t="shared" si="20"/>
        <v>#DIV/0!</v>
      </c>
      <c r="BB30" s="107" t="e">
        <f t="shared" si="20"/>
        <v>#DIV/0!</v>
      </c>
      <c r="BC30" s="107" t="e">
        <f t="shared" si="20"/>
        <v>#DIV/0!</v>
      </c>
      <c r="BD30" s="107" t="e">
        <f t="shared" si="20"/>
        <v>#DIV/0!</v>
      </c>
      <c r="BE30" s="107" t="e">
        <f t="shared" si="20"/>
        <v>#DIV/0!</v>
      </c>
      <c r="BF30" s="107" t="e">
        <f t="shared" si="20"/>
        <v>#DIV/0!</v>
      </c>
      <c r="BG30" s="107" t="e">
        <f t="shared" si="20"/>
        <v>#DIV/0!</v>
      </c>
      <c r="BH30" s="107" t="e">
        <f t="shared" si="20"/>
        <v>#DIV/0!</v>
      </c>
      <c r="BI30" s="107" t="e">
        <f t="shared" si="20"/>
        <v>#DIV/0!</v>
      </c>
      <c r="BJ30" s="107" t="e">
        <f t="shared" si="20"/>
        <v>#DIV/0!</v>
      </c>
      <c r="BK30" s="107" t="e">
        <f t="shared" si="20"/>
        <v>#DIV/0!</v>
      </c>
      <c r="BL30" s="107" t="e">
        <f t="shared" si="20"/>
        <v>#DIV/0!</v>
      </c>
      <c r="BM30" s="107" t="e">
        <f t="shared" si="20"/>
        <v>#DIV/0!</v>
      </c>
      <c r="BN30" s="107" t="e">
        <f t="shared" si="20"/>
        <v>#DIV/0!</v>
      </c>
      <c r="BO30" s="107" t="e">
        <f t="shared" si="20"/>
        <v>#DIV/0!</v>
      </c>
      <c r="BP30" s="107" t="e">
        <f t="shared" si="20"/>
        <v>#DIV/0!</v>
      </c>
      <c r="BQ30" s="107" t="e">
        <f t="shared" si="20"/>
        <v>#DIV/0!</v>
      </c>
      <c r="BR30" s="107" t="e">
        <f t="shared" ref="BR30:CK30" si="21">(BR5-BV5)/BV5</f>
        <v>#DIV/0!</v>
      </c>
      <c r="BS30" s="107" t="e">
        <f t="shared" si="21"/>
        <v>#DIV/0!</v>
      </c>
      <c r="BT30" s="107" t="e">
        <f t="shared" si="21"/>
        <v>#DIV/0!</v>
      </c>
      <c r="BU30" s="107" t="e">
        <f t="shared" si="21"/>
        <v>#DIV/0!</v>
      </c>
      <c r="BV30" s="107" t="e">
        <f t="shared" si="21"/>
        <v>#DIV/0!</v>
      </c>
      <c r="BW30" s="107" t="e">
        <f t="shared" si="21"/>
        <v>#DIV/0!</v>
      </c>
      <c r="BX30" s="107" t="e">
        <f t="shared" si="21"/>
        <v>#DIV/0!</v>
      </c>
      <c r="BY30" s="107" t="e">
        <f t="shared" si="21"/>
        <v>#DIV/0!</v>
      </c>
      <c r="BZ30" s="107" t="e">
        <f t="shared" si="21"/>
        <v>#DIV/0!</v>
      </c>
      <c r="CA30" s="107" t="e">
        <f t="shared" si="21"/>
        <v>#DIV/0!</v>
      </c>
      <c r="CB30" s="107" t="e">
        <f t="shared" si="21"/>
        <v>#DIV/0!</v>
      </c>
      <c r="CC30" s="107" t="e">
        <f t="shared" si="21"/>
        <v>#DIV/0!</v>
      </c>
      <c r="CD30" s="107" t="e">
        <f t="shared" si="21"/>
        <v>#DIV/0!</v>
      </c>
      <c r="CE30" s="107" t="e">
        <f t="shared" si="21"/>
        <v>#DIV/0!</v>
      </c>
      <c r="CF30" s="107" t="e">
        <f t="shared" si="21"/>
        <v>#DIV/0!</v>
      </c>
      <c r="CG30" s="107" t="e">
        <f t="shared" si="21"/>
        <v>#DIV/0!</v>
      </c>
      <c r="CH30" s="107" t="e">
        <f t="shared" si="21"/>
        <v>#DIV/0!</v>
      </c>
      <c r="CI30" s="107" t="e">
        <f t="shared" si="21"/>
        <v>#DIV/0!</v>
      </c>
      <c r="CJ30" s="107" t="e">
        <f t="shared" si="21"/>
        <v>#DIV/0!</v>
      </c>
      <c r="CK30" s="107" t="e">
        <f t="shared" si="21"/>
        <v>#DIV/0!</v>
      </c>
    </row>
    <row r="31" spans="1:90" s="107" customFormat="1" x14ac:dyDescent="0.25">
      <c r="A31" s="141" t="s">
        <v>556</v>
      </c>
      <c r="E31" s="107">
        <f>(E6-I6)/I6</f>
        <v>0.10535118194975809</v>
      </c>
      <c r="F31" s="107">
        <f t="shared" ref="F31:BQ31" si="22">(F6-J6)/J6</f>
        <v>0.21421699601542415</v>
      </c>
      <c r="G31" s="107">
        <f t="shared" si="22"/>
        <v>0.33222377566959582</v>
      </c>
      <c r="H31" s="107">
        <f t="shared" si="22"/>
        <v>0.40117015383885546</v>
      </c>
      <c r="I31" s="107">
        <f t="shared" si="22"/>
        <v>0.93526768493559631</v>
      </c>
      <c r="J31" s="107">
        <f t="shared" si="22"/>
        <v>1.2081014250749176</v>
      </c>
      <c r="K31" s="107">
        <f t="shared" si="22"/>
        <v>0.6784337253841094</v>
      </c>
      <c r="L31" s="107">
        <f t="shared" si="22"/>
        <v>2.1270332666845766</v>
      </c>
      <c r="M31" s="107" t="e">
        <f t="shared" si="22"/>
        <v>#DIV/0!</v>
      </c>
      <c r="N31" s="107" t="e">
        <f t="shared" si="22"/>
        <v>#DIV/0!</v>
      </c>
      <c r="O31" s="107" t="e">
        <f t="shared" si="22"/>
        <v>#DIV/0!</v>
      </c>
      <c r="P31" s="107" t="e">
        <f t="shared" si="22"/>
        <v>#DIV/0!</v>
      </c>
      <c r="Q31" s="107" t="e">
        <f t="shared" si="22"/>
        <v>#DIV/0!</v>
      </c>
      <c r="R31" s="107" t="e">
        <f t="shared" si="22"/>
        <v>#DIV/0!</v>
      </c>
      <c r="S31" s="107" t="e">
        <f t="shared" si="22"/>
        <v>#DIV/0!</v>
      </c>
      <c r="T31" s="107" t="e">
        <f t="shared" si="22"/>
        <v>#DIV/0!</v>
      </c>
      <c r="U31" s="107" t="e">
        <f t="shared" si="22"/>
        <v>#DIV/0!</v>
      </c>
      <c r="V31" s="107" t="e">
        <f t="shared" si="22"/>
        <v>#DIV/0!</v>
      </c>
      <c r="W31" s="107" t="e">
        <f t="shared" si="22"/>
        <v>#DIV/0!</v>
      </c>
      <c r="X31" s="107" t="e">
        <f t="shared" si="22"/>
        <v>#DIV/0!</v>
      </c>
      <c r="Y31" s="107" t="e">
        <f t="shared" si="22"/>
        <v>#DIV/0!</v>
      </c>
      <c r="Z31" s="107" t="e">
        <f t="shared" si="22"/>
        <v>#DIV/0!</v>
      </c>
      <c r="AA31" s="107" t="e">
        <f t="shared" si="22"/>
        <v>#DIV/0!</v>
      </c>
      <c r="AB31" s="107" t="e">
        <f t="shared" si="22"/>
        <v>#DIV/0!</v>
      </c>
      <c r="AC31" s="107" t="e">
        <f t="shared" si="22"/>
        <v>#DIV/0!</v>
      </c>
      <c r="AD31" s="107" t="e">
        <f t="shared" si="22"/>
        <v>#DIV/0!</v>
      </c>
      <c r="AE31" s="107" t="e">
        <f t="shared" si="22"/>
        <v>#DIV/0!</v>
      </c>
      <c r="AF31" s="107" t="e">
        <f t="shared" si="22"/>
        <v>#DIV/0!</v>
      </c>
      <c r="AG31" s="107" t="e">
        <f t="shared" si="22"/>
        <v>#DIV/0!</v>
      </c>
      <c r="AH31" s="107" t="e">
        <f t="shared" si="22"/>
        <v>#DIV/0!</v>
      </c>
      <c r="AI31" s="107" t="e">
        <f t="shared" si="22"/>
        <v>#DIV/0!</v>
      </c>
      <c r="AJ31" s="107" t="e">
        <f t="shared" si="22"/>
        <v>#DIV/0!</v>
      </c>
      <c r="AK31" s="107" t="e">
        <f t="shared" si="22"/>
        <v>#DIV/0!</v>
      </c>
      <c r="AL31" s="107" t="e">
        <f t="shared" si="22"/>
        <v>#DIV/0!</v>
      </c>
      <c r="AM31" s="107" t="e">
        <f t="shared" si="22"/>
        <v>#DIV/0!</v>
      </c>
      <c r="AN31" s="107" t="e">
        <f t="shared" si="22"/>
        <v>#DIV/0!</v>
      </c>
      <c r="AO31" s="107" t="e">
        <f t="shared" si="22"/>
        <v>#DIV/0!</v>
      </c>
      <c r="AP31" s="107" t="e">
        <f t="shared" si="22"/>
        <v>#DIV/0!</v>
      </c>
      <c r="AQ31" s="107" t="e">
        <f t="shared" si="22"/>
        <v>#DIV/0!</v>
      </c>
      <c r="AR31" s="107" t="e">
        <f t="shared" si="22"/>
        <v>#DIV/0!</v>
      </c>
      <c r="AS31" s="107" t="e">
        <f t="shared" si="22"/>
        <v>#DIV/0!</v>
      </c>
      <c r="AT31" s="107" t="e">
        <f t="shared" si="22"/>
        <v>#DIV/0!</v>
      </c>
      <c r="AU31" s="107" t="e">
        <f t="shared" si="22"/>
        <v>#DIV/0!</v>
      </c>
      <c r="AV31" s="107" t="e">
        <f t="shared" si="22"/>
        <v>#DIV/0!</v>
      </c>
      <c r="AW31" s="107" t="e">
        <f t="shared" si="22"/>
        <v>#DIV/0!</v>
      </c>
      <c r="AX31" s="107" t="e">
        <f t="shared" si="22"/>
        <v>#DIV/0!</v>
      </c>
      <c r="AY31" s="107" t="e">
        <f t="shared" si="22"/>
        <v>#DIV/0!</v>
      </c>
      <c r="AZ31" s="107" t="e">
        <f t="shared" si="22"/>
        <v>#DIV/0!</v>
      </c>
      <c r="BA31" s="107" t="e">
        <f t="shared" si="22"/>
        <v>#DIV/0!</v>
      </c>
      <c r="BB31" s="107" t="e">
        <f t="shared" si="22"/>
        <v>#DIV/0!</v>
      </c>
      <c r="BC31" s="107" t="e">
        <f t="shared" si="22"/>
        <v>#DIV/0!</v>
      </c>
      <c r="BD31" s="107" t="e">
        <f t="shared" si="22"/>
        <v>#DIV/0!</v>
      </c>
      <c r="BE31" s="107" t="e">
        <f t="shared" si="22"/>
        <v>#DIV/0!</v>
      </c>
      <c r="BF31" s="107" t="e">
        <f t="shared" si="22"/>
        <v>#DIV/0!</v>
      </c>
      <c r="BG31" s="107" t="e">
        <f t="shared" si="22"/>
        <v>#DIV/0!</v>
      </c>
      <c r="BH31" s="107" t="e">
        <f t="shared" si="22"/>
        <v>#DIV/0!</v>
      </c>
      <c r="BI31" s="107" t="e">
        <f t="shared" si="22"/>
        <v>#DIV/0!</v>
      </c>
      <c r="BJ31" s="107" t="e">
        <f t="shared" si="22"/>
        <v>#DIV/0!</v>
      </c>
      <c r="BK31" s="107" t="e">
        <f t="shared" si="22"/>
        <v>#DIV/0!</v>
      </c>
      <c r="BL31" s="107" t="e">
        <f t="shared" si="22"/>
        <v>#DIV/0!</v>
      </c>
      <c r="BM31" s="107" t="e">
        <f t="shared" si="22"/>
        <v>#DIV/0!</v>
      </c>
      <c r="BN31" s="107" t="e">
        <f t="shared" si="22"/>
        <v>#DIV/0!</v>
      </c>
      <c r="BO31" s="107" t="e">
        <f t="shared" si="22"/>
        <v>#DIV/0!</v>
      </c>
      <c r="BP31" s="107" t="e">
        <f t="shared" si="22"/>
        <v>#DIV/0!</v>
      </c>
      <c r="BQ31" s="107" t="e">
        <f t="shared" si="22"/>
        <v>#DIV/0!</v>
      </c>
      <c r="BR31" s="107" t="e">
        <f t="shared" ref="BR31:CK31" si="23">(BR6-BV6)/BV6</f>
        <v>#DIV/0!</v>
      </c>
      <c r="BS31" s="107" t="e">
        <f t="shared" si="23"/>
        <v>#DIV/0!</v>
      </c>
      <c r="BT31" s="107" t="e">
        <f t="shared" si="23"/>
        <v>#DIV/0!</v>
      </c>
      <c r="BU31" s="107" t="e">
        <f t="shared" si="23"/>
        <v>#DIV/0!</v>
      </c>
      <c r="BV31" s="107" t="e">
        <f t="shared" si="23"/>
        <v>#DIV/0!</v>
      </c>
      <c r="BW31" s="107" t="e">
        <f t="shared" si="23"/>
        <v>#DIV/0!</v>
      </c>
      <c r="BX31" s="107" t="e">
        <f t="shared" si="23"/>
        <v>#DIV/0!</v>
      </c>
      <c r="BY31" s="107" t="e">
        <f t="shared" si="23"/>
        <v>#DIV/0!</v>
      </c>
      <c r="BZ31" s="107" t="e">
        <f t="shared" si="23"/>
        <v>#DIV/0!</v>
      </c>
      <c r="CA31" s="107" t="e">
        <f t="shared" si="23"/>
        <v>#DIV/0!</v>
      </c>
      <c r="CB31" s="107" t="e">
        <f t="shared" si="23"/>
        <v>#DIV/0!</v>
      </c>
      <c r="CC31" s="107" t="e">
        <f t="shared" si="23"/>
        <v>#DIV/0!</v>
      </c>
      <c r="CD31" s="107" t="e">
        <f t="shared" si="23"/>
        <v>#DIV/0!</v>
      </c>
      <c r="CE31" s="107" t="e">
        <f t="shared" si="23"/>
        <v>#DIV/0!</v>
      </c>
      <c r="CF31" s="107" t="e">
        <f t="shared" si="23"/>
        <v>#DIV/0!</v>
      </c>
      <c r="CG31" s="107" t="e">
        <f t="shared" si="23"/>
        <v>#DIV/0!</v>
      </c>
      <c r="CH31" s="107" t="e">
        <f t="shared" si="23"/>
        <v>#DIV/0!</v>
      </c>
      <c r="CI31" s="107" t="e">
        <f t="shared" si="23"/>
        <v>#DIV/0!</v>
      </c>
      <c r="CJ31" s="107" t="e">
        <f t="shared" si="23"/>
        <v>#DIV/0!</v>
      </c>
      <c r="CK31" s="107" t="e">
        <f t="shared" si="23"/>
        <v>#DIV/0!</v>
      </c>
    </row>
    <row r="32" spans="1:90" s="108" customFormat="1" x14ac:dyDescent="0.25">
      <c r="A32" s="142" t="s">
        <v>558</v>
      </c>
      <c r="E32" s="108">
        <f>(E7-I7)/I7</f>
        <v>0.14435109917701514</v>
      </c>
      <c r="F32" s="108">
        <f t="shared" ref="F32:BQ32" si="24">(F7-J7)/J7</f>
        <v>6.4159179384726817E-2</v>
      </c>
      <c r="G32" s="108">
        <f t="shared" si="24"/>
        <v>5.0871462559204994E-2</v>
      </c>
      <c r="H32" s="108">
        <f t="shared" si="24"/>
        <v>5.8778564006519041E-2</v>
      </c>
      <c r="I32" s="108">
        <f t="shared" si="24"/>
        <v>8.8413565883275341E-2</v>
      </c>
      <c r="J32" s="108">
        <f t="shared" si="24"/>
        <v>9.8333843085172387E-2</v>
      </c>
      <c r="K32" s="108">
        <f t="shared" si="24"/>
        <v>1.4351928128998304</v>
      </c>
      <c r="L32" s="108">
        <f t="shared" si="24"/>
        <v>2.3059934037419318</v>
      </c>
      <c r="M32" s="108" t="e">
        <f t="shared" si="24"/>
        <v>#DIV/0!</v>
      </c>
      <c r="N32" s="108" t="e">
        <f t="shared" si="24"/>
        <v>#DIV/0!</v>
      </c>
      <c r="O32" s="108" t="e">
        <f t="shared" si="24"/>
        <v>#DIV/0!</v>
      </c>
      <c r="P32" s="108" t="e">
        <f t="shared" si="24"/>
        <v>#DIV/0!</v>
      </c>
      <c r="Q32" s="108" t="e">
        <f t="shared" si="24"/>
        <v>#DIV/0!</v>
      </c>
      <c r="R32" s="108" t="e">
        <f t="shared" si="24"/>
        <v>#DIV/0!</v>
      </c>
      <c r="S32" s="108" t="e">
        <f t="shared" si="24"/>
        <v>#DIV/0!</v>
      </c>
      <c r="T32" s="108" t="e">
        <f t="shared" si="24"/>
        <v>#DIV/0!</v>
      </c>
      <c r="U32" s="108" t="e">
        <f t="shared" si="24"/>
        <v>#DIV/0!</v>
      </c>
      <c r="V32" s="108" t="e">
        <f t="shared" si="24"/>
        <v>#DIV/0!</v>
      </c>
      <c r="W32" s="108" t="e">
        <f t="shared" si="24"/>
        <v>#DIV/0!</v>
      </c>
      <c r="X32" s="108" t="e">
        <f t="shared" si="24"/>
        <v>#DIV/0!</v>
      </c>
      <c r="Y32" s="108" t="e">
        <f t="shared" si="24"/>
        <v>#DIV/0!</v>
      </c>
      <c r="Z32" s="108" t="e">
        <f t="shared" si="24"/>
        <v>#DIV/0!</v>
      </c>
      <c r="AA32" s="108" t="e">
        <f t="shared" si="24"/>
        <v>#DIV/0!</v>
      </c>
      <c r="AB32" s="108" t="e">
        <f t="shared" si="24"/>
        <v>#DIV/0!</v>
      </c>
      <c r="AC32" s="108" t="e">
        <f t="shared" si="24"/>
        <v>#DIV/0!</v>
      </c>
      <c r="AD32" s="108" t="e">
        <f t="shared" si="24"/>
        <v>#DIV/0!</v>
      </c>
      <c r="AE32" s="108" t="e">
        <f t="shared" si="24"/>
        <v>#DIV/0!</v>
      </c>
      <c r="AF32" s="108" t="e">
        <f t="shared" si="24"/>
        <v>#DIV/0!</v>
      </c>
      <c r="AG32" s="108" t="e">
        <f t="shared" si="24"/>
        <v>#DIV/0!</v>
      </c>
      <c r="AH32" s="108" t="e">
        <f t="shared" si="24"/>
        <v>#DIV/0!</v>
      </c>
      <c r="AI32" s="108" t="e">
        <f t="shared" si="24"/>
        <v>#DIV/0!</v>
      </c>
      <c r="AJ32" s="108" t="e">
        <f t="shared" si="24"/>
        <v>#DIV/0!</v>
      </c>
      <c r="AK32" s="108" t="e">
        <f t="shared" si="24"/>
        <v>#DIV/0!</v>
      </c>
      <c r="AL32" s="108" t="e">
        <f t="shared" si="24"/>
        <v>#DIV/0!</v>
      </c>
      <c r="AM32" s="108" t="e">
        <f t="shared" si="24"/>
        <v>#DIV/0!</v>
      </c>
      <c r="AN32" s="108" t="e">
        <f t="shared" si="24"/>
        <v>#DIV/0!</v>
      </c>
      <c r="AO32" s="108" t="e">
        <f t="shared" si="24"/>
        <v>#DIV/0!</v>
      </c>
      <c r="AP32" s="108" t="e">
        <f t="shared" si="24"/>
        <v>#DIV/0!</v>
      </c>
      <c r="AQ32" s="108" t="e">
        <f t="shared" si="24"/>
        <v>#DIV/0!</v>
      </c>
      <c r="AR32" s="108" t="e">
        <f t="shared" si="24"/>
        <v>#DIV/0!</v>
      </c>
      <c r="AS32" s="108" t="e">
        <f t="shared" si="24"/>
        <v>#DIV/0!</v>
      </c>
      <c r="AT32" s="108" t="e">
        <f t="shared" si="24"/>
        <v>#DIV/0!</v>
      </c>
      <c r="AU32" s="108" t="e">
        <f t="shared" si="24"/>
        <v>#DIV/0!</v>
      </c>
      <c r="AV32" s="108" t="e">
        <f t="shared" si="24"/>
        <v>#DIV/0!</v>
      </c>
      <c r="AW32" s="108" t="e">
        <f t="shared" si="24"/>
        <v>#DIV/0!</v>
      </c>
      <c r="AX32" s="108" t="e">
        <f t="shared" si="24"/>
        <v>#DIV/0!</v>
      </c>
      <c r="AY32" s="108" t="e">
        <f t="shared" si="24"/>
        <v>#DIV/0!</v>
      </c>
      <c r="AZ32" s="108" t="e">
        <f t="shared" si="24"/>
        <v>#DIV/0!</v>
      </c>
      <c r="BA32" s="108" t="e">
        <f t="shared" si="24"/>
        <v>#DIV/0!</v>
      </c>
      <c r="BB32" s="108" t="e">
        <f t="shared" si="24"/>
        <v>#DIV/0!</v>
      </c>
      <c r="BC32" s="108" t="e">
        <f t="shared" si="24"/>
        <v>#DIV/0!</v>
      </c>
      <c r="BD32" s="108" t="e">
        <f t="shared" si="24"/>
        <v>#DIV/0!</v>
      </c>
      <c r="BE32" s="108" t="e">
        <f t="shared" si="24"/>
        <v>#DIV/0!</v>
      </c>
      <c r="BF32" s="108" t="e">
        <f t="shared" si="24"/>
        <v>#DIV/0!</v>
      </c>
      <c r="BG32" s="108" t="e">
        <f t="shared" si="24"/>
        <v>#DIV/0!</v>
      </c>
      <c r="BH32" s="108" t="e">
        <f t="shared" si="24"/>
        <v>#DIV/0!</v>
      </c>
      <c r="BI32" s="108" t="e">
        <f t="shared" si="24"/>
        <v>#DIV/0!</v>
      </c>
      <c r="BJ32" s="108" t="e">
        <f t="shared" si="24"/>
        <v>#DIV/0!</v>
      </c>
      <c r="BK32" s="108" t="e">
        <f t="shared" si="24"/>
        <v>#DIV/0!</v>
      </c>
      <c r="BL32" s="108" t="e">
        <f t="shared" si="24"/>
        <v>#DIV/0!</v>
      </c>
      <c r="BM32" s="108" t="e">
        <f t="shared" si="24"/>
        <v>#DIV/0!</v>
      </c>
      <c r="BN32" s="108" t="e">
        <f t="shared" si="24"/>
        <v>#DIV/0!</v>
      </c>
      <c r="BO32" s="108" t="e">
        <f t="shared" si="24"/>
        <v>#DIV/0!</v>
      </c>
      <c r="BP32" s="108" t="e">
        <f t="shared" si="24"/>
        <v>#DIV/0!</v>
      </c>
      <c r="BQ32" s="108" t="e">
        <f t="shared" si="24"/>
        <v>#DIV/0!</v>
      </c>
      <c r="BR32" s="108" t="e">
        <f t="shared" ref="BR32:CK32" si="25">(BR7-BV7)/BV7</f>
        <v>#DIV/0!</v>
      </c>
      <c r="BS32" s="108" t="e">
        <f t="shared" si="25"/>
        <v>#DIV/0!</v>
      </c>
      <c r="BT32" s="108" t="e">
        <f t="shared" si="25"/>
        <v>#DIV/0!</v>
      </c>
      <c r="BU32" s="108" t="e">
        <f t="shared" si="25"/>
        <v>#DIV/0!</v>
      </c>
      <c r="BV32" s="108" t="e">
        <f t="shared" si="25"/>
        <v>#DIV/0!</v>
      </c>
      <c r="BW32" s="108" t="e">
        <f t="shared" si="25"/>
        <v>#DIV/0!</v>
      </c>
      <c r="BX32" s="108" t="e">
        <f t="shared" si="25"/>
        <v>#DIV/0!</v>
      </c>
      <c r="BY32" s="108" t="e">
        <f t="shared" si="25"/>
        <v>#DIV/0!</v>
      </c>
      <c r="BZ32" s="108" t="e">
        <f t="shared" si="25"/>
        <v>#DIV/0!</v>
      </c>
      <c r="CA32" s="108" t="e">
        <f t="shared" si="25"/>
        <v>#DIV/0!</v>
      </c>
      <c r="CB32" s="108" t="e">
        <f t="shared" si="25"/>
        <v>#DIV/0!</v>
      </c>
      <c r="CC32" s="108" t="e">
        <f t="shared" si="25"/>
        <v>#DIV/0!</v>
      </c>
      <c r="CD32" s="108" t="e">
        <f t="shared" si="25"/>
        <v>#DIV/0!</v>
      </c>
      <c r="CE32" s="108" t="e">
        <f t="shared" si="25"/>
        <v>#DIV/0!</v>
      </c>
      <c r="CF32" s="108" t="e">
        <f t="shared" si="25"/>
        <v>#DIV/0!</v>
      </c>
      <c r="CG32" s="108" t="e">
        <f t="shared" si="25"/>
        <v>#DIV/0!</v>
      </c>
      <c r="CH32" s="108" t="e">
        <f t="shared" si="25"/>
        <v>#DIV/0!</v>
      </c>
      <c r="CI32" s="108" t="e">
        <f t="shared" si="25"/>
        <v>#DIV/0!</v>
      </c>
      <c r="CJ32" s="108" t="e">
        <f t="shared" si="25"/>
        <v>#DIV/0!</v>
      </c>
      <c r="CK32" s="108" t="e">
        <f t="shared" si="25"/>
        <v>#DIV/0!</v>
      </c>
    </row>
    <row r="33" spans="1:89" s="108" customFormat="1" x14ac:dyDescent="0.25">
      <c r="A33" s="142" t="s">
        <v>565</v>
      </c>
      <c r="E33" s="108">
        <f>E7/E9</f>
        <v>0.46597690823635923</v>
      </c>
      <c r="F33" s="108">
        <f t="shared" ref="F33:BQ33" si="26">F7/F9</f>
        <v>0.44258201202894271</v>
      </c>
      <c r="G33" s="108">
        <f t="shared" si="26"/>
        <v>0.45994341019653467</v>
      </c>
      <c r="H33" s="108">
        <f t="shared" si="26"/>
        <v>0.43597284073994086</v>
      </c>
      <c r="I33" s="108">
        <f t="shared" si="26"/>
        <v>0.41978031708165381</v>
      </c>
      <c r="J33" s="108">
        <f t="shared" si="26"/>
        <v>0.78626570010510366</v>
      </c>
      <c r="K33" s="108">
        <f t="shared" si="26"/>
        <v>0.85611015451494543</v>
      </c>
      <c r="L33" s="108">
        <f t="shared" si="26"/>
        <v>0.75771180013952333</v>
      </c>
      <c r="M33" s="108">
        <f t="shared" si="26"/>
        <v>0.83529639868839234</v>
      </c>
      <c r="N33" s="108">
        <f t="shared" si="26"/>
        <v>0.80462159246572784</v>
      </c>
      <c r="O33" s="108">
        <f t="shared" si="26"/>
        <v>0.54603872607915194</v>
      </c>
      <c r="P33" s="108">
        <f t="shared" si="26"/>
        <v>0.54850252739042038</v>
      </c>
      <c r="Q33" s="108" t="e">
        <f t="shared" si="26"/>
        <v>#DIV/0!</v>
      </c>
      <c r="R33" s="108" t="e">
        <f t="shared" si="26"/>
        <v>#DIV/0!</v>
      </c>
      <c r="S33" s="108" t="e">
        <f t="shared" si="26"/>
        <v>#DIV/0!</v>
      </c>
      <c r="T33" s="108" t="e">
        <f t="shared" si="26"/>
        <v>#DIV/0!</v>
      </c>
      <c r="U33" s="108" t="e">
        <f t="shared" si="26"/>
        <v>#DIV/0!</v>
      </c>
      <c r="V33" s="108" t="e">
        <f t="shared" si="26"/>
        <v>#DIV/0!</v>
      </c>
      <c r="W33" s="108" t="e">
        <f t="shared" si="26"/>
        <v>#DIV/0!</v>
      </c>
      <c r="X33" s="108" t="e">
        <f t="shared" si="26"/>
        <v>#DIV/0!</v>
      </c>
      <c r="Y33" s="108" t="e">
        <f t="shared" si="26"/>
        <v>#DIV/0!</v>
      </c>
      <c r="Z33" s="108" t="e">
        <f t="shared" si="26"/>
        <v>#DIV/0!</v>
      </c>
      <c r="AA33" s="108" t="e">
        <f t="shared" si="26"/>
        <v>#DIV/0!</v>
      </c>
      <c r="AB33" s="108" t="e">
        <f t="shared" si="26"/>
        <v>#DIV/0!</v>
      </c>
      <c r="AC33" s="108" t="e">
        <f t="shared" si="26"/>
        <v>#DIV/0!</v>
      </c>
      <c r="AD33" s="108" t="e">
        <f t="shared" si="26"/>
        <v>#DIV/0!</v>
      </c>
      <c r="AE33" s="108" t="e">
        <f t="shared" si="26"/>
        <v>#DIV/0!</v>
      </c>
      <c r="AF33" s="108" t="e">
        <f t="shared" si="26"/>
        <v>#DIV/0!</v>
      </c>
      <c r="AG33" s="108" t="e">
        <f t="shared" si="26"/>
        <v>#DIV/0!</v>
      </c>
      <c r="AH33" s="108" t="e">
        <f t="shared" si="26"/>
        <v>#DIV/0!</v>
      </c>
      <c r="AI33" s="108" t="e">
        <f t="shared" si="26"/>
        <v>#DIV/0!</v>
      </c>
      <c r="AJ33" s="108" t="e">
        <f t="shared" si="26"/>
        <v>#DIV/0!</v>
      </c>
      <c r="AK33" s="108" t="e">
        <f t="shared" si="26"/>
        <v>#DIV/0!</v>
      </c>
      <c r="AL33" s="108" t="e">
        <f t="shared" si="26"/>
        <v>#DIV/0!</v>
      </c>
      <c r="AM33" s="108" t="e">
        <f t="shared" si="26"/>
        <v>#DIV/0!</v>
      </c>
      <c r="AN33" s="108" t="e">
        <f t="shared" si="26"/>
        <v>#DIV/0!</v>
      </c>
      <c r="AO33" s="108" t="e">
        <f t="shared" si="26"/>
        <v>#DIV/0!</v>
      </c>
      <c r="AP33" s="108" t="e">
        <f t="shared" si="26"/>
        <v>#DIV/0!</v>
      </c>
      <c r="AQ33" s="108" t="e">
        <f t="shared" si="26"/>
        <v>#DIV/0!</v>
      </c>
      <c r="AR33" s="108" t="e">
        <f t="shared" si="26"/>
        <v>#DIV/0!</v>
      </c>
      <c r="AS33" s="108" t="e">
        <f t="shared" si="26"/>
        <v>#DIV/0!</v>
      </c>
      <c r="AT33" s="108" t="e">
        <f t="shared" si="26"/>
        <v>#DIV/0!</v>
      </c>
      <c r="AU33" s="108" t="e">
        <f t="shared" si="26"/>
        <v>#DIV/0!</v>
      </c>
      <c r="AV33" s="108" t="e">
        <f t="shared" si="26"/>
        <v>#DIV/0!</v>
      </c>
      <c r="AW33" s="108" t="e">
        <f t="shared" si="26"/>
        <v>#DIV/0!</v>
      </c>
      <c r="AX33" s="108" t="e">
        <f t="shared" si="26"/>
        <v>#DIV/0!</v>
      </c>
      <c r="AY33" s="108" t="e">
        <f t="shared" si="26"/>
        <v>#DIV/0!</v>
      </c>
      <c r="AZ33" s="108" t="e">
        <f t="shared" si="26"/>
        <v>#DIV/0!</v>
      </c>
      <c r="BA33" s="108" t="e">
        <f t="shared" si="26"/>
        <v>#DIV/0!</v>
      </c>
      <c r="BB33" s="108" t="e">
        <f t="shared" si="26"/>
        <v>#DIV/0!</v>
      </c>
      <c r="BC33" s="108" t="e">
        <f t="shared" si="26"/>
        <v>#DIV/0!</v>
      </c>
      <c r="BD33" s="108" t="e">
        <f t="shared" si="26"/>
        <v>#DIV/0!</v>
      </c>
      <c r="BE33" s="108" t="e">
        <f t="shared" si="26"/>
        <v>#DIV/0!</v>
      </c>
      <c r="BF33" s="108" t="e">
        <f t="shared" si="26"/>
        <v>#DIV/0!</v>
      </c>
      <c r="BG33" s="108" t="e">
        <f t="shared" si="26"/>
        <v>#DIV/0!</v>
      </c>
      <c r="BH33" s="108" t="e">
        <f t="shared" si="26"/>
        <v>#DIV/0!</v>
      </c>
      <c r="BI33" s="108" t="e">
        <f t="shared" si="26"/>
        <v>#DIV/0!</v>
      </c>
      <c r="BJ33" s="108" t="e">
        <f t="shared" si="26"/>
        <v>#DIV/0!</v>
      </c>
      <c r="BK33" s="108" t="e">
        <f t="shared" si="26"/>
        <v>#DIV/0!</v>
      </c>
      <c r="BL33" s="108" t="e">
        <f t="shared" si="26"/>
        <v>#DIV/0!</v>
      </c>
      <c r="BM33" s="108" t="e">
        <f t="shared" si="26"/>
        <v>#DIV/0!</v>
      </c>
      <c r="BN33" s="108" t="e">
        <f t="shared" si="26"/>
        <v>#DIV/0!</v>
      </c>
      <c r="BO33" s="108" t="e">
        <f t="shared" si="26"/>
        <v>#DIV/0!</v>
      </c>
      <c r="BP33" s="108" t="e">
        <f t="shared" si="26"/>
        <v>#DIV/0!</v>
      </c>
      <c r="BQ33" s="108" t="e">
        <f t="shared" si="26"/>
        <v>#DIV/0!</v>
      </c>
      <c r="BR33" s="108" t="e">
        <f t="shared" ref="BR33:CK33" si="27">BR7/BR9</f>
        <v>#DIV/0!</v>
      </c>
      <c r="BS33" s="108" t="e">
        <f t="shared" si="27"/>
        <v>#DIV/0!</v>
      </c>
      <c r="BT33" s="108" t="e">
        <f t="shared" si="27"/>
        <v>#DIV/0!</v>
      </c>
      <c r="BU33" s="108" t="e">
        <f t="shared" si="27"/>
        <v>#DIV/0!</v>
      </c>
      <c r="BV33" s="108" t="e">
        <f t="shared" si="27"/>
        <v>#DIV/0!</v>
      </c>
      <c r="BW33" s="108" t="e">
        <f t="shared" si="27"/>
        <v>#DIV/0!</v>
      </c>
      <c r="BX33" s="108" t="e">
        <f t="shared" si="27"/>
        <v>#DIV/0!</v>
      </c>
      <c r="BY33" s="108" t="e">
        <f t="shared" si="27"/>
        <v>#DIV/0!</v>
      </c>
      <c r="BZ33" s="108" t="e">
        <f t="shared" si="27"/>
        <v>#DIV/0!</v>
      </c>
      <c r="CA33" s="108" t="e">
        <f t="shared" si="27"/>
        <v>#DIV/0!</v>
      </c>
      <c r="CB33" s="108" t="e">
        <f t="shared" si="27"/>
        <v>#DIV/0!</v>
      </c>
      <c r="CC33" s="108" t="e">
        <f t="shared" si="27"/>
        <v>#DIV/0!</v>
      </c>
      <c r="CD33" s="108" t="e">
        <f t="shared" si="27"/>
        <v>#DIV/0!</v>
      </c>
      <c r="CE33" s="108" t="e">
        <f t="shared" si="27"/>
        <v>#DIV/0!</v>
      </c>
      <c r="CF33" s="108" t="e">
        <f t="shared" si="27"/>
        <v>#DIV/0!</v>
      </c>
      <c r="CG33" s="108" t="e">
        <f t="shared" si="27"/>
        <v>#DIV/0!</v>
      </c>
      <c r="CH33" s="108" t="e">
        <f t="shared" si="27"/>
        <v>#DIV/0!</v>
      </c>
      <c r="CI33" s="108" t="e">
        <f t="shared" si="27"/>
        <v>#DIV/0!</v>
      </c>
      <c r="CJ33" s="108" t="e">
        <f t="shared" si="27"/>
        <v>#DIV/0!</v>
      </c>
      <c r="CK33" s="108" t="e">
        <f t="shared" si="27"/>
        <v>#DIV/0!</v>
      </c>
    </row>
    <row r="34" spans="1:89" s="107" customFormat="1" x14ac:dyDescent="0.25">
      <c r="A34" s="141" t="s">
        <v>559</v>
      </c>
      <c r="E34" s="107">
        <f>(E10-I10)/I10</f>
        <v>-1</v>
      </c>
      <c r="F34" s="107">
        <f t="shared" ref="F34:BQ34" si="28">(F10-J10)/J10</f>
        <v>-1</v>
      </c>
      <c r="G34" s="107">
        <f t="shared" si="28"/>
        <v>-1</v>
      </c>
      <c r="H34" s="107">
        <f t="shared" si="28"/>
        <v>-0.34363317940207999</v>
      </c>
      <c r="I34" s="107">
        <f t="shared" si="28"/>
        <v>0.37051317647058823</v>
      </c>
      <c r="J34" s="107">
        <f t="shared" si="28"/>
        <v>-9.314938544958061E-2</v>
      </c>
      <c r="K34" s="107">
        <f t="shared" si="28"/>
        <v>0.27955967414678728</v>
      </c>
      <c r="L34" s="107">
        <f t="shared" si="28"/>
        <v>1.7071434384210524</v>
      </c>
      <c r="M34" s="107" t="e">
        <f t="shared" si="28"/>
        <v>#DIV/0!</v>
      </c>
      <c r="N34" s="107" t="e">
        <f t="shared" si="28"/>
        <v>#DIV/0!</v>
      </c>
      <c r="O34" s="107" t="e">
        <f t="shared" si="28"/>
        <v>#DIV/0!</v>
      </c>
      <c r="P34" s="107" t="e">
        <f t="shared" si="28"/>
        <v>#DIV/0!</v>
      </c>
      <c r="Q34" s="107" t="e">
        <f t="shared" si="28"/>
        <v>#DIV/0!</v>
      </c>
      <c r="R34" s="107" t="e">
        <f t="shared" si="28"/>
        <v>#DIV/0!</v>
      </c>
      <c r="S34" s="107" t="e">
        <f t="shared" si="28"/>
        <v>#DIV/0!</v>
      </c>
      <c r="T34" s="107" t="e">
        <f t="shared" si="28"/>
        <v>#DIV/0!</v>
      </c>
      <c r="U34" s="107" t="e">
        <f t="shared" si="28"/>
        <v>#DIV/0!</v>
      </c>
      <c r="V34" s="107" t="e">
        <f t="shared" si="28"/>
        <v>#DIV/0!</v>
      </c>
      <c r="W34" s="107" t="e">
        <f t="shared" si="28"/>
        <v>#DIV/0!</v>
      </c>
      <c r="X34" s="107" t="e">
        <f t="shared" si="28"/>
        <v>#DIV/0!</v>
      </c>
      <c r="Y34" s="107" t="e">
        <f t="shared" si="28"/>
        <v>#DIV/0!</v>
      </c>
      <c r="Z34" s="107" t="e">
        <f t="shared" si="28"/>
        <v>#DIV/0!</v>
      </c>
      <c r="AA34" s="107" t="e">
        <f t="shared" si="28"/>
        <v>#DIV/0!</v>
      </c>
      <c r="AB34" s="107" t="e">
        <f t="shared" si="28"/>
        <v>#DIV/0!</v>
      </c>
      <c r="AC34" s="107" t="e">
        <f t="shared" si="28"/>
        <v>#DIV/0!</v>
      </c>
      <c r="AD34" s="107" t="e">
        <f t="shared" si="28"/>
        <v>#DIV/0!</v>
      </c>
      <c r="AE34" s="107" t="e">
        <f t="shared" si="28"/>
        <v>#DIV/0!</v>
      </c>
      <c r="AF34" s="107" t="e">
        <f t="shared" si="28"/>
        <v>#DIV/0!</v>
      </c>
      <c r="AG34" s="107" t="e">
        <f t="shared" si="28"/>
        <v>#DIV/0!</v>
      </c>
      <c r="AH34" s="107" t="e">
        <f t="shared" si="28"/>
        <v>#DIV/0!</v>
      </c>
      <c r="AI34" s="107" t="e">
        <f t="shared" si="28"/>
        <v>#DIV/0!</v>
      </c>
      <c r="AJ34" s="107" t="e">
        <f t="shared" si="28"/>
        <v>#DIV/0!</v>
      </c>
      <c r="AK34" s="107" t="e">
        <f t="shared" si="28"/>
        <v>#DIV/0!</v>
      </c>
      <c r="AL34" s="107" t="e">
        <f t="shared" si="28"/>
        <v>#DIV/0!</v>
      </c>
      <c r="AM34" s="107" t="e">
        <f t="shared" si="28"/>
        <v>#DIV/0!</v>
      </c>
      <c r="AN34" s="107" t="e">
        <f t="shared" si="28"/>
        <v>#DIV/0!</v>
      </c>
      <c r="AO34" s="107" t="e">
        <f t="shared" si="28"/>
        <v>#DIV/0!</v>
      </c>
      <c r="AP34" s="107" t="e">
        <f t="shared" si="28"/>
        <v>#DIV/0!</v>
      </c>
      <c r="AQ34" s="107" t="e">
        <f t="shared" si="28"/>
        <v>#DIV/0!</v>
      </c>
      <c r="AR34" s="107" t="e">
        <f t="shared" si="28"/>
        <v>#DIV/0!</v>
      </c>
      <c r="AS34" s="107" t="e">
        <f t="shared" si="28"/>
        <v>#DIV/0!</v>
      </c>
      <c r="AT34" s="107" t="e">
        <f t="shared" si="28"/>
        <v>#DIV/0!</v>
      </c>
      <c r="AU34" s="107" t="e">
        <f t="shared" si="28"/>
        <v>#DIV/0!</v>
      </c>
      <c r="AV34" s="107" t="e">
        <f t="shared" si="28"/>
        <v>#DIV/0!</v>
      </c>
      <c r="AW34" s="107" t="e">
        <f t="shared" si="28"/>
        <v>#DIV/0!</v>
      </c>
      <c r="AX34" s="107" t="e">
        <f t="shared" si="28"/>
        <v>#DIV/0!</v>
      </c>
      <c r="AY34" s="107" t="e">
        <f t="shared" si="28"/>
        <v>#DIV/0!</v>
      </c>
      <c r="AZ34" s="107" t="e">
        <f t="shared" si="28"/>
        <v>#DIV/0!</v>
      </c>
      <c r="BA34" s="107" t="e">
        <f t="shared" si="28"/>
        <v>#DIV/0!</v>
      </c>
      <c r="BB34" s="107" t="e">
        <f t="shared" si="28"/>
        <v>#DIV/0!</v>
      </c>
      <c r="BC34" s="107" t="e">
        <f t="shared" si="28"/>
        <v>#DIV/0!</v>
      </c>
      <c r="BD34" s="107" t="e">
        <f t="shared" si="28"/>
        <v>#DIV/0!</v>
      </c>
      <c r="BE34" s="107" t="e">
        <f t="shared" si="28"/>
        <v>#DIV/0!</v>
      </c>
      <c r="BF34" s="107" t="e">
        <f t="shared" si="28"/>
        <v>#DIV/0!</v>
      </c>
      <c r="BG34" s="107" t="e">
        <f t="shared" si="28"/>
        <v>#DIV/0!</v>
      </c>
      <c r="BH34" s="107" t="e">
        <f t="shared" si="28"/>
        <v>#DIV/0!</v>
      </c>
      <c r="BI34" s="107" t="e">
        <f t="shared" si="28"/>
        <v>#DIV/0!</v>
      </c>
      <c r="BJ34" s="107" t="e">
        <f t="shared" si="28"/>
        <v>#DIV/0!</v>
      </c>
      <c r="BK34" s="107" t="e">
        <f t="shared" si="28"/>
        <v>#DIV/0!</v>
      </c>
      <c r="BL34" s="107" t="e">
        <f t="shared" si="28"/>
        <v>#DIV/0!</v>
      </c>
      <c r="BM34" s="107" t="e">
        <f t="shared" si="28"/>
        <v>#DIV/0!</v>
      </c>
      <c r="BN34" s="107" t="e">
        <f t="shared" si="28"/>
        <v>#DIV/0!</v>
      </c>
      <c r="BO34" s="107" t="e">
        <f t="shared" si="28"/>
        <v>#DIV/0!</v>
      </c>
      <c r="BP34" s="107" t="e">
        <f t="shared" si="28"/>
        <v>#DIV/0!</v>
      </c>
      <c r="BQ34" s="107" t="e">
        <f t="shared" si="28"/>
        <v>#DIV/0!</v>
      </c>
      <c r="BR34" s="107" t="e">
        <f t="shared" ref="BR34:CK34" si="29">(BR10-BV10)/BV10</f>
        <v>#DIV/0!</v>
      </c>
      <c r="BS34" s="107" t="e">
        <f t="shared" si="29"/>
        <v>#DIV/0!</v>
      </c>
      <c r="BT34" s="107" t="e">
        <f t="shared" si="29"/>
        <v>#DIV/0!</v>
      </c>
      <c r="BU34" s="107" t="e">
        <f t="shared" si="29"/>
        <v>#DIV/0!</v>
      </c>
      <c r="BV34" s="107" t="e">
        <f t="shared" si="29"/>
        <v>#DIV/0!</v>
      </c>
      <c r="BW34" s="107" t="e">
        <f t="shared" si="29"/>
        <v>#DIV/0!</v>
      </c>
      <c r="BX34" s="107" t="e">
        <f t="shared" si="29"/>
        <v>#DIV/0!</v>
      </c>
      <c r="BY34" s="107" t="e">
        <f t="shared" si="29"/>
        <v>#DIV/0!</v>
      </c>
      <c r="BZ34" s="107" t="e">
        <f t="shared" si="29"/>
        <v>#DIV/0!</v>
      </c>
      <c r="CA34" s="107" t="e">
        <f t="shared" si="29"/>
        <v>#DIV/0!</v>
      </c>
      <c r="CB34" s="107" t="e">
        <f t="shared" si="29"/>
        <v>#DIV/0!</v>
      </c>
      <c r="CC34" s="107" t="e">
        <f t="shared" si="29"/>
        <v>#DIV/0!</v>
      </c>
      <c r="CD34" s="107" t="e">
        <f t="shared" si="29"/>
        <v>#DIV/0!</v>
      </c>
      <c r="CE34" s="107" t="e">
        <f t="shared" si="29"/>
        <v>#DIV/0!</v>
      </c>
      <c r="CF34" s="107" t="e">
        <f t="shared" si="29"/>
        <v>#DIV/0!</v>
      </c>
      <c r="CG34" s="107" t="e">
        <f t="shared" si="29"/>
        <v>#DIV/0!</v>
      </c>
      <c r="CH34" s="107" t="e">
        <f t="shared" si="29"/>
        <v>#DIV/0!</v>
      </c>
      <c r="CI34" s="107" t="e">
        <f t="shared" si="29"/>
        <v>#DIV/0!</v>
      </c>
      <c r="CJ34" s="107" t="e">
        <f t="shared" si="29"/>
        <v>#DIV/0!</v>
      </c>
      <c r="CK34" s="107" t="e">
        <f t="shared" si="29"/>
        <v>#DIV/0!</v>
      </c>
    </row>
    <row r="35" spans="1:89" s="107" customFormat="1" x14ac:dyDescent="0.25">
      <c r="A35" s="141" t="s">
        <v>563</v>
      </c>
      <c r="E35" s="107" t="e">
        <f>E10/E12</f>
        <v>#DIV/0!</v>
      </c>
      <c r="F35" s="107" t="e">
        <f t="shared" ref="F35:BQ35" si="30">F10/F12</f>
        <v>#DIV/0!</v>
      </c>
      <c r="G35" s="107" t="e">
        <f t="shared" si="30"/>
        <v>#DIV/0!</v>
      </c>
      <c r="H35" s="107">
        <f t="shared" si="30"/>
        <v>0.77342011956843293</v>
      </c>
      <c r="I35" s="107">
        <f t="shared" si="30"/>
        <v>0.75985471305069985</v>
      </c>
      <c r="J35" s="107">
        <f t="shared" si="30"/>
        <v>0.74983485497837943</v>
      </c>
      <c r="K35" s="107">
        <f t="shared" si="30"/>
        <v>0.75288213805640347</v>
      </c>
      <c r="L35" s="107">
        <f t="shared" si="30"/>
        <v>0.56886772081772297</v>
      </c>
      <c r="M35" s="107">
        <f t="shared" si="30"/>
        <v>0.41245797781073129</v>
      </c>
      <c r="N35" s="107">
        <f t="shared" si="30"/>
        <v>0.52061166409769288</v>
      </c>
      <c r="O35" s="107">
        <f t="shared" si="30"/>
        <v>0.92450987013661379</v>
      </c>
      <c r="P35" s="107">
        <f t="shared" si="30"/>
        <v>0.79558918721904326</v>
      </c>
      <c r="Q35" s="107" t="e">
        <f t="shared" si="30"/>
        <v>#DIV/0!</v>
      </c>
      <c r="R35" s="107" t="e">
        <f t="shared" si="30"/>
        <v>#DIV/0!</v>
      </c>
      <c r="S35" s="107" t="e">
        <f t="shared" si="30"/>
        <v>#DIV/0!</v>
      </c>
      <c r="T35" s="107" t="e">
        <f t="shared" si="30"/>
        <v>#DIV/0!</v>
      </c>
      <c r="U35" s="107" t="e">
        <f t="shared" si="30"/>
        <v>#DIV/0!</v>
      </c>
      <c r="V35" s="107" t="e">
        <f t="shared" si="30"/>
        <v>#DIV/0!</v>
      </c>
      <c r="W35" s="107" t="e">
        <f t="shared" si="30"/>
        <v>#DIV/0!</v>
      </c>
      <c r="X35" s="107" t="e">
        <f t="shared" si="30"/>
        <v>#DIV/0!</v>
      </c>
      <c r="Y35" s="107" t="e">
        <f t="shared" si="30"/>
        <v>#DIV/0!</v>
      </c>
      <c r="Z35" s="107" t="e">
        <f t="shared" si="30"/>
        <v>#DIV/0!</v>
      </c>
      <c r="AA35" s="107" t="e">
        <f t="shared" si="30"/>
        <v>#DIV/0!</v>
      </c>
      <c r="AB35" s="107" t="e">
        <f t="shared" si="30"/>
        <v>#DIV/0!</v>
      </c>
      <c r="AC35" s="107" t="e">
        <f t="shared" si="30"/>
        <v>#DIV/0!</v>
      </c>
      <c r="AD35" s="107" t="e">
        <f t="shared" si="30"/>
        <v>#DIV/0!</v>
      </c>
      <c r="AE35" s="107" t="e">
        <f t="shared" si="30"/>
        <v>#DIV/0!</v>
      </c>
      <c r="AF35" s="107" t="e">
        <f t="shared" si="30"/>
        <v>#DIV/0!</v>
      </c>
      <c r="AG35" s="107" t="e">
        <f t="shared" si="30"/>
        <v>#DIV/0!</v>
      </c>
      <c r="AH35" s="107" t="e">
        <f t="shared" si="30"/>
        <v>#DIV/0!</v>
      </c>
      <c r="AI35" s="107" t="e">
        <f t="shared" si="30"/>
        <v>#DIV/0!</v>
      </c>
      <c r="AJ35" s="107" t="e">
        <f t="shared" si="30"/>
        <v>#DIV/0!</v>
      </c>
      <c r="AK35" s="107" t="e">
        <f t="shared" si="30"/>
        <v>#DIV/0!</v>
      </c>
      <c r="AL35" s="107" t="e">
        <f t="shared" si="30"/>
        <v>#DIV/0!</v>
      </c>
      <c r="AM35" s="107" t="e">
        <f t="shared" si="30"/>
        <v>#DIV/0!</v>
      </c>
      <c r="AN35" s="107" t="e">
        <f t="shared" si="30"/>
        <v>#DIV/0!</v>
      </c>
      <c r="AO35" s="107" t="e">
        <f t="shared" si="30"/>
        <v>#DIV/0!</v>
      </c>
      <c r="AP35" s="107" t="e">
        <f t="shared" si="30"/>
        <v>#DIV/0!</v>
      </c>
      <c r="AQ35" s="107" t="e">
        <f t="shared" si="30"/>
        <v>#DIV/0!</v>
      </c>
      <c r="AR35" s="107" t="e">
        <f t="shared" si="30"/>
        <v>#DIV/0!</v>
      </c>
      <c r="AS35" s="107" t="e">
        <f t="shared" si="30"/>
        <v>#DIV/0!</v>
      </c>
      <c r="AT35" s="107" t="e">
        <f t="shared" si="30"/>
        <v>#DIV/0!</v>
      </c>
      <c r="AU35" s="107" t="e">
        <f t="shared" si="30"/>
        <v>#DIV/0!</v>
      </c>
      <c r="AV35" s="107" t="e">
        <f t="shared" si="30"/>
        <v>#DIV/0!</v>
      </c>
      <c r="AW35" s="107" t="e">
        <f t="shared" si="30"/>
        <v>#DIV/0!</v>
      </c>
      <c r="AX35" s="107" t="e">
        <f t="shared" si="30"/>
        <v>#DIV/0!</v>
      </c>
      <c r="AY35" s="107" t="e">
        <f t="shared" si="30"/>
        <v>#DIV/0!</v>
      </c>
      <c r="AZ35" s="107" t="e">
        <f t="shared" si="30"/>
        <v>#DIV/0!</v>
      </c>
      <c r="BA35" s="107" t="e">
        <f t="shared" si="30"/>
        <v>#DIV/0!</v>
      </c>
      <c r="BB35" s="107" t="e">
        <f t="shared" si="30"/>
        <v>#DIV/0!</v>
      </c>
      <c r="BC35" s="107" t="e">
        <f t="shared" si="30"/>
        <v>#DIV/0!</v>
      </c>
      <c r="BD35" s="107" t="e">
        <f t="shared" si="30"/>
        <v>#DIV/0!</v>
      </c>
      <c r="BE35" s="107" t="e">
        <f t="shared" si="30"/>
        <v>#DIV/0!</v>
      </c>
      <c r="BF35" s="107" t="e">
        <f t="shared" si="30"/>
        <v>#DIV/0!</v>
      </c>
      <c r="BG35" s="107" t="e">
        <f t="shared" si="30"/>
        <v>#DIV/0!</v>
      </c>
      <c r="BH35" s="107" t="e">
        <f t="shared" si="30"/>
        <v>#DIV/0!</v>
      </c>
      <c r="BI35" s="107" t="e">
        <f t="shared" si="30"/>
        <v>#DIV/0!</v>
      </c>
      <c r="BJ35" s="107" t="e">
        <f t="shared" si="30"/>
        <v>#DIV/0!</v>
      </c>
      <c r="BK35" s="107" t="e">
        <f t="shared" si="30"/>
        <v>#DIV/0!</v>
      </c>
      <c r="BL35" s="107" t="e">
        <f t="shared" si="30"/>
        <v>#DIV/0!</v>
      </c>
      <c r="BM35" s="107" t="e">
        <f t="shared" si="30"/>
        <v>#DIV/0!</v>
      </c>
      <c r="BN35" s="107" t="e">
        <f t="shared" si="30"/>
        <v>#DIV/0!</v>
      </c>
      <c r="BO35" s="107" t="e">
        <f t="shared" si="30"/>
        <v>#DIV/0!</v>
      </c>
      <c r="BP35" s="107" t="e">
        <f t="shared" si="30"/>
        <v>#DIV/0!</v>
      </c>
      <c r="BQ35" s="107" t="e">
        <f t="shared" si="30"/>
        <v>#DIV/0!</v>
      </c>
      <c r="BR35" s="107" t="e">
        <f t="shared" ref="BR35:CK35" si="31">BR10/BR12</f>
        <v>#DIV/0!</v>
      </c>
      <c r="BS35" s="107" t="e">
        <f t="shared" si="31"/>
        <v>#DIV/0!</v>
      </c>
      <c r="BT35" s="107" t="e">
        <f t="shared" si="31"/>
        <v>#DIV/0!</v>
      </c>
      <c r="BU35" s="107" t="e">
        <f t="shared" si="31"/>
        <v>#DIV/0!</v>
      </c>
      <c r="BV35" s="107" t="e">
        <f t="shared" si="31"/>
        <v>#DIV/0!</v>
      </c>
      <c r="BW35" s="107" t="e">
        <f t="shared" si="31"/>
        <v>#DIV/0!</v>
      </c>
      <c r="BX35" s="107" t="e">
        <f t="shared" si="31"/>
        <v>#DIV/0!</v>
      </c>
      <c r="BY35" s="107" t="e">
        <f t="shared" si="31"/>
        <v>#DIV/0!</v>
      </c>
      <c r="BZ35" s="107" t="e">
        <f t="shared" si="31"/>
        <v>#DIV/0!</v>
      </c>
      <c r="CA35" s="107" t="e">
        <f t="shared" si="31"/>
        <v>#DIV/0!</v>
      </c>
      <c r="CB35" s="107" t="e">
        <f t="shared" si="31"/>
        <v>#DIV/0!</v>
      </c>
      <c r="CC35" s="107" t="e">
        <f t="shared" si="31"/>
        <v>#DIV/0!</v>
      </c>
      <c r="CD35" s="107" t="e">
        <f t="shared" si="31"/>
        <v>#DIV/0!</v>
      </c>
      <c r="CE35" s="107" t="e">
        <f t="shared" si="31"/>
        <v>#DIV/0!</v>
      </c>
      <c r="CF35" s="107" t="e">
        <f t="shared" si="31"/>
        <v>#DIV/0!</v>
      </c>
      <c r="CG35" s="107" t="e">
        <f t="shared" si="31"/>
        <v>#DIV/0!</v>
      </c>
      <c r="CH35" s="107" t="e">
        <f t="shared" si="31"/>
        <v>#DIV/0!</v>
      </c>
      <c r="CI35" s="107" t="e">
        <f t="shared" si="31"/>
        <v>#DIV/0!</v>
      </c>
      <c r="CJ35" s="107" t="e">
        <f t="shared" si="31"/>
        <v>#DIV/0!</v>
      </c>
      <c r="CK35" s="107" t="e">
        <f t="shared" si="31"/>
        <v>#DIV/0!</v>
      </c>
    </row>
    <row r="36" spans="1:89" s="107" customFormat="1" x14ac:dyDescent="0.25">
      <c r="A36" s="141" t="s">
        <v>560</v>
      </c>
      <c r="E36" s="107">
        <f>(E11-I11)/I11</f>
        <v>-1</v>
      </c>
      <c r="F36" s="107">
        <f t="shared" ref="F36:BQ36" si="32">(F11-J11)/J11</f>
        <v>-1</v>
      </c>
      <c r="G36" s="107">
        <f t="shared" si="32"/>
        <v>-1</v>
      </c>
      <c r="H36" s="107">
        <f t="shared" si="32"/>
        <v>-0.74628084962290286</v>
      </c>
      <c r="I36" s="107">
        <f t="shared" si="32"/>
        <v>-0.69593425557640465</v>
      </c>
      <c r="J36" s="107">
        <f t="shared" si="32"/>
        <v>-0.67143344143090955</v>
      </c>
      <c r="K36" s="107">
        <f t="shared" si="32"/>
        <v>4.1435038391971029</v>
      </c>
      <c r="L36" s="107">
        <f t="shared" si="32"/>
        <v>6.9853788127730763</v>
      </c>
      <c r="M36" s="107" t="e">
        <f t="shared" si="32"/>
        <v>#DIV/0!</v>
      </c>
      <c r="N36" s="107" t="e">
        <f t="shared" si="32"/>
        <v>#DIV/0!</v>
      </c>
      <c r="O36" s="107" t="e">
        <f t="shared" si="32"/>
        <v>#DIV/0!</v>
      </c>
      <c r="P36" s="107" t="e">
        <f t="shared" si="32"/>
        <v>#DIV/0!</v>
      </c>
      <c r="Q36" s="107" t="e">
        <f t="shared" si="32"/>
        <v>#DIV/0!</v>
      </c>
      <c r="R36" s="107" t="e">
        <f t="shared" si="32"/>
        <v>#DIV/0!</v>
      </c>
      <c r="S36" s="107" t="e">
        <f t="shared" si="32"/>
        <v>#DIV/0!</v>
      </c>
      <c r="T36" s="107" t="e">
        <f t="shared" si="32"/>
        <v>#DIV/0!</v>
      </c>
      <c r="U36" s="107" t="e">
        <f t="shared" si="32"/>
        <v>#DIV/0!</v>
      </c>
      <c r="V36" s="107" t="e">
        <f t="shared" si="32"/>
        <v>#DIV/0!</v>
      </c>
      <c r="W36" s="107" t="e">
        <f t="shared" si="32"/>
        <v>#DIV/0!</v>
      </c>
      <c r="X36" s="107" t="e">
        <f t="shared" si="32"/>
        <v>#DIV/0!</v>
      </c>
      <c r="Y36" s="107" t="e">
        <f t="shared" si="32"/>
        <v>#DIV/0!</v>
      </c>
      <c r="Z36" s="107" t="e">
        <f t="shared" si="32"/>
        <v>#DIV/0!</v>
      </c>
      <c r="AA36" s="107" t="e">
        <f t="shared" si="32"/>
        <v>#DIV/0!</v>
      </c>
      <c r="AB36" s="107" t="e">
        <f t="shared" si="32"/>
        <v>#DIV/0!</v>
      </c>
      <c r="AC36" s="107" t="e">
        <f t="shared" si="32"/>
        <v>#DIV/0!</v>
      </c>
      <c r="AD36" s="107" t="e">
        <f t="shared" si="32"/>
        <v>#DIV/0!</v>
      </c>
      <c r="AE36" s="107" t="e">
        <f t="shared" si="32"/>
        <v>#DIV/0!</v>
      </c>
      <c r="AF36" s="107" t="e">
        <f t="shared" si="32"/>
        <v>#DIV/0!</v>
      </c>
      <c r="AG36" s="107" t="e">
        <f t="shared" si="32"/>
        <v>#DIV/0!</v>
      </c>
      <c r="AH36" s="107" t="e">
        <f t="shared" si="32"/>
        <v>#DIV/0!</v>
      </c>
      <c r="AI36" s="107" t="e">
        <f t="shared" si="32"/>
        <v>#DIV/0!</v>
      </c>
      <c r="AJ36" s="107" t="e">
        <f t="shared" si="32"/>
        <v>#DIV/0!</v>
      </c>
      <c r="AK36" s="107" t="e">
        <f t="shared" si="32"/>
        <v>#DIV/0!</v>
      </c>
      <c r="AL36" s="107" t="e">
        <f t="shared" si="32"/>
        <v>#DIV/0!</v>
      </c>
      <c r="AM36" s="107" t="e">
        <f t="shared" si="32"/>
        <v>#DIV/0!</v>
      </c>
      <c r="AN36" s="107" t="e">
        <f t="shared" si="32"/>
        <v>#DIV/0!</v>
      </c>
      <c r="AO36" s="107" t="e">
        <f t="shared" si="32"/>
        <v>#DIV/0!</v>
      </c>
      <c r="AP36" s="107" t="e">
        <f t="shared" si="32"/>
        <v>#DIV/0!</v>
      </c>
      <c r="AQ36" s="107" t="e">
        <f t="shared" si="32"/>
        <v>#DIV/0!</v>
      </c>
      <c r="AR36" s="107" t="e">
        <f t="shared" si="32"/>
        <v>#DIV/0!</v>
      </c>
      <c r="AS36" s="107" t="e">
        <f t="shared" si="32"/>
        <v>#DIV/0!</v>
      </c>
      <c r="AT36" s="107" t="e">
        <f t="shared" si="32"/>
        <v>#DIV/0!</v>
      </c>
      <c r="AU36" s="107" t="e">
        <f t="shared" si="32"/>
        <v>#DIV/0!</v>
      </c>
      <c r="AV36" s="107" t="e">
        <f t="shared" si="32"/>
        <v>#DIV/0!</v>
      </c>
      <c r="AW36" s="107" t="e">
        <f t="shared" si="32"/>
        <v>#DIV/0!</v>
      </c>
      <c r="AX36" s="107" t="e">
        <f t="shared" si="32"/>
        <v>#DIV/0!</v>
      </c>
      <c r="AY36" s="107" t="e">
        <f t="shared" si="32"/>
        <v>#DIV/0!</v>
      </c>
      <c r="AZ36" s="107" t="e">
        <f t="shared" si="32"/>
        <v>#DIV/0!</v>
      </c>
      <c r="BA36" s="107" t="e">
        <f t="shared" si="32"/>
        <v>#DIV/0!</v>
      </c>
      <c r="BB36" s="107" t="e">
        <f t="shared" si="32"/>
        <v>#DIV/0!</v>
      </c>
      <c r="BC36" s="107" t="e">
        <f t="shared" si="32"/>
        <v>#DIV/0!</v>
      </c>
      <c r="BD36" s="107" t="e">
        <f t="shared" si="32"/>
        <v>#DIV/0!</v>
      </c>
      <c r="BE36" s="107" t="e">
        <f t="shared" si="32"/>
        <v>#DIV/0!</v>
      </c>
      <c r="BF36" s="107" t="e">
        <f t="shared" si="32"/>
        <v>#DIV/0!</v>
      </c>
      <c r="BG36" s="107" t="e">
        <f t="shared" si="32"/>
        <v>#DIV/0!</v>
      </c>
      <c r="BH36" s="107" t="e">
        <f t="shared" si="32"/>
        <v>#DIV/0!</v>
      </c>
      <c r="BI36" s="107" t="e">
        <f t="shared" si="32"/>
        <v>#DIV/0!</v>
      </c>
      <c r="BJ36" s="107" t="e">
        <f t="shared" si="32"/>
        <v>#DIV/0!</v>
      </c>
      <c r="BK36" s="107" t="e">
        <f t="shared" si="32"/>
        <v>#DIV/0!</v>
      </c>
      <c r="BL36" s="107" t="e">
        <f t="shared" si="32"/>
        <v>#DIV/0!</v>
      </c>
      <c r="BM36" s="107" t="e">
        <f t="shared" si="32"/>
        <v>#DIV/0!</v>
      </c>
      <c r="BN36" s="107" t="e">
        <f t="shared" si="32"/>
        <v>#DIV/0!</v>
      </c>
      <c r="BO36" s="107" t="e">
        <f t="shared" si="32"/>
        <v>#DIV/0!</v>
      </c>
      <c r="BP36" s="107" t="e">
        <f t="shared" si="32"/>
        <v>#DIV/0!</v>
      </c>
      <c r="BQ36" s="107" t="e">
        <f t="shared" si="32"/>
        <v>#DIV/0!</v>
      </c>
      <c r="BR36" s="107" t="e">
        <f t="shared" ref="BR36:CK36" si="33">(BR11-BV11)/BV11</f>
        <v>#DIV/0!</v>
      </c>
      <c r="BS36" s="107" t="e">
        <f t="shared" si="33"/>
        <v>#DIV/0!</v>
      </c>
      <c r="BT36" s="107" t="e">
        <f t="shared" si="33"/>
        <v>#DIV/0!</v>
      </c>
      <c r="BU36" s="107" t="e">
        <f t="shared" si="33"/>
        <v>#DIV/0!</v>
      </c>
      <c r="BV36" s="107" t="e">
        <f t="shared" si="33"/>
        <v>#DIV/0!</v>
      </c>
      <c r="BW36" s="107" t="e">
        <f t="shared" si="33"/>
        <v>#DIV/0!</v>
      </c>
      <c r="BX36" s="107" t="e">
        <f t="shared" si="33"/>
        <v>#DIV/0!</v>
      </c>
      <c r="BY36" s="107" t="e">
        <f t="shared" si="33"/>
        <v>#DIV/0!</v>
      </c>
      <c r="BZ36" s="107" t="e">
        <f t="shared" si="33"/>
        <v>#DIV/0!</v>
      </c>
      <c r="CA36" s="107" t="e">
        <f t="shared" si="33"/>
        <v>#DIV/0!</v>
      </c>
      <c r="CB36" s="107" t="e">
        <f t="shared" si="33"/>
        <v>#DIV/0!</v>
      </c>
      <c r="CC36" s="107" t="e">
        <f t="shared" si="33"/>
        <v>#DIV/0!</v>
      </c>
      <c r="CD36" s="107" t="e">
        <f t="shared" si="33"/>
        <v>#DIV/0!</v>
      </c>
      <c r="CE36" s="107" t="e">
        <f t="shared" si="33"/>
        <v>#DIV/0!</v>
      </c>
      <c r="CF36" s="107" t="e">
        <f t="shared" si="33"/>
        <v>#DIV/0!</v>
      </c>
      <c r="CG36" s="107" t="e">
        <f t="shared" si="33"/>
        <v>#DIV/0!</v>
      </c>
      <c r="CH36" s="107" t="e">
        <f t="shared" si="33"/>
        <v>#DIV/0!</v>
      </c>
      <c r="CI36" s="107" t="e">
        <f t="shared" si="33"/>
        <v>#DIV/0!</v>
      </c>
      <c r="CJ36" s="107" t="e">
        <f t="shared" si="33"/>
        <v>#DIV/0!</v>
      </c>
      <c r="CK36" s="107" t="e">
        <f t="shared" si="33"/>
        <v>#DIV/0!</v>
      </c>
    </row>
    <row r="37" spans="1:89" s="109" customFormat="1" x14ac:dyDescent="0.25">
      <c r="A37" s="141" t="s">
        <v>564</v>
      </c>
      <c r="B37" s="107"/>
      <c r="C37" s="107"/>
      <c r="D37" s="107"/>
      <c r="E37" s="107" t="e">
        <f>E11/E12</f>
        <v>#DIV/0!</v>
      </c>
      <c r="F37" s="107" t="e">
        <f t="shared" ref="F37:BQ37" si="34">F11/F12</f>
        <v>#DIV/0!</v>
      </c>
      <c r="G37" s="107" t="e">
        <f t="shared" si="34"/>
        <v>#DIV/0!</v>
      </c>
      <c r="H37" s="107">
        <f t="shared" si="34"/>
        <v>0.22657988043156699</v>
      </c>
      <c r="I37" s="107">
        <f t="shared" si="34"/>
        <v>0.2401452869493001</v>
      </c>
      <c r="J37" s="107">
        <f t="shared" si="34"/>
        <v>0.25016514502162057</v>
      </c>
      <c r="K37" s="107">
        <f t="shared" si="34"/>
        <v>0.24711786194359647</v>
      </c>
      <c r="L37" s="107">
        <f t="shared" si="34"/>
        <v>0.43113227918227703</v>
      </c>
      <c r="M37" s="107">
        <f t="shared" si="34"/>
        <v>0.58754202218926876</v>
      </c>
      <c r="N37" s="107">
        <f t="shared" si="34"/>
        <v>0.47938833590230712</v>
      </c>
      <c r="O37" s="109">
        <f t="shared" si="34"/>
        <v>7.5490129863386324E-2</v>
      </c>
      <c r="P37" s="109">
        <f t="shared" si="34"/>
        <v>0.20441081278095674</v>
      </c>
      <c r="Q37" s="109" t="e">
        <f t="shared" si="34"/>
        <v>#DIV/0!</v>
      </c>
      <c r="R37" s="109" t="e">
        <f t="shared" si="34"/>
        <v>#DIV/0!</v>
      </c>
      <c r="S37" s="109" t="e">
        <f t="shared" si="34"/>
        <v>#DIV/0!</v>
      </c>
      <c r="T37" s="109" t="e">
        <f t="shared" si="34"/>
        <v>#DIV/0!</v>
      </c>
      <c r="U37" s="109" t="e">
        <f t="shared" si="34"/>
        <v>#DIV/0!</v>
      </c>
      <c r="V37" s="109" t="e">
        <f t="shared" si="34"/>
        <v>#DIV/0!</v>
      </c>
      <c r="W37" s="109" t="e">
        <f t="shared" si="34"/>
        <v>#DIV/0!</v>
      </c>
      <c r="X37" s="109" t="e">
        <f t="shared" si="34"/>
        <v>#DIV/0!</v>
      </c>
      <c r="Y37" s="109" t="e">
        <f t="shared" si="34"/>
        <v>#DIV/0!</v>
      </c>
      <c r="Z37" s="109" t="e">
        <f t="shared" si="34"/>
        <v>#DIV/0!</v>
      </c>
      <c r="AA37" s="109" t="e">
        <f t="shared" si="34"/>
        <v>#DIV/0!</v>
      </c>
      <c r="AB37" s="109" t="e">
        <f t="shared" si="34"/>
        <v>#DIV/0!</v>
      </c>
      <c r="AC37" s="109" t="e">
        <f t="shared" si="34"/>
        <v>#DIV/0!</v>
      </c>
      <c r="AD37" s="109" t="e">
        <f t="shared" si="34"/>
        <v>#DIV/0!</v>
      </c>
      <c r="AE37" s="109" t="e">
        <f t="shared" si="34"/>
        <v>#DIV/0!</v>
      </c>
      <c r="AF37" s="109" t="e">
        <f t="shared" si="34"/>
        <v>#DIV/0!</v>
      </c>
      <c r="AG37" s="109" t="e">
        <f t="shared" si="34"/>
        <v>#DIV/0!</v>
      </c>
      <c r="AH37" s="109" t="e">
        <f t="shared" si="34"/>
        <v>#DIV/0!</v>
      </c>
      <c r="AI37" s="109" t="e">
        <f t="shared" si="34"/>
        <v>#DIV/0!</v>
      </c>
      <c r="AJ37" s="109" t="e">
        <f t="shared" si="34"/>
        <v>#DIV/0!</v>
      </c>
      <c r="AK37" s="109" t="e">
        <f t="shared" si="34"/>
        <v>#DIV/0!</v>
      </c>
      <c r="AL37" s="109" t="e">
        <f t="shared" si="34"/>
        <v>#DIV/0!</v>
      </c>
      <c r="AM37" s="109" t="e">
        <f t="shared" si="34"/>
        <v>#DIV/0!</v>
      </c>
      <c r="AN37" s="109" t="e">
        <f t="shared" si="34"/>
        <v>#DIV/0!</v>
      </c>
      <c r="AO37" s="109" t="e">
        <f t="shared" si="34"/>
        <v>#DIV/0!</v>
      </c>
      <c r="AP37" s="109" t="e">
        <f t="shared" si="34"/>
        <v>#DIV/0!</v>
      </c>
      <c r="AQ37" s="109" t="e">
        <f t="shared" si="34"/>
        <v>#DIV/0!</v>
      </c>
      <c r="AR37" s="109" t="e">
        <f t="shared" si="34"/>
        <v>#DIV/0!</v>
      </c>
      <c r="AS37" s="109" t="e">
        <f t="shared" si="34"/>
        <v>#DIV/0!</v>
      </c>
      <c r="AT37" s="109" t="e">
        <f t="shared" si="34"/>
        <v>#DIV/0!</v>
      </c>
      <c r="AU37" s="109" t="e">
        <f t="shared" si="34"/>
        <v>#DIV/0!</v>
      </c>
      <c r="AV37" s="109" t="e">
        <f t="shared" si="34"/>
        <v>#DIV/0!</v>
      </c>
      <c r="AW37" s="109" t="e">
        <f t="shared" si="34"/>
        <v>#DIV/0!</v>
      </c>
      <c r="AX37" s="109" t="e">
        <f t="shared" si="34"/>
        <v>#DIV/0!</v>
      </c>
      <c r="AY37" s="109" t="e">
        <f t="shared" si="34"/>
        <v>#DIV/0!</v>
      </c>
      <c r="AZ37" s="109" t="e">
        <f t="shared" si="34"/>
        <v>#DIV/0!</v>
      </c>
      <c r="BA37" s="109" t="e">
        <f t="shared" si="34"/>
        <v>#DIV/0!</v>
      </c>
      <c r="BB37" s="109" t="e">
        <f t="shared" si="34"/>
        <v>#DIV/0!</v>
      </c>
      <c r="BC37" s="109" t="e">
        <f t="shared" si="34"/>
        <v>#DIV/0!</v>
      </c>
      <c r="BD37" s="109" t="e">
        <f t="shared" si="34"/>
        <v>#DIV/0!</v>
      </c>
      <c r="BE37" s="109" t="e">
        <f t="shared" si="34"/>
        <v>#DIV/0!</v>
      </c>
      <c r="BF37" s="109" t="e">
        <f t="shared" si="34"/>
        <v>#DIV/0!</v>
      </c>
      <c r="BG37" s="109" t="e">
        <f t="shared" si="34"/>
        <v>#DIV/0!</v>
      </c>
      <c r="BH37" s="109" t="e">
        <f t="shared" si="34"/>
        <v>#DIV/0!</v>
      </c>
      <c r="BI37" s="109" t="e">
        <f t="shared" si="34"/>
        <v>#DIV/0!</v>
      </c>
      <c r="BJ37" s="109" t="e">
        <f t="shared" si="34"/>
        <v>#DIV/0!</v>
      </c>
      <c r="BK37" s="109" t="e">
        <f t="shared" si="34"/>
        <v>#DIV/0!</v>
      </c>
      <c r="BL37" s="109" t="e">
        <f t="shared" si="34"/>
        <v>#DIV/0!</v>
      </c>
      <c r="BM37" s="109" t="e">
        <f t="shared" si="34"/>
        <v>#DIV/0!</v>
      </c>
      <c r="BN37" s="109" t="e">
        <f t="shared" si="34"/>
        <v>#DIV/0!</v>
      </c>
      <c r="BO37" s="109" t="e">
        <f t="shared" si="34"/>
        <v>#DIV/0!</v>
      </c>
      <c r="BP37" s="109" t="e">
        <f t="shared" si="34"/>
        <v>#DIV/0!</v>
      </c>
      <c r="BQ37" s="109" t="e">
        <f t="shared" si="34"/>
        <v>#DIV/0!</v>
      </c>
      <c r="BR37" s="109" t="e">
        <f t="shared" ref="BR37:CK37" si="35">BR11/BR12</f>
        <v>#DIV/0!</v>
      </c>
      <c r="BS37" s="109" t="e">
        <f t="shared" si="35"/>
        <v>#DIV/0!</v>
      </c>
      <c r="BT37" s="109" t="e">
        <f t="shared" si="35"/>
        <v>#DIV/0!</v>
      </c>
      <c r="BU37" s="109" t="e">
        <f t="shared" si="35"/>
        <v>#DIV/0!</v>
      </c>
      <c r="BV37" s="109" t="e">
        <f t="shared" si="35"/>
        <v>#DIV/0!</v>
      </c>
      <c r="BW37" s="109" t="e">
        <f t="shared" si="35"/>
        <v>#DIV/0!</v>
      </c>
      <c r="BX37" s="109" t="e">
        <f t="shared" si="35"/>
        <v>#DIV/0!</v>
      </c>
      <c r="BY37" s="109" t="e">
        <f t="shared" si="35"/>
        <v>#DIV/0!</v>
      </c>
      <c r="BZ37" s="109" t="e">
        <f t="shared" si="35"/>
        <v>#DIV/0!</v>
      </c>
      <c r="CA37" s="109" t="e">
        <f t="shared" si="35"/>
        <v>#DIV/0!</v>
      </c>
      <c r="CB37" s="109" t="e">
        <f t="shared" si="35"/>
        <v>#DIV/0!</v>
      </c>
      <c r="CC37" s="109" t="e">
        <f t="shared" si="35"/>
        <v>#DIV/0!</v>
      </c>
      <c r="CD37" s="109" t="e">
        <f t="shared" si="35"/>
        <v>#DIV/0!</v>
      </c>
      <c r="CE37" s="109" t="e">
        <f t="shared" si="35"/>
        <v>#DIV/0!</v>
      </c>
      <c r="CF37" s="109" t="e">
        <f t="shared" si="35"/>
        <v>#DIV/0!</v>
      </c>
      <c r="CG37" s="109" t="e">
        <f t="shared" si="35"/>
        <v>#DIV/0!</v>
      </c>
      <c r="CH37" s="109" t="e">
        <f t="shared" si="35"/>
        <v>#DIV/0!</v>
      </c>
      <c r="CI37" s="109" t="e">
        <f t="shared" si="35"/>
        <v>#DIV/0!</v>
      </c>
      <c r="CJ37" s="109" t="e">
        <f t="shared" si="35"/>
        <v>#DIV/0!</v>
      </c>
      <c r="CK37" s="109" t="e">
        <f t="shared" si="35"/>
        <v>#DIV/0!</v>
      </c>
    </row>
    <row r="38" spans="1:89" s="187" customFormat="1" x14ac:dyDescent="0.25">
      <c r="A38" s="184" t="s">
        <v>634</v>
      </c>
      <c r="B38" s="185"/>
      <c r="C38" s="185"/>
      <c r="D38" s="185"/>
      <c r="E38" s="186">
        <f>E1</f>
        <v>43100</v>
      </c>
      <c r="F38" s="186">
        <f t="shared" ref="F38:U38" si="36">F1</f>
        <v>43008</v>
      </c>
      <c r="G38" s="186">
        <f t="shared" si="36"/>
        <v>42916</v>
      </c>
      <c r="H38" s="186">
        <f t="shared" si="36"/>
        <v>42825</v>
      </c>
      <c r="I38" s="186">
        <f t="shared" si="36"/>
        <v>42735</v>
      </c>
      <c r="J38" s="186">
        <f t="shared" si="36"/>
        <v>42643</v>
      </c>
      <c r="K38" s="186">
        <f t="shared" si="36"/>
        <v>42551</v>
      </c>
      <c r="L38" s="186">
        <f t="shared" si="36"/>
        <v>42369</v>
      </c>
      <c r="M38" s="186">
        <f t="shared" si="36"/>
        <v>42004</v>
      </c>
      <c r="N38" s="186">
        <f t="shared" si="36"/>
        <v>41639</v>
      </c>
      <c r="O38" s="186">
        <f t="shared" si="36"/>
        <v>41274</v>
      </c>
      <c r="P38" s="186">
        <f t="shared" si="36"/>
        <v>40908</v>
      </c>
      <c r="Q38" s="186">
        <f t="shared" si="36"/>
        <v>25569</v>
      </c>
      <c r="R38" s="186">
        <f t="shared" si="36"/>
        <v>0</v>
      </c>
      <c r="S38" s="186">
        <f t="shared" si="36"/>
        <v>0</v>
      </c>
      <c r="T38" s="186">
        <f t="shared" si="36"/>
        <v>0</v>
      </c>
      <c r="U38" s="186">
        <f t="shared" si="36"/>
        <v>0</v>
      </c>
    </row>
    <row r="39" spans="1:89" s="223" customFormat="1" x14ac:dyDescent="0.25">
      <c r="A39" s="220" t="s">
        <v>551</v>
      </c>
      <c r="B39" s="221"/>
      <c r="C39" s="221"/>
      <c r="D39" s="221"/>
      <c r="E39" s="222">
        <f>E2/E9</f>
        <v>0.32854873917419702</v>
      </c>
      <c r="F39" s="222">
        <f t="shared" ref="F39:U39" si="37">F2/F9</f>
        <v>0.25868965347347045</v>
      </c>
      <c r="G39" s="222">
        <f t="shared" si="37"/>
        <v>0.36040540793175818</v>
      </c>
      <c r="H39" s="222">
        <f t="shared" si="37"/>
        <v>0.51913849111174948</v>
      </c>
      <c r="I39" s="222">
        <f t="shared" si="37"/>
        <v>0.4162377303961905</v>
      </c>
      <c r="J39" s="222">
        <f t="shared" si="37"/>
        <v>0.3109975324157303</v>
      </c>
      <c r="K39" s="222">
        <f t="shared" si="37"/>
        <v>0.24559791210781812</v>
      </c>
      <c r="L39" s="222">
        <f t="shared" si="37"/>
        <v>0.35829787789832579</v>
      </c>
      <c r="M39" s="222">
        <f t="shared" si="37"/>
        <v>0.24747755742914701</v>
      </c>
      <c r="N39" s="222">
        <f t="shared" si="37"/>
        <v>0.24396088058892268</v>
      </c>
      <c r="O39" s="222">
        <f t="shared" si="37"/>
        <v>0.39849469017989569</v>
      </c>
      <c r="P39" s="222">
        <f t="shared" si="37"/>
        <v>0.44894427174475343</v>
      </c>
      <c r="Q39" s="222" t="e">
        <f t="shared" si="37"/>
        <v>#DIV/0!</v>
      </c>
      <c r="R39" s="222" t="e">
        <f t="shared" si="37"/>
        <v>#DIV/0!</v>
      </c>
      <c r="S39" s="222" t="e">
        <f t="shared" si="37"/>
        <v>#DIV/0!</v>
      </c>
      <c r="T39" s="222" t="e">
        <f t="shared" si="37"/>
        <v>#DIV/0!</v>
      </c>
      <c r="U39" s="222" t="e">
        <f t="shared" si="37"/>
        <v>#DIV/0!</v>
      </c>
    </row>
    <row r="40" spans="1:89" s="223" customFormat="1" x14ac:dyDescent="0.25">
      <c r="A40" s="220" t="s">
        <v>552</v>
      </c>
      <c r="B40" s="221"/>
      <c r="C40" s="221"/>
      <c r="D40" s="221"/>
      <c r="E40" s="222">
        <f>E3/E9</f>
        <v>3.0140056519465851E-2</v>
      </c>
      <c r="F40" s="222">
        <f t="shared" ref="F40:U40" si="38">F3/F9</f>
        <v>0</v>
      </c>
      <c r="G40" s="222">
        <f t="shared" si="38"/>
        <v>0</v>
      </c>
      <c r="H40" s="222">
        <f t="shared" si="38"/>
        <v>0</v>
      </c>
      <c r="I40" s="222">
        <f t="shared" si="38"/>
        <v>0</v>
      </c>
      <c r="J40" s="222">
        <f t="shared" si="38"/>
        <v>0</v>
      </c>
      <c r="K40" s="222">
        <f t="shared" si="38"/>
        <v>0</v>
      </c>
      <c r="L40" s="222">
        <f t="shared" si="38"/>
        <v>0</v>
      </c>
      <c r="M40" s="222">
        <f t="shared" si="38"/>
        <v>0</v>
      </c>
      <c r="N40" s="222">
        <f t="shared" si="38"/>
        <v>0</v>
      </c>
      <c r="O40" s="222">
        <f t="shared" si="38"/>
        <v>3.0331787005374589E-3</v>
      </c>
      <c r="P40" s="222">
        <f t="shared" si="38"/>
        <v>4.2101249097172555E-3</v>
      </c>
      <c r="Q40" s="222" t="e">
        <f t="shared" si="38"/>
        <v>#DIV/0!</v>
      </c>
      <c r="R40" s="222" t="e">
        <f t="shared" si="38"/>
        <v>#DIV/0!</v>
      </c>
      <c r="S40" s="222" t="e">
        <f t="shared" si="38"/>
        <v>#DIV/0!</v>
      </c>
      <c r="T40" s="222" t="e">
        <f t="shared" si="38"/>
        <v>#DIV/0!</v>
      </c>
      <c r="U40" s="222" t="e">
        <f t="shared" si="38"/>
        <v>#DIV/0!</v>
      </c>
    </row>
    <row r="41" spans="1:89" x14ac:dyDescent="0.25">
      <c r="A41" s="182" t="s">
        <v>557</v>
      </c>
      <c r="B41" s="64"/>
      <c r="C41" s="64"/>
      <c r="D41" s="64"/>
      <c r="E41" s="89">
        <f>E4/E9</f>
        <v>0.17533429606997786</v>
      </c>
      <c r="F41" s="89">
        <f t="shared" ref="F41:U41" si="39">F4/F9</f>
        <v>0.2987283344975869</v>
      </c>
      <c r="G41" s="89">
        <f t="shared" si="39"/>
        <v>0.17965118187170706</v>
      </c>
      <c r="H41" s="89">
        <f t="shared" si="39"/>
        <v>4.4888668148309746E-2</v>
      </c>
      <c r="I41" s="89">
        <f t="shared" si="39"/>
        <v>0.16398195252215572</v>
      </c>
      <c r="J41" s="89">
        <f t="shared" si="39"/>
        <v>-9.7263232520833909E-2</v>
      </c>
      <c r="K41" s="89">
        <f t="shared" si="39"/>
        <v>-0.10170806662276352</v>
      </c>
      <c r="L41" s="89">
        <f t="shared" si="39"/>
        <v>-0.11600967803784913</v>
      </c>
      <c r="M41" s="89">
        <f t="shared" si="39"/>
        <v>-8.2773956117539377E-2</v>
      </c>
      <c r="N41" s="212">
        <f t="shared" si="39"/>
        <v>-4.8582473054650473E-2</v>
      </c>
      <c r="O41" s="212">
        <f t="shared" si="39"/>
        <v>5.2433405040414771E-2</v>
      </c>
      <c r="P41" s="212">
        <f t="shared" si="39"/>
        <v>-1.6569240448911131E-3</v>
      </c>
      <c r="Q41" s="212" t="e">
        <f t="shared" si="39"/>
        <v>#DIV/0!</v>
      </c>
      <c r="R41" s="212" t="e">
        <f t="shared" si="39"/>
        <v>#DIV/0!</v>
      </c>
      <c r="S41" s="212" t="e">
        <f t="shared" si="39"/>
        <v>#DIV/0!</v>
      </c>
      <c r="T41" s="212" t="e">
        <f t="shared" si="39"/>
        <v>#DIV/0!</v>
      </c>
      <c r="U41" s="212" t="e">
        <f t="shared" si="39"/>
        <v>#DIV/0!</v>
      </c>
    </row>
    <row r="42" spans="1:89" x14ac:dyDescent="0.25">
      <c r="A42" s="182" t="s">
        <v>334</v>
      </c>
      <c r="B42" s="64"/>
      <c r="C42" s="64"/>
      <c r="D42" s="64"/>
      <c r="E42" s="89">
        <f>E5/E9</f>
        <v>0.39496385574912329</v>
      </c>
      <c r="F42" s="89">
        <f t="shared" ref="F42:U42" si="40">F5/F9</f>
        <v>0.53232590497836807</v>
      </c>
      <c r="G42" s="89">
        <f t="shared" si="40"/>
        <v>0.4227452283521424</v>
      </c>
      <c r="H42" s="89">
        <f t="shared" si="40"/>
        <v>0.25612737239929739</v>
      </c>
      <c r="I42" s="89">
        <f t="shared" si="40"/>
        <v>0.36881851442667424</v>
      </c>
      <c r="J42" s="89">
        <f t="shared" si="40"/>
        <v>0.26644587923069757</v>
      </c>
      <c r="K42" s="89">
        <f t="shared" si="40"/>
        <v>0.25521284100801139</v>
      </c>
      <c r="L42" s="89">
        <f t="shared" si="40"/>
        <v>0.16140687568233314</v>
      </c>
      <c r="M42" s="89">
        <f t="shared" si="40"/>
        <v>0.14645998273885649</v>
      </c>
      <c r="N42" s="212">
        <f t="shared" si="40"/>
        <v>0.13655395544779084</v>
      </c>
      <c r="O42" s="212">
        <f t="shared" si="40"/>
        <v>0.38272303701010502</v>
      </c>
      <c r="P42" s="212">
        <f t="shared" si="40"/>
        <v>0.21065600207077384</v>
      </c>
      <c r="Q42" s="212" t="e">
        <f t="shared" si="40"/>
        <v>#DIV/0!</v>
      </c>
      <c r="R42" s="212" t="e">
        <f t="shared" si="40"/>
        <v>#DIV/0!</v>
      </c>
      <c r="S42" s="212" t="e">
        <f t="shared" si="40"/>
        <v>#DIV/0!</v>
      </c>
      <c r="T42" s="212" t="e">
        <f t="shared" si="40"/>
        <v>#DIV/0!</v>
      </c>
      <c r="U42" s="212" t="e">
        <f t="shared" si="40"/>
        <v>#DIV/0!</v>
      </c>
    </row>
    <row r="43" spans="1:89" x14ac:dyDescent="0.25">
      <c r="A43" s="182" t="s">
        <v>335</v>
      </c>
      <c r="B43" s="64"/>
      <c r="C43" s="64"/>
      <c r="D43" s="64"/>
      <c r="E43" s="89">
        <f>E6/E9</f>
        <v>0.21962955967914544</v>
      </c>
      <c r="F43" s="89">
        <f t="shared" ref="F43:U43" si="41">F6/F9</f>
        <v>0.23359757048078125</v>
      </c>
      <c r="G43" s="89">
        <f t="shared" si="41"/>
        <v>0.24309404648043531</v>
      </c>
      <c r="H43" s="89">
        <f t="shared" si="41"/>
        <v>0.21123870425098765</v>
      </c>
      <c r="I43" s="89">
        <f t="shared" si="41"/>
        <v>0.20483656190451852</v>
      </c>
      <c r="J43" s="89">
        <f t="shared" si="41"/>
        <v>0.36370911175153148</v>
      </c>
      <c r="K43" s="89">
        <f t="shared" si="41"/>
        <v>0.35692090763077489</v>
      </c>
      <c r="L43" s="89">
        <f t="shared" si="41"/>
        <v>0.27741655372018231</v>
      </c>
      <c r="M43" s="89">
        <f t="shared" si="41"/>
        <v>0.22923393885639587</v>
      </c>
      <c r="N43" s="212">
        <f t="shared" si="41"/>
        <v>0.1851364285024413</v>
      </c>
      <c r="O43" s="212">
        <f t="shared" si="41"/>
        <v>0.33028963196969024</v>
      </c>
      <c r="P43" s="212">
        <f t="shared" si="41"/>
        <v>0.21231292611566496</v>
      </c>
      <c r="Q43" s="212" t="e">
        <f t="shared" si="41"/>
        <v>#DIV/0!</v>
      </c>
      <c r="R43" s="212" t="e">
        <f t="shared" si="41"/>
        <v>#DIV/0!</v>
      </c>
      <c r="S43" s="212" t="e">
        <f t="shared" si="41"/>
        <v>#DIV/0!</v>
      </c>
      <c r="T43" s="212" t="e">
        <f t="shared" si="41"/>
        <v>#DIV/0!</v>
      </c>
      <c r="U43" s="212" t="e">
        <f t="shared" si="41"/>
        <v>#DIV/0!</v>
      </c>
    </row>
    <row r="44" spans="1:89" x14ac:dyDescent="0.25">
      <c r="A44" s="182" t="s">
        <v>336</v>
      </c>
      <c r="B44" s="64"/>
      <c r="C44" s="64"/>
      <c r="D44" s="64"/>
      <c r="E44" s="89">
        <f>E7/E9</f>
        <v>0.46597690823635923</v>
      </c>
      <c r="F44" s="89">
        <f t="shared" ref="F44:U44" si="42">F7/F9</f>
        <v>0.44258201202894271</v>
      </c>
      <c r="G44" s="89">
        <f t="shared" si="42"/>
        <v>0.45994341019653467</v>
      </c>
      <c r="H44" s="89">
        <f t="shared" si="42"/>
        <v>0.43597284073994086</v>
      </c>
      <c r="I44" s="89">
        <f t="shared" si="42"/>
        <v>0.41978031708165381</v>
      </c>
      <c r="J44" s="89">
        <f t="shared" si="42"/>
        <v>0.78626570010510366</v>
      </c>
      <c r="K44" s="89">
        <f t="shared" si="42"/>
        <v>0.85611015451494543</v>
      </c>
      <c r="L44" s="89">
        <f t="shared" si="42"/>
        <v>0.75771180013952333</v>
      </c>
      <c r="M44" s="89">
        <f t="shared" si="42"/>
        <v>0.83529639868839234</v>
      </c>
      <c r="N44" s="212">
        <f t="shared" si="42"/>
        <v>0.80462159246572784</v>
      </c>
      <c r="O44" s="212">
        <f t="shared" si="42"/>
        <v>0.54603872607915194</v>
      </c>
      <c r="P44" s="212">
        <f t="shared" si="42"/>
        <v>0.54850252739042038</v>
      </c>
      <c r="Q44" s="212" t="e">
        <f t="shared" si="42"/>
        <v>#DIV/0!</v>
      </c>
      <c r="R44" s="212" t="e">
        <f t="shared" si="42"/>
        <v>#DIV/0!</v>
      </c>
      <c r="S44" s="212" t="e">
        <f t="shared" si="42"/>
        <v>#DIV/0!</v>
      </c>
      <c r="T44" s="212" t="e">
        <f t="shared" si="42"/>
        <v>#DIV/0!</v>
      </c>
      <c r="U44" s="212" t="e">
        <f t="shared" si="42"/>
        <v>#DIV/0!</v>
      </c>
    </row>
    <row r="45" spans="1:89" s="223" customFormat="1" x14ac:dyDescent="0.25">
      <c r="A45" s="220" t="s">
        <v>337</v>
      </c>
      <c r="B45" s="221"/>
      <c r="C45" s="221"/>
      <c r="D45" s="221"/>
      <c r="E45" s="222">
        <f>E8/E9</f>
        <v>0.64131120430633715</v>
      </c>
      <c r="F45" s="222">
        <f t="shared" ref="F45:U45" si="43">F8/F9</f>
        <v>0.74131034652652961</v>
      </c>
      <c r="G45" s="222">
        <f t="shared" si="43"/>
        <v>0.63959459206824176</v>
      </c>
      <c r="H45" s="222">
        <f t="shared" si="43"/>
        <v>0.48086150888825058</v>
      </c>
      <c r="I45" s="222">
        <f t="shared" si="43"/>
        <v>0.5837622696038095</v>
      </c>
      <c r="J45" s="222">
        <f t="shared" si="43"/>
        <v>0.68900246758426964</v>
      </c>
      <c r="K45" s="222">
        <f t="shared" si="43"/>
        <v>0.75440208789218188</v>
      </c>
      <c r="L45" s="222">
        <f t="shared" si="43"/>
        <v>0.64170212210167421</v>
      </c>
      <c r="M45" s="222">
        <f t="shared" si="43"/>
        <v>0.75252244257085299</v>
      </c>
      <c r="N45" s="222">
        <f t="shared" si="43"/>
        <v>0.75603911941107738</v>
      </c>
      <c r="O45" s="222">
        <f t="shared" si="43"/>
        <v>0.59847213111956676</v>
      </c>
      <c r="P45" s="222">
        <f t="shared" si="43"/>
        <v>0.54684560334552934</v>
      </c>
      <c r="Q45" s="222" t="e">
        <f t="shared" si="43"/>
        <v>#DIV/0!</v>
      </c>
      <c r="R45" s="222" t="e">
        <f t="shared" si="43"/>
        <v>#DIV/0!</v>
      </c>
      <c r="S45" s="222" t="e">
        <f t="shared" si="43"/>
        <v>#DIV/0!</v>
      </c>
      <c r="T45" s="222" t="e">
        <f t="shared" si="43"/>
        <v>#DIV/0!</v>
      </c>
      <c r="U45" s="222" t="e">
        <f t="shared" si="43"/>
        <v>#DIV/0!</v>
      </c>
    </row>
    <row r="46" spans="1:89" x14ac:dyDescent="0.25">
      <c r="A46" s="183" t="s">
        <v>338</v>
      </c>
      <c r="B46" s="64"/>
      <c r="C46" s="64"/>
      <c r="D46" s="64"/>
      <c r="E46" s="89">
        <f>E9/E9</f>
        <v>1</v>
      </c>
      <c r="F46" s="89">
        <f t="shared" ref="F46:U46" si="44">F9/F9</f>
        <v>1</v>
      </c>
      <c r="G46" s="89">
        <f t="shared" si="44"/>
        <v>1</v>
      </c>
      <c r="H46" s="89">
        <f t="shared" si="44"/>
        <v>1</v>
      </c>
      <c r="I46" s="89">
        <f t="shared" si="44"/>
        <v>1</v>
      </c>
      <c r="J46" s="89">
        <f t="shared" si="44"/>
        <v>1</v>
      </c>
      <c r="K46" s="89">
        <f t="shared" si="44"/>
        <v>1</v>
      </c>
      <c r="L46" s="89">
        <f t="shared" si="44"/>
        <v>1</v>
      </c>
      <c r="M46" s="89">
        <f t="shared" si="44"/>
        <v>1</v>
      </c>
      <c r="N46" s="212">
        <f t="shared" si="44"/>
        <v>1</v>
      </c>
      <c r="O46" s="212">
        <f t="shared" si="44"/>
        <v>1</v>
      </c>
      <c r="P46" s="212">
        <f t="shared" si="44"/>
        <v>1</v>
      </c>
      <c r="Q46" s="212" t="e">
        <f t="shared" si="44"/>
        <v>#DIV/0!</v>
      </c>
      <c r="R46" s="212" t="e">
        <f t="shared" si="44"/>
        <v>#DIV/0!</v>
      </c>
      <c r="S46" s="212" t="e">
        <f t="shared" si="44"/>
        <v>#DIV/0!</v>
      </c>
      <c r="T46" s="212" t="e">
        <f t="shared" si="44"/>
        <v>#DIV/0!</v>
      </c>
      <c r="U46" s="212" t="e">
        <f t="shared" si="44"/>
        <v>#DIV/0!</v>
      </c>
    </row>
    <row r="47" spans="1:89" x14ac:dyDescent="0.25">
      <c r="A47" s="182" t="s">
        <v>339</v>
      </c>
      <c r="B47" s="64"/>
      <c r="C47" s="64"/>
      <c r="D47" s="64"/>
      <c r="E47" s="89">
        <f>E10/E14</f>
        <v>0</v>
      </c>
      <c r="F47" s="89">
        <f t="shared" ref="F47:U47" si="45">F10/F14</f>
        <v>0</v>
      </c>
      <c r="G47" s="89">
        <f t="shared" si="45"/>
        <v>0</v>
      </c>
      <c r="H47" s="89">
        <f t="shared" si="45"/>
        <v>3.2276032826223953E-2</v>
      </c>
      <c r="I47" s="89">
        <f t="shared" si="45"/>
        <v>5.4842751398616031E-2</v>
      </c>
      <c r="J47" s="89">
        <f t="shared" si="45"/>
        <v>0.15105544402030952</v>
      </c>
      <c r="K47" s="89">
        <f t="shared" si="45"/>
        <v>0.16451377827032521</v>
      </c>
      <c r="L47" s="89">
        <f t="shared" si="45"/>
        <v>9.0486394658694666E-2</v>
      </c>
      <c r="M47" s="89">
        <f t="shared" si="45"/>
        <v>8.6665950265393851E-2</v>
      </c>
      <c r="N47" s="212">
        <f t="shared" si="45"/>
        <v>0.18722220178380725</v>
      </c>
      <c r="O47" s="212">
        <f t="shared" si="45"/>
        <v>0.19969577738733704</v>
      </c>
      <c r="P47" s="212">
        <f t="shared" si="45"/>
        <v>7.9992373284627855E-2</v>
      </c>
      <c r="Q47" s="212" t="e">
        <f t="shared" si="45"/>
        <v>#DIV/0!</v>
      </c>
      <c r="R47" s="212" t="e">
        <f t="shared" si="45"/>
        <v>#DIV/0!</v>
      </c>
      <c r="S47" s="212" t="e">
        <f t="shared" si="45"/>
        <v>#DIV/0!</v>
      </c>
      <c r="T47" s="212" t="e">
        <f t="shared" si="45"/>
        <v>#DIV/0!</v>
      </c>
      <c r="U47" s="212" t="e">
        <f t="shared" si="45"/>
        <v>#DIV/0!</v>
      </c>
    </row>
    <row r="48" spans="1:89" x14ac:dyDescent="0.25">
      <c r="A48" s="182" t="s">
        <v>340</v>
      </c>
      <c r="B48" s="64"/>
      <c r="C48" s="64"/>
      <c r="D48" s="64"/>
      <c r="E48" s="89">
        <f>E11/E14</f>
        <v>0</v>
      </c>
      <c r="F48" s="89">
        <f t="shared" ref="F48:U48" si="46">F11/F14</f>
        <v>0</v>
      </c>
      <c r="G48" s="89">
        <f t="shared" si="46"/>
        <v>0</v>
      </c>
      <c r="H48" s="89">
        <f t="shared" si="46"/>
        <v>9.4555332522922361E-3</v>
      </c>
      <c r="I48" s="89">
        <f t="shared" si="46"/>
        <v>1.7332561140317646E-2</v>
      </c>
      <c r="J48" s="89">
        <f t="shared" si="46"/>
        <v>5.0396172982297031E-2</v>
      </c>
      <c r="K48" s="89">
        <f t="shared" si="46"/>
        <v>5.3998217106566514E-2</v>
      </c>
      <c r="L48" s="89">
        <f t="shared" si="46"/>
        <v>6.8577639645491809E-2</v>
      </c>
      <c r="M48" s="89">
        <f t="shared" si="46"/>
        <v>0.12345472851358015</v>
      </c>
      <c r="N48" s="212">
        <f t="shared" si="46"/>
        <v>0.17239748155212922</v>
      </c>
      <c r="O48" s="212">
        <f t="shared" si="46"/>
        <v>1.6306002407429503E-2</v>
      </c>
      <c r="P48" s="212">
        <f t="shared" si="46"/>
        <v>2.0552448804066755E-2</v>
      </c>
      <c r="Q48" s="212" t="e">
        <f t="shared" si="46"/>
        <v>#DIV/0!</v>
      </c>
      <c r="R48" s="212" t="e">
        <f t="shared" si="46"/>
        <v>#DIV/0!</v>
      </c>
      <c r="S48" s="212" t="e">
        <f t="shared" si="46"/>
        <v>#DIV/0!</v>
      </c>
      <c r="T48" s="212" t="e">
        <f t="shared" si="46"/>
        <v>#DIV/0!</v>
      </c>
      <c r="U48" s="212" t="e">
        <f t="shared" si="46"/>
        <v>#DIV/0!</v>
      </c>
    </row>
    <row r="49" spans="1:21" x14ac:dyDescent="0.25">
      <c r="A49" s="182" t="s">
        <v>341</v>
      </c>
      <c r="B49" s="64"/>
      <c r="C49" s="64"/>
      <c r="D49" s="64"/>
      <c r="E49" s="89">
        <f>E12/E14</f>
        <v>0</v>
      </c>
      <c r="F49" s="89">
        <f t="shared" ref="F49:U49" si="47">F12/F14</f>
        <v>0</v>
      </c>
      <c r="G49" s="89">
        <f t="shared" si="47"/>
        <v>0</v>
      </c>
      <c r="H49" s="89">
        <f t="shared" si="47"/>
        <v>4.1731566078516191E-2</v>
      </c>
      <c r="I49" s="89">
        <f t="shared" si="47"/>
        <v>7.2175312538933681E-2</v>
      </c>
      <c r="J49" s="89">
        <f t="shared" si="47"/>
        <v>0.20145161700260653</v>
      </c>
      <c r="K49" s="89">
        <f t="shared" si="47"/>
        <v>0.21851199537689173</v>
      </c>
      <c r="L49" s="89">
        <f t="shared" si="47"/>
        <v>0.15906403430418647</v>
      </c>
      <c r="M49" s="89">
        <f t="shared" si="47"/>
        <v>0.210120678778974</v>
      </c>
      <c r="N49" s="212">
        <f t="shared" si="47"/>
        <v>0.35961968333593647</v>
      </c>
      <c r="O49" s="212">
        <f t="shared" si="47"/>
        <v>0.21600177979476654</v>
      </c>
      <c r="P49" s="212">
        <f t="shared" si="47"/>
        <v>0.1005448220886946</v>
      </c>
      <c r="Q49" s="212" t="e">
        <f t="shared" si="47"/>
        <v>#DIV/0!</v>
      </c>
      <c r="R49" s="212" t="e">
        <f t="shared" si="47"/>
        <v>#DIV/0!</v>
      </c>
      <c r="S49" s="212" t="e">
        <f t="shared" si="47"/>
        <v>#DIV/0!</v>
      </c>
      <c r="T49" s="212" t="e">
        <f t="shared" si="47"/>
        <v>#DIV/0!</v>
      </c>
      <c r="U49" s="212" t="e">
        <f t="shared" si="47"/>
        <v>#DIV/0!</v>
      </c>
    </row>
    <row r="50" spans="1:21" x14ac:dyDescent="0.25">
      <c r="A50" s="182" t="s">
        <v>345</v>
      </c>
      <c r="B50" s="64"/>
      <c r="C50" s="64"/>
      <c r="D50" s="64"/>
      <c r="E50" s="89">
        <f>E13/E14</f>
        <v>1</v>
      </c>
      <c r="F50" s="89">
        <f t="shared" ref="F50:U50" si="48">F13/F14</f>
        <v>1</v>
      </c>
      <c r="G50" s="89">
        <f t="shared" si="48"/>
        <v>1</v>
      </c>
      <c r="H50" s="89">
        <f t="shared" si="48"/>
        <v>0.95826843392148386</v>
      </c>
      <c r="I50" s="89">
        <f t="shared" si="48"/>
        <v>0.92782468746106639</v>
      </c>
      <c r="J50" s="89">
        <f t="shared" si="48"/>
        <v>0.7985483829973935</v>
      </c>
      <c r="K50" s="89">
        <f t="shared" si="48"/>
        <v>0.7814880046231083</v>
      </c>
      <c r="L50" s="89">
        <f t="shared" si="48"/>
        <v>0.84093596569581353</v>
      </c>
      <c r="M50" s="89">
        <f t="shared" si="48"/>
        <v>0.789879321221026</v>
      </c>
      <c r="N50" s="212">
        <f t="shared" si="48"/>
        <v>0.64038031666406359</v>
      </c>
      <c r="O50" s="212">
        <f t="shared" si="48"/>
        <v>0.78399822020523346</v>
      </c>
      <c r="P50" s="212">
        <f t="shared" si="48"/>
        <v>0.89945517791130547</v>
      </c>
      <c r="Q50" s="212" t="e">
        <f t="shared" si="48"/>
        <v>#DIV/0!</v>
      </c>
      <c r="R50" s="212" t="e">
        <f t="shared" si="48"/>
        <v>#DIV/0!</v>
      </c>
      <c r="S50" s="212" t="e">
        <f t="shared" si="48"/>
        <v>#DIV/0!</v>
      </c>
      <c r="T50" s="212" t="e">
        <f t="shared" si="48"/>
        <v>#DIV/0!</v>
      </c>
      <c r="U50" s="212" t="e">
        <f t="shared" si="48"/>
        <v>#DIV/0!</v>
      </c>
    </row>
    <row r="51" spans="1:21" x14ac:dyDescent="0.25">
      <c r="A51" s="183" t="s">
        <v>342</v>
      </c>
      <c r="B51" s="64"/>
      <c r="C51" s="64"/>
      <c r="D51" s="64"/>
      <c r="E51" s="89">
        <f>E14/E14</f>
        <v>1</v>
      </c>
      <c r="F51" s="89">
        <f t="shared" ref="F51:U51" si="49">F14/F14</f>
        <v>1</v>
      </c>
      <c r="G51" s="89">
        <f t="shared" si="49"/>
        <v>1</v>
      </c>
      <c r="H51" s="89">
        <f t="shared" si="49"/>
        <v>1</v>
      </c>
      <c r="I51" s="89">
        <f t="shared" si="49"/>
        <v>1</v>
      </c>
      <c r="J51" s="89">
        <f t="shared" si="49"/>
        <v>1</v>
      </c>
      <c r="K51" s="89">
        <f t="shared" si="49"/>
        <v>1</v>
      </c>
      <c r="L51" s="89">
        <f t="shared" si="49"/>
        <v>1</v>
      </c>
      <c r="M51" s="89">
        <f t="shared" si="49"/>
        <v>1</v>
      </c>
      <c r="N51" s="212">
        <f t="shared" si="49"/>
        <v>1</v>
      </c>
      <c r="O51" s="212">
        <f t="shared" si="49"/>
        <v>1</v>
      </c>
      <c r="P51" s="212">
        <f t="shared" si="49"/>
        <v>1</v>
      </c>
      <c r="Q51" s="212" t="e">
        <f t="shared" si="49"/>
        <v>#DIV/0!</v>
      </c>
      <c r="R51" s="212" t="e">
        <f t="shared" si="49"/>
        <v>#DIV/0!</v>
      </c>
      <c r="S51" s="212" t="e">
        <f t="shared" si="49"/>
        <v>#DIV/0!</v>
      </c>
      <c r="T51" s="212" t="e">
        <f t="shared" si="49"/>
        <v>#DIV/0!</v>
      </c>
      <c r="U51" s="212" t="e">
        <f t="shared" si="49"/>
        <v>#DIV/0!</v>
      </c>
    </row>
    <row r="54" spans="1:21" s="9" customFormat="1" x14ac:dyDescent="0.25">
      <c r="A54" s="227" t="s">
        <v>640</v>
      </c>
      <c r="B54" s="228"/>
      <c r="C54" s="228"/>
      <c r="D54" s="228"/>
      <c r="E54" s="229">
        <f>E1</f>
        <v>43100</v>
      </c>
      <c r="F54" s="229">
        <f t="shared" ref="F54:U54" si="50">F1</f>
        <v>43008</v>
      </c>
      <c r="G54" s="229">
        <f t="shared" si="50"/>
        <v>42916</v>
      </c>
      <c r="H54" s="229">
        <f t="shared" si="50"/>
        <v>42825</v>
      </c>
      <c r="I54" s="229">
        <f t="shared" si="50"/>
        <v>42735</v>
      </c>
      <c r="J54" s="229">
        <f t="shared" si="50"/>
        <v>42643</v>
      </c>
      <c r="K54" s="229">
        <f t="shared" si="50"/>
        <v>42551</v>
      </c>
      <c r="L54" s="229">
        <f t="shared" si="50"/>
        <v>42369</v>
      </c>
      <c r="M54" s="229">
        <f t="shared" si="50"/>
        <v>42004</v>
      </c>
      <c r="N54" s="229">
        <f t="shared" si="50"/>
        <v>41639</v>
      </c>
      <c r="O54" s="229">
        <f t="shared" si="50"/>
        <v>41274</v>
      </c>
      <c r="P54" s="229">
        <f t="shared" si="50"/>
        <v>40908</v>
      </c>
      <c r="Q54" s="229">
        <f t="shared" si="50"/>
        <v>25569</v>
      </c>
      <c r="R54" s="229">
        <f t="shared" si="50"/>
        <v>0</v>
      </c>
      <c r="S54" s="229">
        <f t="shared" si="50"/>
        <v>0</v>
      </c>
      <c r="T54" s="229">
        <f t="shared" si="50"/>
        <v>0</v>
      </c>
      <c r="U54" s="229">
        <f t="shared" si="50"/>
        <v>0</v>
      </c>
    </row>
    <row r="55" spans="1:21" x14ac:dyDescent="0.25">
      <c r="A55" s="182" t="s">
        <v>644</v>
      </c>
      <c r="B55" s="64"/>
      <c r="C55" s="64"/>
      <c r="D55" s="64"/>
      <c r="E55" s="212">
        <f>E2/E9</f>
        <v>0.32854873917419702</v>
      </c>
      <c r="F55" s="212">
        <f t="shared" ref="F55:U55" si="51">F2/F9</f>
        <v>0.25868965347347045</v>
      </c>
      <c r="G55" s="212">
        <f t="shared" si="51"/>
        <v>0.36040540793175818</v>
      </c>
      <c r="H55" s="212">
        <f t="shared" si="51"/>
        <v>0.51913849111174948</v>
      </c>
      <c r="I55" s="212">
        <f t="shared" si="51"/>
        <v>0.4162377303961905</v>
      </c>
      <c r="J55" s="212">
        <f t="shared" si="51"/>
        <v>0.3109975324157303</v>
      </c>
      <c r="K55" s="212">
        <f t="shared" si="51"/>
        <v>0.24559791210781812</v>
      </c>
      <c r="L55" s="212">
        <f t="shared" si="51"/>
        <v>0.35829787789832579</v>
      </c>
      <c r="M55" s="212">
        <f t="shared" si="51"/>
        <v>0.24747755742914701</v>
      </c>
      <c r="N55" s="212">
        <f t="shared" si="51"/>
        <v>0.24396088058892268</v>
      </c>
      <c r="O55" s="212">
        <f t="shared" si="51"/>
        <v>0.39849469017989569</v>
      </c>
      <c r="P55" s="212">
        <f t="shared" si="51"/>
        <v>0.44894427174475343</v>
      </c>
      <c r="Q55" s="212" t="e">
        <f t="shared" si="51"/>
        <v>#DIV/0!</v>
      </c>
      <c r="R55" s="212" t="e">
        <f t="shared" si="51"/>
        <v>#DIV/0!</v>
      </c>
      <c r="S55" s="212" t="e">
        <f t="shared" si="51"/>
        <v>#DIV/0!</v>
      </c>
      <c r="T55" s="212" t="e">
        <f t="shared" si="51"/>
        <v>#DIV/0!</v>
      </c>
      <c r="U55" s="212" t="e">
        <f t="shared" si="51"/>
        <v>#DIV/0!</v>
      </c>
    </row>
    <row r="56" spans="1:21" x14ac:dyDescent="0.25">
      <c r="A56" s="182" t="s">
        <v>645</v>
      </c>
      <c r="B56" s="64"/>
      <c r="C56" s="64"/>
      <c r="D56" s="64"/>
      <c r="E56" s="212">
        <f>E4/E9</f>
        <v>0.17533429606997786</v>
      </c>
      <c r="F56" s="212">
        <f t="shared" ref="F56:U56" si="52">F4/F9</f>
        <v>0.2987283344975869</v>
      </c>
      <c r="G56" s="212">
        <f t="shared" si="52"/>
        <v>0.17965118187170706</v>
      </c>
      <c r="H56" s="212">
        <f t="shared" si="52"/>
        <v>4.4888668148309746E-2</v>
      </c>
      <c r="I56" s="212">
        <f t="shared" si="52"/>
        <v>0.16398195252215572</v>
      </c>
      <c r="J56" s="212">
        <f t="shared" si="52"/>
        <v>-9.7263232520833909E-2</v>
      </c>
      <c r="K56" s="212">
        <f t="shared" si="52"/>
        <v>-0.10170806662276352</v>
      </c>
      <c r="L56" s="212">
        <f t="shared" si="52"/>
        <v>-0.11600967803784913</v>
      </c>
      <c r="M56" s="212">
        <f t="shared" si="52"/>
        <v>-8.2773956117539377E-2</v>
      </c>
      <c r="N56" s="212">
        <f t="shared" si="52"/>
        <v>-4.8582473054650473E-2</v>
      </c>
      <c r="O56" s="212">
        <f t="shared" si="52"/>
        <v>5.2433405040414771E-2</v>
      </c>
      <c r="P56" s="212">
        <f t="shared" si="52"/>
        <v>-1.6569240448911131E-3</v>
      </c>
      <c r="Q56" s="212" t="e">
        <f t="shared" si="52"/>
        <v>#DIV/0!</v>
      </c>
      <c r="R56" s="212" t="e">
        <f t="shared" si="52"/>
        <v>#DIV/0!</v>
      </c>
      <c r="S56" s="212" t="e">
        <f t="shared" si="52"/>
        <v>#DIV/0!</v>
      </c>
      <c r="T56" s="212" t="e">
        <f t="shared" si="52"/>
        <v>#DIV/0!</v>
      </c>
      <c r="U56" s="212" t="e">
        <f t="shared" si="52"/>
        <v>#DIV/0!</v>
      </c>
    </row>
    <row r="57" spans="1:21" x14ac:dyDescent="0.25">
      <c r="A57" s="182" t="s">
        <v>646</v>
      </c>
      <c r="B57" s="64"/>
      <c r="C57" s="64"/>
      <c r="D57" s="64"/>
      <c r="E57" s="212">
        <f>E5/E9</f>
        <v>0.39496385574912329</v>
      </c>
      <c r="F57" s="212">
        <f t="shared" ref="F57:U57" si="53">F5/F9</f>
        <v>0.53232590497836807</v>
      </c>
      <c r="G57" s="212">
        <f t="shared" si="53"/>
        <v>0.4227452283521424</v>
      </c>
      <c r="H57" s="212">
        <f t="shared" si="53"/>
        <v>0.25612737239929739</v>
      </c>
      <c r="I57" s="212">
        <f t="shared" si="53"/>
        <v>0.36881851442667424</v>
      </c>
      <c r="J57" s="212">
        <f t="shared" si="53"/>
        <v>0.26644587923069757</v>
      </c>
      <c r="K57" s="212">
        <f t="shared" si="53"/>
        <v>0.25521284100801139</v>
      </c>
      <c r="L57" s="212">
        <f t="shared" si="53"/>
        <v>0.16140687568233314</v>
      </c>
      <c r="M57" s="212">
        <f t="shared" si="53"/>
        <v>0.14645998273885649</v>
      </c>
      <c r="N57" s="212">
        <f t="shared" si="53"/>
        <v>0.13655395544779084</v>
      </c>
      <c r="O57" s="212">
        <f t="shared" si="53"/>
        <v>0.38272303701010502</v>
      </c>
      <c r="P57" s="212">
        <f t="shared" si="53"/>
        <v>0.21065600207077384</v>
      </c>
      <c r="Q57" s="212" t="e">
        <f t="shared" si="53"/>
        <v>#DIV/0!</v>
      </c>
      <c r="R57" s="212" t="e">
        <f t="shared" si="53"/>
        <v>#DIV/0!</v>
      </c>
      <c r="S57" s="212" t="e">
        <f t="shared" si="53"/>
        <v>#DIV/0!</v>
      </c>
      <c r="T57" s="212" t="e">
        <f t="shared" si="53"/>
        <v>#DIV/0!</v>
      </c>
      <c r="U57" s="212" t="e">
        <f t="shared" si="53"/>
        <v>#DIV/0!</v>
      </c>
    </row>
    <row r="58" spans="1:21" x14ac:dyDescent="0.25">
      <c r="A58" s="182" t="s">
        <v>647</v>
      </c>
      <c r="B58" s="64"/>
      <c r="C58" s="64"/>
      <c r="D58" s="64"/>
      <c r="E58" s="212">
        <f>E6/E9</f>
        <v>0.21962955967914544</v>
      </c>
      <c r="F58" s="212">
        <f t="shared" ref="F58:U58" si="54">F6/F9</f>
        <v>0.23359757048078125</v>
      </c>
      <c r="G58" s="212">
        <f t="shared" si="54"/>
        <v>0.24309404648043531</v>
      </c>
      <c r="H58" s="212">
        <f t="shared" si="54"/>
        <v>0.21123870425098765</v>
      </c>
      <c r="I58" s="212">
        <f t="shared" si="54"/>
        <v>0.20483656190451852</v>
      </c>
      <c r="J58" s="212">
        <f t="shared" si="54"/>
        <v>0.36370911175153148</v>
      </c>
      <c r="K58" s="212">
        <f t="shared" si="54"/>
        <v>0.35692090763077489</v>
      </c>
      <c r="L58" s="212">
        <f t="shared" si="54"/>
        <v>0.27741655372018231</v>
      </c>
      <c r="M58" s="212">
        <f t="shared" si="54"/>
        <v>0.22923393885639587</v>
      </c>
      <c r="N58" s="212">
        <f t="shared" si="54"/>
        <v>0.1851364285024413</v>
      </c>
      <c r="O58" s="212">
        <f t="shared" si="54"/>
        <v>0.33028963196969024</v>
      </c>
      <c r="P58" s="212">
        <f t="shared" si="54"/>
        <v>0.21231292611566496</v>
      </c>
      <c r="Q58" s="212" t="e">
        <f t="shared" si="54"/>
        <v>#DIV/0!</v>
      </c>
      <c r="R58" s="212" t="e">
        <f t="shared" si="54"/>
        <v>#DIV/0!</v>
      </c>
      <c r="S58" s="212" t="e">
        <f t="shared" si="54"/>
        <v>#DIV/0!</v>
      </c>
      <c r="T58" s="212" t="e">
        <f t="shared" si="54"/>
        <v>#DIV/0!</v>
      </c>
      <c r="U58" s="212" t="e">
        <f t="shared" si="54"/>
        <v>#DIV/0!</v>
      </c>
    </row>
    <row r="59" spans="1:21" s="223" customFormat="1" x14ac:dyDescent="0.25">
      <c r="A59" s="225" t="s">
        <v>641</v>
      </c>
      <c r="B59" s="221"/>
      <c r="C59" s="221"/>
      <c r="D59" s="221"/>
      <c r="E59" s="222">
        <f>E55+E56</f>
        <v>0.50388303524417488</v>
      </c>
      <c r="F59" s="222">
        <f t="shared" ref="F59:U59" si="55">F55+F56</f>
        <v>0.55741798797105735</v>
      </c>
      <c r="G59" s="222">
        <f t="shared" si="55"/>
        <v>0.54005658980346527</v>
      </c>
      <c r="H59" s="222">
        <f t="shared" si="55"/>
        <v>0.5640271592600592</v>
      </c>
      <c r="I59" s="222">
        <f t="shared" si="55"/>
        <v>0.58021968291834625</v>
      </c>
      <c r="J59" s="222">
        <f t="shared" si="55"/>
        <v>0.2137342998948964</v>
      </c>
      <c r="K59" s="222">
        <f t="shared" si="55"/>
        <v>0.1438898454850546</v>
      </c>
      <c r="L59" s="222">
        <f t="shared" si="55"/>
        <v>0.24228819986047667</v>
      </c>
      <c r="M59" s="222">
        <f t="shared" si="55"/>
        <v>0.16470360131160763</v>
      </c>
      <c r="N59" s="222">
        <f t="shared" si="55"/>
        <v>0.19537840753427221</v>
      </c>
      <c r="O59" s="222">
        <f t="shared" si="55"/>
        <v>0.45092809522031047</v>
      </c>
      <c r="P59" s="222">
        <f t="shared" si="55"/>
        <v>0.44728734769986234</v>
      </c>
      <c r="Q59" s="222" t="e">
        <f t="shared" si="55"/>
        <v>#DIV/0!</v>
      </c>
      <c r="R59" s="222" t="e">
        <f t="shared" si="55"/>
        <v>#DIV/0!</v>
      </c>
      <c r="S59" s="222" t="e">
        <f t="shared" si="55"/>
        <v>#DIV/0!</v>
      </c>
      <c r="T59" s="222" t="e">
        <f t="shared" si="55"/>
        <v>#DIV/0!</v>
      </c>
      <c r="U59" s="222" t="e">
        <f t="shared" si="55"/>
        <v>#DIV/0!</v>
      </c>
    </row>
    <row r="60" spans="1:21" x14ac:dyDescent="0.25">
      <c r="A60" s="182" t="s">
        <v>648</v>
      </c>
      <c r="B60" s="64"/>
      <c r="C60" s="64"/>
      <c r="D60" s="64"/>
      <c r="E60" s="212">
        <f>E3/E9</f>
        <v>3.0140056519465851E-2</v>
      </c>
      <c r="F60" s="212">
        <f t="shared" ref="F60:U60" si="56">F3/F9</f>
        <v>0</v>
      </c>
      <c r="G60" s="212">
        <f t="shared" si="56"/>
        <v>0</v>
      </c>
      <c r="H60" s="212">
        <f t="shared" si="56"/>
        <v>0</v>
      </c>
      <c r="I60" s="212">
        <f t="shared" si="56"/>
        <v>0</v>
      </c>
      <c r="J60" s="212">
        <f t="shared" si="56"/>
        <v>0</v>
      </c>
      <c r="K60" s="212">
        <f t="shared" si="56"/>
        <v>0</v>
      </c>
      <c r="L60" s="212">
        <f t="shared" si="56"/>
        <v>0</v>
      </c>
      <c r="M60" s="212">
        <f t="shared" si="56"/>
        <v>0</v>
      </c>
      <c r="N60" s="212">
        <f t="shared" si="56"/>
        <v>0</v>
      </c>
      <c r="O60" s="212">
        <f t="shared" si="56"/>
        <v>3.0331787005374589E-3</v>
      </c>
      <c r="P60" s="212">
        <f t="shared" si="56"/>
        <v>4.2101249097172555E-3</v>
      </c>
      <c r="Q60" s="212" t="e">
        <f t="shared" si="56"/>
        <v>#DIV/0!</v>
      </c>
      <c r="R60" s="212" t="e">
        <f t="shared" si="56"/>
        <v>#DIV/0!</v>
      </c>
      <c r="S60" s="212" t="e">
        <f t="shared" si="56"/>
        <v>#DIV/0!</v>
      </c>
      <c r="T60" s="212" t="e">
        <f t="shared" si="56"/>
        <v>#DIV/0!</v>
      </c>
      <c r="U60" s="212" t="e">
        <f t="shared" si="56"/>
        <v>#DIV/0!</v>
      </c>
    </row>
    <row r="61" spans="1:21" x14ac:dyDescent="0.25">
      <c r="A61" s="182" t="s">
        <v>649</v>
      </c>
      <c r="B61" s="64"/>
      <c r="C61" s="64"/>
      <c r="D61" s="64"/>
      <c r="E61" s="212">
        <f>E7/E9</f>
        <v>0.46597690823635923</v>
      </c>
      <c r="F61" s="212">
        <f t="shared" ref="F61:U61" si="57">F7/F9</f>
        <v>0.44258201202894271</v>
      </c>
      <c r="G61" s="212">
        <f t="shared" si="57"/>
        <v>0.45994341019653467</v>
      </c>
      <c r="H61" s="212">
        <f t="shared" si="57"/>
        <v>0.43597284073994086</v>
      </c>
      <c r="I61" s="212">
        <f t="shared" si="57"/>
        <v>0.41978031708165381</v>
      </c>
      <c r="J61" s="212">
        <f t="shared" si="57"/>
        <v>0.78626570010510366</v>
      </c>
      <c r="K61" s="212">
        <f t="shared" si="57"/>
        <v>0.85611015451494543</v>
      </c>
      <c r="L61" s="212">
        <f t="shared" si="57"/>
        <v>0.75771180013952333</v>
      </c>
      <c r="M61" s="212">
        <f t="shared" si="57"/>
        <v>0.83529639868839234</v>
      </c>
      <c r="N61" s="212">
        <f t="shared" si="57"/>
        <v>0.80462159246572784</v>
      </c>
      <c r="O61" s="212">
        <f t="shared" si="57"/>
        <v>0.54603872607915194</v>
      </c>
      <c r="P61" s="212">
        <f t="shared" si="57"/>
        <v>0.54850252739042038</v>
      </c>
      <c r="Q61" s="212" t="e">
        <f t="shared" si="57"/>
        <v>#DIV/0!</v>
      </c>
      <c r="R61" s="212" t="e">
        <f t="shared" si="57"/>
        <v>#DIV/0!</v>
      </c>
      <c r="S61" s="212" t="e">
        <f t="shared" si="57"/>
        <v>#DIV/0!</v>
      </c>
      <c r="T61" s="212" t="e">
        <f t="shared" si="57"/>
        <v>#DIV/0!</v>
      </c>
      <c r="U61" s="212" t="e">
        <f t="shared" si="57"/>
        <v>#DIV/0!</v>
      </c>
    </row>
    <row r="62" spans="1:21" s="223" customFormat="1" x14ac:dyDescent="0.25">
      <c r="A62" s="225" t="s">
        <v>642</v>
      </c>
      <c r="B62" s="221"/>
      <c r="C62" s="221"/>
      <c r="D62" s="221"/>
      <c r="E62" s="222">
        <f>E60+E61</f>
        <v>0.49611696475582506</v>
      </c>
      <c r="F62" s="222">
        <f t="shared" ref="F62:M62" si="58">F60+F61</f>
        <v>0.44258201202894271</v>
      </c>
      <c r="G62" s="222">
        <f t="shared" si="58"/>
        <v>0.45994341019653467</v>
      </c>
      <c r="H62" s="222">
        <f t="shared" si="58"/>
        <v>0.43597284073994086</v>
      </c>
      <c r="I62" s="222">
        <f t="shared" si="58"/>
        <v>0.41978031708165381</v>
      </c>
      <c r="J62" s="222">
        <f t="shared" si="58"/>
        <v>0.78626570010510366</v>
      </c>
      <c r="K62" s="222">
        <f t="shared" si="58"/>
        <v>0.85611015451494543</v>
      </c>
      <c r="L62" s="222">
        <f t="shared" si="58"/>
        <v>0.75771180013952333</v>
      </c>
      <c r="M62" s="222">
        <f t="shared" si="58"/>
        <v>0.83529639868839234</v>
      </c>
      <c r="N62" s="222">
        <f t="shared" ref="N62" si="59">N60+N61</f>
        <v>0.80462159246572784</v>
      </c>
      <c r="O62" s="222">
        <f t="shared" ref="O62" si="60">O60+O61</f>
        <v>0.54907190477968937</v>
      </c>
      <c r="P62" s="222">
        <f t="shared" ref="P62" si="61">P60+P61</f>
        <v>0.55271265230013766</v>
      </c>
      <c r="Q62" s="222" t="e">
        <f t="shared" ref="Q62" si="62">Q60+Q61</f>
        <v>#DIV/0!</v>
      </c>
      <c r="R62" s="222" t="e">
        <f t="shared" ref="R62" si="63">R60+R61</f>
        <v>#DIV/0!</v>
      </c>
      <c r="S62" s="222" t="e">
        <f t="shared" ref="S62" si="64">S60+S61</f>
        <v>#DIV/0!</v>
      </c>
      <c r="T62" s="222" t="e">
        <f t="shared" ref="T62" si="65">T60+T61</f>
        <v>#DIV/0!</v>
      </c>
      <c r="U62" s="222" t="e">
        <f t="shared" ref="U62" si="66">U60+U61</f>
        <v>#DIV/0!</v>
      </c>
    </row>
    <row r="63" spans="1:21" x14ac:dyDescent="0.25">
      <c r="A63" s="224" t="s">
        <v>643</v>
      </c>
      <c r="B63" s="64"/>
      <c r="C63" s="64"/>
      <c r="D63" s="64"/>
      <c r="E63" s="212">
        <v>1</v>
      </c>
      <c r="F63" s="212">
        <v>1</v>
      </c>
      <c r="G63" s="212">
        <v>1</v>
      </c>
      <c r="H63" s="212">
        <v>1</v>
      </c>
      <c r="I63" s="212">
        <v>1</v>
      </c>
      <c r="J63" s="212">
        <v>1</v>
      </c>
      <c r="K63" s="212">
        <v>1</v>
      </c>
      <c r="L63" s="212">
        <v>1</v>
      </c>
      <c r="M63" s="212">
        <v>1</v>
      </c>
      <c r="N63" s="212">
        <v>1</v>
      </c>
      <c r="O63" s="212">
        <v>1</v>
      </c>
      <c r="P63" s="212">
        <v>1</v>
      </c>
      <c r="Q63" s="212">
        <v>1</v>
      </c>
      <c r="R63" s="212">
        <v>1</v>
      </c>
      <c r="S63" s="212">
        <v>1</v>
      </c>
      <c r="T63" s="212">
        <v>1</v>
      </c>
      <c r="U63" s="212">
        <v>1</v>
      </c>
    </row>
    <row r="64" spans="1:21" ht="42.6" customHeight="1" x14ac:dyDescent="0.25">
      <c r="A64" s="280" t="s">
        <v>699</v>
      </c>
      <c r="B64" s="281"/>
      <c r="C64" s="281"/>
      <c r="D64" s="281"/>
      <c r="E64" s="281"/>
      <c r="F64" s="281"/>
      <c r="G64" s="281"/>
      <c r="H64" s="281"/>
      <c r="I64" s="281"/>
      <c r="J64" s="281"/>
      <c r="K64" s="281"/>
      <c r="L64" s="281"/>
      <c r="M64" s="281"/>
      <c r="N64" s="281"/>
      <c r="O64" s="281"/>
      <c r="P64" s="281"/>
      <c r="Q64" s="281"/>
      <c r="R64" s="281"/>
      <c r="S64" s="281"/>
      <c r="T64" s="281"/>
      <c r="U64" s="281"/>
    </row>
    <row r="66" spans="1:21" s="9" customFormat="1" x14ac:dyDescent="0.25">
      <c r="A66" s="230" t="s">
        <v>650</v>
      </c>
      <c r="E66" s="231">
        <f>E1</f>
        <v>43100</v>
      </c>
      <c r="F66" s="231">
        <f t="shared" ref="F66:U66" si="67">F1</f>
        <v>43008</v>
      </c>
      <c r="G66" s="231">
        <f t="shared" si="67"/>
        <v>42916</v>
      </c>
      <c r="H66" s="231">
        <f t="shared" si="67"/>
        <v>42825</v>
      </c>
      <c r="I66" s="231">
        <f t="shared" si="67"/>
        <v>42735</v>
      </c>
      <c r="J66" s="231">
        <f t="shared" si="67"/>
        <v>42643</v>
      </c>
      <c r="K66" s="231">
        <f t="shared" si="67"/>
        <v>42551</v>
      </c>
      <c r="L66" s="231">
        <f t="shared" si="67"/>
        <v>42369</v>
      </c>
      <c r="M66" s="231">
        <f t="shared" si="67"/>
        <v>42004</v>
      </c>
      <c r="N66" s="231">
        <f t="shared" si="67"/>
        <v>41639</v>
      </c>
      <c r="O66" s="231">
        <f t="shared" si="67"/>
        <v>41274</v>
      </c>
      <c r="P66" s="231">
        <f t="shared" si="67"/>
        <v>40908</v>
      </c>
      <c r="Q66" s="231">
        <f t="shared" si="67"/>
        <v>25569</v>
      </c>
      <c r="R66" s="231">
        <f t="shared" si="67"/>
        <v>0</v>
      </c>
      <c r="S66" s="231">
        <f t="shared" si="67"/>
        <v>0</v>
      </c>
      <c r="T66" s="231">
        <f t="shared" si="67"/>
        <v>0</v>
      </c>
      <c r="U66" s="231">
        <f t="shared" si="67"/>
        <v>0</v>
      </c>
    </row>
    <row r="67" spans="1:21" x14ac:dyDescent="0.25">
      <c r="A67" s="17" t="s">
        <v>651</v>
      </c>
      <c r="E67" s="191">
        <f>E10</f>
        <v>0</v>
      </c>
      <c r="F67" s="191">
        <f t="shared" ref="F67:U67" si="68">F10</f>
        <v>0</v>
      </c>
      <c r="G67" s="191">
        <f t="shared" si="68"/>
        <v>0</v>
      </c>
      <c r="H67" s="191">
        <f t="shared" si="68"/>
        <v>33760703.5</v>
      </c>
      <c r="I67" s="191">
        <f t="shared" si="68"/>
        <v>58246810</v>
      </c>
      <c r="J67" s="191">
        <f t="shared" si="68"/>
        <v>84242535.329999998</v>
      </c>
      <c r="K67" s="191">
        <f t="shared" si="68"/>
        <v>84242535.329999998</v>
      </c>
      <c r="L67" s="191">
        <f t="shared" si="68"/>
        <v>51435725.329999998</v>
      </c>
      <c r="M67" s="191">
        <f t="shared" si="68"/>
        <v>42500000</v>
      </c>
      <c r="N67" s="191">
        <f t="shared" si="68"/>
        <v>92895714</v>
      </c>
      <c r="O67" s="191">
        <f t="shared" si="68"/>
        <v>65837129</v>
      </c>
      <c r="P67" s="191">
        <f t="shared" si="68"/>
        <v>19000000</v>
      </c>
      <c r="Q67" s="191">
        <f t="shared" si="68"/>
        <v>0</v>
      </c>
      <c r="R67" s="191">
        <f t="shared" si="68"/>
        <v>0</v>
      </c>
      <c r="S67" s="191">
        <f t="shared" si="68"/>
        <v>0</v>
      </c>
      <c r="T67" s="191">
        <f t="shared" si="68"/>
        <v>0</v>
      </c>
      <c r="U67" s="191">
        <f t="shared" si="68"/>
        <v>0</v>
      </c>
    </row>
    <row r="68" spans="1:21" x14ac:dyDescent="0.25">
      <c r="A68" s="17" t="s">
        <v>652</v>
      </c>
      <c r="E68" s="191">
        <f>E11</f>
        <v>0</v>
      </c>
      <c r="F68" s="191">
        <f t="shared" ref="F68:U68" si="69">F11</f>
        <v>0</v>
      </c>
      <c r="G68" s="191">
        <f t="shared" si="69"/>
        <v>0</v>
      </c>
      <c r="H68" s="191">
        <f t="shared" si="69"/>
        <v>9890479.9199999999</v>
      </c>
      <c r="I68" s="191">
        <f t="shared" si="69"/>
        <v>18408383.420000002</v>
      </c>
      <c r="J68" s="191">
        <f t="shared" si="69"/>
        <v>28105583.420000002</v>
      </c>
      <c r="K68" s="191">
        <f t="shared" si="69"/>
        <v>27650855.510000002</v>
      </c>
      <c r="L68" s="191">
        <f t="shared" si="69"/>
        <v>38982000</v>
      </c>
      <c r="M68" s="191">
        <f t="shared" si="69"/>
        <v>60540800</v>
      </c>
      <c r="N68" s="191">
        <f t="shared" si="69"/>
        <v>85540000</v>
      </c>
      <c r="O68" s="191">
        <f t="shared" si="69"/>
        <v>5375879.2400000002</v>
      </c>
      <c r="P68" s="191">
        <f t="shared" si="69"/>
        <v>4881671.9800000004</v>
      </c>
      <c r="Q68" s="191">
        <f t="shared" si="69"/>
        <v>0</v>
      </c>
      <c r="R68" s="191">
        <f t="shared" si="69"/>
        <v>0</v>
      </c>
      <c r="S68" s="191">
        <f t="shared" si="69"/>
        <v>0</v>
      </c>
      <c r="T68" s="191">
        <f t="shared" si="69"/>
        <v>0</v>
      </c>
      <c r="U68" s="191">
        <f t="shared" si="69"/>
        <v>0</v>
      </c>
    </row>
    <row r="69" spans="1:21" x14ac:dyDescent="0.25">
      <c r="A69" s="17" t="s">
        <v>653</v>
      </c>
      <c r="E69" s="191">
        <f>E12</f>
        <v>0</v>
      </c>
      <c r="F69" s="191">
        <f t="shared" ref="F69:U69" si="70">F12</f>
        <v>0</v>
      </c>
      <c r="G69" s="191">
        <f t="shared" si="70"/>
        <v>0</v>
      </c>
      <c r="H69" s="191">
        <f t="shared" si="70"/>
        <v>43651183.420000002</v>
      </c>
      <c r="I69" s="191">
        <f t="shared" si="70"/>
        <v>76655193.420000002</v>
      </c>
      <c r="J69" s="191">
        <f t="shared" si="70"/>
        <v>112348118.75</v>
      </c>
      <c r="K69" s="191">
        <f t="shared" si="70"/>
        <v>111893390.84</v>
      </c>
      <c r="L69" s="191">
        <f t="shared" si="70"/>
        <v>90417725.329999998</v>
      </c>
      <c r="M69" s="191">
        <f t="shared" si="70"/>
        <v>103040800</v>
      </c>
      <c r="N69" s="191">
        <f t="shared" si="70"/>
        <v>178435714</v>
      </c>
      <c r="O69" s="191">
        <f t="shared" si="70"/>
        <v>71213008.239999995</v>
      </c>
      <c r="P69" s="191">
        <f t="shared" si="70"/>
        <v>23881671.98</v>
      </c>
      <c r="Q69" s="191">
        <f t="shared" si="70"/>
        <v>0</v>
      </c>
      <c r="R69" s="191">
        <f t="shared" si="70"/>
        <v>0</v>
      </c>
      <c r="S69" s="191">
        <f t="shared" si="70"/>
        <v>0</v>
      </c>
      <c r="T69" s="191">
        <f t="shared" si="70"/>
        <v>0</v>
      </c>
      <c r="U69" s="191">
        <f t="shared" si="70"/>
        <v>0</v>
      </c>
    </row>
    <row r="70" spans="1:21" s="232" customFormat="1" x14ac:dyDescent="0.25">
      <c r="A70" s="232" t="s">
        <v>656</v>
      </c>
      <c r="E70" s="232">
        <f>E69/E74</f>
        <v>0</v>
      </c>
      <c r="F70" s="232">
        <f t="shared" ref="F70:U70" si="71">F69/F74</f>
        <v>0</v>
      </c>
      <c r="G70" s="232">
        <f t="shared" si="71"/>
        <v>0</v>
      </c>
      <c r="H70" s="232">
        <f t="shared" si="71"/>
        <v>4.1731566078516191E-2</v>
      </c>
      <c r="I70" s="232">
        <f t="shared" si="71"/>
        <v>7.2175312538933681E-2</v>
      </c>
      <c r="J70" s="232">
        <f t="shared" si="71"/>
        <v>0.20145161700260653</v>
      </c>
      <c r="K70" s="232">
        <f t="shared" si="71"/>
        <v>0.21851199537689173</v>
      </c>
      <c r="L70" s="232">
        <f t="shared" si="71"/>
        <v>0.15906403430418647</v>
      </c>
      <c r="M70" s="232">
        <f t="shared" si="71"/>
        <v>0.210120678778974</v>
      </c>
      <c r="N70" s="232">
        <f t="shared" si="71"/>
        <v>0.35961968333593647</v>
      </c>
      <c r="O70" s="232">
        <f t="shared" si="71"/>
        <v>0.21600177979476654</v>
      </c>
      <c r="P70" s="232">
        <f t="shared" si="71"/>
        <v>0.1005448220886946</v>
      </c>
      <c r="Q70" s="232" t="e">
        <f t="shared" si="71"/>
        <v>#DIV/0!</v>
      </c>
      <c r="R70" s="232" t="e">
        <f t="shared" si="71"/>
        <v>#DIV/0!</v>
      </c>
      <c r="S70" s="232" t="e">
        <f t="shared" si="71"/>
        <v>#DIV/0!</v>
      </c>
      <c r="T70" s="232" t="e">
        <f t="shared" si="71"/>
        <v>#DIV/0!</v>
      </c>
      <c r="U70" s="232" t="e">
        <f t="shared" si="71"/>
        <v>#DIV/0!</v>
      </c>
    </row>
    <row r="71" spans="1:21" x14ac:dyDescent="0.25">
      <c r="A71" s="17" t="s">
        <v>654</v>
      </c>
      <c r="E71" s="191">
        <f>E13</f>
        <v>1094888457.78</v>
      </c>
      <c r="F71" s="191">
        <f t="shared" ref="F71:U71" si="72">F13</f>
        <v>1054331578.12</v>
      </c>
      <c r="G71" s="191">
        <f t="shared" si="72"/>
        <v>1001622329.98</v>
      </c>
      <c r="H71" s="191">
        <f t="shared" si="72"/>
        <v>1002347985.12</v>
      </c>
      <c r="I71" s="191">
        <f t="shared" si="72"/>
        <v>985414241.73000002</v>
      </c>
      <c r="J71" s="191">
        <f t="shared" si="72"/>
        <v>445344693.15999997</v>
      </c>
      <c r="K71" s="191">
        <f t="shared" si="72"/>
        <v>400176395.75</v>
      </c>
      <c r="L71" s="191">
        <f t="shared" si="72"/>
        <v>478018286.78000003</v>
      </c>
      <c r="M71" s="191">
        <f t="shared" si="72"/>
        <v>387347869.01999992</v>
      </c>
      <c r="N71" s="191">
        <f t="shared" si="72"/>
        <v>317743228.00000006</v>
      </c>
      <c r="O71" s="191">
        <f t="shared" si="72"/>
        <v>258474128.17000008</v>
      </c>
      <c r="P71" s="191">
        <f t="shared" si="72"/>
        <v>213640971.99000001</v>
      </c>
      <c r="Q71" s="191">
        <f t="shared" si="72"/>
        <v>0</v>
      </c>
      <c r="R71" s="191">
        <f t="shared" si="72"/>
        <v>0</v>
      </c>
      <c r="S71" s="191">
        <f t="shared" si="72"/>
        <v>0</v>
      </c>
      <c r="T71" s="191">
        <f t="shared" si="72"/>
        <v>0</v>
      </c>
      <c r="U71" s="191">
        <f t="shared" si="72"/>
        <v>0</v>
      </c>
    </row>
    <row r="72" spans="1:21" s="232" customFormat="1" x14ac:dyDescent="0.25">
      <c r="A72" s="232" t="s">
        <v>657</v>
      </c>
      <c r="E72" s="232">
        <f>E71/E74</f>
        <v>1</v>
      </c>
      <c r="F72" s="232">
        <f t="shared" ref="F72:U72" si="73">F71/F74</f>
        <v>1</v>
      </c>
      <c r="G72" s="232">
        <f t="shared" si="73"/>
        <v>1</v>
      </c>
      <c r="H72" s="232">
        <f t="shared" si="73"/>
        <v>0.95826843392148386</v>
      </c>
      <c r="I72" s="232">
        <f t="shared" si="73"/>
        <v>0.92782468746106639</v>
      </c>
      <c r="J72" s="232">
        <f t="shared" si="73"/>
        <v>0.7985483829973935</v>
      </c>
      <c r="K72" s="232">
        <f t="shared" si="73"/>
        <v>0.7814880046231083</v>
      </c>
      <c r="L72" s="232">
        <f t="shared" si="73"/>
        <v>0.84093596569581353</v>
      </c>
      <c r="M72" s="232">
        <f t="shared" si="73"/>
        <v>0.789879321221026</v>
      </c>
      <c r="N72" s="232">
        <f t="shared" si="73"/>
        <v>0.64038031666406359</v>
      </c>
      <c r="O72" s="232">
        <f t="shared" si="73"/>
        <v>0.78399822020523346</v>
      </c>
      <c r="P72" s="232">
        <f t="shared" si="73"/>
        <v>0.89945517791130547</v>
      </c>
      <c r="Q72" s="232" t="e">
        <f t="shared" si="73"/>
        <v>#DIV/0!</v>
      </c>
      <c r="R72" s="232" t="e">
        <f t="shared" si="73"/>
        <v>#DIV/0!</v>
      </c>
      <c r="S72" s="232" t="e">
        <f t="shared" si="73"/>
        <v>#DIV/0!</v>
      </c>
      <c r="T72" s="232" t="e">
        <f t="shared" si="73"/>
        <v>#DIV/0!</v>
      </c>
      <c r="U72" s="232" t="e">
        <f t="shared" si="73"/>
        <v>#DIV/0!</v>
      </c>
    </row>
    <row r="73" spans="1:21" s="234" customFormat="1" x14ac:dyDescent="0.25">
      <c r="A73" s="233" t="s">
        <v>658</v>
      </c>
      <c r="E73" s="235">
        <f>E74/E71</f>
        <v>1</v>
      </c>
      <c r="F73" s="235">
        <f t="shared" ref="F73:U73" si="74">F74/F71</f>
        <v>1</v>
      </c>
      <c r="G73" s="235">
        <f t="shared" si="74"/>
        <v>1</v>
      </c>
      <c r="H73" s="235">
        <f t="shared" si="74"/>
        <v>1.0435489311776029</v>
      </c>
      <c r="I73" s="235">
        <f t="shared" si="74"/>
        <v>1.0777898168849513</v>
      </c>
      <c r="J73" s="235">
        <f t="shared" si="74"/>
        <v>1.2522722746572315</v>
      </c>
      <c r="K73" s="235">
        <f t="shared" si="74"/>
        <v>1.2796101719850126</v>
      </c>
      <c r="L73" s="235">
        <f t="shared" si="74"/>
        <v>1.1891511848617065</v>
      </c>
      <c r="M73" s="235">
        <f t="shared" si="74"/>
        <v>1.266016178843828</v>
      </c>
      <c r="N73" s="235">
        <f t="shared" si="74"/>
        <v>1.5615720439524206</v>
      </c>
      <c r="O73" s="235">
        <f t="shared" si="74"/>
        <v>1.2755130996830861</v>
      </c>
      <c r="P73" s="235">
        <f t="shared" si="74"/>
        <v>1.1117841383960649</v>
      </c>
      <c r="Q73" s="235" t="e">
        <f t="shared" si="74"/>
        <v>#DIV/0!</v>
      </c>
      <c r="R73" s="235" t="e">
        <f t="shared" si="74"/>
        <v>#DIV/0!</v>
      </c>
      <c r="S73" s="235" t="e">
        <f t="shared" si="74"/>
        <v>#DIV/0!</v>
      </c>
      <c r="T73" s="235" t="e">
        <f t="shared" si="74"/>
        <v>#DIV/0!</v>
      </c>
      <c r="U73" s="235" t="e">
        <f t="shared" si="74"/>
        <v>#DIV/0!</v>
      </c>
    </row>
    <row r="74" spans="1:21" x14ac:dyDescent="0.25">
      <c r="A74" s="17" t="s">
        <v>655</v>
      </c>
      <c r="E74" s="191">
        <f>E14</f>
        <v>1094888457.78</v>
      </c>
      <c r="F74" s="191">
        <f t="shared" ref="F74:U74" si="75">F14</f>
        <v>1054331578.12</v>
      </c>
      <c r="G74" s="191">
        <f t="shared" si="75"/>
        <v>1001622329.98</v>
      </c>
      <c r="H74" s="191">
        <f t="shared" si="75"/>
        <v>1045999168.54</v>
      </c>
      <c r="I74" s="191">
        <f t="shared" si="75"/>
        <v>1062069435.15</v>
      </c>
      <c r="J74" s="191">
        <f t="shared" si="75"/>
        <v>557692811.90999997</v>
      </c>
      <c r="K74" s="191">
        <f t="shared" si="75"/>
        <v>512069786.58999997</v>
      </c>
      <c r="L74" s="191">
        <f t="shared" si="75"/>
        <v>568436012.11000001</v>
      </c>
      <c r="M74" s="191">
        <f t="shared" si="75"/>
        <v>490388669.01999992</v>
      </c>
      <c r="N74" s="191">
        <f t="shared" si="75"/>
        <v>496178942.00000006</v>
      </c>
      <c r="O74" s="191">
        <f t="shared" si="75"/>
        <v>329687136.41000009</v>
      </c>
      <c r="P74" s="191">
        <f t="shared" si="75"/>
        <v>237522643.97</v>
      </c>
      <c r="Q74" s="191">
        <f t="shared" si="75"/>
        <v>0</v>
      </c>
      <c r="R74" s="191">
        <f t="shared" si="75"/>
        <v>0</v>
      </c>
      <c r="S74" s="191">
        <f t="shared" si="75"/>
        <v>0</v>
      </c>
      <c r="T74" s="191">
        <f t="shared" si="75"/>
        <v>0</v>
      </c>
      <c r="U74" s="191">
        <f t="shared" si="75"/>
        <v>0</v>
      </c>
    </row>
    <row r="75" spans="1:21" ht="83.4" customHeight="1" x14ac:dyDescent="0.25">
      <c r="A75" s="278" t="s">
        <v>700</v>
      </c>
      <c r="B75" s="277"/>
      <c r="C75" s="277"/>
      <c r="D75" s="277"/>
      <c r="E75" s="277"/>
      <c r="F75" s="277"/>
      <c r="G75" s="277"/>
      <c r="H75" s="277"/>
      <c r="I75" s="277"/>
      <c r="J75" s="277"/>
      <c r="K75" s="277"/>
      <c r="L75" s="277"/>
      <c r="M75" s="277"/>
      <c r="N75" s="277"/>
      <c r="O75" s="277"/>
      <c r="P75" s="277"/>
      <c r="Q75" s="277"/>
      <c r="R75" s="277"/>
      <c r="S75" s="277"/>
      <c r="T75" s="277"/>
      <c r="U75" s="277"/>
    </row>
    <row r="77" spans="1:21" s="236" customFormat="1" x14ac:dyDescent="0.25">
      <c r="A77" s="237" t="s">
        <v>659</v>
      </c>
      <c r="B77" s="238"/>
      <c r="C77" s="238"/>
      <c r="D77" s="238"/>
      <c r="E77" s="239">
        <f>E1</f>
        <v>43100</v>
      </c>
      <c r="F77" s="239">
        <f t="shared" ref="F77:U77" si="76">F1</f>
        <v>43008</v>
      </c>
      <c r="G77" s="239">
        <f t="shared" si="76"/>
        <v>42916</v>
      </c>
      <c r="H77" s="239">
        <f t="shared" si="76"/>
        <v>42825</v>
      </c>
      <c r="I77" s="239">
        <f t="shared" si="76"/>
        <v>42735</v>
      </c>
      <c r="J77" s="239">
        <f t="shared" si="76"/>
        <v>42643</v>
      </c>
      <c r="K77" s="239">
        <f t="shared" si="76"/>
        <v>42551</v>
      </c>
      <c r="L77" s="239">
        <f t="shared" si="76"/>
        <v>42369</v>
      </c>
      <c r="M77" s="239">
        <f t="shared" si="76"/>
        <v>42004</v>
      </c>
      <c r="N77" s="239">
        <f t="shared" si="76"/>
        <v>41639</v>
      </c>
      <c r="O77" s="239">
        <f t="shared" si="76"/>
        <v>41274</v>
      </c>
      <c r="P77" s="239">
        <f t="shared" si="76"/>
        <v>40908</v>
      </c>
      <c r="Q77" s="239">
        <f t="shared" si="76"/>
        <v>25569</v>
      </c>
      <c r="R77" s="239">
        <f t="shared" si="76"/>
        <v>0</v>
      </c>
      <c r="S77" s="239">
        <f t="shared" si="76"/>
        <v>0</v>
      </c>
      <c r="T77" s="239">
        <f t="shared" si="76"/>
        <v>0</v>
      </c>
      <c r="U77" s="239">
        <f t="shared" si="76"/>
        <v>0</v>
      </c>
    </row>
    <row r="78" spans="1:21" x14ac:dyDescent="0.25">
      <c r="A78" s="182" t="s">
        <v>651</v>
      </c>
      <c r="B78" s="64"/>
      <c r="C78" s="64"/>
      <c r="D78" s="64"/>
      <c r="E78" s="88">
        <f>E10</f>
        <v>0</v>
      </c>
      <c r="F78" s="88">
        <f t="shared" ref="F78:U78" si="77">F10</f>
        <v>0</v>
      </c>
      <c r="G78" s="88">
        <f t="shared" si="77"/>
        <v>0</v>
      </c>
      <c r="H78" s="88">
        <f t="shared" si="77"/>
        <v>33760703.5</v>
      </c>
      <c r="I78" s="88">
        <f t="shared" si="77"/>
        <v>58246810</v>
      </c>
      <c r="J78" s="88">
        <f t="shared" si="77"/>
        <v>84242535.329999998</v>
      </c>
      <c r="K78" s="88">
        <f t="shared" si="77"/>
        <v>84242535.329999998</v>
      </c>
      <c r="L78" s="88">
        <f t="shared" si="77"/>
        <v>51435725.329999998</v>
      </c>
      <c r="M78" s="88">
        <f t="shared" si="77"/>
        <v>42500000</v>
      </c>
      <c r="N78" s="88">
        <f t="shared" si="77"/>
        <v>92895714</v>
      </c>
      <c r="O78" s="88">
        <f t="shared" si="77"/>
        <v>65837129</v>
      </c>
      <c r="P78" s="88">
        <f t="shared" si="77"/>
        <v>19000000</v>
      </c>
      <c r="Q78" s="88">
        <f t="shared" si="77"/>
        <v>0</v>
      </c>
      <c r="R78" s="88">
        <f t="shared" si="77"/>
        <v>0</v>
      </c>
      <c r="S78" s="88">
        <f t="shared" si="77"/>
        <v>0</v>
      </c>
      <c r="T78" s="88">
        <f t="shared" si="77"/>
        <v>0</v>
      </c>
      <c r="U78" s="88">
        <f t="shared" si="77"/>
        <v>0</v>
      </c>
    </row>
    <row r="79" spans="1:21" x14ac:dyDescent="0.25">
      <c r="A79" s="182" t="s">
        <v>660</v>
      </c>
      <c r="B79" s="64"/>
      <c r="C79" s="64"/>
      <c r="D79" s="64"/>
      <c r="E79" s="88">
        <f>E78</f>
        <v>0</v>
      </c>
      <c r="F79" s="88">
        <f t="shared" ref="F79:U79" si="78">F78</f>
        <v>0</v>
      </c>
      <c r="G79" s="88">
        <f t="shared" si="78"/>
        <v>0</v>
      </c>
      <c r="H79" s="88">
        <f t="shared" si="78"/>
        <v>33760703.5</v>
      </c>
      <c r="I79" s="88">
        <f t="shared" si="78"/>
        <v>58246810</v>
      </c>
      <c r="J79" s="88">
        <f t="shared" si="78"/>
        <v>84242535.329999998</v>
      </c>
      <c r="K79" s="88">
        <f t="shared" si="78"/>
        <v>84242535.329999998</v>
      </c>
      <c r="L79" s="88">
        <f t="shared" si="78"/>
        <v>51435725.329999998</v>
      </c>
      <c r="M79" s="88">
        <f t="shared" si="78"/>
        <v>42500000</v>
      </c>
      <c r="N79" s="88">
        <f t="shared" si="78"/>
        <v>92895714</v>
      </c>
      <c r="O79" s="88">
        <f t="shared" si="78"/>
        <v>65837129</v>
      </c>
      <c r="P79" s="88">
        <f t="shared" si="78"/>
        <v>19000000</v>
      </c>
      <c r="Q79" s="88">
        <f t="shared" si="78"/>
        <v>0</v>
      </c>
      <c r="R79" s="88">
        <f t="shared" si="78"/>
        <v>0</v>
      </c>
      <c r="S79" s="88">
        <f t="shared" si="78"/>
        <v>0</v>
      </c>
      <c r="T79" s="88">
        <f t="shared" si="78"/>
        <v>0</v>
      </c>
      <c r="U79" s="88">
        <f t="shared" si="78"/>
        <v>0</v>
      </c>
    </row>
    <row r="80" spans="1:21" s="218" customFormat="1" x14ac:dyDescent="0.25">
      <c r="A80" s="222" t="s">
        <v>661</v>
      </c>
      <c r="B80" s="222"/>
      <c r="C80" s="222"/>
      <c r="D80" s="222"/>
      <c r="E80" s="222">
        <f>E79/E85</f>
        <v>0</v>
      </c>
      <c r="F80" s="222">
        <f t="shared" ref="F80:U80" si="79">F79/F85</f>
        <v>0</v>
      </c>
      <c r="G80" s="222">
        <f t="shared" si="79"/>
        <v>0</v>
      </c>
      <c r="H80" s="222">
        <f t="shared" si="79"/>
        <v>3.2276032826223953E-2</v>
      </c>
      <c r="I80" s="222">
        <f t="shared" si="79"/>
        <v>5.4842751398616031E-2</v>
      </c>
      <c r="J80" s="222">
        <f t="shared" si="79"/>
        <v>0.15105544402030952</v>
      </c>
      <c r="K80" s="222">
        <f t="shared" si="79"/>
        <v>0.16451377827032521</v>
      </c>
      <c r="L80" s="222">
        <f t="shared" si="79"/>
        <v>9.0486394658694666E-2</v>
      </c>
      <c r="M80" s="222">
        <f t="shared" si="79"/>
        <v>8.6665950265393851E-2</v>
      </c>
      <c r="N80" s="222">
        <f t="shared" si="79"/>
        <v>0.18722220178380725</v>
      </c>
      <c r="O80" s="222">
        <f t="shared" si="79"/>
        <v>0.19969577738733704</v>
      </c>
      <c r="P80" s="222">
        <f t="shared" si="79"/>
        <v>7.9992373284627855E-2</v>
      </c>
      <c r="Q80" s="222" t="e">
        <f t="shared" si="79"/>
        <v>#DIV/0!</v>
      </c>
      <c r="R80" s="222" t="e">
        <f t="shared" si="79"/>
        <v>#DIV/0!</v>
      </c>
      <c r="S80" s="222" t="e">
        <f t="shared" si="79"/>
        <v>#DIV/0!</v>
      </c>
      <c r="T80" s="222" t="e">
        <f t="shared" si="79"/>
        <v>#DIV/0!</v>
      </c>
      <c r="U80" s="222" t="e">
        <f t="shared" si="79"/>
        <v>#DIV/0!</v>
      </c>
    </row>
    <row r="81" spans="1:21" x14ac:dyDescent="0.25">
      <c r="A81" s="182" t="s">
        <v>652</v>
      </c>
      <c r="B81" s="64"/>
      <c r="C81" s="64"/>
      <c r="D81" s="64"/>
      <c r="E81" s="88">
        <f>E11</f>
        <v>0</v>
      </c>
      <c r="F81" s="88">
        <f t="shared" ref="F81:U81" si="80">F11</f>
        <v>0</v>
      </c>
      <c r="G81" s="88">
        <f t="shared" si="80"/>
        <v>0</v>
      </c>
      <c r="H81" s="88">
        <f t="shared" si="80"/>
        <v>9890479.9199999999</v>
      </c>
      <c r="I81" s="88">
        <f t="shared" si="80"/>
        <v>18408383.420000002</v>
      </c>
      <c r="J81" s="88">
        <f t="shared" si="80"/>
        <v>28105583.420000002</v>
      </c>
      <c r="K81" s="88">
        <f t="shared" si="80"/>
        <v>27650855.510000002</v>
      </c>
      <c r="L81" s="88">
        <f t="shared" si="80"/>
        <v>38982000</v>
      </c>
      <c r="M81" s="88">
        <f t="shared" si="80"/>
        <v>60540800</v>
      </c>
      <c r="N81" s="88">
        <f t="shared" si="80"/>
        <v>85540000</v>
      </c>
      <c r="O81" s="88">
        <f t="shared" si="80"/>
        <v>5375879.2400000002</v>
      </c>
      <c r="P81" s="88">
        <f t="shared" si="80"/>
        <v>4881671.9800000004</v>
      </c>
      <c r="Q81" s="88">
        <f t="shared" si="80"/>
        <v>0</v>
      </c>
      <c r="R81" s="88">
        <f t="shared" si="80"/>
        <v>0</v>
      </c>
      <c r="S81" s="88">
        <f t="shared" si="80"/>
        <v>0</v>
      </c>
      <c r="T81" s="88">
        <f t="shared" si="80"/>
        <v>0</v>
      </c>
      <c r="U81" s="88">
        <f t="shared" si="80"/>
        <v>0</v>
      </c>
    </row>
    <row r="82" spans="1:21" x14ac:dyDescent="0.25">
      <c r="A82" s="182" t="s">
        <v>654</v>
      </c>
      <c r="B82" s="64"/>
      <c r="C82" s="64"/>
      <c r="D82" s="64"/>
      <c r="E82" s="88">
        <f>E13</f>
        <v>1094888457.78</v>
      </c>
      <c r="F82" s="88">
        <f t="shared" ref="F82:U82" si="81">F13</f>
        <v>1054331578.12</v>
      </c>
      <c r="G82" s="88">
        <f t="shared" si="81"/>
        <v>1001622329.98</v>
      </c>
      <c r="H82" s="88">
        <f t="shared" si="81"/>
        <v>1002347985.12</v>
      </c>
      <c r="I82" s="88">
        <f t="shared" si="81"/>
        <v>985414241.73000002</v>
      </c>
      <c r="J82" s="88">
        <f t="shared" si="81"/>
        <v>445344693.15999997</v>
      </c>
      <c r="K82" s="88">
        <f t="shared" si="81"/>
        <v>400176395.75</v>
      </c>
      <c r="L82" s="88">
        <f t="shared" si="81"/>
        <v>478018286.78000003</v>
      </c>
      <c r="M82" s="88">
        <f t="shared" si="81"/>
        <v>387347869.01999992</v>
      </c>
      <c r="N82" s="88">
        <f t="shared" si="81"/>
        <v>317743228.00000006</v>
      </c>
      <c r="O82" s="88">
        <f t="shared" si="81"/>
        <v>258474128.17000008</v>
      </c>
      <c r="P82" s="88">
        <f t="shared" si="81"/>
        <v>213640971.99000001</v>
      </c>
      <c r="Q82" s="88">
        <f t="shared" si="81"/>
        <v>0</v>
      </c>
      <c r="R82" s="88">
        <f t="shared" si="81"/>
        <v>0</v>
      </c>
      <c r="S82" s="88">
        <f t="shared" si="81"/>
        <v>0</v>
      </c>
      <c r="T82" s="88">
        <f t="shared" si="81"/>
        <v>0</v>
      </c>
      <c r="U82" s="88">
        <f t="shared" si="81"/>
        <v>0</v>
      </c>
    </row>
    <row r="83" spans="1:21" x14ac:dyDescent="0.25">
      <c r="A83" s="182" t="s">
        <v>662</v>
      </c>
      <c r="B83" s="64"/>
      <c r="C83" s="64"/>
      <c r="D83" s="64"/>
      <c r="E83" s="88">
        <f>E81+E82</f>
        <v>1094888457.78</v>
      </c>
      <c r="F83" s="88">
        <f t="shared" ref="F83:U83" si="82">F81+F82</f>
        <v>1054331578.12</v>
      </c>
      <c r="G83" s="88">
        <f t="shared" si="82"/>
        <v>1001622329.98</v>
      </c>
      <c r="H83" s="88">
        <f t="shared" si="82"/>
        <v>1012238465.04</v>
      </c>
      <c r="I83" s="88">
        <f t="shared" si="82"/>
        <v>1003822625.15</v>
      </c>
      <c r="J83" s="88">
        <f t="shared" si="82"/>
        <v>473450276.57999998</v>
      </c>
      <c r="K83" s="88">
        <f t="shared" si="82"/>
        <v>427827251.25999999</v>
      </c>
      <c r="L83" s="88">
        <f t="shared" si="82"/>
        <v>517000286.78000003</v>
      </c>
      <c r="M83" s="88">
        <f t="shared" si="82"/>
        <v>447888669.01999992</v>
      </c>
      <c r="N83" s="88">
        <f t="shared" si="82"/>
        <v>403283228.00000006</v>
      </c>
      <c r="O83" s="88">
        <f t="shared" si="82"/>
        <v>263850007.41000009</v>
      </c>
      <c r="P83" s="88">
        <f t="shared" si="82"/>
        <v>218522643.97</v>
      </c>
      <c r="Q83" s="88">
        <f t="shared" si="82"/>
        <v>0</v>
      </c>
      <c r="R83" s="88">
        <f t="shared" si="82"/>
        <v>0</v>
      </c>
      <c r="S83" s="88">
        <f t="shared" si="82"/>
        <v>0</v>
      </c>
      <c r="T83" s="88">
        <f t="shared" si="82"/>
        <v>0</v>
      </c>
      <c r="U83" s="88">
        <f t="shared" si="82"/>
        <v>0</v>
      </c>
    </row>
    <row r="84" spans="1:21" s="218" customFormat="1" x14ac:dyDescent="0.25">
      <c r="A84" s="222" t="s">
        <v>663</v>
      </c>
      <c r="B84" s="222"/>
      <c r="C84" s="222"/>
      <c r="D84" s="222"/>
      <c r="E84" s="222">
        <f>E83/E85</f>
        <v>1</v>
      </c>
      <c r="F84" s="222">
        <f t="shared" ref="F84:U84" si="83">F83/F85</f>
        <v>1</v>
      </c>
      <c r="G84" s="222">
        <f t="shared" si="83"/>
        <v>1</v>
      </c>
      <c r="H84" s="222">
        <f t="shared" si="83"/>
        <v>0.96772396717377607</v>
      </c>
      <c r="I84" s="222">
        <f t="shared" si="83"/>
        <v>0.94515724860138395</v>
      </c>
      <c r="J84" s="222">
        <f t="shared" si="83"/>
        <v>0.84894455597969054</v>
      </c>
      <c r="K84" s="222">
        <f t="shared" si="83"/>
        <v>0.83548622172967479</v>
      </c>
      <c r="L84" s="222">
        <f t="shared" si="83"/>
        <v>0.90951360534130532</v>
      </c>
      <c r="M84" s="222">
        <f t="shared" si="83"/>
        <v>0.91333404973460619</v>
      </c>
      <c r="N84" s="222">
        <f t="shared" si="83"/>
        <v>0.81277779821619278</v>
      </c>
      <c r="O84" s="222">
        <f t="shared" si="83"/>
        <v>0.80030422261266299</v>
      </c>
      <c r="P84" s="222">
        <f t="shared" si="83"/>
        <v>0.92000762671537217</v>
      </c>
      <c r="Q84" s="222" t="e">
        <f t="shared" si="83"/>
        <v>#DIV/0!</v>
      </c>
      <c r="R84" s="222" t="e">
        <f t="shared" si="83"/>
        <v>#DIV/0!</v>
      </c>
      <c r="S84" s="222" t="e">
        <f t="shared" si="83"/>
        <v>#DIV/0!</v>
      </c>
      <c r="T84" s="222" t="e">
        <f t="shared" si="83"/>
        <v>#DIV/0!</v>
      </c>
      <c r="U84" s="222" t="e">
        <f t="shared" si="83"/>
        <v>#DIV/0!</v>
      </c>
    </row>
    <row r="85" spans="1:21" x14ac:dyDescent="0.25">
      <c r="A85" s="182" t="s">
        <v>655</v>
      </c>
      <c r="B85" s="64"/>
      <c r="C85" s="64"/>
      <c r="D85" s="64"/>
      <c r="E85" s="88">
        <f>E14</f>
        <v>1094888457.78</v>
      </c>
      <c r="F85" s="88">
        <f t="shared" ref="F85:U85" si="84">F14</f>
        <v>1054331578.12</v>
      </c>
      <c r="G85" s="88">
        <f t="shared" si="84"/>
        <v>1001622329.98</v>
      </c>
      <c r="H85" s="88">
        <f t="shared" si="84"/>
        <v>1045999168.54</v>
      </c>
      <c r="I85" s="88">
        <f t="shared" si="84"/>
        <v>1062069435.15</v>
      </c>
      <c r="J85" s="88">
        <f t="shared" si="84"/>
        <v>557692811.90999997</v>
      </c>
      <c r="K85" s="88">
        <f t="shared" si="84"/>
        <v>512069786.58999997</v>
      </c>
      <c r="L85" s="88">
        <f t="shared" si="84"/>
        <v>568436012.11000001</v>
      </c>
      <c r="M85" s="88">
        <f t="shared" si="84"/>
        <v>490388669.01999992</v>
      </c>
      <c r="N85" s="88">
        <f t="shared" si="84"/>
        <v>496178942.00000006</v>
      </c>
      <c r="O85" s="88">
        <f t="shared" si="84"/>
        <v>329687136.41000009</v>
      </c>
      <c r="P85" s="88">
        <f t="shared" si="84"/>
        <v>237522643.97</v>
      </c>
      <c r="Q85" s="88">
        <f t="shared" si="84"/>
        <v>0</v>
      </c>
      <c r="R85" s="88">
        <f t="shared" si="84"/>
        <v>0</v>
      </c>
      <c r="S85" s="88">
        <f t="shared" si="84"/>
        <v>0</v>
      </c>
      <c r="T85" s="88">
        <f t="shared" si="84"/>
        <v>0</v>
      </c>
      <c r="U85" s="88">
        <f t="shared" si="84"/>
        <v>0</v>
      </c>
    </row>
    <row r="87" spans="1:21" s="56" customFormat="1" ht="85.8" customHeight="1" x14ac:dyDescent="0.25">
      <c r="A87" s="276" t="s">
        <v>701</v>
      </c>
      <c r="B87" s="279"/>
      <c r="C87" s="279"/>
      <c r="D87" s="279"/>
      <c r="E87" s="279"/>
      <c r="F87" s="279"/>
      <c r="G87" s="279"/>
      <c r="H87" s="279"/>
      <c r="I87" s="279"/>
      <c r="J87" s="279"/>
      <c r="K87" s="279"/>
      <c r="L87" s="279"/>
      <c r="M87" s="279"/>
      <c r="N87" s="279"/>
      <c r="O87" s="279"/>
      <c r="P87" s="279"/>
      <c r="Q87" s="279"/>
      <c r="R87" s="279"/>
      <c r="S87" s="279"/>
      <c r="T87" s="279"/>
      <c r="U87" s="279"/>
    </row>
  </sheetData>
  <mergeCells count="4">
    <mergeCell ref="A18:AG18"/>
    <mergeCell ref="A87:U87"/>
    <mergeCell ref="A64:U64"/>
    <mergeCell ref="A75:U75"/>
  </mergeCells>
  <phoneticPr fontId="1"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股权价值增加分析表"/>
  <dimension ref="A1:CK88"/>
  <sheetViews>
    <sheetView topLeftCell="A31" zoomScaleNormal="100" workbookViewId="0">
      <selection activeCell="A74" sqref="A74:XFD76"/>
    </sheetView>
  </sheetViews>
  <sheetFormatPr defaultRowHeight="14.4" x14ac:dyDescent="0.25"/>
  <cols>
    <col min="1" max="1" width="47.88671875" style="17" bestFit="1" customWidth="1"/>
    <col min="2" max="4" width="10.5546875" hidden="1" customWidth="1"/>
    <col min="5" max="5" width="19.33203125" bestFit="1" customWidth="1"/>
    <col min="6" max="8" width="17.21875" hidden="1" customWidth="1"/>
    <col min="9" max="9" width="21.5546875" bestFit="1" customWidth="1"/>
    <col min="10" max="12" width="17.21875" hidden="1" customWidth="1"/>
    <col min="13" max="13" width="21.5546875" bestFit="1" customWidth="1"/>
    <col min="14" max="14" width="17.21875" hidden="1" customWidth="1"/>
    <col min="15" max="18" width="17.21875" bestFit="1" customWidth="1"/>
    <col min="19" max="19" width="9.5546875" hidden="1" customWidth="1"/>
    <col min="20" max="51" width="20.44140625" bestFit="1" customWidth="1"/>
    <col min="52" max="81" width="18.33203125" bestFit="1" customWidth="1"/>
    <col min="82" max="82" width="9.5546875" bestFit="1" customWidth="1"/>
    <col min="83" max="83" width="18.33203125" bestFit="1" customWidth="1"/>
    <col min="84" max="85" width="17.21875" bestFit="1" customWidth="1"/>
    <col min="86" max="86" width="16.109375" bestFit="1" customWidth="1"/>
    <col min="87" max="87" width="17.21875" bestFit="1" customWidth="1"/>
    <col min="88" max="88" width="16.109375" bestFit="1" customWidth="1"/>
    <col min="89" max="89" width="9.33203125" bestFit="1" customWidth="1"/>
  </cols>
  <sheetData>
    <row r="1" spans="1:89" s="26" customFormat="1" x14ac:dyDescent="0.25">
      <c r="A1" s="17">
        <v>603060</v>
      </c>
      <c r="B1" s="1">
        <v>43373</v>
      </c>
      <c r="C1" s="1">
        <v>43281</v>
      </c>
      <c r="D1" s="1">
        <v>43190</v>
      </c>
      <c r="E1" s="1">
        <v>43100</v>
      </c>
      <c r="F1" s="1">
        <v>43008</v>
      </c>
      <c r="G1" s="1">
        <v>42916</v>
      </c>
      <c r="H1" s="1">
        <v>42825</v>
      </c>
      <c r="I1" s="1">
        <v>42735</v>
      </c>
      <c r="J1" s="1">
        <v>42643</v>
      </c>
      <c r="K1" s="1">
        <v>42551</v>
      </c>
      <c r="L1" s="1">
        <v>42460</v>
      </c>
      <c r="M1" s="1">
        <v>42369</v>
      </c>
      <c r="N1" s="1">
        <v>42277</v>
      </c>
      <c r="O1" s="1">
        <v>42004</v>
      </c>
      <c r="P1" s="1">
        <v>41639</v>
      </c>
      <c r="Q1" s="1">
        <v>41274</v>
      </c>
      <c r="R1" s="1">
        <v>40908</v>
      </c>
      <c r="S1" s="1">
        <v>25569</v>
      </c>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s="26" customFormat="1" x14ac:dyDescent="0.25">
      <c r="A2" s="17" t="s">
        <v>351</v>
      </c>
      <c r="E2" s="26">
        <f>股权价值增加表!E4</f>
        <v>752408925.78999996</v>
      </c>
      <c r="F2" s="26">
        <f>股权价值增加表!F4</f>
        <v>525772942.17000002</v>
      </c>
      <c r="G2" s="26">
        <f>股权价值增加表!G4</f>
        <v>339770745.41000003</v>
      </c>
      <c r="H2" s="26">
        <f>股权价值增加表!H4</f>
        <v>153700781.78999999</v>
      </c>
      <c r="I2" s="26">
        <f>股权价值增加表!I4</f>
        <v>665011421.55999994</v>
      </c>
      <c r="J2" s="26">
        <f>股权价值增加表!J4</f>
        <v>454007921.24000001</v>
      </c>
      <c r="K2" s="26">
        <f>股权价值增加表!K4</f>
        <v>283257330.20999998</v>
      </c>
      <c r="L2" s="26">
        <f>股权价值增加表!L4</f>
        <v>124302689.18000001</v>
      </c>
      <c r="M2" s="26">
        <f>股权价值增加表!M4</f>
        <v>597037871.64999998</v>
      </c>
      <c r="N2" s="26">
        <f>股权价值增加表!N4</f>
        <v>409475329.64999998</v>
      </c>
      <c r="O2" s="26">
        <f>股权价值增加表!O4</f>
        <v>528809680.74000001</v>
      </c>
      <c r="P2" s="26">
        <f>股权价值增加表!P4</f>
        <v>484907942.22000003</v>
      </c>
      <c r="Q2" s="26">
        <f>股权价值增加表!Q4</f>
        <v>395593790.81</v>
      </c>
      <c r="R2" s="26">
        <f>股权价值增加表!R4</f>
        <v>316891515.43000001</v>
      </c>
      <c r="S2" s="26">
        <f>股权价值增加表!S4</f>
        <v>0</v>
      </c>
      <c r="T2" s="26">
        <f>股权价值增加表!T4</f>
        <v>0</v>
      </c>
      <c r="U2" s="26">
        <f>股权价值增加表!U4</f>
        <v>0</v>
      </c>
      <c r="V2" s="26">
        <f>股权价值增加表!V4</f>
        <v>0</v>
      </c>
      <c r="W2" s="26">
        <f>股权价值增加表!W4</f>
        <v>0</v>
      </c>
      <c r="X2" s="26">
        <f>股权价值增加表!X4</f>
        <v>0</v>
      </c>
      <c r="Y2" s="26">
        <f>股权价值增加表!Y4</f>
        <v>0</v>
      </c>
      <c r="Z2" s="26">
        <f>股权价值增加表!Z4</f>
        <v>0</v>
      </c>
      <c r="AA2" s="26">
        <f>股权价值增加表!AA4</f>
        <v>0</v>
      </c>
      <c r="AB2" s="26">
        <f>股权价值增加表!AB4</f>
        <v>0</v>
      </c>
      <c r="AC2" s="26">
        <f>股权价值增加表!AC4</f>
        <v>0</v>
      </c>
      <c r="AD2" s="26">
        <f>股权价值增加表!AD4</f>
        <v>0</v>
      </c>
      <c r="AE2" s="26">
        <f>股权价值增加表!AE4</f>
        <v>0</v>
      </c>
      <c r="AF2" s="26">
        <f>股权价值增加表!AF4</f>
        <v>0</v>
      </c>
      <c r="AG2" s="26">
        <f>股权价值增加表!AG4</f>
        <v>0</v>
      </c>
      <c r="AH2" s="26">
        <f>股权价值增加表!AH4</f>
        <v>0</v>
      </c>
      <c r="AI2" s="26">
        <f>股权价值增加表!AI4</f>
        <v>0</v>
      </c>
      <c r="AJ2" s="26">
        <f>股权价值增加表!AJ4</f>
        <v>0</v>
      </c>
      <c r="AK2" s="26">
        <f>股权价值增加表!AK4</f>
        <v>0</v>
      </c>
      <c r="AL2" s="26">
        <f>股权价值增加表!AL4</f>
        <v>0</v>
      </c>
      <c r="AM2" s="26">
        <f>股权价值增加表!AM4</f>
        <v>0</v>
      </c>
      <c r="AN2" s="26">
        <f>股权价值增加表!AN4</f>
        <v>0</v>
      </c>
      <c r="AO2" s="26">
        <f>股权价值增加表!AO4</f>
        <v>0</v>
      </c>
      <c r="AP2" s="26">
        <f>股权价值增加表!AP4</f>
        <v>0</v>
      </c>
      <c r="AQ2" s="26">
        <f>股权价值增加表!AQ4</f>
        <v>0</v>
      </c>
      <c r="AR2" s="26">
        <f>股权价值增加表!AR4</f>
        <v>0</v>
      </c>
      <c r="AS2" s="26">
        <f>股权价值增加表!AS4</f>
        <v>0</v>
      </c>
      <c r="AT2" s="26">
        <f>股权价值增加表!AT4</f>
        <v>0</v>
      </c>
      <c r="AU2" s="26">
        <f>股权价值增加表!AU4</f>
        <v>0</v>
      </c>
      <c r="AV2" s="26">
        <f>股权价值增加表!AV4</f>
        <v>0</v>
      </c>
      <c r="AW2" s="26">
        <f>股权价值增加表!AW4</f>
        <v>0</v>
      </c>
      <c r="AX2" s="26">
        <f>股权价值增加表!AX4</f>
        <v>0</v>
      </c>
      <c r="AY2" s="26">
        <f>股权价值增加表!AY4</f>
        <v>0</v>
      </c>
      <c r="AZ2" s="26">
        <f>股权价值增加表!AZ4</f>
        <v>0</v>
      </c>
      <c r="BA2" s="26">
        <f>股权价值增加表!BA4</f>
        <v>0</v>
      </c>
      <c r="BB2" s="26">
        <f>股权价值增加表!BB4</f>
        <v>0</v>
      </c>
      <c r="BC2" s="26">
        <f>股权价值增加表!BC4</f>
        <v>0</v>
      </c>
      <c r="BD2" s="26">
        <f>股权价值增加表!BD4</f>
        <v>0</v>
      </c>
      <c r="BE2" s="26">
        <f>股权价值增加表!BE4</f>
        <v>0</v>
      </c>
      <c r="BF2" s="26">
        <f>股权价值增加表!BF4</f>
        <v>0</v>
      </c>
      <c r="BG2" s="26">
        <f>股权价值增加表!BG4</f>
        <v>0</v>
      </c>
      <c r="BH2" s="26">
        <f>股权价值增加表!BH4</f>
        <v>0</v>
      </c>
      <c r="BI2" s="26">
        <f>股权价值增加表!BI4</f>
        <v>0</v>
      </c>
      <c r="BJ2" s="26">
        <f>股权价值增加表!BJ4</f>
        <v>0</v>
      </c>
      <c r="BK2" s="26">
        <f>股权价值增加表!BK4</f>
        <v>0</v>
      </c>
      <c r="BL2" s="26">
        <f>股权价值增加表!BL4</f>
        <v>0</v>
      </c>
      <c r="BM2" s="26">
        <f>股权价值增加表!BM4</f>
        <v>0</v>
      </c>
      <c r="BN2" s="26">
        <f>股权价值增加表!BN4</f>
        <v>0</v>
      </c>
      <c r="BO2" s="26">
        <f>股权价值增加表!BO4</f>
        <v>0</v>
      </c>
      <c r="BP2" s="26">
        <f>股权价值增加表!BP4</f>
        <v>0</v>
      </c>
      <c r="BQ2" s="26">
        <f>股权价值增加表!BQ4</f>
        <v>0</v>
      </c>
      <c r="BR2" s="26">
        <f>股权价值增加表!BR4</f>
        <v>0</v>
      </c>
      <c r="BS2" s="26">
        <f>股权价值增加表!BS4</f>
        <v>0</v>
      </c>
      <c r="BT2" s="26">
        <f>股权价值增加表!BT4</f>
        <v>0</v>
      </c>
      <c r="BU2" s="26">
        <f>股权价值增加表!BU4</f>
        <v>0</v>
      </c>
      <c r="BV2" s="26">
        <f>股权价值增加表!BV4</f>
        <v>0</v>
      </c>
      <c r="BW2" s="26">
        <f>股权价值增加表!BW4</f>
        <v>0</v>
      </c>
      <c r="BX2" s="26">
        <f>股权价值增加表!BX4</f>
        <v>0</v>
      </c>
      <c r="BY2" s="26">
        <f>股权价值增加表!BY4</f>
        <v>0</v>
      </c>
      <c r="BZ2" s="26">
        <f>股权价值增加表!BZ4</f>
        <v>0</v>
      </c>
      <c r="CA2" s="26">
        <f>股权价值增加表!CA4</f>
        <v>0</v>
      </c>
      <c r="CB2" s="26">
        <f>股权价值增加表!CB4</f>
        <v>0</v>
      </c>
      <c r="CC2" s="26">
        <f>股权价值增加表!CC4</f>
        <v>0</v>
      </c>
      <c r="CD2" s="26">
        <f>股权价值增加表!CD4</f>
        <v>0</v>
      </c>
      <c r="CE2" s="26">
        <f>股权价值增加表!CE4</f>
        <v>0</v>
      </c>
      <c r="CF2" s="26">
        <f>股权价值增加表!CF4</f>
        <v>0</v>
      </c>
      <c r="CG2" s="26">
        <f>股权价值增加表!CG4</f>
        <v>0</v>
      </c>
      <c r="CH2" s="26">
        <f>股权价值增加表!CH4</f>
        <v>0</v>
      </c>
      <c r="CI2" s="26">
        <f>股权价值增加表!CI4</f>
        <v>0</v>
      </c>
      <c r="CJ2" s="26">
        <f>股权价值增加表!CJ4</f>
        <v>0</v>
      </c>
    </row>
    <row r="3" spans="1:89" s="66" customFormat="1" x14ac:dyDescent="0.25">
      <c r="A3" s="46" t="s">
        <v>372</v>
      </c>
      <c r="E3" s="66">
        <f>(E2-I2)/I2</f>
        <v>0.13142256117192819</v>
      </c>
      <c r="F3" s="66">
        <f t="shared" ref="F3:BQ3" si="0">(F2-J2)/J2</f>
        <v>0.15806997537398298</v>
      </c>
      <c r="G3" s="66">
        <f t="shared" si="0"/>
        <v>0.19951263099917801</v>
      </c>
      <c r="H3" s="66">
        <f t="shared" si="0"/>
        <v>0.23650407568760839</v>
      </c>
      <c r="I3" s="66">
        <f t="shared" si="0"/>
        <v>0.11385132022219176</v>
      </c>
      <c r="J3" s="66">
        <f t="shared" si="0"/>
        <v>0.1087552493774518</v>
      </c>
      <c r="K3" s="66">
        <f t="shared" si="0"/>
        <v>-0.46434919683463743</v>
      </c>
      <c r="L3" s="66">
        <f t="shared" si="0"/>
        <v>-0.74365713910372588</v>
      </c>
      <c r="M3" s="66">
        <f>(M2-O2)/O2</f>
        <v>0.12902220476471524</v>
      </c>
      <c r="N3" s="66">
        <f t="shared" ref="N3:R3" si="1">(N2-P2)/P2</f>
        <v>-0.1555606868896709</v>
      </c>
      <c r="O3" s="66">
        <f t="shared" si="1"/>
        <v>0.33674919330061565</v>
      </c>
      <c r="P3" s="66">
        <f t="shared" si="1"/>
        <v>0.53020172080660877</v>
      </c>
      <c r="Q3" s="66">
        <f>(Q2-R2)/R2</f>
        <v>0.24835715551805299</v>
      </c>
      <c r="R3" s="66" t="e">
        <f t="shared" si="1"/>
        <v>#DIV/0!</v>
      </c>
      <c r="S3" s="66" t="e">
        <f t="shared" si="0"/>
        <v>#DIV/0!</v>
      </c>
      <c r="T3" s="66" t="e">
        <f t="shared" si="0"/>
        <v>#DIV/0!</v>
      </c>
      <c r="U3" s="66" t="e">
        <f t="shared" si="0"/>
        <v>#DIV/0!</v>
      </c>
      <c r="V3" s="66" t="e">
        <f t="shared" si="0"/>
        <v>#DIV/0!</v>
      </c>
      <c r="W3" s="66" t="e">
        <f t="shared" si="0"/>
        <v>#DIV/0!</v>
      </c>
      <c r="X3" s="66" t="e">
        <f t="shared" si="0"/>
        <v>#DIV/0!</v>
      </c>
      <c r="Y3" s="66" t="e">
        <f t="shared" si="0"/>
        <v>#DIV/0!</v>
      </c>
      <c r="Z3" s="66" t="e">
        <f t="shared" si="0"/>
        <v>#DIV/0!</v>
      </c>
      <c r="AA3" s="66" t="e">
        <f t="shared" si="0"/>
        <v>#DIV/0!</v>
      </c>
      <c r="AB3" s="66" t="e">
        <f t="shared" si="0"/>
        <v>#DIV/0!</v>
      </c>
      <c r="AC3" s="66" t="e">
        <f t="shared" si="0"/>
        <v>#DIV/0!</v>
      </c>
      <c r="AD3" s="66" t="e">
        <f t="shared" si="0"/>
        <v>#DIV/0!</v>
      </c>
      <c r="AE3" s="66" t="e">
        <f t="shared" si="0"/>
        <v>#DIV/0!</v>
      </c>
      <c r="AF3" s="66" t="e">
        <f t="shared" si="0"/>
        <v>#DIV/0!</v>
      </c>
      <c r="AG3" s="66" t="e">
        <f t="shared" si="0"/>
        <v>#DIV/0!</v>
      </c>
      <c r="AH3" s="66" t="e">
        <f t="shared" si="0"/>
        <v>#DIV/0!</v>
      </c>
      <c r="AI3" s="66" t="e">
        <f t="shared" si="0"/>
        <v>#DIV/0!</v>
      </c>
      <c r="AJ3" s="66" t="e">
        <f t="shared" si="0"/>
        <v>#DIV/0!</v>
      </c>
      <c r="AK3" s="66" t="e">
        <f t="shared" si="0"/>
        <v>#DIV/0!</v>
      </c>
      <c r="AL3" s="66" t="e">
        <f t="shared" si="0"/>
        <v>#DIV/0!</v>
      </c>
      <c r="AM3" s="66" t="e">
        <f t="shared" si="0"/>
        <v>#DIV/0!</v>
      </c>
      <c r="AN3" s="66" t="e">
        <f t="shared" si="0"/>
        <v>#DIV/0!</v>
      </c>
      <c r="AO3" s="66" t="e">
        <f t="shared" si="0"/>
        <v>#DIV/0!</v>
      </c>
      <c r="AP3" s="66" t="e">
        <f t="shared" si="0"/>
        <v>#DIV/0!</v>
      </c>
      <c r="AQ3" s="66" t="e">
        <f t="shared" si="0"/>
        <v>#DIV/0!</v>
      </c>
      <c r="AR3" s="66" t="e">
        <f t="shared" si="0"/>
        <v>#DIV/0!</v>
      </c>
      <c r="AS3" s="66" t="e">
        <f t="shared" si="0"/>
        <v>#DIV/0!</v>
      </c>
      <c r="AT3" s="66" t="e">
        <f t="shared" si="0"/>
        <v>#DIV/0!</v>
      </c>
      <c r="AU3" s="66" t="e">
        <f t="shared" si="0"/>
        <v>#DIV/0!</v>
      </c>
      <c r="AV3" s="66" t="e">
        <f t="shared" si="0"/>
        <v>#DIV/0!</v>
      </c>
      <c r="AW3" s="66" t="e">
        <f t="shared" si="0"/>
        <v>#DIV/0!</v>
      </c>
      <c r="AX3" s="66" t="e">
        <f t="shared" si="0"/>
        <v>#DIV/0!</v>
      </c>
      <c r="AY3" s="66" t="e">
        <f t="shared" si="0"/>
        <v>#DIV/0!</v>
      </c>
      <c r="AZ3" s="66" t="e">
        <f t="shared" si="0"/>
        <v>#DIV/0!</v>
      </c>
      <c r="BA3" s="66" t="e">
        <f t="shared" si="0"/>
        <v>#DIV/0!</v>
      </c>
      <c r="BB3" s="66" t="e">
        <f t="shared" si="0"/>
        <v>#DIV/0!</v>
      </c>
      <c r="BC3" s="66" t="e">
        <f t="shared" si="0"/>
        <v>#DIV/0!</v>
      </c>
      <c r="BD3" s="66" t="e">
        <f t="shared" si="0"/>
        <v>#DIV/0!</v>
      </c>
      <c r="BE3" s="66" t="e">
        <f t="shared" si="0"/>
        <v>#DIV/0!</v>
      </c>
      <c r="BF3" s="66" t="e">
        <f t="shared" si="0"/>
        <v>#DIV/0!</v>
      </c>
      <c r="BG3" s="66" t="e">
        <f t="shared" si="0"/>
        <v>#DIV/0!</v>
      </c>
      <c r="BH3" s="66" t="e">
        <f t="shared" si="0"/>
        <v>#DIV/0!</v>
      </c>
      <c r="BI3" s="66" t="e">
        <f t="shared" si="0"/>
        <v>#DIV/0!</v>
      </c>
      <c r="BJ3" s="66" t="e">
        <f t="shared" si="0"/>
        <v>#DIV/0!</v>
      </c>
      <c r="BK3" s="66" t="e">
        <f t="shared" si="0"/>
        <v>#DIV/0!</v>
      </c>
      <c r="BL3" s="66" t="e">
        <f t="shared" si="0"/>
        <v>#DIV/0!</v>
      </c>
      <c r="BM3" s="66" t="e">
        <f t="shared" si="0"/>
        <v>#DIV/0!</v>
      </c>
      <c r="BN3" s="66" t="e">
        <f t="shared" si="0"/>
        <v>#DIV/0!</v>
      </c>
      <c r="BO3" s="66" t="e">
        <f t="shared" si="0"/>
        <v>#DIV/0!</v>
      </c>
      <c r="BP3" s="66" t="e">
        <f t="shared" si="0"/>
        <v>#DIV/0!</v>
      </c>
      <c r="BQ3" s="66" t="e">
        <f t="shared" si="0"/>
        <v>#DIV/0!</v>
      </c>
      <c r="BR3" s="66" t="e">
        <f t="shared" ref="BR3:CJ3" si="2">(BR2-BV2)/BV2</f>
        <v>#DIV/0!</v>
      </c>
      <c r="BS3" s="66" t="e">
        <f t="shared" si="2"/>
        <v>#DIV/0!</v>
      </c>
      <c r="BT3" s="66" t="e">
        <f t="shared" si="2"/>
        <v>#DIV/0!</v>
      </c>
      <c r="BU3" s="66" t="e">
        <f t="shared" si="2"/>
        <v>#DIV/0!</v>
      </c>
      <c r="BV3" s="66" t="e">
        <f t="shared" si="2"/>
        <v>#DIV/0!</v>
      </c>
      <c r="BW3" s="66" t="e">
        <f t="shared" si="2"/>
        <v>#DIV/0!</v>
      </c>
      <c r="BX3" s="66" t="e">
        <f t="shared" si="2"/>
        <v>#DIV/0!</v>
      </c>
      <c r="BY3" s="66" t="e">
        <f t="shared" si="2"/>
        <v>#DIV/0!</v>
      </c>
      <c r="BZ3" s="66" t="e">
        <f t="shared" si="2"/>
        <v>#DIV/0!</v>
      </c>
      <c r="CA3" s="66" t="e">
        <f t="shared" si="2"/>
        <v>#DIV/0!</v>
      </c>
      <c r="CB3" s="66" t="e">
        <f t="shared" si="2"/>
        <v>#DIV/0!</v>
      </c>
      <c r="CC3" s="66" t="e">
        <f t="shared" si="2"/>
        <v>#DIV/0!</v>
      </c>
      <c r="CD3" s="66" t="e">
        <f t="shared" si="2"/>
        <v>#DIV/0!</v>
      </c>
      <c r="CE3" s="66" t="e">
        <f t="shared" si="2"/>
        <v>#DIV/0!</v>
      </c>
      <c r="CF3" s="66" t="e">
        <f t="shared" si="2"/>
        <v>#DIV/0!</v>
      </c>
      <c r="CG3" s="66" t="e">
        <f t="shared" si="2"/>
        <v>#DIV/0!</v>
      </c>
      <c r="CH3" s="66" t="e">
        <f t="shared" si="2"/>
        <v>#DIV/0!</v>
      </c>
      <c r="CI3" s="66" t="e">
        <f t="shared" si="2"/>
        <v>#DIV/0!</v>
      </c>
      <c r="CJ3" s="66" t="e">
        <f t="shared" si="2"/>
        <v>#DIV/0!</v>
      </c>
    </row>
    <row r="4" spans="1:89" s="26" customFormat="1" x14ac:dyDescent="0.25">
      <c r="A4" s="17" t="s">
        <v>352</v>
      </c>
      <c r="E4" s="26">
        <f>股权价值增加表!E5</f>
        <v>406091046.83999997</v>
      </c>
      <c r="F4" s="26">
        <f>股权价值增加表!F5</f>
        <v>271365768.27999997</v>
      </c>
      <c r="G4" s="26">
        <f>股权价值增加表!G5</f>
        <v>181470105.86000001</v>
      </c>
      <c r="H4" s="26">
        <f>股权价值增加表!H5</f>
        <v>91249713.920000002</v>
      </c>
      <c r="I4" s="26">
        <f>股权价值增加表!I5</f>
        <v>348439708.45999998</v>
      </c>
      <c r="J4" s="26">
        <f>股权价值增加表!J5</f>
        <v>228589200.88</v>
      </c>
      <c r="K4" s="26">
        <f>股权价值增加表!K5</f>
        <v>149382777.41999999</v>
      </c>
      <c r="L4" s="26">
        <f>股权价值增加表!L5</f>
        <v>74864949.950000003</v>
      </c>
      <c r="M4" s="26">
        <f>股权价值增加表!M5</f>
        <v>318153253.52999997</v>
      </c>
      <c r="N4" s="26">
        <f>股权价值增加表!N5</f>
        <v>215473046.52000001</v>
      </c>
      <c r="O4" s="26">
        <f>股权价值增加表!O5</f>
        <v>287721956.77999997</v>
      </c>
      <c r="P4" s="26">
        <f>股权价值增加表!P5</f>
        <v>255145394.69</v>
      </c>
      <c r="Q4" s="26">
        <f>股权价值增加表!Q5</f>
        <v>207821413.31999999</v>
      </c>
      <c r="R4" s="26">
        <f>股权价值增加表!R5</f>
        <v>157440528.15000001</v>
      </c>
      <c r="S4" s="26">
        <f>股权价值增加表!S5</f>
        <v>0</v>
      </c>
      <c r="T4" s="26">
        <f>股权价值增加表!T5</f>
        <v>0</v>
      </c>
      <c r="U4" s="26">
        <f>股权价值增加表!U5</f>
        <v>0</v>
      </c>
      <c r="V4" s="26">
        <f>股权价值增加表!V5</f>
        <v>0</v>
      </c>
      <c r="W4" s="26">
        <f>股权价值增加表!W5</f>
        <v>0</v>
      </c>
      <c r="X4" s="26">
        <f>股权价值增加表!X5</f>
        <v>0</v>
      </c>
      <c r="Y4" s="26">
        <f>股权价值增加表!Y5</f>
        <v>0</v>
      </c>
      <c r="Z4" s="26">
        <f>股权价值增加表!Z5</f>
        <v>0</v>
      </c>
      <c r="AA4" s="26">
        <f>股权价值增加表!AA5</f>
        <v>0</v>
      </c>
      <c r="AB4" s="26">
        <f>股权价值增加表!AB5</f>
        <v>0</v>
      </c>
      <c r="AC4" s="26">
        <f>股权价值增加表!AC5</f>
        <v>0</v>
      </c>
      <c r="AD4" s="26">
        <f>股权价值增加表!AD5</f>
        <v>0</v>
      </c>
      <c r="AE4" s="26">
        <f>股权价值增加表!AE5</f>
        <v>0</v>
      </c>
      <c r="AF4" s="26">
        <f>股权价值增加表!AF5</f>
        <v>0</v>
      </c>
      <c r="AG4" s="26">
        <f>股权价值增加表!AG5</f>
        <v>0</v>
      </c>
      <c r="AH4" s="26">
        <f>股权价值增加表!AH5</f>
        <v>0</v>
      </c>
      <c r="AI4" s="26">
        <f>股权价值增加表!AI5</f>
        <v>0</v>
      </c>
      <c r="AJ4" s="26">
        <f>股权价值增加表!AJ5</f>
        <v>0</v>
      </c>
      <c r="AK4" s="26">
        <f>股权价值增加表!AK5</f>
        <v>0</v>
      </c>
      <c r="AL4" s="26">
        <f>股权价值增加表!AL5</f>
        <v>0</v>
      </c>
      <c r="AM4" s="26">
        <f>股权价值增加表!AM5</f>
        <v>0</v>
      </c>
      <c r="AN4" s="26">
        <f>股权价值增加表!AN5</f>
        <v>0</v>
      </c>
      <c r="AO4" s="26">
        <f>股权价值增加表!AO5</f>
        <v>0</v>
      </c>
      <c r="AP4" s="26">
        <f>股权价值增加表!AP5</f>
        <v>0</v>
      </c>
      <c r="AQ4" s="26">
        <f>股权价值增加表!AQ5</f>
        <v>0</v>
      </c>
      <c r="AR4" s="26">
        <f>股权价值增加表!AR5</f>
        <v>0</v>
      </c>
      <c r="AS4" s="26">
        <f>股权价值增加表!AS5</f>
        <v>0</v>
      </c>
      <c r="AT4" s="26">
        <f>股权价值增加表!AT5</f>
        <v>0</v>
      </c>
      <c r="AU4" s="26">
        <f>股权价值增加表!AU5</f>
        <v>0</v>
      </c>
      <c r="AV4" s="26">
        <f>股权价值增加表!AV5</f>
        <v>0</v>
      </c>
      <c r="AW4" s="26">
        <f>股权价值增加表!AW5</f>
        <v>0</v>
      </c>
      <c r="AX4" s="26">
        <f>股权价值增加表!AX5</f>
        <v>0</v>
      </c>
      <c r="AY4" s="26">
        <f>股权价值增加表!AY5</f>
        <v>0</v>
      </c>
      <c r="AZ4" s="26">
        <f>股权价值增加表!AZ5</f>
        <v>0</v>
      </c>
      <c r="BA4" s="26">
        <f>股权价值增加表!BA5</f>
        <v>0</v>
      </c>
      <c r="BB4" s="26">
        <f>股权价值增加表!BB5</f>
        <v>0</v>
      </c>
      <c r="BC4" s="26">
        <f>股权价值增加表!BC5</f>
        <v>0</v>
      </c>
      <c r="BD4" s="26">
        <f>股权价值增加表!BD5</f>
        <v>0</v>
      </c>
      <c r="BE4" s="26">
        <f>股权价值增加表!BE5</f>
        <v>0</v>
      </c>
      <c r="BF4" s="26">
        <f>股权价值增加表!BF5</f>
        <v>0</v>
      </c>
      <c r="BG4" s="26">
        <f>股权价值增加表!BG5</f>
        <v>0</v>
      </c>
      <c r="BH4" s="26">
        <f>股权价值增加表!BH5</f>
        <v>0</v>
      </c>
      <c r="BI4" s="26">
        <f>股权价值增加表!BI5</f>
        <v>0</v>
      </c>
      <c r="BJ4" s="26">
        <f>股权价值增加表!BJ5</f>
        <v>0</v>
      </c>
      <c r="BK4" s="26">
        <f>股权价值增加表!BK5</f>
        <v>0</v>
      </c>
      <c r="BL4" s="26">
        <f>股权价值增加表!BL5</f>
        <v>0</v>
      </c>
      <c r="BM4" s="26">
        <f>股权价值增加表!BM5</f>
        <v>0</v>
      </c>
      <c r="BN4" s="26">
        <f>股权价值增加表!BN5</f>
        <v>0</v>
      </c>
      <c r="BO4" s="26">
        <f>股权价值增加表!BO5</f>
        <v>0</v>
      </c>
      <c r="BP4" s="26">
        <f>股权价值增加表!BP5</f>
        <v>0</v>
      </c>
      <c r="BQ4" s="26">
        <f>股权价值增加表!BQ5</f>
        <v>0</v>
      </c>
      <c r="BR4" s="26">
        <f>股权价值增加表!BR5</f>
        <v>0</v>
      </c>
      <c r="BS4" s="26">
        <f>股权价值增加表!BS5</f>
        <v>0</v>
      </c>
      <c r="BT4" s="26">
        <f>股权价值增加表!BT5</f>
        <v>0</v>
      </c>
      <c r="BU4" s="26">
        <f>股权价值增加表!BU5</f>
        <v>0</v>
      </c>
      <c r="BV4" s="26">
        <f>股权价值增加表!BV5</f>
        <v>0</v>
      </c>
      <c r="BW4" s="26">
        <f>股权价值增加表!BW5</f>
        <v>0</v>
      </c>
      <c r="BX4" s="26">
        <f>股权价值增加表!BX5</f>
        <v>0</v>
      </c>
      <c r="BY4" s="26">
        <f>股权价值增加表!BY5</f>
        <v>0</v>
      </c>
      <c r="BZ4" s="26">
        <f>股权价值增加表!BZ5</f>
        <v>0</v>
      </c>
      <c r="CA4" s="26">
        <f>股权价值增加表!CA5</f>
        <v>0</v>
      </c>
      <c r="CB4" s="26">
        <f>股权价值增加表!CB5</f>
        <v>0</v>
      </c>
      <c r="CC4" s="26">
        <f>股权价值增加表!CC5</f>
        <v>0</v>
      </c>
      <c r="CD4" s="26">
        <f>股权价值增加表!CD5</f>
        <v>0</v>
      </c>
      <c r="CE4" s="26">
        <f>股权价值增加表!CE5</f>
        <v>0</v>
      </c>
      <c r="CF4" s="26">
        <f>股权价值增加表!CF5</f>
        <v>0</v>
      </c>
      <c r="CG4" s="26">
        <f>股权价值增加表!CG5</f>
        <v>0</v>
      </c>
      <c r="CH4" s="26">
        <f>股权价值增加表!CH5</f>
        <v>0</v>
      </c>
      <c r="CI4" s="26">
        <f>股权价值增加表!CI5</f>
        <v>0</v>
      </c>
      <c r="CJ4" s="26">
        <f>股权价值增加表!CJ5</f>
        <v>0</v>
      </c>
    </row>
    <row r="5" spans="1:89" s="66" customFormat="1" x14ac:dyDescent="0.25">
      <c r="A5" s="46" t="s">
        <v>353</v>
      </c>
      <c r="E5" s="66">
        <f t="shared" ref="E5:AJ5" si="3">E4/E2</f>
        <v>0.53972119803552332</v>
      </c>
      <c r="F5" s="66">
        <f t="shared" si="3"/>
        <v>0.51612729852548844</v>
      </c>
      <c r="G5" s="66">
        <f t="shared" si="3"/>
        <v>0.53409573458427317</v>
      </c>
      <c r="H5" s="66">
        <f t="shared" si="3"/>
        <v>0.59368412351131483</v>
      </c>
      <c r="I5" s="66">
        <f t="shared" si="3"/>
        <v>0.52396048723888333</v>
      </c>
      <c r="J5" s="66">
        <f t="shared" si="3"/>
        <v>0.50349165771308646</v>
      </c>
      <c r="K5" s="66">
        <f t="shared" si="3"/>
        <v>0.52737479841828383</v>
      </c>
      <c r="L5" s="66">
        <f t="shared" si="3"/>
        <v>0.60227940717830897</v>
      </c>
      <c r="M5" s="66">
        <f t="shared" si="3"/>
        <v>0.53288621817362725</v>
      </c>
      <c r="N5" s="66">
        <f t="shared" si="3"/>
        <v>0.52621740778419079</v>
      </c>
      <c r="O5" s="66">
        <f t="shared" si="3"/>
        <v>0.5440935884104291</v>
      </c>
      <c r="P5" s="66">
        <f t="shared" si="3"/>
        <v>0.52617285153527549</v>
      </c>
      <c r="Q5" s="66">
        <f t="shared" si="3"/>
        <v>0.52534043290839894</v>
      </c>
      <c r="R5" s="66">
        <f t="shared" si="3"/>
        <v>0.49682784323324036</v>
      </c>
      <c r="S5" s="66" t="e">
        <f t="shared" si="3"/>
        <v>#DIV/0!</v>
      </c>
      <c r="T5" s="66" t="e">
        <f t="shared" si="3"/>
        <v>#DIV/0!</v>
      </c>
      <c r="U5" s="66" t="e">
        <f t="shared" si="3"/>
        <v>#DIV/0!</v>
      </c>
      <c r="V5" s="66" t="e">
        <f t="shared" si="3"/>
        <v>#DIV/0!</v>
      </c>
      <c r="W5" s="66" t="e">
        <f t="shared" si="3"/>
        <v>#DIV/0!</v>
      </c>
      <c r="X5" s="66" t="e">
        <f t="shared" si="3"/>
        <v>#DIV/0!</v>
      </c>
      <c r="Y5" s="66" t="e">
        <f t="shared" si="3"/>
        <v>#DIV/0!</v>
      </c>
      <c r="Z5" s="66" t="e">
        <f t="shared" si="3"/>
        <v>#DIV/0!</v>
      </c>
      <c r="AA5" s="66" t="e">
        <f t="shared" si="3"/>
        <v>#DIV/0!</v>
      </c>
      <c r="AB5" s="66" t="e">
        <f t="shared" si="3"/>
        <v>#DIV/0!</v>
      </c>
      <c r="AC5" s="66" t="e">
        <f t="shared" si="3"/>
        <v>#DIV/0!</v>
      </c>
      <c r="AD5" s="66" t="e">
        <f t="shared" si="3"/>
        <v>#DIV/0!</v>
      </c>
      <c r="AE5" s="66" t="e">
        <f t="shared" si="3"/>
        <v>#DIV/0!</v>
      </c>
      <c r="AF5" s="66" t="e">
        <f t="shared" si="3"/>
        <v>#DIV/0!</v>
      </c>
      <c r="AG5" s="66" t="e">
        <f t="shared" si="3"/>
        <v>#DIV/0!</v>
      </c>
      <c r="AH5" s="66" t="e">
        <f t="shared" si="3"/>
        <v>#DIV/0!</v>
      </c>
      <c r="AI5" s="66" t="e">
        <f t="shared" si="3"/>
        <v>#DIV/0!</v>
      </c>
      <c r="AJ5" s="66" t="e">
        <f t="shared" si="3"/>
        <v>#DIV/0!</v>
      </c>
      <c r="AK5" s="66" t="e">
        <f t="shared" ref="AK5:BP5" si="4">AK4/AK2</f>
        <v>#DIV/0!</v>
      </c>
      <c r="AL5" s="66" t="e">
        <f t="shared" si="4"/>
        <v>#DIV/0!</v>
      </c>
      <c r="AM5" s="66" t="e">
        <f t="shared" si="4"/>
        <v>#DIV/0!</v>
      </c>
      <c r="AN5" s="66" t="e">
        <f t="shared" si="4"/>
        <v>#DIV/0!</v>
      </c>
      <c r="AO5" s="66" t="e">
        <f t="shared" si="4"/>
        <v>#DIV/0!</v>
      </c>
      <c r="AP5" s="66" t="e">
        <f t="shared" si="4"/>
        <v>#DIV/0!</v>
      </c>
      <c r="AQ5" s="66" t="e">
        <f t="shared" si="4"/>
        <v>#DIV/0!</v>
      </c>
      <c r="AR5" s="66" t="e">
        <f t="shared" si="4"/>
        <v>#DIV/0!</v>
      </c>
      <c r="AS5" s="66" t="e">
        <f t="shared" si="4"/>
        <v>#DIV/0!</v>
      </c>
      <c r="AT5" s="66" t="e">
        <f t="shared" si="4"/>
        <v>#DIV/0!</v>
      </c>
      <c r="AU5" s="66" t="e">
        <f t="shared" si="4"/>
        <v>#DIV/0!</v>
      </c>
      <c r="AV5" s="66" t="e">
        <f t="shared" si="4"/>
        <v>#DIV/0!</v>
      </c>
      <c r="AW5" s="66" t="e">
        <f t="shared" si="4"/>
        <v>#DIV/0!</v>
      </c>
      <c r="AX5" s="66" t="e">
        <f t="shared" si="4"/>
        <v>#DIV/0!</v>
      </c>
      <c r="AY5" s="66" t="e">
        <f t="shared" si="4"/>
        <v>#DIV/0!</v>
      </c>
      <c r="AZ5" s="66" t="e">
        <f t="shared" si="4"/>
        <v>#DIV/0!</v>
      </c>
      <c r="BA5" s="66" t="e">
        <f t="shared" si="4"/>
        <v>#DIV/0!</v>
      </c>
      <c r="BB5" s="66" t="e">
        <f t="shared" si="4"/>
        <v>#DIV/0!</v>
      </c>
      <c r="BC5" s="66" t="e">
        <f t="shared" si="4"/>
        <v>#DIV/0!</v>
      </c>
      <c r="BD5" s="66" t="e">
        <f t="shared" si="4"/>
        <v>#DIV/0!</v>
      </c>
      <c r="BE5" s="66" t="e">
        <f t="shared" si="4"/>
        <v>#DIV/0!</v>
      </c>
      <c r="BF5" s="66" t="e">
        <f t="shared" si="4"/>
        <v>#DIV/0!</v>
      </c>
      <c r="BG5" s="66" t="e">
        <f t="shared" si="4"/>
        <v>#DIV/0!</v>
      </c>
      <c r="BH5" s="66" t="e">
        <f t="shared" si="4"/>
        <v>#DIV/0!</v>
      </c>
      <c r="BI5" s="66" t="e">
        <f t="shared" si="4"/>
        <v>#DIV/0!</v>
      </c>
      <c r="BJ5" s="66" t="e">
        <f t="shared" si="4"/>
        <v>#DIV/0!</v>
      </c>
      <c r="BK5" s="66" t="e">
        <f t="shared" si="4"/>
        <v>#DIV/0!</v>
      </c>
      <c r="BL5" s="66" t="e">
        <f t="shared" si="4"/>
        <v>#DIV/0!</v>
      </c>
      <c r="BM5" s="66" t="e">
        <f t="shared" si="4"/>
        <v>#DIV/0!</v>
      </c>
      <c r="BN5" s="66" t="e">
        <f t="shared" si="4"/>
        <v>#DIV/0!</v>
      </c>
      <c r="BO5" s="66" t="e">
        <f t="shared" si="4"/>
        <v>#DIV/0!</v>
      </c>
      <c r="BP5" s="66" t="e">
        <f t="shared" si="4"/>
        <v>#DIV/0!</v>
      </c>
      <c r="BQ5" s="66" t="e">
        <f t="shared" ref="BQ5:CK5" si="5">BQ4/BQ2</f>
        <v>#DIV/0!</v>
      </c>
      <c r="BR5" s="66" t="e">
        <f t="shared" si="5"/>
        <v>#DIV/0!</v>
      </c>
      <c r="BS5" s="66" t="e">
        <f t="shared" si="5"/>
        <v>#DIV/0!</v>
      </c>
      <c r="BT5" s="66" t="e">
        <f t="shared" si="5"/>
        <v>#DIV/0!</v>
      </c>
      <c r="BU5" s="66" t="e">
        <f t="shared" si="5"/>
        <v>#DIV/0!</v>
      </c>
      <c r="BV5" s="66" t="e">
        <f t="shared" si="5"/>
        <v>#DIV/0!</v>
      </c>
      <c r="BW5" s="66" t="e">
        <f t="shared" si="5"/>
        <v>#DIV/0!</v>
      </c>
      <c r="BX5" s="66" t="e">
        <f t="shared" si="5"/>
        <v>#DIV/0!</v>
      </c>
      <c r="BY5" s="66" t="e">
        <f t="shared" si="5"/>
        <v>#DIV/0!</v>
      </c>
      <c r="BZ5" s="66" t="e">
        <f t="shared" si="5"/>
        <v>#DIV/0!</v>
      </c>
      <c r="CA5" s="66" t="e">
        <f t="shared" si="5"/>
        <v>#DIV/0!</v>
      </c>
      <c r="CB5" s="66" t="e">
        <f t="shared" si="5"/>
        <v>#DIV/0!</v>
      </c>
      <c r="CC5" s="66" t="e">
        <f t="shared" si="5"/>
        <v>#DIV/0!</v>
      </c>
      <c r="CD5" s="66" t="e">
        <f t="shared" si="5"/>
        <v>#DIV/0!</v>
      </c>
      <c r="CE5" s="66" t="e">
        <f t="shared" si="5"/>
        <v>#DIV/0!</v>
      </c>
      <c r="CF5" s="66" t="e">
        <f t="shared" si="5"/>
        <v>#DIV/0!</v>
      </c>
      <c r="CG5" s="66" t="e">
        <f t="shared" si="5"/>
        <v>#DIV/0!</v>
      </c>
      <c r="CH5" s="66" t="e">
        <f t="shared" si="5"/>
        <v>#DIV/0!</v>
      </c>
      <c r="CI5" s="66" t="e">
        <f t="shared" si="5"/>
        <v>#DIV/0!</v>
      </c>
      <c r="CJ5" s="66" t="e">
        <f t="shared" si="5"/>
        <v>#DIV/0!</v>
      </c>
      <c r="CK5" s="66" t="e">
        <f t="shared" si="5"/>
        <v>#DIV/0!</v>
      </c>
    </row>
    <row r="6" spans="1:89" s="66" customFormat="1" x14ac:dyDescent="0.25">
      <c r="A6" s="46" t="s">
        <v>354</v>
      </c>
      <c r="E6" s="66">
        <f>(E4-I4)/I4</f>
        <v>0.16545570720054206</v>
      </c>
      <c r="F6" s="66">
        <f t="shared" ref="F6:BQ6" si="6">(F4-J4)/J4</f>
        <v>0.18713293206906975</v>
      </c>
      <c r="G6" s="66">
        <f t="shared" si="6"/>
        <v>0.21479938312958455</v>
      </c>
      <c r="H6" s="66">
        <f t="shared" si="6"/>
        <v>0.21885760934780399</v>
      </c>
      <c r="I6" s="66">
        <f t="shared" si="6"/>
        <v>9.5194547262878057E-2</v>
      </c>
      <c r="J6" s="66">
        <f t="shared" si="6"/>
        <v>6.08714387800822E-2</v>
      </c>
      <c r="K6" s="66">
        <f t="shared" si="6"/>
        <v>-0.4808085587495774</v>
      </c>
      <c r="L6" s="66">
        <f t="shared" si="6"/>
        <v>-0.70657926222434697</v>
      </c>
      <c r="M6" s="66">
        <f>(M4-O4)/O4</f>
        <v>0.10576633459110177</v>
      </c>
      <c r="N6" s="66">
        <f t="shared" ref="N6:S6" si="7">(N4-P4)/P4</f>
        <v>-0.15548917987801283</v>
      </c>
      <c r="O6" s="66">
        <f t="shared" si="7"/>
        <v>0.38446732790220434</v>
      </c>
      <c r="P6" s="66">
        <f>(P4-Q4)/Q4</f>
        <v>0.22771465468349653</v>
      </c>
      <c r="Q6" s="66">
        <f t="shared" ref="Q6:R6" si="8">(Q4-R4)/R4</f>
        <v>0.3199994674941643</v>
      </c>
      <c r="R6" s="66" t="e">
        <f t="shared" si="8"/>
        <v>#DIV/0!</v>
      </c>
      <c r="S6" s="66" t="e">
        <f t="shared" si="7"/>
        <v>#DIV/0!</v>
      </c>
      <c r="T6" s="66" t="e">
        <f t="shared" si="6"/>
        <v>#DIV/0!</v>
      </c>
      <c r="U6" s="66" t="e">
        <f t="shared" si="6"/>
        <v>#DIV/0!</v>
      </c>
      <c r="V6" s="66" t="e">
        <f t="shared" si="6"/>
        <v>#DIV/0!</v>
      </c>
      <c r="W6" s="66" t="e">
        <f t="shared" si="6"/>
        <v>#DIV/0!</v>
      </c>
      <c r="X6" s="66" t="e">
        <f t="shared" si="6"/>
        <v>#DIV/0!</v>
      </c>
      <c r="Y6" s="66" t="e">
        <f t="shared" si="6"/>
        <v>#DIV/0!</v>
      </c>
      <c r="Z6" s="66" t="e">
        <f t="shared" si="6"/>
        <v>#DIV/0!</v>
      </c>
      <c r="AA6" s="66" t="e">
        <f t="shared" si="6"/>
        <v>#DIV/0!</v>
      </c>
      <c r="AB6" s="66" t="e">
        <f t="shared" si="6"/>
        <v>#DIV/0!</v>
      </c>
      <c r="AC6" s="66" t="e">
        <f t="shared" si="6"/>
        <v>#DIV/0!</v>
      </c>
      <c r="AD6" s="66" t="e">
        <f t="shared" si="6"/>
        <v>#DIV/0!</v>
      </c>
      <c r="AE6" s="66" t="e">
        <f t="shared" si="6"/>
        <v>#DIV/0!</v>
      </c>
      <c r="AF6" s="66" t="e">
        <f t="shared" si="6"/>
        <v>#DIV/0!</v>
      </c>
      <c r="AG6" s="66" t="e">
        <f t="shared" si="6"/>
        <v>#DIV/0!</v>
      </c>
      <c r="AH6" s="66" t="e">
        <f t="shared" si="6"/>
        <v>#DIV/0!</v>
      </c>
      <c r="AI6" s="66" t="e">
        <f t="shared" si="6"/>
        <v>#DIV/0!</v>
      </c>
      <c r="AJ6" s="66" t="e">
        <f t="shared" si="6"/>
        <v>#DIV/0!</v>
      </c>
      <c r="AK6" s="66" t="e">
        <f t="shared" si="6"/>
        <v>#DIV/0!</v>
      </c>
      <c r="AL6" s="66" t="e">
        <f t="shared" si="6"/>
        <v>#DIV/0!</v>
      </c>
      <c r="AM6" s="66" t="e">
        <f t="shared" si="6"/>
        <v>#DIV/0!</v>
      </c>
      <c r="AN6" s="66" t="e">
        <f t="shared" si="6"/>
        <v>#DIV/0!</v>
      </c>
      <c r="AO6" s="66" t="e">
        <f t="shared" si="6"/>
        <v>#DIV/0!</v>
      </c>
      <c r="AP6" s="66" t="e">
        <f t="shared" si="6"/>
        <v>#DIV/0!</v>
      </c>
      <c r="AQ6" s="66" t="e">
        <f t="shared" si="6"/>
        <v>#DIV/0!</v>
      </c>
      <c r="AR6" s="66" t="e">
        <f t="shared" si="6"/>
        <v>#DIV/0!</v>
      </c>
      <c r="AS6" s="66" t="e">
        <f t="shared" si="6"/>
        <v>#DIV/0!</v>
      </c>
      <c r="AT6" s="66" t="e">
        <f t="shared" si="6"/>
        <v>#DIV/0!</v>
      </c>
      <c r="AU6" s="66" t="e">
        <f t="shared" si="6"/>
        <v>#DIV/0!</v>
      </c>
      <c r="AV6" s="66" t="e">
        <f t="shared" si="6"/>
        <v>#DIV/0!</v>
      </c>
      <c r="AW6" s="66" t="e">
        <f t="shared" si="6"/>
        <v>#DIV/0!</v>
      </c>
      <c r="AX6" s="66" t="e">
        <f t="shared" si="6"/>
        <v>#DIV/0!</v>
      </c>
      <c r="AY6" s="66" t="e">
        <f t="shared" si="6"/>
        <v>#DIV/0!</v>
      </c>
      <c r="AZ6" s="66" t="e">
        <f t="shared" si="6"/>
        <v>#DIV/0!</v>
      </c>
      <c r="BA6" s="66" t="e">
        <f t="shared" si="6"/>
        <v>#DIV/0!</v>
      </c>
      <c r="BB6" s="66" t="e">
        <f t="shared" si="6"/>
        <v>#DIV/0!</v>
      </c>
      <c r="BC6" s="66" t="e">
        <f t="shared" si="6"/>
        <v>#DIV/0!</v>
      </c>
      <c r="BD6" s="66" t="e">
        <f t="shared" si="6"/>
        <v>#DIV/0!</v>
      </c>
      <c r="BE6" s="66" t="e">
        <f t="shared" si="6"/>
        <v>#DIV/0!</v>
      </c>
      <c r="BF6" s="66" t="e">
        <f t="shared" si="6"/>
        <v>#DIV/0!</v>
      </c>
      <c r="BG6" s="66" t="e">
        <f t="shared" si="6"/>
        <v>#DIV/0!</v>
      </c>
      <c r="BH6" s="66" t="e">
        <f t="shared" si="6"/>
        <v>#DIV/0!</v>
      </c>
      <c r="BI6" s="66" t="e">
        <f t="shared" si="6"/>
        <v>#DIV/0!</v>
      </c>
      <c r="BJ6" s="66" t="e">
        <f t="shared" si="6"/>
        <v>#DIV/0!</v>
      </c>
      <c r="BK6" s="66" t="e">
        <f t="shared" si="6"/>
        <v>#DIV/0!</v>
      </c>
      <c r="BL6" s="66" t="e">
        <f t="shared" si="6"/>
        <v>#DIV/0!</v>
      </c>
      <c r="BM6" s="66" t="e">
        <f t="shared" si="6"/>
        <v>#DIV/0!</v>
      </c>
      <c r="BN6" s="66" t="e">
        <f t="shared" si="6"/>
        <v>#DIV/0!</v>
      </c>
      <c r="BO6" s="66" t="e">
        <f t="shared" si="6"/>
        <v>#DIV/0!</v>
      </c>
      <c r="BP6" s="66" t="e">
        <f t="shared" si="6"/>
        <v>#DIV/0!</v>
      </c>
      <c r="BQ6" s="66" t="e">
        <f t="shared" si="6"/>
        <v>#DIV/0!</v>
      </c>
      <c r="BR6" s="66" t="e">
        <f t="shared" ref="BR6:CJ6" si="9">(BR4-BV4)/BV4</f>
        <v>#DIV/0!</v>
      </c>
      <c r="BS6" s="66" t="e">
        <f t="shared" si="9"/>
        <v>#DIV/0!</v>
      </c>
      <c r="BT6" s="66" t="e">
        <f t="shared" si="9"/>
        <v>#DIV/0!</v>
      </c>
      <c r="BU6" s="66" t="e">
        <f t="shared" si="9"/>
        <v>#DIV/0!</v>
      </c>
      <c r="BV6" s="66" t="e">
        <f t="shared" si="9"/>
        <v>#DIV/0!</v>
      </c>
      <c r="BW6" s="66" t="e">
        <f t="shared" si="9"/>
        <v>#DIV/0!</v>
      </c>
      <c r="BX6" s="66" t="e">
        <f t="shared" si="9"/>
        <v>#DIV/0!</v>
      </c>
      <c r="BY6" s="66" t="e">
        <f t="shared" si="9"/>
        <v>#DIV/0!</v>
      </c>
      <c r="BZ6" s="66" t="e">
        <f t="shared" si="9"/>
        <v>#DIV/0!</v>
      </c>
      <c r="CA6" s="66" t="e">
        <f t="shared" si="9"/>
        <v>#DIV/0!</v>
      </c>
      <c r="CB6" s="66" t="e">
        <f t="shared" si="9"/>
        <v>#DIV/0!</v>
      </c>
      <c r="CC6" s="66" t="e">
        <f t="shared" si="9"/>
        <v>#DIV/0!</v>
      </c>
      <c r="CD6" s="66" t="e">
        <f t="shared" si="9"/>
        <v>#DIV/0!</v>
      </c>
      <c r="CE6" s="66" t="e">
        <f t="shared" si="9"/>
        <v>#DIV/0!</v>
      </c>
      <c r="CF6" s="66" t="e">
        <f t="shared" si="9"/>
        <v>#DIV/0!</v>
      </c>
      <c r="CG6" s="66" t="e">
        <f t="shared" si="9"/>
        <v>#DIV/0!</v>
      </c>
      <c r="CH6" s="66" t="e">
        <f t="shared" si="9"/>
        <v>#DIV/0!</v>
      </c>
      <c r="CI6" s="66" t="e">
        <f t="shared" si="9"/>
        <v>#DIV/0!</v>
      </c>
      <c r="CJ6" s="66" t="e">
        <f t="shared" si="9"/>
        <v>#DIV/0!</v>
      </c>
    </row>
    <row r="7" spans="1:89" s="27" customFormat="1" x14ac:dyDescent="0.25">
      <c r="A7" s="127" t="s">
        <v>355</v>
      </c>
      <c r="E7" s="27">
        <f>股权价值增加表!E6</f>
        <v>346317878.94999999</v>
      </c>
      <c r="F7" s="27">
        <f>股权价值增加表!F6</f>
        <v>254407173.89000005</v>
      </c>
      <c r="G7" s="27">
        <f>股权价值增加表!G6</f>
        <v>158300639.55000001</v>
      </c>
      <c r="H7" s="27">
        <f>股权价值增加表!H6</f>
        <v>62451067.86999999</v>
      </c>
      <c r="I7" s="27">
        <f>股权价值增加表!I6</f>
        <v>316571713.09999996</v>
      </c>
      <c r="J7" s="27">
        <f>股权价值增加表!J6</f>
        <v>225418720.36000001</v>
      </c>
      <c r="K7" s="27">
        <f>股权价值增加表!K6</f>
        <v>133874552.78999999</v>
      </c>
      <c r="L7" s="27">
        <f>股权价值增加表!L6</f>
        <v>49437739.230000004</v>
      </c>
      <c r="M7" s="27">
        <f>股权价值增加表!M6</f>
        <v>278884618.12</v>
      </c>
      <c r="N7" s="27">
        <f>股权价值增加表!N6</f>
        <v>194002283.12999997</v>
      </c>
      <c r="O7" s="27">
        <f>股权价值增加表!O6</f>
        <v>241087723.96000004</v>
      </c>
      <c r="P7" s="27">
        <f>股权价值增加表!P6</f>
        <v>229762547.53000003</v>
      </c>
      <c r="Q7" s="27">
        <f>股权价值增加表!Q6</f>
        <v>187772377.49000001</v>
      </c>
      <c r="R7" s="27">
        <f>股权价值增加表!R6</f>
        <v>159450987.28</v>
      </c>
      <c r="S7" s="27">
        <f>股权价值增加表!S6</f>
        <v>0</v>
      </c>
      <c r="T7" s="27">
        <f>股权价值增加表!T6</f>
        <v>0</v>
      </c>
      <c r="U7" s="27">
        <f>股权价值增加表!U6</f>
        <v>0</v>
      </c>
      <c r="V7" s="27">
        <f>股权价值增加表!V6</f>
        <v>0</v>
      </c>
      <c r="W7" s="27">
        <f>股权价值增加表!W6</f>
        <v>0</v>
      </c>
      <c r="X7" s="27">
        <f>股权价值增加表!X6</f>
        <v>0</v>
      </c>
      <c r="Y7" s="27">
        <f>股权价值增加表!Y6</f>
        <v>0</v>
      </c>
      <c r="Z7" s="27">
        <f>股权价值增加表!Z6</f>
        <v>0</v>
      </c>
      <c r="AA7" s="27">
        <f>股权价值增加表!AA6</f>
        <v>0</v>
      </c>
      <c r="AB7" s="27">
        <f>股权价值增加表!AB6</f>
        <v>0</v>
      </c>
      <c r="AC7" s="27">
        <f>股权价值增加表!AC6</f>
        <v>0</v>
      </c>
      <c r="AD7" s="27">
        <f>股权价值增加表!AD6</f>
        <v>0</v>
      </c>
      <c r="AE7" s="27">
        <f>股权价值增加表!AE6</f>
        <v>0</v>
      </c>
      <c r="AF7" s="27">
        <f>股权价值增加表!AF6</f>
        <v>0</v>
      </c>
      <c r="AG7" s="27">
        <f>股权价值增加表!AG6</f>
        <v>0</v>
      </c>
      <c r="AH7" s="27">
        <f>股权价值增加表!AH6</f>
        <v>0</v>
      </c>
      <c r="AI7" s="27">
        <f>股权价值增加表!AI6</f>
        <v>0</v>
      </c>
      <c r="AJ7" s="27">
        <f>股权价值增加表!AJ6</f>
        <v>0</v>
      </c>
      <c r="AK7" s="27">
        <f>股权价值增加表!AK6</f>
        <v>0</v>
      </c>
      <c r="AL7" s="27">
        <f>股权价值增加表!AL6</f>
        <v>0</v>
      </c>
      <c r="AM7" s="27">
        <f>股权价值增加表!AM6</f>
        <v>0</v>
      </c>
      <c r="AN7" s="27">
        <f>股权价值增加表!AN6</f>
        <v>0</v>
      </c>
      <c r="AO7" s="27">
        <f>股权价值增加表!AO6</f>
        <v>0</v>
      </c>
      <c r="AP7" s="27">
        <f>股权价值增加表!AP6</f>
        <v>0</v>
      </c>
      <c r="AQ7" s="27">
        <f>股权价值增加表!AQ6</f>
        <v>0</v>
      </c>
      <c r="AR7" s="27">
        <f>股权价值增加表!AR6</f>
        <v>0</v>
      </c>
      <c r="AS7" s="27">
        <f>股权价值增加表!AS6</f>
        <v>0</v>
      </c>
      <c r="AT7" s="27">
        <f>股权价值增加表!AT6</f>
        <v>0</v>
      </c>
      <c r="AU7" s="27">
        <f>股权价值增加表!AU6</f>
        <v>0</v>
      </c>
      <c r="AV7" s="27">
        <f>股权价值增加表!AV6</f>
        <v>0</v>
      </c>
      <c r="AW7" s="27">
        <f>股权价值增加表!AW6</f>
        <v>0</v>
      </c>
      <c r="AX7" s="27">
        <f>股权价值增加表!AX6</f>
        <v>0</v>
      </c>
      <c r="AY7" s="27">
        <f>股权价值增加表!AY6</f>
        <v>0</v>
      </c>
      <c r="AZ7" s="27">
        <f>股权价值增加表!AZ6</f>
        <v>0</v>
      </c>
      <c r="BA7" s="27">
        <f>股权价值增加表!BA6</f>
        <v>0</v>
      </c>
      <c r="BB7" s="27">
        <f>股权价值增加表!BB6</f>
        <v>0</v>
      </c>
      <c r="BC7" s="27">
        <f>股权价值增加表!BC6</f>
        <v>0</v>
      </c>
      <c r="BD7" s="27">
        <f>股权价值增加表!BD6</f>
        <v>0</v>
      </c>
      <c r="BE7" s="27">
        <f>股权价值增加表!BE6</f>
        <v>0</v>
      </c>
      <c r="BF7" s="27">
        <f>股权价值增加表!BF6</f>
        <v>0</v>
      </c>
      <c r="BG7" s="27">
        <f>股权价值增加表!BG6</f>
        <v>0</v>
      </c>
      <c r="BH7" s="27">
        <f>股权价值增加表!BH6</f>
        <v>0</v>
      </c>
      <c r="BI7" s="27">
        <f>股权价值增加表!BI6</f>
        <v>0</v>
      </c>
      <c r="BJ7" s="27">
        <f>股权价值增加表!BJ6</f>
        <v>0</v>
      </c>
      <c r="BK7" s="27">
        <f>股权价值增加表!BK6</f>
        <v>0</v>
      </c>
      <c r="BL7" s="27">
        <f>股权价值增加表!BL6</f>
        <v>0</v>
      </c>
      <c r="BM7" s="27">
        <f>股权价值增加表!BM6</f>
        <v>0</v>
      </c>
      <c r="BN7" s="27">
        <f>股权价值增加表!BN6</f>
        <v>0</v>
      </c>
      <c r="BO7" s="27">
        <f>股权价值增加表!BO6</f>
        <v>0</v>
      </c>
      <c r="BP7" s="27">
        <f>股权价值增加表!BP6</f>
        <v>0</v>
      </c>
      <c r="BQ7" s="27">
        <f>股权价值增加表!BQ6</f>
        <v>0</v>
      </c>
      <c r="BR7" s="27">
        <f>股权价值增加表!BR6</f>
        <v>0</v>
      </c>
      <c r="BS7" s="27">
        <f>股权价值增加表!BS6</f>
        <v>0</v>
      </c>
      <c r="BT7" s="27">
        <f>股权价值增加表!BT6</f>
        <v>0</v>
      </c>
      <c r="BU7" s="27">
        <f>股权价值增加表!BU6</f>
        <v>0</v>
      </c>
      <c r="BV7" s="27">
        <f>股权价值增加表!BV6</f>
        <v>0</v>
      </c>
      <c r="BW7" s="27">
        <f>股权价值增加表!BW6</f>
        <v>0</v>
      </c>
      <c r="BX7" s="27">
        <f>股权价值增加表!BX6</f>
        <v>0</v>
      </c>
      <c r="BY7" s="27">
        <f>股权价值增加表!BY6</f>
        <v>0</v>
      </c>
      <c r="BZ7" s="27">
        <f>股权价值增加表!BZ6</f>
        <v>0</v>
      </c>
      <c r="CA7" s="27">
        <f>股权价值增加表!CA6</f>
        <v>0</v>
      </c>
      <c r="CB7" s="27">
        <f>股权价值增加表!CB6</f>
        <v>0</v>
      </c>
      <c r="CC7" s="27">
        <f>股权价值增加表!CC6</f>
        <v>0</v>
      </c>
      <c r="CD7" s="27">
        <f>股权价值增加表!CD6</f>
        <v>0</v>
      </c>
      <c r="CE7" s="27">
        <f>股权价值增加表!CE6</f>
        <v>0</v>
      </c>
      <c r="CF7" s="27">
        <f>股权价值增加表!CF6</f>
        <v>0</v>
      </c>
      <c r="CG7" s="27">
        <f>股权价值增加表!CG6</f>
        <v>0</v>
      </c>
      <c r="CH7" s="27">
        <f>股权价值增加表!CH6</f>
        <v>0</v>
      </c>
      <c r="CI7" s="27">
        <f>股权价值增加表!CI6</f>
        <v>0</v>
      </c>
      <c r="CJ7" s="27">
        <f>股权价值增加表!CJ6</f>
        <v>0</v>
      </c>
      <c r="CK7" s="27">
        <f>股权价值增加表!CK6</f>
        <v>0</v>
      </c>
    </row>
    <row r="8" spans="1:89" s="66" customFormat="1" x14ac:dyDescent="0.25">
      <c r="A8" s="46" t="s">
        <v>356</v>
      </c>
      <c r="E8" s="66">
        <f>E7/E2</f>
        <v>0.46027880196447662</v>
      </c>
      <c r="F8" s="66">
        <f t="shared" ref="F8:BQ8" si="10">F7/F2</f>
        <v>0.48387270147451156</v>
      </c>
      <c r="G8" s="66">
        <f t="shared" si="10"/>
        <v>0.46590426541572688</v>
      </c>
      <c r="H8" s="66">
        <f t="shared" si="10"/>
        <v>0.40631587648868517</v>
      </c>
      <c r="I8" s="66">
        <f t="shared" si="10"/>
        <v>0.47603951276111672</v>
      </c>
      <c r="J8" s="66">
        <f t="shared" si="10"/>
        <v>0.49650834228691354</v>
      </c>
      <c r="K8" s="66">
        <f t="shared" si="10"/>
        <v>0.47262520158171623</v>
      </c>
      <c r="L8" s="66">
        <f t="shared" si="10"/>
        <v>0.39772059282169103</v>
      </c>
      <c r="M8" s="66">
        <f t="shared" si="10"/>
        <v>0.4671137818263727</v>
      </c>
      <c r="N8" s="66">
        <f t="shared" si="10"/>
        <v>0.47378259221580915</v>
      </c>
      <c r="O8" s="66">
        <f t="shared" si="10"/>
        <v>0.4559064115895709</v>
      </c>
      <c r="P8" s="66">
        <f t="shared" si="10"/>
        <v>0.47382714846472457</v>
      </c>
      <c r="Q8" s="66">
        <f t="shared" si="10"/>
        <v>0.47465956709160112</v>
      </c>
      <c r="R8" s="66">
        <f t="shared" si="10"/>
        <v>0.50317215676675964</v>
      </c>
      <c r="S8" s="66" t="e">
        <f t="shared" si="10"/>
        <v>#DIV/0!</v>
      </c>
      <c r="T8" s="66" t="e">
        <f t="shared" si="10"/>
        <v>#DIV/0!</v>
      </c>
      <c r="U8" s="66" t="e">
        <f t="shared" si="10"/>
        <v>#DIV/0!</v>
      </c>
      <c r="V8" s="66" t="e">
        <f t="shared" si="10"/>
        <v>#DIV/0!</v>
      </c>
      <c r="W8" s="66" t="e">
        <f t="shared" si="10"/>
        <v>#DIV/0!</v>
      </c>
      <c r="X8" s="66" t="e">
        <f t="shared" si="10"/>
        <v>#DIV/0!</v>
      </c>
      <c r="Y8" s="66" t="e">
        <f t="shared" si="10"/>
        <v>#DIV/0!</v>
      </c>
      <c r="Z8" s="66" t="e">
        <f t="shared" si="10"/>
        <v>#DIV/0!</v>
      </c>
      <c r="AA8" s="66" t="e">
        <f t="shared" si="10"/>
        <v>#DIV/0!</v>
      </c>
      <c r="AB8" s="66" t="e">
        <f t="shared" si="10"/>
        <v>#DIV/0!</v>
      </c>
      <c r="AC8" s="66" t="e">
        <f t="shared" si="10"/>
        <v>#DIV/0!</v>
      </c>
      <c r="AD8" s="66" t="e">
        <f t="shared" si="10"/>
        <v>#DIV/0!</v>
      </c>
      <c r="AE8" s="66" t="e">
        <f t="shared" si="10"/>
        <v>#DIV/0!</v>
      </c>
      <c r="AF8" s="66" t="e">
        <f t="shared" si="10"/>
        <v>#DIV/0!</v>
      </c>
      <c r="AG8" s="66" t="e">
        <f t="shared" si="10"/>
        <v>#DIV/0!</v>
      </c>
      <c r="AH8" s="66" t="e">
        <f t="shared" si="10"/>
        <v>#DIV/0!</v>
      </c>
      <c r="AI8" s="66" t="e">
        <f t="shared" si="10"/>
        <v>#DIV/0!</v>
      </c>
      <c r="AJ8" s="66" t="e">
        <f t="shared" si="10"/>
        <v>#DIV/0!</v>
      </c>
      <c r="AK8" s="66" t="e">
        <f t="shared" si="10"/>
        <v>#DIV/0!</v>
      </c>
      <c r="AL8" s="66" t="e">
        <f t="shared" si="10"/>
        <v>#DIV/0!</v>
      </c>
      <c r="AM8" s="66" t="e">
        <f t="shared" si="10"/>
        <v>#DIV/0!</v>
      </c>
      <c r="AN8" s="66" t="e">
        <f t="shared" si="10"/>
        <v>#DIV/0!</v>
      </c>
      <c r="AO8" s="66" t="e">
        <f t="shared" si="10"/>
        <v>#DIV/0!</v>
      </c>
      <c r="AP8" s="66" t="e">
        <f t="shared" si="10"/>
        <v>#DIV/0!</v>
      </c>
      <c r="AQ8" s="66" t="e">
        <f t="shared" si="10"/>
        <v>#DIV/0!</v>
      </c>
      <c r="AR8" s="66" t="e">
        <f t="shared" si="10"/>
        <v>#DIV/0!</v>
      </c>
      <c r="AS8" s="66" t="e">
        <f t="shared" si="10"/>
        <v>#DIV/0!</v>
      </c>
      <c r="AT8" s="66" t="e">
        <f t="shared" si="10"/>
        <v>#DIV/0!</v>
      </c>
      <c r="AU8" s="66" t="e">
        <f t="shared" si="10"/>
        <v>#DIV/0!</v>
      </c>
      <c r="AV8" s="66" t="e">
        <f t="shared" si="10"/>
        <v>#DIV/0!</v>
      </c>
      <c r="AW8" s="66" t="e">
        <f t="shared" si="10"/>
        <v>#DIV/0!</v>
      </c>
      <c r="AX8" s="66" t="e">
        <f t="shared" si="10"/>
        <v>#DIV/0!</v>
      </c>
      <c r="AY8" s="66" t="e">
        <f t="shared" si="10"/>
        <v>#DIV/0!</v>
      </c>
      <c r="AZ8" s="66" t="e">
        <f t="shared" si="10"/>
        <v>#DIV/0!</v>
      </c>
      <c r="BA8" s="66" t="e">
        <f t="shared" si="10"/>
        <v>#DIV/0!</v>
      </c>
      <c r="BB8" s="66" t="e">
        <f t="shared" si="10"/>
        <v>#DIV/0!</v>
      </c>
      <c r="BC8" s="66" t="e">
        <f t="shared" si="10"/>
        <v>#DIV/0!</v>
      </c>
      <c r="BD8" s="66" t="e">
        <f t="shared" si="10"/>
        <v>#DIV/0!</v>
      </c>
      <c r="BE8" s="66" t="e">
        <f t="shared" si="10"/>
        <v>#DIV/0!</v>
      </c>
      <c r="BF8" s="66" t="e">
        <f t="shared" si="10"/>
        <v>#DIV/0!</v>
      </c>
      <c r="BG8" s="66" t="e">
        <f t="shared" si="10"/>
        <v>#DIV/0!</v>
      </c>
      <c r="BH8" s="66" t="e">
        <f t="shared" si="10"/>
        <v>#DIV/0!</v>
      </c>
      <c r="BI8" s="66" t="e">
        <f t="shared" si="10"/>
        <v>#DIV/0!</v>
      </c>
      <c r="BJ8" s="66" t="e">
        <f t="shared" si="10"/>
        <v>#DIV/0!</v>
      </c>
      <c r="BK8" s="66" t="e">
        <f t="shared" si="10"/>
        <v>#DIV/0!</v>
      </c>
      <c r="BL8" s="66" t="e">
        <f t="shared" si="10"/>
        <v>#DIV/0!</v>
      </c>
      <c r="BM8" s="66" t="e">
        <f t="shared" si="10"/>
        <v>#DIV/0!</v>
      </c>
      <c r="BN8" s="66" t="e">
        <f t="shared" si="10"/>
        <v>#DIV/0!</v>
      </c>
      <c r="BO8" s="66" t="e">
        <f t="shared" si="10"/>
        <v>#DIV/0!</v>
      </c>
      <c r="BP8" s="66" t="e">
        <f t="shared" si="10"/>
        <v>#DIV/0!</v>
      </c>
      <c r="BQ8" s="66" t="e">
        <f t="shared" si="10"/>
        <v>#DIV/0!</v>
      </c>
      <c r="BR8" s="66" t="e">
        <f t="shared" ref="BR8:CJ8" si="11">BR7/BR2</f>
        <v>#DIV/0!</v>
      </c>
      <c r="BS8" s="66" t="e">
        <f t="shared" si="11"/>
        <v>#DIV/0!</v>
      </c>
      <c r="BT8" s="66" t="e">
        <f t="shared" si="11"/>
        <v>#DIV/0!</v>
      </c>
      <c r="BU8" s="66" t="e">
        <f t="shared" si="11"/>
        <v>#DIV/0!</v>
      </c>
      <c r="BV8" s="66" t="e">
        <f t="shared" si="11"/>
        <v>#DIV/0!</v>
      </c>
      <c r="BW8" s="66" t="e">
        <f t="shared" si="11"/>
        <v>#DIV/0!</v>
      </c>
      <c r="BX8" s="66" t="e">
        <f t="shared" si="11"/>
        <v>#DIV/0!</v>
      </c>
      <c r="BY8" s="66" t="e">
        <f t="shared" si="11"/>
        <v>#DIV/0!</v>
      </c>
      <c r="BZ8" s="66" t="e">
        <f t="shared" si="11"/>
        <v>#DIV/0!</v>
      </c>
      <c r="CA8" s="66" t="e">
        <f t="shared" si="11"/>
        <v>#DIV/0!</v>
      </c>
      <c r="CB8" s="66" t="e">
        <f t="shared" si="11"/>
        <v>#DIV/0!</v>
      </c>
      <c r="CC8" s="66" t="e">
        <f t="shared" si="11"/>
        <v>#DIV/0!</v>
      </c>
      <c r="CD8" s="66" t="e">
        <f t="shared" si="11"/>
        <v>#DIV/0!</v>
      </c>
      <c r="CE8" s="66" t="e">
        <f t="shared" si="11"/>
        <v>#DIV/0!</v>
      </c>
      <c r="CF8" s="66" t="e">
        <f t="shared" si="11"/>
        <v>#DIV/0!</v>
      </c>
      <c r="CG8" s="66" t="e">
        <f t="shared" si="11"/>
        <v>#DIV/0!</v>
      </c>
      <c r="CH8" s="66" t="e">
        <f t="shared" si="11"/>
        <v>#DIV/0!</v>
      </c>
      <c r="CI8" s="66" t="e">
        <f t="shared" si="11"/>
        <v>#DIV/0!</v>
      </c>
      <c r="CJ8" s="66" t="e">
        <f t="shared" si="11"/>
        <v>#DIV/0!</v>
      </c>
    </row>
    <row r="9" spans="1:89" s="66" customFormat="1" x14ac:dyDescent="0.25">
      <c r="A9" s="46" t="s">
        <v>357</v>
      </c>
      <c r="E9" s="66">
        <f>(E7-I7)/I7</f>
        <v>9.3963435831690006E-2</v>
      </c>
      <c r="F9" s="66">
        <f t="shared" ref="F9:L9" si="12">(F7-J7)/J7</f>
        <v>0.12859825254843368</v>
      </c>
      <c r="G9" s="66">
        <f t="shared" si="12"/>
        <v>0.18245503907165672</v>
      </c>
      <c r="H9" s="66">
        <f t="shared" si="12"/>
        <v>0.26322661275949255</v>
      </c>
      <c r="I9" s="66">
        <f t="shared" si="12"/>
        <v>0.135135079281367</v>
      </c>
      <c r="J9" s="66">
        <f t="shared" si="12"/>
        <v>0.16193849228541321</v>
      </c>
      <c r="K9" s="66">
        <f t="shared" si="12"/>
        <v>-0.44470605723495182</v>
      </c>
      <c r="L9" s="66">
        <f t="shared" si="12"/>
        <v>-0.78483116695272126</v>
      </c>
      <c r="M9" s="66">
        <f>(M7-O7)/O7</f>
        <v>0.15677651909920981</v>
      </c>
      <c r="N9" s="66">
        <f t="shared" ref="N9:R9" si="13">(N7-P7)/P7</f>
        <v>-0.15564009358544764</v>
      </c>
      <c r="O9" s="66">
        <f t="shared" si="13"/>
        <v>0.28393604630606217</v>
      </c>
      <c r="P9" s="66">
        <f t="shared" si="13"/>
        <v>0.44096033175718841</v>
      </c>
      <c r="Q9" s="66" t="e">
        <f t="shared" si="13"/>
        <v>#DIV/0!</v>
      </c>
      <c r="R9" s="66" t="e">
        <f t="shared" si="13"/>
        <v>#DIV/0!</v>
      </c>
      <c r="S9" s="66" t="e">
        <f t="shared" ref="S9:BQ9" si="14">(S7-W7)/W7</f>
        <v>#DIV/0!</v>
      </c>
      <c r="T9" s="66" t="e">
        <f t="shared" si="14"/>
        <v>#DIV/0!</v>
      </c>
      <c r="U9" s="66" t="e">
        <f t="shared" si="14"/>
        <v>#DIV/0!</v>
      </c>
      <c r="V9" s="66" t="e">
        <f t="shared" si="14"/>
        <v>#DIV/0!</v>
      </c>
      <c r="W9" s="66" t="e">
        <f t="shared" si="14"/>
        <v>#DIV/0!</v>
      </c>
      <c r="X9" s="66" t="e">
        <f t="shared" si="14"/>
        <v>#DIV/0!</v>
      </c>
      <c r="Y9" s="66" t="e">
        <f t="shared" si="14"/>
        <v>#DIV/0!</v>
      </c>
      <c r="Z9" s="66" t="e">
        <f t="shared" si="14"/>
        <v>#DIV/0!</v>
      </c>
      <c r="AA9" s="66" t="e">
        <f t="shared" si="14"/>
        <v>#DIV/0!</v>
      </c>
      <c r="AB9" s="66" t="e">
        <f t="shared" si="14"/>
        <v>#DIV/0!</v>
      </c>
      <c r="AC9" s="66" t="e">
        <f t="shared" si="14"/>
        <v>#DIV/0!</v>
      </c>
      <c r="AD9" s="66" t="e">
        <f t="shared" si="14"/>
        <v>#DIV/0!</v>
      </c>
      <c r="AE9" s="66" t="e">
        <f t="shared" si="14"/>
        <v>#DIV/0!</v>
      </c>
      <c r="AF9" s="66" t="e">
        <f t="shared" si="14"/>
        <v>#DIV/0!</v>
      </c>
      <c r="AG9" s="66" t="e">
        <f t="shared" si="14"/>
        <v>#DIV/0!</v>
      </c>
      <c r="AH9" s="66" t="e">
        <f t="shared" si="14"/>
        <v>#DIV/0!</v>
      </c>
      <c r="AI9" s="66" t="e">
        <f t="shared" si="14"/>
        <v>#DIV/0!</v>
      </c>
      <c r="AJ9" s="66" t="e">
        <f t="shared" si="14"/>
        <v>#DIV/0!</v>
      </c>
      <c r="AK9" s="66" t="e">
        <f t="shared" si="14"/>
        <v>#DIV/0!</v>
      </c>
      <c r="AL9" s="66" t="e">
        <f t="shared" si="14"/>
        <v>#DIV/0!</v>
      </c>
      <c r="AM9" s="66" t="e">
        <f t="shared" si="14"/>
        <v>#DIV/0!</v>
      </c>
      <c r="AN9" s="66" t="e">
        <f t="shared" si="14"/>
        <v>#DIV/0!</v>
      </c>
      <c r="AO9" s="66" t="e">
        <f t="shared" si="14"/>
        <v>#DIV/0!</v>
      </c>
      <c r="AP9" s="66" t="e">
        <f t="shared" si="14"/>
        <v>#DIV/0!</v>
      </c>
      <c r="AQ9" s="66" t="e">
        <f t="shared" si="14"/>
        <v>#DIV/0!</v>
      </c>
      <c r="AR9" s="66" t="e">
        <f t="shared" si="14"/>
        <v>#DIV/0!</v>
      </c>
      <c r="AS9" s="66" t="e">
        <f t="shared" si="14"/>
        <v>#DIV/0!</v>
      </c>
      <c r="AT9" s="66" t="e">
        <f t="shared" si="14"/>
        <v>#DIV/0!</v>
      </c>
      <c r="AU9" s="66" t="e">
        <f t="shared" si="14"/>
        <v>#DIV/0!</v>
      </c>
      <c r="AV9" s="66" t="e">
        <f t="shared" si="14"/>
        <v>#DIV/0!</v>
      </c>
      <c r="AW9" s="66" t="e">
        <f t="shared" si="14"/>
        <v>#DIV/0!</v>
      </c>
      <c r="AX9" s="66" t="e">
        <f t="shared" si="14"/>
        <v>#DIV/0!</v>
      </c>
      <c r="AY9" s="66" t="e">
        <f t="shared" si="14"/>
        <v>#DIV/0!</v>
      </c>
      <c r="AZ9" s="66" t="e">
        <f t="shared" si="14"/>
        <v>#DIV/0!</v>
      </c>
      <c r="BA9" s="66" t="e">
        <f t="shared" si="14"/>
        <v>#DIV/0!</v>
      </c>
      <c r="BB9" s="66" t="e">
        <f t="shared" si="14"/>
        <v>#DIV/0!</v>
      </c>
      <c r="BC9" s="66" t="e">
        <f t="shared" si="14"/>
        <v>#DIV/0!</v>
      </c>
      <c r="BD9" s="66" t="e">
        <f t="shared" si="14"/>
        <v>#DIV/0!</v>
      </c>
      <c r="BE9" s="66" t="e">
        <f t="shared" si="14"/>
        <v>#DIV/0!</v>
      </c>
      <c r="BF9" s="66" t="e">
        <f t="shared" si="14"/>
        <v>#DIV/0!</v>
      </c>
      <c r="BG9" s="66" t="e">
        <f t="shared" si="14"/>
        <v>#DIV/0!</v>
      </c>
      <c r="BH9" s="66" t="e">
        <f t="shared" si="14"/>
        <v>#DIV/0!</v>
      </c>
      <c r="BI9" s="66" t="e">
        <f t="shared" si="14"/>
        <v>#DIV/0!</v>
      </c>
      <c r="BJ9" s="66" t="e">
        <f t="shared" si="14"/>
        <v>#DIV/0!</v>
      </c>
      <c r="BK9" s="66" t="e">
        <f t="shared" si="14"/>
        <v>#DIV/0!</v>
      </c>
      <c r="BL9" s="66" t="e">
        <f t="shared" si="14"/>
        <v>#DIV/0!</v>
      </c>
      <c r="BM9" s="66" t="e">
        <f t="shared" si="14"/>
        <v>#DIV/0!</v>
      </c>
      <c r="BN9" s="66" t="e">
        <f t="shared" si="14"/>
        <v>#DIV/0!</v>
      </c>
      <c r="BO9" s="66" t="e">
        <f t="shared" si="14"/>
        <v>#DIV/0!</v>
      </c>
      <c r="BP9" s="66" t="e">
        <f t="shared" si="14"/>
        <v>#DIV/0!</v>
      </c>
      <c r="BQ9" s="66" t="e">
        <f t="shared" si="14"/>
        <v>#DIV/0!</v>
      </c>
      <c r="BR9" s="66" t="e">
        <f t="shared" ref="BR9:CK9" si="15">(BR7-BV7)/BV7</f>
        <v>#DIV/0!</v>
      </c>
      <c r="BS9" s="66" t="e">
        <f t="shared" si="15"/>
        <v>#DIV/0!</v>
      </c>
      <c r="BT9" s="66" t="e">
        <f t="shared" si="15"/>
        <v>#DIV/0!</v>
      </c>
      <c r="BU9" s="66" t="e">
        <f t="shared" si="15"/>
        <v>#DIV/0!</v>
      </c>
      <c r="BV9" s="66" t="e">
        <f t="shared" si="15"/>
        <v>#DIV/0!</v>
      </c>
      <c r="BW9" s="66" t="e">
        <f t="shared" si="15"/>
        <v>#DIV/0!</v>
      </c>
      <c r="BX9" s="66" t="e">
        <f t="shared" si="15"/>
        <v>#DIV/0!</v>
      </c>
      <c r="BY9" s="66" t="e">
        <f t="shared" si="15"/>
        <v>#DIV/0!</v>
      </c>
      <c r="BZ9" s="66" t="e">
        <f t="shared" si="15"/>
        <v>#DIV/0!</v>
      </c>
      <c r="CA9" s="66" t="e">
        <f t="shared" si="15"/>
        <v>#DIV/0!</v>
      </c>
      <c r="CB9" s="66" t="e">
        <f t="shared" si="15"/>
        <v>#DIV/0!</v>
      </c>
      <c r="CC9" s="66" t="e">
        <f t="shared" si="15"/>
        <v>#DIV/0!</v>
      </c>
      <c r="CD9" s="66" t="e">
        <f t="shared" si="15"/>
        <v>#DIV/0!</v>
      </c>
      <c r="CE9" s="66" t="e">
        <f t="shared" si="15"/>
        <v>#DIV/0!</v>
      </c>
      <c r="CF9" s="66" t="e">
        <f t="shared" si="15"/>
        <v>#DIV/0!</v>
      </c>
      <c r="CG9" s="66" t="e">
        <f t="shared" si="15"/>
        <v>#DIV/0!</v>
      </c>
      <c r="CH9" s="66" t="e">
        <f t="shared" si="15"/>
        <v>#DIV/0!</v>
      </c>
      <c r="CI9" s="66" t="e">
        <f t="shared" si="15"/>
        <v>#DIV/0!</v>
      </c>
      <c r="CJ9" s="66" t="e">
        <f t="shared" si="15"/>
        <v>#DIV/0!</v>
      </c>
      <c r="CK9" s="66" t="e">
        <f t="shared" si="15"/>
        <v>#DIV/0!</v>
      </c>
    </row>
    <row r="10" spans="1:89" s="27" customFormat="1" x14ac:dyDescent="0.25">
      <c r="A10" s="127" t="s">
        <v>358</v>
      </c>
      <c r="E10" s="27">
        <f>股权价值增加表!E8</f>
        <v>4713914.93</v>
      </c>
      <c r="F10" s="27">
        <f>股权价值增加表!F8</f>
        <v>3122552.32</v>
      </c>
      <c r="G10" s="27">
        <f>股权价值增加表!G8</f>
        <v>2242285.31</v>
      </c>
      <c r="H10" s="27">
        <f>股权价值增加表!H8</f>
        <v>741441.45</v>
      </c>
      <c r="I10" s="27">
        <f>股权价值增加表!I8</f>
        <v>4077013.45</v>
      </c>
      <c r="J10" s="27">
        <f>股权价值增加表!J8</f>
        <v>2478089.7400000002</v>
      </c>
      <c r="K10" s="27">
        <f>股权价值增加表!K8</f>
        <v>1674570.11</v>
      </c>
      <c r="L10" s="27">
        <f>股权价值增加表!L8</f>
        <v>761096.69</v>
      </c>
      <c r="M10" s="27">
        <f>股权价值增加表!M8</f>
        <v>3426043.03</v>
      </c>
      <c r="N10" s="27">
        <f>股权价值增加表!N8</f>
        <v>2528370.9500000002</v>
      </c>
      <c r="O10" s="27">
        <f>股权价值增加表!O8</f>
        <v>3185132.53</v>
      </c>
      <c r="P10" s="27">
        <f>股权价值增加表!P8</f>
        <v>4441789.72</v>
      </c>
      <c r="Q10" s="27">
        <f>股权价值增加表!Q8</f>
        <v>13470903.210000001</v>
      </c>
      <c r="R10" s="27">
        <f>股权价值增加表!R8</f>
        <v>15908543.560000001</v>
      </c>
      <c r="S10" s="27">
        <f>股权价值增加表!S8</f>
        <v>0</v>
      </c>
      <c r="T10" s="27">
        <f>股权价值增加表!T8</f>
        <v>0</v>
      </c>
      <c r="U10" s="27">
        <f>股权价值增加表!U8</f>
        <v>0</v>
      </c>
      <c r="V10" s="27">
        <f>股权价值增加表!V8</f>
        <v>0</v>
      </c>
      <c r="W10" s="27">
        <f>股权价值增加表!W8</f>
        <v>0</v>
      </c>
      <c r="X10" s="27">
        <f>股权价值增加表!X8</f>
        <v>0</v>
      </c>
      <c r="Y10" s="27">
        <f>股权价值增加表!Y8</f>
        <v>0</v>
      </c>
      <c r="Z10" s="27">
        <f>股权价值增加表!Z8</f>
        <v>0</v>
      </c>
      <c r="AA10" s="27">
        <f>股权价值增加表!AA8</f>
        <v>0</v>
      </c>
      <c r="AB10" s="27">
        <f>股权价值增加表!AB8</f>
        <v>0</v>
      </c>
      <c r="AC10" s="27">
        <f>股权价值增加表!AC8</f>
        <v>0</v>
      </c>
      <c r="AD10" s="27">
        <f>股权价值增加表!AD8</f>
        <v>0</v>
      </c>
      <c r="AE10" s="27">
        <f>股权价值增加表!AE8</f>
        <v>0</v>
      </c>
      <c r="AF10" s="27">
        <f>股权价值增加表!AF8</f>
        <v>0</v>
      </c>
      <c r="AG10" s="27">
        <f>股权价值增加表!AG8</f>
        <v>0</v>
      </c>
      <c r="AH10" s="27">
        <f>股权价值增加表!AH8</f>
        <v>0</v>
      </c>
      <c r="AI10" s="27">
        <f>股权价值增加表!AI8</f>
        <v>0</v>
      </c>
      <c r="AJ10" s="27">
        <f>股权价值增加表!AJ8</f>
        <v>0</v>
      </c>
      <c r="AK10" s="27">
        <f>股权价值增加表!AK8</f>
        <v>0</v>
      </c>
      <c r="AL10" s="27">
        <f>股权价值增加表!AL8</f>
        <v>0</v>
      </c>
      <c r="AM10" s="27">
        <f>股权价值增加表!AM8</f>
        <v>0</v>
      </c>
      <c r="AN10" s="27">
        <f>股权价值增加表!AN8</f>
        <v>0</v>
      </c>
      <c r="AO10" s="27">
        <f>股权价值增加表!AO8</f>
        <v>0</v>
      </c>
      <c r="AP10" s="27">
        <f>股权价值增加表!AP8</f>
        <v>0</v>
      </c>
      <c r="AQ10" s="27">
        <f>股权价值增加表!AQ8</f>
        <v>0</v>
      </c>
      <c r="AR10" s="27">
        <f>股权价值增加表!AR8</f>
        <v>0</v>
      </c>
      <c r="AS10" s="27">
        <f>股权价值增加表!AS8</f>
        <v>0</v>
      </c>
      <c r="AT10" s="27">
        <f>股权价值增加表!AT8</f>
        <v>0</v>
      </c>
      <c r="AU10" s="27">
        <f>股权价值增加表!AU8</f>
        <v>0</v>
      </c>
      <c r="AV10" s="27">
        <f>股权价值增加表!AV8</f>
        <v>0</v>
      </c>
      <c r="AW10" s="27">
        <f>股权价值增加表!AW8</f>
        <v>0</v>
      </c>
      <c r="AX10" s="27">
        <f>股权价值增加表!AX8</f>
        <v>0</v>
      </c>
      <c r="AY10" s="27">
        <f>股权价值增加表!AY8</f>
        <v>0</v>
      </c>
      <c r="AZ10" s="27">
        <f>股权价值增加表!AZ8</f>
        <v>0</v>
      </c>
      <c r="BA10" s="27">
        <f>股权价值增加表!BA8</f>
        <v>0</v>
      </c>
      <c r="BB10" s="27">
        <f>股权价值增加表!BB8</f>
        <v>0</v>
      </c>
      <c r="BC10" s="27">
        <f>股权价值增加表!BC8</f>
        <v>0</v>
      </c>
      <c r="BD10" s="27">
        <f>股权价值增加表!BD8</f>
        <v>0</v>
      </c>
      <c r="BE10" s="27">
        <f>股权价值增加表!BE8</f>
        <v>0</v>
      </c>
      <c r="BF10" s="27">
        <f>股权价值增加表!BF8</f>
        <v>0</v>
      </c>
      <c r="BG10" s="27">
        <f>股权价值增加表!BG8</f>
        <v>0</v>
      </c>
      <c r="BH10" s="27">
        <f>股权价值增加表!BH8</f>
        <v>0</v>
      </c>
      <c r="BI10" s="27">
        <f>股权价值增加表!BI8</f>
        <v>0</v>
      </c>
      <c r="BJ10" s="27">
        <f>股权价值增加表!BJ8</f>
        <v>0</v>
      </c>
      <c r="BK10" s="27">
        <f>股权价值增加表!BK8</f>
        <v>0</v>
      </c>
      <c r="BL10" s="27">
        <f>股权价值增加表!BL8</f>
        <v>0</v>
      </c>
      <c r="BM10" s="27">
        <f>股权价值增加表!BM8</f>
        <v>0</v>
      </c>
      <c r="BN10" s="27">
        <f>股权价值增加表!BN8</f>
        <v>0</v>
      </c>
      <c r="BO10" s="27">
        <f>股权价值增加表!BO8</f>
        <v>0</v>
      </c>
      <c r="BP10" s="27">
        <f>股权价值增加表!BP8</f>
        <v>0</v>
      </c>
      <c r="BQ10" s="27">
        <f>股权价值增加表!BQ8</f>
        <v>0</v>
      </c>
      <c r="BR10" s="27">
        <f>股权价值增加表!BR8</f>
        <v>0</v>
      </c>
      <c r="BS10" s="27">
        <f>股权价值增加表!BS8</f>
        <v>0</v>
      </c>
      <c r="BT10" s="27">
        <f>股权价值增加表!BT8</f>
        <v>0</v>
      </c>
      <c r="BU10" s="27">
        <f>股权价值增加表!BU8</f>
        <v>0</v>
      </c>
      <c r="BV10" s="27">
        <f>股权价值增加表!BV8</f>
        <v>0</v>
      </c>
      <c r="BW10" s="27">
        <f>股权价值增加表!BW8</f>
        <v>0</v>
      </c>
      <c r="BX10" s="27">
        <f>股权价值增加表!BX8</f>
        <v>0</v>
      </c>
      <c r="BY10" s="27">
        <f>股权价值增加表!BY8</f>
        <v>0</v>
      </c>
      <c r="BZ10" s="27">
        <f>股权价值增加表!BZ8</f>
        <v>0</v>
      </c>
      <c r="CA10" s="27">
        <f>股权价值增加表!CA8</f>
        <v>0</v>
      </c>
      <c r="CB10" s="27">
        <f>股权价值增加表!CB8</f>
        <v>0</v>
      </c>
      <c r="CC10" s="27">
        <f>股权价值增加表!CC8</f>
        <v>0</v>
      </c>
      <c r="CD10" s="27">
        <f>股权价值增加表!CD8</f>
        <v>0</v>
      </c>
      <c r="CE10" s="27">
        <f>股权价值增加表!CE8</f>
        <v>0</v>
      </c>
      <c r="CF10" s="27">
        <f>股权价值增加表!CF8</f>
        <v>0</v>
      </c>
      <c r="CG10" s="27">
        <f>股权价值增加表!CG8</f>
        <v>0</v>
      </c>
      <c r="CH10" s="27">
        <f>股权价值增加表!CH8</f>
        <v>0</v>
      </c>
      <c r="CI10" s="27">
        <f>股权价值增加表!CI8</f>
        <v>0</v>
      </c>
      <c r="CJ10" s="27">
        <f>股权价值增加表!CJ8</f>
        <v>0</v>
      </c>
    </row>
    <row r="11" spans="1:89" s="57" customFormat="1" x14ac:dyDescent="0.25">
      <c r="A11" s="20" t="s">
        <v>359</v>
      </c>
      <c r="E11" s="57">
        <f>E10/E2</f>
        <v>6.2650970349010324E-3</v>
      </c>
      <c r="F11" s="57">
        <f t="shared" ref="F11:BQ11" si="16">F10/F2</f>
        <v>5.9389749253973096E-3</v>
      </c>
      <c r="G11" s="57">
        <f t="shared" si="16"/>
        <v>6.5994066301801324E-3</v>
      </c>
      <c r="H11" s="57">
        <f t="shared" si="16"/>
        <v>4.8239276428211327E-3</v>
      </c>
      <c r="I11" s="57">
        <f t="shared" si="16"/>
        <v>6.1307419960337567E-3</v>
      </c>
      <c r="J11" s="57">
        <f t="shared" si="16"/>
        <v>5.4582522111767734E-3</v>
      </c>
      <c r="K11" s="57">
        <f t="shared" si="16"/>
        <v>5.9118332745652698E-3</v>
      </c>
      <c r="L11" s="57">
        <f t="shared" si="16"/>
        <v>6.1229302038499946E-3</v>
      </c>
      <c r="M11" s="57">
        <f t="shared" si="16"/>
        <v>5.7384015197086873E-3</v>
      </c>
      <c r="N11" s="57">
        <f t="shared" si="16"/>
        <v>6.1746600269206239E-3</v>
      </c>
      <c r="O11" s="57">
        <f t="shared" si="16"/>
        <v>6.0232114615277532E-3</v>
      </c>
      <c r="P11" s="57">
        <f t="shared" si="16"/>
        <v>9.1600679907708846E-3</v>
      </c>
      <c r="Q11" s="57">
        <f t="shared" si="16"/>
        <v>3.4052362607657684E-2</v>
      </c>
      <c r="R11" s="57">
        <f t="shared" si="16"/>
        <v>5.0201860212045125E-2</v>
      </c>
      <c r="S11" s="57" t="e">
        <f t="shared" si="16"/>
        <v>#DIV/0!</v>
      </c>
      <c r="T11" s="57" t="e">
        <f t="shared" si="16"/>
        <v>#DIV/0!</v>
      </c>
      <c r="U11" s="57" t="e">
        <f t="shared" si="16"/>
        <v>#DIV/0!</v>
      </c>
      <c r="V11" s="57" t="e">
        <f t="shared" si="16"/>
        <v>#DIV/0!</v>
      </c>
      <c r="W11" s="57" t="e">
        <f t="shared" si="16"/>
        <v>#DIV/0!</v>
      </c>
      <c r="X11" s="57" t="e">
        <f t="shared" si="16"/>
        <v>#DIV/0!</v>
      </c>
      <c r="Y11" s="57" t="e">
        <f t="shared" si="16"/>
        <v>#DIV/0!</v>
      </c>
      <c r="Z11" s="57" t="e">
        <f t="shared" si="16"/>
        <v>#DIV/0!</v>
      </c>
      <c r="AA11" s="57" t="e">
        <f t="shared" si="16"/>
        <v>#DIV/0!</v>
      </c>
      <c r="AB11" s="57" t="e">
        <f t="shared" si="16"/>
        <v>#DIV/0!</v>
      </c>
      <c r="AC11" s="57" t="e">
        <f t="shared" si="16"/>
        <v>#DIV/0!</v>
      </c>
      <c r="AD11" s="57" t="e">
        <f t="shared" si="16"/>
        <v>#DIV/0!</v>
      </c>
      <c r="AE11" s="57" t="e">
        <f t="shared" si="16"/>
        <v>#DIV/0!</v>
      </c>
      <c r="AF11" s="57" t="e">
        <f t="shared" si="16"/>
        <v>#DIV/0!</v>
      </c>
      <c r="AG11" s="57" t="e">
        <f t="shared" si="16"/>
        <v>#DIV/0!</v>
      </c>
      <c r="AH11" s="57" t="e">
        <f t="shared" si="16"/>
        <v>#DIV/0!</v>
      </c>
      <c r="AI11" s="57" t="e">
        <f t="shared" si="16"/>
        <v>#DIV/0!</v>
      </c>
      <c r="AJ11" s="57" t="e">
        <f t="shared" si="16"/>
        <v>#DIV/0!</v>
      </c>
      <c r="AK11" s="57" t="e">
        <f t="shared" si="16"/>
        <v>#DIV/0!</v>
      </c>
      <c r="AL11" s="57" t="e">
        <f t="shared" si="16"/>
        <v>#DIV/0!</v>
      </c>
      <c r="AM11" s="57" t="e">
        <f t="shared" si="16"/>
        <v>#DIV/0!</v>
      </c>
      <c r="AN11" s="57" t="e">
        <f t="shared" si="16"/>
        <v>#DIV/0!</v>
      </c>
      <c r="AO11" s="57" t="e">
        <f t="shared" si="16"/>
        <v>#DIV/0!</v>
      </c>
      <c r="AP11" s="57" t="e">
        <f t="shared" si="16"/>
        <v>#DIV/0!</v>
      </c>
      <c r="AQ11" s="57" t="e">
        <f t="shared" si="16"/>
        <v>#DIV/0!</v>
      </c>
      <c r="AR11" s="57" t="e">
        <f t="shared" si="16"/>
        <v>#DIV/0!</v>
      </c>
      <c r="AS11" s="57" t="e">
        <f t="shared" si="16"/>
        <v>#DIV/0!</v>
      </c>
      <c r="AT11" s="57" t="e">
        <f t="shared" si="16"/>
        <v>#DIV/0!</v>
      </c>
      <c r="AU11" s="57" t="e">
        <f t="shared" si="16"/>
        <v>#DIV/0!</v>
      </c>
      <c r="AV11" s="57" t="e">
        <f t="shared" si="16"/>
        <v>#DIV/0!</v>
      </c>
      <c r="AW11" s="57" t="e">
        <f t="shared" si="16"/>
        <v>#DIV/0!</v>
      </c>
      <c r="AX11" s="57" t="e">
        <f t="shared" si="16"/>
        <v>#DIV/0!</v>
      </c>
      <c r="AY11" s="57" t="e">
        <f t="shared" si="16"/>
        <v>#DIV/0!</v>
      </c>
      <c r="AZ11" s="57" t="e">
        <f t="shared" si="16"/>
        <v>#DIV/0!</v>
      </c>
      <c r="BA11" s="57" t="e">
        <f t="shared" si="16"/>
        <v>#DIV/0!</v>
      </c>
      <c r="BB11" s="57" t="e">
        <f t="shared" si="16"/>
        <v>#DIV/0!</v>
      </c>
      <c r="BC11" s="57" t="e">
        <f t="shared" si="16"/>
        <v>#DIV/0!</v>
      </c>
      <c r="BD11" s="57" t="e">
        <f t="shared" si="16"/>
        <v>#DIV/0!</v>
      </c>
      <c r="BE11" s="57" t="e">
        <f t="shared" si="16"/>
        <v>#DIV/0!</v>
      </c>
      <c r="BF11" s="57" t="e">
        <f t="shared" si="16"/>
        <v>#DIV/0!</v>
      </c>
      <c r="BG11" s="57" t="e">
        <f t="shared" si="16"/>
        <v>#DIV/0!</v>
      </c>
      <c r="BH11" s="57" t="e">
        <f t="shared" si="16"/>
        <v>#DIV/0!</v>
      </c>
      <c r="BI11" s="57" t="e">
        <f t="shared" si="16"/>
        <v>#DIV/0!</v>
      </c>
      <c r="BJ11" s="57" t="e">
        <f t="shared" si="16"/>
        <v>#DIV/0!</v>
      </c>
      <c r="BK11" s="57" t="e">
        <f t="shared" si="16"/>
        <v>#DIV/0!</v>
      </c>
      <c r="BL11" s="57" t="e">
        <f t="shared" si="16"/>
        <v>#DIV/0!</v>
      </c>
      <c r="BM11" s="57" t="e">
        <f t="shared" si="16"/>
        <v>#DIV/0!</v>
      </c>
      <c r="BN11" s="57" t="e">
        <f t="shared" si="16"/>
        <v>#DIV/0!</v>
      </c>
      <c r="BO11" s="57" t="e">
        <f t="shared" si="16"/>
        <v>#DIV/0!</v>
      </c>
      <c r="BP11" s="57" t="e">
        <f t="shared" si="16"/>
        <v>#DIV/0!</v>
      </c>
      <c r="BQ11" s="57" t="e">
        <f t="shared" si="16"/>
        <v>#DIV/0!</v>
      </c>
      <c r="BR11" s="57" t="e">
        <f t="shared" ref="BR11:CJ11" si="17">BR10/BR2</f>
        <v>#DIV/0!</v>
      </c>
      <c r="BS11" s="57" t="e">
        <f t="shared" si="17"/>
        <v>#DIV/0!</v>
      </c>
      <c r="BT11" s="57" t="e">
        <f t="shared" si="17"/>
        <v>#DIV/0!</v>
      </c>
      <c r="BU11" s="57" t="e">
        <f t="shared" si="17"/>
        <v>#DIV/0!</v>
      </c>
      <c r="BV11" s="57" t="e">
        <f t="shared" si="17"/>
        <v>#DIV/0!</v>
      </c>
      <c r="BW11" s="57" t="e">
        <f t="shared" si="17"/>
        <v>#DIV/0!</v>
      </c>
      <c r="BX11" s="57" t="e">
        <f t="shared" si="17"/>
        <v>#DIV/0!</v>
      </c>
      <c r="BY11" s="57" t="e">
        <f t="shared" si="17"/>
        <v>#DIV/0!</v>
      </c>
      <c r="BZ11" s="57" t="e">
        <f t="shared" si="17"/>
        <v>#DIV/0!</v>
      </c>
      <c r="CA11" s="57" t="e">
        <f t="shared" si="17"/>
        <v>#DIV/0!</v>
      </c>
      <c r="CB11" s="57" t="e">
        <f t="shared" si="17"/>
        <v>#DIV/0!</v>
      </c>
      <c r="CC11" s="57" t="e">
        <f t="shared" si="17"/>
        <v>#DIV/0!</v>
      </c>
      <c r="CD11" s="57" t="e">
        <f t="shared" si="17"/>
        <v>#DIV/0!</v>
      </c>
      <c r="CE11" s="57" t="e">
        <f t="shared" si="17"/>
        <v>#DIV/0!</v>
      </c>
      <c r="CF11" s="57" t="e">
        <f t="shared" si="17"/>
        <v>#DIV/0!</v>
      </c>
      <c r="CG11" s="57" t="e">
        <f t="shared" si="17"/>
        <v>#DIV/0!</v>
      </c>
      <c r="CH11" s="57" t="e">
        <f t="shared" si="17"/>
        <v>#DIV/0!</v>
      </c>
      <c r="CI11" s="57" t="e">
        <f t="shared" si="17"/>
        <v>#DIV/0!</v>
      </c>
      <c r="CJ11" s="57" t="e">
        <f t="shared" si="17"/>
        <v>#DIV/0!</v>
      </c>
    </row>
    <row r="12" spans="1:89" s="27" customFormat="1" x14ac:dyDescent="0.25">
      <c r="A12" s="127" t="s">
        <v>360</v>
      </c>
      <c r="E12" s="27">
        <f>股权价值增加表!E9</f>
        <v>21668533.010000002</v>
      </c>
      <c r="F12" s="27">
        <f>股权价值增加表!F9</f>
        <v>13228844.43</v>
      </c>
      <c r="G12" s="27">
        <f>股权价值增加表!G9</f>
        <v>9180163.4299999997</v>
      </c>
      <c r="H12" s="27">
        <f>股权价值增加表!H9</f>
        <v>5012251.4000000004</v>
      </c>
      <c r="I12" s="27">
        <f>股权价值增加表!I9</f>
        <v>19538807.030000001</v>
      </c>
      <c r="J12" s="27">
        <f>股权价值增加表!J9</f>
        <v>12545397.220000001</v>
      </c>
      <c r="K12" s="27">
        <f>股权价值增加表!K9</f>
        <v>8046351.9000000004</v>
      </c>
      <c r="L12" s="27">
        <f>股权价值增加表!L9</f>
        <v>3789818.57</v>
      </c>
      <c r="M12" s="27">
        <f>股权价值增加表!M9</f>
        <v>17063513.98</v>
      </c>
      <c r="N12" s="27">
        <f>股权价值增加表!N9</f>
        <v>11785946.41</v>
      </c>
      <c r="O12" s="27">
        <f>股权价值增加表!O9</f>
        <v>16875542.949999999</v>
      </c>
      <c r="P12" s="27">
        <f>股权价值增加表!P9</f>
        <v>16358050.699999999</v>
      </c>
      <c r="Q12" s="27">
        <f>股权价值增加表!Q9</f>
        <v>9619825.7599999998</v>
      </c>
      <c r="R12" s="27">
        <f>股权价值增加表!R9</f>
        <v>7064283.7000000002</v>
      </c>
      <c r="S12" s="27">
        <f>股权价值增加表!S9</f>
        <v>0</v>
      </c>
      <c r="T12" s="27">
        <f>股权价值增加表!T9</f>
        <v>0</v>
      </c>
      <c r="U12" s="27">
        <f>股权价值增加表!U9</f>
        <v>0</v>
      </c>
      <c r="V12" s="27">
        <f>股权价值增加表!V9</f>
        <v>0</v>
      </c>
      <c r="W12" s="27">
        <f>股权价值增加表!W9</f>
        <v>0</v>
      </c>
      <c r="X12" s="27">
        <f>股权价值增加表!X9</f>
        <v>0</v>
      </c>
      <c r="Y12" s="27">
        <f>股权价值增加表!Y9</f>
        <v>0</v>
      </c>
      <c r="Z12" s="27">
        <f>股权价值增加表!Z9</f>
        <v>0</v>
      </c>
      <c r="AA12" s="27">
        <f>股权价值增加表!AA9</f>
        <v>0</v>
      </c>
      <c r="AB12" s="27">
        <f>股权价值增加表!AB9</f>
        <v>0</v>
      </c>
      <c r="AC12" s="27">
        <f>股权价值增加表!AC9</f>
        <v>0</v>
      </c>
      <c r="AD12" s="27">
        <f>股权价值增加表!AD9</f>
        <v>0</v>
      </c>
      <c r="AE12" s="27">
        <f>股权价值增加表!AE9</f>
        <v>0</v>
      </c>
      <c r="AF12" s="27">
        <f>股权价值增加表!AF9</f>
        <v>0</v>
      </c>
      <c r="AG12" s="27">
        <f>股权价值增加表!AG9</f>
        <v>0</v>
      </c>
      <c r="AH12" s="27">
        <f>股权价值增加表!AH9</f>
        <v>0</v>
      </c>
      <c r="AI12" s="27">
        <f>股权价值增加表!AI9</f>
        <v>0</v>
      </c>
      <c r="AJ12" s="27">
        <f>股权价值增加表!AJ9</f>
        <v>0</v>
      </c>
      <c r="AK12" s="27">
        <f>股权价值增加表!AK9</f>
        <v>0</v>
      </c>
      <c r="AL12" s="27">
        <f>股权价值增加表!AL9</f>
        <v>0</v>
      </c>
      <c r="AM12" s="27">
        <f>股权价值增加表!AM9</f>
        <v>0</v>
      </c>
      <c r="AN12" s="27">
        <f>股权价值增加表!AN9</f>
        <v>0</v>
      </c>
      <c r="AO12" s="27">
        <f>股权价值增加表!AO9</f>
        <v>0</v>
      </c>
      <c r="AP12" s="27">
        <f>股权价值增加表!AP9</f>
        <v>0</v>
      </c>
      <c r="AQ12" s="27">
        <f>股权价值增加表!AQ9</f>
        <v>0</v>
      </c>
      <c r="AR12" s="27">
        <f>股权价值增加表!AR9</f>
        <v>0</v>
      </c>
      <c r="AS12" s="27">
        <f>股权价值增加表!AS9</f>
        <v>0</v>
      </c>
      <c r="AT12" s="27">
        <f>股权价值增加表!AT9</f>
        <v>0</v>
      </c>
      <c r="AU12" s="27">
        <f>股权价值增加表!AU9</f>
        <v>0</v>
      </c>
      <c r="AV12" s="27">
        <f>股权价值增加表!AV9</f>
        <v>0</v>
      </c>
      <c r="AW12" s="27">
        <f>股权价值增加表!AW9</f>
        <v>0</v>
      </c>
      <c r="AX12" s="27">
        <f>股权价值增加表!AX9</f>
        <v>0</v>
      </c>
      <c r="AY12" s="27">
        <f>股权价值增加表!AY9</f>
        <v>0</v>
      </c>
      <c r="AZ12" s="27">
        <f>股权价值增加表!AZ9</f>
        <v>0</v>
      </c>
      <c r="BA12" s="27">
        <f>股权价值增加表!BA9</f>
        <v>0</v>
      </c>
      <c r="BB12" s="27">
        <f>股权价值增加表!BB9</f>
        <v>0</v>
      </c>
      <c r="BC12" s="27">
        <f>股权价值增加表!BC9</f>
        <v>0</v>
      </c>
      <c r="BD12" s="27">
        <f>股权价值增加表!BD9</f>
        <v>0</v>
      </c>
      <c r="BE12" s="27">
        <f>股权价值增加表!BE9</f>
        <v>0</v>
      </c>
      <c r="BF12" s="27">
        <f>股权价值增加表!BF9</f>
        <v>0</v>
      </c>
      <c r="BG12" s="27">
        <f>股权价值增加表!BG9</f>
        <v>0</v>
      </c>
      <c r="BH12" s="27">
        <f>股权价值增加表!BH9</f>
        <v>0</v>
      </c>
      <c r="BI12" s="27">
        <f>股权价值增加表!BI9</f>
        <v>0</v>
      </c>
      <c r="BJ12" s="27">
        <f>股权价值增加表!BJ9</f>
        <v>0</v>
      </c>
      <c r="BK12" s="27">
        <f>股权价值增加表!BK9</f>
        <v>0</v>
      </c>
      <c r="BL12" s="27">
        <f>股权价值增加表!BL9</f>
        <v>0</v>
      </c>
      <c r="BM12" s="27">
        <f>股权价值增加表!BM9</f>
        <v>0</v>
      </c>
      <c r="BN12" s="27">
        <f>股权价值增加表!BN9</f>
        <v>0</v>
      </c>
      <c r="BO12" s="27">
        <f>股权价值增加表!BO9</f>
        <v>0</v>
      </c>
      <c r="BP12" s="27">
        <f>股权价值增加表!BP9</f>
        <v>0</v>
      </c>
      <c r="BQ12" s="27">
        <f>股权价值增加表!BQ9</f>
        <v>0</v>
      </c>
      <c r="BR12" s="27">
        <f>股权价值增加表!BR9</f>
        <v>0</v>
      </c>
      <c r="BS12" s="27">
        <f>股权价值增加表!BS9</f>
        <v>0</v>
      </c>
      <c r="BT12" s="27">
        <f>股权价值增加表!BT9</f>
        <v>0</v>
      </c>
      <c r="BU12" s="27">
        <f>股权价值增加表!BU9</f>
        <v>0</v>
      </c>
      <c r="BV12" s="27">
        <f>股权价值增加表!BV9</f>
        <v>0</v>
      </c>
      <c r="BW12" s="27">
        <f>股权价值增加表!BW9</f>
        <v>0</v>
      </c>
      <c r="BX12" s="27">
        <f>股权价值增加表!BX9</f>
        <v>0</v>
      </c>
      <c r="BY12" s="27">
        <f>股权价值增加表!BY9</f>
        <v>0</v>
      </c>
      <c r="BZ12" s="27">
        <f>股权价值增加表!BZ9</f>
        <v>0</v>
      </c>
      <c r="CA12" s="27">
        <f>股权价值增加表!CA9</f>
        <v>0</v>
      </c>
      <c r="CB12" s="27">
        <f>股权价值增加表!CB9</f>
        <v>0</v>
      </c>
      <c r="CC12" s="27">
        <f>股权价值增加表!CC9</f>
        <v>0</v>
      </c>
      <c r="CD12" s="27">
        <f>股权价值增加表!CD9</f>
        <v>0</v>
      </c>
      <c r="CE12" s="27">
        <f>股权价值增加表!CE9</f>
        <v>0</v>
      </c>
      <c r="CF12" s="27">
        <f>股权价值增加表!CF9</f>
        <v>0</v>
      </c>
      <c r="CG12" s="27">
        <f>股权价值增加表!CG9</f>
        <v>0</v>
      </c>
      <c r="CH12" s="27">
        <f>股权价值增加表!CH9</f>
        <v>0</v>
      </c>
      <c r="CI12" s="27">
        <f>股权价值增加表!CI9</f>
        <v>0</v>
      </c>
      <c r="CJ12" s="27">
        <f>股权价值增加表!CJ9</f>
        <v>0</v>
      </c>
    </row>
    <row r="13" spans="1:89" s="57" customFormat="1" x14ac:dyDescent="0.25">
      <c r="A13" s="20" t="s">
        <v>361</v>
      </c>
      <c r="E13" s="57">
        <f>E12/E2</f>
        <v>2.8798878199443059E-2</v>
      </c>
      <c r="F13" s="57">
        <f t="shared" ref="F13:BQ13" si="18">F12/F2</f>
        <v>2.5160755468703201E-2</v>
      </c>
      <c r="G13" s="57">
        <f t="shared" si="18"/>
        <v>2.7018698796220177E-2</v>
      </c>
      <c r="H13" s="57">
        <f t="shared" si="18"/>
        <v>3.2610448311500423E-2</v>
      </c>
      <c r="I13" s="57">
        <f t="shared" si="18"/>
        <v>2.9381160077168889E-2</v>
      </c>
      <c r="J13" s="57">
        <f t="shared" si="18"/>
        <v>2.7632551400723664E-2</v>
      </c>
      <c r="K13" s="57">
        <f t="shared" si="18"/>
        <v>2.8406509000260059E-2</v>
      </c>
      <c r="L13" s="57">
        <f t="shared" si="18"/>
        <v>3.0488628966924815E-2</v>
      </c>
      <c r="M13" s="57">
        <f t="shared" si="18"/>
        <v>2.8580287432759546E-2</v>
      </c>
      <c r="N13" s="57">
        <f t="shared" si="18"/>
        <v>2.8783043950594205E-2</v>
      </c>
      <c r="O13" s="57">
        <f t="shared" si="18"/>
        <v>3.1912318485518044E-2</v>
      </c>
      <c r="P13" s="57">
        <f t="shared" si="18"/>
        <v>3.3734342698347561E-2</v>
      </c>
      <c r="Q13" s="57">
        <f t="shared" si="18"/>
        <v>2.4317433649054195E-2</v>
      </c>
      <c r="R13" s="57">
        <f t="shared" si="18"/>
        <v>2.2292435600285015E-2</v>
      </c>
      <c r="S13" s="57" t="e">
        <f t="shared" si="18"/>
        <v>#DIV/0!</v>
      </c>
      <c r="T13" s="57" t="e">
        <f t="shared" si="18"/>
        <v>#DIV/0!</v>
      </c>
      <c r="U13" s="57" t="e">
        <f t="shared" si="18"/>
        <v>#DIV/0!</v>
      </c>
      <c r="V13" s="57" t="e">
        <f t="shared" si="18"/>
        <v>#DIV/0!</v>
      </c>
      <c r="W13" s="57" t="e">
        <f t="shared" si="18"/>
        <v>#DIV/0!</v>
      </c>
      <c r="X13" s="57" t="e">
        <f t="shared" si="18"/>
        <v>#DIV/0!</v>
      </c>
      <c r="Y13" s="57" t="e">
        <f t="shared" si="18"/>
        <v>#DIV/0!</v>
      </c>
      <c r="Z13" s="57" t="e">
        <f t="shared" si="18"/>
        <v>#DIV/0!</v>
      </c>
      <c r="AA13" s="57" t="e">
        <f t="shared" si="18"/>
        <v>#DIV/0!</v>
      </c>
      <c r="AB13" s="57" t="e">
        <f t="shared" si="18"/>
        <v>#DIV/0!</v>
      </c>
      <c r="AC13" s="57" t="e">
        <f t="shared" si="18"/>
        <v>#DIV/0!</v>
      </c>
      <c r="AD13" s="57" t="e">
        <f t="shared" si="18"/>
        <v>#DIV/0!</v>
      </c>
      <c r="AE13" s="57" t="e">
        <f t="shared" si="18"/>
        <v>#DIV/0!</v>
      </c>
      <c r="AF13" s="57" t="e">
        <f t="shared" si="18"/>
        <v>#DIV/0!</v>
      </c>
      <c r="AG13" s="57" t="e">
        <f t="shared" si="18"/>
        <v>#DIV/0!</v>
      </c>
      <c r="AH13" s="57" t="e">
        <f t="shared" si="18"/>
        <v>#DIV/0!</v>
      </c>
      <c r="AI13" s="57" t="e">
        <f t="shared" si="18"/>
        <v>#DIV/0!</v>
      </c>
      <c r="AJ13" s="57" t="e">
        <f t="shared" si="18"/>
        <v>#DIV/0!</v>
      </c>
      <c r="AK13" s="57" t="e">
        <f t="shared" si="18"/>
        <v>#DIV/0!</v>
      </c>
      <c r="AL13" s="57" t="e">
        <f t="shared" si="18"/>
        <v>#DIV/0!</v>
      </c>
      <c r="AM13" s="57" t="e">
        <f t="shared" si="18"/>
        <v>#DIV/0!</v>
      </c>
      <c r="AN13" s="57" t="e">
        <f t="shared" si="18"/>
        <v>#DIV/0!</v>
      </c>
      <c r="AO13" s="57" t="e">
        <f t="shared" si="18"/>
        <v>#DIV/0!</v>
      </c>
      <c r="AP13" s="57" t="e">
        <f t="shared" si="18"/>
        <v>#DIV/0!</v>
      </c>
      <c r="AQ13" s="57" t="e">
        <f t="shared" si="18"/>
        <v>#DIV/0!</v>
      </c>
      <c r="AR13" s="57" t="e">
        <f t="shared" si="18"/>
        <v>#DIV/0!</v>
      </c>
      <c r="AS13" s="57" t="e">
        <f t="shared" si="18"/>
        <v>#DIV/0!</v>
      </c>
      <c r="AT13" s="57" t="e">
        <f t="shared" si="18"/>
        <v>#DIV/0!</v>
      </c>
      <c r="AU13" s="57" t="e">
        <f t="shared" si="18"/>
        <v>#DIV/0!</v>
      </c>
      <c r="AV13" s="57" t="e">
        <f t="shared" si="18"/>
        <v>#DIV/0!</v>
      </c>
      <c r="AW13" s="57" t="e">
        <f t="shared" si="18"/>
        <v>#DIV/0!</v>
      </c>
      <c r="AX13" s="57" t="e">
        <f t="shared" si="18"/>
        <v>#DIV/0!</v>
      </c>
      <c r="AY13" s="57" t="e">
        <f t="shared" si="18"/>
        <v>#DIV/0!</v>
      </c>
      <c r="AZ13" s="57" t="e">
        <f t="shared" si="18"/>
        <v>#DIV/0!</v>
      </c>
      <c r="BA13" s="57" t="e">
        <f t="shared" si="18"/>
        <v>#DIV/0!</v>
      </c>
      <c r="BB13" s="57" t="e">
        <f t="shared" si="18"/>
        <v>#DIV/0!</v>
      </c>
      <c r="BC13" s="57" t="e">
        <f t="shared" si="18"/>
        <v>#DIV/0!</v>
      </c>
      <c r="BD13" s="57" t="e">
        <f t="shared" si="18"/>
        <v>#DIV/0!</v>
      </c>
      <c r="BE13" s="57" t="e">
        <f t="shared" si="18"/>
        <v>#DIV/0!</v>
      </c>
      <c r="BF13" s="57" t="e">
        <f t="shared" si="18"/>
        <v>#DIV/0!</v>
      </c>
      <c r="BG13" s="57" t="e">
        <f t="shared" si="18"/>
        <v>#DIV/0!</v>
      </c>
      <c r="BH13" s="57" t="e">
        <f t="shared" si="18"/>
        <v>#DIV/0!</v>
      </c>
      <c r="BI13" s="57" t="e">
        <f t="shared" si="18"/>
        <v>#DIV/0!</v>
      </c>
      <c r="BJ13" s="57" t="e">
        <f t="shared" si="18"/>
        <v>#DIV/0!</v>
      </c>
      <c r="BK13" s="57" t="e">
        <f t="shared" si="18"/>
        <v>#DIV/0!</v>
      </c>
      <c r="BL13" s="57" t="e">
        <f t="shared" si="18"/>
        <v>#DIV/0!</v>
      </c>
      <c r="BM13" s="57" t="e">
        <f t="shared" si="18"/>
        <v>#DIV/0!</v>
      </c>
      <c r="BN13" s="57" t="e">
        <f t="shared" si="18"/>
        <v>#DIV/0!</v>
      </c>
      <c r="BO13" s="57" t="e">
        <f t="shared" si="18"/>
        <v>#DIV/0!</v>
      </c>
      <c r="BP13" s="57" t="e">
        <f t="shared" si="18"/>
        <v>#DIV/0!</v>
      </c>
      <c r="BQ13" s="57" t="e">
        <f t="shared" si="18"/>
        <v>#DIV/0!</v>
      </c>
      <c r="BR13" s="57" t="e">
        <f t="shared" ref="BR13:CJ13" si="19">BR12/BR2</f>
        <v>#DIV/0!</v>
      </c>
      <c r="BS13" s="57" t="e">
        <f t="shared" si="19"/>
        <v>#DIV/0!</v>
      </c>
      <c r="BT13" s="57" t="e">
        <f t="shared" si="19"/>
        <v>#DIV/0!</v>
      </c>
      <c r="BU13" s="57" t="e">
        <f t="shared" si="19"/>
        <v>#DIV/0!</v>
      </c>
      <c r="BV13" s="57" t="e">
        <f t="shared" si="19"/>
        <v>#DIV/0!</v>
      </c>
      <c r="BW13" s="57" t="e">
        <f t="shared" si="19"/>
        <v>#DIV/0!</v>
      </c>
      <c r="BX13" s="57" t="e">
        <f t="shared" si="19"/>
        <v>#DIV/0!</v>
      </c>
      <c r="BY13" s="57" t="e">
        <f t="shared" si="19"/>
        <v>#DIV/0!</v>
      </c>
      <c r="BZ13" s="57" t="e">
        <f t="shared" si="19"/>
        <v>#DIV/0!</v>
      </c>
      <c r="CA13" s="57" t="e">
        <f t="shared" si="19"/>
        <v>#DIV/0!</v>
      </c>
      <c r="CB13" s="57" t="e">
        <f t="shared" si="19"/>
        <v>#DIV/0!</v>
      </c>
      <c r="CC13" s="57" t="e">
        <f t="shared" si="19"/>
        <v>#DIV/0!</v>
      </c>
      <c r="CD13" s="57" t="e">
        <f t="shared" si="19"/>
        <v>#DIV/0!</v>
      </c>
      <c r="CE13" s="57" t="e">
        <f t="shared" si="19"/>
        <v>#DIV/0!</v>
      </c>
      <c r="CF13" s="57" t="e">
        <f t="shared" si="19"/>
        <v>#DIV/0!</v>
      </c>
      <c r="CG13" s="57" t="e">
        <f t="shared" si="19"/>
        <v>#DIV/0!</v>
      </c>
      <c r="CH13" s="57" t="e">
        <f t="shared" si="19"/>
        <v>#DIV/0!</v>
      </c>
      <c r="CI13" s="57" t="e">
        <f t="shared" si="19"/>
        <v>#DIV/0!</v>
      </c>
      <c r="CJ13" s="57" t="e">
        <f t="shared" si="19"/>
        <v>#DIV/0!</v>
      </c>
    </row>
    <row r="14" spans="1:89" s="26" customFormat="1" x14ac:dyDescent="0.25">
      <c r="A14" s="127" t="s">
        <v>362</v>
      </c>
      <c r="E14" s="26">
        <f>股权价值增加表!E10</f>
        <v>166019822.88</v>
      </c>
      <c r="F14" s="26">
        <f>股权价值增加表!F10</f>
        <v>117685777.28</v>
      </c>
      <c r="G14" s="26">
        <f>股权价值增加表!G10</f>
        <v>79178722.430000007</v>
      </c>
      <c r="H14" s="26">
        <f>股权价值增加表!H10</f>
        <v>37534449.25</v>
      </c>
      <c r="I14" s="26">
        <f>股权价值增加表!I10</f>
        <v>154974042.46000001</v>
      </c>
      <c r="J14" s="26">
        <f>股权价值增加表!J10</f>
        <v>103999553.73999999</v>
      </c>
      <c r="K14" s="26">
        <f>股权价值增加表!K10</f>
        <v>70613526.260000005</v>
      </c>
      <c r="L14" s="26">
        <f>股权价值增加表!L10</f>
        <v>35456383.57</v>
      </c>
      <c r="M14" s="26">
        <f>股权价值增加表!M10</f>
        <v>122441461.36</v>
      </c>
      <c r="N14" s="26">
        <f>股权价值增加表!N10</f>
        <v>86931351.890000001</v>
      </c>
      <c r="O14" s="26">
        <f>股权价值增加表!O10</f>
        <v>107670888.41</v>
      </c>
      <c r="P14" s="26">
        <f>股权价值增加表!P10</f>
        <v>102640374.88</v>
      </c>
      <c r="Q14" s="26">
        <f>股权价值增加表!Q10</f>
        <v>71521981.640000001</v>
      </c>
      <c r="R14" s="26">
        <f>股权价值增加表!R10</f>
        <v>52519359.909999996</v>
      </c>
      <c r="S14" s="26">
        <f>股权价值增加表!S10</f>
        <v>0</v>
      </c>
      <c r="T14" s="26">
        <f>股权价值增加表!T10</f>
        <v>0</v>
      </c>
      <c r="U14" s="26">
        <f>股权价值增加表!U10</f>
        <v>0</v>
      </c>
      <c r="V14" s="26">
        <f>股权价值增加表!V10</f>
        <v>0</v>
      </c>
      <c r="W14" s="26">
        <f>股权价值增加表!W10</f>
        <v>0</v>
      </c>
      <c r="X14" s="26">
        <f>股权价值增加表!X10</f>
        <v>0</v>
      </c>
      <c r="Y14" s="26">
        <f>股权价值增加表!Y10</f>
        <v>0</v>
      </c>
      <c r="Z14" s="26">
        <f>股权价值增加表!Z10</f>
        <v>0</v>
      </c>
      <c r="AA14" s="26">
        <f>股权价值增加表!AA10</f>
        <v>0</v>
      </c>
      <c r="AB14" s="26">
        <f>股权价值增加表!AB10</f>
        <v>0</v>
      </c>
      <c r="AC14" s="26">
        <f>股权价值增加表!AC10</f>
        <v>0</v>
      </c>
      <c r="AD14" s="26">
        <f>股权价值增加表!AD10</f>
        <v>0</v>
      </c>
      <c r="AE14" s="26">
        <f>股权价值增加表!AE10</f>
        <v>0</v>
      </c>
      <c r="AF14" s="26">
        <f>股权价值增加表!AF10</f>
        <v>0</v>
      </c>
      <c r="AG14" s="26">
        <f>股权价值增加表!AG10</f>
        <v>0</v>
      </c>
      <c r="AH14" s="26">
        <f>股权价值增加表!AH10</f>
        <v>0</v>
      </c>
      <c r="AI14" s="26">
        <f>股权价值增加表!AI10</f>
        <v>0</v>
      </c>
      <c r="AJ14" s="26">
        <f>股权价值增加表!AJ10</f>
        <v>0</v>
      </c>
      <c r="AK14" s="26">
        <f>股权价值增加表!AK10</f>
        <v>0</v>
      </c>
      <c r="AL14" s="26">
        <f>股权价值增加表!AL10</f>
        <v>0</v>
      </c>
      <c r="AM14" s="26">
        <f>股权价值增加表!AM10</f>
        <v>0</v>
      </c>
      <c r="AN14" s="26">
        <f>股权价值增加表!AN10</f>
        <v>0</v>
      </c>
      <c r="AO14" s="26">
        <f>股权价值增加表!AO10</f>
        <v>0</v>
      </c>
      <c r="AP14" s="26">
        <f>股权价值增加表!AP10</f>
        <v>0</v>
      </c>
      <c r="AQ14" s="26">
        <f>股权价值增加表!AQ10</f>
        <v>0</v>
      </c>
      <c r="AR14" s="26">
        <f>股权价值增加表!AR10</f>
        <v>0</v>
      </c>
      <c r="AS14" s="26">
        <f>股权价值增加表!AS10</f>
        <v>0</v>
      </c>
      <c r="AT14" s="26">
        <f>股权价值增加表!AT10</f>
        <v>0</v>
      </c>
      <c r="AU14" s="26">
        <f>股权价值增加表!AU10</f>
        <v>0</v>
      </c>
      <c r="AV14" s="26">
        <f>股权价值增加表!AV10</f>
        <v>0</v>
      </c>
      <c r="AW14" s="26">
        <f>股权价值增加表!AW10</f>
        <v>0</v>
      </c>
      <c r="AX14" s="26">
        <f>股权价值增加表!AX10</f>
        <v>0</v>
      </c>
      <c r="AY14" s="26">
        <f>股权价值增加表!AY10</f>
        <v>0</v>
      </c>
      <c r="AZ14" s="26">
        <f>股权价值增加表!AZ10</f>
        <v>0</v>
      </c>
      <c r="BA14" s="26">
        <f>股权价值增加表!BA10</f>
        <v>0</v>
      </c>
      <c r="BB14" s="26">
        <f>股权价值增加表!BB10</f>
        <v>0</v>
      </c>
      <c r="BC14" s="26">
        <f>股权价值增加表!BC10</f>
        <v>0</v>
      </c>
      <c r="BD14" s="26">
        <f>股权价值增加表!BD10</f>
        <v>0</v>
      </c>
      <c r="BE14" s="26">
        <f>股权价值增加表!BE10</f>
        <v>0</v>
      </c>
      <c r="BF14" s="26">
        <f>股权价值增加表!BF10</f>
        <v>0</v>
      </c>
      <c r="BG14" s="26">
        <f>股权价值增加表!BG10</f>
        <v>0</v>
      </c>
      <c r="BH14" s="26">
        <f>股权价值增加表!BH10</f>
        <v>0</v>
      </c>
      <c r="BI14" s="26">
        <f>股权价值增加表!BI10</f>
        <v>0</v>
      </c>
      <c r="BJ14" s="26">
        <f>股权价值增加表!BJ10</f>
        <v>0</v>
      </c>
      <c r="BK14" s="26">
        <f>股权价值增加表!BK10</f>
        <v>0</v>
      </c>
      <c r="BL14" s="26">
        <f>股权价值增加表!BL10</f>
        <v>0</v>
      </c>
      <c r="BM14" s="26">
        <f>股权价值增加表!BM10</f>
        <v>0</v>
      </c>
      <c r="BN14" s="26">
        <f>股权价值增加表!BN10</f>
        <v>0</v>
      </c>
      <c r="BO14" s="26">
        <f>股权价值增加表!BO10</f>
        <v>0</v>
      </c>
      <c r="BP14" s="26">
        <f>股权价值增加表!BP10</f>
        <v>0</v>
      </c>
      <c r="BQ14" s="26">
        <f>股权价值增加表!BQ10</f>
        <v>0</v>
      </c>
      <c r="BR14" s="26">
        <f>股权价值增加表!BR10</f>
        <v>0</v>
      </c>
      <c r="BS14" s="26">
        <f>股权价值增加表!BS10</f>
        <v>0</v>
      </c>
      <c r="BT14" s="26">
        <f>股权价值增加表!BT10</f>
        <v>0</v>
      </c>
      <c r="BU14" s="26">
        <f>股权价值增加表!BU10</f>
        <v>0</v>
      </c>
      <c r="BV14" s="26">
        <f>股权价值增加表!BV10</f>
        <v>0</v>
      </c>
      <c r="BW14" s="26">
        <f>股权价值增加表!BW10</f>
        <v>0</v>
      </c>
      <c r="BX14" s="26">
        <f>股权价值增加表!BX10</f>
        <v>0</v>
      </c>
      <c r="BY14" s="26">
        <f>股权价值增加表!BY10</f>
        <v>0</v>
      </c>
      <c r="BZ14" s="26">
        <f>股权价值增加表!BZ10</f>
        <v>0</v>
      </c>
      <c r="CA14" s="26">
        <f>股权价值增加表!CA10</f>
        <v>0</v>
      </c>
      <c r="CB14" s="26">
        <f>股权价值增加表!CB10</f>
        <v>0</v>
      </c>
      <c r="CC14" s="26">
        <f>股权价值增加表!CC10</f>
        <v>0</v>
      </c>
      <c r="CD14" s="26">
        <f>股权价值增加表!CD10</f>
        <v>0</v>
      </c>
      <c r="CE14" s="26">
        <f>股权价值增加表!CE10</f>
        <v>0</v>
      </c>
      <c r="CF14" s="26">
        <f>股权价值增加表!CF10</f>
        <v>0</v>
      </c>
      <c r="CG14" s="26">
        <f>股权价值增加表!CG10</f>
        <v>0</v>
      </c>
      <c r="CH14" s="26">
        <f>股权价值增加表!CH10</f>
        <v>0</v>
      </c>
      <c r="CI14" s="26">
        <f>股权价值增加表!CI10</f>
        <v>0</v>
      </c>
      <c r="CJ14" s="26">
        <f>股权价值增加表!CJ10</f>
        <v>0</v>
      </c>
      <c r="CK14" s="26">
        <f>股权价值增加表!CK10</f>
        <v>0</v>
      </c>
    </row>
    <row r="15" spans="1:89" s="57" customFormat="1" x14ac:dyDescent="0.25">
      <c r="A15" s="20" t="s">
        <v>363</v>
      </c>
      <c r="E15" s="57">
        <f>E14/E2</f>
        <v>0.22065105448567834</v>
      </c>
      <c r="F15" s="57">
        <f t="shared" ref="F15:BQ15" si="20">F14/F2</f>
        <v>0.22383384126668932</v>
      </c>
      <c r="G15" s="57">
        <f t="shared" si="20"/>
        <v>0.2330357262937848</v>
      </c>
      <c r="H15" s="57">
        <f t="shared" si="20"/>
        <v>0.24420467360590906</v>
      </c>
      <c r="I15" s="57">
        <f t="shared" si="20"/>
        <v>0.23303967035101161</v>
      </c>
      <c r="J15" s="57">
        <f t="shared" si="20"/>
        <v>0.22906991018119971</v>
      </c>
      <c r="K15" s="57">
        <f t="shared" si="20"/>
        <v>0.24929108174411191</v>
      </c>
      <c r="L15" s="57">
        <f t="shared" si="20"/>
        <v>0.2852422888346075</v>
      </c>
      <c r="M15" s="57">
        <f t="shared" si="20"/>
        <v>0.20508156546521147</v>
      </c>
      <c r="N15" s="57">
        <f t="shared" si="20"/>
        <v>0.21229936358877782</v>
      </c>
      <c r="O15" s="57">
        <f t="shared" si="20"/>
        <v>0.20360990415177094</v>
      </c>
      <c r="P15" s="57">
        <f t="shared" si="20"/>
        <v>0.21166981594504927</v>
      </c>
      <c r="Q15" s="57">
        <f t="shared" si="20"/>
        <v>0.18079652234569915</v>
      </c>
      <c r="R15" s="57">
        <f t="shared" si="20"/>
        <v>0.16573293178498275</v>
      </c>
      <c r="S15" s="57" t="e">
        <f t="shared" si="20"/>
        <v>#DIV/0!</v>
      </c>
      <c r="T15" s="57" t="e">
        <f t="shared" si="20"/>
        <v>#DIV/0!</v>
      </c>
      <c r="U15" s="57" t="e">
        <f t="shared" si="20"/>
        <v>#DIV/0!</v>
      </c>
      <c r="V15" s="57" t="e">
        <f t="shared" si="20"/>
        <v>#DIV/0!</v>
      </c>
      <c r="W15" s="57" t="e">
        <f t="shared" si="20"/>
        <v>#DIV/0!</v>
      </c>
      <c r="X15" s="57" t="e">
        <f t="shared" si="20"/>
        <v>#DIV/0!</v>
      </c>
      <c r="Y15" s="57" t="e">
        <f t="shared" si="20"/>
        <v>#DIV/0!</v>
      </c>
      <c r="Z15" s="57" t="e">
        <f t="shared" si="20"/>
        <v>#DIV/0!</v>
      </c>
      <c r="AA15" s="57" t="e">
        <f t="shared" si="20"/>
        <v>#DIV/0!</v>
      </c>
      <c r="AB15" s="57" t="e">
        <f t="shared" si="20"/>
        <v>#DIV/0!</v>
      </c>
      <c r="AC15" s="57" t="e">
        <f t="shared" si="20"/>
        <v>#DIV/0!</v>
      </c>
      <c r="AD15" s="57" t="e">
        <f t="shared" si="20"/>
        <v>#DIV/0!</v>
      </c>
      <c r="AE15" s="57" t="e">
        <f t="shared" si="20"/>
        <v>#DIV/0!</v>
      </c>
      <c r="AF15" s="57" t="e">
        <f t="shared" si="20"/>
        <v>#DIV/0!</v>
      </c>
      <c r="AG15" s="57" t="e">
        <f t="shared" si="20"/>
        <v>#DIV/0!</v>
      </c>
      <c r="AH15" s="57" t="e">
        <f t="shared" si="20"/>
        <v>#DIV/0!</v>
      </c>
      <c r="AI15" s="57" t="e">
        <f t="shared" si="20"/>
        <v>#DIV/0!</v>
      </c>
      <c r="AJ15" s="57" t="e">
        <f t="shared" si="20"/>
        <v>#DIV/0!</v>
      </c>
      <c r="AK15" s="57" t="e">
        <f t="shared" si="20"/>
        <v>#DIV/0!</v>
      </c>
      <c r="AL15" s="57" t="e">
        <f t="shared" si="20"/>
        <v>#DIV/0!</v>
      </c>
      <c r="AM15" s="57" t="e">
        <f t="shared" si="20"/>
        <v>#DIV/0!</v>
      </c>
      <c r="AN15" s="57" t="e">
        <f t="shared" si="20"/>
        <v>#DIV/0!</v>
      </c>
      <c r="AO15" s="57" t="e">
        <f t="shared" si="20"/>
        <v>#DIV/0!</v>
      </c>
      <c r="AP15" s="57" t="e">
        <f t="shared" si="20"/>
        <v>#DIV/0!</v>
      </c>
      <c r="AQ15" s="57" t="e">
        <f t="shared" si="20"/>
        <v>#DIV/0!</v>
      </c>
      <c r="AR15" s="57" t="e">
        <f t="shared" si="20"/>
        <v>#DIV/0!</v>
      </c>
      <c r="AS15" s="57" t="e">
        <f t="shared" si="20"/>
        <v>#DIV/0!</v>
      </c>
      <c r="AT15" s="57" t="e">
        <f t="shared" si="20"/>
        <v>#DIV/0!</v>
      </c>
      <c r="AU15" s="57" t="e">
        <f t="shared" si="20"/>
        <v>#DIV/0!</v>
      </c>
      <c r="AV15" s="57" t="e">
        <f t="shared" si="20"/>
        <v>#DIV/0!</v>
      </c>
      <c r="AW15" s="57" t="e">
        <f t="shared" si="20"/>
        <v>#DIV/0!</v>
      </c>
      <c r="AX15" s="57" t="e">
        <f t="shared" si="20"/>
        <v>#DIV/0!</v>
      </c>
      <c r="AY15" s="57" t="e">
        <f t="shared" si="20"/>
        <v>#DIV/0!</v>
      </c>
      <c r="AZ15" s="57" t="e">
        <f t="shared" si="20"/>
        <v>#DIV/0!</v>
      </c>
      <c r="BA15" s="57" t="e">
        <f t="shared" si="20"/>
        <v>#DIV/0!</v>
      </c>
      <c r="BB15" s="57" t="e">
        <f t="shared" si="20"/>
        <v>#DIV/0!</v>
      </c>
      <c r="BC15" s="57" t="e">
        <f t="shared" si="20"/>
        <v>#DIV/0!</v>
      </c>
      <c r="BD15" s="57" t="e">
        <f t="shared" si="20"/>
        <v>#DIV/0!</v>
      </c>
      <c r="BE15" s="57" t="e">
        <f t="shared" si="20"/>
        <v>#DIV/0!</v>
      </c>
      <c r="BF15" s="57" t="e">
        <f t="shared" si="20"/>
        <v>#DIV/0!</v>
      </c>
      <c r="BG15" s="57" t="e">
        <f t="shared" si="20"/>
        <v>#DIV/0!</v>
      </c>
      <c r="BH15" s="57" t="e">
        <f t="shared" si="20"/>
        <v>#DIV/0!</v>
      </c>
      <c r="BI15" s="57" t="e">
        <f t="shared" si="20"/>
        <v>#DIV/0!</v>
      </c>
      <c r="BJ15" s="57" t="e">
        <f t="shared" si="20"/>
        <v>#DIV/0!</v>
      </c>
      <c r="BK15" s="57" t="e">
        <f t="shared" si="20"/>
        <v>#DIV/0!</v>
      </c>
      <c r="BL15" s="57" t="e">
        <f t="shared" si="20"/>
        <v>#DIV/0!</v>
      </c>
      <c r="BM15" s="57" t="e">
        <f t="shared" si="20"/>
        <v>#DIV/0!</v>
      </c>
      <c r="BN15" s="57" t="e">
        <f t="shared" si="20"/>
        <v>#DIV/0!</v>
      </c>
      <c r="BO15" s="57" t="e">
        <f t="shared" si="20"/>
        <v>#DIV/0!</v>
      </c>
      <c r="BP15" s="57" t="e">
        <f t="shared" si="20"/>
        <v>#DIV/0!</v>
      </c>
      <c r="BQ15" s="57" t="e">
        <f t="shared" si="20"/>
        <v>#DIV/0!</v>
      </c>
      <c r="BR15" s="57" t="e">
        <f t="shared" ref="BR15:CK15" si="21">BR14/BR2</f>
        <v>#DIV/0!</v>
      </c>
      <c r="BS15" s="57" t="e">
        <f t="shared" si="21"/>
        <v>#DIV/0!</v>
      </c>
      <c r="BT15" s="57" t="e">
        <f t="shared" si="21"/>
        <v>#DIV/0!</v>
      </c>
      <c r="BU15" s="57" t="e">
        <f t="shared" si="21"/>
        <v>#DIV/0!</v>
      </c>
      <c r="BV15" s="57" t="e">
        <f t="shared" si="21"/>
        <v>#DIV/0!</v>
      </c>
      <c r="BW15" s="57" t="e">
        <f t="shared" si="21"/>
        <v>#DIV/0!</v>
      </c>
      <c r="BX15" s="57" t="e">
        <f t="shared" si="21"/>
        <v>#DIV/0!</v>
      </c>
      <c r="BY15" s="57" t="e">
        <f t="shared" si="21"/>
        <v>#DIV/0!</v>
      </c>
      <c r="BZ15" s="57" t="e">
        <f t="shared" si="21"/>
        <v>#DIV/0!</v>
      </c>
      <c r="CA15" s="57" t="e">
        <f t="shared" si="21"/>
        <v>#DIV/0!</v>
      </c>
      <c r="CB15" s="57" t="e">
        <f t="shared" si="21"/>
        <v>#DIV/0!</v>
      </c>
      <c r="CC15" s="57" t="e">
        <f t="shared" si="21"/>
        <v>#DIV/0!</v>
      </c>
      <c r="CD15" s="57" t="e">
        <f t="shared" si="21"/>
        <v>#DIV/0!</v>
      </c>
      <c r="CE15" s="57" t="e">
        <f t="shared" si="21"/>
        <v>#DIV/0!</v>
      </c>
      <c r="CF15" s="57" t="e">
        <f t="shared" si="21"/>
        <v>#DIV/0!</v>
      </c>
      <c r="CG15" s="57" t="e">
        <f t="shared" si="21"/>
        <v>#DIV/0!</v>
      </c>
      <c r="CH15" s="57" t="e">
        <f t="shared" si="21"/>
        <v>#DIV/0!</v>
      </c>
      <c r="CI15" s="57" t="e">
        <f t="shared" si="21"/>
        <v>#DIV/0!</v>
      </c>
      <c r="CJ15" s="57" t="e">
        <f t="shared" si="21"/>
        <v>#DIV/0!</v>
      </c>
      <c r="CK15" s="57" t="e">
        <f t="shared" si="21"/>
        <v>#DIV/0!</v>
      </c>
    </row>
    <row r="16" spans="1:89" s="26" customFormat="1" x14ac:dyDescent="0.25">
      <c r="A16" s="127" t="s">
        <v>364</v>
      </c>
      <c r="E16" s="26">
        <f>股权价值增加表!E11</f>
        <v>3676127.1</v>
      </c>
      <c r="F16" s="26">
        <f>股权价值增加表!F11</f>
        <v>4740584.82</v>
      </c>
      <c r="G16" s="26">
        <f>股权价值增加表!G11</f>
        <v>2648674.7200000002</v>
      </c>
      <c r="H16" s="26">
        <f>股权价值增加表!H11</f>
        <v>268215.46999999997</v>
      </c>
      <c r="I16" s="26">
        <f>股权价值增加表!I11</f>
        <v>2861101.65</v>
      </c>
      <c r="J16" s="26">
        <f>股权价值增加表!J11</f>
        <v>1555979.19</v>
      </c>
      <c r="K16" s="26">
        <f>股权价值增加表!K11</f>
        <v>1732316.57</v>
      </c>
      <c r="L16" s="26">
        <f>股权价值增加表!L11</f>
        <v>521455.82</v>
      </c>
      <c r="M16" s="26">
        <f>股权价值增加表!M11</f>
        <v>2284690.9700000002</v>
      </c>
      <c r="N16" s="26">
        <f>股权价值增加表!N11</f>
        <v>931665.24</v>
      </c>
      <c r="O16" s="26">
        <f>股权价值增加表!O11</f>
        <v>1660639.19</v>
      </c>
      <c r="P16" s="26">
        <f>股权价值增加表!P11</f>
        <v>1472137.7</v>
      </c>
      <c r="Q16" s="26">
        <f>股权价值增加表!Q11</f>
        <v>860356.86</v>
      </c>
      <c r="R16" s="26">
        <f>股权价值增加表!R11</f>
        <v>781100.94</v>
      </c>
      <c r="S16" s="26">
        <f>股权价值增加表!S11</f>
        <v>0</v>
      </c>
      <c r="T16" s="26">
        <f>股权价值增加表!T11</f>
        <v>0</v>
      </c>
      <c r="U16" s="26">
        <f>股权价值增加表!U11</f>
        <v>0</v>
      </c>
      <c r="V16" s="26">
        <f>股权价值增加表!V11</f>
        <v>0</v>
      </c>
      <c r="W16" s="26">
        <f>股权价值增加表!W11</f>
        <v>0</v>
      </c>
      <c r="X16" s="26">
        <f>股权价值增加表!X11</f>
        <v>0</v>
      </c>
      <c r="Y16" s="26">
        <f>股权价值增加表!Y11</f>
        <v>0</v>
      </c>
      <c r="Z16" s="26">
        <f>股权价值增加表!Z11</f>
        <v>0</v>
      </c>
      <c r="AA16" s="26">
        <f>股权价值增加表!AA11</f>
        <v>0</v>
      </c>
      <c r="AB16" s="26">
        <f>股权价值增加表!AB11</f>
        <v>0</v>
      </c>
      <c r="AC16" s="26">
        <f>股权价值增加表!AC11</f>
        <v>0</v>
      </c>
      <c r="AD16" s="26">
        <f>股权价值增加表!AD11</f>
        <v>0</v>
      </c>
      <c r="AE16" s="26">
        <f>股权价值增加表!AE11</f>
        <v>0</v>
      </c>
      <c r="AF16" s="26">
        <f>股权价值增加表!AF11</f>
        <v>0</v>
      </c>
      <c r="AG16" s="26">
        <f>股权价值增加表!AG11</f>
        <v>0</v>
      </c>
      <c r="AH16" s="26">
        <f>股权价值增加表!AH11</f>
        <v>0</v>
      </c>
      <c r="AI16" s="26">
        <f>股权价值增加表!AI11</f>
        <v>0</v>
      </c>
      <c r="AJ16" s="26">
        <f>股权价值增加表!AJ11</f>
        <v>0</v>
      </c>
      <c r="AK16" s="26">
        <f>股权价值增加表!AK11</f>
        <v>0</v>
      </c>
      <c r="AL16" s="26">
        <f>股权价值增加表!AL11</f>
        <v>0</v>
      </c>
      <c r="AM16" s="26">
        <f>股权价值增加表!AM11</f>
        <v>0</v>
      </c>
      <c r="AN16" s="26">
        <f>股权价值增加表!AN11</f>
        <v>0</v>
      </c>
      <c r="AO16" s="26">
        <f>股权价值增加表!AO11</f>
        <v>0</v>
      </c>
      <c r="AP16" s="26">
        <f>股权价值增加表!AP11</f>
        <v>0</v>
      </c>
      <c r="AQ16" s="26">
        <f>股权价值增加表!AQ11</f>
        <v>0</v>
      </c>
      <c r="AR16" s="26">
        <f>股权价值增加表!AR11</f>
        <v>0</v>
      </c>
      <c r="AS16" s="26">
        <f>股权价值增加表!AS11</f>
        <v>0</v>
      </c>
      <c r="AT16" s="26">
        <f>股权价值增加表!AT11</f>
        <v>0</v>
      </c>
      <c r="AU16" s="26">
        <f>股权价值增加表!AU11</f>
        <v>0</v>
      </c>
      <c r="AV16" s="26">
        <f>股权价值增加表!AV11</f>
        <v>0</v>
      </c>
      <c r="AW16" s="26">
        <f>股权价值增加表!AW11</f>
        <v>0</v>
      </c>
      <c r="AX16" s="26">
        <f>股权价值增加表!AX11</f>
        <v>0</v>
      </c>
      <c r="AY16" s="26">
        <f>股权价值增加表!AY11</f>
        <v>0</v>
      </c>
      <c r="AZ16" s="26">
        <f>股权价值增加表!AZ11</f>
        <v>0</v>
      </c>
      <c r="BA16" s="26">
        <f>股权价值增加表!BA11</f>
        <v>0</v>
      </c>
      <c r="BB16" s="26">
        <f>股权价值增加表!BB11</f>
        <v>0</v>
      </c>
      <c r="BC16" s="26">
        <f>股权价值增加表!BC11</f>
        <v>0</v>
      </c>
      <c r="BD16" s="26">
        <f>股权价值增加表!BD11</f>
        <v>0</v>
      </c>
      <c r="BE16" s="26">
        <f>股权价值增加表!BE11</f>
        <v>0</v>
      </c>
      <c r="BF16" s="26">
        <f>股权价值增加表!BF11</f>
        <v>0</v>
      </c>
      <c r="BG16" s="26">
        <f>股权价值增加表!BG11</f>
        <v>0</v>
      </c>
      <c r="BH16" s="26">
        <f>股权价值增加表!BH11</f>
        <v>0</v>
      </c>
      <c r="BI16" s="26">
        <f>股权价值增加表!BI11</f>
        <v>0</v>
      </c>
      <c r="BJ16" s="26">
        <f>股权价值增加表!BJ11</f>
        <v>0</v>
      </c>
      <c r="BK16" s="26">
        <f>股权价值增加表!BK11</f>
        <v>0</v>
      </c>
      <c r="BL16" s="26">
        <f>股权价值增加表!BL11</f>
        <v>0</v>
      </c>
      <c r="BM16" s="26">
        <f>股权价值增加表!BM11</f>
        <v>0</v>
      </c>
      <c r="BN16" s="26">
        <f>股权价值增加表!BN11</f>
        <v>0</v>
      </c>
      <c r="BO16" s="26">
        <f>股权价值增加表!BO11</f>
        <v>0</v>
      </c>
      <c r="BP16" s="26">
        <f>股权价值增加表!BP11</f>
        <v>0</v>
      </c>
      <c r="BQ16" s="26">
        <f>股权价值增加表!BQ11</f>
        <v>0</v>
      </c>
      <c r="BR16" s="26">
        <f>股权价值增加表!BR11</f>
        <v>0</v>
      </c>
      <c r="BS16" s="26">
        <f>股权价值增加表!BS11</f>
        <v>0</v>
      </c>
      <c r="BT16" s="26">
        <f>股权价值增加表!BT11</f>
        <v>0</v>
      </c>
      <c r="BU16" s="26">
        <f>股权价值增加表!BU11</f>
        <v>0</v>
      </c>
      <c r="BV16" s="26">
        <f>股权价值增加表!BV11</f>
        <v>0</v>
      </c>
      <c r="BW16" s="26">
        <f>股权价值增加表!BW11</f>
        <v>0</v>
      </c>
      <c r="BX16" s="26">
        <f>股权价值增加表!BX11</f>
        <v>0</v>
      </c>
      <c r="BY16" s="26">
        <f>股权价值增加表!BY11</f>
        <v>0</v>
      </c>
      <c r="BZ16" s="26">
        <f>股权价值增加表!BZ11</f>
        <v>0</v>
      </c>
      <c r="CA16" s="26">
        <f>股权价值增加表!CA11</f>
        <v>0</v>
      </c>
      <c r="CB16" s="26">
        <f>股权价值增加表!CB11</f>
        <v>0</v>
      </c>
      <c r="CC16" s="26">
        <f>股权价值增加表!CC11</f>
        <v>0</v>
      </c>
      <c r="CD16" s="26">
        <f>股权价值增加表!CD11</f>
        <v>0</v>
      </c>
      <c r="CE16" s="26">
        <f>股权价值增加表!CE11</f>
        <v>0</v>
      </c>
      <c r="CF16" s="26">
        <f>股权价值增加表!CF11</f>
        <v>0</v>
      </c>
      <c r="CG16" s="26">
        <f>股权价值增加表!CG11</f>
        <v>0</v>
      </c>
      <c r="CH16" s="26">
        <f>股权价值增加表!CH11</f>
        <v>0</v>
      </c>
      <c r="CI16" s="26">
        <f>股权价值增加表!CI11</f>
        <v>0</v>
      </c>
      <c r="CJ16" s="26">
        <f>股权价值增加表!CJ11</f>
        <v>0</v>
      </c>
    </row>
    <row r="17" spans="1:89" s="57" customFormat="1" x14ac:dyDescent="0.25">
      <c r="A17" s="20" t="s">
        <v>668</v>
      </c>
      <c r="E17" s="57">
        <f>E16/E2</f>
        <v>4.8858100615170276E-3</v>
      </c>
      <c r="F17" s="57">
        <f t="shared" ref="F17:BQ17" si="22">F16/F2</f>
        <v>9.0164107731264924E-3</v>
      </c>
      <c r="G17" s="57">
        <f t="shared" si="22"/>
        <v>7.7954760843340258E-3</v>
      </c>
      <c r="H17" s="57">
        <f t="shared" si="22"/>
        <v>1.745049484305554E-3</v>
      </c>
      <c r="I17" s="57">
        <f t="shared" si="22"/>
        <v>4.3023346024469149E-3</v>
      </c>
      <c r="J17" s="57">
        <f t="shared" si="22"/>
        <v>3.4272071415632202E-3</v>
      </c>
      <c r="K17" s="57">
        <f t="shared" si="22"/>
        <v>6.1156989960884801E-3</v>
      </c>
      <c r="L17" s="57">
        <f t="shared" si="22"/>
        <v>4.1950485821339815E-3</v>
      </c>
      <c r="M17" s="57">
        <f t="shared" si="22"/>
        <v>3.8267102950871918E-3</v>
      </c>
      <c r="N17" s="57">
        <f t="shared" si="22"/>
        <v>2.2752658647258264E-3</v>
      </c>
      <c r="O17" s="57">
        <f t="shared" si="22"/>
        <v>3.1403343215580934E-3</v>
      </c>
      <c r="P17" s="57">
        <f t="shared" si="22"/>
        <v>3.0359117098810052E-3</v>
      </c>
      <c r="Q17" s="57">
        <f t="shared" si="22"/>
        <v>2.1748492519014823E-3</v>
      </c>
      <c r="R17" s="57">
        <f t="shared" si="22"/>
        <v>2.4648843593685354E-3</v>
      </c>
      <c r="S17" s="57" t="e">
        <f t="shared" si="22"/>
        <v>#DIV/0!</v>
      </c>
      <c r="T17" s="57" t="e">
        <f t="shared" si="22"/>
        <v>#DIV/0!</v>
      </c>
      <c r="U17" s="57" t="e">
        <f t="shared" si="22"/>
        <v>#DIV/0!</v>
      </c>
      <c r="V17" s="57" t="e">
        <f t="shared" si="22"/>
        <v>#DIV/0!</v>
      </c>
      <c r="W17" s="57" t="e">
        <f t="shared" si="22"/>
        <v>#DIV/0!</v>
      </c>
      <c r="X17" s="57" t="e">
        <f t="shared" si="22"/>
        <v>#DIV/0!</v>
      </c>
      <c r="Y17" s="57" t="e">
        <f t="shared" si="22"/>
        <v>#DIV/0!</v>
      </c>
      <c r="Z17" s="57" t="e">
        <f t="shared" si="22"/>
        <v>#DIV/0!</v>
      </c>
      <c r="AA17" s="57" t="e">
        <f t="shared" si="22"/>
        <v>#DIV/0!</v>
      </c>
      <c r="AB17" s="57" t="e">
        <f t="shared" si="22"/>
        <v>#DIV/0!</v>
      </c>
      <c r="AC17" s="57" t="e">
        <f t="shared" si="22"/>
        <v>#DIV/0!</v>
      </c>
      <c r="AD17" s="57" t="e">
        <f t="shared" si="22"/>
        <v>#DIV/0!</v>
      </c>
      <c r="AE17" s="57" t="e">
        <f t="shared" si="22"/>
        <v>#DIV/0!</v>
      </c>
      <c r="AF17" s="57" t="e">
        <f t="shared" si="22"/>
        <v>#DIV/0!</v>
      </c>
      <c r="AG17" s="57" t="e">
        <f t="shared" si="22"/>
        <v>#DIV/0!</v>
      </c>
      <c r="AH17" s="57" t="e">
        <f t="shared" si="22"/>
        <v>#DIV/0!</v>
      </c>
      <c r="AI17" s="57" t="e">
        <f t="shared" si="22"/>
        <v>#DIV/0!</v>
      </c>
      <c r="AJ17" s="57" t="e">
        <f t="shared" si="22"/>
        <v>#DIV/0!</v>
      </c>
      <c r="AK17" s="57" t="e">
        <f t="shared" si="22"/>
        <v>#DIV/0!</v>
      </c>
      <c r="AL17" s="57" t="e">
        <f t="shared" si="22"/>
        <v>#DIV/0!</v>
      </c>
      <c r="AM17" s="57" t="e">
        <f t="shared" si="22"/>
        <v>#DIV/0!</v>
      </c>
      <c r="AN17" s="57" t="e">
        <f t="shared" si="22"/>
        <v>#DIV/0!</v>
      </c>
      <c r="AO17" s="57" t="e">
        <f t="shared" si="22"/>
        <v>#DIV/0!</v>
      </c>
      <c r="AP17" s="57" t="e">
        <f t="shared" si="22"/>
        <v>#DIV/0!</v>
      </c>
      <c r="AQ17" s="57" t="e">
        <f t="shared" si="22"/>
        <v>#DIV/0!</v>
      </c>
      <c r="AR17" s="57" t="e">
        <f t="shared" si="22"/>
        <v>#DIV/0!</v>
      </c>
      <c r="AS17" s="57" t="e">
        <f t="shared" si="22"/>
        <v>#DIV/0!</v>
      </c>
      <c r="AT17" s="57" t="e">
        <f t="shared" si="22"/>
        <v>#DIV/0!</v>
      </c>
      <c r="AU17" s="57" t="e">
        <f t="shared" si="22"/>
        <v>#DIV/0!</v>
      </c>
      <c r="AV17" s="57" t="e">
        <f t="shared" si="22"/>
        <v>#DIV/0!</v>
      </c>
      <c r="AW17" s="57" t="e">
        <f t="shared" si="22"/>
        <v>#DIV/0!</v>
      </c>
      <c r="AX17" s="57" t="e">
        <f t="shared" si="22"/>
        <v>#DIV/0!</v>
      </c>
      <c r="AY17" s="57" t="e">
        <f t="shared" si="22"/>
        <v>#DIV/0!</v>
      </c>
      <c r="AZ17" s="57" t="e">
        <f t="shared" si="22"/>
        <v>#DIV/0!</v>
      </c>
      <c r="BA17" s="57" t="e">
        <f t="shared" si="22"/>
        <v>#DIV/0!</v>
      </c>
      <c r="BB17" s="57" t="e">
        <f t="shared" si="22"/>
        <v>#DIV/0!</v>
      </c>
      <c r="BC17" s="57" t="e">
        <f t="shared" si="22"/>
        <v>#DIV/0!</v>
      </c>
      <c r="BD17" s="57" t="e">
        <f t="shared" si="22"/>
        <v>#DIV/0!</v>
      </c>
      <c r="BE17" s="57" t="e">
        <f t="shared" si="22"/>
        <v>#DIV/0!</v>
      </c>
      <c r="BF17" s="57" t="e">
        <f t="shared" si="22"/>
        <v>#DIV/0!</v>
      </c>
      <c r="BG17" s="57" t="e">
        <f t="shared" si="22"/>
        <v>#DIV/0!</v>
      </c>
      <c r="BH17" s="57" t="e">
        <f t="shared" si="22"/>
        <v>#DIV/0!</v>
      </c>
      <c r="BI17" s="57" t="e">
        <f t="shared" si="22"/>
        <v>#DIV/0!</v>
      </c>
      <c r="BJ17" s="57" t="e">
        <f t="shared" si="22"/>
        <v>#DIV/0!</v>
      </c>
      <c r="BK17" s="57" t="e">
        <f t="shared" si="22"/>
        <v>#DIV/0!</v>
      </c>
      <c r="BL17" s="57" t="e">
        <f t="shared" si="22"/>
        <v>#DIV/0!</v>
      </c>
      <c r="BM17" s="57" t="e">
        <f t="shared" si="22"/>
        <v>#DIV/0!</v>
      </c>
      <c r="BN17" s="57" t="e">
        <f t="shared" si="22"/>
        <v>#DIV/0!</v>
      </c>
      <c r="BO17" s="57" t="e">
        <f t="shared" si="22"/>
        <v>#DIV/0!</v>
      </c>
      <c r="BP17" s="57" t="e">
        <f t="shared" si="22"/>
        <v>#DIV/0!</v>
      </c>
      <c r="BQ17" s="57" t="e">
        <f t="shared" si="22"/>
        <v>#DIV/0!</v>
      </c>
      <c r="BR17" s="57" t="e">
        <f t="shared" ref="BR17:CK17" si="23">BR16/BR2</f>
        <v>#DIV/0!</v>
      </c>
      <c r="BS17" s="57" t="e">
        <f t="shared" si="23"/>
        <v>#DIV/0!</v>
      </c>
      <c r="BT17" s="57" t="e">
        <f t="shared" si="23"/>
        <v>#DIV/0!</v>
      </c>
      <c r="BU17" s="57" t="e">
        <f t="shared" si="23"/>
        <v>#DIV/0!</v>
      </c>
      <c r="BV17" s="57" t="e">
        <f t="shared" si="23"/>
        <v>#DIV/0!</v>
      </c>
      <c r="BW17" s="57" t="e">
        <f t="shared" si="23"/>
        <v>#DIV/0!</v>
      </c>
      <c r="BX17" s="57" t="e">
        <f t="shared" si="23"/>
        <v>#DIV/0!</v>
      </c>
      <c r="BY17" s="57" t="e">
        <f t="shared" si="23"/>
        <v>#DIV/0!</v>
      </c>
      <c r="BZ17" s="57" t="e">
        <f t="shared" si="23"/>
        <v>#DIV/0!</v>
      </c>
      <c r="CA17" s="57" t="e">
        <f t="shared" si="23"/>
        <v>#DIV/0!</v>
      </c>
      <c r="CB17" s="57" t="e">
        <f t="shared" si="23"/>
        <v>#DIV/0!</v>
      </c>
      <c r="CC17" s="57" t="e">
        <f t="shared" si="23"/>
        <v>#DIV/0!</v>
      </c>
      <c r="CD17" s="57" t="e">
        <f t="shared" si="23"/>
        <v>#DIV/0!</v>
      </c>
      <c r="CE17" s="57" t="e">
        <f t="shared" si="23"/>
        <v>#DIV/0!</v>
      </c>
      <c r="CF17" s="57" t="e">
        <f t="shared" si="23"/>
        <v>#DIV/0!</v>
      </c>
      <c r="CG17" s="57" t="e">
        <f t="shared" si="23"/>
        <v>#DIV/0!</v>
      </c>
      <c r="CH17" s="57" t="e">
        <f t="shared" si="23"/>
        <v>#DIV/0!</v>
      </c>
      <c r="CI17" s="57" t="e">
        <f t="shared" si="23"/>
        <v>#DIV/0!</v>
      </c>
      <c r="CJ17" s="57" t="e">
        <f t="shared" si="23"/>
        <v>#DIV/0!</v>
      </c>
      <c r="CK17" s="57" t="e">
        <f t="shared" si="23"/>
        <v>#DIV/0!</v>
      </c>
    </row>
    <row r="18" spans="1:89" s="26" customFormat="1" x14ac:dyDescent="0.25">
      <c r="A18" s="127" t="s">
        <v>365</v>
      </c>
      <c r="E18" s="26">
        <f>股权价值增加表!E12</f>
        <v>358407.7</v>
      </c>
      <c r="F18" s="26">
        <f>股权价值增加表!F12</f>
        <v>1204</v>
      </c>
      <c r="G18" s="26">
        <f>股权价值增加表!G12</f>
        <v>868</v>
      </c>
      <c r="H18" s="26">
        <f>股权价值增加表!H12</f>
        <v>644</v>
      </c>
      <c r="I18" s="26">
        <f>股权价值增加表!I12</f>
        <v>459844</v>
      </c>
      <c r="J18" s="26">
        <f>股权价值增加表!J12</f>
        <v>0</v>
      </c>
      <c r="K18" s="26">
        <f>股权价值增加表!K12</f>
        <v>0</v>
      </c>
      <c r="L18" s="26">
        <f>股权价值增加表!L12</f>
        <v>0</v>
      </c>
      <c r="M18" s="26">
        <f>股权价值增加表!M12</f>
        <v>5143139.6100000003</v>
      </c>
      <c r="N18" s="26">
        <f>股权价值增加表!N12</f>
        <v>0</v>
      </c>
      <c r="O18" s="26">
        <f>股权价值增加表!O12</f>
        <v>0</v>
      </c>
      <c r="P18" s="26">
        <f>股权价值增加表!P12</f>
        <v>0</v>
      </c>
      <c r="Q18" s="26">
        <f>股权价值增加表!Q12</f>
        <v>0</v>
      </c>
      <c r="R18" s="26">
        <f>股权价值增加表!R12</f>
        <v>0</v>
      </c>
      <c r="S18" s="26">
        <f>股权价值增加表!S12</f>
        <v>0</v>
      </c>
      <c r="T18" s="26">
        <f>股权价值增加表!T12</f>
        <v>0</v>
      </c>
      <c r="U18" s="26">
        <f>股权价值增加表!U12</f>
        <v>-5869478</v>
      </c>
      <c r="V18" s="26">
        <f>股权价值增加表!V12</f>
        <v>0</v>
      </c>
      <c r="W18" s="26">
        <f>股权价值增加表!W12</f>
        <v>0</v>
      </c>
      <c r="X18" s="26">
        <f>股权价值增加表!X12</f>
        <v>0</v>
      </c>
      <c r="Y18" s="26">
        <f>股权价值增加表!Y12</f>
        <v>-12046824.75</v>
      </c>
      <c r="Z18" s="26">
        <f>股权价值增加表!Z12</f>
        <v>0</v>
      </c>
      <c r="AA18" s="26">
        <f>股权价值增加表!AA12</f>
        <v>0</v>
      </c>
      <c r="AB18" s="26">
        <f>股权价值增加表!AB12</f>
        <v>0</v>
      </c>
      <c r="AC18" s="26">
        <f>股权价值增加表!AC12</f>
        <v>-8254042.6900000004</v>
      </c>
      <c r="AD18" s="26">
        <f>股权价值增加表!AD12</f>
        <v>0</v>
      </c>
      <c r="AE18" s="26">
        <f>股权价值增加表!AE12</f>
        <v>0</v>
      </c>
      <c r="AF18" s="26">
        <f>股权价值增加表!AF12</f>
        <v>0</v>
      </c>
      <c r="AG18" s="26">
        <f>股权价值增加表!AG12</f>
        <v>-2922096.12</v>
      </c>
      <c r="AH18" s="26">
        <f>股权价值增加表!AH12</f>
        <v>0</v>
      </c>
      <c r="AI18" s="26">
        <f>股权价值增加表!AI12</f>
        <v>0</v>
      </c>
      <c r="AJ18" s="26">
        <f>股权价值增加表!AJ12</f>
        <v>0</v>
      </c>
      <c r="AK18" s="26">
        <f>股权价值增加表!AK12</f>
        <v>0</v>
      </c>
      <c r="AL18" s="26">
        <f>股权价值增加表!AL12</f>
        <v>0</v>
      </c>
      <c r="AM18" s="26">
        <f>股权价值增加表!AM12</f>
        <v>0</v>
      </c>
      <c r="AN18" s="26">
        <f>股权价值增加表!AN12</f>
        <v>0</v>
      </c>
      <c r="AO18" s="26">
        <f>股权价值增加表!AO12</f>
        <v>0</v>
      </c>
      <c r="AP18" s="26">
        <f>股权价值增加表!AP12</f>
        <v>0</v>
      </c>
      <c r="AQ18" s="26">
        <f>股权价值增加表!AQ12</f>
        <v>0</v>
      </c>
      <c r="AR18" s="26">
        <f>股权价值增加表!AR12</f>
        <v>0</v>
      </c>
      <c r="AS18" s="26">
        <f>股权价值增加表!AS12</f>
        <v>0</v>
      </c>
      <c r="AT18" s="26">
        <f>股权价值增加表!AT12</f>
        <v>0</v>
      </c>
      <c r="AU18" s="26">
        <f>股权价值增加表!AU12</f>
        <v>0</v>
      </c>
      <c r="AV18" s="26">
        <f>股权价值增加表!AV12</f>
        <v>0</v>
      </c>
      <c r="AW18" s="26">
        <f>股权价值增加表!AW12</f>
        <v>0</v>
      </c>
      <c r="AX18" s="26">
        <f>股权价值增加表!AX12</f>
        <v>0</v>
      </c>
      <c r="AY18" s="26">
        <f>股权价值增加表!AY12</f>
        <v>0</v>
      </c>
      <c r="AZ18" s="26">
        <f>股权价值增加表!AZ12</f>
        <v>0</v>
      </c>
      <c r="BA18" s="26">
        <f>股权价值增加表!BA12</f>
        <v>0</v>
      </c>
      <c r="BB18" s="26">
        <f>股权价值增加表!BB12</f>
        <v>0</v>
      </c>
      <c r="BC18" s="26">
        <f>股权价值增加表!BC12</f>
        <v>0</v>
      </c>
      <c r="BD18" s="26">
        <f>股权价值增加表!BD12</f>
        <v>0</v>
      </c>
      <c r="BE18" s="26">
        <f>股权价值增加表!BE12</f>
        <v>0</v>
      </c>
      <c r="BF18" s="26">
        <f>股权价值增加表!BF12</f>
        <v>0</v>
      </c>
      <c r="BG18" s="26">
        <f>股权价值增加表!BG12</f>
        <v>0</v>
      </c>
      <c r="BH18" s="26">
        <f>股权价值增加表!BH12</f>
        <v>0</v>
      </c>
      <c r="BI18" s="26">
        <f>股权价值增加表!BI12</f>
        <v>0</v>
      </c>
      <c r="BJ18" s="26">
        <f>股权价值增加表!BJ12</f>
        <v>0</v>
      </c>
      <c r="BK18" s="26">
        <f>股权价值增加表!BK12</f>
        <v>0</v>
      </c>
      <c r="BL18" s="26">
        <f>股权价值增加表!BL12</f>
        <v>0</v>
      </c>
      <c r="BM18" s="26">
        <f>股权价值增加表!BM12</f>
        <v>0</v>
      </c>
      <c r="BN18" s="26">
        <f>股权价值增加表!BN12</f>
        <v>0</v>
      </c>
      <c r="BO18" s="26">
        <f>股权价值增加表!BO12</f>
        <v>0</v>
      </c>
      <c r="BP18" s="26">
        <f>股权价值增加表!BP12</f>
        <v>0</v>
      </c>
      <c r="BQ18" s="26">
        <f>股权价值增加表!BQ12</f>
        <v>0</v>
      </c>
      <c r="BR18" s="26">
        <f>股权价值增加表!BR12</f>
        <v>0</v>
      </c>
      <c r="BS18" s="26">
        <f>股权价值增加表!BS12</f>
        <v>0</v>
      </c>
      <c r="BT18" s="26">
        <f>股权价值增加表!BT12</f>
        <v>0</v>
      </c>
      <c r="BU18" s="26">
        <f>股权价值增加表!BU12</f>
        <v>0</v>
      </c>
      <c r="BV18" s="26">
        <f>股权价值增加表!BV12</f>
        <v>0</v>
      </c>
      <c r="BW18" s="26">
        <f>股权价值增加表!BW12</f>
        <v>0</v>
      </c>
      <c r="BX18" s="26">
        <f>股权价值增加表!BX12</f>
        <v>0</v>
      </c>
      <c r="BY18" s="26">
        <f>股权价值增加表!BY12</f>
        <v>0</v>
      </c>
      <c r="BZ18" s="26">
        <f>股权价值增加表!BZ12</f>
        <v>0</v>
      </c>
      <c r="CA18" s="26">
        <f>股权价值增加表!CA12</f>
        <v>0</v>
      </c>
      <c r="CB18" s="26">
        <f>股权价值增加表!CB12</f>
        <v>0</v>
      </c>
      <c r="CC18" s="26">
        <f>股权价值增加表!CC12</f>
        <v>0</v>
      </c>
      <c r="CD18" s="26">
        <f>股权价值增加表!CD12</f>
        <v>0</v>
      </c>
      <c r="CE18" s="26">
        <f>股权价值增加表!CE12</f>
        <v>0</v>
      </c>
      <c r="CF18" s="26">
        <f>股权价值增加表!CF12</f>
        <v>0</v>
      </c>
      <c r="CG18" s="26">
        <f>股权价值增加表!CG12</f>
        <v>0</v>
      </c>
      <c r="CH18" s="26">
        <f>股权价值增加表!CH12</f>
        <v>0</v>
      </c>
      <c r="CI18" s="26">
        <f>股权价值增加表!CI12</f>
        <v>0</v>
      </c>
      <c r="CJ18" s="26">
        <f>股权价值增加表!CJ12</f>
        <v>0</v>
      </c>
      <c r="CK18" s="26">
        <f>股权价值增加表!CK12</f>
        <v>0</v>
      </c>
    </row>
    <row r="19" spans="1:89" s="57" customFormat="1" x14ac:dyDescent="0.25">
      <c r="A19" s="20" t="s">
        <v>366</v>
      </c>
      <c r="E19" s="57">
        <f>E18/E2</f>
        <v>4.7634695404986845E-4</v>
      </c>
      <c r="F19" s="57">
        <f t="shared" ref="F19:BQ19" si="24">F18/F2</f>
        <v>2.2899618893105886E-6</v>
      </c>
      <c r="G19" s="57">
        <f t="shared" si="24"/>
        <v>2.5546637305474541E-6</v>
      </c>
      <c r="H19" s="57">
        <f t="shared" si="24"/>
        <v>4.1899591693677361E-6</v>
      </c>
      <c r="I19" s="57">
        <f t="shared" si="24"/>
        <v>6.9148286043160996E-4</v>
      </c>
      <c r="J19" s="57">
        <f t="shared" si="24"/>
        <v>0</v>
      </c>
      <c r="K19" s="57">
        <f t="shared" si="24"/>
        <v>0</v>
      </c>
      <c r="L19" s="57">
        <f t="shared" si="24"/>
        <v>0</v>
      </c>
      <c r="M19" s="57">
        <f t="shared" si="24"/>
        <v>8.6144277511009393E-3</v>
      </c>
      <c r="N19" s="57">
        <f t="shared" si="24"/>
        <v>0</v>
      </c>
      <c r="O19" s="57">
        <f t="shared" si="24"/>
        <v>0</v>
      </c>
      <c r="P19" s="57">
        <f t="shared" si="24"/>
        <v>0</v>
      </c>
      <c r="Q19" s="57">
        <f t="shared" si="24"/>
        <v>0</v>
      </c>
      <c r="R19" s="57">
        <f t="shared" si="24"/>
        <v>0</v>
      </c>
      <c r="S19" s="57" t="e">
        <f t="shared" si="24"/>
        <v>#DIV/0!</v>
      </c>
      <c r="T19" s="57" t="e">
        <f t="shared" si="24"/>
        <v>#DIV/0!</v>
      </c>
      <c r="U19" s="57" t="e">
        <f t="shared" si="24"/>
        <v>#DIV/0!</v>
      </c>
      <c r="V19" s="57" t="e">
        <f t="shared" si="24"/>
        <v>#DIV/0!</v>
      </c>
      <c r="W19" s="57" t="e">
        <f t="shared" si="24"/>
        <v>#DIV/0!</v>
      </c>
      <c r="X19" s="57" t="e">
        <f t="shared" si="24"/>
        <v>#DIV/0!</v>
      </c>
      <c r="Y19" s="57" t="e">
        <f t="shared" si="24"/>
        <v>#DIV/0!</v>
      </c>
      <c r="Z19" s="57" t="e">
        <f t="shared" si="24"/>
        <v>#DIV/0!</v>
      </c>
      <c r="AA19" s="57" t="e">
        <f t="shared" si="24"/>
        <v>#DIV/0!</v>
      </c>
      <c r="AB19" s="57" t="e">
        <f t="shared" si="24"/>
        <v>#DIV/0!</v>
      </c>
      <c r="AC19" s="57" t="e">
        <f t="shared" si="24"/>
        <v>#DIV/0!</v>
      </c>
      <c r="AD19" s="57" t="e">
        <f t="shared" si="24"/>
        <v>#DIV/0!</v>
      </c>
      <c r="AE19" s="57" t="e">
        <f t="shared" si="24"/>
        <v>#DIV/0!</v>
      </c>
      <c r="AF19" s="57" t="e">
        <f t="shared" si="24"/>
        <v>#DIV/0!</v>
      </c>
      <c r="AG19" s="57" t="e">
        <f t="shared" si="24"/>
        <v>#DIV/0!</v>
      </c>
      <c r="AH19" s="57" t="e">
        <f t="shared" si="24"/>
        <v>#DIV/0!</v>
      </c>
      <c r="AI19" s="57" t="e">
        <f t="shared" si="24"/>
        <v>#DIV/0!</v>
      </c>
      <c r="AJ19" s="57" t="e">
        <f t="shared" si="24"/>
        <v>#DIV/0!</v>
      </c>
      <c r="AK19" s="57" t="e">
        <f t="shared" si="24"/>
        <v>#DIV/0!</v>
      </c>
      <c r="AL19" s="57" t="e">
        <f t="shared" si="24"/>
        <v>#DIV/0!</v>
      </c>
      <c r="AM19" s="57" t="e">
        <f t="shared" si="24"/>
        <v>#DIV/0!</v>
      </c>
      <c r="AN19" s="57" t="e">
        <f t="shared" si="24"/>
        <v>#DIV/0!</v>
      </c>
      <c r="AO19" s="57" t="e">
        <f t="shared" si="24"/>
        <v>#DIV/0!</v>
      </c>
      <c r="AP19" s="57" t="e">
        <f t="shared" si="24"/>
        <v>#DIV/0!</v>
      </c>
      <c r="AQ19" s="57" t="e">
        <f t="shared" si="24"/>
        <v>#DIV/0!</v>
      </c>
      <c r="AR19" s="57" t="e">
        <f t="shared" si="24"/>
        <v>#DIV/0!</v>
      </c>
      <c r="AS19" s="57" t="e">
        <f t="shared" si="24"/>
        <v>#DIV/0!</v>
      </c>
      <c r="AT19" s="57" t="e">
        <f t="shared" si="24"/>
        <v>#DIV/0!</v>
      </c>
      <c r="AU19" s="57" t="e">
        <f t="shared" si="24"/>
        <v>#DIV/0!</v>
      </c>
      <c r="AV19" s="57" t="e">
        <f t="shared" si="24"/>
        <v>#DIV/0!</v>
      </c>
      <c r="AW19" s="57" t="e">
        <f t="shared" si="24"/>
        <v>#DIV/0!</v>
      </c>
      <c r="AX19" s="57" t="e">
        <f t="shared" si="24"/>
        <v>#DIV/0!</v>
      </c>
      <c r="AY19" s="57" t="e">
        <f t="shared" si="24"/>
        <v>#DIV/0!</v>
      </c>
      <c r="AZ19" s="57" t="e">
        <f t="shared" si="24"/>
        <v>#DIV/0!</v>
      </c>
      <c r="BA19" s="57" t="e">
        <f t="shared" si="24"/>
        <v>#DIV/0!</v>
      </c>
      <c r="BB19" s="57" t="e">
        <f t="shared" si="24"/>
        <v>#DIV/0!</v>
      </c>
      <c r="BC19" s="57" t="e">
        <f t="shared" si="24"/>
        <v>#DIV/0!</v>
      </c>
      <c r="BD19" s="57" t="e">
        <f t="shared" si="24"/>
        <v>#DIV/0!</v>
      </c>
      <c r="BE19" s="57" t="e">
        <f t="shared" si="24"/>
        <v>#DIV/0!</v>
      </c>
      <c r="BF19" s="57" t="e">
        <f t="shared" si="24"/>
        <v>#DIV/0!</v>
      </c>
      <c r="BG19" s="57" t="e">
        <f t="shared" si="24"/>
        <v>#DIV/0!</v>
      </c>
      <c r="BH19" s="57" t="e">
        <f t="shared" si="24"/>
        <v>#DIV/0!</v>
      </c>
      <c r="BI19" s="57" t="e">
        <f t="shared" si="24"/>
        <v>#DIV/0!</v>
      </c>
      <c r="BJ19" s="57" t="e">
        <f t="shared" si="24"/>
        <v>#DIV/0!</v>
      </c>
      <c r="BK19" s="57" t="e">
        <f t="shared" si="24"/>
        <v>#DIV/0!</v>
      </c>
      <c r="BL19" s="57" t="e">
        <f t="shared" si="24"/>
        <v>#DIV/0!</v>
      </c>
      <c r="BM19" s="57" t="e">
        <f t="shared" si="24"/>
        <v>#DIV/0!</v>
      </c>
      <c r="BN19" s="57" t="e">
        <f t="shared" si="24"/>
        <v>#DIV/0!</v>
      </c>
      <c r="BO19" s="57" t="e">
        <f t="shared" si="24"/>
        <v>#DIV/0!</v>
      </c>
      <c r="BP19" s="57" t="e">
        <f t="shared" si="24"/>
        <v>#DIV/0!</v>
      </c>
      <c r="BQ19" s="57" t="e">
        <f t="shared" si="24"/>
        <v>#DIV/0!</v>
      </c>
      <c r="BR19" s="57" t="e">
        <f t="shared" ref="BR19:CK19" si="25">BR18/BR2</f>
        <v>#DIV/0!</v>
      </c>
      <c r="BS19" s="57" t="e">
        <f t="shared" si="25"/>
        <v>#DIV/0!</v>
      </c>
      <c r="BT19" s="57" t="e">
        <f t="shared" si="25"/>
        <v>#DIV/0!</v>
      </c>
      <c r="BU19" s="57" t="e">
        <f t="shared" si="25"/>
        <v>#DIV/0!</v>
      </c>
      <c r="BV19" s="57" t="e">
        <f t="shared" si="25"/>
        <v>#DIV/0!</v>
      </c>
      <c r="BW19" s="57" t="e">
        <f t="shared" si="25"/>
        <v>#DIV/0!</v>
      </c>
      <c r="BX19" s="57" t="e">
        <f t="shared" si="25"/>
        <v>#DIV/0!</v>
      </c>
      <c r="BY19" s="57" t="e">
        <f t="shared" si="25"/>
        <v>#DIV/0!</v>
      </c>
      <c r="BZ19" s="57" t="e">
        <f t="shared" si="25"/>
        <v>#DIV/0!</v>
      </c>
      <c r="CA19" s="57" t="e">
        <f t="shared" si="25"/>
        <v>#DIV/0!</v>
      </c>
      <c r="CB19" s="57" t="e">
        <f t="shared" si="25"/>
        <v>#DIV/0!</v>
      </c>
      <c r="CC19" s="57" t="e">
        <f t="shared" si="25"/>
        <v>#DIV/0!</v>
      </c>
      <c r="CD19" s="57" t="e">
        <f t="shared" si="25"/>
        <v>#DIV/0!</v>
      </c>
      <c r="CE19" s="57" t="e">
        <f t="shared" si="25"/>
        <v>#DIV/0!</v>
      </c>
      <c r="CF19" s="57" t="e">
        <f t="shared" si="25"/>
        <v>#DIV/0!</v>
      </c>
      <c r="CG19" s="57" t="e">
        <f t="shared" si="25"/>
        <v>#DIV/0!</v>
      </c>
      <c r="CH19" s="57" t="e">
        <f t="shared" si="25"/>
        <v>#DIV/0!</v>
      </c>
      <c r="CI19" s="57" t="e">
        <f t="shared" si="25"/>
        <v>#DIV/0!</v>
      </c>
      <c r="CJ19" s="57" t="e">
        <f t="shared" si="25"/>
        <v>#DIV/0!</v>
      </c>
      <c r="CK19" s="57" t="e">
        <f t="shared" si="25"/>
        <v>#DIV/0!</v>
      </c>
    </row>
    <row r="20" spans="1:89" s="26" customFormat="1" x14ac:dyDescent="0.25">
      <c r="A20" s="127" t="s">
        <v>367</v>
      </c>
      <c r="E20" s="26">
        <f>股权价值增加表!E13-股权价值增加表!E14</f>
        <v>5970344.0600000005</v>
      </c>
      <c r="F20" s="26">
        <f>股权价值增加表!F13-股权价值增加表!F14</f>
        <v>2750949.08</v>
      </c>
      <c r="G20" s="26">
        <f>股权价值增加表!G13-股权价值增加表!G14</f>
        <v>663890.51</v>
      </c>
      <c r="H20" s="26">
        <f>股权价值增加表!H13-股权价值增加表!H14</f>
        <v>1700700.71</v>
      </c>
      <c r="I20" s="26">
        <f>股权价值增加表!I13-股权价值增加表!I14</f>
        <v>18120865.200000003</v>
      </c>
      <c r="J20" s="26">
        <f>股权价值增加表!J13-股权价值增加表!J14</f>
        <v>9301098.4800000004</v>
      </c>
      <c r="K20" s="26">
        <f>股权价值增加表!K13-股权价值增加表!K14</f>
        <v>7686223.0900000008</v>
      </c>
      <c r="L20" s="26">
        <f>股权价值增加表!L13-股权价值增加表!L14</f>
        <v>2948355.64</v>
      </c>
      <c r="M20" s="26">
        <f>股权价值增加表!M13-股权价值增加表!M14</f>
        <v>10327185.559999999</v>
      </c>
      <c r="N20" s="26">
        <f>股权价值增加表!N13-股权价值增加表!N14</f>
        <v>6801896.7299999995</v>
      </c>
      <c r="O20" s="26">
        <f>股权价值增加表!O13-股权价值增加表!O14</f>
        <v>9985956.9900000002</v>
      </c>
      <c r="P20" s="26">
        <f>股权价值增加表!P13-股权价值增加表!P14</f>
        <v>6882378.4299999997</v>
      </c>
      <c r="Q20" s="26">
        <f>股权价值增加表!Q13-股权价值增加表!Q14</f>
        <v>4311735.1100000003</v>
      </c>
      <c r="R20" s="26">
        <f>股权价值增加表!R13-股权价值增加表!R14</f>
        <v>422466.43000000005</v>
      </c>
      <c r="S20" s="26">
        <f>股权价值增加表!S13-股权价值增加表!S14</f>
        <v>0</v>
      </c>
      <c r="T20" s="26">
        <f>股权价值增加表!T13-股权价值增加表!T14</f>
        <v>0</v>
      </c>
      <c r="U20" s="26">
        <f>股权价值增加表!U13-股权价值增加表!U14</f>
        <v>0</v>
      </c>
      <c r="V20" s="26">
        <f>股权价值增加表!V13-股权价值增加表!V14</f>
        <v>0</v>
      </c>
      <c r="W20" s="26">
        <f>股权价值增加表!W13-股权价值增加表!W14</f>
        <v>0</v>
      </c>
      <c r="X20" s="26">
        <f>股权价值增加表!X13-股权价值增加表!X14</f>
        <v>0</v>
      </c>
      <c r="Y20" s="26">
        <f>股权价值增加表!Y13-股权价值增加表!Y14</f>
        <v>0</v>
      </c>
      <c r="Z20" s="26">
        <f>股权价值增加表!Z13-股权价值增加表!Z14</f>
        <v>0</v>
      </c>
      <c r="AA20" s="26">
        <f>股权价值增加表!AA13-股权价值增加表!AA14</f>
        <v>0</v>
      </c>
      <c r="AB20" s="26">
        <f>股权价值增加表!AB13-股权价值增加表!AB14</f>
        <v>0</v>
      </c>
      <c r="AC20" s="26">
        <f>股权价值增加表!AC13-股权价值增加表!AC14</f>
        <v>0</v>
      </c>
      <c r="AD20" s="26">
        <f>股权价值增加表!AD13-股权价值增加表!AD14</f>
        <v>0</v>
      </c>
      <c r="AE20" s="26">
        <f>股权价值增加表!AE13-股权价值增加表!AE14</f>
        <v>0</v>
      </c>
      <c r="AF20" s="26">
        <f>股权价值增加表!AF13-股权价值增加表!AF14</f>
        <v>0</v>
      </c>
      <c r="AG20" s="26">
        <f>股权价值增加表!AG13-股权价值增加表!AG14</f>
        <v>0</v>
      </c>
      <c r="AH20" s="26">
        <f>股权价值增加表!AH13-股权价值增加表!AH14</f>
        <v>0</v>
      </c>
      <c r="AI20" s="26">
        <f>股权价值增加表!AI13-股权价值增加表!AI14</f>
        <v>0</v>
      </c>
      <c r="AJ20" s="26">
        <f>股权价值增加表!AJ13-股权价值增加表!AJ14</f>
        <v>0</v>
      </c>
      <c r="AK20" s="26">
        <f>股权价值增加表!AK13-股权价值增加表!AK14</f>
        <v>0</v>
      </c>
      <c r="AL20" s="26">
        <f>股权价值增加表!AL13-股权价值增加表!AL14</f>
        <v>0</v>
      </c>
      <c r="AM20" s="26">
        <f>股权价值增加表!AM13-股权价值增加表!AM14</f>
        <v>0</v>
      </c>
      <c r="AN20" s="26">
        <f>股权价值增加表!AN13-股权价值增加表!AN14</f>
        <v>0</v>
      </c>
      <c r="AO20" s="26">
        <f>股权价值增加表!AO13-股权价值增加表!AO14</f>
        <v>0</v>
      </c>
      <c r="AP20" s="26">
        <f>股权价值增加表!AP13-股权价值增加表!AP14</f>
        <v>0</v>
      </c>
      <c r="AQ20" s="26">
        <f>股权价值增加表!AQ13-股权价值增加表!AQ14</f>
        <v>0</v>
      </c>
      <c r="AR20" s="26">
        <f>股权价值增加表!AR13-股权价值增加表!AR14</f>
        <v>0</v>
      </c>
      <c r="AS20" s="26">
        <f>股权价值增加表!AS13-股权价值增加表!AS14</f>
        <v>0</v>
      </c>
      <c r="AT20" s="26">
        <f>股权价值增加表!AT13-股权价值增加表!AT14</f>
        <v>0</v>
      </c>
      <c r="AU20" s="26">
        <f>股权价值增加表!AU13-股权价值增加表!AU14</f>
        <v>0</v>
      </c>
      <c r="AV20" s="26">
        <f>股权价值增加表!AV13-股权价值增加表!AV14</f>
        <v>0</v>
      </c>
      <c r="AW20" s="26">
        <f>股权价值增加表!AW13-股权价值增加表!AW14</f>
        <v>0</v>
      </c>
      <c r="AX20" s="26">
        <f>股权价值增加表!AX13-股权价值增加表!AX14</f>
        <v>0</v>
      </c>
      <c r="AY20" s="26">
        <f>股权价值增加表!AY13-股权价值增加表!AY14</f>
        <v>0</v>
      </c>
      <c r="AZ20" s="26">
        <f>股权价值增加表!AZ13-股权价值增加表!AZ14</f>
        <v>0</v>
      </c>
      <c r="BA20" s="26">
        <f>股权价值增加表!BA13-股权价值增加表!BA14</f>
        <v>0</v>
      </c>
      <c r="BB20" s="26">
        <f>股权价值增加表!BB13-股权价值增加表!BB14</f>
        <v>0</v>
      </c>
      <c r="BC20" s="26">
        <f>股权价值增加表!BC13-股权价值增加表!BC14</f>
        <v>0</v>
      </c>
      <c r="BD20" s="26">
        <f>股权价值增加表!BD13-股权价值增加表!BD14</f>
        <v>0</v>
      </c>
      <c r="BE20" s="26">
        <f>股权价值增加表!BE13-股权价值增加表!BE14</f>
        <v>0</v>
      </c>
      <c r="BF20" s="26">
        <f>股权价值增加表!BF13-股权价值增加表!BF14</f>
        <v>0</v>
      </c>
      <c r="BG20" s="26">
        <f>股权价值增加表!BG13-股权价值增加表!BG14</f>
        <v>0</v>
      </c>
      <c r="BH20" s="26">
        <f>股权价值增加表!BH13-股权价值增加表!BH14</f>
        <v>0</v>
      </c>
      <c r="BI20" s="26">
        <f>股权价值增加表!BI13-股权价值增加表!BI14</f>
        <v>0</v>
      </c>
      <c r="BJ20" s="26">
        <f>股权价值增加表!BJ13-股权价值增加表!BJ14</f>
        <v>0</v>
      </c>
      <c r="BK20" s="26">
        <f>股权价值增加表!BK13-股权价值增加表!BK14</f>
        <v>0</v>
      </c>
      <c r="BL20" s="26">
        <f>股权价值增加表!BL13-股权价值增加表!BL14</f>
        <v>0</v>
      </c>
      <c r="BM20" s="26">
        <f>股权价值增加表!BM13-股权价值增加表!BM14</f>
        <v>0</v>
      </c>
      <c r="BN20" s="26">
        <f>股权价值增加表!BN13-股权价值增加表!BN14</f>
        <v>0</v>
      </c>
      <c r="BO20" s="26">
        <f>股权价值增加表!BO13-股权价值增加表!BO14</f>
        <v>0</v>
      </c>
      <c r="BP20" s="26">
        <f>股权价值增加表!BP13-股权价值增加表!BP14</f>
        <v>0</v>
      </c>
      <c r="BQ20" s="26">
        <f>股权价值增加表!BQ13-股权价值增加表!BQ14</f>
        <v>0</v>
      </c>
      <c r="BR20" s="26">
        <f>股权价值增加表!BR13-股权价值增加表!BR14</f>
        <v>0</v>
      </c>
      <c r="BS20" s="26">
        <f>股权价值增加表!BS13-股权价值增加表!BS14</f>
        <v>0</v>
      </c>
      <c r="BT20" s="26">
        <f>股权价值增加表!BT13-股权价值增加表!BT14</f>
        <v>0</v>
      </c>
      <c r="BU20" s="26">
        <f>股权价值增加表!BU13-股权价值增加表!BU14</f>
        <v>0</v>
      </c>
      <c r="BV20" s="26">
        <f>股权价值增加表!BV13-股权价值增加表!BV14</f>
        <v>0</v>
      </c>
      <c r="BW20" s="26">
        <f>股权价值增加表!BW13-股权价值增加表!BW14</f>
        <v>0</v>
      </c>
      <c r="BX20" s="26">
        <f>股权价值增加表!BX13-股权价值增加表!BX14</f>
        <v>0</v>
      </c>
      <c r="BY20" s="26">
        <f>股权价值增加表!BY13-股权价值增加表!BY14</f>
        <v>0</v>
      </c>
      <c r="BZ20" s="26">
        <f>股权价值增加表!BZ13-股权价值增加表!BZ14</f>
        <v>0</v>
      </c>
      <c r="CA20" s="26">
        <f>股权价值增加表!CA13-股权价值增加表!CA14</f>
        <v>0</v>
      </c>
      <c r="CB20" s="26">
        <f>股权价值增加表!CB13-股权价值增加表!CB14</f>
        <v>0</v>
      </c>
      <c r="CC20" s="26">
        <f>股权价值增加表!CC13-股权价值增加表!CC14</f>
        <v>0</v>
      </c>
      <c r="CD20" s="26">
        <f>股权价值增加表!CD13-股权价值增加表!CD14</f>
        <v>0</v>
      </c>
      <c r="CE20" s="26">
        <f>股权价值增加表!CE13-股权价值增加表!CE14</f>
        <v>0</v>
      </c>
      <c r="CF20" s="26">
        <f>股权价值增加表!CF13-股权价值增加表!CF14</f>
        <v>0</v>
      </c>
      <c r="CG20" s="26">
        <f>股权价值增加表!CG13-股权价值增加表!CG14</f>
        <v>0</v>
      </c>
      <c r="CH20" s="26">
        <f>股权价值增加表!CH13-股权价值增加表!CH14</f>
        <v>0</v>
      </c>
      <c r="CI20" s="26">
        <f>股权价值增加表!CI13-股权价值增加表!CI14</f>
        <v>0</v>
      </c>
      <c r="CJ20" s="26">
        <f>股权价值增加表!CJ13-股权价值增加表!CJ14</f>
        <v>0</v>
      </c>
    </row>
    <row r="21" spans="1:89" s="57" customFormat="1" x14ac:dyDescent="0.25">
      <c r="A21" s="20" t="s">
        <v>368</v>
      </c>
      <c r="E21" s="57">
        <f>E20/E2</f>
        <v>7.9349724004554745E-3</v>
      </c>
      <c r="F21" s="57">
        <f t="shared" ref="F21:BQ21" si="26">F20/F2</f>
        <v>5.2321997945465326E-3</v>
      </c>
      <c r="G21" s="57">
        <f t="shared" si="26"/>
        <v>1.9539366439535162E-3</v>
      </c>
      <c r="H21" s="57">
        <f t="shared" si="26"/>
        <v>1.1065010146296147E-2</v>
      </c>
      <c r="I21" s="57">
        <f t="shared" si="26"/>
        <v>2.724895334502923E-2</v>
      </c>
      <c r="J21" s="57">
        <f t="shared" si="26"/>
        <v>2.0486643613169923E-2</v>
      </c>
      <c r="K21" s="57">
        <f t="shared" si="26"/>
        <v>2.7135125097386272E-2</v>
      </c>
      <c r="L21" s="57">
        <f t="shared" si="26"/>
        <v>2.371916214725291E-2</v>
      </c>
      <c r="M21" s="57">
        <f t="shared" si="26"/>
        <v>1.7297370988308223E-2</v>
      </c>
      <c r="N21" s="57">
        <f t="shared" si="26"/>
        <v>1.661124917052741E-2</v>
      </c>
      <c r="O21" s="57">
        <f t="shared" si="26"/>
        <v>1.8883839221751689E-2</v>
      </c>
      <c r="P21" s="57">
        <f t="shared" si="26"/>
        <v>1.4193164992289408E-2</v>
      </c>
      <c r="Q21" s="57">
        <f t="shared" si="26"/>
        <v>1.089940037019157E-2</v>
      </c>
      <c r="R21" s="57">
        <f t="shared" si="26"/>
        <v>1.3331579087144134E-3</v>
      </c>
      <c r="S21" s="57" t="e">
        <f t="shared" si="26"/>
        <v>#DIV/0!</v>
      </c>
      <c r="T21" s="57" t="e">
        <f t="shared" si="26"/>
        <v>#DIV/0!</v>
      </c>
      <c r="U21" s="57" t="e">
        <f t="shared" si="26"/>
        <v>#DIV/0!</v>
      </c>
      <c r="V21" s="57" t="e">
        <f t="shared" si="26"/>
        <v>#DIV/0!</v>
      </c>
      <c r="W21" s="57" t="e">
        <f t="shared" si="26"/>
        <v>#DIV/0!</v>
      </c>
      <c r="X21" s="57" t="e">
        <f t="shared" si="26"/>
        <v>#DIV/0!</v>
      </c>
      <c r="Y21" s="57" t="e">
        <f t="shared" si="26"/>
        <v>#DIV/0!</v>
      </c>
      <c r="Z21" s="57" t="e">
        <f t="shared" si="26"/>
        <v>#DIV/0!</v>
      </c>
      <c r="AA21" s="57" t="e">
        <f t="shared" si="26"/>
        <v>#DIV/0!</v>
      </c>
      <c r="AB21" s="57" t="e">
        <f t="shared" si="26"/>
        <v>#DIV/0!</v>
      </c>
      <c r="AC21" s="57" t="e">
        <f t="shared" si="26"/>
        <v>#DIV/0!</v>
      </c>
      <c r="AD21" s="57" t="e">
        <f t="shared" si="26"/>
        <v>#DIV/0!</v>
      </c>
      <c r="AE21" s="57" t="e">
        <f t="shared" si="26"/>
        <v>#DIV/0!</v>
      </c>
      <c r="AF21" s="57" t="e">
        <f t="shared" si="26"/>
        <v>#DIV/0!</v>
      </c>
      <c r="AG21" s="57" t="e">
        <f t="shared" si="26"/>
        <v>#DIV/0!</v>
      </c>
      <c r="AH21" s="57" t="e">
        <f t="shared" si="26"/>
        <v>#DIV/0!</v>
      </c>
      <c r="AI21" s="57" t="e">
        <f t="shared" si="26"/>
        <v>#DIV/0!</v>
      </c>
      <c r="AJ21" s="57" t="e">
        <f t="shared" si="26"/>
        <v>#DIV/0!</v>
      </c>
      <c r="AK21" s="57" t="e">
        <f t="shared" si="26"/>
        <v>#DIV/0!</v>
      </c>
      <c r="AL21" s="57" t="e">
        <f t="shared" si="26"/>
        <v>#DIV/0!</v>
      </c>
      <c r="AM21" s="57" t="e">
        <f t="shared" si="26"/>
        <v>#DIV/0!</v>
      </c>
      <c r="AN21" s="57" t="e">
        <f t="shared" si="26"/>
        <v>#DIV/0!</v>
      </c>
      <c r="AO21" s="57" t="e">
        <f t="shared" si="26"/>
        <v>#DIV/0!</v>
      </c>
      <c r="AP21" s="57" t="e">
        <f t="shared" si="26"/>
        <v>#DIV/0!</v>
      </c>
      <c r="AQ21" s="57" t="e">
        <f t="shared" si="26"/>
        <v>#DIV/0!</v>
      </c>
      <c r="AR21" s="57" t="e">
        <f t="shared" si="26"/>
        <v>#DIV/0!</v>
      </c>
      <c r="AS21" s="57" t="e">
        <f t="shared" si="26"/>
        <v>#DIV/0!</v>
      </c>
      <c r="AT21" s="57" t="e">
        <f t="shared" si="26"/>
        <v>#DIV/0!</v>
      </c>
      <c r="AU21" s="57" t="e">
        <f t="shared" si="26"/>
        <v>#DIV/0!</v>
      </c>
      <c r="AV21" s="57" t="e">
        <f t="shared" si="26"/>
        <v>#DIV/0!</v>
      </c>
      <c r="AW21" s="57" t="e">
        <f t="shared" si="26"/>
        <v>#DIV/0!</v>
      </c>
      <c r="AX21" s="57" t="e">
        <f t="shared" si="26"/>
        <v>#DIV/0!</v>
      </c>
      <c r="AY21" s="57" t="e">
        <f t="shared" si="26"/>
        <v>#DIV/0!</v>
      </c>
      <c r="AZ21" s="57" t="e">
        <f t="shared" si="26"/>
        <v>#DIV/0!</v>
      </c>
      <c r="BA21" s="57" t="e">
        <f t="shared" si="26"/>
        <v>#DIV/0!</v>
      </c>
      <c r="BB21" s="57" t="e">
        <f t="shared" si="26"/>
        <v>#DIV/0!</v>
      </c>
      <c r="BC21" s="57" t="e">
        <f t="shared" si="26"/>
        <v>#DIV/0!</v>
      </c>
      <c r="BD21" s="57" t="e">
        <f t="shared" si="26"/>
        <v>#DIV/0!</v>
      </c>
      <c r="BE21" s="57" t="e">
        <f t="shared" si="26"/>
        <v>#DIV/0!</v>
      </c>
      <c r="BF21" s="57" t="e">
        <f t="shared" si="26"/>
        <v>#DIV/0!</v>
      </c>
      <c r="BG21" s="57" t="e">
        <f t="shared" si="26"/>
        <v>#DIV/0!</v>
      </c>
      <c r="BH21" s="57" t="e">
        <f t="shared" si="26"/>
        <v>#DIV/0!</v>
      </c>
      <c r="BI21" s="57" t="e">
        <f t="shared" si="26"/>
        <v>#DIV/0!</v>
      </c>
      <c r="BJ21" s="57" t="e">
        <f t="shared" si="26"/>
        <v>#DIV/0!</v>
      </c>
      <c r="BK21" s="57" t="e">
        <f t="shared" si="26"/>
        <v>#DIV/0!</v>
      </c>
      <c r="BL21" s="57" t="e">
        <f t="shared" si="26"/>
        <v>#DIV/0!</v>
      </c>
      <c r="BM21" s="57" t="e">
        <f t="shared" si="26"/>
        <v>#DIV/0!</v>
      </c>
      <c r="BN21" s="57" t="e">
        <f t="shared" si="26"/>
        <v>#DIV/0!</v>
      </c>
      <c r="BO21" s="57" t="e">
        <f t="shared" si="26"/>
        <v>#DIV/0!</v>
      </c>
      <c r="BP21" s="57" t="e">
        <f t="shared" si="26"/>
        <v>#DIV/0!</v>
      </c>
      <c r="BQ21" s="57" t="e">
        <f t="shared" si="26"/>
        <v>#DIV/0!</v>
      </c>
      <c r="BR21" s="57" t="e">
        <f t="shared" ref="BR21:CK21" si="27">BR20/BR2</f>
        <v>#DIV/0!</v>
      </c>
      <c r="BS21" s="57" t="e">
        <f t="shared" si="27"/>
        <v>#DIV/0!</v>
      </c>
      <c r="BT21" s="57" t="e">
        <f t="shared" si="27"/>
        <v>#DIV/0!</v>
      </c>
      <c r="BU21" s="57" t="e">
        <f t="shared" si="27"/>
        <v>#DIV/0!</v>
      </c>
      <c r="BV21" s="57" t="e">
        <f t="shared" si="27"/>
        <v>#DIV/0!</v>
      </c>
      <c r="BW21" s="57" t="e">
        <f t="shared" si="27"/>
        <v>#DIV/0!</v>
      </c>
      <c r="BX21" s="57" t="e">
        <f t="shared" si="27"/>
        <v>#DIV/0!</v>
      </c>
      <c r="BY21" s="57" t="e">
        <f t="shared" si="27"/>
        <v>#DIV/0!</v>
      </c>
      <c r="BZ21" s="57" t="e">
        <f t="shared" si="27"/>
        <v>#DIV/0!</v>
      </c>
      <c r="CA21" s="57" t="e">
        <f t="shared" si="27"/>
        <v>#DIV/0!</v>
      </c>
      <c r="CB21" s="57" t="e">
        <f t="shared" si="27"/>
        <v>#DIV/0!</v>
      </c>
      <c r="CC21" s="57" t="e">
        <f t="shared" si="27"/>
        <v>#DIV/0!</v>
      </c>
      <c r="CD21" s="57" t="e">
        <f t="shared" si="27"/>
        <v>#DIV/0!</v>
      </c>
      <c r="CE21" s="57" t="e">
        <f t="shared" si="27"/>
        <v>#DIV/0!</v>
      </c>
      <c r="CF21" s="57" t="e">
        <f t="shared" si="27"/>
        <v>#DIV/0!</v>
      </c>
      <c r="CG21" s="57" t="e">
        <f t="shared" si="27"/>
        <v>#DIV/0!</v>
      </c>
      <c r="CH21" s="57" t="e">
        <f t="shared" si="27"/>
        <v>#DIV/0!</v>
      </c>
      <c r="CI21" s="57" t="e">
        <f t="shared" si="27"/>
        <v>#DIV/0!</v>
      </c>
      <c r="CJ21" s="57" t="e">
        <f t="shared" si="27"/>
        <v>#DIV/0!</v>
      </c>
      <c r="CK21" s="57" t="e">
        <f t="shared" si="27"/>
        <v>#DIV/0!</v>
      </c>
    </row>
    <row r="22" spans="1:89" s="66" customFormat="1" x14ac:dyDescent="0.25">
      <c r="A22" s="46" t="s">
        <v>369</v>
      </c>
      <c r="E22" s="66">
        <f>E11+E13+E15+E17+E19+E21</f>
        <v>0.26901215913604476</v>
      </c>
      <c r="F22" s="66">
        <f t="shared" ref="F22:BQ22" si="28">F11+F13+F15+F17+F19+F21</f>
        <v>0.26918447219035219</v>
      </c>
      <c r="G22" s="66">
        <f t="shared" si="28"/>
        <v>0.27640579911220314</v>
      </c>
      <c r="H22" s="66">
        <f t="shared" si="28"/>
        <v>0.29445329915000162</v>
      </c>
      <c r="I22" s="66">
        <f t="shared" si="28"/>
        <v>0.30079434323212201</v>
      </c>
      <c r="J22" s="66">
        <f t="shared" si="28"/>
        <v>0.28607456454783325</v>
      </c>
      <c r="K22" s="66">
        <f t="shared" si="28"/>
        <v>0.31686024811241198</v>
      </c>
      <c r="L22" s="66">
        <f t="shared" si="28"/>
        <v>0.34976805873476918</v>
      </c>
      <c r="M22" s="66">
        <f t="shared" si="28"/>
        <v>0.26913876345217608</v>
      </c>
      <c r="N22" s="66">
        <f t="shared" si="28"/>
        <v>0.26614358260154586</v>
      </c>
      <c r="O22" s="66">
        <f t="shared" si="28"/>
        <v>0.2635696076421265</v>
      </c>
      <c r="P22" s="66">
        <f t="shared" si="28"/>
        <v>0.27179330333633811</v>
      </c>
      <c r="Q22" s="66">
        <f t="shared" si="28"/>
        <v>0.25224056822450408</v>
      </c>
      <c r="R22" s="66">
        <f t="shared" si="28"/>
        <v>0.24202526986539583</v>
      </c>
      <c r="S22" s="66" t="e">
        <f t="shared" si="28"/>
        <v>#DIV/0!</v>
      </c>
      <c r="T22" s="66" t="e">
        <f t="shared" si="28"/>
        <v>#DIV/0!</v>
      </c>
      <c r="U22" s="66" t="e">
        <f t="shared" si="28"/>
        <v>#DIV/0!</v>
      </c>
      <c r="V22" s="66" t="e">
        <f t="shared" si="28"/>
        <v>#DIV/0!</v>
      </c>
      <c r="W22" s="66" t="e">
        <f t="shared" si="28"/>
        <v>#DIV/0!</v>
      </c>
      <c r="X22" s="66" t="e">
        <f t="shared" si="28"/>
        <v>#DIV/0!</v>
      </c>
      <c r="Y22" s="66" t="e">
        <f t="shared" si="28"/>
        <v>#DIV/0!</v>
      </c>
      <c r="Z22" s="66" t="e">
        <f t="shared" si="28"/>
        <v>#DIV/0!</v>
      </c>
      <c r="AA22" s="66" t="e">
        <f t="shared" si="28"/>
        <v>#DIV/0!</v>
      </c>
      <c r="AB22" s="66" t="e">
        <f t="shared" si="28"/>
        <v>#DIV/0!</v>
      </c>
      <c r="AC22" s="66" t="e">
        <f t="shared" si="28"/>
        <v>#DIV/0!</v>
      </c>
      <c r="AD22" s="66" t="e">
        <f t="shared" si="28"/>
        <v>#DIV/0!</v>
      </c>
      <c r="AE22" s="66" t="e">
        <f t="shared" si="28"/>
        <v>#DIV/0!</v>
      </c>
      <c r="AF22" s="66" t="e">
        <f t="shared" si="28"/>
        <v>#DIV/0!</v>
      </c>
      <c r="AG22" s="66" t="e">
        <f t="shared" si="28"/>
        <v>#DIV/0!</v>
      </c>
      <c r="AH22" s="66" t="e">
        <f t="shared" si="28"/>
        <v>#DIV/0!</v>
      </c>
      <c r="AI22" s="66" t="e">
        <f t="shared" si="28"/>
        <v>#DIV/0!</v>
      </c>
      <c r="AJ22" s="66" t="e">
        <f t="shared" si="28"/>
        <v>#DIV/0!</v>
      </c>
      <c r="AK22" s="66" t="e">
        <f t="shared" si="28"/>
        <v>#DIV/0!</v>
      </c>
      <c r="AL22" s="66" t="e">
        <f t="shared" si="28"/>
        <v>#DIV/0!</v>
      </c>
      <c r="AM22" s="66" t="e">
        <f t="shared" si="28"/>
        <v>#DIV/0!</v>
      </c>
      <c r="AN22" s="66" t="e">
        <f t="shared" si="28"/>
        <v>#DIV/0!</v>
      </c>
      <c r="AO22" s="66" t="e">
        <f t="shared" si="28"/>
        <v>#DIV/0!</v>
      </c>
      <c r="AP22" s="66" t="e">
        <f t="shared" si="28"/>
        <v>#DIV/0!</v>
      </c>
      <c r="AQ22" s="66" t="e">
        <f t="shared" si="28"/>
        <v>#DIV/0!</v>
      </c>
      <c r="AR22" s="66" t="e">
        <f t="shared" si="28"/>
        <v>#DIV/0!</v>
      </c>
      <c r="AS22" s="66" t="e">
        <f t="shared" si="28"/>
        <v>#DIV/0!</v>
      </c>
      <c r="AT22" s="66" t="e">
        <f t="shared" si="28"/>
        <v>#DIV/0!</v>
      </c>
      <c r="AU22" s="66" t="e">
        <f t="shared" si="28"/>
        <v>#DIV/0!</v>
      </c>
      <c r="AV22" s="66" t="e">
        <f t="shared" si="28"/>
        <v>#DIV/0!</v>
      </c>
      <c r="AW22" s="66" t="e">
        <f t="shared" si="28"/>
        <v>#DIV/0!</v>
      </c>
      <c r="AX22" s="66" t="e">
        <f t="shared" si="28"/>
        <v>#DIV/0!</v>
      </c>
      <c r="AY22" s="66" t="e">
        <f t="shared" si="28"/>
        <v>#DIV/0!</v>
      </c>
      <c r="AZ22" s="66" t="e">
        <f t="shared" si="28"/>
        <v>#DIV/0!</v>
      </c>
      <c r="BA22" s="66" t="e">
        <f t="shared" si="28"/>
        <v>#DIV/0!</v>
      </c>
      <c r="BB22" s="66" t="e">
        <f t="shared" si="28"/>
        <v>#DIV/0!</v>
      </c>
      <c r="BC22" s="66" t="e">
        <f t="shared" si="28"/>
        <v>#DIV/0!</v>
      </c>
      <c r="BD22" s="66" t="e">
        <f t="shared" si="28"/>
        <v>#DIV/0!</v>
      </c>
      <c r="BE22" s="66" t="e">
        <f t="shared" si="28"/>
        <v>#DIV/0!</v>
      </c>
      <c r="BF22" s="66" t="e">
        <f t="shared" si="28"/>
        <v>#DIV/0!</v>
      </c>
      <c r="BG22" s="66" t="e">
        <f t="shared" si="28"/>
        <v>#DIV/0!</v>
      </c>
      <c r="BH22" s="66" t="e">
        <f t="shared" si="28"/>
        <v>#DIV/0!</v>
      </c>
      <c r="BI22" s="66" t="e">
        <f t="shared" si="28"/>
        <v>#DIV/0!</v>
      </c>
      <c r="BJ22" s="66" t="e">
        <f t="shared" si="28"/>
        <v>#DIV/0!</v>
      </c>
      <c r="BK22" s="66" t="e">
        <f t="shared" si="28"/>
        <v>#DIV/0!</v>
      </c>
      <c r="BL22" s="66" t="e">
        <f t="shared" si="28"/>
        <v>#DIV/0!</v>
      </c>
      <c r="BM22" s="66" t="e">
        <f t="shared" si="28"/>
        <v>#DIV/0!</v>
      </c>
      <c r="BN22" s="66" t="e">
        <f t="shared" si="28"/>
        <v>#DIV/0!</v>
      </c>
      <c r="BO22" s="66" t="e">
        <f t="shared" si="28"/>
        <v>#DIV/0!</v>
      </c>
      <c r="BP22" s="66" t="e">
        <f t="shared" si="28"/>
        <v>#DIV/0!</v>
      </c>
      <c r="BQ22" s="66" t="e">
        <f t="shared" si="28"/>
        <v>#DIV/0!</v>
      </c>
      <c r="BR22" s="66" t="e">
        <f t="shared" ref="BR22:CJ22" si="29">BR11+BR13+BR15+BR17+BR19+BR21</f>
        <v>#DIV/0!</v>
      </c>
      <c r="BS22" s="66" t="e">
        <f t="shared" si="29"/>
        <v>#DIV/0!</v>
      </c>
      <c r="BT22" s="66" t="e">
        <f t="shared" si="29"/>
        <v>#DIV/0!</v>
      </c>
      <c r="BU22" s="66" t="e">
        <f t="shared" si="29"/>
        <v>#DIV/0!</v>
      </c>
      <c r="BV22" s="66" t="e">
        <f t="shared" si="29"/>
        <v>#DIV/0!</v>
      </c>
      <c r="BW22" s="66" t="e">
        <f t="shared" si="29"/>
        <v>#DIV/0!</v>
      </c>
      <c r="BX22" s="66" t="e">
        <f t="shared" si="29"/>
        <v>#DIV/0!</v>
      </c>
      <c r="BY22" s="66" t="e">
        <f t="shared" si="29"/>
        <v>#DIV/0!</v>
      </c>
      <c r="BZ22" s="66" t="e">
        <f t="shared" si="29"/>
        <v>#DIV/0!</v>
      </c>
      <c r="CA22" s="66" t="e">
        <f t="shared" si="29"/>
        <v>#DIV/0!</v>
      </c>
      <c r="CB22" s="66" t="e">
        <f t="shared" si="29"/>
        <v>#DIV/0!</v>
      </c>
      <c r="CC22" s="66" t="e">
        <f t="shared" si="29"/>
        <v>#DIV/0!</v>
      </c>
      <c r="CD22" s="66" t="e">
        <f t="shared" si="29"/>
        <v>#DIV/0!</v>
      </c>
      <c r="CE22" s="66" t="e">
        <f t="shared" si="29"/>
        <v>#DIV/0!</v>
      </c>
      <c r="CF22" s="66" t="e">
        <f t="shared" si="29"/>
        <v>#DIV/0!</v>
      </c>
      <c r="CG22" s="66" t="e">
        <f t="shared" si="29"/>
        <v>#DIV/0!</v>
      </c>
      <c r="CH22" s="66" t="e">
        <f t="shared" si="29"/>
        <v>#DIV/0!</v>
      </c>
      <c r="CI22" s="66" t="e">
        <f t="shared" si="29"/>
        <v>#DIV/0!</v>
      </c>
      <c r="CJ22" s="66" t="e">
        <f t="shared" si="29"/>
        <v>#DIV/0!</v>
      </c>
    </row>
    <row r="23" spans="1:89" s="27" customFormat="1" x14ac:dyDescent="0.25">
      <c r="A23" s="127" t="s">
        <v>370</v>
      </c>
      <c r="E23" s="27">
        <f>股权价值增加表!E17</f>
        <v>131862245.31655653</v>
      </c>
      <c r="F23" s="27">
        <f>股权价值增加表!F17</f>
        <v>99155553.065059483</v>
      </c>
      <c r="G23" s="27">
        <f>股权价值增加表!G17</f>
        <v>54064735.591907874</v>
      </c>
      <c r="H23" s="27">
        <f>股权价值增加表!H17</f>
        <v>16486232.646324649</v>
      </c>
      <c r="I23" s="27">
        <f>股权价值增加表!I17</f>
        <v>130251681.47252651</v>
      </c>
      <c r="J23" s="27">
        <f>股权价值增加表!J17</f>
        <v>96104716.657987207</v>
      </c>
      <c r="K23" s="27">
        <f>股权价值增加表!K17</f>
        <v>49896706.918183491</v>
      </c>
      <c r="L23" s="27">
        <f>股权价值增加表!L17</f>
        <v>9641952.0730275512</v>
      </c>
      <c r="M23" s="27">
        <f>股权价值增加表!M17</f>
        <v>117478001.56777264</v>
      </c>
      <c r="N23" s="27">
        <f>股权价值增加表!N17</f>
        <v>82319387.510931507</v>
      </c>
      <c r="O23" s="27">
        <f>股权价值增加表!O17</f>
        <v>103006179.04089503</v>
      </c>
      <c r="P23" s="27">
        <f>股权价值增加表!P17</f>
        <v>93171734.136197031</v>
      </c>
      <c r="Q23" s="27">
        <f>股权价值增加表!Q17</f>
        <v>78570681.575730503</v>
      </c>
      <c r="R23" s="27">
        <f>股权价值增加表!R17</f>
        <v>69095138.258024842</v>
      </c>
      <c r="S23" s="27" t="e">
        <f>股权价值增加表!S17</f>
        <v>#DIV/0!</v>
      </c>
      <c r="T23" s="27">
        <f>股权价值增加表!T17</f>
        <v>0</v>
      </c>
      <c r="U23" s="27">
        <f>股权价值增加表!U17</f>
        <v>-14654163.3124847</v>
      </c>
      <c r="V23" s="27">
        <f>股权价值增加表!V17</f>
        <v>0</v>
      </c>
      <c r="W23" s="27">
        <f>股权价值增加表!W17</f>
        <v>0</v>
      </c>
      <c r="X23" s="27">
        <f>股权价值增加表!X17</f>
        <v>0</v>
      </c>
      <c r="Y23" s="27">
        <f>股权价值增加表!Y17</f>
        <v>-38862740.031897604</v>
      </c>
      <c r="Z23" s="27">
        <f>股权价值增加表!Z17</f>
        <v>0</v>
      </c>
      <c r="AA23" s="27">
        <f>股权价值增加表!AA17</f>
        <v>0</v>
      </c>
      <c r="AB23" s="27">
        <f>股权价值增加表!AB17</f>
        <v>0</v>
      </c>
      <c r="AC23" s="27">
        <f>股权价值增加表!AC17</f>
        <v>-27571135.956625599</v>
      </c>
      <c r="AD23" s="27">
        <f>股权价值增加表!AD17</f>
        <v>0</v>
      </c>
      <c r="AE23" s="27">
        <f>股权价值增加表!AE17</f>
        <v>0</v>
      </c>
      <c r="AF23" s="27">
        <f>股权价值增加表!AF17</f>
        <v>0</v>
      </c>
      <c r="AG23" s="27">
        <f>股权价值增加表!AG17</f>
        <v>-19579667.924137052</v>
      </c>
      <c r="AH23" s="27">
        <f>股权价值增加表!AH17</f>
        <v>0</v>
      </c>
      <c r="AI23" s="27">
        <f>股权价值增加表!AI17</f>
        <v>0</v>
      </c>
      <c r="AJ23" s="27">
        <f>股权价值增加表!AJ17</f>
        <v>0</v>
      </c>
      <c r="AK23" s="27">
        <f>股权价值增加表!AK17</f>
        <v>0</v>
      </c>
      <c r="AL23" s="27">
        <f>股权价值增加表!AL17</f>
        <v>0</v>
      </c>
      <c r="AM23" s="27">
        <f>股权价值增加表!AM17</f>
        <v>0</v>
      </c>
      <c r="AN23" s="27">
        <f>股权价值增加表!AN17</f>
        <v>0</v>
      </c>
      <c r="AO23" s="27">
        <f>股权价值增加表!AO17</f>
        <v>0</v>
      </c>
      <c r="AP23" s="27">
        <f>股权价值增加表!AP17</f>
        <v>0</v>
      </c>
      <c r="AQ23" s="27">
        <f>股权价值增加表!AQ17</f>
        <v>0</v>
      </c>
      <c r="AR23" s="27">
        <f>股权价值增加表!AR17</f>
        <v>0</v>
      </c>
      <c r="AS23" s="27">
        <f>股权价值增加表!AS17</f>
        <v>0</v>
      </c>
      <c r="AT23" s="27">
        <f>股权价值增加表!AT17</f>
        <v>0</v>
      </c>
      <c r="AU23" s="27">
        <f>股权价值增加表!AU17</f>
        <v>0</v>
      </c>
      <c r="AV23" s="27">
        <f>股权价值增加表!AV17</f>
        <v>0</v>
      </c>
      <c r="AW23" s="27">
        <f>股权价值增加表!AW17</f>
        <v>0</v>
      </c>
      <c r="AX23" s="27">
        <f>股权价值增加表!AX17</f>
        <v>0</v>
      </c>
      <c r="AY23" s="27">
        <f>股权价值增加表!AY17</f>
        <v>0</v>
      </c>
      <c r="AZ23" s="27">
        <f>股权价值增加表!AZ17</f>
        <v>0</v>
      </c>
      <c r="BA23" s="27">
        <f>股权价值增加表!BA17</f>
        <v>0</v>
      </c>
      <c r="BB23" s="27">
        <f>股权价值增加表!BB17</f>
        <v>0</v>
      </c>
      <c r="BC23" s="27">
        <f>股权价值增加表!BC17</f>
        <v>0</v>
      </c>
      <c r="BD23" s="27">
        <f>股权价值增加表!BD17</f>
        <v>0</v>
      </c>
      <c r="BE23" s="27">
        <f>股权价值增加表!BE17</f>
        <v>0</v>
      </c>
      <c r="BF23" s="27">
        <f>股权价值增加表!BF17</f>
        <v>0</v>
      </c>
      <c r="BG23" s="27">
        <f>股权价值增加表!BG17</f>
        <v>0</v>
      </c>
      <c r="BH23" s="27">
        <f>股权价值增加表!BH17</f>
        <v>0</v>
      </c>
      <c r="BI23" s="27">
        <f>股权价值增加表!BI17</f>
        <v>0</v>
      </c>
      <c r="BJ23" s="27">
        <f>股权价值增加表!BJ17</f>
        <v>0</v>
      </c>
      <c r="BK23" s="27">
        <f>股权价值增加表!BK17</f>
        <v>0</v>
      </c>
      <c r="BL23" s="27">
        <f>股权价值增加表!BL17</f>
        <v>0</v>
      </c>
      <c r="BM23" s="27">
        <f>股权价值增加表!BM17</f>
        <v>0</v>
      </c>
      <c r="BN23" s="27">
        <f>股权价值增加表!BN17</f>
        <v>0</v>
      </c>
      <c r="BO23" s="27">
        <f>股权价值增加表!BO17</f>
        <v>0</v>
      </c>
      <c r="BP23" s="27">
        <f>股权价值增加表!BP17</f>
        <v>0</v>
      </c>
      <c r="BQ23" s="27">
        <f>股权价值增加表!BQ17</f>
        <v>0</v>
      </c>
      <c r="BR23" s="27">
        <f>股权价值增加表!BR17</f>
        <v>0</v>
      </c>
      <c r="BS23" s="27">
        <f>股权价值增加表!BS17</f>
        <v>0</v>
      </c>
      <c r="BT23" s="27">
        <f>股权价值增加表!BT17</f>
        <v>0</v>
      </c>
      <c r="BU23" s="27">
        <f>股权价值增加表!BU17</f>
        <v>0</v>
      </c>
      <c r="BV23" s="27">
        <f>股权价值增加表!BV17</f>
        <v>0</v>
      </c>
      <c r="BW23" s="27">
        <f>股权价值增加表!BW17</f>
        <v>0</v>
      </c>
      <c r="BX23" s="27">
        <f>股权价值增加表!BX17</f>
        <v>0</v>
      </c>
      <c r="BY23" s="27">
        <f>股权价值增加表!BY17</f>
        <v>0</v>
      </c>
      <c r="BZ23" s="27">
        <f>股权价值增加表!BZ17</f>
        <v>0</v>
      </c>
      <c r="CA23" s="27">
        <f>股权价值增加表!CA17</f>
        <v>0</v>
      </c>
      <c r="CB23" s="27">
        <f>股权价值增加表!CB17</f>
        <v>0</v>
      </c>
      <c r="CC23" s="27">
        <f>股权价值增加表!CC17</f>
        <v>0</v>
      </c>
      <c r="CD23" s="27" t="e">
        <f>股权价值增加表!CD17</f>
        <v>#DIV/0!</v>
      </c>
      <c r="CE23" s="27">
        <f>股权价值增加表!CE17</f>
        <v>0</v>
      </c>
      <c r="CF23" s="27">
        <f>股权价值增加表!CF17</f>
        <v>0</v>
      </c>
      <c r="CG23" s="27" t="e">
        <f>股权价值增加表!CG17</f>
        <v>#DIV/0!</v>
      </c>
      <c r="CH23" s="27" t="e">
        <f>股权价值增加表!CH17</f>
        <v>#DIV/0!</v>
      </c>
      <c r="CI23" s="27" t="e">
        <f>股权价值增加表!CI17</f>
        <v>#DIV/0!</v>
      </c>
      <c r="CJ23" s="27" t="e">
        <f>股权价值增加表!CJ17</f>
        <v>#DIV/0!</v>
      </c>
    </row>
    <row r="24" spans="1:89" s="57" customFormat="1" x14ac:dyDescent="0.25">
      <c r="A24" s="20" t="s">
        <v>371</v>
      </c>
      <c r="E24" s="57">
        <f>E23/E2</f>
        <v>0.17525343041100466</v>
      </c>
      <c r="F24" s="57">
        <f t="shared" ref="F24:BQ24" si="30">F23/F2</f>
        <v>0.18859006447882054</v>
      </c>
      <c r="G24" s="57">
        <f t="shared" si="30"/>
        <v>0.15912122018235611</v>
      </c>
      <c r="H24" s="57">
        <f t="shared" si="30"/>
        <v>0.10726186590807094</v>
      </c>
      <c r="I24" s="57">
        <f t="shared" si="30"/>
        <v>0.19586382616854753</v>
      </c>
      <c r="J24" s="57">
        <f t="shared" si="30"/>
        <v>0.21168070459101931</v>
      </c>
      <c r="K24" s="57">
        <f t="shared" si="30"/>
        <v>0.17615327688498408</v>
      </c>
      <c r="L24" s="57">
        <f t="shared" si="30"/>
        <v>7.7568330473247057E-2</v>
      </c>
      <c r="M24" s="57">
        <f t="shared" si="30"/>
        <v>0.19676808984178054</v>
      </c>
      <c r="N24" s="57">
        <f t="shared" si="30"/>
        <v>0.2010362567661749</v>
      </c>
      <c r="O24" s="57">
        <f t="shared" si="30"/>
        <v>0.19478875442815524</v>
      </c>
      <c r="P24" s="57">
        <f t="shared" si="30"/>
        <v>0.19214313898353419</v>
      </c>
      <c r="Q24" s="57">
        <f t="shared" si="30"/>
        <v>0.1986145470454749</v>
      </c>
      <c r="R24" s="57">
        <f t="shared" si="30"/>
        <v>0.21804035417062992</v>
      </c>
      <c r="S24" s="57" t="e">
        <f t="shared" si="30"/>
        <v>#DIV/0!</v>
      </c>
      <c r="T24" s="57" t="e">
        <f t="shared" si="30"/>
        <v>#DIV/0!</v>
      </c>
      <c r="U24" s="57" t="e">
        <f t="shared" si="30"/>
        <v>#DIV/0!</v>
      </c>
      <c r="V24" s="57" t="e">
        <f t="shared" si="30"/>
        <v>#DIV/0!</v>
      </c>
      <c r="W24" s="57" t="e">
        <f t="shared" si="30"/>
        <v>#DIV/0!</v>
      </c>
      <c r="X24" s="57" t="e">
        <f t="shared" si="30"/>
        <v>#DIV/0!</v>
      </c>
      <c r="Y24" s="57" t="e">
        <f t="shared" si="30"/>
        <v>#DIV/0!</v>
      </c>
      <c r="Z24" s="57" t="e">
        <f t="shared" si="30"/>
        <v>#DIV/0!</v>
      </c>
      <c r="AA24" s="57" t="e">
        <f t="shared" si="30"/>
        <v>#DIV/0!</v>
      </c>
      <c r="AB24" s="57" t="e">
        <f t="shared" si="30"/>
        <v>#DIV/0!</v>
      </c>
      <c r="AC24" s="57" t="e">
        <f t="shared" si="30"/>
        <v>#DIV/0!</v>
      </c>
      <c r="AD24" s="57" t="e">
        <f t="shared" si="30"/>
        <v>#DIV/0!</v>
      </c>
      <c r="AE24" s="57" t="e">
        <f t="shared" si="30"/>
        <v>#DIV/0!</v>
      </c>
      <c r="AF24" s="57" t="e">
        <f t="shared" si="30"/>
        <v>#DIV/0!</v>
      </c>
      <c r="AG24" s="57" t="e">
        <f t="shared" si="30"/>
        <v>#DIV/0!</v>
      </c>
      <c r="AH24" s="57" t="e">
        <f t="shared" si="30"/>
        <v>#DIV/0!</v>
      </c>
      <c r="AI24" s="57" t="e">
        <f t="shared" si="30"/>
        <v>#DIV/0!</v>
      </c>
      <c r="AJ24" s="57" t="e">
        <f t="shared" si="30"/>
        <v>#DIV/0!</v>
      </c>
      <c r="AK24" s="57" t="e">
        <f t="shared" si="30"/>
        <v>#DIV/0!</v>
      </c>
      <c r="AL24" s="57" t="e">
        <f t="shared" si="30"/>
        <v>#DIV/0!</v>
      </c>
      <c r="AM24" s="57" t="e">
        <f t="shared" si="30"/>
        <v>#DIV/0!</v>
      </c>
      <c r="AN24" s="57" t="e">
        <f t="shared" si="30"/>
        <v>#DIV/0!</v>
      </c>
      <c r="AO24" s="57" t="e">
        <f t="shared" si="30"/>
        <v>#DIV/0!</v>
      </c>
      <c r="AP24" s="57" t="e">
        <f t="shared" si="30"/>
        <v>#DIV/0!</v>
      </c>
      <c r="AQ24" s="57" t="e">
        <f t="shared" si="30"/>
        <v>#DIV/0!</v>
      </c>
      <c r="AR24" s="57" t="e">
        <f t="shared" si="30"/>
        <v>#DIV/0!</v>
      </c>
      <c r="AS24" s="57" t="e">
        <f t="shared" si="30"/>
        <v>#DIV/0!</v>
      </c>
      <c r="AT24" s="57" t="e">
        <f t="shared" si="30"/>
        <v>#DIV/0!</v>
      </c>
      <c r="AU24" s="57" t="e">
        <f t="shared" si="30"/>
        <v>#DIV/0!</v>
      </c>
      <c r="AV24" s="57" t="e">
        <f t="shared" si="30"/>
        <v>#DIV/0!</v>
      </c>
      <c r="AW24" s="57" t="e">
        <f t="shared" si="30"/>
        <v>#DIV/0!</v>
      </c>
      <c r="AX24" s="57" t="e">
        <f t="shared" si="30"/>
        <v>#DIV/0!</v>
      </c>
      <c r="AY24" s="57" t="e">
        <f t="shared" si="30"/>
        <v>#DIV/0!</v>
      </c>
      <c r="AZ24" s="57" t="e">
        <f t="shared" si="30"/>
        <v>#DIV/0!</v>
      </c>
      <c r="BA24" s="57" t="e">
        <f t="shared" si="30"/>
        <v>#DIV/0!</v>
      </c>
      <c r="BB24" s="57" t="e">
        <f t="shared" si="30"/>
        <v>#DIV/0!</v>
      </c>
      <c r="BC24" s="57" t="e">
        <f t="shared" si="30"/>
        <v>#DIV/0!</v>
      </c>
      <c r="BD24" s="57" t="e">
        <f t="shared" si="30"/>
        <v>#DIV/0!</v>
      </c>
      <c r="BE24" s="57" t="e">
        <f t="shared" si="30"/>
        <v>#DIV/0!</v>
      </c>
      <c r="BF24" s="57" t="e">
        <f t="shared" si="30"/>
        <v>#DIV/0!</v>
      </c>
      <c r="BG24" s="57" t="e">
        <f t="shared" si="30"/>
        <v>#DIV/0!</v>
      </c>
      <c r="BH24" s="57" t="e">
        <f t="shared" si="30"/>
        <v>#DIV/0!</v>
      </c>
      <c r="BI24" s="57" t="e">
        <f t="shared" si="30"/>
        <v>#DIV/0!</v>
      </c>
      <c r="BJ24" s="57" t="e">
        <f t="shared" si="30"/>
        <v>#DIV/0!</v>
      </c>
      <c r="BK24" s="57" t="e">
        <f t="shared" si="30"/>
        <v>#DIV/0!</v>
      </c>
      <c r="BL24" s="57" t="e">
        <f t="shared" si="30"/>
        <v>#DIV/0!</v>
      </c>
      <c r="BM24" s="57" t="e">
        <f t="shared" si="30"/>
        <v>#DIV/0!</v>
      </c>
      <c r="BN24" s="57" t="e">
        <f t="shared" si="30"/>
        <v>#DIV/0!</v>
      </c>
      <c r="BO24" s="57" t="e">
        <f t="shared" si="30"/>
        <v>#DIV/0!</v>
      </c>
      <c r="BP24" s="57" t="e">
        <f t="shared" si="30"/>
        <v>#DIV/0!</v>
      </c>
      <c r="BQ24" s="57" t="e">
        <f t="shared" si="30"/>
        <v>#DIV/0!</v>
      </c>
      <c r="BR24" s="57" t="e">
        <f t="shared" ref="BR24:CJ24" si="31">BR23/BR2</f>
        <v>#DIV/0!</v>
      </c>
      <c r="BS24" s="57" t="e">
        <f t="shared" si="31"/>
        <v>#DIV/0!</v>
      </c>
      <c r="BT24" s="57" t="e">
        <f t="shared" si="31"/>
        <v>#DIV/0!</v>
      </c>
      <c r="BU24" s="57" t="e">
        <f t="shared" si="31"/>
        <v>#DIV/0!</v>
      </c>
      <c r="BV24" s="57" t="e">
        <f t="shared" si="31"/>
        <v>#DIV/0!</v>
      </c>
      <c r="BW24" s="57" t="e">
        <f t="shared" si="31"/>
        <v>#DIV/0!</v>
      </c>
      <c r="BX24" s="57" t="e">
        <f t="shared" si="31"/>
        <v>#DIV/0!</v>
      </c>
      <c r="BY24" s="57" t="e">
        <f t="shared" si="31"/>
        <v>#DIV/0!</v>
      </c>
      <c r="BZ24" s="57" t="e">
        <f t="shared" si="31"/>
        <v>#DIV/0!</v>
      </c>
      <c r="CA24" s="57" t="e">
        <f t="shared" si="31"/>
        <v>#DIV/0!</v>
      </c>
      <c r="CB24" s="57" t="e">
        <f t="shared" si="31"/>
        <v>#DIV/0!</v>
      </c>
      <c r="CC24" s="57" t="e">
        <f t="shared" si="31"/>
        <v>#DIV/0!</v>
      </c>
      <c r="CD24" s="57" t="e">
        <f t="shared" si="31"/>
        <v>#DIV/0!</v>
      </c>
      <c r="CE24" s="57" t="e">
        <f t="shared" si="31"/>
        <v>#DIV/0!</v>
      </c>
      <c r="CF24" s="57" t="e">
        <f t="shared" si="31"/>
        <v>#DIV/0!</v>
      </c>
      <c r="CG24" s="57" t="e">
        <f t="shared" si="31"/>
        <v>#DIV/0!</v>
      </c>
      <c r="CH24" s="57" t="e">
        <f t="shared" si="31"/>
        <v>#DIV/0!</v>
      </c>
      <c r="CI24" s="57" t="e">
        <f t="shared" si="31"/>
        <v>#DIV/0!</v>
      </c>
      <c r="CJ24" s="57" t="e">
        <f t="shared" si="31"/>
        <v>#DIV/0!</v>
      </c>
    </row>
    <row r="25" spans="1:89" s="16" customFormat="1" ht="369.6" customHeight="1" thickBot="1" x14ac:dyDescent="0.3">
      <c r="A25" s="282" t="s">
        <v>669</v>
      </c>
      <c r="B25" s="283"/>
      <c r="C25" s="283"/>
      <c r="D25" s="283"/>
      <c r="E25" s="283"/>
      <c r="F25" s="283"/>
      <c r="G25" s="283"/>
      <c r="H25" s="283"/>
      <c r="I25" s="283"/>
      <c r="J25" s="283"/>
      <c r="K25" s="283"/>
      <c r="L25" s="283"/>
      <c r="M25" s="283"/>
      <c r="N25" s="283"/>
      <c r="O25" s="283"/>
      <c r="P25" s="283"/>
      <c r="Q25" s="283"/>
      <c r="R25" s="283"/>
      <c r="S25" s="283"/>
      <c r="T25" s="283"/>
      <c r="U25" s="283"/>
      <c r="V25" s="283"/>
      <c r="W25" s="283"/>
      <c r="X25" s="283"/>
      <c r="Y25" s="283"/>
      <c r="Z25" s="283"/>
      <c r="AA25" s="283"/>
      <c r="AB25" s="283"/>
      <c r="AC25" s="283"/>
      <c r="AD25" s="283"/>
      <c r="AE25" s="283"/>
      <c r="AF25" s="283"/>
      <c r="AG25" s="283"/>
    </row>
    <row r="26" spans="1:89" s="63" customFormat="1" ht="15" thickBot="1" x14ac:dyDescent="0.3">
      <c r="A26" s="149" t="s">
        <v>599</v>
      </c>
      <c r="B26" s="150"/>
      <c r="C26" s="150"/>
      <c r="D26" s="150"/>
      <c r="E26" s="151" t="e">
        <f>POWER(E2/Y2,1/6)-1</f>
        <v>#DIV/0!</v>
      </c>
    </row>
    <row r="27" spans="1:89" s="26" customFormat="1" x14ac:dyDescent="0.25">
      <c r="A27" s="20" t="s">
        <v>377</v>
      </c>
      <c r="B27" s="1">
        <v>43373</v>
      </c>
      <c r="C27" s="1">
        <v>43281</v>
      </c>
      <c r="D27" s="1">
        <v>43190</v>
      </c>
      <c r="E27" s="1">
        <v>43100</v>
      </c>
      <c r="F27" s="1">
        <v>43008</v>
      </c>
      <c r="G27" s="1">
        <v>42916</v>
      </c>
      <c r="H27" s="1">
        <v>42825</v>
      </c>
      <c r="I27" s="1">
        <v>42735</v>
      </c>
      <c r="J27" s="1">
        <v>42643</v>
      </c>
      <c r="K27" s="1">
        <v>42551</v>
      </c>
      <c r="L27" s="1">
        <v>42460</v>
      </c>
      <c r="M27" s="1">
        <v>42369</v>
      </c>
      <c r="N27" s="1">
        <v>42277</v>
      </c>
      <c r="O27" s="1">
        <v>42004</v>
      </c>
      <c r="P27" s="1">
        <v>41639</v>
      </c>
      <c r="Q27" s="1">
        <v>41274</v>
      </c>
      <c r="R27" s="1">
        <v>40908</v>
      </c>
      <c r="S27" s="1">
        <v>25569</v>
      </c>
      <c r="T27" s="1"/>
      <c r="U27" s="1"/>
      <c r="V27" s="1"/>
      <c r="W27" s="1"/>
      <c r="X27" s="1"/>
      <c r="Y27" s="1"/>
      <c r="Z27" s="1"/>
      <c r="AA27" s="1"/>
      <c r="AB27" s="1"/>
      <c r="AC27" s="1"/>
      <c r="AD27" s="1"/>
      <c r="AE27" s="1"/>
      <c r="AF27" s="1"/>
      <c r="AG27" s="1"/>
      <c r="AH27" s="1"/>
      <c r="AI27" s="1"/>
      <c r="AJ27" s="1"/>
      <c r="AK27" s="1"/>
      <c r="AL27" s="1"/>
      <c r="AM27" s="1"/>
      <c r="AN27" s="1"/>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row>
    <row r="28" spans="1:89" s="26" customFormat="1" x14ac:dyDescent="0.25">
      <c r="A28" s="17" t="s">
        <v>373</v>
      </c>
      <c r="E28" s="26">
        <f>股权价值增加表!E15</f>
        <v>155851417.39000002</v>
      </c>
      <c r="F28" s="26">
        <f>股权价值增加表!F15</f>
        <v>118379160.12000005</v>
      </c>
      <c r="G28" s="26">
        <f>股权价值增加表!G15</f>
        <v>65713816.170000009</v>
      </c>
      <c r="H28" s="26">
        <f>股权价值增加表!H15</f>
        <v>20594767.00999999</v>
      </c>
      <c r="I28" s="26">
        <f>股权价值增加表!I15</f>
        <v>152781769.70999995</v>
      </c>
      <c r="J28" s="26">
        <f>股权价值增加表!J15</f>
        <v>114140798.95000003</v>
      </c>
      <c r="K28" s="26">
        <f>股权价值增加表!K15</f>
        <v>59494011.039999992</v>
      </c>
      <c r="L28" s="26">
        <f>股权价值增加表!L15</f>
        <v>11857340.220000006</v>
      </c>
      <c r="M28" s="26">
        <f>股权价值增加表!M15</f>
        <v>138852954.72999999</v>
      </c>
      <c r="N28" s="26">
        <f>股权价值增加表!N15</f>
        <v>98626845.369999975</v>
      </c>
      <c r="O28" s="26">
        <f>股权价值增加表!O15</f>
        <v>121681477.87000003</v>
      </c>
      <c r="P28" s="26">
        <f>股权价值增加表!P15</f>
        <v>111732572.96000004</v>
      </c>
      <c r="Q28" s="26">
        <f>股权价值增加表!Q15</f>
        <v>96611045.13000001</v>
      </c>
      <c r="R28" s="26">
        <f>股权价值增加表!R15</f>
        <v>83600165.599999994</v>
      </c>
      <c r="S28" s="26">
        <f>股权价值增加表!S15</f>
        <v>0</v>
      </c>
      <c r="T28" s="26">
        <f>股权价值增加表!T15</f>
        <v>0</v>
      </c>
      <c r="U28" s="26">
        <f>股权价值增加表!U15</f>
        <v>5869478</v>
      </c>
      <c r="V28" s="26">
        <f>股权价值增加表!V15</f>
        <v>0</v>
      </c>
      <c r="W28" s="26">
        <f>股权价值增加表!W15</f>
        <v>0</v>
      </c>
      <c r="X28" s="26">
        <f>股权价值增加表!X15</f>
        <v>0</v>
      </c>
      <c r="Y28" s="26">
        <f>股权价值增加表!Y15</f>
        <v>12046824.75</v>
      </c>
      <c r="Z28" s="26">
        <f>股权价值增加表!Z15</f>
        <v>0</v>
      </c>
      <c r="AA28" s="26">
        <f>股权价值增加表!AA15</f>
        <v>0</v>
      </c>
      <c r="AB28" s="26">
        <f>股权价值增加表!AB15</f>
        <v>0</v>
      </c>
      <c r="AC28" s="26">
        <f>股权价值增加表!AC15</f>
        <v>8254042.6900000004</v>
      </c>
      <c r="AD28" s="26">
        <f>股权价值增加表!AD15</f>
        <v>0</v>
      </c>
      <c r="AE28" s="26">
        <f>股权价值增加表!AE15</f>
        <v>0</v>
      </c>
      <c r="AF28" s="26">
        <f>股权价值增加表!AF15</f>
        <v>0</v>
      </c>
      <c r="AG28" s="26">
        <f>股权价值增加表!AG15</f>
        <v>2922096.12</v>
      </c>
      <c r="AH28" s="26">
        <f>股权价值增加表!AH15</f>
        <v>0</v>
      </c>
      <c r="AI28" s="26">
        <f>股权价值增加表!AI15</f>
        <v>0</v>
      </c>
      <c r="AJ28" s="26">
        <f>股权价值增加表!AJ15</f>
        <v>0</v>
      </c>
      <c r="AK28" s="26">
        <f>股权价值增加表!AK15</f>
        <v>0</v>
      </c>
      <c r="AL28" s="26">
        <f>股权价值增加表!AL15</f>
        <v>0</v>
      </c>
      <c r="AM28" s="26">
        <f>股权价值增加表!AM15</f>
        <v>0</v>
      </c>
      <c r="AN28" s="26">
        <f>股权价值增加表!AN15</f>
        <v>0</v>
      </c>
      <c r="AO28" s="26">
        <f>股权价值增加表!AO15</f>
        <v>0</v>
      </c>
      <c r="AP28" s="26">
        <f>股权价值增加表!AP15</f>
        <v>0</v>
      </c>
      <c r="AQ28" s="26">
        <f>股权价值增加表!AQ15</f>
        <v>0</v>
      </c>
      <c r="AR28" s="26">
        <f>股权价值增加表!AR15</f>
        <v>0</v>
      </c>
      <c r="AS28" s="26">
        <f>股权价值增加表!AS15</f>
        <v>0</v>
      </c>
      <c r="AT28" s="26">
        <f>股权价值增加表!AT15</f>
        <v>0</v>
      </c>
      <c r="AU28" s="26">
        <f>股权价值增加表!AU15</f>
        <v>0</v>
      </c>
      <c r="AV28" s="26">
        <f>股权价值增加表!AV15</f>
        <v>0</v>
      </c>
      <c r="AW28" s="26">
        <f>股权价值增加表!AW15</f>
        <v>0</v>
      </c>
      <c r="AX28" s="26">
        <f>股权价值增加表!AX15</f>
        <v>0</v>
      </c>
      <c r="AY28" s="26">
        <f>股权价值增加表!AY15</f>
        <v>0</v>
      </c>
      <c r="AZ28" s="26">
        <f>股权价值增加表!AZ15</f>
        <v>0</v>
      </c>
      <c r="BA28" s="26">
        <f>股权价值增加表!BA15</f>
        <v>0</v>
      </c>
      <c r="BB28" s="26">
        <f>股权价值增加表!BB15</f>
        <v>0</v>
      </c>
      <c r="BC28" s="26">
        <f>股权价值增加表!BC15</f>
        <v>0</v>
      </c>
      <c r="BD28" s="26">
        <f>股权价值增加表!BD15</f>
        <v>0</v>
      </c>
      <c r="BE28" s="26">
        <f>股权价值增加表!BE15</f>
        <v>0</v>
      </c>
      <c r="BF28" s="26">
        <f>股权价值增加表!BF15</f>
        <v>0</v>
      </c>
      <c r="BG28" s="26">
        <f>股权价值增加表!BG15</f>
        <v>0</v>
      </c>
      <c r="BH28" s="26">
        <f>股权价值增加表!BH15</f>
        <v>0</v>
      </c>
      <c r="BI28" s="26">
        <f>股权价值增加表!BI15</f>
        <v>0</v>
      </c>
      <c r="BJ28" s="26">
        <f>股权价值增加表!BJ15</f>
        <v>0</v>
      </c>
      <c r="BK28" s="26">
        <f>股权价值增加表!BK15</f>
        <v>0</v>
      </c>
      <c r="BL28" s="26">
        <f>股权价值增加表!BL15</f>
        <v>0</v>
      </c>
      <c r="BM28" s="26">
        <f>股权价值增加表!BM15</f>
        <v>0</v>
      </c>
      <c r="BN28" s="26">
        <f>股权价值增加表!BN15</f>
        <v>0</v>
      </c>
      <c r="BO28" s="26">
        <f>股权价值增加表!BO15</f>
        <v>0</v>
      </c>
      <c r="BP28" s="26">
        <f>股权价值增加表!BP15</f>
        <v>0</v>
      </c>
      <c r="BQ28" s="26">
        <f>股权价值增加表!BQ15</f>
        <v>0</v>
      </c>
      <c r="BR28" s="26">
        <f>股权价值增加表!BR15</f>
        <v>0</v>
      </c>
      <c r="BS28" s="26">
        <f>股权价值增加表!BS15</f>
        <v>0</v>
      </c>
      <c r="BT28" s="26">
        <f>股权价值增加表!BT15</f>
        <v>0</v>
      </c>
      <c r="BU28" s="26">
        <f>股权价值增加表!BU15</f>
        <v>0</v>
      </c>
      <c r="BV28" s="26">
        <f>股权价值增加表!BV15</f>
        <v>0</v>
      </c>
      <c r="BW28" s="26">
        <f>股权价值增加表!BW15</f>
        <v>0</v>
      </c>
      <c r="BX28" s="26">
        <f>股权价值增加表!BX15</f>
        <v>0</v>
      </c>
      <c r="BY28" s="26">
        <f>股权价值增加表!BY15</f>
        <v>0</v>
      </c>
      <c r="BZ28" s="26">
        <f>股权价值增加表!BZ15</f>
        <v>0</v>
      </c>
      <c r="CA28" s="26">
        <f>股权价值增加表!CA15</f>
        <v>0</v>
      </c>
      <c r="CB28" s="26">
        <f>股权价值增加表!CB15</f>
        <v>0</v>
      </c>
      <c r="CC28" s="26">
        <f>股权价值增加表!CC15</f>
        <v>0</v>
      </c>
      <c r="CD28" s="26">
        <f>股权价值增加表!CD15</f>
        <v>0</v>
      </c>
      <c r="CE28" s="26">
        <f>股权价值增加表!CE15</f>
        <v>0</v>
      </c>
      <c r="CF28" s="26">
        <f>股权价值增加表!CF15</f>
        <v>0</v>
      </c>
      <c r="CG28" s="26">
        <f>股权价值增加表!CG15</f>
        <v>0</v>
      </c>
      <c r="CH28" s="26">
        <f>股权价值增加表!CH15</f>
        <v>0</v>
      </c>
      <c r="CI28" s="26">
        <f>股权价值增加表!CI15</f>
        <v>0</v>
      </c>
      <c r="CJ28" s="26">
        <f>股权价值增加表!CJ15</f>
        <v>0</v>
      </c>
      <c r="CK28" s="26">
        <f>股权价值增加表!CK15</f>
        <v>0</v>
      </c>
    </row>
    <row r="29" spans="1:89" s="59" customFormat="1" x14ac:dyDescent="0.25">
      <c r="A29" s="144" t="s">
        <v>378</v>
      </c>
      <c r="E29" s="59">
        <f t="shared" ref="E29:AJ29" si="32">E28/E34</f>
        <v>0.9374290843527584</v>
      </c>
      <c r="F29" s="59">
        <f t="shared" si="32"/>
        <v>0.95487079567244471</v>
      </c>
      <c r="G29" s="59">
        <f t="shared" si="32"/>
        <v>0.95840610819528949</v>
      </c>
      <c r="H29" s="59">
        <f t="shared" si="32"/>
        <v>0.96454007100980776</v>
      </c>
      <c r="I29" s="59">
        <f t="shared" si="32"/>
        <v>0.98910536861229748</v>
      </c>
      <c r="J29" s="59">
        <f t="shared" si="32"/>
        <v>0.99916201260743298</v>
      </c>
      <c r="K29" s="59">
        <f t="shared" si="32"/>
        <v>0.99899637153029253</v>
      </c>
      <c r="L29" s="59">
        <f t="shared" si="32"/>
        <v>1</v>
      </c>
      <c r="M29" s="59">
        <f t="shared" si="32"/>
        <v>0.99530077666609307</v>
      </c>
      <c r="N29" s="59">
        <f t="shared" si="32"/>
        <v>0.99891363224577601</v>
      </c>
      <c r="O29" s="59">
        <f t="shared" si="32"/>
        <v>1</v>
      </c>
      <c r="P29" s="59">
        <f t="shared" si="32"/>
        <v>1</v>
      </c>
      <c r="Q29" s="59">
        <f t="shared" si="32"/>
        <v>1</v>
      </c>
      <c r="R29" s="59">
        <f t="shared" si="32"/>
        <v>1</v>
      </c>
      <c r="S29" s="59" t="e">
        <f t="shared" si="32"/>
        <v>#DIV/0!</v>
      </c>
      <c r="T29" s="59" t="e">
        <f t="shared" si="32"/>
        <v>#DIV/0!</v>
      </c>
      <c r="U29" s="59">
        <f t="shared" si="32"/>
        <v>7.0645929211098782E-3</v>
      </c>
      <c r="V29" s="59">
        <f t="shared" si="32"/>
        <v>0</v>
      </c>
      <c r="W29" s="59">
        <f t="shared" si="32"/>
        <v>0</v>
      </c>
      <c r="X29" s="59" t="e">
        <f t="shared" si="32"/>
        <v>#DIV/0!</v>
      </c>
      <c r="Y29" s="59">
        <f t="shared" si="32"/>
        <v>1.518950113071451E-2</v>
      </c>
      <c r="Z29" s="59">
        <f t="shared" si="32"/>
        <v>0</v>
      </c>
      <c r="AA29" s="59">
        <f t="shared" si="32"/>
        <v>0</v>
      </c>
      <c r="AB29" s="59">
        <f t="shared" si="32"/>
        <v>0</v>
      </c>
      <c r="AC29" s="59">
        <f t="shared" si="32"/>
        <v>1.7294785366163093E-2</v>
      </c>
      <c r="AD29" s="59">
        <f t="shared" si="32"/>
        <v>0</v>
      </c>
      <c r="AE29" s="59">
        <f t="shared" si="32"/>
        <v>0</v>
      </c>
      <c r="AF29" s="59">
        <f t="shared" si="32"/>
        <v>0</v>
      </c>
      <c r="AG29" s="59">
        <f t="shared" si="32"/>
        <v>1.5116665160776638E-2</v>
      </c>
      <c r="AH29" s="59">
        <f t="shared" si="32"/>
        <v>0</v>
      </c>
      <c r="AI29" s="59">
        <f t="shared" si="32"/>
        <v>0</v>
      </c>
      <c r="AJ29" s="59">
        <f t="shared" si="32"/>
        <v>0</v>
      </c>
      <c r="AK29" s="59">
        <f t="shared" ref="AK29:BP29" si="33">AK28/AK34</f>
        <v>0</v>
      </c>
      <c r="AL29" s="59">
        <f t="shared" si="33"/>
        <v>0</v>
      </c>
      <c r="AM29" s="59">
        <f t="shared" si="33"/>
        <v>0</v>
      </c>
      <c r="AN29" s="59" t="e">
        <f t="shared" si="33"/>
        <v>#DIV/0!</v>
      </c>
      <c r="AO29" s="59">
        <f t="shared" si="33"/>
        <v>0</v>
      </c>
      <c r="AP29" s="59">
        <f t="shared" si="33"/>
        <v>0</v>
      </c>
      <c r="AQ29" s="59">
        <f t="shared" si="33"/>
        <v>0</v>
      </c>
      <c r="AR29" s="59" t="e">
        <f t="shared" si="33"/>
        <v>#DIV/0!</v>
      </c>
      <c r="AS29" s="59">
        <f t="shared" si="33"/>
        <v>0</v>
      </c>
      <c r="AT29" s="59">
        <f t="shared" si="33"/>
        <v>0</v>
      </c>
      <c r="AU29" s="59">
        <f t="shared" si="33"/>
        <v>0</v>
      </c>
      <c r="AV29" s="59">
        <f t="shared" si="33"/>
        <v>0</v>
      </c>
      <c r="AW29" s="59">
        <f t="shared" si="33"/>
        <v>0</v>
      </c>
      <c r="AX29" s="59">
        <f t="shared" si="33"/>
        <v>0</v>
      </c>
      <c r="AY29" s="59">
        <f t="shared" si="33"/>
        <v>0</v>
      </c>
      <c r="AZ29" s="59">
        <f t="shared" si="33"/>
        <v>0</v>
      </c>
      <c r="BA29" s="59">
        <f t="shared" si="33"/>
        <v>0</v>
      </c>
      <c r="BB29" s="59">
        <f t="shared" si="33"/>
        <v>0</v>
      </c>
      <c r="BC29" s="59">
        <f t="shared" si="33"/>
        <v>0</v>
      </c>
      <c r="BD29" s="59" t="e">
        <f t="shared" si="33"/>
        <v>#DIV/0!</v>
      </c>
      <c r="BE29" s="59">
        <f t="shared" si="33"/>
        <v>0</v>
      </c>
      <c r="BF29" s="59">
        <f t="shared" si="33"/>
        <v>0</v>
      </c>
      <c r="BG29" s="59">
        <f t="shared" si="33"/>
        <v>0</v>
      </c>
      <c r="BH29" s="59">
        <f t="shared" si="33"/>
        <v>0</v>
      </c>
      <c r="BI29" s="59">
        <f t="shared" si="33"/>
        <v>0</v>
      </c>
      <c r="BJ29" s="59">
        <f t="shared" si="33"/>
        <v>0</v>
      </c>
      <c r="BK29" s="59">
        <f t="shared" si="33"/>
        <v>0</v>
      </c>
      <c r="BL29" s="59">
        <f t="shared" si="33"/>
        <v>0</v>
      </c>
      <c r="BM29" s="59">
        <f t="shared" si="33"/>
        <v>0</v>
      </c>
      <c r="BN29" s="59">
        <f t="shared" si="33"/>
        <v>0</v>
      </c>
      <c r="BO29" s="59">
        <f t="shared" si="33"/>
        <v>0</v>
      </c>
      <c r="BP29" s="59">
        <f t="shared" si="33"/>
        <v>0</v>
      </c>
      <c r="BQ29" s="59">
        <f t="shared" ref="BQ29:CK29" si="34">BQ28/BQ34</f>
        <v>0</v>
      </c>
      <c r="BR29" s="59">
        <f t="shared" si="34"/>
        <v>0</v>
      </c>
      <c r="BS29" s="59">
        <f t="shared" si="34"/>
        <v>0</v>
      </c>
      <c r="BT29" s="59">
        <f t="shared" si="34"/>
        <v>0</v>
      </c>
      <c r="BU29" s="59">
        <f t="shared" si="34"/>
        <v>0</v>
      </c>
      <c r="BV29" s="59" t="e">
        <f t="shared" si="34"/>
        <v>#DIV/0!</v>
      </c>
      <c r="BW29" s="59" t="e">
        <f t="shared" si="34"/>
        <v>#DIV/0!</v>
      </c>
      <c r="BX29" s="59" t="e">
        <f t="shared" si="34"/>
        <v>#DIV/0!</v>
      </c>
      <c r="BY29" s="59" t="e">
        <f t="shared" si="34"/>
        <v>#DIV/0!</v>
      </c>
      <c r="BZ29" s="59" t="e">
        <f t="shared" si="34"/>
        <v>#DIV/0!</v>
      </c>
      <c r="CA29" s="59" t="e">
        <f t="shared" si="34"/>
        <v>#DIV/0!</v>
      </c>
      <c r="CB29" s="59" t="e">
        <f t="shared" si="34"/>
        <v>#DIV/0!</v>
      </c>
      <c r="CC29" s="59" t="e">
        <f t="shared" si="34"/>
        <v>#DIV/0!</v>
      </c>
      <c r="CD29" s="59" t="e">
        <f t="shared" si="34"/>
        <v>#DIV/0!</v>
      </c>
      <c r="CE29" s="59">
        <f t="shared" si="34"/>
        <v>0</v>
      </c>
      <c r="CF29" s="59">
        <f t="shared" si="34"/>
        <v>0</v>
      </c>
      <c r="CG29" s="59" t="e">
        <f t="shared" si="34"/>
        <v>#DIV/0!</v>
      </c>
      <c r="CH29" s="59" t="e">
        <f t="shared" si="34"/>
        <v>#DIV/0!</v>
      </c>
      <c r="CI29" s="59" t="e">
        <f t="shared" si="34"/>
        <v>#DIV/0!</v>
      </c>
      <c r="CJ29" s="59" t="e">
        <f t="shared" si="34"/>
        <v>#DIV/0!</v>
      </c>
      <c r="CK29" s="59" t="e">
        <f t="shared" si="34"/>
        <v>#DIV/0!</v>
      </c>
    </row>
    <row r="30" spans="1:89" s="26" customFormat="1" x14ac:dyDescent="0.25">
      <c r="A30" s="17" t="s">
        <v>374</v>
      </c>
      <c r="E30" s="26">
        <f>股权价值增加表!E20</f>
        <v>0</v>
      </c>
      <c r="F30" s="26">
        <f>股权价值增加表!F20</f>
        <v>0</v>
      </c>
      <c r="G30" s="26">
        <f>股权价值增加表!G20</f>
        <v>0</v>
      </c>
      <c r="H30" s="26">
        <f>股权价值增加表!H20</f>
        <v>0</v>
      </c>
      <c r="I30" s="26">
        <f>股权价值增加表!I20</f>
        <v>0</v>
      </c>
      <c r="J30" s="26">
        <f>股权价值增加表!J20</f>
        <v>0</v>
      </c>
      <c r="K30" s="26">
        <f>股权价值增加表!K20</f>
        <v>0</v>
      </c>
      <c r="L30" s="26">
        <f>股权价值增加表!L20</f>
        <v>0</v>
      </c>
      <c r="M30" s="26">
        <f>股权价值增加表!M20</f>
        <v>0</v>
      </c>
      <c r="N30" s="26">
        <f>股权价值增加表!N20</f>
        <v>0</v>
      </c>
      <c r="O30" s="26">
        <f>股权价值增加表!O20</f>
        <v>0</v>
      </c>
      <c r="P30" s="26">
        <f>股权价值增加表!P20</f>
        <v>0</v>
      </c>
      <c r="Q30" s="26">
        <f>股权价值增加表!Q20</f>
        <v>0</v>
      </c>
      <c r="R30" s="26">
        <f>股权价值增加表!R20</f>
        <v>0</v>
      </c>
      <c r="S30" s="26">
        <f>股权价值增加表!S20</f>
        <v>0</v>
      </c>
      <c r="T30" s="26">
        <f>股权价值增加表!T20</f>
        <v>0</v>
      </c>
      <c r="U30" s="26">
        <f>股权价值增加表!U20</f>
        <v>0</v>
      </c>
      <c r="V30" s="26">
        <f>股权价值增加表!V20</f>
        <v>0</v>
      </c>
      <c r="W30" s="26">
        <f>股权价值增加表!W20</f>
        <v>0</v>
      </c>
      <c r="X30" s="26">
        <f>股权价值增加表!X20</f>
        <v>0</v>
      </c>
      <c r="Y30" s="26">
        <f>股权价值增加表!Y20</f>
        <v>0</v>
      </c>
      <c r="Z30" s="26">
        <f>股权价值增加表!Z20</f>
        <v>0</v>
      </c>
      <c r="AA30" s="26">
        <f>股权价值增加表!AA20</f>
        <v>0</v>
      </c>
      <c r="AB30" s="26">
        <f>股权价值增加表!AB20</f>
        <v>0</v>
      </c>
      <c r="AC30" s="26">
        <f>股权价值增加表!AC20</f>
        <v>0</v>
      </c>
      <c r="AD30" s="26">
        <f>股权价值增加表!AD20</f>
        <v>0</v>
      </c>
      <c r="AE30" s="26">
        <f>股权价值增加表!AE20</f>
        <v>0</v>
      </c>
      <c r="AF30" s="26">
        <f>股权价值增加表!AF20</f>
        <v>0</v>
      </c>
      <c r="AG30" s="26">
        <f>股权价值增加表!AG20</f>
        <v>0</v>
      </c>
      <c r="AH30" s="26">
        <f>股权价值增加表!AH20</f>
        <v>0</v>
      </c>
      <c r="AI30" s="26">
        <f>股权价值增加表!AI20</f>
        <v>0</v>
      </c>
      <c r="AJ30" s="26">
        <f>股权价值增加表!AJ20</f>
        <v>0</v>
      </c>
      <c r="AK30" s="26">
        <f>股权价值增加表!AK20</f>
        <v>0</v>
      </c>
      <c r="AL30" s="26">
        <f>股权价值增加表!AL20</f>
        <v>0</v>
      </c>
      <c r="AM30" s="26">
        <f>股权价值增加表!AM20</f>
        <v>0</v>
      </c>
      <c r="AN30" s="26">
        <f>股权价值增加表!AN20</f>
        <v>0</v>
      </c>
      <c r="AO30" s="26">
        <f>股权价值增加表!AO20</f>
        <v>0</v>
      </c>
      <c r="AP30" s="26">
        <f>股权价值增加表!AP20</f>
        <v>0</v>
      </c>
      <c r="AQ30" s="26">
        <f>股权价值增加表!AQ20</f>
        <v>0</v>
      </c>
      <c r="AR30" s="26">
        <f>股权价值增加表!AR20</f>
        <v>0</v>
      </c>
      <c r="AS30" s="26">
        <f>股权价值增加表!AS20</f>
        <v>0</v>
      </c>
      <c r="AT30" s="26">
        <f>股权价值增加表!AT20</f>
        <v>0</v>
      </c>
      <c r="AU30" s="26">
        <f>股权价值增加表!AU20</f>
        <v>0</v>
      </c>
      <c r="AV30" s="26">
        <f>股权价值增加表!AV20</f>
        <v>0</v>
      </c>
      <c r="AW30" s="26">
        <f>股权价值增加表!AW20</f>
        <v>0</v>
      </c>
      <c r="AX30" s="26">
        <f>股权价值增加表!AX20</f>
        <v>0</v>
      </c>
      <c r="AY30" s="26">
        <f>股权价值增加表!AY20</f>
        <v>0</v>
      </c>
      <c r="AZ30" s="26">
        <f>股权价值增加表!AZ20</f>
        <v>0</v>
      </c>
      <c r="BA30" s="26">
        <f>股权价值增加表!BA20</f>
        <v>0</v>
      </c>
      <c r="BB30" s="26">
        <f>股权价值增加表!BB20</f>
        <v>0</v>
      </c>
      <c r="BC30" s="26">
        <f>股权价值增加表!BC20</f>
        <v>0</v>
      </c>
      <c r="BD30" s="26">
        <f>股权价值增加表!BD20</f>
        <v>0</v>
      </c>
      <c r="BE30" s="26">
        <f>股权价值增加表!BE20</f>
        <v>0</v>
      </c>
      <c r="BF30" s="26">
        <f>股权价值增加表!BF20</f>
        <v>0</v>
      </c>
      <c r="BG30" s="26">
        <f>股权价值增加表!BG20</f>
        <v>0</v>
      </c>
      <c r="BH30" s="26">
        <f>股权价值增加表!BH20</f>
        <v>0</v>
      </c>
      <c r="BI30" s="26">
        <f>股权价值增加表!BI20</f>
        <v>0</v>
      </c>
      <c r="BJ30" s="26">
        <f>股权价值增加表!BJ20</f>
        <v>0</v>
      </c>
      <c r="BK30" s="26">
        <f>股权价值增加表!BK20</f>
        <v>0</v>
      </c>
      <c r="BL30" s="26">
        <f>股权价值增加表!BL20</f>
        <v>0</v>
      </c>
      <c r="BM30" s="26">
        <f>股权价值增加表!BM20</f>
        <v>0</v>
      </c>
      <c r="BN30" s="26">
        <f>股权价值增加表!BN20</f>
        <v>0</v>
      </c>
      <c r="BO30" s="26">
        <f>股权价值增加表!BO20</f>
        <v>0</v>
      </c>
      <c r="BP30" s="26">
        <f>股权价值增加表!BP20</f>
        <v>0</v>
      </c>
      <c r="BQ30" s="26">
        <f>股权价值增加表!BQ20</f>
        <v>0</v>
      </c>
      <c r="BR30" s="26">
        <f>股权价值增加表!BR20</f>
        <v>0</v>
      </c>
      <c r="BS30" s="26">
        <f>股权价值增加表!BS20</f>
        <v>0</v>
      </c>
      <c r="BT30" s="26">
        <f>股权价值增加表!BT20</f>
        <v>0</v>
      </c>
      <c r="BU30" s="26">
        <f>股权价值增加表!BU20</f>
        <v>0</v>
      </c>
      <c r="BV30" s="26">
        <f>股权价值增加表!BV20</f>
        <v>0</v>
      </c>
      <c r="BW30" s="26">
        <f>股权价值增加表!BW20</f>
        <v>0</v>
      </c>
      <c r="BX30" s="26">
        <f>股权价值增加表!BX20</f>
        <v>0</v>
      </c>
      <c r="BY30" s="26">
        <f>股权价值增加表!BY20</f>
        <v>0</v>
      </c>
      <c r="BZ30" s="26">
        <f>股权价值增加表!BZ20</f>
        <v>0</v>
      </c>
      <c r="CA30" s="26">
        <f>股权价值增加表!CA20</f>
        <v>0</v>
      </c>
      <c r="CB30" s="26">
        <f>股权价值增加表!CB20</f>
        <v>0</v>
      </c>
      <c r="CC30" s="26">
        <f>股权价值增加表!CC20</f>
        <v>0</v>
      </c>
      <c r="CD30" s="26">
        <f>股权价值增加表!CD20</f>
        <v>0</v>
      </c>
      <c r="CE30" s="26">
        <f>股权价值增加表!CE20</f>
        <v>0</v>
      </c>
      <c r="CF30" s="26">
        <f>股权价值增加表!CF20</f>
        <v>0</v>
      </c>
      <c r="CG30" s="26">
        <f>股权价值增加表!CG20</f>
        <v>0</v>
      </c>
      <c r="CH30" s="26">
        <f>股权价值增加表!CH20</f>
        <v>0</v>
      </c>
      <c r="CI30" s="26">
        <f>股权价值增加表!CI20</f>
        <v>0</v>
      </c>
      <c r="CJ30" s="26">
        <f>股权价值增加表!CJ20</f>
        <v>0</v>
      </c>
    </row>
    <row r="31" spans="1:89" s="59" customFormat="1" x14ac:dyDescent="0.25">
      <c r="A31" s="144" t="s">
        <v>379</v>
      </c>
      <c r="E31" s="59">
        <f>E30/E34</f>
        <v>0</v>
      </c>
      <c r="F31" s="59">
        <f t="shared" ref="F31:BQ31" si="35">F30/F34</f>
        <v>0</v>
      </c>
      <c r="G31" s="59">
        <f t="shared" si="35"/>
        <v>0</v>
      </c>
      <c r="H31" s="59">
        <f t="shared" si="35"/>
        <v>0</v>
      </c>
      <c r="I31" s="59">
        <f t="shared" si="35"/>
        <v>0</v>
      </c>
      <c r="J31" s="59">
        <f t="shared" si="35"/>
        <v>0</v>
      </c>
      <c r="K31" s="59">
        <f t="shared" si="35"/>
        <v>0</v>
      </c>
      <c r="L31" s="59">
        <f t="shared" si="35"/>
        <v>0</v>
      </c>
      <c r="M31" s="59">
        <f t="shared" si="35"/>
        <v>0</v>
      </c>
      <c r="N31" s="59">
        <f t="shared" si="35"/>
        <v>0</v>
      </c>
      <c r="O31" s="59">
        <f t="shared" si="35"/>
        <v>0</v>
      </c>
      <c r="P31" s="59">
        <f t="shared" si="35"/>
        <v>0</v>
      </c>
      <c r="Q31" s="59">
        <f t="shared" si="35"/>
        <v>0</v>
      </c>
      <c r="R31" s="59">
        <f t="shared" si="35"/>
        <v>0</v>
      </c>
      <c r="S31" s="59" t="e">
        <f t="shared" si="35"/>
        <v>#DIV/0!</v>
      </c>
      <c r="T31" s="59" t="e">
        <f t="shared" si="35"/>
        <v>#DIV/0!</v>
      </c>
      <c r="U31" s="59">
        <f t="shared" si="35"/>
        <v>0</v>
      </c>
      <c r="V31" s="59">
        <f t="shared" si="35"/>
        <v>0</v>
      </c>
      <c r="W31" s="59">
        <f t="shared" si="35"/>
        <v>0</v>
      </c>
      <c r="X31" s="59" t="e">
        <f t="shared" si="35"/>
        <v>#DIV/0!</v>
      </c>
      <c r="Y31" s="59">
        <f t="shared" si="35"/>
        <v>0</v>
      </c>
      <c r="Z31" s="59">
        <f t="shared" si="35"/>
        <v>0</v>
      </c>
      <c r="AA31" s="59">
        <f t="shared" si="35"/>
        <v>0</v>
      </c>
      <c r="AB31" s="59">
        <f t="shared" si="35"/>
        <v>0</v>
      </c>
      <c r="AC31" s="59">
        <f t="shared" si="35"/>
        <v>0</v>
      </c>
      <c r="AD31" s="59">
        <f t="shared" si="35"/>
        <v>0</v>
      </c>
      <c r="AE31" s="59">
        <f t="shared" si="35"/>
        <v>0</v>
      </c>
      <c r="AF31" s="59">
        <f t="shared" si="35"/>
        <v>0</v>
      </c>
      <c r="AG31" s="59">
        <f t="shared" si="35"/>
        <v>0</v>
      </c>
      <c r="AH31" s="59">
        <f t="shared" si="35"/>
        <v>0</v>
      </c>
      <c r="AI31" s="59">
        <f t="shared" si="35"/>
        <v>0</v>
      </c>
      <c r="AJ31" s="59">
        <f t="shared" si="35"/>
        <v>0</v>
      </c>
      <c r="AK31" s="59">
        <f t="shared" si="35"/>
        <v>0</v>
      </c>
      <c r="AL31" s="59">
        <f t="shared" si="35"/>
        <v>0</v>
      </c>
      <c r="AM31" s="59">
        <f t="shared" si="35"/>
        <v>0</v>
      </c>
      <c r="AN31" s="59" t="e">
        <f t="shared" si="35"/>
        <v>#DIV/0!</v>
      </c>
      <c r="AO31" s="59">
        <f t="shared" si="35"/>
        <v>0</v>
      </c>
      <c r="AP31" s="59">
        <f t="shared" si="35"/>
        <v>0</v>
      </c>
      <c r="AQ31" s="59">
        <f t="shared" si="35"/>
        <v>0</v>
      </c>
      <c r="AR31" s="59" t="e">
        <f t="shared" si="35"/>
        <v>#DIV/0!</v>
      </c>
      <c r="AS31" s="59">
        <f t="shared" si="35"/>
        <v>0</v>
      </c>
      <c r="AT31" s="59">
        <f t="shared" si="35"/>
        <v>0</v>
      </c>
      <c r="AU31" s="59">
        <f t="shared" si="35"/>
        <v>0</v>
      </c>
      <c r="AV31" s="59">
        <f t="shared" si="35"/>
        <v>0</v>
      </c>
      <c r="AW31" s="59">
        <f t="shared" si="35"/>
        <v>0</v>
      </c>
      <c r="AX31" s="59">
        <f t="shared" si="35"/>
        <v>0</v>
      </c>
      <c r="AY31" s="59">
        <f t="shared" si="35"/>
        <v>0</v>
      </c>
      <c r="AZ31" s="59">
        <f t="shared" si="35"/>
        <v>0</v>
      </c>
      <c r="BA31" s="59">
        <f t="shared" si="35"/>
        <v>0</v>
      </c>
      <c r="BB31" s="59">
        <f t="shared" si="35"/>
        <v>0</v>
      </c>
      <c r="BC31" s="59">
        <f t="shared" si="35"/>
        <v>0</v>
      </c>
      <c r="BD31" s="59" t="e">
        <f t="shared" si="35"/>
        <v>#DIV/0!</v>
      </c>
      <c r="BE31" s="59">
        <f t="shared" si="35"/>
        <v>0</v>
      </c>
      <c r="BF31" s="59">
        <f t="shared" si="35"/>
        <v>0</v>
      </c>
      <c r="BG31" s="59">
        <f t="shared" si="35"/>
        <v>0</v>
      </c>
      <c r="BH31" s="59">
        <f t="shared" si="35"/>
        <v>0</v>
      </c>
      <c r="BI31" s="59">
        <f t="shared" si="35"/>
        <v>0</v>
      </c>
      <c r="BJ31" s="59">
        <f t="shared" si="35"/>
        <v>0</v>
      </c>
      <c r="BK31" s="59">
        <f t="shared" si="35"/>
        <v>0</v>
      </c>
      <c r="BL31" s="59">
        <f t="shared" si="35"/>
        <v>0</v>
      </c>
      <c r="BM31" s="59">
        <f t="shared" si="35"/>
        <v>0</v>
      </c>
      <c r="BN31" s="59">
        <f t="shared" si="35"/>
        <v>0</v>
      </c>
      <c r="BO31" s="59">
        <f t="shared" si="35"/>
        <v>0</v>
      </c>
      <c r="BP31" s="59">
        <f t="shared" si="35"/>
        <v>0</v>
      </c>
      <c r="BQ31" s="59">
        <f t="shared" si="35"/>
        <v>0</v>
      </c>
      <c r="BR31" s="59">
        <f t="shared" ref="BR31:CK31" si="36">BR30/BR34</f>
        <v>0</v>
      </c>
      <c r="BS31" s="59">
        <f t="shared" si="36"/>
        <v>0</v>
      </c>
      <c r="BT31" s="59">
        <f t="shared" si="36"/>
        <v>0</v>
      </c>
      <c r="BU31" s="59">
        <f t="shared" si="36"/>
        <v>0</v>
      </c>
      <c r="BV31" s="59" t="e">
        <f t="shared" si="36"/>
        <v>#DIV/0!</v>
      </c>
      <c r="BW31" s="59" t="e">
        <f t="shared" si="36"/>
        <v>#DIV/0!</v>
      </c>
      <c r="BX31" s="59" t="e">
        <f t="shared" si="36"/>
        <v>#DIV/0!</v>
      </c>
      <c r="BY31" s="59" t="e">
        <f t="shared" si="36"/>
        <v>#DIV/0!</v>
      </c>
      <c r="BZ31" s="59" t="e">
        <f t="shared" si="36"/>
        <v>#DIV/0!</v>
      </c>
      <c r="CA31" s="59" t="e">
        <f t="shared" si="36"/>
        <v>#DIV/0!</v>
      </c>
      <c r="CB31" s="59" t="e">
        <f t="shared" si="36"/>
        <v>#DIV/0!</v>
      </c>
      <c r="CC31" s="59" t="e">
        <f t="shared" si="36"/>
        <v>#DIV/0!</v>
      </c>
      <c r="CD31" s="59" t="e">
        <f t="shared" si="36"/>
        <v>#DIV/0!</v>
      </c>
      <c r="CE31" s="59">
        <f t="shared" si="36"/>
        <v>0</v>
      </c>
      <c r="CF31" s="59">
        <f t="shared" si="36"/>
        <v>0</v>
      </c>
      <c r="CG31" s="59" t="e">
        <f t="shared" si="36"/>
        <v>#DIV/0!</v>
      </c>
      <c r="CH31" s="59" t="e">
        <f t="shared" si="36"/>
        <v>#DIV/0!</v>
      </c>
      <c r="CI31" s="59" t="e">
        <f t="shared" si="36"/>
        <v>#DIV/0!</v>
      </c>
      <c r="CJ31" s="59" t="e">
        <f t="shared" si="36"/>
        <v>#DIV/0!</v>
      </c>
      <c r="CK31" s="59" t="e">
        <f t="shared" si="36"/>
        <v>#DIV/0!</v>
      </c>
    </row>
    <row r="32" spans="1:89" s="26" customFormat="1" x14ac:dyDescent="0.25">
      <c r="A32" s="17" t="s">
        <v>375</v>
      </c>
      <c r="E32" s="26">
        <f>股权价值增加表!E27</f>
        <v>10402670.51</v>
      </c>
      <c r="F32" s="26">
        <f>股权价值增加表!F27</f>
        <v>5594848.3600000003</v>
      </c>
      <c r="G32" s="26">
        <f>股权价值增加表!G27</f>
        <v>2851915.63</v>
      </c>
      <c r="H32" s="26">
        <f>股权价值增加表!H27</f>
        <v>757137</v>
      </c>
      <c r="I32" s="26">
        <f>股权价值增加表!I27</f>
        <v>1682834.9300000002</v>
      </c>
      <c r="J32" s="26">
        <f>股权价值增加表!J27</f>
        <v>95728.77</v>
      </c>
      <c r="K32" s="26">
        <f>股权价值增加表!K27</f>
        <v>59769.87</v>
      </c>
      <c r="L32" s="26">
        <f>股权价值增加表!L27</f>
        <v>0</v>
      </c>
      <c r="M32" s="26">
        <f>股权价值增加表!M27</f>
        <v>655581.77</v>
      </c>
      <c r="N32" s="26">
        <f>股权价值增加表!N27</f>
        <v>107261.55</v>
      </c>
      <c r="O32" s="26">
        <f>股权价值增加表!O27</f>
        <v>0</v>
      </c>
      <c r="P32" s="26">
        <f>股权价值增加表!P27</f>
        <v>0</v>
      </c>
      <c r="Q32" s="26">
        <f>股权价值增加表!Q27</f>
        <v>0</v>
      </c>
      <c r="R32" s="26">
        <f>股权价值增加表!R27</f>
        <v>0</v>
      </c>
      <c r="S32" s="26">
        <f>股权价值增加表!S27</f>
        <v>0</v>
      </c>
      <c r="T32" s="26">
        <f>股权价值增加表!T27</f>
        <v>0</v>
      </c>
      <c r="U32" s="26">
        <f>股权价值增加表!U27</f>
        <v>824960842.38</v>
      </c>
      <c r="V32" s="26">
        <f>股权价值增加表!V27</f>
        <v>3732421.22</v>
      </c>
      <c r="W32" s="26">
        <f>股权价值增加表!W27</f>
        <v>3732421.22</v>
      </c>
      <c r="X32" s="26">
        <f>股权价值增加表!X27</f>
        <v>0</v>
      </c>
      <c r="Y32" s="26">
        <f>股权价值增加表!Y27</f>
        <v>781055242.67999995</v>
      </c>
      <c r="Z32" s="26">
        <f>股权价值增加表!Z27</f>
        <v>-917593.17</v>
      </c>
      <c r="AA32" s="26">
        <f>股权价值增加表!AA27</f>
        <v>-984891.57</v>
      </c>
      <c r="AB32" s="26">
        <f>股权价值增加表!AB27</f>
        <v>-9791.5400000000009</v>
      </c>
      <c r="AC32" s="26">
        <f>股权价值增加表!AC27</f>
        <v>469002107.94999999</v>
      </c>
      <c r="AD32" s="26">
        <f>股权价值增加表!AD27</f>
        <v>285035.20000000019</v>
      </c>
      <c r="AE32" s="26">
        <f>股权价值增加表!AE27</f>
        <v>133008.76000000024</v>
      </c>
      <c r="AF32" s="26">
        <f>股权价值增加表!AF27</f>
        <v>9936.35</v>
      </c>
      <c r="AG32" s="26">
        <f>股权价值增加表!AG27</f>
        <v>190380863.81999999</v>
      </c>
      <c r="AH32" s="26">
        <f>股权价值增加表!AH27</f>
        <v>-3505725.42</v>
      </c>
      <c r="AI32" s="26">
        <f>股权价值增加表!AI27</f>
        <v>323694.87000000011</v>
      </c>
      <c r="AJ32" s="26">
        <f>股权价值增加表!AJ27</f>
        <v>126698.54</v>
      </c>
      <c r="AK32" s="26">
        <f>股权价值增加表!AK27</f>
        <v>608552.98999999976</v>
      </c>
      <c r="AL32" s="26">
        <f>股权价值增加表!AL27</f>
        <v>31136.589999999851</v>
      </c>
      <c r="AM32" s="26">
        <f>股权价值增加表!AM27</f>
        <v>-2412569.77</v>
      </c>
      <c r="AN32" s="26">
        <f>股权价值增加表!AN27</f>
        <v>0</v>
      </c>
      <c r="AO32" s="26">
        <f>股权价值增加表!AO27</f>
        <v>1579121.31</v>
      </c>
      <c r="AP32" s="26">
        <f>股权价值增加表!AP27</f>
        <v>-929569.49</v>
      </c>
      <c r="AQ32" s="26">
        <f>股权价值增加表!AQ27</f>
        <v>-929569.49</v>
      </c>
      <c r="AR32" s="26">
        <f>股权价值增加表!AR27</f>
        <v>0</v>
      </c>
      <c r="AS32" s="26">
        <f>股权价值增加表!AS27</f>
        <v>3199582.46</v>
      </c>
      <c r="AT32" s="26">
        <f>股权价值增加表!AT27</f>
        <v>556604.28</v>
      </c>
      <c r="AU32" s="26">
        <f>股权价值增加表!AU27</f>
        <v>47918.79</v>
      </c>
      <c r="AV32" s="26">
        <f>股权价值增加表!AV27</f>
        <v>665864.48</v>
      </c>
      <c r="AW32" s="26">
        <f>股权价值增加表!AW27</f>
        <v>5051692.58</v>
      </c>
      <c r="AX32" s="26">
        <f>股权价值增加表!AX27</f>
        <v>2496157.7200000002</v>
      </c>
      <c r="AY32" s="26">
        <f>股权价值增加表!AY27</f>
        <v>1832311.81</v>
      </c>
      <c r="AZ32" s="26">
        <f>股权价值增加表!AZ27</f>
        <v>100000</v>
      </c>
      <c r="BA32" s="26">
        <f>股权价值增加表!BA27</f>
        <v>-3923017.4</v>
      </c>
      <c r="BB32" s="26">
        <f>股权价值增加表!BB27</f>
        <v>-497364.9</v>
      </c>
      <c r="BC32" s="26">
        <f>股权价值增加表!BC27</f>
        <v>-499893.8</v>
      </c>
      <c r="BD32" s="26">
        <f>股权价值增加表!BD27</f>
        <v>0</v>
      </c>
      <c r="BE32" s="26">
        <f>股权价值增加表!BE27</f>
        <v>-126753.75</v>
      </c>
      <c r="BF32" s="26">
        <f>股权价值增加表!BF27</f>
        <v>344265.81</v>
      </c>
      <c r="BG32" s="26">
        <f>股权价值增加表!BG27</f>
        <v>344265.81</v>
      </c>
      <c r="BH32" s="26">
        <f>股权价值增加表!BH27</f>
        <v>1026367.48</v>
      </c>
      <c r="BI32" s="26">
        <f>股权价值增加表!BI27</f>
        <v>-554425.18000000005</v>
      </c>
      <c r="BJ32" s="26">
        <f>股权价值增加表!BJ27</f>
        <v>287254.11</v>
      </c>
      <c r="BK32" s="26">
        <f>股权价值增加表!BK27</f>
        <v>52424.27</v>
      </c>
      <c r="BL32" s="26">
        <f>股权价值增加表!BL27</f>
        <v>265460.88</v>
      </c>
      <c r="BM32" s="26">
        <f>股权价值增加表!BM27</f>
        <v>178932.4</v>
      </c>
      <c r="BN32" s="26">
        <f>股权价值增加表!BN27</f>
        <v>1871129.6000000001</v>
      </c>
      <c r="BO32" s="26">
        <f>股权价值增加表!BO27</f>
        <v>1511721.55</v>
      </c>
      <c r="BP32" s="26">
        <f>股权价值增加表!BP27</f>
        <v>-174029.22</v>
      </c>
      <c r="BQ32" s="26">
        <f>股权价值增加表!BQ27</f>
        <v>12349967.949999999</v>
      </c>
      <c r="BR32" s="26">
        <f>股权价值增加表!BR27</f>
        <v>12720000</v>
      </c>
      <c r="BS32" s="26">
        <f>股权价值增加表!BS27</f>
        <v>9766309.1799999997</v>
      </c>
      <c r="BT32" s="26">
        <f>股权价值增加表!BT27</f>
        <v>5348519.25</v>
      </c>
      <c r="BU32" s="26">
        <f>股权价值增加表!BU27</f>
        <v>2373601.7000000002</v>
      </c>
      <c r="BV32" s="26">
        <f>股权价值增加表!BV27</f>
        <v>0</v>
      </c>
      <c r="BW32" s="26">
        <f>股权价值增加表!BW27</f>
        <v>0</v>
      </c>
      <c r="BX32" s="26">
        <f>股权价值增加表!BX27</f>
        <v>0</v>
      </c>
      <c r="BY32" s="26">
        <f>股权价值增加表!BY27</f>
        <v>0</v>
      </c>
      <c r="BZ32" s="26">
        <f>股权价值增加表!BZ27</f>
        <v>0</v>
      </c>
      <c r="CA32" s="26">
        <f>股权价值增加表!CA27</f>
        <v>0</v>
      </c>
      <c r="CB32" s="26">
        <f>股权价值增加表!CB27</f>
        <v>0</v>
      </c>
      <c r="CC32" s="26">
        <f>股权价值增加表!CC27</f>
        <v>0</v>
      </c>
      <c r="CD32" s="26">
        <f>股权价值增加表!CD27</f>
        <v>0</v>
      </c>
      <c r="CE32" s="26">
        <f>股权价值增加表!CE27</f>
        <v>7729000</v>
      </c>
      <c r="CF32" s="26">
        <f>股权价值增加表!CF27</f>
        <v>2092581.44</v>
      </c>
      <c r="CG32" s="26">
        <f>股权价值增加表!CG27</f>
        <v>0</v>
      </c>
      <c r="CH32" s="26">
        <f>股权价值增加表!CH27</f>
        <v>0</v>
      </c>
      <c r="CI32" s="26">
        <f>股权价值增加表!CI27</f>
        <v>0</v>
      </c>
      <c r="CJ32" s="26">
        <f>股权价值增加表!CJ27</f>
        <v>0</v>
      </c>
      <c r="CK32" s="26">
        <f>股权价值增加表!CK27</f>
        <v>0</v>
      </c>
    </row>
    <row r="33" spans="1:89" s="59" customFormat="1" x14ac:dyDescent="0.25">
      <c r="A33" s="144" t="s">
        <v>380</v>
      </c>
      <c r="E33" s="59">
        <f>E32/E34</f>
        <v>6.2570915647241654E-2</v>
      </c>
      <c r="F33" s="59">
        <f t="shared" ref="F33:BQ33" si="37">F32/F34</f>
        <v>4.5129204327555336E-2</v>
      </c>
      <c r="G33" s="59">
        <f t="shared" si="37"/>
        <v>4.1593891804710521E-2</v>
      </c>
      <c r="H33" s="59">
        <f t="shared" si="37"/>
        <v>3.5459928990192215E-2</v>
      </c>
      <c r="I33" s="59">
        <f t="shared" si="37"/>
        <v>1.0894631387702497E-2</v>
      </c>
      <c r="J33" s="59">
        <f t="shared" si="37"/>
        <v>8.3798739256708192E-4</v>
      </c>
      <c r="K33" s="59">
        <f t="shared" si="37"/>
        <v>1.0036284697075165E-3</v>
      </c>
      <c r="L33" s="59">
        <f t="shared" si="37"/>
        <v>0</v>
      </c>
      <c r="M33" s="59">
        <f t="shared" si="37"/>
        <v>4.6992233339068828E-3</v>
      </c>
      <c r="N33" s="59">
        <f t="shared" si="37"/>
        <v>1.0863677542240742E-3</v>
      </c>
      <c r="O33" s="59">
        <f t="shared" si="37"/>
        <v>0</v>
      </c>
      <c r="P33" s="59">
        <f t="shared" si="37"/>
        <v>0</v>
      </c>
      <c r="Q33" s="59">
        <f t="shared" si="37"/>
        <v>0</v>
      </c>
      <c r="R33" s="59">
        <f t="shared" si="37"/>
        <v>0</v>
      </c>
      <c r="S33" s="59" t="e">
        <f t="shared" si="37"/>
        <v>#DIV/0!</v>
      </c>
      <c r="T33" s="59" t="e">
        <f t="shared" si="37"/>
        <v>#DIV/0!</v>
      </c>
      <c r="U33" s="59">
        <f t="shared" si="37"/>
        <v>0.99293540707889016</v>
      </c>
      <c r="V33" s="59">
        <f t="shared" si="37"/>
        <v>1</v>
      </c>
      <c r="W33" s="59">
        <f t="shared" si="37"/>
        <v>1</v>
      </c>
      <c r="X33" s="59" t="e">
        <f t="shared" si="37"/>
        <v>#DIV/0!</v>
      </c>
      <c r="Y33" s="59">
        <f t="shared" si="37"/>
        <v>0.98481049886928551</v>
      </c>
      <c r="Z33" s="59">
        <f t="shared" si="37"/>
        <v>1</v>
      </c>
      <c r="AA33" s="59">
        <f t="shared" si="37"/>
        <v>1</v>
      </c>
      <c r="AB33" s="59">
        <f t="shared" si="37"/>
        <v>1</v>
      </c>
      <c r="AC33" s="59">
        <f t="shared" si="37"/>
        <v>0.98270521463383687</v>
      </c>
      <c r="AD33" s="59">
        <f t="shared" si="37"/>
        <v>1</v>
      </c>
      <c r="AE33" s="59">
        <f t="shared" si="37"/>
        <v>1</v>
      </c>
      <c r="AF33" s="59">
        <f t="shared" si="37"/>
        <v>1</v>
      </c>
      <c r="AG33" s="59">
        <f t="shared" si="37"/>
        <v>0.9848833348392233</v>
      </c>
      <c r="AH33" s="59">
        <f t="shared" si="37"/>
        <v>1</v>
      </c>
      <c r="AI33" s="59">
        <f t="shared" si="37"/>
        <v>1</v>
      </c>
      <c r="AJ33" s="59">
        <f t="shared" si="37"/>
        <v>1</v>
      </c>
      <c r="AK33" s="59">
        <f t="shared" si="37"/>
        <v>1</v>
      </c>
      <c r="AL33" s="59">
        <f t="shared" si="37"/>
        <v>1</v>
      </c>
      <c r="AM33" s="59">
        <f t="shared" si="37"/>
        <v>1</v>
      </c>
      <c r="AN33" s="59" t="e">
        <f t="shared" si="37"/>
        <v>#DIV/0!</v>
      </c>
      <c r="AO33" s="59">
        <f t="shared" si="37"/>
        <v>1</v>
      </c>
      <c r="AP33" s="59">
        <f t="shared" si="37"/>
        <v>1</v>
      </c>
      <c r="AQ33" s="59">
        <f t="shared" si="37"/>
        <v>1</v>
      </c>
      <c r="AR33" s="59" t="e">
        <f t="shared" si="37"/>
        <v>#DIV/0!</v>
      </c>
      <c r="AS33" s="59">
        <f t="shared" si="37"/>
        <v>1</v>
      </c>
      <c r="AT33" s="59">
        <f t="shared" si="37"/>
        <v>1</v>
      </c>
      <c r="AU33" s="59">
        <f t="shared" si="37"/>
        <v>1</v>
      </c>
      <c r="AV33" s="59">
        <f t="shared" si="37"/>
        <v>1</v>
      </c>
      <c r="AW33" s="59">
        <f t="shared" si="37"/>
        <v>1</v>
      </c>
      <c r="AX33" s="59">
        <f t="shared" si="37"/>
        <v>1</v>
      </c>
      <c r="AY33" s="59">
        <f t="shared" si="37"/>
        <v>1</v>
      </c>
      <c r="AZ33" s="59">
        <f t="shared" si="37"/>
        <v>1</v>
      </c>
      <c r="BA33" s="59">
        <f t="shared" si="37"/>
        <v>1</v>
      </c>
      <c r="BB33" s="59">
        <f t="shared" si="37"/>
        <v>1</v>
      </c>
      <c r="BC33" s="59">
        <f t="shared" si="37"/>
        <v>1</v>
      </c>
      <c r="BD33" s="59" t="e">
        <f t="shared" si="37"/>
        <v>#DIV/0!</v>
      </c>
      <c r="BE33" s="59">
        <f t="shared" si="37"/>
        <v>1</v>
      </c>
      <c r="BF33" s="59">
        <f t="shared" si="37"/>
        <v>1</v>
      </c>
      <c r="BG33" s="59">
        <f t="shared" si="37"/>
        <v>1</v>
      </c>
      <c r="BH33" s="59">
        <f t="shared" si="37"/>
        <v>1</v>
      </c>
      <c r="BI33" s="59">
        <f t="shared" si="37"/>
        <v>1</v>
      </c>
      <c r="BJ33" s="59">
        <f t="shared" si="37"/>
        <v>1</v>
      </c>
      <c r="BK33" s="59">
        <f t="shared" si="37"/>
        <v>1</v>
      </c>
      <c r="BL33" s="59">
        <f t="shared" si="37"/>
        <v>1</v>
      </c>
      <c r="BM33" s="59">
        <f t="shared" si="37"/>
        <v>1</v>
      </c>
      <c r="BN33" s="59">
        <f t="shared" si="37"/>
        <v>1</v>
      </c>
      <c r="BO33" s="59">
        <f t="shared" si="37"/>
        <v>1</v>
      </c>
      <c r="BP33" s="59">
        <f t="shared" si="37"/>
        <v>1</v>
      </c>
      <c r="BQ33" s="59">
        <f t="shared" si="37"/>
        <v>1</v>
      </c>
      <c r="BR33" s="59">
        <f t="shared" ref="BR33:CJ33" si="38">BR32/BR34</f>
        <v>1</v>
      </c>
      <c r="BS33" s="59">
        <f t="shared" si="38"/>
        <v>1</v>
      </c>
      <c r="BT33" s="59">
        <f t="shared" si="38"/>
        <v>1</v>
      </c>
      <c r="BU33" s="59">
        <f t="shared" si="38"/>
        <v>1</v>
      </c>
      <c r="BV33" s="59" t="e">
        <f t="shared" si="38"/>
        <v>#DIV/0!</v>
      </c>
      <c r="BW33" s="59" t="e">
        <f t="shared" si="38"/>
        <v>#DIV/0!</v>
      </c>
      <c r="BX33" s="59" t="e">
        <f t="shared" si="38"/>
        <v>#DIV/0!</v>
      </c>
      <c r="BY33" s="59" t="e">
        <f t="shared" si="38"/>
        <v>#DIV/0!</v>
      </c>
      <c r="BZ33" s="59" t="e">
        <f t="shared" si="38"/>
        <v>#DIV/0!</v>
      </c>
      <c r="CA33" s="59" t="e">
        <f t="shared" si="38"/>
        <v>#DIV/0!</v>
      </c>
      <c r="CB33" s="59" t="e">
        <f t="shared" si="38"/>
        <v>#DIV/0!</v>
      </c>
      <c r="CC33" s="59" t="e">
        <f t="shared" si="38"/>
        <v>#DIV/0!</v>
      </c>
      <c r="CD33" s="59" t="e">
        <f t="shared" si="38"/>
        <v>#DIV/0!</v>
      </c>
      <c r="CE33" s="59">
        <f t="shared" si="38"/>
        <v>1</v>
      </c>
      <c r="CF33" s="59">
        <f t="shared" si="38"/>
        <v>1</v>
      </c>
      <c r="CG33" s="59" t="e">
        <f t="shared" si="38"/>
        <v>#DIV/0!</v>
      </c>
      <c r="CH33" s="59" t="e">
        <f t="shared" si="38"/>
        <v>#DIV/0!</v>
      </c>
      <c r="CI33" s="59" t="e">
        <f t="shared" si="38"/>
        <v>#DIV/0!</v>
      </c>
      <c r="CJ33" s="59" t="e">
        <f t="shared" si="38"/>
        <v>#DIV/0!</v>
      </c>
    </row>
    <row r="34" spans="1:89" s="58" customFormat="1" x14ac:dyDescent="0.25">
      <c r="A34" s="144" t="s">
        <v>376</v>
      </c>
      <c r="E34" s="58">
        <f>股权价值增加表!E31</f>
        <v>166254087.90000001</v>
      </c>
      <c r="F34" s="58">
        <f>股权价值增加表!F31</f>
        <v>123974008.48000005</v>
      </c>
      <c r="G34" s="58">
        <f>股权价值增加表!G31</f>
        <v>68565731.800000012</v>
      </c>
      <c r="H34" s="58">
        <f>股权价值增加表!H31</f>
        <v>21351904.00999999</v>
      </c>
      <c r="I34" s="58">
        <f>股权价值增加表!I31</f>
        <v>154464604.63999996</v>
      </c>
      <c r="J34" s="58">
        <f>股权价值增加表!J31</f>
        <v>114236527.72000003</v>
      </c>
      <c r="K34" s="58">
        <f>股权价值增加表!K31</f>
        <v>59553780.909999989</v>
      </c>
      <c r="L34" s="58">
        <f>股权价值增加表!L31</f>
        <v>11857340.220000006</v>
      </c>
      <c r="M34" s="58">
        <f>股权价值增加表!M31</f>
        <v>139508536.5</v>
      </c>
      <c r="N34" s="58">
        <f>股权价值增加表!N31</f>
        <v>98734106.919999972</v>
      </c>
      <c r="O34" s="58">
        <f>股权价值增加表!O31</f>
        <v>121681477.87000003</v>
      </c>
      <c r="P34" s="58">
        <f>股权价值增加表!P31</f>
        <v>111732572.96000004</v>
      </c>
      <c r="Q34" s="58">
        <f>股权价值增加表!Q31</f>
        <v>96611045.13000001</v>
      </c>
      <c r="R34" s="58">
        <f>股权价值增加表!R31</f>
        <v>83600165.599999994</v>
      </c>
      <c r="S34" s="58">
        <f>股权价值增加表!S31</f>
        <v>0</v>
      </c>
      <c r="T34" s="58">
        <f>股权价值增加表!T31</f>
        <v>0</v>
      </c>
      <c r="U34" s="58">
        <f>股权价值增加表!U31</f>
        <v>830830320.38</v>
      </c>
      <c r="V34" s="58">
        <f>股权价值增加表!V31</f>
        <v>3732421.22</v>
      </c>
      <c r="W34" s="58">
        <f>股权价值增加表!W31</f>
        <v>3732421.22</v>
      </c>
      <c r="X34" s="58">
        <f>股权价值增加表!X31</f>
        <v>0</v>
      </c>
      <c r="Y34" s="58">
        <f>股权价值增加表!Y31</f>
        <v>793102067.42999995</v>
      </c>
      <c r="Z34" s="58">
        <f>股权价值增加表!Z31</f>
        <v>-917593.17</v>
      </c>
      <c r="AA34" s="58">
        <f>股权价值增加表!AA31</f>
        <v>-984891.57</v>
      </c>
      <c r="AB34" s="58">
        <f>股权价值增加表!AB31</f>
        <v>-9791.5400000000009</v>
      </c>
      <c r="AC34" s="58">
        <f>股权价值增加表!AC31</f>
        <v>477256150.63999999</v>
      </c>
      <c r="AD34" s="58">
        <f>股权价值增加表!AD31</f>
        <v>285035.20000000019</v>
      </c>
      <c r="AE34" s="58">
        <f>股权价值增加表!AE31</f>
        <v>133008.76000000024</v>
      </c>
      <c r="AF34" s="58">
        <f>股权价值增加表!AF31</f>
        <v>9936.35</v>
      </c>
      <c r="AG34" s="58">
        <f>股权价值增加表!AG31</f>
        <v>193302959.94</v>
      </c>
      <c r="AH34" s="58">
        <f>股权价值增加表!AH31</f>
        <v>-3505725.42</v>
      </c>
      <c r="AI34" s="58">
        <f>股权价值增加表!AI31</f>
        <v>323694.87000000011</v>
      </c>
      <c r="AJ34" s="58">
        <f>股权价值增加表!AJ31</f>
        <v>126698.54</v>
      </c>
      <c r="AK34" s="58">
        <f>股权价值增加表!AK31</f>
        <v>608552.98999999976</v>
      </c>
      <c r="AL34" s="58">
        <f>股权价值增加表!AL31</f>
        <v>31136.589999999851</v>
      </c>
      <c r="AM34" s="58">
        <f>股权价值增加表!AM31</f>
        <v>-2412569.77</v>
      </c>
      <c r="AN34" s="58">
        <f>股权价值增加表!AN31</f>
        <v>0</v>
      </c>
      <c r="AO34" s="58">
        <f>股权价值增加表!AO31</f>
        <v>1579121.31</v>
      </c>
      <c r="AP34" s="58">
        <f>股权价值增加表!AP31</f>
        <v>-929569.49</v>
      </c>
      <c r="AQ34" s="58">
        <f>股权价值增加表!AQ31</f>
        <v>-929569.49</v>
      </c>
      <c r="AR34" s="58">
        <f>股权价值增加表!AR31</f>
        <v>0</v>
      </c>
      <c r="AS34" s="58">
        <f>股权价值增加表!AS31</f>
        <v>3199582.46</v>
      </c>
      <c r="AT34" s="58">
        <f>股权价值增加表!AT31</f>
        <v>556604.28</v>
      </c>
      <c r="AU34" s="58">
        <f>股权价值增加表!AU31</f>
        <v>47918.79</v>
      </c>
      <c r="AV34" s="58">
        <f>股权价值增加表!AV31</f>
        <v>665864.48</v>
      </c>
      <c r="AW34" s="58">
        <f>股权价值增加表!AW31</f>
        <v>5051692.58</v>
      </c>
      <c r="AX34" s="58">
        <f>股权价值增加表!AX31</f>
        <v>2496157.7200000002</v>
      </c>
      <c r="AY34" s="58">
        <f>股权价值增加表!AY31</f>
        <v>1832311.81</v>
      </c>
      <c r="AZ34" s="58">
        <f>股权价值增加表!AZ31</f>
        <v>100000</v>
      </c>
      <c r="BA34" s="58">
        <f>股权价值增加表!BA31</f>
        <v>-3923017.4</v>
      </c>
      <c r="BB34" s="58">
        <f>股权价值增加表!BB31</f>
        <v>-497364.9</v>
      </c>
      <c r="BC34" s="58">
        <f>股权价值增加表!BC31</f>
        <v>-499893.8</v>
      </c>
      <c r="BD34" s="58">
        <f>股权价值增加表!BD31</f>
        <v>0</v>
      </c>
      <c r="BE34" s="58">
        <f>股权价值增加表!BE31</f>
        <v>-126753.75</v>
      </c>
      <c r="BF34" s="58">
        <f>股权价值增加表!BF31</f>
        <v>344265.81</v>
      </c>
      <c r="BG34" s="58">
        <f>股权价值增加表!BG31</f>
        <v>344265.81</v>
      </c>
      <c r="BH34" s="58">
        <f>股权价值增加表!BH31</f>
        <v>1026367.48</v>
      </c>
      <c r="BI34" s="58">
        <f>股权价值增加表!BI31</f>
        <v>-554425.18000000005</v>
      </c>
      <c r="BJ34" s="58">
        <f>股权价值增加表!BJ31</f>
        <v>287254.11</v>
      </c>
      <c r="BK34" s="58">
        <f>股权价值增加表!BK31</f>
        <v>52424.27</v>
      </c>
      <c r="BL34" s="58">
        <f>股权价值增加表!BL31</f>
        <v>265460.88</v>
      </c>
      <c r="BM34" s="58">
        <f>股权价值增加表!BM31</f>
        <v>178932.4</v>
      </c>
      <c r="BN34" s="58">
        <f>股权价值增加表!BN31</f>
        <v>1871129.6000000001</v>
      </c>
      <c r="BO34" s="58">
        <f>股权价值增加表!BO31</f>
        <v>1511721.55</v>
      </c>
      <c r="BP34" s="58">
        <f>股权价值增加表!BP31</f>
        <v>-174029.22</v>
      </c>
      <c r="BQ34" s="58">
        <f>股权价值增加表!BQ31</f>
        <v>12349967.949999999</v>
      </c>
      <c r="BR34" s="58">
        <f>股权价值增加表!BR31</f>
        <v>12720000</v>
      </c>
      <c r="BS34" s="58">
        <f>股权价值增加表!BS31</f>
        <v>9766309.1799999997</v>
      </c>
      <c r="BT34" s="58">
        <f>股权价值增加表!BT31</f>
        <v>5348519.25</v>
      </c>
      <c r="BU34" s="58">
        <f>股权价值增加表!BU31</f>
        <v>2373601.7000000002</v>
      </c>
      <c r="BV34" s="58">
        <f>股权价值增加表!BV31</f>
        <v>0</v>
      </c>
      <c r="BW34" s="58">
        <f>股权价值增加表!BW31</f>
        <v>0</v>
      </c>
      <c r="BX34" s="58">
        <f>股权价值增加表!BX31</f>
        <v>0</v>
      </c>
      <c r="BY34" s="58">
        <f>股权价值增加表!BY31</f>
        <v>0</v>
      </c>
      <c r="BZ34" s="58">
        <f>股权价值增加表!BZ31</f>
        <v>0</v>
      </c>
      <c r="CA34" s="58">
        <f>股权价值增加表!CA31</f>
        <v>0</v>
      </c>
      <c r="CB34" s="58">
        <f>股权价值增加表!CB31</f>
        <v>0</v>
      </c>
      <c r="CC34" s="58">
        <f>股权价值增加表!CC31</f>
        <v>0</v>
      </c>
      <c r="CD34" s="58">
        <f>股权价值增加表!CD31</f>
        <v>0</v>
      </c>
      <c r="CE34" s="58">
        <f>股权价值增加表!CE31</f>
        <v>7729000</v>
      </c>
      <c r="CF34" s="58">
        <f>股权价值增加表!CF31</f>
        <v>2092581.44</v>
      </c>
      <c r="CG34" s="58">
        <f>股权价值增加表!CG31</f>
        <v>0</v>
      </c>
      <c r="CH34" s="58">
        <f>股权价值增加表!CH31</f>
        <v>0</v>
      </c>
      <c r="CI34" s="58">
        <f>股权价值增加表!CI31</f>
        <v>0</v>
      </c>
      <c r="CJ34" s="58">
        <f>股权价值增加表!CJ31</f>
        <v>0</v>
      </c>
      <c r="CK34" s="58">
        <f>股权价值增加表!CK31</f>
        <v>0</v>
      </c>
    </row>
    <row r="35" spans="1:89" s="16" customFormat="1" ht="37.5" customHeight="1" x14ac:dyDescent="0.25">
      <c r="A35" s="282" t="s">
        <v>676</v>
      </c>
      <c r="B35" s="283"/>
      <c r="C35" s="283"/>
      <c r="D35" s="283"/>
      <c r="E35" s="283"/>
      <c r="F35" s="283"/>
      <c r="G35" s="283"/>
      <c r="H35" s="283"/>
      <c r="I35" s="283"/>
      <c r="J35" s="283"/>
      <c r="K35" s="283"/>
      <c r="L35" s="283"/>
      <c r="M35" s="283"/>
      <c r="N35" s="283"/>
      <c r="O35" s="283"/>
      <c r="P35" s="283"/>
      <c r="Q35" s="283"/>
      <c r="R35" s="283"/>
      <c r="S35" s="283"/>
      <c r="T35" s="283"/>
      <c r="U35" s="283"/>
      <c r="V35" s="283"/>
      <c r="W35" s="283"/>
      <c r="X35" s="283"/>
      <c r="Y35" s="283"/>
      <c r="Z35" s="283"/>
      <c r="AA35" s="283"/>
      <c r="AB35" s="283"/>
      <c r="AC35" s="283"/>
      <c r="AD35" s="283"/>
      <c r="AE35" s="283"/>
      <c r="AF35" s="283"/>
      <c r="AG35" s="283"/>
    </row>
    <row r="38" spans="1:89" x14ac:dyDescent="0.25">
      <c r="A38" s="20" t="s">
        <v>381</v>
      </c>
      <c r="B38" s="1">
        <v>43373</v>
      </c>
      <c r="C38" s="1">
        <v>43281</v>
      </c>
      <c r="D38" s="1">
        <v>43190</v>
      </c>
      <c r="E38" s="1">
        <v>43100</v>
      </c>
      <c r="F38" s="1">
        <v>43008</v>
      </c>
      <c r="G38" s="1">
        <v>42916</v>
      </c>
      <c r="H38" s="1">
        <v>42825</v>
      </c>
      <c r="I38" s="1">
        <v>42735</v>
      </c>
      <c r="J38" s="1">
        <v>42643</v>
      </c>
      <c r="K38" s="1">
        <v>42551</v>
      </c>
      <c r="L38" s="1">
        <v>42460</v>
      </c>
      <c r="M38" s="1">
        <v>42369</v>
      </c>
      <c r="N38" s="1">
        <v>42277</v>
      </c>
      <c r="O38" s="1">
        <v>42004</v>
      </c>
      <c r="P38" s="1">
        <v>41639</v>
      </c>
      <c r="Q38" s="1">
        <v>41274</v>
      </c>
      <c r="R38" s="1">
        <v>40908</v>
      </c>
      <c r="S38" s="1">
        <v>25569</v>
      </c>
      <c r="T38" s="1"/>
      <c r="U38" s="1"/>
      <c r="V38" s="1"/>
      <c r="W38" s="1"/>
      <c r="X38" s="1"/>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row>
    <row r="39" spans="1:89" x14ac:dyDescent="0.25">
      <c r="A39" s="17" t="s">
        <v>376</v>
      </c>
      <c r="E39" s="26">
        <f>股权价值增加表!E31</f>
        <v>166254087.90000001</v>
      </c>
      <c r="F39" s="26">
        <f>股权价值增加表!F31</f>
        <v>123974008.48000005</v>
      </c>
      <c r="G39" s="26">
        <f>股权价值增加表!G31</f>
        <v>68565731.800000012</v>
      </c>
      <c r="H39" s="26">
        <f>股权价值增加表!H31</f>
        <v>21351904.00999999</v>
      </c>
      <c r="I39" s="26">
        <f>股权价值增加表!I31</f>
        <v>154464604.63999996</v>
      </c>
      <c r="J39" s="26">
        <f>股权价值增加表!J31</f>
        <v>114236527.72000003</v>
      </c>
      <c r="K39" s="26">
        <f>股权价值增加表!K31</f>
        <v>59553780.909999989</v>
      </c>
      <c r="L39" s="26">
        <f>股权价值增加表!L31</f>
        <v>11857340.220000006</v>
      </c>
      <c r="M39" s="26">
        <f>股权价值增加表!M31</f>
        <v>139508536.5</v>
      </c>
      <c r="N39" s="26">
        <f>股权价值增加表!N31</f>
        <v>98734106.919999972</v>
      </c>
      <c r="O39" s="26">
        <f>股权价值增加表!O31</f>
        <v>121681477.87000003</v>
      </c>
      <c r="P39" s="26">
        <f>股权价值增加表!P31</f>
        <v>111732572.96000004</v>
      </c>
      <c r="Q39" s="26">
        <f>股权价值增加表!Q31</f>
        <v>96611045.13000001</v>
      </c>
      <c r="R39" s="26">
        <f>股权价值增加表!R31</f>
        <v>83600165.599999994</v>
      </c>
      <c r="S39" s="26">
        <f>股权价值增加表!S31</f>
        <v>0</v>
      </c>
      <c r="T39" s="26">
        <f>股权价值增加表!T31</f>
        <v>0</v>
      </c>
      <c r="U39" s="26">
        <f>股权价值增加表!U31</f>
        <v>830830320.38</v>
      </c>
      <c r="V39" s="26">
        <f>股权价值增加表!V31</f>
        <v>3732421.22</v>
      </c>
      <c r="W39" s="26">
        <f>股权价值增加表!W31</f>
        <v>3732421.22</v>
      </c>
      <c r="X39" s="26">
        <f>股权价值增加表!X31</f>
        <v>0</v>
      </c>
      <c r="Y39" s="26">
        <f>股权价值增加表!Y31</f>
        <v>793102067.42999995</v>
      </c>
      <c r="Z39" s="26">
        <f>股权价值增加表!Z31</f>
        <v>-917593.17</v>
      </c>
      <c r="AA39" s="26">
        <f>股权价值增加表!AA31</f>
        <v>-984891.57</v>
      </c>
      <c r="AB39" s="26">
        <f>股权价值增加表!AB31</f>
        <v>-9791.5400000000009</v>
      </c>
      <c r="AC39" s="26">
        <f>股权价值增加表!AC31</f>
        <v>477256150.63999999</v>
      </c>
      <c r="AD39" s="26">
        <f>股权价值增加表!AD31</f>
        <v>285035.20000000019</v>
      </c>
      <c r="AE39" s="26">
        <f>股权价值增加表!AE31</f>
        <v>133008.76000000024</v>
      </c>
      <c r="AF39" s="26">
        <f>股权价值增加表!AF31</f>
        <v>9936.35</v>
      </c>
      <c r="AG39" s="26">
        <f>股权价值增加表!AG31</f>
        <v>193302959.94</v>
      </c>
      <c r="AH39" s="26">
        <f>股权价值增加表!AH31</f>
        <v>-3505725.42</v>
      </c>
      <c r="AI39" s="26">
        <f>股权价值增加表!AI31</f>
        <v>323694.87000000011</v>
      </c>
      <c r="AJ39" s="26">
        <f>股权价值增加表!AJ31</f>
        <v>126698.54</v>
      </c>
      <c r="AK39" s="26">
        <f>股权价值增加表!AK31</f>
        <v>608552.98999999976</v>
      </c>
      <c r="AL39" s="26">
        <f>股权价值增加表!AL31</f>
        <v>31136.589999999851</v>
      </c>
      <c r="AM39" s="26">
        <f>股权价值增加表!AM31</f>
        <v>-2412569.77</v>
      </c>
      <c r="AN39" s="26">
        <f>股权价值增加表!AN31</f>
        <v>0</v>
      </c>
      <c r="AO39" s="26">
        <f>股权价值增加表!AO31</f>
        <v>1579121.31</v>
      </c>
      <c r="AP39" s="26">
        <f>股权价值增加表!AP31</f>
        <v>-929569.49</v>
      </c>
      <c r="AQ39" s="26">
        <f>股权价值增加表!AQ31</f>
        <v>-929569.49</v>
      </c>
      <c r="AR39" s="26">
        <f>股权价值增加表!AR31</f>
        <v>0</v>
      </c>
      <c r="AS39" s="26">
        <f>股权价值增加表!AS31</f>
        <v>3199582.46</v>
      </c>
      <c r="AT39" s="26">
        <f>股权价值增加表!AT31</f>
        <v>556604.28</v>
      </c>
      <c r="AU39" s="26">
        <f>股权价值增加表!AU31</f>
        <v>47918.79</v>
      </c>
      <c r="AV39" s="26">
        <f>股权价值增加表!AV31</f>
        <v>665864.48</v>
      </c>
      <c r="AW39" s="26">
        <f>股权价值增加表!AW31</f>
        <v>5051692.58</v>
      </c>
      <c r="AX39" s="26">
        <f>股权价值增加表!AX31</f>
        <v>2496157.7200000002</v>
      </c>
      <c r="AY39" s="26">
        <f>股权价值增加表!AY31</f>
        <v>1832311.81</v>
      </c>
      <c r="AZ39" s="26">
        <f>股权价值增加表!AZ31</f>
        <v>100000</v>
      </c>
      <c r="BA39" s="26">
        <f>股权价值增加表!BA31</f>
        <v>-3923017.4</v>
      </c>
      <c r="BB39" s="26">
        <f>股权价值增加表!BB31</f>
        <v>-497364.9</v>
      </c>
      <c r="BC39" s="26">
        <f>股权价值增加表!BC31</f>
        <v>-499893.8</v>
      </c>
      <c r="BD39" s="26">
        <f>股权价值增加表!BD31</f>
        <v>0</v>
      </c>
      <c r="BE39" s="26">
        <f>股权价值增加表!BE31</f>
        <v>-126753.75</v>
      </c>
      <c r="BF39" s="26">
        <f>股权价值增加表!BF31</f>
        <v>344265.81</v>
      </c>
      <c r="BG39" s="26">
        <f>股权价值增加表!BG31</f>
        <v>344265.81</v>
      </c>
      <c r="BH39" s="26">
        <f>股权价值增加表!BH31</f>
        <v>1026367.48</v>
      </c>
      <c r="BI39" s="26">
        <f>股权价值增加表!BI31</f>
        <v>-554425.18000000005</v>
      </c>
      <c r="BJ39" s="26">
        <f>股权价值增加表!BJ31</f>
        <v>287254.11</v>
      </c>
      <c r="BK39" s="26">
        <f>股权价值增加表!BK31</f>
        <v>52424.27</v>
      </c>
      <c r="BL39" s="26">
        <f>股权价值增加表!BL31</f>
        <v>265460.88</v>
      </c>
      <c r="BM39" s="26">
        <f>股权价值增加表!BM31</f>
        <v>178932.4</v>
      </c>
      <c r="BN39" s="26">
        <f>股权价值增加表!BN31</f>
        <v>1871129.6000000001</v>
      </c>
      <c r="BO39" s="26">
        <f>股权价值增加表!BO31</f>
        <v>1511721.55</v>
      </c>
      <c r="BP39" s="26">
        <f>股权价值增加表!BP31</f>
        <v>-174029.22</v>
      </c>
      <c r="BQ39" s="26">
        <f>股权价值增加表!BQ31</f>
        <v>12349967.949999999</v>
      </c>
      <c r="BR39" s="26">
        <f>股权价值增加表!BR31</f>
        <v>12720000</v>
      </c>
      <c r="BS39" s="26">
        <f>股权价值增加表!BS31</f>
        <v>9766309.1799999997</v>
      </c>
      <c r="BT39" s="26">
        <f>股权价值增加表!BT31</f>
        <v>5348519.25</v>
      </c>
      <c r="BU39" s="26">
        <f>股权价值增加表!BU31</f>
        <v>2373601.7000000002</v>
      </c>
      <c r="BV39" s="26">
        <f>股权价值增加表!BV31</f>
        <v>0</v>
      </c>
      <c r="BW39" s="26">
        <f>股权价值增加表!BW31</f>
        <v>0</v>
      </c>
      <c r="BX39" s="26">
        <f>股权价值增加表!BX31</f>
        <v>0</v>
      </c>
      <c r="BY39" s="26">
        <f>股权价值增加表!BY31</f>
        <v>0</v>
      </c>
      <c r="BZ39" s="26">
        <f>股权价值增加表!BZ31</f>
        <v>0</v>
      </c>
      <c r="CA39" s="26">
        <f>股权价值增加表!CA31</f>
        <v>0</v>
      </c>
      <c r="CB39" s="26">
        <f>股权价值增加表!CB31</f>
        <v>0</v>
      </c>
      <c r="CC39" s="26">
        <f>股权价值增加表!CC31</f>
        <v>0</v>
      </c>
      <c r="CD39" s="26">
        <f>股权价值增加表!CD31</f>
        <v>0</v>
      </c>
      <c r="CE39" s="26">
        <f>股权价值增加表!CE31</f>
        <v>7729000</v>
      </c>
      <c r="CF39" s="26">
        <f>股权价值增加表!CF31</f>
        <v>2092581.44</v>
      </c>
      <c r="CG39" s="26">
        <f>股权价值增加表!CG31</f>
        <v>0</v>
      </c>
      <c r="CH39" s="26">
        <f>股权价值增加表!CH31</f>
        <v>0</v>
      </c>
      <c r="CI39" s="26">
        <f>股权价值增加表!CI31</f>
        <v>0</v>
      </c>
      <c r="CJ39" s="26">
        <f>股权价值增加表!CJ31</f>
        <v>0</v>
      </c>
      <c r="CK39" s="26"/>
    </row>
    <row r="40" spans="1:89" x14ac:dyDescent="0.25">
      <c r="A40" s="17" t="s">
        <v>382</v>
      </c>
      <c r="E40" s="26">
        <f>股权价值增加表!E38</f>
        <v>165517045.63</v>
      </c>
      <c r="F40" s="26">
        <f>股权价值增加表!F38</f>
        <v>124698517.17000005</v>
      </c>
      <c r="G40" s="26">
        <f>股权价值增加表!G38</f>
        <v>68823769.700000018</v>
      </c>
      <c r="H40" s="26">
        <f>股权价值增加表!H38</f>
        <v>21151738.219999991</v>
      </c>
      <c r="I40" s="26">
        <f>股权价值增加表!I38</f>
        <v>149336203.51999995</v>
      </c>
      <c r="J40" s="26">
        <f>股权价值增加表!J38</f>
        <v>110997852.59000003</v>
      </c>
      <c r="K40" s="26">
        <f>股权价值增加表!K38</f>
        <v>57578394.519999988</v>
      </c>
      <c r="L40" s="26">
        <f>股权价值增加表!L38</f>
        <v>10864080.150000006</v>
      </c>
      <c r="M40" s="26">
        <f>股权价值增加表!M38</f>
        <v>133258805.45</v>
      </c>
      <c r="N40" s="26">
        <f>股权价值增加表!N38</f>
        <v>94510305.099999964</v>
      </c>
      <c r="O40" s="26">
        <f>股权价值增加表!O38</f>
        <v>112122121.20000003</v>
      </c>
      <c r="P40" s="26">
        <f>股权价值增加表!P38</f>
        <v>100755792.96000004</v>
      </c>
      <c r="Q40" s="26">
        <f>股权价值增加表!Q38</f>
        <v>96615239.570000008</v>
      </c>
      <c r="R40" s="26">
        <f>股权价值增加表!R38</f>
        <v>84191840.50999999</v>
      </c>
      <c r="S40" s="26">
        <f>股权价值增加表!S38</f>
        <v>0</v>
      </c>
      <c r="T40" s="26">
        <f>股权价值增加表!T38</f>
        <v>245115593.80000001</v>
      </c>
      <c r="U40" s="26">
        <f>股权价值增加表!U38</f>
        <v>836470729.83999991</v>
      </c>
      <c r="V40" s="26">
        <f>股权价值增加表!V38</f>
        <v>663136603.66000009</v>
      </c>
      <c r="W40" s="26">
        <f>股权价值增加表!W38</f>
        <v>475677319.73000002</v>
      </c>
      <c r="X40" s="26">
        <f>股权价值增加表!X38</f>
        <v>238664090.94</v>
      </c>
      <c r="Y40" s="26">
        <f>股权价值增加表!Y38</f>
        <v>805242211.47000003</v>
      </c>
      <c r="Z40" s="26">
        <f>股权价值增加表!Z38</f>
        <v>619411856.75999999</v>
      </c>
      <c r="AA40" s="26">
        <f>股权价值增加表!AA38</f>
        <v>399260576.25</v>
      </c>
      <c r="AB40" s="26">
        <f>股权价值增加表!AB38</f>
        <v>142300017.34</v>
      </c>
      <c r="AC40" s="26">
        <f>股权价值增加表!AC38</f>
        <v>485120205.63999999</v>
      </c>
      <c r="AD40" s="26">
        <f>股权价值增加表!AD38</f>
        <v>235389556.53999999</v>
      </c>
      <c r="AE40" s="26">
        <f>股权价值增加表!AE38</f>
        <v>187807792.82999998</v>
      </c>
      <c r="AF40" s="26">
        <f>股权价值增加表!AF38</f>
        <v>23424340.990000002</v>
      </c>
      <c r="AG40" s="26">
        <f>股权价值增加表!AG38</f>
        <v>195854188.47999999</v>
      </c>
      <c r="AH40" s="26">
        <f>股权价值增加表!AH38</f>
        <v>101724684.84</v>
      </c>
      <c r="AI40" s="26">
        <f>股权价值增加表!AI38</f>
        <v>77605252.5</v>
      </c>
      <c r="AJ40" s="26">
        <f>股权价值增加表!AJ38</f>
        <v>12116865.84</v>
      </c>
      <c r="AK40" s="26">
        <f>股权价值增加表!AK38</f>
        <v>110340734.39999999</v>
      </c>
      <c r="AL40" s="26">
        <f>股权价值增加表!AL38</f>
        <v>66049616.810000002</v>
      </c>
      <c r="AM40" s="26">
        <f>股权价值增加表!AM38</f>
        <v>38235339.799999997</v>
      </c>
      <c r="AN40" s="26">
        <f>股权价值增加表!AN38</f>
        <v>10967664.689999999</v>
      </c>
      <c r="AO40" s="26">
        <f>股权价值增加表!AO38</f>
        <v>161533388.74000001</v>
      </c>
      <c r="AP40" s="26">
        <f>股权价值增加表!AP38</f>
        <v>86790654.49000001</v>
      </c>
      <c r="AQ40" s="26">
        <f>股权价值增加表!AQ38</f>
        <v>73880495.870000005</v>
      </c>
      <c r="AR40" s="26">
        <f>股权价值增加表!AR38</f>
        <v>15614749.33</v>
      </c>
      <c r="AS40" s="26">
        <f>股权价值增加表!AS38</f>
        <v>95427195.469999999</v>
      </c>
      <c r="AT40" s="26">
        <f>股权价值增加表!AT38</f>
        <v>41574884.270000003</v>
      </c>
      <c r="AU40" s="26">
        <f>股权价值增加表!AU38</f>
        <v>36535126.310000002</v>
      </c>
      <c r="AV40" s="26">
        <f>股权价值增加表!AV38</f>
        <v>4042843.62</v>
      </c>
      <c r="AW40" s="26">
        <f>股权价值增加表!AW38</f>
        <v>55549045.109999999</v>
      </c>
      <c r="AX40" s="26">
        <f>股权价值增加表!AX38</f>
        <v>28863876.779999997</v>
      </c>
      <c r="AY40" s="26">
        <f>股权价值增加表!AY38</f>
        <v>26228829.809999999</v>
      </c>
      <c r="AZ40" s="26">
        <f>股权价值增加表!AZ38</f>
        <v>3017708.8</v>
      </c>
      <c r="BA40" s="26">
        <f>股权价值增加表!BA38</f>
        <v>21302963.41</v>
      </c>
      <c r="BB40" s="26">
        <f>股权价值增加表!BB38</f>
        <v>6940683.96</v>
      </c>
      <c r="BC40" s="26">
        <f>股权价值增加表!BC38</f>
        <v>4996075.1100000003</v>
      </c>
      <c r="BD40" s="26">
        <f>股权价值增加表!BD38</f>
        <v>6057952.7199999997</v>
      </c>
      <c r="BE40" s="26">
        <f>股权价值增加表!BE38</f>
        <v>26329845.359999999</v>
      </c>
      <c r="BF40" s="26">
        <f>股权价值增加表!BF38</f>
        <v>13124671.940000001</v>
      </c>
      <c r="BG40" s="26">
        <f>股权价值增加表!BG38</f>
        <v>11452035.85</v>
      </c>
      <c r="BH40" s="26">
        <f>股权价值增加表!BH38</f>
        <v>2762185.67</v>
      </c>
      <c r="BI40" s="26">
        <f>股权价值增加表!BI38</f>
        <v>27804282.080000002</v>
      </c>
      <c r="BJ40" s="26">
        <f>股权价值增加表!BJ38</f>
        <v>19869707.960000001</v>
      </c>
      <c r="BK40" s="26">
        <f>股权价值增加表!BK38</f>
        <v>12179434.549999999</v>
      </c>
      <c r="BL40" s="26">
        <f>股权价值增加表!BL38</f>
        <v>2711192.57</v>
      </c>
      <c r="BM40" s="26">
        <f>股权价值增加表!BM38</f>
        <v>26872741.259999998</v>
      </c>
      <c r="BN40" s="26">
        <f>股权价值增加表!BN38</f>
        <v>23612016.5</v>
      </c>
      <c r="BO40" s="26">
        <f>股权价值增加表!BO38</f>
        <v>13157561.25</v>
      </c>
      <c r="BP40" s="26">
        <f>股权价值增加表!BP38</f>
        <v>7352696.9100000001</v>
      </c>
      <c r="BQ40" s="26">
        <f>股权价值增加表!BQ38</f>
        <v>37770902.789999999</v>
      </c>
      <c r="BR40" s="26">
        <f>股权价值增加表!BR38</f>
        <v>12720000</v>
      </c>
      <c r="BS40" s="26">
        <f>股权价值增加表!BS38</f>
        <v>26247406.899999999</v>
      </c>
      <c r="BT40" s="26">
        <f>股权价值增加表!BT38</f>
        <v>10799911</v>
      </c>
      <c r="BU40" s="26">
        <f>股权价值增加表!BU38</f>
        <v>16722225.84</v>
      </c>
      <c r="BV40" s="26">
        <f>股权价值增加表!BV38</f>
        <v>7438579.8600000003</v>
      </c>
      <c r="BW40" s="26">
        <f>股权价值增加表!BW38</f>
        <v>15086567.960000001</v>
      </c>
      <c r="BX40" s="26">
        <f>股权价值增加表!BX38</f>
        <v>9593131.2100000009</v>
      </c>
      <c r="BY40" s="26">
        <f>股权价值增加表!BY38</f>
        <v>42791521.079999998</v>
      </c>
      <c r="BZ40" s="26">
        <f>股权价值增加表!BZ38</f>
        <v>3834295.55</v>
      </c>
      <c r="CA40" s="26">
        <f>股权价值增加表!CA38</f>
        <v>-11835075.34</v>
      </c>
      <c r="CB40" s="26">
        <f>股权价值增加表!CB38</f>
        <v>-16252757.800000001</v>
      </c>
      <c r="CC40" s="26">
        <f>股权价值增加表!CC38</f>
        <v>-12407743.33</v>
      </c>
      <c r="CD40" s="26">
        <f>股权价值增加表!CD38</f>
        <v>0</v>
      </c>
      <c r="CE40" s="26">
        <f>股权价值增加表!CE38</f>
        <v>7729000</v>
      </c>
      <c r="CF40" s="26">
        <f>股权价值增加表!CF38</f>
        <v>2092581.44</v>
      </c>
      <c r="CG40" s="26">
        <f>股权价值增加表!CG38</f>
        <v>0</v>
      </c>
      <c r="CH40" s="26">
        <f>股权价值增加表!CH38</f>
        <v>0</v>
      </c>
      <c r="CI40" s="26">
        <f>股权价值增加表!CI38</f>
        <v>0</v>
      </c>
      <c r="CJ40" s="26">
        <f>股权价值增加表!CJ38</f>
        <v>0</v>
      </c>
      <c r="CK40" s="26"/>
    </row>
    <row r="41" spans="1:89" s="59" customFormat="1" x14ac:dyDescent="0.25">
      <c r="A41" s="59" t="s">
        <v>383</v>
      </c>
      <c r="E41" s="59">
        <f>1-E40/E39</f>
        <v>4.4332279543305431E-3</v>
      </c>
      <c r="F41" s="59">
        <f t="shared" ref="F41:BQ41" si="39">1-F40/F39</f>
        <v>-5.8440369790646596E-3</v>
      </c>
      <c r="G41" s="59">
        <f t="shared" si="39"/>
        <v>-3.763365360887283E-3</v>
      </c>
      <c r="H41" s="59">
        <f t="shared" si="39"/>
        <v>9.3746108031514952E-3</v>
      </c>
      <c r="I41" s="59">
        <f t="shared" si="39"/>
        <v>3.320114101189986E-2</v>
      </c>
      <c r="J41" s="59">
        <f t="shared" si="39"/>
        <v>2.8350608992056991E-2</v>
      </c>
      <c r="K41" s="59">
        <f t="shared" si="39"/>
        <v>3.3169789723095588E-2</v>
      </c>
      <c r="L41" s="59">
        <f t="shared" si="39"/>
        <v>8.3767527250727669E-2</v>
      </c>
      <c r="M41" s="59">
        <f t="shared" si="39"/>
        <v>4.4798198065822303E-2</v>
      </c>
      <c r="N41" s="59">
        <f t="shared" si="39"/>
        <v>4.2779561711358549E-2</v>
      </c>
      <c r="O41" s="59">
        <f t="shared" si="39"/>
        <v>7.8560491188419568E-2</v>
      </c>
      <c r="P41" s="59">
        <f t="shared" si="39"/>
        <v>9.8241539680014922E-2</v>
      </c>
      <c r="Q41" s="59">
        <f t="shared" si="39"/>
        <v>-4.3415739829244515E-5</v>
      </c>
      <c r="R41" s="59">
        <f t="shared" si="39"/>
        <v>-7.0774370571342615E-3</v>
      </c>
      <c r="S41" s="59" t="e">
        <f t="shared" si="39"/>
        <v>#DIV/0!</v>
      </c>
      <c r="T41" s="59" t="e">
        <f t="shared" si="39"/>
        <v>#DIV/0!</v>
      </c>
      <c r="U41" s="59">
        <f t="shared" si="39"/>
        <v>-6.7888825451387635E-3</v>
      </c>
      <c r="V41" s="59">
        <f t="shared" si="39"/>
        <v>-176.66928344170117</v>
      </c>
      <c r="W41" s="59">
        <f t="shared" si="39"/>
        <v>-126.44470457436741</v>
      </c>
      <c r="X41" s="59" t="e">
        <f t="shared" si="39"/>
        <v>#DIV/0!</v>
      </c>
      <c r="Y41" s="59">
        <f t="shared" si="39"/>
        <v>-1.5307164788183503E-2</v>
      </c>
      <c r="Z41" s="59">
        <f t="shared" si="39"/>
        <v>676.0397420242349</v>
      </c>
      <c r="AA41" s="59">
        <f t="shared" si="39"/>
        <v>406.38531185722303</v>
      </c>
      <c r="AB41" s="59">
        <f t="shared" si="39"/>
        <v>14533.955729129431</v>
      </c>
      <c r="AC41" s="59">
        <f t="shared" si="39"/>
        <v>-1.6477639920311704E-2</v>
      </c>
      <c r="AD41" s="59">
        <f t="shared" si="39"/>
        <v>-824.8262717727489</v>
      </c>
      <c r="AE41" s="59">
        <f t="shared" si="39"/>
        <v>-1410.9956672778517</v>
      </c>
      <c r="AF41" s="59">
        <f t="shared" si="39"/>
        <v>-2356.4391995048486</v>
      </c>
      <c r="AG41" s="59">
        <f t="shared" si="39"/>
        <v>-1.3198083158125762E-2</v>
      </c>
      <c r="AH41" s="59">
        <f t="shared" si="39"/>
        <v>30.016729108236891</v>
      </c>
      <c r="AI41" s="59">
        <f t="shared" si="39"/>
        <v>-238.74816931760449</v>
      </c>
      <c r="AJ41" s="59">
        <f t="shared" si="39"/>
        <v>-94.635402270618115</v>
      </c>
      <c r="AK41" s="59">
        <f t="shared" si="39"/>
        <v>-180.31655946674428</v>
      </c>
      <c r="AL41" s="59">
        <f t="shared" si="39"/>
        <v>-2120.2861398759569</v>
      </c>
      <c r="AM41" s="59">
        <f t="shared" si="39"/>
        <v>16.848387174311647</v>
      </c>
      <c r="AN41" s="59" t="e">
        <f t="shared" si="39"/>
        <v>#DIV/0!</v>
      </c>
      <c r="AO41" s="59">
        <f t="shared" si="39"/>
        <v>-101.29321060837309</v>
      </c>
      <c r="AP41" s="59">
        <f t="shared" si="39"/>
        <v>94.36650505816408</v>
      </c>
      <c r="AQ41" s="59">
        <f t="shared" si="39"/>
        <v>80.478184971410798</v>
      </c>
      <c r="AR41" s="59" t="e">
        <f t="shared" si="39"/>
        <v>#DIV/0!</v>
      </c>
      <c r="AS41" s="59">
        <f t="shared" si="39"/>
        <v>-28.82489017332593</v>
      </c>
      <c r="AT41" s="59">
        <f t="shared" si="39"/>
        <v>-73.693791916224583</v>
      </c>
      <c r="AU41" s="59">
        <f t="shared" si="39"/>
        <v>-761.43841528552787</v>
      </c>
      <c r="AV41" s="59">
        <f t="shared" si="39"/>
        <v>-5.0715712302299112</v>
      </c>
      <c r="AW41" s="59">
        <f t="shared" si="39"/>
        <v>-9.9961254035771105</v>
      </c>
      <c r="AX41" s="59">
        <f t="shared" si="39"/>
        <v>-10.563322521142613</v>
      </c>
      <c r="AY41" s="59">
        <f t="shared" si="39"/>
        <v>-13.314610464689412</v>
      </c>
      <c r="AZ41" s="59">
        <f t="shared" si="39"/>
        <v>-29.177087999999998</v>
      </c>
      <c r="BA41" s="59">
        <f t="shared" si="39"/>
        <v>6.4302495344527406</v>
      </c>
      <c r="BB41" s="59">
        <f t="shared" si="39"/>
        <v>14.954913103035617</v>
      </c>
      <c r="BC41" s="59">
        <f t="shared" si="39"/>
        <v>10.994273003585963</v>
      </c>
      <c r="BD41" s="59" t="e">
        <f t="shared" si="39"/>
        <v>#DIV/0!</v>
      </c>
      <c r="BE41" s="59">
        <f t="shared" si="39"/>
        <v>208.72438969261265</v>
      </c>
      <c r="BF41" s="59">
        <f t="shared" si="39"/>
        <v>-37.123657821263173</v>
      </c>
      <c r="BG41" s="59">
        <f t="shared" si="39"/>
        <v>-32.265097832398752</v>
      </c>
      <c r="BH41" s="59">
        <f t="shared" si="39"/>
        <v>-1.6912248525255302</v>
      </c>
      <c r="BI41" s="59">
        <f t="shared" si="39"/>
        <v>51.149746229058351</v>
      </c>
      <c r="BJ41" s="59">
        <f t="shared" si="39"/>
        <v>-68.171187698585072</v>
      </c>
      <c r="BK41" s="59">
        <f t="shared" si="39"/>
        <v>-231.32435186984958</v>
      </c>
      <c r="BL41" s="59">
        <f t="shared" si="39"/>
        <v>-9.2131529511994383</v>
      </c>
      <c r="BM41" s="59">
        <f t="shared" si="39"/>
        <v>-149.18376358893079</v>
      </c>
      <c r="BN41" s="59">
        <f t="shared" si="39"/>
        <v>-11.619124030745919</v>
      </c>
      <c r="BO41" s="59">
        <f t="shared" si="39"/>
        <v>-7.7036936464919741</v>
      </c>
      <c r="BP41" s="59">
        <f t="shared" si="39"/>
        <v>43.249783743212781</v>
      </c>
      <c r="BQ41" s="59">
        <f t="shared" si="39"/>
        <v>-2.0583806324776739</v>
      </c>
      <c r="BR41" s="59">
        <f t="shared" ref="BR41:CK41" si="40">1-BR40/BR39</f>
        <v>0</v>
      </c>
      <c r="BS41" s="59">
        <f t="shared" si="40"/>
        <v>-1.6875461769888385</v>
      </c>
      <c r="BT41" s="59">
        <f t="shared" si="40"/>
        <v>-1.0192338281291593</v>
      </c>
      <c r="BU41" s="59">
        <f t="shared" si="40"/>
        <v>-6.0450850452289444</v>
      </c>
      <c r="BV41" s="59" t="e">
        <f t="shared" si="40"/>
        <v>#DIV/0!</v>
      </c>
      <c r="BW41" s="59" t="e">
        <f t="shared" si="40"/>
        <v>#DIV/0!</v>
      </c>
      <c r="BX41" s="59" t="e">
        <f t="shared" si="40"/>
        <v>#DIV/0!</v>
      </c>
      <c r="BY41" s="59" t="e">
        <f t="shared" si="40"/>
        <v>#DIV/0!</v>
      </c>
      <c r="BZ41" s="59" t="e">
        <f t="shared" si="40"/>
        <v>#DIV/0!</v>
      </c>
      <c r="CA41" s="59" t="e">
        <f t="shared" si="40"/>
        <v>#DIV/0!</v>
      </c>
      <c r="CB41" s="59" t="e">
        <f t="shared" si="40"/>
        <v>#DIV/0!</v>
      </c>
      <c r="CC41" s="59" t="e">
        <f t="shared" si="40"/>
        <v>#DIV/0!</v>
      </c>
      <c r="CD41" s="59" t="e">
        <f t="shared" si="40"/>
        <v>#DIV/0!</v>
      </c>
      <c r="CE41" s="59">
        <f t="shared" si="40"/>
        <v>0</v>
      </c>
      <c r="CF41" s="59">
        <f t="shared" si="40"/>
        <v>0</v>
      </c>
      <c r="CG41" s="59" t="e">
        <f t="shared" si="40"/>
        <v>#DIV/0!</v>
      </c>
      <c r="CH41" s="59" t="e">
        <f t="shared" si="40"/>
        <v>#DIV/0!</v>
      </c>
      <c r="CI41" s="59" t="e">
        <f t="shared" si="40"/>
        <v>#DIV/0!</v>
      </c>
      <c r="CJ41" s="59" t="e">
        <f t="shared" si="40"/>
        <v>#DIV/0!</v>
      </c>
      <c r="CK41" s="59" t="e">
        <f t="shared" si="40"/>
        <v>#DIV/0!</v>
      </c>
    </row>
    <row r="42" spans="1:89" s="60" customFormat="1" x14ac:dyDescent="0.25">
      <c r="A42" s="21" t="s">
        <v>428</v>
      </c>
      <c r="E42" s="148">
        <f>E39/(E39-E40)</f>
        <v>225.56927148831991</v>
      </c>
      <c r="F42" s="29">
        <f t="shared" ref="F42:BQ42" si="41">F39/(F39-F40)</f>
        <v>-171.11459143436977</v>
      </c>
      <c r="G42" s="29">
        <f t="shared" si="41"/>
        <v>-265.71961638192852</v>
      </c>
      <c r="H42" s="29">
        <f t="shared" si="41"/>
        <v>106.67109504576224</v>
      </c>
      <c r="I42" s="29">
        <f t="shared" si="41"/>
        <v>30.119446787734852</v>
      </c>
      <c r="J42" s="29">
        <f t="shared" si="41"/>
        <v>35.27261090864652</v>
      </c>
      <c r="K42" s="29">
        <f t="shared" si="41"/>
        <v>30.147914965638684</v>
      </c>
      <c r="L42" s="29">
        <f t="shared" si="41"/>
        <v>11.937800157414969</v>
      </c>
      <c r="M42" s="29">
        <f t="shared" si="41"/>
        <v>22.322326414350272</v>
      </c>
      <c r="N42" s="29">
        <f t="shared" si="41"/>
        <v>23.375648557298977</v>
      </c>
      <c r="O42" s="29">
        <f t="shared" si="41"/>
        <v>12.729044649193952</v>
      </c>
      <c r="P42" s="29">
        <f t="shared" si="41"/>
        <v>10.178993562775243</v>
      </c>
      <c r="Q42" s="29">
        <f t="shared" si="41"/>
        <v>-23033.121258154824</v>
      </c>
      <c r="R42" s="29">
        <f t="shared" si="41"/>
        <v>-141.29408597028475</v>
      </c>
      <c r="S42" s="29" t="e">
        <f t="shared" si="41"/>
        <v>#DIV/0!</v>
      </c>
      <c r="T42" s="29">
        <f t="shared" si="41"/>
        <v>0</v>
      </c>
      <c r="U42" s="29">
        <f t="shared" si="41"/>
        <v>-147.29964664303148</v>
      </c>
      <c r="V42" s="29">
        <f t="shared" si="41"/>
        <v>-5.6602935185956563E-3</v>
      </c>
      <c r="W42" s="29">
        <f t="shared" si="41"/>
        <v>-7.9085953292085728E-3</v>
      </c>
      <c r="X42" s="29">
        <f t="shared" si="41"/>
        <v>0</v>
      </c>
      <c r="Y42" s="29">
        <f t="shared" si="41"/>
        <v>-65.328884469314303</v>
      </c>
      <c r="Z42" s="29">
        <f t="shared" si="41"/>
        <v>1.4792029785197919E-3</v>
      </c>
      <c r="AA42" s="29">
        <f t="shared" si="41"/>
        <v>2.4607188567664917E-3</v>
      </c>
      <c r="AB42" s="29">
        <f t="shared" si="41"/>
        <v>6.8804392873976299E-5</v>
      </c>
      <c r="AC42" s="29">
        <f t="shared" si="41"/>
        <v>-60.688302744576426</v>
      </c>
      <c r="AD42" s="29">
        <f t="shared" si="41"/>
        <v>-1.2123765139667058E-3</v>
      </c>
      <c r="AE42" s="29">
        <f t="shared" si="41"/>
        <v>-7.08719398075289E-4</v>
      </c>
      <c r="AF42" s="29">
        <f t="shared" si="41"/>
        <v>-4.2436910751193031E-4</v>
      </c>
      <c r="AG42" s="29">
        <f t="shared" si="41"/>
        <v>-75.768578513942401</v>
      </c>
      <c r="AH42" s="29">
        <f t="shared" si="41"/>
        <v>3.3314755794814098E-2</v>
      </c>
      <c r="AI42" s="29">
        <f t="shared" si="41"/>
        <v>-4.1885137919935598E-3</v>
      </c>
      <c r="AJ42" s="29">
        <f t="shared" si="41"/>
        <v>-1.0566870071946368E-2</v>
      </c>
      <c r="AK42" s="29">
        <f t="shared" si="41"/>
        <v>-5.545802354244839E-3</v>
      </c>
      <c r="AL42" s="29">
        <f t="shared" si="41"/>
        <v>-4.7163445593173715E-4</v>
      </c>
      <c r="AM42" s="29">
        <f t="shared" si="41"/>
        <v>5.935286206650553E-2</v>
      </c>
      <c r="AN42" s="29">
        <f t="shared" si="41"/>
        <v>0</v>
      </c>
      <c r="AO42" s="29">
        <f t="shared" si="41"/>
        <v>-9.8723299813871061E-3</v>
      </c>
      <c r="AP42" s="29">
        <f t="shared" si="41"/>
        <v>1.0596980352124266E-2</v>
      </c>
      <c r="AQ42" s="29">
        <f t="shared" si="41"/>
        <v>1.2425727547847178E-2</v>
      </c>
      <c r="AR42" s="29">
        <f t="shared" si="41"/>
        <v>0</v>
      </c>
      <c r="AS42" s="29">
        <f t="shared" si="41"/>
        <v>-3.4692239727087779E-2</v>
      </c>
      <c r="AT42" s="29">
        <f t="shared" si="41"/>
        <v>-1.3569664065282519E-2</v>
      </c>
      <c r="AU42" s="29">
        <f t="shared" si="41"/>
        <v>-1.3133038469368729E-3</v>
      </c>
      <c r="AV42" s="29">
        <f t="shared" si="41"/>
        <v>-0.19717755200584389</v>
      </c>
      <c r="AW42" s="29">
        <f t="shared" si="41"/>
        <v>-0.10003876098254531</v>
      </c>
      <c r="AX42" s="29">
        <f t="shared" si="41"/>
        <v>-9.4667184306688384E-2</v>
      </c>
      <c r="AY42" s="29">
        <f t="shared" si="41"/>
        <v>-7.510546423059225E-2</v>
      </c>
      <c r="AZ42" s="29">
        <f t="shared" si="41"/>
        <v>-3.4273468277574513E-2</v>
      </c>
      <c r="BA42" s="29">
        <f t="shared" si="41"/>
        <v>0.15551496013367497</v>
      </c>
      <c r="BB42" s="29">
        <f t="shared" si="41"/>
        <v>6.6867657010793016E-2</v>
      </c>
      <c r="BC42" s="29">
        <f t="shared" si="41"/>
        <v>9.0956446112792869E-2</v>
      </c>
      <c r="BD42" s="29">
        <f t="shared" si="41"/>
        <v>0</v>
      </c>
      <c r="BE42" s="29">
        <f t="shared" si="41"/>
        <v>4.7910069420861404E-3</v>
      </c>
      <c r="BF42" s="29">
        <f t="shared" si="41"/>
        <v>-2.6937000788409216E-2</v>
      </c>
      <c r="BG42" s="29">
        <f t="shared" si="41"/>
        <v>-3.0993242456430977E-2</v>
      </c>
      <c r="BH42" s="29">
        <f t="shared" si="41"/>
        <v>-0.5912874320092244</v>
      </c>
      <c r="BI42" s="29">
        <f t="shared" si="41"/>
        <v>1.9550439126751647E-2</v>
      </c>
      <c r="BJ42" s="29">
        <f t="shared" si="41"/>
        <v>-1.4668953758315634E-2</v>
      </c>
      <c r="BK42" s="29">
        <f t="shared" si="41"/>
        <v>-4.322934407539729E-3</v>
      </c>
      <c r="BL42" s="29">
        <f t="shared" si="41"/>
        <v>-0.10854047526366231</v>
      </c>
      <c r="BM42" s="29">
        <f t="shared" si="41"/>
        <v>-6.7031423255646998E-3</v>
      </c>
      <c r="BN42" s="29">
        <f t="shared" si="41"/>
        <v>-8.6065007771141122E-2</v>
      </c>
      <c r="BO42" s="29">
        <f t="shared" si="41"/>
        <v>-0.12980786177230313</v>
      </c>
      <c r="BP42" s="29">
        <f t="shared" si="41"/>
        <v>2.3121502894379923E-2</v>
      </c>
      <c r="BQ42" s="29">
        <f t="shared" si="41"/>
        <v>-0.4858187957182144</v>
      </c>
      <c r="BR42" s="29" t="e">
        <f t="shared" ref="BR42:CK42" si="42">BR39/(BR39-BR40)</f>
        <v>#DIV/0!</v>
      </c>
      <c r="BS42" s="29">
        <f t="shared" si="42"/>
        <v>-0.59257637724873591</v>
      </c>
      <c r="BT42" s="29">
        <f t="shared" si="42"/>
        <v>-0.98112913092330967</v>
      </c>
      <c r="BU42" s="29">
        <f t="shared" si="42"/>
        <v>-0.16542364458366809</v>
      </c>
      <c r="BV42" s="29">
        <f t="shared" si="42"/>
        <v>0</v>
      </c>
      <c r="BW42" s="29">
        <f t="shared" si="42"/>
        <v>0</v>
      </c>
      <c r="BX42" s="29">
        <f t="shared" si="42"/>
        <v>0</v>
      </c>
      <c r="BY42" s="29">
        <f t="shared" si="42"/>
        <v>0</v>
      </c>
      <c r="BZ42" s="29">
        <f t="shared" si="42"/>
        <v>0</v>
      </c>
      <c r="CA42" s="29">
        <f t="shared" si="42"/>
        <v>0</v>
      </c>
      <c r="CB42" s="29">
        <f t="shared" si="42"/>
        <v>0</v>
      </c>
      <c r="CC42" s="29">
        <f t="shared" si="42"/>
        <v>0</v>
      </c>
      <c r="CD42" s="29" t="e">
        <f t="shared" si="42"/>
        <v>#DIV/0!</v>
      </c>
      <c r="CE42" s="29" t="e">
        <f t="shared" si="42"/>
        <v>#DIV/0!</v>
      </c>
      <c r="CF42" s="29" t="e">
        <f t="shared" si="42"/>
        <v>#DIV/0!</v>
      </c>
      <c r="CG42" s="29" t="e">
        <f t="shared" si="42"/>
        <v>#DIV/0!</v>
      </c>
      <c r="CH42" s="29" t="e">
        <f t="shared" si="42"/>
        <v>#DIV/0!</v>
      </c>
      <c r="CI42" s="29" t="e">
        <f t="shared" si="42"/>
        <v>#DIV/0!</v>
      </c>
      <c r="CJ42" s="29" t="e">
        <f t="shared" si="42"/>
        <v>#DIV/0!</v>
      </c>
      <c r="CK42" s="29" t="e">
        <f t="shared" si="42"/>
        <v>#DIV/0!</v>
      </c>
    </row>
    <row r="43" spans="1:89" s="16" customFormat="1" ht="106.2" customHeight="1" x14ac:dyDescent="0.25">
      <c r="A43" s="282" t="s">
        <v>698</v>
      </c>
      <c r="B43" s="283"/>
      <c r="C43" s="283"/>
      <c r="D43" s="283"/>
      <c r="E43" s="283"/>
      <c r="F43" s="283"/>
      <c r="G43" s="283"/>
      <c r="H43" s="283"/>
      <c r="I43" s="283"/>
      <c r="J43" s="283"/>
      <c r="K43" s="283"/>
      <c r="L43" s="283"/>
      <c r="M43" s="283"/>
      <c r="N43" s="283"/>
      <c r="O43" s="283"/>
      <c r="P43" s="283"/>
      <c r="Q43" s="283"/>
      <c r="R43" s="283"/>
      <c r="S43" s="283"/>
      <c r="T43" s="283"/>
      <c r="U43" s="283"/>
      <c r="V43" s="283"/>
      <c r="W43" s="283"/>
      <c r="X43" s="283"/>
      <c r="Y43" s="283"/>
      <c r="Z43" s="283"/>
      <c r="AA43" s="283"/>
      <c r="AB43" s="283"/>
      <c r="AC43" s="283"/>
      <c r="AD43" s="283"/>
      <c r="AE43" s="283"/>
      <c r="AF43" s="283"/>
      <c r="AG43" s="283"/>
    </row>
    <row r="45" spans="1:89" x14ac:dyDescent="0.25">
      <c r="B45" s="40"/>
      <c r="C45" s="40"/>
      <c r="D45" s="40"/>
      <c r="E45" s="40"/>
      <c r="F45" s="40"/>
      <c r="G45" s="40"/>
      <c r="H45" s="40"/>
      <c r="I45" s="40"/>
      <c r="J45" s="40"/>
      <c r="K45" s="40"/>
      <c r="L45" s="40"/>
      <c r="M45" s="40"/>
      <c r="N45" s="40"/>
      <c r="O45" s="40"/>
      <c r="P45" s="40"/>
      <c r="Q45" s="40"/>
      <c r="R45" s="40"/>
      <c r="S45" s="40"/>
      <c r="T45" s="40"/>
      <c r="U45" s="40"/>
      <c r="V45" s="40"/>
      <c r="W45" s="40"/>
      <c r="X45" s="40"/>
      <c r="Y45" s="40"/>
      <c r="Z45" s="40"/>
      <c r="AA45" s="40"/>
      <c r="AB45" s="40"/>
      <c r="AC45" s="40"/>
      <c r="AD45" s="40"/>
      <c r="AE45" s="40"/>
      <c r="AF45" s="40"/>
      <c r="AG45" s="40"/>
      <c r="AH45" s="40"/>
      <c r="AI45" s="40"/>
      <c r="AJ45" s="40"/>
      <c r="AK45" s="40"/>
      <c r="AL45" s="40"/>
      <c r="AM45" s="40"/>
      <c r="AN45" s="40"/>
      <c r="AO45" s="40"/>
      <c r="AP45" s="40"/>
      <c r="AQ45" s="40"/>
      <c r="AR45" s="40"/>
      <c r="AS45" s="40"/>
      <c r="AT45" s="40"/>
      <c r="AU45" s="40"/>
      <c r="AV45" s="40"/>
      <c r="AW45" s="40"/>
      <c r="AX45" s="40"/>
      <c r="AY45" s="40"/>
      <c r="AZ45" s="40"/>
      <c r="BA45" s="40"/>
      <c r="BB45" s="40"/>
      <c r="BC45" s="40"/>
      <c r="BD45" s="40"/>
      <c r="BE45" s="40"/>
      <c r="BF45" s="40"/>
      <c r="BG45" s="40"/>
      <c r="BH45" s="40"/>
      <c r="BI45" s="40"/>
      <c r="BJ45" s="40"/>
      <c r="BK45" s="40"/>
      <c r="BL45" s="40"/>
      <c r="BM45" s="40"/>
      <c r="BN45" s="40"/>
      <c r="BO45" s="40"/>
      <c r="BP45" s="40"/>
      <c r="BQ45" s="40"/>
      <c r="BR45" s="40"/>
      <c r="BS45" s="40"/>
      <c r="BT45" s="40"/>
      <c r="BU45" s="40"/>
      <c r="BV45" s="40"/>
      <c r="BW45" s="40"/>
      <c r="BX45" s="40"/>
      <c r="BY45" s="40"/>
      <c r="BZ45" s="40"/>
      <c r="CA45" s="40"/>
      <c r="CB45" s="40"/>
      <c r="CC45" s="40"/>
      <c r="CD45" s="40"/>
      <c r="CE45" s="40"/>
      <c r="CF45" s="40"/>
      <c r="CG45" s="40"/>
      <c r="CH45" s="40"/>
      <c r="CI45" s="40"/>
      <c r="CJ45" s="40"/>
      <c r="CK45" s="40"/>
    </row>
    <row r="46" spans="1:89" s="26" customFormat="1" x14ac:dyDescent="0.25">
      <c r="A46" s="20" t="s">
        <v>423</v>
      </c>
      <c r="B46" s="1">
        <v>43373</v>
      </c>
      <c r="C46" s="1">
        <v>43281</v>
      </c>
      <c r="D46" s="1">
        <v>43190</v>
      </c>
      <c r="E46" s="1">
        <v>43100</v>
      </c>
      <c r="F46" s="1">
        <v>43008</v>
      </c>
      <c r="G46" s="1">
        <v>42916</v>
      </c>
      <c r="H46" s="1">
        <v>42825</v>
      </c>
      <c r="I46" s="1">
        <v>42735</v>
      </c>
      <c r="J46" s="1">
        <v>42643</v>
      </c>
      <c r="K46" s="1">
        <v>42551</v>
      </c>
      <c r="L46" s="1">
        <v>42460</v>
      </c>
      <c r="M46" s="1">
        <v>42369</v>
      </c>
      <c r="N46" s="1">
        <v>42277</v>
      </c>
      <c r="O46" s="1">
        <v>42004</v>
      </c>
      <c r="P46" s="1">
        <v>41639</v>
      </c>
      <c r="Q46" s="1">
        <v>41274</v>
      </c>
      <c r="R46" s="1">
        <v>40908</v>
      </c>
      <c r="S46" s="1">
        <v>25569</v>
      </c>
      <c r="T46" s="1"/>
      <c r="U46" s="1"/>
      <c r="V46" s="1"/>
      <c r="W46" s="1"/>
      <c r="X46" s="1"/>
      <c r="Y46" s="1"/>
      <c r="Z46" s="1"/>
      <c r="AA46" s="1"/>
      <c r="AB46" s="1"/>
      <c r="AC46" s="1"/>
      <c r="AD46" s="1"/>
      <c r="AE46" s="1"/>
      <c r="AF46" s="1"/>
      <c r="AG46" s="1"/>
      <c r="AH46" s="1"/>
      <c r="AI46" s="1"/>
      <c r="AJ46" s="1"/>
      <c r="AK46" s="1"/>
      <c r="AL46" s="1"/>
      <c r="AM46" s="1"/>
      <c r="AN46" s="1"/>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row>
    <row r="47" spans="1:89" s="26" customFormat="1" x14ac:dyDescent="0.25">
      <c r="A47" s="17" t="s">
        <v>424</v>
      </c>
      <c r="E47" s="26">
        <f>股权价值增加表!E42</f>
        <v>140040107.69</v>
      </c>
      <c r="F47" s="26">
        <f>股权价值增加表!F42</f>
        <v>104448708.91000004</v>
      </c>
      <c r="G47" s="26">
        <f>股权价值增加表!G42</f>
        <v>56623388.020000018</v>
      </c>
      <c r="H47" s="26">
        <f>股权价值增加表!H42</f>
        <v>16932091.389999993</v>
      </c>
      <c r="I47" s="26">
        <f>股权价值增加表!I42</f>
        <v>127314218.50999995</v>
      </c>
      <c r="J47" s="26">
        <f>股权价值增加表!J42</f>
        <v>93458406.380000025</v>
      </c>
      <c r="K47" s="26">
        <f>股权价值增加表!K42</f>
        <v>48290108.969999984</v>
      </c>
      <c r="L47" s="26">
        <f>股权价值增加表!L42</f>
        <v>8834269.5900000054</v>
      </c>
      <c r="M47" s="26">
        <f>股权价值增加表!M42</f>
        <v>112745012.78</v>
      </c>
      <c r="N47" s="26">
        <f>股权价值增加表!N42</f>
        <v>78883496.679999962</v>
      </c>
      <c r="O47" s="26">
        <f>股权价值增加表!O42</f>
        <v>94913963.020000041</v>
      </c>
      <c r="P47" s="26">
        <f>股权价值增加表!P42</f>
        <v>84018399.520000041</v>
      </c>
      <c r="Q47" s="26">
        <f>股权价值增加表!Q42</f>
        <v>78574092.780000001</v>
      </c>
      <c r="R47" s="26">
        <f>股权价值增加表!R42</f>
        <v>69584154.749999985</v>
      </c>
      <c r="S47" s="26">
        <f>股权价值增加表!S42</f>
        <v>0</v>
      </c>
      <c r="T47" s="26">
        <f>股权价值增加表!T42</f>
        <v>-687652134.91000009</v>
      </c>
      <c r="U47" s="26">
        <f>股权价值增加表!U42</f>
        <v>-2088393325.8100002</v>
      </c>
      <c r="V47" s="26">
        <f>股权价值增加表!V42</f>
        <v>-1770623990.1299999</v>
      </c>
      <c r="W47" s="26">
        <f>股权价值增加表!W42</f>
        <v>-1503178518.1099999</v>
      </c>
      <c r="X47" s="26">
        <f>股权价值增加表!X42</f>
        <v>-996310945.95000005</v>
      </c>
      <c r="Y47" s="26">
        <f>股权价值增加表!Y42</f>
        <v>-2597690211.0299997</v>
      </c>
      <c r="Z47" s="26">
        <f>股权价值增加表!Z42</f>
        <v>-1981805644.22</v>
      </c>
      <c r="AA47" s="26">
        <f>股权价值增加表!AA42</f>
        <v>-1313125502.45</v>
      </c>
      <c r="AB47" s="26">
        <f>股权价值增加表!AB42</f>
        <v>-889790569.18999994</v>
      </c>
      <c r="AC47" s="26">
        <f>股权价值增加表!AC42</f>
        <v>-1620456259.7199998</v>
      </c>
      <c r="AD47" s="26">
        <f>股权价值增加表!AD42</f>
        <v>-1380864362.3400002</v>
      </c>
      <c r="AE47" s="26">
        <f>股权价值增加表!AE42</f>
        <v>-941882157.46000004</v>
      </c>
      <c r="AF47" s="26">
        <f>股权价值增加表!AF42</f>
        <v>-675598227.52999997</v>
      </c>
      <c r="AG47" s="26">
        <f>股权价值增加表!AG42</f>
        <v>-1312331906.45</v>
      </c>
      <c r="AH47" s="26">
        <f>股权价值增加表!AH42</f>
        <v>-1044450134.2699999</v>
      </c>
      <c r="AI47" s="26">
        <f>股权价值增加表!AI42</f>
        <v>-688669429.02999997</v>
      </c>
      <c r="AJ47" s="26">
        <f>股权价值增加表!AJ42</f>
        <v>-496480851.37</v>
      </c>
      <c r="AK47" s="26">
        <f>股权价值增加表!AK42</f>
        <v>-1028579461.33</v>
      </c>
      <c r="AL47" s="26">
        <f>股权价值增加表!AL42</f>
        <v>-716904063.83999991</v>
      </c>
      <c r="AM47" s="26">
        <f>股权价值增加表!AM42</f>
        <v>-499689055.96999997</v>
      </c>
      <c r="AN47" s="26">
        <f>股权价值增加表!AN42</f>
        <v>-380189417.44999999</v>
      </c>
      <c r="AO47" s="26">
        <f>股权价值增加表!AO42</f>
        <v>-407922375.93999994</v>
      </c>
      <c r="AP47" s="26">
        <f>股权价值增加表!AP42</f>
        <v>-411195663.44999999</v>
      </c>
      <c r="AQ47" s="26">
        <f>股权价值增加表!AQ42</f>
        <v>-329680221.73000002</v>
      </c>
      <c r="AR47" s="26">
        <f>股权价值增加表!AR42</f>
        <v>-320202934.91000003</v>
      </c>
      <c r="AS47" s="26">
        <f>股权价值增加表!AS42</f>
        <v>-610135253.33999991</v>
      </c>
      <c r="AT47" s="26">
        <f>股权价值增加表!AT42</f>
        <v>-606675948.97000003</v>
      </c>
      <c r="AU47" s="26">
        <f>股权价值增加表!AU42</f>
        <v>-525244177.46999997</v>
      </c>
      <c r="AV47" s="26">
        <f>股权价值增加表!AV42</f>
        <v>-370504198.70999998</v>
      </c>
      <c r="AW47" s="26">
        <f>股权价值增加表!AW42</f>
        <v>-550836582.15999997</v>
      </c>
      <c r="AX47" s="26">
        <f>股权价值增加表!AX42</f>
        <v>-497364124.85000002</v>
      </c>
      <c r="AY47" s="26">
        <f>股权价值增加表!AY42</f>
        <v>-393993423.18000001</v>
      </c>
      <c r="AZ47" s="26">
        <f>股权价值增加表!AZ42</f>
        <v>-277925918.08999997</v>
      </c>
      <c r="BA47" s="26">
        <f>股权价值增加表!BA42</f>
        <v>-375599127.04999995</v>
      </c>
      <c r="BB47" s="26">
        <f>股权价值增加表!BB42</f>
        <v>-376909155.56</v>
      </c>
      <c r="BC47" s="26">
        <f>股权价值增加表!BC42</f>
        <v>-331126120.21999997</v>
      </c>
      <c r="BD47" s="26">
        <f>股权价值增加表!BD42</f>
        <v>-232460368.78999999</v>
      </c>
      <c r="BE47" s="26">
        <f>股权价值增加表!BE42</f>
        <v>-415071515.56999999</v>
      </c>
      <c r="BF47" s="26">
        <f>股权价值增加表!BF42</f>
        <v>-341885591.56999999</v>
      </c>
      <c r="BG47" s="26">
        <f>股权价值增加表!BG42</f>
        <v>-266868592.27000001</v>
      </c>
      <c r="BH47" s="26">
        <f>股权价值增加表!BH42</f>
        <v>-190592880.15000001</v>
      </c>
      <c r="BI47" s="26">
        <f>股权价值增加表!BI42</f>
        <v>-355643656.85000002</v>
      </c>
      <c r="BJ47" s="26">
        <f>股权价值增加表!BJ42</f>
        <v>-291496615.11000001</v>
      </c>
      <c r="BK47" s="26">
        <f>股权价值增加表!BK42</f>
        <v>-237870081.79999998</v>
      </c>
      <c r="BL47" s="26">
        <f>股权价值增加表!BL42</f>
        <v>-204685096.5</v>
      </c>
      <c r="BM47" s="26">
        <f>股权价值增加表!BM42</f>
        <v>-223212941.22</v>
      </c>
      <c r="BN47" s="26">
        <f>股权价值增加表!BN42</f>
        <v>-167173236.28999999</v>
      </c>
      <c r="BO47" s="26">
        <f>股权价值增加表!BO42</f>
        <v>-113551397.55</v>
      </c>
      <c r="BP47" s="26">
        <f>股权价值增加表!BP42</f>
        <v>-114049159.08</v>
      </c>
      <c r="BQ47" s="26">
        <f>股权价值增加表!BQ42</f>
        <v>-79004755.060000002</v>
      </c>
      <c r="BR47" s="26">
        <f>股权价值增加表!BR42</f>
        <v>-147870000</v>
      </c>
      <c r="BS47" s="26">
        <f>股权价值增加表!BS42</f>
        <v>-152979249.54999998</v>
      </c>
      <c r="BT47" s="26">
        <f>股权价值增加表!BT42</f>
        <v>-128012163.46000001</v>
      </c>
      <c r="BU47" s="26">
        <f>股权价值增加表!BU42</f>
        <v>-222157134.44</v>
      </c>
      <c r="BV47" s="26">
        <f>股权价值增加表!BV42</f>
        <v>-287911344.69999999</v>
      </c>
      <c r="BW47" s="26">
        <f>股权价值增加表!BW42</f>
        <v>-288342438.87</v>
      </c>
      <c r="BX47" s="26">
        <f>股权价值增加表!BX42</f>
        <v>-57060547.329999998</v>
      </c>
      <c r="BY47" s="26">
        <f>股权价值增加表!BY42</f>
        <v>-217786839.49000001</v>
      </c>
      <c r="BZ47" s="26">
        <f>股权价值增加表!BZ42</f>
        <v>-40798540.960000001</v>
      </c>
      <c r="CA47" s="26">
        <f>股权价值增加表!CA42</f>
        <v>-179937260.47</v>
      </c>
      <c r="CB47" s="26">
        <f>股权价值增加表!CB42</f>
        <v>-144282576.27000001</v>
      </c>
      <c r="CC47" s="26">
        <f>股权价值增加表!CC42</f>
        <v>-119252620.25</v>
      </c>
      <c r="CD47" s="26">
        <f>股权价值增加表!CD42</f>
        <v>0</v>
      </c>
      <c r="CE47" s="26">
        <f>股权价值增加表!CE42</f>
        <v>-20081000</v>
      </c>
      <c r="CF47" s="26">
        <f>股权价值增加表!CF42</f>
        <v>-14354563.84</v>
      </c>
      <c r="CG47" s="26">
        <f>股权价值增加表!CG42</f>
        <v>-4330000</v>
      </c>
      <c r="CH47" s="26">
        <f>股权价值增加表!CH42</f>
        <v>-4220000</v>
      </c>
      <c r="CI47" s="26">
        <f>股权价值增加表!CI42</f>
        <v>-12510000</v>
      </c>
      <c r="CJ47" s="26">
        <f>股权价值增加表!CJ42</f>
        <v>-3630000</v>
      </c>
    </row>
    <row r="48" spans="1:89" s="63" customFormat="1" x14ac:dyDescent="0.25">
      <c r="A48" s="63" t="s">
        <v>427</v>
      </c>
      <c r="E48" s="63">
        <f>股权价值增加表!E43</f>
        <v>0.18612233705622691</v>
      </c>
      <c r="F48" s="63">
        <f>股权价值增加表!F43</f>
        <v>0.19865744417906595</v>
      </c>
      <c r="G48" s="63">
        <f>股权价值增加表!G43</f>
        <v>0.16665174616982636</v>
      </c>
      <c r="H48" s="63">
        <f>股权价值增加表!H43</f>
        <v>0.11016268878276858</v>
      </c>
      <c r="I48" s="63">
        <f>股权价值增加表!I43</f>
        <v>0.19144666449689415</v>
      </c>
      <c r="J48" s="63">
        <f>股权价值增加表!J43</f>
        <v>0.20585192902525495</v>
      </c>
      <c r="K48" s="63">
        <f>股权价值增加表!K43</f>
        <v>0.17048140972803383</v>
      </c>
      <c r="L48" s="63">
        <f>股权价值增加表!L43</f>
        <v>7.1070623236535874E-2</v>
      </c>
      <c r="M48" s="63">
        <f>股权价值增加表!M43</f>
        <v>0.18884063831396986</v>
      </c>
      <c r="N48" s="63">
        <f>股权价值增加表!N43</f>
        <v>0.19264529745278139</v>
      </c>
      <c r="O48" s="63">
        <f>股权价值增加表!O43</f>
        <v>0.17948605420229893</v>
      </c>
      <c r="P48" s="63">
        <f>股权价值增加表!P43</f>
        <v>0.17326670117084073</v>
      </c>
      <c r="Q48" s="63">
        <f>股权价值增加表!Q43</f>
        <v>0.19862317004297572</v>
      </c>
      <c r="R48" s="63">
        <f>股权价值增加表!R43</f>
        <v>0.21958352105318776</v>
      </c>
      <c r="S48" s="63" t="e">
        <f>股权价值增加表!S43</f>
        <v>#DIV/0!</v>
      </c>
      <c r="T48" s="63" t="e">
        <f>股权价值增加表!T43</f>
        <v>#DIV/0!</v>
      </c>
      <c r="U48" s="63" t="e">
        <f>股权价值增加表!U43</f>
        <v>#DIV/0!</v>
      </c>
      <c r="V48" s="63" t="e">
        <f>股权价值增加表!V43</f>
        <v>#DIV/0!</v>
      </c>
      <c r="W48" s="63" t="e">
        <f>股权价值增加表!W43</f>
        <v>#DIV/0!</v>
      </c>
      <c r="X48" s="63" t="e">
        <f>股权价值增加表!X43</f>
        <v>#DIV/0!</v>
      </c>
      <c r="Y48" s="63" t="e">
        <f>股权价值增加表!Y43</f>
        <v>#DIV/0!</v>
      </c>
      <c r="Z48" s="63" t="e">
        <f>股权价值增加表!Z43</f>
        <v>#DIV/0!</v>
      </c>
      <c r="AA48" s="63" t="e">
        <f>股权价值增加表!AA43</f>
        <v>#DIV/0!</v>
      </c>
      <c r="AB48" s="63" t="e">
        <f>股权价值增加表!AB43</f>
        <v>#DIV/0!</v>
      </c>
      <c r="AC48" s="63" t="e">
        <f>股权价值增加表!AC43</f>
        <v>#DIV/0!</v>
      </c>
      <c r="AD48" s="63" t="e">
        <f>股权价值增加表!AD43</f>
        <v>#DIV/0!</v>
      </c>
      <c r="AE48" s="63" t="e">
        <f>股权价值增加表!AE43</f>
        <v>#DIV/0!</v>
      </c>
      <c r="AF48" s="63" t="e">
        <f>股权价值增加表!AF43</f>
        <v>#DIV/0!</v>
      </c>
      <c r="AG48" s="63" t="e">
        <f>股权价值增加表!AG43</f>
        <v>#DIV/0!</v>
      </c>
      <c r="AH48" s="63" t="e">
        <f>股权价值增加表!AH43</f>
        <v>#DIV/0!</v>
      </c>
      <c r="AI48" s="63" t="e">
        <f>股权价值增加表!AI43</f>
        <v>#DIV/0!</v>
      </c>
      <c r="AJ48" s="63" t="e">
        <f>股权价值增加表!AJ43</f>
        <v>#DIV/0!</v>
      </c>
      <c r="AK48" s="63" t="e">
        <f>股权价值增加表!AK43</f>
        <v>#DIV/0!</v>
      </c>
      <c r="AL48" s="63" t="e">
        <f>股权价值增加表!AL43</f>
        <v>#DIV/0!</v>
      </c>
      <c r="AM48" s="63" t="e">
        <f>股权价值增加表!AM43</f>
        <v>#DIV/0!</v>
      </c>
      <c r="AN48" s="63" t="e">
        <f>股权价值增加表!AN43</f>
        <v>#DIV/0!</v>
      </c>
      <c r="AO48" s="63" t="e">
        <f>股权价值增加表!AO43</f>
        <v>#DIV/0!</v>
      </c>
      <c r="AP48" s="63" t="e">
        <f>股权价值增加表!AP43</f>
        <v>#DIV/0!</v>
      </c>
      <c r="AQ48" s="63" t="e">
        <f>股权价值增加表!AQ43</f>
        <v>#DIV/0!</v>
      </c>
      <c r="AR48" s="63" t="e">
        <f>股权价值增加表!AR43</f>
        <v>#DIV/0!</v>
      </c>
      <c r="AS48" s="63" t="e">
        <f>股权价值增加表!AS43</f>
        <v>#DIV/0!</v>
      </c>
      <c r="AT48" s="63" t="e">
        <f>股权价值增加表!AT43</f>
        <v>#DIV/0!</v>
      </c>
      <c r="AU48" s="63" t="e">
        <f>股权价值增加表!AU43</f>
        <v>#DIV/0!</v>
      </c>
      <c r="AV48" s="63" t="e">
        <f>股权价值增加表!AV43</f>
        <v>#DIV/0!</v>
      </c>
      <c r="AW48" s="63" t="e">
        <f>股权价值增加表!AW43</f>
        <v>#DIV/0!</v>
      </c>
      <c r="AX48" s="63" t="e">
        <f>股权价值增加表!AX43</f>
        <v>#DIV/0!</v>
      </c>
      <c r="AY48" s="63" t="e">
        <f>股权价值增加表!AY43</f>
        <v>#DIV/0!</v>
      </c>
      <c r="AZ48" s="63" t="e">
        <f>股权价值增加表!AZ43</f>
        <v>#DIV/0!</v>
      </c>
      <c r="BA48" s="63" t="e">
        <f>股权价值增加表!BA43</f>
        <v>#DIV/0!</v>
      </c>
      <c r="BB48" s="63" t="e">
        <f>股权价值增加表!BB43</f>
        <v>#DIV/0!</v>
      </c>
      <c r="BC48" s="63" t="e">
        <f>股权价值增加表!BC43</f>
        <v>#DIV/0!</v>
      </c>
      <c r="BD48" s="63" t="e">
        <f>股权价值增加表!BD43</f>
        <v>#DIV/0!</v>
      </c>
      <c r="BE48" s="63" t="e">
        <f>股权价值增加表!BE43</f>
        <v>#DIV/0!</v>
      </c>
      <c r="BF48" s="63" t="e">
        <f>股权价值增加表!BF43</f>
        <v>#DIV/0!</v>
      </c>
      <c r="BG48" s="63" t="e">
        <f>股权价值增加表!BG43</f>
        <v>#DIV/0!</v>
      </c>
      <c r="BH48" s="63" t="e">
        <f>股权价值增加表!BH43</f>
        <v>#DIV/0!</v>
      </c>
      <c r="BI48" s="63" t="e">
        <f>股权价值增加表!BI43</f>
        <v>#DIV/0!</v>
      </c>
      <c r="BJ48" s="63" t="e">
        <f>股权价值增加表!BJ43</f>
        <v>#DIV/0!</v>
      </c>
      <c r="BK48" s="63" t="e">
        <f>股权价值增加表!BK43</f>
        <v>#DIV/0!</v>
      </c>
      <c r="BL48" s="63" t="e">
        <f>股权价值增加表!BL43</f>
        <v>#DIV/0!</v>
      </c>
      <c r="BM48" s="63" t="e">
        <f>股权价值增加表!BM43</f>
        <v>#DIV/0!</v>
      </c>
      <c r="BN48" s="63" t="e">
        <f>股权价值增加表!BN43</f>
        <v>#DIV/0!</v>
      </c>
      <c r="BO48" s="63" t="e">
        <f>股权价值增加表!BO43</f>
        <v>#DIV/0!</v>
      </c>
      <c r="BP48" s="63" t="e">
        <f>股权价值增加表!BP43</f>
        <v>#DIV/0!</v>
      </c>
      <c r="BQ48" s="63" t="e">
        <f>股权价值增加表!BQ43</f>
        <v>#DIV/0!</v>
      </c>
      <c r="BR48" s="63" t="e">
        <f>股权价值增加表!BR43</f>
        <v>#DIV/0!</v>
      </c>
      <c r="BS48" s="63" t="e">
        <f>股权价值增加表!BS43</f>
        <v>#DIV/0!</v>
      </c>
      <c r="BT48" s="63" t="e">
        <f>股权价值增加表!BT43</f>
        <v>#DIV/0!</v>
      </c>
      <c r="BU48" s="63" t="e">
        <f>股权价值增加表!BU43</f>
        <v>#DIV/0!</v>
      </c>
      <c r="BV48" s="63" t="e">
        <f>股权价值增加表!BV43</f>
        <v>#DIV/0!</v>
      </c>
      <c r="BW48" s="63" t="e">
        <f>股权价值增加表!BW43</f>
        <v>#DIV/0!</v>
      </c>
      <c r="BX48" s="63" t="e">
        <f>股权价值增加表!BX43</f>
        <v>#DIV/0!</v>
      </c>
      <c r="BY48" s="63" t="e">
        <f>股权价值增加表!BY43</f>
        <v>#DIV/0!</v>
      </c>
      <c r="BZ48" s="63" t="e">
        <f>股权价值增加表!BZ43</f>
        <v>#DIV/0!</v>
      </c>
      <c r="CA48" s="63" t="e">
        <f>股权价值增加表!CA43</f>
        <v>#DIV/0!</v>
      </c>
      <c r="CB48" s="63" t="e">
        <f>股权价值增加表!CB43</f>
        <v>#DIV/0!</v>
      </c>
      <c r="CC48" s="63" t="e">
        <f>股权价值增加表!CC43</f>
        <v>#DIV/0!</v>
      </c>
      <c r="CD48" s="63" t="e">
        <f>股权价值增加表!CD43</f>
        <v>#DIV/0!</v>
      </c>
      <c r="CE48" s="63" t="e">
        <f>股权价值增加表!CE43</f>
        <v>#DIV/0!</v>
      </c>
      <c r="CF48" s="63" t="e">
        <f>股权价值增加表!CF43</f>
        <v>#DIV/0!</v>
      </c>
      <c r="CG48" s="63" t="e">
        <f>股权价值增加表!CG43</f>
        <v>#DIV/0!</v>
      </c>
      <c r="CH48" s="63" t="e">
        <f>股权价值增加表!CH43</f>
        <v>#DIV/0!</v>
      </c>
      <c r="CI48" s="63" t="e">
        <f>股权价值增加表!CI43</f>
        <v>#DIV/0!</v>
      </c>
      <c r="CJ48" s="63" t="e">
        <f>股权价值增加表!CJ43</f>
        <v>#DIV/0!</v>
      </c>
    </row>
    <row r="49" spans="1:88" s="59" customFormat="1" x14ac:dyDescent="0.25">
      <c r="A49" s="59" t="s">
        <v>425</v>
      </c>
      <c r="E49" s="59">
        <f>(E47-I47)/I47</f>
        <v>9.9956543180607052E-2</v>
      </c>
      <c r="F49" s="59">
        <f t="shared" ref="F49:BQ49" si="43">(F47-J47)/J47</f>
        <v>0.11759565517641789</v>
      </c>
      <c r="G49" s="59">
        <f t="shared" si="43"/>
        <v>0.17256699617673357</v>
      </c>
      <c r="H49" s="59">
        <f t="shared" si="43"/>
        <v>0.91663738778883952</v>
      </c>
      <c r="I49" s="59">
        <f t="shared" si="43"/>
        <v>0.12922261810754254</v>
      </c>
      <c r="J49" s="59">
        <f t="shared" si="43"/>
        <v>0.18476500552612254</v>
      </c>
      <c r="K49" s="59">
        <f t="shared" si="43"/>
        <v>-0.49122228770676862</v>
      </c>
      <c r="L49" s="59">
        <f t="shared" si="43"/>
        <v>-0.89485315549367184</v>
      </c>
      <c r="M49" s="59">
        <f t="shared" si="43"/>
        <v>0.43488787195641354</v>
      </c>
      <c r="N49" s="59">
        <f t="shared" si="43"/>
        <v>0.13364165970558087</v>
      </c>
      <c r="O49" s="59" t="e">
        <f t="shared" si="43"/>
        <v>#DIV/0!</v>
      </c>
      <c r="P49" s="59">
        <f t="shared" si="43"/>
        <v>-1.122181543915364</v>
      </c>
      <c r="Q49" s="59">
        <f t="shared" si="43"/>
        <v>-1.0376241830544657</v>
      </c>
      <c r="R49" s="59">
        <f t="shared" si="43"/>
        <v>-1.0392992273559396</v>
      </c>
      <c r="S49" s="59">
        <f t="shared" si="43"/>
        <v>-1</v>
      </c>
      <c r="T49" s="59">
        <f t="shared" si="43"/>
        <v>-0.30980168620519205</v>
      </c>
      <c r="U49" s="59">
        <f t="shared" si="43"/>
        <v>-0.19605759110824084</v>
      </c>
      <c r="V49" s="59">
        <f t="shared" si="43"/>
        <v>-0.10656022436201967</v>
      </c>
      <c r="W49" s="59">
        <f t="shared" si="43"/>
        <v>0.14473332160970387</v>
      </c>
      <c r="X49" s="59">
        <f t="shared" si="43"/>
        <v>0.119713987143029</v>
      </c>
      <c r="Y49" s="59">
        <f t="shared" si="43"/>
        <v>0.60306098695860955</v>
      </c>
      <c r="Z49" s="59">
        <f t="shared" si="43"/>
        <v>0.43519211464162222</v>
      </c>
      <c r="AA49" s="59">
        <f t="shared" si="43"/>
        <v>0.3941505230241778</v>
      </c>
      <c r="AB49" s="59">
        <f t="shared" si="43"/>
        <v>0.31704100592905826</v>
      </c>
      <c r="AC49" s="59">
        <f t="shared" si="43"/>
        <v>0.23479148205998396</v>
      </c>
      <c r="AD49" s="59">
        <f t="shared" si="43"/>
        <v>0.32209697431379158</v>
      </c>
      <c r="AE49" s="59">
        <f t="shared" si="43"/>
        <v>0.3676839972215023</v>
      </c>
      <c r="AF49" s="59">
        <f t="shared" si="43"/>
        <v>0.36077398688336038</v>
      </c>
      <c r="AG49" s="59">
        <f t="shared" si="43"/>
        <v>0.27586827832736927</v>
      </c>
      <c r="AH49" s="59">
        <f t="shared" si="43"/>
        <v>0.45688968294522364</v>
      </c>
      <c r="AI49" s="59">
        <f t="shared" si="43"/>
        <v>0.37819594166045911</v>
      </c>
      <c r="AJ49" s="59">
        <f t="shared" si="43"/>
        <v>0.30587761937191188</v>
      </c>
      <c r="AK49" s="59">
        <f t="shared" si="43"/>
        <v>1.5215078210892032</v>
      </c>
      <c r="AL49" s="59">
        <f t="shared" si="43"/>
        <v>0.74346212171854054</v>
      </c>
      <c r="AM49" s="59">
        <f t="shared" si="43"/>
        <v>0.51567799047172747</v>
      </c>
      <c r="AN49" s="59">
        <f t="shared" si="43"/>
        <v>0.18733895289517088</v>
      </c>
      <c r="AO49" s="59">
        <f t="shared" si="43"/>
        <v>-0.33142303496322673</v>
      </c>
      <c r="AP49" s="59">
        <f t="shared" si="43"/>
        <v>-0.32221532080162696</v>
      </c>
      <c r="AQ49" s="59">
        <f t="shared" si="43"/>
        <v>-0.37232960236131291</v>
      </c>
      <c r="AR49" s="59">
        <f t="shared" si="43"/>
        <v>-0.13576435564059997</v>
      </c>
      <c r="AS49" s="59">
        <f t="shared" si="43"/>
        <v>0.10765202076352952</v>
      </c>
      <c r="AT49" s="59">
        <f t="shared" si="43"/>
        <v>0.21978228556988774</v>
      </c>
      <c r="AU49" s="59">
        <f t="shared" si="43"/>
        <v>0.33312930259253765</v>
      </c>
      <c r="AV49" s="59">
        <f t="shared" si="43"/>
        <v>0.33310416407447341</v>
      </c>
      <c r="AW49" s="59">
        <f t="shared" si="43"/>
        <v>0.46655447920322857</v>
      </c>
      <c r="AX49" s="59">
        <f t="shared" si="43"/>
        <v>0.31958621199061016</v>
      </c>
      <c r="AY49" s="59">
        <f t="shared" si="43"/>
        <v>0.18985908728139914</v>
      </c>
      <c r="AZ49" s="59">
        <f t="shared" si="43"/>
        <v>0.19558408831860988</v>
      </c>
      <c r="BA49" s="59">
        <f t="shared" si="43"/>
        <v>-9.5097801316947256E-2</v>
      </c>
      <c r="BB49" s="59">
        <f t="shared" si="43"/>
        <v>0.10244235163337981</v>
      </c>
      <c r="BC49" s="59">
        <f t="shared" si="43"/>
        <v>0.24078340355986305</v>
      </c>
      <c r="BD49" s="59">
        <f t="shared" si="43"/>
        <v>0.21966974111021106</v>
      </c>
      <c r="BE49" s="59">
        <f t="shared" si="43"/>
        <v>0.16709944793157067</v>
      </c>
      <c r="BF49" s="59">
        <f t="shared" si="43"/>
        <v>0.17286298999041566</v>
      </c>
      <c r="BG49" s="59">
        <f t="shared" si="43"/>
        <v>0.12190902803145222</v>
      </c>
      <c r="BH49" s="59">
        <f t="shared" si="43"/>
        <v>-6.8848277627286819E-2</v>
      </c>
      <c r="BI49" s="59">
        <f t="shared" si="43"/>
        <v>0.59329317962561823</v>
      </c>
      <c r="BJ49" s="59">
        <f t="shared" si="43"/>
        <v>0.74367991898136643</v>
      </c>
      <c r="BK49" s="59">
        <f t="shared" si="43"/>
        <v>1.0948230222816839</v>
      </c>
      <c r="BL49" s="59">
        <f t="shared" si="43"/>
        <v>0.79470938804926439</v>
      </c>
      <c r="BM49" s="59">
        <f t="shared" si="43"/>
        <v>1.8253102113977997</v>
      </c>
      <c r="BN49" s="59">
        <f t="shared" si="43"/>
        <v>0.13054193744505302</v>
      </c>
      <c r="BO49" s="59">
        <f t="shared" si="43"/>
        <v>-0.25773333387358083</v>
      </c>
      <c r="BP49" s="59">
        <f t="shared" si="43"/>
        <v>-0.10907560658767425</v>
      </c>
      <c r="BQ49" s="59">
        <f t="shared" si="43"/>
        <v>-0.64437444127486465</v>
      </c>
      <c r="BR49" s="59">
        <f t="shared" ref="BR49:CJ49" si="44">(BR47-BV47)/BV47</f>
        <v>-0.48640439940260538</v>
      </c>
      <c r="BS49" s="59">
        <f t="shared" si="44"/>
        <v>-0.46945288335106611</v>
      </c>
      <c r="BT49" s="59">
        <f t="shared" si="44"/>
        <v>1.2434443665544141</v>
      </c>
      <c r="BU49" s="59">
        <f t="shared" si="44"/>
        <v>2.006684591334389E-2</v>
      </c>
      <c r="BV49" s="59">
        <f t="shared" si="44"/>
        <v>6.0569029657770379</v>
      </c>
      <c r="BW49" s="59">
        <f t="shared" si="44"/>
        <v>0.602460980659833</v>
      </c>
      <c r="BX49" s="59">
        <f t="shared" si="44"/>
        <v>-0.60452225899251344</v>
      </c>
      <c r="BY49" s="59">
        <f t="shared" si="44"/>
        <v>0.82626460561985016</v>
      </c>
      <c r="BZ49" s="59" t="e">
        <f t="shared" si="44"/>
        <v>#DIV/0!</v>
      </c>
      <c r="CA49" s="59">
        <f t="shared" si="44"/>
        <v>7.9605727040486034</v>
      </c>
      <c r="CB49" s="59">
        <f t="shared" si="44"/>
        <v>9.0513382279123302</v>
      </c>
      <c r="CC49" s="59">
        <f t="shared" si="44"/>
        <v>26.541020842956119</v>
      </c>
      <c r="CD49" s="59">
        <f t="shared" si="44"/>
        <v>-1</v>
      </c>
      <c r="CE49" s="59">
        <f t="shared" si="44"/>
        <v>0.60519584332533971</v>
      </c>
      <c r="CF49" s="59">
        <f t="shared" si="44"/>
        <v>2.9544253002754819</v>
      </c>
      <c r="CG49" s="59" t="e">
        <f t="shared" si="44"/>
        <v>#DIV/0!</v>
      </c>
      <c r="CH49" s="59" t="e">
        <f t="shared" si="44"/>
        <v>#DIV/0!</v>
      </c>
      <c r="CI49" s="59" t="e">
        <f t="shared" si="44"/>
        <v>#DIV/0!</v>
      </c>
      <c r="CJ49" s="59" t="e">
        <f t="shared" si="44"/>
        <v>#DIV/0!</v>
      </c>
    </row>
    <row r="50" spans="1:88" s="26" customFormat="1" x14ac:dyDescent="0.25">
      <c r="A50" s="17" t="s">
        <v>426</v>
      </c>
      <c r="E50" s="26">
        <f>股权价值增加表!E47</f>
        <v>52494399.365199998</v>
      </c>
      <c r="F50" s="26">
        <f>股权价值增加表!F47</f>
        <v>20147550.958000034</v>
      </c>
      <c r="G50" s="26">
        <f>股权价值增加表!G47</f>
        <v>-23461030.080799989</v>
      </c>
      <c r="H50" s="26">
        <f>股权价值增加表!H47</f>
        <v>-62411747.419600002</v>
      </c>
      <c r="I50" s="26">
        <f>股权价值增加表!I47</f>
        <v>48481079.171599939</v>
      </c>
      <c r="J50" s="26">
        <f>股权价值增加表!J47</f>
        <v>57902830.927200019</v>
      </c>
      <c r="K50" s="26">
        <f>股权价值增加表!K47</f>
        <v>16347997.309999984</v>
      </c>
      <c r="L50" s="26">
        <f>股权价值增加表!L47</f>
        <v>-29407193.352399997</v>
      </c>
      <c r="M50" s="26">
        <f>股权价值增加表!M47</f>
        <v>81757183.258399993</v>
      </c>
      <c r="N50" s="26">
        <f>股权价值增加表!N47</f>
        <v>53464038.43999996</v>
      </c>
      <c r="O50" s="26">
        <f>股权价值增加表!O47</f>
        <v>74563688.741600037</v>
      </c>
      <c r="P50" s="26">
        <f>股权价值增加表!P47</f>
        <v>67236857.736000031</v>
      </c>
      <c r="Q50" s="26">
        <f>股权价值增加表!Q47</f>
        <v>78574092.780000001</v>
      </c>
      <c r="R50" s="26">
        <f>股权价值增加表!R47</f>
        <v>69584154.749999985</v>
      </c>
      <c r="S50" s="26">
        <f>股权价值增加表!S47</f>
        <v>0</v>
      </c>
      <c r="T50" s="26">
        <f>股权价值增加表!T47</f>
        <v>-3868038785.9252005</v>
      </c>
      <c r="U50" s="26">
        <f>股权价值增加表!U47</f>
        <v>-5049936089.9771996</v>
      </c>
      <c r="V50" s="26">
        <f>股权价值增加表!V47</f>
        <v>-4645524401.3476</v>
      </c>
      <c r="W50" s="26">
        <f>股权价值增加表!W47</f>
        <v>-4262542827.1395998</v>
      </c>
      <c r="X50" s="26">
        <f>股权价值增加表!X47</f>
        <v>-3818321607.2244005</v>
      </c>
      <c r="Y50" s="26">
        <f>股权价值增加表!Y47</f>
        <v>-5119375855.2939997</v>
      </c>
      <c r="Z50" s="26">
        <f>股权价值增加表!Z47</f>
        <v>-4351521066.0344</v>
      </c>
      <c r="AA50" s="26">
        <f>股权价值增加表!AA47</f>
        <v>-3453061580.3604002</v>
      </c>
      <c r="AB50" s="26">
        <f>股权价值增加表!AB47</f>
        <v>-3016026399.7420001</v>
      </c>
      <c r="AC50" s="26">
        <f>股权价值增加表!AC47</f>
        <v>-3496191358.9559999</v>
      </c>
      <c r="AD50" s="26">
        <f>股权价值增加表!AD47</f>
        <v>-3159150603.4176006</v>
      </c>
      <c r="AE50" s="26">
        <f>股权价值增加表!AE47</f>
        <v>-2599330863.8928003</v>
      </c>
      <c r="AF50" s="26">
        <f>股权价值增加表!AF47</f>
        <v>-2320809198.2547998</v>
      </c>
      <c r="AG50" s="26">
        <f>股权价值增加表!AG47</f>
        <v>-2781620029.7676001</v>
      </c>
      <c r="AH50" s="26">
        <f>股权价值增加表!AH47</f>
        <v>-2445973651.9331999</v>
      </c>
      <c r="AI50" s="26">
        <f>股权价值增加表!AI47</f>
        <v>-1995822294.8076</v>
      </c>
      <c r="AJ50" s="26">
        <f>股权价值增加表!AJ47</f>
        <v>-1791496679.5492001</v>
      </c>
      <c r="AK50" s="26">
        <f>股权价值增加表!AK47</f>
        <v>-2195016432.8972001</v>
      </c>
      <c r="AL50" s="26">
        <f>股权价值增加表!AL47</f>
        <v>-1809611796.128</v>
      </c>
      <c r="AM50" s="26">
        <f>股权价值增加表!AM47</f>
        <v>-1530572190.7395999</v>
      </c>
      <c r="AN50" s="26">
        <f>股权价值增加表!AN47</f>
        <v>-1398206785.8844001</v>
      </c>
      <c r="AO50" s="26">
        <f>股权价值增加表!AO47</f>
        <v>-1324397326.0776</v>
      </c>
      <c r="AP50" s="26">
        <f>股权价值增加表!AP47</f>
        <v>-1309621530.4188001</v>
      </c>
      <c r="AQ50" s="26">
        <f>股权价值增加表!AQ47</f>
        <v>-1204430921.7676001</v>
      </c>
      <c r="AR50" s="26">
        <f>股权价值增加表!AR47</f>
        <v>-1171558509.1084001</v>
      </c>
      <c r="AS50" s="26">
        <f>股权价值增加表!AS47</f>
        <v>-1380234212.0735998</v>
      </c>
      <c r="AT50" s="26">
        <f>股权价值增加表!AT47</f>
        <v>-1365523001.1691999</v>
      </c>
      <c r="AU50" s="26">
        <f>股权价值增加表!AU47</f>
        <v>-1269565389.4956</v>
      </c>
      <c r="AV50" s="26">
        <f>股权价值增加表!AV47</f>
        <v>-1094636149.8116</v>
      </c>
      <c r="AW50" s="26">
        <f>股权价值增加表!AW47</f>
        <v>-1214450063.3312001</v>
      </c>
      <c r="AX50" s="26">
        <f>股权价值增加表!AX47</f>
        <v>-1148538939.4868002</v>
      </c>
      <c r="AY50" s="26">
        <f>股权价值增加表!AY47</f>
        <v>-1029093452.312</v>
      </c>
      <c r="AZ50" s="26">
        <f>股权价值增加表!AZ47</f>
        <v>-912708678.76999998</v>
      </c>
      <c r="BA50" s="26">
        <f>股权价值增加表!BA47</f>
        <v>-966476645.33319998</v>
      </c>
      <c r="BB50" s="26">
        <f>股权价值增加表!BB47</f>
        <v>-965766447.68720007</v>
      </c>
      <c r="BC50" s="26">
        <f>股权价值增加表!BC47</f>
        <v>-905480197.47199988</v>
      </c>
      <c r="BD50" s="26">
        <f>股权价值增加表!BD47</f>
        <v>-792737615.93959999</v>
      </c>
      <c r="BE50" s="26">
        <f>股权价值增加表!BE47</f>
        <v>-942028467.71160007</v>
      </c>
      <c r="BF50" s="26">
        <f>股权价值增加表!BF47</f>
        <v>-856598894.06439996</v>
      </c>
      <c r="BG50" s="26">
        <f>股权价值增加表!BG47</f>
        <v>-770285781.60280001</v>
      </c>
      <c r="BH50" s="26">
        <f>股权价值增加表!BH47</f>
        <v>-703335824.93879998</v>
      </c>
      <c r="BI50" s="26">
        <f>股权价值增加表!BI47</f>
        <v>-837715071.78279996</v>
      </c>
      <c r="BJ50" s="26">
        <f>股权价值增加表!BJ47</f>
        <v>-761129027.17720008</v>
      </c>
      <c r="BK50" s="26">
        <f>股权价值增加表!BK47</f>
        <v>-694810452.53199995</v>
      </c>
      <c r="BL50" s="26">
        <f>股权价值增加表!BL47</f>
        <v>-653614035.78559995</v>
      </c>
      <c r="BM50" s="26">
        <f>股权价值增加表!BM47</f>
        <v>-648980937.67680001</v>
      </c>
      <c r="BN50" s="26">
        <f>股权价值增加表!BN47</f>
        <v>-584316686.89160001</v>
      </c>
      <c r="BO50" s="26">
        <f>股权价值增加表!BO47</f>
        <v>-519580365.63720006</v>
      </c>
      <c r="BP50" s="26">
        <f>股权价值增加表!BP47</f>
        <v>-510447612.64480001</v>
      </c>
      <c r="BQ50" s="26">
        <f>股权价值增加表!BQ47</f>
        <v>-455184205.68400002</v>
      </c>
      <c r="BR50" s="26">
        <f>股权价值增加表!BR47</f>
        <v>-147870000</v>
      </c>
      <c r="BS50" s="26">
        <f>股权价值增加表!BS47</f>
        <v>-503831715.28120005</v>
      </c>
      <c r="BT50" s="26">
        <f>股权价值增加表!BT47</f>
        <v>-467102018.77999997</v>
      </c>
      <c r="BU50" s="26">
        <f>股权价值增加表!BU47</f>
        <v>-477454430.35599995</v>
      </c>
      <c r="BV50" s="26">
        <f>股权价值增加表!BV47</f>
        <v>-515936318.05199999</v>
      </c>
      <c r="BW50" s="26">
        <f>股权价值增加表!BW47</f>
        <v>-481982388.18599999</v>
      </c>
      <c r="BX50" s="26">
        <f>股权价值增加表!BX47</f>
        <v>-224236423.546</v>
      </c>
      <c r="BY50" s="26">
        <f>股权价值增加表!BY47</f>
        <v>-358986056.90359998</v>
      </c>
      <c r="BZ50" s="26">
        <f>股权价值增加表!BZ47</f>
        <v>-189968023.31680003</v>
      </c>
      <c r="CA50" s="26">
        <f>股权价值增加表!CA47</f>
        <v>-211328042.74439999</v>
      </c>
      <c r="CB50" s="26">
        <f>股权价值增加表!CB47</f>
        <v>-165479246.60680002</v>
      </c>
      <c r="CC50" s="26">
        <f>股权价值增加表!CC47</f>
        <v>-137330018.646</v>
      </c>
      <c r="CD50" s="26">
        <f>股权价值增加表!CD47</f>
        <v>0</v>
      </c>
      <c r="CE50" s="26">
        <f>股权价值增加表!CE47</f>
        <v>-106460040</v>
      </c>
      <c r="CF50" s="26">
        <f>股权价值增加表!CF47</f>
        <v>-94692832.060800001</v>
      </c>
      <c r="CG50" s="26">
        <f>股权价值增加表!CG47</f>
        <v>-43745192.029600002</v>
      </c>
      <c r="CH50" s="26">
        <f>股权价值增加表!CH47</f>
        <v>-4220000</v>
      </c>
      <c r="CI50" s="26">
        <f>股权价值增加表!CI47</f>
        <v>-12510000</v>
      </c>
      <c r="CJ50" s="26">
        <f>股权价值增加表!CJ47</f>
        <v>-3630000</v>
      </c>
    </row>
    <row r="51" spans="1:88" s="16" customFormat="1" ht="73.2" customHeight="1" x14ac:dyDescent="0.25">
      <c r="A51" s="282" t="s">
        <v>683</v>
      </c>
      <c r="B51" s="283"/>
      <c r="C51" s="283"/>
      <c r="D51" s="283"/>
      <c r="E51" s="283"/>
      <c r="F51" s="283"/>
      <c r="G51" s="283"/>
      <c r="H51" s="283"/>
      <c r="I51" s="283"/>
      <c r="J51" s="283"/>
      <c r="K51" s="283"/>
      <c r="L51" s="283"/>
      <c r="M51" s="283"/>
      <c r="N51" s="283"/>
      <c r="O51" s="283"/>
      <c r="P51" s="283"/>
      <c r="Q51" s="283"/>
      <c r="R51" s="283"/>
      <c r="S51" s="283"/>
      <c r="T51" s="283"/>
      <c r="U51" s="283"/>
      <c r="V51" s="283"/>
      <c r="W51" s="283"/>
      <c r="X51" s="283"/>
      <c r="Y51" s="283"/>
      <c r="Z51" s="283"/>
      <c r="AA51" s="283"/>
      <c r="AB51" s="283"/>
      <c r="AC51" s="283"/>
      <c r="AD51" s="283"/>
      <c r="AE51" s="283"/>
      <c r="AF51" s="283"/>
      <c r="AG51" s="283"/>
    </row>
    <row r="53" spans="1:88" x14ac:dyDescent="0.25">
      <c r="A53" s="20" t="s">
        <v>670</v>
      </c>
      <c r="E53" s="1">
        <f>E1</f>
        <v>43100</v>
      </c>
      <c r="F53" s="1">
        <f t="shared" ref="F53:AC53" si="45">F1</f>
        <v>43008</v>
      </c>
      <c r="G53" s="1">
        <f t="shared" si="45"/>
        <v>42916</v>
      </c>
      <c r="H53" s="1">
        <f t="shared" si="45"/>
        <v>42825</v>
      </c>
      <c r="I53" s="1">
        <f t="shared" si="45"/>
        <v>42735</v>
      </c>
      <c r="J53" s="1">
        <f t="shared" si="45"/>
        <v>42643</v>
      </c>
      <c r="K53" s="1">
        <f t="shared" si="45"/>
        <v>42551</v>
      </c>
      <c r="L53" s="1">
        <f t="shared" si="45"/>
        <v>42460</v>
      </c>
      <c r="M53" s="1">
        <f t="shared" si="45"/>
        <v>42369</v>
      </c>
      <c r="N53" s="1">
        <f t="shared" si="45"/>
        <v>42277</v>
      </c>
      <c r="O53" s="1">
        <f t="shared" si="45"/>
        <v>42004</v>
      </c>
      <c r="P53" s="1">
        <f t="shared" si="45"/>
        <v>41639</v>
      </c>
      <c r="Q53" s="1">
        <f t="shared" si="45"/>
        <v>41274</v>
      </c>
      <c r="R53" s="1">
        <f t="shared" si="45"/>
        <v>40908</v>
      </c>
      <c r="S53" s="1">
        <f t="shared" si="45"/>
        <v>25569</v>
      </c>
      <c r="T53" s="1">
        <f t="shared" si="45"/>
        <v>0</v>
      </c>
      <c r="U53" s="1">
        <f t="shared" si="45"/>
        <v>0</v>
      </c>
      <c r="V53" s="1">
        <f t="shared" si="45"/>
        <v>0</v>
      </c>
      <c r="W53" s="1">
        <f t="shared" si="45"/>
        <v>0</v>
      </c>
      <c r="X53" s="1">
        <f t="shared" si="45"/>
        <v>0</v>
      </c>
      <c r="Y53" s="1">
        <f t="shared" si="45"/>
        <v>0</v>
      </c>
      <c r="Z53" s="1">
        <f t="shared" si="45"/>
        <v>0</v>
      </c>
      <c r="AA53" s="1">
        <f t="shared" si="45"/>
        <v>0</v>
      </c>
      <c r="AB53" s="1">
        <f t="shared" si="45"/>
        <v>0</v>
      </c>
      <c r="AC53" s="1">
        <f t="shared" si="45"/>
        <v>0</v>
      </c>
    </row>
    <row r="54" spans="1:88" x14ac:dyDescent="0.25">
      <c r="A54" s="17" t="s">
        <v>671</v>
      </c>
      <c r="E54" s="191">
        <f>E39</f>
        <v>166254087.90000001</v>
      </c>
      <c r="F54" s="191">
        <f t="shared" ref="F54:AC54" si="46">F39</f>
        <v>123974008.48000005</v>
      </c>
      <c r="G54" s="191">
        <f t="shared" si="46"/>
        <v>68565731.800000012</v>
      </c>
      <c r="H54" s="191">
        <f t="shared" si="46"/>
        <v>21351904.00999999</v>
      </c>
      <c r="I54" s="191">
        <f t="shared" si="46"/>
        <v>154464604.63999996</v>
      </c>
      <c r="J54" s="191">
        <f t="shared" si="46"/>
        <v>114236527.72000003</v>
      </c>
      <c r="K54" s="191">
        <f t="shared" si="46"/>
        <v>59553780.909999989</v>
      </c>
      <c r="L54" s="191">
        <f t="shared" si="46"/>
        <v>11857340.220000006</v>
      </c>
      <c r="M54" s="191">
        <f t="shared" si="46"/>
        <v>139508536.5</v>
      </c>
      <c r="N54" s="191">
        <f t="shared" si="46"/>
        <v>98734106.919999972</v>
      </c>
      <c r="O54" s="191">
        <f t="shared" si="46"/>
        <v>121681477.87000003</v>
      </c>
      <c r="P54" s="191">
        <f t="shared" si="46"/>
        <v>111732572.96000004</v>
      </c>
      <c r="Q54" s="191">
        <f t="shared" si="46"/>
        <v>96611045.13000001</v>
      </c>
      <c r="R54" s="191">
        <f t="shared" si="46"/>
        <v>83600165.599999994</v>
      </c>
      <c r="S54" s="191">
        <f t="shared" si="46"/>
        <v>0</v>
      </c>
      <c r="T54" s="191">
        <f t="shared" si="46"/>
        <v>0</v>
      </c>
      <c r="U54" s="191">
        <f t="shared" si="46"/>
        <v>830830320.38</v>
      </c>
      <c r="V54" s="191">
        <f t="shared" si="46"/>
        <v>3732421.22</v>
      </c>
      <c r="W54" s="191">
        <f t="shared" si="46"/>
        <v>3732421.22</v>
      </c>
      <c r="X54" s="191">
        <f t="shared" si="46"/>
        <v>0</v>
      </c>
      <c r="Y54" s="191">
        <f t="shared" si="46"/>
        <v>793102067.42999995</v>
      </c>
      <c r="Z54" s="191">
        <f t="shared" si="46"/>
        <v>-917593.17</v>
      </c>
      <c r="AA54" s="191">
        <f t="shared" si="46"/>
        <v>-984891.57</v>
      </c>
      <c r="AB54" s="191">
        <f t="shared" si="46"/>
        <v>-9791.5400000000009</v>
      </c>
      <c r="AC54" s="191">
        <f t="shared" si="46"/>
        <v>477256150.63999999</v>
      </c>
    </row>
    <row r="55" spans="1:88" s="63" customFormat="1" x14ac:dyDescent="0.25">
      <c r="A55" s="63" t="s">
        <v>672</v>
      </c>
      <c r="E55" s="63">
        <f>E54/E2</f>
        <v>0.22096240780960927</v>
      </c>
      <c r="F55" s="63">
        <f t="shared" ref="F55:AC55" si="47">F54/F2</f>
        <v>0.2357938161829467</v>
      </c>
      <c r="G55" s="63">
        <f t="shared" si="47"/>
        <v>0.20179998639159474</v>
      </c>
      <c r="H55" s="63">
        <f t="shared" si="47"/>
        <v>0.13891864284186209</v>
      </c>
      <c r="I55" s="63">
        <f t="shared" si="47"/>
        <v>0.23227361159850929</v>
      </c>
      <c r="J55" s="63">
        <f t="shared" si="47"/>
        <v>0.25161791760811975</v>
      </c>
      <c r="K55" s="63">
        <f t="shared" si="47"/>
        <v>0.21024621274883967</v>
      </c>
      <c r="L55" s="63">
        <f t="shared" si="47"/>
        <v>9.5390858381427704E-2</v>
      </c>
      <c r="M55" s="63">
        <f t="shared" si="47"/>
        <v>0.23366781761171718</v>
      </c>
      <c r="N55" s="63">
        <f t="shared" si="47"/>
        <v>0.2411234567034678</v>
      </c>
      <c r="O55" s="63">
        <f t="shared" si="47"/>
        <v>0.23010448239094775</v>
      </c>
      <c r="P55" s="63">
        <f t="shared" si="47"/>
        <v>0.23042017511296525</v>
      </c>
      <c r="Q55" s="63">
        <f t="shared" si="47"/>
        <v>0.24421779960748016</v>
      </c>
      <c r="R55" s="63">
        <f t="shared" si="47"/>
        <v>0.26381320271879261</v>
      </c>
      <c r="S55" s="63" t="e">
        <f t="shared" si="47"/>
        <v>#DIV/0!</v>
      </c>
      <c r="T55" s="63" t="e">
        <f t="shared" si="47"/>
        <v>#DIV/0!</v>
      </c>
      <c r="U55" s="63" t="e">
        <f t="shared" si="47"/>
        <v>#DIV/0!</v>
      </c>
      <c r="V55" s="63" t="e">
        <f t="shared" si="47"/>
        <v>#DIV/0!</v>
      </c>
      <c r="W55" s="63" t="e">
        <f t="shared" si="47"/>
        <v>#DIV/0!</v>
      </c>
      <c r="X55" s="63" t="e">
        <f t="shared" si="47"/>
        <v>#DIV/0!</v>
      </c>
      <c r="Y55" s="63" t="e">
        <f t="shared" si="47"/>
        <v>#DIV/0!</v>
      </c>
      <c r="Z55" s="63" t="e">
        <f t="shared" si="47"/>
        <v>#DIV/0!</v>
      </c>
      <c r="AA55" s="63" t="e">
        <f t="shared" si="47"/>
        <v>#DIV/0!</v>
      </c>
      <c r="AB55" s="63" t="e">
        <f t="shared" si="47"/>
        <v>#DIV/0!</v>
      </c>
      <c r="AC55" s="63" t="e">
        <f t="shared" si="47"/>
        <v>#DIV/0!</v>
      </c>
    </row>
    <row r="56" spans="1:88" x14ac:dyDescent="0.25">
      <c r="A56" s="17" t="s">
        <v>673</v>
      </c>
      <c r="E56" s="191">
        <f>E23</f>
        <v>131862245.31655653</v>
      </c>
      <c r="F56" s="191">
        <f t="shared" ref="F56:AC56" si="48">F23</f>
        <v>99155553.065059483</v>
      </c>
      <c r="G56" s="191">
        <f t="shared" si="48"/>
        <v>54064735.591907874</v>
      </c>
      <c r="H56" s="191">
        <f t="shared" si="48"/>
        <v>16486232.646324649</v>
      </c>
      <c r="I56" s="191">
        <f t="shared" si="48"/>
        <v>130251681.47252651</v>
      </c>
      <c r="J56" s="191">
        <f t="shared" si="48"/>
        <v>96104716.657987207</v>
      </c>
      <c r="K56" s="191">
        <f t="shared" si="48"/>
        <v>49896706.918183491</v>
      </c>
      <c r="L56" s="191">
        <f t="shared" si="48"/>
        <v>9641952.0730275512</v>
      </c>
      <c r="M56" s="191">
        <f t="shared" si="48"/>
        <v>117478001.56777264</v>
      </c>
      <c r="N56" s="191">
        <f t="shared" si="48"/>
        <v>82319387.510931507</v>
      </c>
      <c r="O56" s="191">
        <f t="shared" si="48"/>
        <v>103006179.04089503</v>
      </c>
      <c r="P56" s="191">
        <f t="shared" si="48"/>
        <v>93171734.136197031</v>
      </c>
      <c r="Q56" s="191">
        <f t="shared" si="48"/>
        <v>78570681.575730503</v>
      </c>
      <c r="R56" s="191">
        <f t="shared" si="48"/>
        <v>69095138.258024842</v>
      </c>
      <c r="S56" s="191" t="e">
        <f t="shared" si="48"/>
        <v>#DIV/0!</v>
      </c>
      <c r="T56" s="191">
        <f t="shared" si="48"/>
        <v>0</v>
      </c>
      <c r="U56" s="191">
        <f t="shared" si="48"/>
        <v>-14654163.3124847</v>
      </c>
      <c r="V56" s="191">
        <f t="shared" si="48"/>
        <v>0</v>
      </c>
      <c r="W56" s="191">
        <f t="shared" si="48"/>
        <v>0</v>
      </c>
      <c r="X56" s="191">
        <f t="shared" si="48"/>
        <v>0</v>
      </c>
      <c r="Y56" s="191">
        <f t="shared" si="48"/>
        <v>-38862740.031897604</v>
      </c>
      <c r="Z56" s="191">
        <f t="shared" si="48"/>
        <v>0</v>
      </c>
      <c r="AA56" s="191">
        <f t="shared" si="48"/>
        <v>0</v>
      </c>
      <c r="AB56" s="191">
        <f t="shared" si="48"/>
        <v>0</v>
      </c>
      <c r="AC56" s="191">
        <f t="shared" si="48"/>
        <v>-27571135.956625599</v>
      </c>
    </row>
    <row r="57" spans="1:88" s="63" customFormat="1" x14ac:dyDescent="0.25">
      <c r="A57" s="63" t="s">
        <v>674</v>
      </c>
      <c r="E57" s="63">
        <f>E56/E2</f>
        <v>0.17525343041100466</v>
      </c>
      <c r="F57" s="63">
        <f t="shared" ref="F57:AC57" si="49">F56/F2</f>
        <v>0.18859006447882054</v>
      </c>
      <c r="G57" s="63">
        <f t="shared" si="49"/>
        <v>0.15912122018235611</v>
      </c>
      <c r="H57" s="63">
        <f t="shared" si="49"/>
        <v>0.10726186590807094</v>
      </c>
      <c r="I57" s="63">
        <f t="shared" si="49"/>
        <v>0.19586382616854753</v>
      </c>
      <c r="J57" s="63">
        <f t="shared" si="49"/>
        <v>0.21168070459101931</v>
      </c>
      <c r="K57" s="63">
        <f t="shared" si="49"/>
        <v>0.17615327688498408</v>
      </c>
      <c r="L57" s="63">
        <f t="shared" si="49"/>
        <v>7.7568330473247057E-2</v>
      </c>
      <c r="M57" s="63">
        <f t="shared" si="49"/>
        <v>0.19676808984178054</v>
      </c>
      <c r="N57" s="63">
        <f t="shared" si="49"/>
        <v>0.2010362567661749</v>
      </c>
      <c r="O57" s="63">
        <f t="shared" si="49"/>
        <v>0.19478875442815524</v>
      </c>
      <c r="P57" s="63">
        <f t="shared" si="49"/>
        <v>0.19214313898353419</v>
      </c>
      <c r="Q57" s="63">
        <f t="shared" si="49"/>
        <v>0.1986145470454749</v>
      </c>
      <c r="R57" s="63">
        <f t="shared" si="49"/>
        <v>0.21804035417062992</v>
      </c>
      <c r="S57" s="63" t="e">
        <f t="shared" si="49"/>
        <v>#DIV/0!</v>
      </c>
      <c r="T57" s="63" t="e">
        <f t="shared" si="49"/>
        <v>#DIV/0!</v>
      </c>
      <c r="U57" s="63" t="e">
        <f t="shared" si="49"/>
        <v>#DIV/0!</v>
      </c>
      <c r="V57" s="63" t="e">
        <f t="shared" si="49"/>
        <v>#DIV/0!</v>
      </c>
      <c r="W57" s="63" t="e">
        <f t="shared" si="49"/>
        <v>#DIV/0!</v>
      </c>
      <c r="X57" s="63" t="e">
        <f t="shared" si="49"/>
        <v>#DIV/0!</v>
      </c>
      <c r="Y57" s="63" t="e">
        <f t="shared" si="49"/>
        <v>#DIV/0!</v>
      </c>
      <c r="Z57" s="63" t="e">
        <f t="shared" si="49"/>
        <v>#DIV/0!</v>
      </c>
      <c r="AA57" s="63" t="e">
        <f t="shared" si="49"/>
        <v>#DIV/0!</v>
      </c>
      <c r="AB57" s="63" t="e">
        <f t="shared" si="49"/>
        <v>#DIV/0!</v>
      </c>
      <c r="AC57" s="63" t="e">
        <f t="shared" si="49"/>
        <v>#DIV/0!</v>
      </c>
    </row>
    <row r="58" spans="1:88" ht="93" customHeight="1" x14ac:dyDescent="0.25">
      <c r="A58" s="278" t="s">
        <v>675</v>
      </c>
      <c r="B58" s="284"/>
      <c r="C58" s="284"/>
      <c r="D58" s="284"/>
      <c r="E58" s="284"/>
      <c r="F58" s="284"/>
      <c r="G58" s="284"/>
      <c r="H58" s="284"/>
      <c r="I58" s="284"/>
      <c r="J58" s="284"/>
      <c r="K58" s="284"/>
      <c r="L58" s="284"/>
      <c r="M58" s="284"/>
      <c r="N58" s="284"/>
      <c r="O58" s="284"/>
      <c r="P58" s="284"/>
      <c r="Q58" s="284"/>
      <c r="R58" s="284"/>
      <c r="S58" s="284"/>
      <c r="T58" s="284"/>
      <c r="U58" s="284"/>
      <c r="V58" s="284"/>
      <c r="W58" s="284"/>
      <c r="X58" s="284"/>
      <c r="Y58" s="284"/>
      <c r="Z58" s="284"/>
      <c r="AA58" s="284"/>
      <c r="AB58" s="284"/>
      <c r="AC58" s="284"/>
    </row>
    <row r="60" spans="1:88" s="223" customFormat="1" x14ac:dyDescent="0.25">
      <c r="A60" s="225" t="s">
        <v>677</v>
      </c>
      <c r="B60" s="221"/>
      <c r="C60" s="221"/>
      <c r="D60" s="221"/>
      <c r="E60" s="226">
        <f>E53</f>
        <v>43100</v>
      </c>
      <c r="F60" s="226">
        <f t="shared" ref="F60:AC60" si="50">F53</f>
        <v>43008</v>
      </c>
      <c r="G60" s="226">
        <f t="shared" si="50"/>
        <v>42916</v>
      </c>
      <c r="H60" s="226">
        <f t="shared" si="50"/>
        <v>42825</v>
      </c>
      <c r="I60" s="226">
        <f t="shared" si="50"/>
        <v>42735</v>
      </c>
      <c r="J60" s="226">
        <f t="shared" si="50"/>
        <v>42643</v>
      </c>
      <c r="K60" s="226">
        <f t="shared" si="50"/>
        <v>42551</v>
      </c>
      <c r="L60" s="226">
        <f t="shared" si="50"/>
        <v>42460</v>
      </c>
      <c r="M60" s="226">
        <f t="shared" si="50"/>
        <v>42369</v>
      </c>
      <c r="N60" s="226">
        <f t="shared" si="50"/>
        <v>42277</v>
      </c>
      <c r="O60" s="226">
        <f t="shared" si="50"/>
        <v>42004</v>
      </c>
      <c r="P60" s="226">
        <f t="shared" si="50"/>
        <v>41639</v>
      </c>
      <c r="Q60" s="226">
        <f t="shared" si="50"/>
        <v>41274</v>
      </c>
      <c r="R60" s="226">
        <f t="shared" si="50"/>
        <v>40908</v>
      </c>
      <c r="S60" s="226">
        <f t="shared" si="50"/>
        <v>25569</v>
      </c>
      <c r="T60" s="226">
        <f t="shared" si="50"/>
        <v>0</v>
      </c>
      <c r="U60" s="226">
        <f t="shared" si="50"/>
        <v>0</v>
      </c>
      <c r="V60" s="226">
        <f t="shared" si="50"/>
        <v>0</v>
      </c>
      <c r="W60" s="226">
        <f t="shared" si="50"/>
        <v>0</v>
      </c>
      <c r="X60" s="226">
        <f t="shared" si="50"/>
        <v>0</v>
      </c>
      <c r="Y60" s="226">
        <f t="shared" si="50"/>
        <v>0</v>
      </c>
      <c r="Z60" s="226">
        <f t="shared" si="50"/>
        <v>0</v>
      </c>
      <c r="AA60" s="226">
        <f t="shared" si="50"/>
        <v>0</v>
      </c>
      <c r="AB60" s="226">
        <f t="shared" si="50"/>
        <v>0</v>
      </c>
      <c r="AC60" s="226">
        <f t="shared" si="50"/>
        <v>0</v>
      </c>
    </row>
    <row r="61" spans="1:88" s="191" customFormat="1" x14ac:dyDescent="0.25">
      <c r="A61" s="88" t="s">
        <v>678</v>
      </c>
      <c r="B61" s="88"/>
      <c r="C61" s="88"/>
      <c r="D61" s="88"/>
      <c r="E61" s="88">
        <f>股权价值增加表!E38</f>
        <v>165517045.63</v>
      </c>
      <c r="F61" s="88">
        <f>股权价值增加表!F38</f>
        <v>124698517.17000005</v>
      </c>
      <c r="G61" s="88">
        <f>股权价值增加表!G38</f>
        <v>68823769.700000018</v>
      </c>
      <c r="H61" s="88">
        <f>股权价值增加表!H38</f>
        <v>21151738.219999991</v>
      </c>
      <c r="I61" s="88">
        <f>股权价值增加表!I38</f>
        <v>149336203.51999995</v>
      </c>
      <c r="J61" s="88">
        <f>股权价值增加表!J38</f>
        <v>110997852.59000003</v>
      </c>
      <c r="K61" s="88">
        <f>股权价值增加表!K38</f>
        <v>57578394.519999988</v>
      </c>
      <c r="L61" s="88">
        <f>股权价值增加表!L38</f>
        <v>10864080.150000006</v>
      </c>
      <c r="M61" s="88">
        <f>股权价值增加表!M38</f>
        <v>133258805.45</v>
      </c>
      <c r="N61" s="88">
        <f>股权价值增加表!N38</f>
        <v>94510305.099999964</v>
      </c>
      <c r="O61" s="88">
        <f>股权价值增加表!O38</f>
        <v>112122121.20000003</v>
      </c>
      <c r="P61" s="88">
        <f>股权价值增加表!P38</f>
        <v>100755792.96000004</v>
      </c>
      <c r="Q61" s="88">
        <f>股权价值增加表!Q38</f>
        <v>96615239.570000008</v>
      </c>
      <c r="R61" s="88">
        <f>股权价值增加表!R38</f>
        <v>84191840.50999999</v>
      </c>
      <c r="S61" s="88">
        <f>股权价值增加表!S38</f>
        <v>0</v>
      </c>
      <c r="T61" s="88">
        <f>股权价值增加表!T38</f>
        <v>245115593.80000001</v>
      </c>
      <c r="U61" s="88">
        <f>股权价值增加表!U38</f>
        <v>836470729.83999991</v>
      </c>
      <c r="V61" s="88">
        <f>股权价值增加表!V38</f>
        <v>663136603.66000009</v>
      </c>
      <c r="W61" s="88">
        <f>股权价值增加表!W38</f>
        <v>475677319.73000002</v>
      </c>
      <c r="X61" s="88">
        <f>股权价值增加表!X38</f>
        <v>238664090.94</v>
      </c>
      <c r="Y61" s="88">
        <f>股权价值增加表!Y38</f>
        <v>805242211.47000003</v>
      </c>
      <c r="Z61" s="88">
        <f>股权价值增加表!Z38</f>
        <v>619411856.75999999</v>
      </c>
      <c r="AA61" s="88">
        <f>股权价值增加表!AA38</f>
        <v>399260576.25</v>
      </c>
      <c r="AB61" s="88">
        <f>股权价值增加表!AB38</f>
        <v>142300017.34</v>
      </c>
      <c r="AC61" s="88">
        <f>股权价值增加表!AC38</f>
        <v>485120205.63999999</v>
      </c>
    </row>
    <row r="62" spans="1:88" s="191" customFormat="1" x14ac:dyDescent="0.25">
      <c r="A62" s="88" t="s">
        <v>679</v>
      </c>
      <c r="B62" s="88"/>
      <c r="C62" s="88"/>
      <c r="D62" s="88"/>
      <c r="E62" s="88">
        <f>股权价值增加表!E40</f>
        <v>25476937.940000001</v>
      </c>
      <c r="F62" s="88">
        <f>股权价值增加表!F40</f>
        <v>20249808.260000002</v>
      </c>
      <c r="G62" s="88">
        <f>股权价值增加表!G40</f>
        <v>12200381.68</v>
      </c>
      <c r="H62" s="88">
        <f>股权价值增加表!H40</f>
        <v>4219646.83</v>
      </c>
      <c r="I62" s="88">
        <f>股权价值增加表!I40</f>
        <v>22021985.010000002</v>
      </c>
      <c r="J62" s="88">
        <f>股权价值增加表!J40</f>
        <v>17539446.210000001</v>
      </c>
      <c r="K62" s="88">
        <f>股权价值增加表!K40</f>
        <v>9288285.5500000007</v>
      </c>
      <c r="L62" s="88">
        <f>股权价值增加表!L40</f>
        <v>2029810.56</v>
      </c>
      <c r="M62" s="88">
        <f>股权价值增加表!M40</f>
        <v>20513792.670000002</v>
      </c>
      <c r="N62" s="88">
        <f>股权价值增加表!N40</f>
        <v>15626808.42</v>
      </c>
      <c r="O62" s="88">
        <f>股权价值增加表!O40</f>
        <v>17208158.18</v>
      </c>
      <c r="P62" s="88">
        <f>股权价值增加表!P40</f>
        <v>16737393.439999999</v>
      </c>
      <c r="Q62" s="88">
        <f>股权价值增加表!Q40</f>
        <v>18041146.789999999</v>
      </c>
      <c r="R62" s="88">
        <f>股权价值增加表!R40</f>
        <v>14607685.76</v>
      </c>
      <c r="S62" s="88">
        <f>股权价值增加表!S40</f>
        <v>0</v>
      </c>
      <c r="T62" s="88">
        <f>股权价值增加表!T40</f>
        <v>932767728.71000004</v>
      </c>
      <c r="U62" s="88">
        <f>股权价值增加表!U40</f>
        <v>2924864055.6500001</v>
      </c>
      <c r="V62" s="88">
        <f>股权价值增加表!V40</f>
        <v>2433760593.79</v>
      </c>
      <c r="W62" s="88">
        <f>股权价值增加表!W40</f>
        <v>1978855837.8399999</v>
      </c>
      <c r="X62" s="88">
        <f>股权价值增加表!X40</f>
        <v>1234975036.8900001</v>
      </c>
      <c r="Y62" s="88">
        <f>股权价值增加表!Y40</f>
        <v>3402932422.5</v>
      </c>
      <c r="Z62" s="88">
        <f>股权价值增加表!Z40</f>
        <v>2601217500.98</v>
      </c>
      <c r="AA62" s="88">
        <f>股权价值增加表!AA40</f>
        <v>1712386078.7</v>
      </c>
      <c r="AB62" s="88">
        <f>股权价值增加表!AB40</f>
        <v>1032090586.53</v>
      </c>
      <c r="AC62" s="88">
        <f>股权价值增加表!AC40</f>
        <v>2105576465.3599999</v>
      </c>
    </row>
    <row r="63" spans="1:88" x14ac:dyDescent="0.25">
      <c r="A63" s="182" t="s">
        <v>680</v>
      </c>
      <c r="B63" s="64"/>
      <c r="C63" s="64"/>
      <c r="D63" s="64"/>
      <c r="E63" s="64">
        <f>股权价值增加表!E42</f>
        <v>140040107.69</v>
      </c>
      <c r="F63" s="64">
        <f>股权价值增加表!F42</f>
        <v>104448708.91000004</v>
      </c>
      <c r="G63" s="64">
        <f>股权价值增加表!G42</f>
        <v>56623388.020000018</v>
      </c>
      <c r="H63" s="64">
        <f>股权价值增加表!H42</f>
        <v>16932091.389999993</v>
      </c>
      <c r="I63" s="64">
        <f>股权价值增加表!I42</f>
        <v>127314218.50999995</v>
      </c>
      <c r="J63" s="64">
        <f>股权价值增加表!J42</f>
        <v>93458406.380000025</v>
      </c>
      <c r="K63" s="64">
        <f>股权价值增加表!K42</f>
        <v>48290108.969999984</v>
      </c>
      <c r="L63" s="64">
        <f>股权价值增加表!L42</f>
        <v>8834269.5900000054</v>
      </c>
      <c r="M63" s="64">
        <f>股权价值增加表!M42</f>
        <v>112745012.78</v>
      </c>
      <c r="N63" s="64">
        <f>股权价值增加表!N42</f>
        <v>78883496.679999962</v>
      </c>
      <c r="O63" s="64">
        <f>股权价值增加表!O42</f>
        <v>94913963.020000041</v>
      </c>
      <c r="P63" s="64">
        <f>股权价值增加表!P42</f>
        <v>84018399.520000041</v>
      </c>
      <c r="Q63" s="64">
        <f>股权价值增加表!Q42</f>
        <v>78574092.780000001</v>
      </c>
      <c r="R63" s="64">
        <f>股权价值增加表!R42</f>
        <v>69584154.749999985</v>
      </c>
      <c r="S63" s="64">
        <f>股权价值增加表!S42</f>
        <v>0</v>
      </c>
      <c r="T63" s="64">
        <f>股权价值增加表!T42</f>
        <v>-687652134.91000009</v>
      </c>
      <c r="U63" s="64">
        <f>股权价值增加表!U42</f>
        <v>-2088393325.8100002</v>
      </c>
      <c r="V63" s="64">
        <f>股权价值增加表!V42</f>
        <v>-1770623990.1299999</v>
      </c>
      <c r="W63" s="64">
        <f>股权价值增加表!W42</f>
        <v>-1503178518.1099999</v>
      </c>
      <c r="X63" s="64">
        <f>股权价值增加表!X42</f>
        <v>-996310945.95000005</v>
      </c>
      <c r="Y63" s="64">
        <f>股权价值增加表!Y42</f>
        <v>-2597690211.0299997</v>
      </c>
      <c r="Z63" s="64">
        <f>股权价值增加表!Z42</f>
        <v>-1981805644.22</v>
      </c>
      <c r="AA63" s="64">
        <f>股权价值增加表!AA42</f>
        <v>-1313125502.45</v>
      </c>
      <c r="AB63" s="64">
        <f>股权价值增加表!AB42</f>
        <v>-889790569.18999994</v>
      </c>
      <c r="AC63" s="64">
        <f>股权价值增加表!AC42</f>
        <v>-1620456259.7199998</v>
      </c>
    </row>
    <row r="64" spans="1:88" s="63" customFormat="1" x14ac:dyDescent="0.25">
      <c r="A64" s="212" t="s">
        <v>681</v>
      </c>
      <c r="B64" s="212"/>
      <c r="C64" s="212"/>
      <c r="D64" s="212"/>
      <c r="E64" s="212">
        <f>1-E63/E61</f>
        <v>0.15392334875860236</v>
      </c>
      <c r="F64" s="212">
        <f t="shared" ref="F64:AC64" si="51">1-F63/F61</f>
        <v>0.16239012876467229</v>
      </c>
      <c r="G64" s="212">
        <f t="shared" si="51"/>
        <v>0.17726988412841904</v>
      </c>
      <c r="H64" s="212">
        <f t="shared" si="51"/>
        <v>0.199494092925664</v>
      </c>
      <c r="I64" s="212">
        <f t="shared" si="51"/>
        <v>0.1474658153275652</v>
      </c>
      <c r="J64" s="212">
        <f t="shared" si="51"/>
        <v>0.15801608590381111</v>
      </c>
      <c r="K64" s="212">
        <f t="shared" si="51"/>
        <v>0.16131546611244429</v>
      </c>
      <c r="L64" s="212">
        <f t="shared" si="51"/>
        <v>0.18683685429180119</v>
      </c>
      <c r="M64" s="212">
        <f t="shared" si="51"/>
        <v>0.15393949090814096</v>
      </c>
      <c r="N64" s="212">
        <f t="shared" si="51"/>
        <v>0.16534502140761798</v>
      </c>
      <c r="O64" s="212">
        <f t="shared" si="51"/>
        <v>0.15347692316045825</v>
      </c>
      <c r="P64" s="212">
        <f t="shared" si="51"/>
        <v>0.16611842305330005</v>
      </c>
      <c r="Q64" s="212">
        <f t="shared" si="51"/>
        <v>0.18673189519888089</v>
      </c>
      <c r="R64" s="212">
        <f t="shared" si="51"/>
        <v>0.17350476805724369</v>
      </c>
      <c r="S64" s="212" t="e">
        <f t="shared" si="51"/>
        <v>#DIV/0!</v>
      </c>
      <c r="T64" s="212">
        <f t="shared" si="51"/>
        <v>3.805419778682396</v>
      </c>
      <c r="U64" s="212">
        <f t="shared" si="51"/>
        <v>3.4966723297173448</v>
      </c>
      <c r="V64" s="212">
        <f t="shared" si="51"/>
        <v>3.6700742808608782</v>
      </c>
      <c r="W64" s="212">
        <f t="shared" si="51"/>
        <v>4.1600802808156203</v>
      </c>
      <c r="X64" s="212">
        <f t="shared" si="51"/>
        <v>5.1745322558829008</v>
      </c>
      <c r="Y64" s="212">
        <f t="shared" si="51"/>
        <v>4.2259737182528205</v>
      </c>
      <c r="Z64" s="212">
        <f t="shared" si="51"/>
        <v>4.1994958162188993</v>
      </c>
      <c r="AA64" s="212">
        <f t="shared" si="51"/>
        <v>4.2888934709841644</v>
      </c>
      <c r="AB64" s="212">
        <f t="shared" si="51"/>
        <v>7.2529196118367807</v>
      </c>
      <c r="AC64" s="212">
        <f t="shared" si="51"/>
        <v>4.3403190402720817</v>
      </c>
    </row>
    <row r="65" spans="1:29" ht="42.6" customHeight="1" x14ac:dyDescent="0.25">
      <c r="A65" s="280" t="s">
        <v>682</v>
      </c>
      <c r="B65" s="280"/>
      <c r="C65" s="280"/>
      <c r="D65" s="280"/>
      <c r="E65" s="280"/>
      <c r="F65" s="280"/>
      <c r="G65" s="280"/>
      <c r="H65" s="280"/>
      <c r="I65" s="280"/>
      <c r="J65" s="280"/>
      <c r="K65" s="280"/>
      <c r="L65" s="280"/>
      <c r="M65" s="280"/>
      <c r="N65" s="280"/>
      <c r="O65" s="280"/>
      <c r="P65" s="280"/>
      <c r="Q65" s="280"/>
      <c r="R65" s="280"/>
      <c r="S65" s="280"/>
      <c r="T65" s="280"/>
      <c r="U65" s="280"/>
      <c r="V65" s="280"/>
      <c r="W65" s="280"/>
      <c r="X65" s="280"/>
      <c r="Y65" s="280"/>
      <c r="Z65" s="280"/>
      <c r="AA65" s="280"/>
      <c r="AB65" s="280"/>
      <c r="AC65" s="280"/>
    </row>
    <row r="67" spans="1:29" s="221" customFormat="1" x14ac:dyDescent="0.25">
      <c r="A67" s="220" t="s">
        <v>752</v>
      </c>
      <c r="E67" s="226">
        <f>E60</f>
        <v>43100</v>
      </c>
      <c r="F67" s="226">
        <f t="shared" ref="F67:AC67" si="52">F60</f>
        <v>43008</v>
      </c>
      <c r="G67" s="226">
        <f t="shared" si="52"/>
        <v>42916</v>
      </c>
      <c r="H67" s="226">
        <f t="shared" si="52"/>
        <v>42825</v>
      </c>
      <c r="I67" s="226">
        <f t="shared" si="52"/>
        <v>42735</v>
      </c>
      <c r="J67" s="226">
        <f t="shared" si="52"/>
        <v>42643</v>
      </c>
      <c r="K67" s="226">
        <f t="shared" si="52"/>
        <v>42551</v>
      </c>
      <c r="L67" s="226">
        <f t="shared" si="52"/>
        <v>42460</v>
      </c>
      <c r="M67" s="226">
        <f t="shared" si="52"/>
        <v>42369</v>
      </c>
      <c r="N67" s="226">
        <f t="shared" si="52"/>
        <v>42277</v>
      </c>
      <c r="O67" s="226">
        <f t="shared" si="52"/>
        <v>42004</v>
      </c>
      <c r="P67" s="226">
        <f t="shared" si="52"/>
        <v>41639</v>
      </c>
      <c r="Q67" s="226">
        <f t="shared" si="52"/>
        <v>41274</v>
      </c>
      <c r="R67" s="226">
        <f t="shared" si="52"/>
        <v>40908</v>
      </c>
      <c r="S67" s="226">
        <f t="shared" si="52"/>
        <v>25569</v>
      </c>
      <c r="T67" s="226">
        <f t="shared" si="52"/>
        <v>0</v>
      </c>
      <c r="U67" s="226">
        <f t="shared" si="52"/>
        <v>0</v>
      </c>
      <c r="V67" s="226">
        <f t="shared" si="52"/>
        <v>0</v>
      </c>
      <c r="W67" s="226">
        <f t="shared" si="52"/>
        <v>0</v>
      </c>
      <c r="X67" s="226">
        <f t="shared" si="52"/>
        <v>0</v>
      </c>
      <c r="Y67" s="226">
        <f t="shared" si="52"/>
        <v>0</v>
      </c>
      <c r="Z67" s="226">
        <f t="shared" si="52"/>
        <v>0</v>
      </c>
      <c r="AA67" s="226">
        <f t="shared" si="52"/>
        <v>0</v>
      </c>
      <c r="AB67" s="226">
        <f t="shared" si="52"/>
        <v>0</v>
      </c>
      <c r="AC67" s="226">
        <f t="shared" si="52"/>
        <v>0</v>
      </c>
    </row>
    <row r="68" spans="1:29" s="88" customFormat="1" x14ac:dyDescent="0.25">
      <c r="A68" s="88" t="s">
        <v>753</v>
      </c>
      <c r="E68" s="88">
        <f>股权价值增加表!E15</f>
        <v>155851417.39000002</v>
      </c>
      <c r="F68" s="88">
        <f>股权价值增加表!F15</f>
        <v>118379160.12000005</v>
      </c>
      <c r="G68" s="88">
        <f>股权价值增加表!G15</f>
        <v>65713816.170000009</v>
      </c>
      <c r="H68" s="88">
        <f>股权价值增加表!H15</f>
        <v>20594767.00999999</v>
      </c>
      <c r="I68" s="88">
        <f>股权价值增加表!I15</f>
        <v>152781769.70999995</v>
      </c>
      <c r="J68" s="88">
        <f>股权价值增加表!J15</f>
        <v>114140798.95000003</v>
      </c>
      <c r="K68" s="88">
        <f>股权价值增加表!K15</f>
        <v>59494011.039999992</v>
      </c>
      <c r="L68" s="88">
        <f>股权价值增加表!L15</f>
        <v>11857340.220000006</v>
      </c>
      <c r="M68" s="88">
        <f>股权价值增加表!M15</f>
        <v>138852954.72999999</v>
      </c>
      <c r="N68" s="88">
        <f>股权价值增加表!N15</f>
        <v>98626845.369999975</v>
      </c>
      <c r="O68" s="88">
        <f>股权价值增加表!O15</f>
        <v>121681477.87000003</v>
      </c>
      <c r="P68" s="88">
        <f>股权价值增加表!P15</f>
        <v>111732572.96000004</v>
      </c>
      <c r="Q68" s="88">
        <f>股权价值增加表!Q15</f>
        <v>96611045.13000001</v>
      </c>
      <c r="R68" s="88">
        <f>股权价值增加表!R15</f>
        <v>83600165.599999994</v>
      </c>
      <c r="S68" s="88">
        <f>股权价值增加表!S15</f>
        <v>0</v>
      </c>
      <c r="T68" s="88">
        <f>股权价值增加表!T15</f>
        <v>0</v>
      </c>
      <c r="U68" s="88">
        <f>股权价值增加表!U15</f>
        <v>5869478</v>
      </c>
      <c r="V68" s="88">
        <f>股权价值增加表!V15</f>
        <v>0</v>
      </c>
      <c r="W68" s="88">
        <f>股权价值增加表!W15</f>
        <v>0</v>
      </c>
      <c r="X68" s="88">
        <f>股权价值增加表!X15</f>
        <v>0</v>
      </c>
      <c r="Y68" s="88">
        <f>股权价值增加表!Y15</f>
        <v>12046824.75</v>
      </c>
      <c r="Z68" s="88">
        <f>股权价值增加表!Z15</f>
        <v>0</v>
      </c>
      <c r="AA68" s="88">
        <f>股权价值增加表!AA15</f>
        <v>0</v>
      </c>
      <c r="AB68" s="88">
        <f>股权价值增加表!AB15</f>
        <v>0</v>
      </c>
      <c r="AC68" s="88">
        <f>股权价值增加表!AC15</f>
        <v>8254042.6900000004</v>
      </c>
    </row>
    <row r="69" spans="1:29" s="88" customFormat="1" x14ac:dyDescent="0.25">
      <c r="A69" s="88" t="s">
        <v>754</v>
      </c>
      <c r="E69" s="88">
        <f>股权价值增加表!E27</f>
        <v>10402670.51</v>
      </c>
      <c r="F69" s="88">
        <f>股权价值增加表!F27</f>
        <v>5594848.3600000003</v>
      </c>
      <c r="G69" s="88">
        <f>股权价值增加表!G27</f>
        <v>2851915.63</v>
      </c>
      <c r="H69" s="88">
        <f>股权价值增加表!H27</f>
        <v>757137</v>
      </c>
      <c r="I69" s="88">
        <f>股权价值增加表!I27</f>
        <v>1682834.9300000002</v>
      </c>
      <c r="J69" s="88">
        <f>股权价值增加表!J27</f>
        <v>95728.77</v>
      </c>
      <c r="K69" s="88">
        <f>股权价值增加表!K27</f>
        <v>59769.87</v>
      </c>
      <c r="L69" s="88">
        <f>股权价值增加表!L27</f>
        <v>0</v>
      </c>
      <c r="M69" s="88">
        <f>股权价值增加表!M27</f>
        <v>655581.77</v>
      </c>
      <c r="N69" s="88">
        <f>股权价值增加表!N27</f>
        <v>107261.55</v>
      </c>
      <c r="O69" s="88">
        <f>股权价值增加表!O27</f>
        <v>0</v>
      </c>
      <c r="P69" s="88">
        <f>股权价值增加表!P27</f>
        <v>0</v>
      </c>
      <c r="Q69" s="88">
        <f>股权价值增加表!Q27</f>
        <v>0</v>
      </c>
      <c r="R69" s="88">
        <f>股权价值增加表!R27</f>
        <v>0</v>
      </c>
      <c r="S69" s="88">
        <f>股权价值增加表!S27</f>
        <v>0</v>
      </c>
      <c r="T69" s="88">
        <f>股权价值增加表!T27</f>
        <v>0</v>
      </c>
      <c r="U69" s="88">
        <f>股权价值增加表!U27</f>
        <v>824960842.38</v>
      </c>
      <c r="V69" s="88">
        <f>股权价值增加表!V27</f>
        <v>3732421.22</v>
      </c>
      <c r="W69" s="88">
        <f>股权价值增加表!W27</f>
        <v>3732421.22</v>
      </c>
      <c r="X69" s="88">
        <f>股权价值增加表!X27</f>
        <v>0</v>
      </c>
      <c r="Y69" s="88">
        <f>股权价值增加表!Y27</f>
        <v>781055242.67999995</v>
      </c>
      <c r="Z69" s="88">
        <f>股权价值增加表!Z27</f>
        <v>-917593.17</v>
      </c>
      <c r="AA69" s="88">
        <f>股权价值增加表!AA27</f>
        <v>-984891.57</v>
      </c>
      <c r="AB69" s="88">
        <f>股权价值增加表!AB27</f>
        <v>-9791.5400000000009</v>
      </c>
      <c r="AC69" s="88">
        <f>股权价值增加表!AC27</f>
        <v>469002107.94999999</v>
      </c>
    </row>
    <row r="70" spans="1:29" s="88" customFormat="1" x14ac:dyDescent="0.25">
      <c r="A70" s="88" t="s">
        <v>755</v>
      </c>
      <c r="E70" s="88">
        <f>股权价值增加表!E31</f>
        <v>166254087.90000001</v>
      </c>
      <c r="F70" s="88">
        <f>股权价值增加表!F31</f>
        <v>123974008.48000005</v>
      </c>
      <c r="G70" s="88">
        <f>股权价值增加表!G31</f>
        <v>68565731.800000012</v>
      </c>
      <c r="H70" s="88">
        <f>股权价值增加表!H31</f>
        <v>21351904.00999999</v>
      </c>
      <c r="I70" s="88">
        <f>股权价值增加表!I31</f>
        <v>154464604.63999996</v>
      </c>
      <c r="J70" s="88">
        <f>股权价值增加表!J31</f>
        <v>114236527.72000003</v>
      </c>
      <c r="K70" s="88">
        <f>股权价值增加表!K31</f>
        <v>59553780.909999989</v>
      </c>
      <c r="L70" s="88">
        <f>股权价值增加表!L31</f>
        <v>11857340.220000006</v>
      </c>
      <c r="M70" s="88">
        <f>股权价值增加表!M31</f>
        <v>139508536.5</v>
      </c>
      <c r="N70" s="88">
        <f>股权价值增加表!N31</f>
        <v>98734106.919999972</v>
      </c>
      <c r="O70" s="88">
        <f>股权价值增加表!O31</f>
        <v>121681477.87000003</v>
      </c>
      <c r="P70" s="88">
        <f>股权价值增加表!P31</f>
        <v>111732572.96000004</v>
      </c>
      <c r="Q70" s="88">
        <f>股权价值增加表!Q31</f>
        <v>96611045.13000001</v>
      </c>
      <c r="R70" s="88">
        <f>股权价值增加表!R31</f>
        <v>83600165.599999994</v>
      </c>
      <c r="S70" s="88">
        <f>股权价值增加表!S31</f>
        <v>0</v>
      </c>
      <c r="T70" s="88">
        <f>股权价值增加表!T31</f>
        <v>0</v>
      </c>
      <c r="U70" s="88">
        <f>股权价值增加表!U31</f>
        <v>830830320.38</v>
      </c>
      <c r="V70" s="88">
        <f>股权价值增加表!V31</f>
        <v>3732421.22</v>
      </c>
      <c r="W70" s="88">
        <f>股权价值增加表!W31</f>
        <v>3732421.22</v>
      </c>
      <c r="X70" s="88">
        <f>股权价值增加表!X31</f>
        <v>0</v>
      </c>
      <c r="Y70" s="88">
        <f>股权价值增加表!Y31</f>
        <v>793102067.42999995</v>
      </c>
      <c r="Z70" s="88">
        <f>股权价值增加表!Z31</f>
        <v>-917593.17</v>
      </c>
      <c r="AA70" s="88">
        <f>股权价值增加表!AA31</f>
        <v>-984891.57</v>
      </c>
      <c r="AB70" s="88">
        <f>股权价值增加表!AB31</f>
        <v>-9791.5400000000009</v>
      </c>
      <c r="AC70" s="88">
        <f>股权价值增加表!AC31</f>
        <v>477256150.63999999</v>
      </c>
    </row>
    <row r="71" spans="1:29" s="212" customFormat="1" x14ac:dyDescent="0.25">
      <c r="A71" s="212" t="s">
        <v>756</v>
      </c>
      <c r="E71" s="212">
        <f>(E70-I70)/I70</f>
        <v>7.6324820741146424E-2</v>
      </c>
      <c r="F71" s="212">
        <f t="shared" ref="F71:AC71" si="53">(F70-J70)/J70</f>
        <v>8.5239642296088672E-2</v>
      </c>
      <c r="G71" s="212">
        <f t="shared" si="53"/>
        <v>0.15132458010716796</v>
      </c>
      <c r="H71" s="212">
        <f t="shared" si="53"/>
        <v>0.80073301548565834</v>
      </c>
      <c r="I71" s="212">
        <f t="shared" si="53"/>
        <v>0.10720539771413885</v>
      </c>
      <c r="J71" s="212">
        <f t="shared" si="53"/>
        <v>0.1570118096329266</v>
      </c>
      <c r="K71" s="212">
        <f t="shared" si="53"/>
        <v>-0.51057644965797477</v>
      </c>
      <c r="L71" s="212">
        <f t="shared" si="53"/>
        <v>-0.89387749779784542</v>
      </c>
      <c r="M71" s="212">
        <f>(M70-O70)/O70</f>
        <v>0.14650593452723948</v>
      </c>
      <c r="N71" s="212">
        <f t="shared" ref="N71:R71" si="54">(N70-P70)/P70</f>
        <v>-0.11633551162071137</v>
      </c>
      <c r="O71" s="212">
        <f t="shared" si="54"/>
        <v>0.25949861846815964</v>
      </c>
      <c r="P71" s="212">
        <f>(P70-Q70)/Q70</f>
        <v>0.1565196589028974</v>
      </c>
      <c r="Q71" s="212">
        <f t="shared" ref="Q71:R71" si="55">(Q70-R70)/R70</f>
        <v>0.15563222197732127</v>
      </c>
      <c r="R71" s="212" t="e">
        <f t="shared" si="55"/>
        <v>#DIV/0!</v>
      </c>
      <c r="S71" s="212">
        <f t="shared" si="53"/>
        <v>-1</v>
      </c>
      <c r="T71" s="212" t="e">
        <f t="shared" si="53"/>
        <v>#DIV/0!</v>
      </c>
      <c r="U71" s="212">
        <f t="shared" si="53"/>
        <v>4.7570488716863653E-2</v>
      </c>
      <c r="V71" s="212">
        <f t="shared" si="53"/>
        <v>-5.0676209697593979</v>
      </c>
      <c r="W71" s="212">
        <f t="shared" si="53"/>
        <v>-4.7896772941208141</v>
      </c>
      <c r="X71" s="212">
        <f t="shared" si="53"/>
        <v>-1</v>
      </c>
      <c r="Y71" s="212">
        <f t="shared" si="53"/>
        <v>0.66179538255599413</v>
      </c>
      <c r="Z71" s="212" t="e">
        <f t="shared" si="53"/>
        <v>#DIV/0!</v>
      </c>
      <c r="AA71" s="212" t="e">
        <f t="shared" si="53"/>
        <v>#DIV/0!</v>
      </c>
      <c r="AB71" s="212" t="e">
        <f t="shared" si="53"/>
        <v>#DIV/0!</v>
      </c>
      <c r="AC71" s="212" t="e">
        <f t="shared" si="53"/>
        <v>#DIV/0!</v>
      </c>
    </row>
    <row r="72" spans="1:29" s="64" customFormat="1" x14ac:dyDescent="0.25">
      <c r="A72" s="316" t="s">
        <v>757</v>
      </c>
      <c r="B72" s="316"/>
      <c r="C72" s="316"/>
      <c r="D72" s="316"/>
      <c r="E72" s="316"/>
      <c r="F72" s="316"/>
      <c r="G72" s="316"/>
      <c r="H72" s="316"/>
      <c r="I72" s="316"/>
      <c r="J72" s="316"/>
      <c r="K72" s="316"/>
      <c r="L72" s="316"/>
      <c r="M72" s="316"/>
      <c r="N72" s="316"/>
      <c r="O72" s="316"/>
    </row>
    <row r="73" spans="1:29" s="64" customFormat="1" x14ac:dyDescent="0.25">
      <c r="A73" s="182"/>
      <c r="E73" s="317">
        <f>E67</f>
        <v>43100</v>
      </c>
      <c r="F73" s="317">
        <f t="shared" ref="F73:AC73" si="56">F67</f>
        <v>43008</v>
      </c>
      <c r="G73" s="317">
        <f t="shared" si="56"/>
        <v>42916</v>
      </c>
      <c r="H73" s="317">
        <f t="shared" si="56"/>
        <v>42825</v>
      </c>
      <c r="I73" s="317">
        <f t="shared" si="56"/>
        <v>42735</v>
      </c>
      <c r="J73" s="317">
        <f t="shared" si="56"/>
        <v>42643</v>
      </c>
      <c r="K73" s="317">
        <f t="shared" si="56"/>
        <v>42551</v>
      </c>
      <c r="L73" s="317">
        <f t="shared" si="56"/>
        <v>42460</v>
      </c>
      <c r="M73" s="317">
        <f t="shared" si="56"/>
        <v>42369</v>
      </c>
      <c r="N73" s="317">
        <f t="shared" si="56"/>
        <v>42277</v>
      </c>
      <c r="O73" s="317">
        <f t="shared" si="56"/>
        <v>42004</v>
      </c>
      <c r="P73" s="317">
        <f t="shared" si="56"/>
        <v>41639</v>
      </c>
      <c r="Q73" s="317">
        <f t="shared" si="56"/>
        <v>41274</v>
      </c>
      <c r="R73" s="317">
        <f t="shared" si="56"/>
        <v>40908</v>
      </c>
      <c r="S73" s="317">
        <f t="shared" si="56"/>
        <v>25569</v>
      </c>
      <c r="T73" s="317">
        <f t="shared" si="56"/>
        <v>0</v>
      </c>
      <c r="U73" s="317">
        <f t="shared" si="56"/>
        <v>0</v>
      </c>
      <c r="V73" s="317">
        <f t="shared" si="56"/>
        <v>0</v>
      </c>
      <c r="W73" s="317">
        <f t="shared" si="56"/>
        <v>0</v>
      </c>
      <c r="X73" s="317">
        <f t="shared" si="56"/>
        <v>0</v>
      </c>
      <c r="Y73" s="317">
        <f t="shared" si="56"/>
        <v>0</v>
      </c>
      <c r="Z73" s="317">
        <f t="shared" si="56"/>
        <v>0</v>
      </c>
      <c r="AA73" s="317">
        <f t="shared" si="56"/>
        <v>0</v>
      </c>
      <c r="AB73" s="317">
        <f t="shared" si="56"/>
        <v>0</v>
      </c>
      <c r="AC73" s="317">
        <f t="shared" si="56"/>
        <v>0</v>
      </c>
    </row>
    <row r="74" spans="1:29" s="212" customFormat="1" x14ac:dyDescent="0.25">
      <c r="A74" s="212" t="s">
        <v>753</v>
      </c>
      <c r="E74" s="212">
        <f>E68/E70</f>
        <v>0.9374290843527584</v>
      </c>
      <c r="F74" s="212">
        <f t="shared" ref="F74:AC74" si="57">F68/F70</f>
        <v>0.95487079567244471</v>
      </c>
      <c r="G74" s="212">
        <f t="shared" si="57"/>
        <v>0.95840610819528949</v>
      </c>
      <c r="H74" s="212">
        <f t="shared" si="57"/>
        <v>0.96454007100980776</v>
      </c>
      <c r="I74" s="212">
        <f t="shared" si="57"/>
        <v>0.98910536861229748</v>
      </c>
      <c r="J74" s="212">
        <f t="shared" si="57"/>
        <v>0.99916201260743298</v>
      </c>
      <c r="K74" s="212">
        <f t="shared" si="57"/>
        <v>0.99899637153029253</v>
      </c>
      <c r="L74" s="212">
        <f t="shared" si="57"/>
        <v>1</v>
      </c>
      <c r="M74" s="212">
        <f t="shared" si="57"/>
        <v>0.99530077666609307</v>
      </c>
      <c r="N74" s="212">
        <f t="shared" si="57"/>
        <v>0.99891363224577601</v>
      </c>
      <c r="O74" s="212">
        <f t="shared" si="57"/>
        <v>1</v>
      </c>
      <c r="P74" s="212">
        <f t="shared" si="57"/>
        <v>1</v>
      </c>
      <c r="Q74" s="212">
        <f t="shared" si="57"/>
        <v>1</v>
      </c>
      <c r="R74" s="212">
        <f t="shared" si="57"/>
        <v>1</v>
      </c>
      <c r="S74" s="212" t="e">
        <f t="shared" si="57"/>
        <v>#DIV/0!</v>
      </c>
      <c r="T74" s="212" t="e">
        <f t="shared" si="57"/>
        <v>#DIV/0!</v>
      </c>
      <c r="U74" s="212">
        <f t="shared" si="57"/>
        <v>7.0645929211098782E-3</v>
      </c>
      <c r="V74" s="212">
        <f t="shared" si="57"/>
        <v>0</v>
      </c>
      <c r="W74" s="212">
        <f t="shared" si="57"/>
        <v>0</v>
      </c>
      <c r="X74" s="212" t="e">
        <f t="shared" si="57"/>
        <v>#DIV/0!</v>
      </c>
      <c r="Y74" s="212">
        <f t="shared" si="57"/>
        <v>1.518950113071451E-2</v>
      </c>
      <c r="Z74" s="212">
        <f t="shared" si="57"/>
        <v>0</v>
      </c>
      <c r="AA74" s="212">
        <f t="shared" si="57"/>
        <v>0</v>
      </c>
      <c r="AB74" s="212">
        <f t="shared" si="57"/>
        <v>0</v>
      </c>
      <c r="AC74" s="212">
        <f t="shared" si="57"/>
        <v>1.7294785366163093E-2</v>
      </c>
    </row>
    <row r="75" spans="1:29" s="212" customFormat="1" x14ac:dyDescent="0.25">
      <c r="A75" s="212" t="s">
        <v>754</v>
      </c>
      <c r="E75" s="212">
        <f>E69/E70</f>
        <v>6.2570915647241654E-2</v>
      </c>
      <c r="F75" s="212">
        <f t="shared" ref="F75:AC75" si="58">F69/F70</f>
        <v>4.5129204327555336E-2</v>
      </c>
      <c r="G75" s="212">
        <f t="shared" si="58"/>
        <v>4.1593891804710521E-2</v>
      </c>
      <c r="H75" s="212">
        <f t="shared" si="58"/>
        <v>3.5459928990192215E-2</v>
      </c>
      <c r="I75" s="212">
        <f t="shared" si="58"/>
        <v>1.0894631387702497E-2</v>
      </c>
      <c r="J75" s="212">
        <f t="shared" si="58"/>
        <v>8.3798739256708192E-4</v>
      </c>
      <c r="K75" s="212">
        <f t="shared" si="58"/>
        <v>1.0036284697075165E-3</v>
      </c>
      <c r="L75" s="212">
        <f t="shared" si="58"/>
        <v>0</v>
      </c>
      <c r="M75" s="212">
        <f t="shared" si="58"/>
        <v>4.6992233339068828E-3</v>
      </c>
      <c r="N75" s="212">
        <f t="shared" si="58"/>
        <v>1.0863677542240742E-3</v>
      </c>
      <c r="O75" s="212">
        <f t="shared" si="58"/>
        <v>0</v>
      </c>
      <c r="P75" s="212">
        <f t="shared" si="58"/>
        <v>0</v>
      </c>
      <c r="Q75" s="212">
        <f t="shared" si="58"/>
        <v>0</v>
      </c>
      <c r="R75" s="212">
        <f t="shared" si="58"/>
        <v>0</v>
      </c>
      <c r="S75" s="212" t="e">
        <f t="shared" si="58"/>
        <v>#DIV/0!</v>
      </c>
      <c r="T75" s="212" t="e">
        <f t="shared" si="58"/>
        <v>#DIV/0!</v>
      </c>
      <c r="U75" s="212">
        <f t="shared" si="58"/>
        <v>0.99293540707889016</v>
      </c>
      <c r="V75" s="212">
        <f t="shared" si="58"/>
        <v>1</v>
      </c>
      <c r="W75" s="212">
        <f t="shared" si="58"/>
        <v>1</v>
      </c>
      <c r="X75" s="212" t="e">
        <f t="shared" si="58"/>
        <v>#DIV/0!</v>
      </c>
      <c r="Y75" s="212">
        <f t="shared" si="58"/>
        <v>0.98481049886928551</v>
      </c>
      <c r="Z75" s="212">
        <f t="shared" si="58"/>
        <v>1</v>
      </c>
      <c r="AA75" s="212">
        <f t="shared" si="58"/>
        <v>1</v>
      </c>
      <c r="AB75" s="212">
        <f t="shared" si="58"/>
        <v>1</v>
      </c>
      <c r="AC75" s="212">
        <f t="shared" si="58"/>
        <v>0.98270521463383687</v>
      </c>
    </row>
    <row r="76" spans="1:29" s="212" customFormat="1" x14ac:dyDescent="0.25">
      <c r="A76" s="212" t="s">
        <v>755</v>
      </c>
      <c r="E76" s="212">
        <f>E70/E70</f>
        <v>1</v>
      </c>
      <c r="F76" s="212">
        <f t="shared" ref="F76:AC76" si="59">F70/F70</f>
        <v>1</v>
      </c>
      <c r="G76" s="212">
        <f t="shared" si="59"/>
        <v>1</v>
      </c>
      <c r="H76" s="212">
        <f t="shared" si="59"/>
        <v>1</v>
      </c>
      <c r="I76" s="212">
        <f t="shared" si="59"/>
        <v>1</v>
      </c>
      <c r="J76" s="212">
        <f t="shared" si="59"/>
        <v>1</v>
      </c>
      <c r="K76" s="212">
        <f t="shared" si="59"/>
        <v>1</v>
      </c>
      <c r="L76" s="212">
        <f t="shared" si="59"/>
        <v>1</v>
      </c>
      <c r="M76" s="212">
        <f t="shared" si="59"/>
        <v>1</v>
      </c>
      <c r="N76" s="212">
        <f t="shared" si="59"/>
        <v>1</v>
      </c>
      <c r="O76" s="212">
        <f t="shared" si="59"/>
        <v>1</v>
      </c>
      <c r="P76" s="212">
        <f t="shared" si="59"/>
        <v>1</v>
      </c>
      <c r="Q76" s="212">
        <f t="shared" si="59"/>
        <v>1</v>
      </c>
      <c r="R76" s="212">
        <f t="shared" si="59"/>
        <v>1</v>
      </c>
      <c r="S76" s="212" t="e">
        <f t="shared" si="59"/>
        <v>#DIV/0!</v>
      </c>
      <c r="T76" s="212" t="e">
        <f t="shared" si="59"/>
        <v>#DIV/0!</v>
      </c>
      <c r="U76" s="212">
        <f t="shared" si="59"/>
        <v>1</v>
      </c>
      <c r="V76" s="212">
        <f t="shared" si="59"/>
        <v>1</v>
      </c>
      <c r="W76" s="212">
        <f t="shared" si="59"/>
        <v>1</v>
      </c>
      <c r="X76" s="212" t="e">
        <f t="shared" si="59"/>
        <v>#DIV/0!</v>
      </c>
      <c r="Y76" s="212">
        <f t="shared" si="59"/>
        <v>1</v>
      </c>
      <c r="Z76" s="212">
        <f t="shared" si="59"/>
        <v>1</v>
      </c>
      <c r="AA76" s="212">
        <f t="shared" si="59"/>
        <v>1</v>
      </c>
      <c r="AB76" s="212">
        <f t="shared" si="59"/>
        <v>1</v>
      </c>
      <c r="AC76" s="212">
        <f t="shared" si="59"/>
        <v>1</v>
      </c>
    </row>
    <row r="77" spans="1:29" s="64" customFormat="1" x14ac:dyDescent="0.25">
      <c r="A77" s="182"/>
    </row>
    <row r="78" spans="1:29" ht="55.8" customHeight="1" x14ac:dyDescent="0.25">
      <c r="A78" s="278" t="s">
        <v>734</v>
      </c>
      <c r="B78" s="277"/>
      <c r="C78" s="277"/>
      <c r="D78" s="277"/>
      <c r="E78" s="277"/>
      <c r="F78" s="277"/>
      <c r="G78" s="277"/>
      <c r="H78" s="277"/>
      <c r="I78" s="277"/>
      <c r="J78" s="277"/>
      <c r="K78" s="277"/>
      <c r="L78" s="277"/>
      <c r="M78" s="277"/>
      <c r="N78" s="277"/>
      <c r="O78" s="277"/>
      <c r="P78" s="277"/>
      <c r="Q78" s="277"/>
      <c r="R78" s="277"/>
      <c r="S78" s="277"/>
      <c r="T78" s="277"/>
      <c r="U78" s="277"/>
      <c r="V78" s="277"/>
      <c r="W78" s="277"/>
      <c r="X78" s="277"/>
      <c r="Y78" s="277"/>
      <c r="Z78" s="277"/>
      <c r="AA78" s="277"/>
      <c r="AB78" s="277"/>
      <c r="AC78" s="277"/>
    </row>
    <row r="79" spans="1:29" x14ac:dyDescent="0.25">
      <c r="A79" s="285" t="s">
        <v>702</v>
      </c>
      <c r="B79" s="285"/>
      <c r="C79" s="285"/>
      <c r="D79" s="285"/>
      <c r="E79" s="285"/>
      <c r="F79" s="255"/>
      <c r="G79" s="255"/>
      <c r="H79" s="255"/>
      <c r="I79" s="255" t="s">
        <v>706</v>
      </c>
      <c r="J79" s="255"/>
      <c r="K79" s="255"/>
      <c r="L79" s="255"/>
      <c r="M79" s="255" t="s">
        <v>707</v>
      </c>
    </row>
    <row r="80" spans="1:29" ht="57.6" x14ac:dyDescent="0.25">
      <c r="A80" s="286" t="s">
        <v>703</v>
      </c>
      <c r="B80" s="65"/>
      <c r="C80" s="65"/>
      <c r="D80" s="65"/>
      <c r="E80" s="65" t="s">
        <v>704</v>
      </c>
      <c r="F80" s="65"/>
      <c r="G80" s="65"/>
      <c r="H80" s="65"/>
      <c r="I80" s="256" t="s">
        <v>708</v>
      </c>
      <c r="J80" s="257"/>
      <c r="K80" s="257"/>
      <c r="L80" s="257"/>
      <c r="M80" s="256" t="s">
        <v>709</v>
      </c>
    </row>
    <row r="81" spans="1:13" ht="54.6" customHeight="1" x14ac:dyDescent="0.25">
      <c r="A81" s="286"/>
      <c r="B81" s="65"/>
      <c r="C81" s="65"/>
      <c r="D81" s="65"/>
      <c r="E81" s="65" t="s">
        <v>705</v>
      </c>
      <c r="F81" s="65"/>
      <c r="G81" s="65"/>
      <c r="H81" s="65"/>
      <c r="I81" s="256" t="s">
        <v>710</v>
      </c>
      <c r="J81" s="257"/>
      <c r="K81" s="257"/>
      <c r="L81" s="257"/>
      <c r="M81" s="256" t="s">
        <v>711</v>
      </c>
    </row>
    <row r="82" spans="1:13" ht="57.6" x14ac:dyDescent="0.25">
      <c r="A82" s="286" t="s">
        <v>719</v>
      </c>
      <c r="B82" s="65"/>
      <c r="C82" s="65"/>
      <c r="D82" s="65"/>
      <c r="E82" s="65" t="s">
        <v>712</v>
      </c>
      <c r="F82" s="65"/>
      <c r="G82" s="65"/>
      <c r="H82" s="65"/>
      <c r="I82" s="256" t="s">
        <v>720</v>
      </c>
      <c r="J82" s="257"/>
      <c r="K82" s="257"/>
      <c r="L82" s="257"/>
      <c r="M82" s="256" t="s">
        <v>721</v>
      </c>
    </row>
    <row r="83" spans="1:13" ht="43.2" x14ac:dyDescent="0.25">
      <c r="A83" s="286"/>
      <c r="B83" s="65"/>
      <c r="C83" s="65"/>
      <c r="D83" s="65"/>
      <c r="E83" s="65" t="s">
        <v>713</v>
      </c>
      <c r="F83" s="65"/>
      <c r="G83" s="65"/>
      <c r="H83" s="65"/>
      <c r="I83" s="256" t="s">
        <v>722</v>
      </c>
      <c r="J83" s="257"/>
      <c r="K83" s="257"/>
      <c r="L83" s="257"/>
      <c r="M83" s="256" t="s">
        <v>723</v>
      </c>
    </row>
    <row r="84" spans="1:13" ht="72" x14ac:dyDescent="0.25">
      <c r="A84" s="286"/>
      <c r="B84" s="65"/>
      <c r="C84" s="65"/>
      <c r="D84" s="65"/>
      <c r="E84" s="65" t="s">
        <v>714</v>
      </c>
      <c r="F84" s="65"/>
      <c r="G84" s="65"/>
      <c r="H84" s="65"/>
      <c r="I84" s="256" t="s">
        <v>724</v>
      </c>
      <c r="J84" s="257"/>
      <c r="K84" s="257"/>
      <c r="L84" s="257"/>
      <c r="M84" s="256" t="s">
        <v>725</v>
      </c>
    </row>
    <row r="85" spans="1:13" ht="72" x14ac:dyDescent="0.25">
      <c r="A85" s="286"/>
      <c r="B85" s="65"/>
      <c r="C85" s="65"/>
      <c r="D85" s="65"/>
      <c r="E85" s="65" t="s">
        <v>715</v>
      </c>
      <c r="F85" s="65"/>
      <c r="G85" s="65"/>
      <c r="H85" s="65"/>
      <c r="I85" s="256" t="s">
        <v>726</v>
      </c>
      <c r="J85" s="257"/>
      <c r="K85" s="257"/>
      <c r="L85" s="257"/>
      <c r="M85" s="256" t="s">
        <v>727</v>
      </c>
    </row>
    <row r="86" spans="1:13" x14ac:dyDescent="0.25">
      <c r="A86" s="286"/>
      <c r="B86" s="65"/>
      <c r="C86" s="65"/>
      <c r="D86" s="65"/>
      <c r="E86" s="65" t="s">
        <v>716</v>
      </c>
      <c r="F86" s="65"/>
      <c r="G86" s="65"/>
      <c r="H86" s="65"/>
      <c r="I86" s="256" t="s">
        <v>728</v>
      </c>
      <c r="J86" s="257"/>
      <c r="K86" s="257"/>
      <c r="L86" s="257"/>
      <c r="M86" s="256" t="s">
        <v>729</v>
      </c>
    </row>
    <row r="87" spans="1:13" ht="57.6" x14ac:dyDescent="0.25">
      <c r="A87" s="286"/>
      <c r="B87" s="65"/>
      <c r="C87" s="65"/>
      <c r="D87" s="65"/>
      <c r="E87" s="65" t="s">
        <v>717</v>
      </c>
      <c r="F87" s="65"/>
      <c r="G87" s="65"/>
      <c r="H87" s="65"/>
      <c r="I87" s="256" t="s">
        <v>730</v>
      </c>
      <c r="J87" s="257"/>
      <c r="K87" s="257"/>
      <c r="L87" s="257"/>
      <c r="M87" s="256" t="s">
        <v>731</v>
      </c>
    </row>
    <row r="88" spans="1:13" ht="57.6" x14ac:dyDescent="0.25">
      <c r="A88" s="286"/>
      <c r="B88" s="65"/>
      <c r="C88" s="65"/>
      <c r="D88" s="65"/>
      <c r="E88" s="65" t="s">
        <v>718</v>
      </c>
      <c r="F88" s="65"/>
      <c r="G88" s="65"/>
      <c r="H88" s="65"/>
      <c r="I88" s="256" t="s">
        <v>732</v>
      </c>
      <c r="J88" s="257"/>
      <c r="K88" s="257"/>
      <c r="L88" s="257"/>
      <c r="M88" s="256" t="s">
        <v>733</v>
      </c>
    </row>
  </sheetData>
  <mergeCells count="11">
    <mergeCell ref="A65:AC65"/>
    <mergeCell ref="A79:E79"/>
    <mergeCell ref="A80:A81"/>
    <mergeCell ref="A82:A88"/>
    <mergeCell ref="A78:AC78"/>
    <mergeCell ref="A72:O72"/>
    <mergeCell ref="A25:AG25"/>
    <mergeCell ref="A35:AG35"/>
    <mergeCell ref="A43:AG43"/>
    <mergeCell ref="A51:AG51"/>
    <mergeCell ref="A58:AC58"/>
  </mergeCells>
  <phoneticPr fontId="1" type="noConversion"/>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股东权益回报率分析表"/>
  <dimension ref="A1:CK102"/>
  <sheetViews>
    <sheetView topLeftCell="A61" workbookViewId="0">
      <selection activeCell="I57" sqref="I57"/>
    </sheetView>
  </sheetViews>
  <sheetFormatPr defaultRowHeight="14.4" x14ac:dyDescent="0.25"/>
  <cols>
    <col min="1" max="1" width="50.6640625" style="17" bestFit="1" customWidth="1"/>
    <col min="2" max="4" width="11.6640625" hidden="1" customWidth="1"/>
    <col min="5" max="5" width="19.33203125" bestFit="1" customWidth="1"/>
    <col min="6" max="7" width="19.33203125" hidden="1" customWidth="1"/>
    <col min="8" max="8" width="17.21875" hidden="1" customWidth="1"/>
    <col min="9" max="9" width="17.21875" bestFit="1" customWidth="1"/>
    <col min="10" max="12" width="17.21875" hidden="1" customWidth="1"/>
    <col min="13" max="13" width="17.21875" bestFit="1" customWidth="1"/>
    <col min="14" max="14" width="17.21875" hidden="1" customWidth="1"/>
    <col min="15" max="17" width="17.21875" bestFit="1" customWidth="1"/>
    <col min="18" max="18" width="20.44140625" bestFit="1" customWidth="1"/>
    <col min="19" max="19" width="20.44140625" hidden="1" customWidth="1"/>
    <col min="20" max="51" width="20.44140625" bestFit="1" customWidth="1"/>
    <col min="52" max="78" width="19.33203125" bestFit="1" customWidth="1"/>
    <col min="79" max="81" width="18.33203125" bestFit="1" customWidth="1"/>
    <col min="82" max="82" width="9.33203125" bestFit="1" customWidth="1"/>
    <col min="83" max="84" width="19.33203125" bestFit="1" customWidth="1"/>
    <col min="85" max="87" width="17.21875" bestFit="1" customWidth="1"/>
    <col min="88" max="89" width="16.109375" bestFit="1" customWidth="1"/>
  </cols>
  <sheetData>
    <row r="1" spans="1:89" s="26" customFormat="1" x14ac:dyDescent="0.25">
      <c r="A1" s="17">
        <v>603060</v>
      </c>
      <c r="B1" s="1">
        <v>43373</v>
      </c>
      <c r="C1" s="1">
        <v>43281</v>
      </c>
      <c r="D1" s="1">
        <v>43190</v>
      </c>
      <c r="E1" s="1">
        <v>43100</v>
      </c>
      <c r="F1" s="1">
        <v>43008</v>
      </c>
      <c r="G1" s="1">
        <v>42916</v>
      </c>
      <c r="H1" s="1">
        <v>42825</v>
      </c>
      <c r="I1" s="1">
        <v>42735</v>
      </c>
      <c r="J1" s="1">
        <v>42643</v>
      </c>
      <c r="K1" s="1">
        <v>42551</v>
      </c>
      <c r="L1" s="1">
        <v>42460</v>
      </c>
      <c r="M1" s="1">
        <v>42369</v>
      </c>
      <c r="N1" s="1">
        <v>42277</v>
      </c>
      <c r="O1" s="1">
        <v>42004</v>
      </c>
      <c r="P1" s="1">
        <v>41639</v>
      </c>
      <c r="Q1" s="1">
        <v>41274</v>
      </c>
      <c r="R1" s="1">
        <v>40908</v>
      </c>
      <c r="S1" s="1">
        <v>25569</v>
      </c>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s="26" customFormat="1" x14ac:dyDescent="0.25">
      <c r="A2" s="17" t="s">
        <v>424</v>
      </c>
      <c r="E2" s="26">
        <f>股权价值增加表!E42</f>
        <v>140040107.69</v>
      </c>
      <c r="F2" s="26">
        <f>股权价值增加表!F42</f>
        <v>104448708.91000004</v>
      </c>
      <c r="G2" s="26">
        <f>股权价值增加表!G42</f>
        <v>56623388.020000018</v>
      </c>
      <c r="H2" s="26">
        <f>股权价值增加表!H42</f>
        <v>16932091.389999993</v>
      </c>
      <c r="I2" s="26">
        <f>股权价值增加表!I42</f>
        <v>127314218.50999995</v>
      </c>
      <c r="J2" s="26">
        <f>股权价值增加表!J42</f>
        <v>93458406.380000025</v>
      </c>
      <c r="K2" s="26">
        <f>股权价值增加表!K42</f>
        <v>48290108.969999984</v>
      </c>
      <c r="L2" s="26">
        <f>股权价值增加表!L42</f>
        <v>8834269.5900000054</v>
      </c>
      <c r="M2" s="26">
        <f>股权价值增加表!M42</f>
        <v>112745012.78</v>
      </c>
      <c r="N2" s="26">
        <f>股权价值增加表!N42</f>
        <v>78883496.679999962</v>
      </c>
      <c r="O2" s="26">
        <f>股权价值增加表!O42</f>
        <v>94913963.020000041</v>
      </c>
      <c r="P2" s="26">
        <f>股权价值增加表!P42</f>
        <v>84018399.520000041</v>
      </c>
      <c r="Q2" s="26">
        <f>股权价值增加表!Q42</f>
        <v>78574092.780000001</v>
      </c>
      <c r="R2" s="26">
        <f>股权价值增加表!R42</f>
        <v>69584154.749999985</v>
      </c>
      <c r="S2" s="26">
        <f>股权价值增加表!S42</f>
        <v>0</v>
      </c>
      <c r="T2" s="26">
        <f>股权价值增加表!T42</f>
        <v>-687652134.91000009</v>
      </c>
      <c r="U2" s="26">
        <f>股权价值增加表!U42</f>
        <v>-2088393325.8100002</v>
      </c>
      <c r="V2" s="26">
        <f>股权价值增加表!V42</f>
        <v>-1770623990.1299999</v>
      </c>
      <c r="W2" s="26">
        <f>股权价值增加表!W42</f>
        <v>-1503178518.1099999</v>
      </c>
      <c r="X2" s="26">
        <f>股权价值增加表!X42</f>
        <v>-996310945.95000005</v>
      </c>
      <c r="Y2" s="26">
        <f>股权价值增加表!Y42</f>
        <v>-2597690211.0299997</v>
      </c>
      <c r="Z2" s="26">
        <f>股权价值增加表!Z42</f>
        <v>-1981805644.22</v>
      </c>
      <c r="AA2" s="26">
        <f>股权价值增加表!AA42</f>
        <v>-1313125502.45</v>
      </c>
      <c r="AB2" s="26">
        <f>股权价值增加表!AB42</f>
        <v>-889790569.18999994</v>
      </c>
      <c r="AC2" s="26">
        <f>股权价值增加表!AC42</f>
        <v>-1620456259.7199998</v>
      </c>
      <c r="AD2" s="26">
        <f>股权价值增加表!AD42</f>
        <v>-1380864362.3400002</v>
      </c>
      <c r="AE2" s="26">
        <f>股权价值增加表!AE42</f>
        <v>-941882157.46000004</v>
      </c>
      <c r="AF2" s="26">
        <f>股权价值增加表!AF42</f>
        <v>-675598227.52999997</v>
      </c>
      <c r="AG2" s="26">
        <f>股权价值增加表!AG42</f>
        <v>-1312331906.45</v>
      </c>
      <c r="AH2" s="26">
        <f>股权价值增加表!AH42</f>
        <v>-1044450134.2699999</v>
      </c>
      <c r="AI2" s="26">
        <f>股权价值增加表!AI42</f>
        <v>-688669429.02999997</v>
      </c>
      <c r="AJ2" s="26">
        <f>股权价值增加表!AJ42</f>
        <v>-496480851.37</v>
      </c>
      <c r="AK2" s="26">
        <f>股权价值增加表!AK42</f>
        <v>-1028579461.33</v>
      </c>
      <c r="AL2" s="26">
        <f>股权价值增加表!AL42</f>
        <v>-716904063.83999991</v>
      </c>
      <c r="AM2" s="26">
        <f>股权价值增加表!AM42</f>
        <v>-499689055.96999997</v>
      </c>
      <c r="AN2" s="26">
        <f>股权价值增加表!AN42</f>
        <v>-380189417.44999999</v>
      </c>
      <c r="AO2" s="26">
        <f>股权价值增加表!AO42</f>
        <v>-407922375.93999994</v>
      </c>
      <c r="AP2" s="26">
        <f>股权价值增加表!AP42</f>
        <v>-411195663.44999999</v>
      </c>
      <c r="AQ2" s="26">
        <f>股权价值增加表!AQ42</f>
        <v>-329680221.73000002</v>
      </c>
      <c r="AR2" s="26">
        <f>股权价值增加表!AR42</f>
        <v>-320202934.91000003</v>
      </c>
      <c r="AS2" s="26">
        <f>股权价值增加表!AS42</f>
        <v>-610135253.33999991</v>
      </c>
      <c r="AT2" s="26">
        <f>股权价值增加表!AT42</f>
        <v>-606675948.97000003</v>
      </c>
      <c r="AU2" s="26">
        <f>股权价值增加表!AU42</f>
        <v>-525244177.46999997</v>
      </c>
      <c r="AV2" s="26">
        <f>股权价值增加表!AV42</f>
        <v>-370504198.70999998</v>
      </c>
      <c r="AW2" s="26">
        <f>股权价值增加表!AW42</f>
        <v>-550836582.15999997</v>
      </c>
      <c r="AX2" s="26">
        <f>股权价值增加表!AX42</f>
        <v>-497364124.85000002</v>
      </c>
      <c r="AY2" s="26">
        <f>股权价值增加表!AY42</f>
        <v>-393993423.18000001</v>
      </c>
      <c r="AZ2" s="26">
        <f>股权价值增加表!AZ42</f>
        <v>-277925918.08999997</v>
      </c>
      <c r="BA2" s="26">
        <f>股权价值增加表!BA42</f>
        <v>-375599127.04999995</v>
      </c>
      <c r="BB2" s="26">
        <f>股权价值增加表!BB42</f>
        <v>-376909155.56</v>
      </c>
      <c r="BC2" s="26">
        <f>股权价值增加表!BC42</f>
        <v>-331126120.21999997</v>
      </c>
      <c r="BD2" s="26">
        <f>股权价值增加表!BD42</f>
        <v>-232460368.78999999</v>
      </c>
      <c r="BE2" s="26">
        <f>股权价值增加表!BE42</f>
        <v>-415071515.56999999</v>
      </c>
      <c r="BF2" s="26">
        <f>股权价值增加表!BF42</f>
        <v>-341885591.56999999</v>
      </c>
      <c r="BG2" s="26">
        <f>股权价值增加表!BG42</f>
        <v>-266868592.27000001</v>
      </c>
      <c r="BH2" s="26">
        <f>股权价值增加表!BH42</f>
        <v>-190592880.15000001</v>
      </c>
      <c r="BI2" s="26">
        <f>股权价值增加表!BI42</f>
        <v>-355643656.85000002</v>
      </c>
      <c r="BJ2" s="26">
        <f>股权价值增加表!BJ42</f>
        <v>-291496615.11000001</v>
      </c>
      <c r="BK2" s="26">
        <f>股权价值增加表!BK42</f>
        <v>-237870081.79999998</v>
      </c>
      <c r="BL2" s="26">
        <f>股权价值增加表!BL42</f>
        <v>-204685096.5</v>
      </c>
      <c r="BM2" s="26">
        <f>股权价值增加表!BM42</f>
        <v>-223212941.22</v>
      </c>
      <c r="BN2" s="26">
        <f>股权价值增加表!BN42</f>
        <v>-167173236.28999999</v>
      </c>
      <c r="BO2" s="26">
        <f>股权价值增加表!BO42</f>
        <v>-113551397.55</v>
      </c>
      <c r="BP2" s="26">
        <f>股权价值增加表!BP42</f>
        <v>-114049159.08</v>
      </c>
      <c r="BQ2" s="26">
        <f>股权价值增加表!BQ42</f>
        <v>-79004755.060000002</v>
      </c>
      <c r="BR2" s="26">
        <f>股权价值增加表!BR42</f>
        <v>-147870000</v>
      </c>
      <c r="BS2" s="26">
        <f>股权价值增加表!BS42</f>
        <v>-152979249.54999998</v>
      </c>
      <c r="BT2" s="26">
        <f>股权价值增加表!BT42</f>
        <v>-128012163.46000001</v>
      </c>
      <c r="BU2" s="26">
        <f>股权价值增加表!BU42</f>
        <v>-222157134.44</v>
      </c>
      <c r="BV2" s="26">
        <f>股权价值增加表!BV42</f>
        <v>-287911344.69999999</v>
      </c>
      <c r="BW2" s="26">
        <f>股权价值增加表!BW42</f>
        <v>-288342438.87</v>
      </c>
      <c r="BX2" s="26">
        <f>股权价值增加表!BX42</f>
        <v>-57060547.329999998</v>
      </c>
      <c r="BY2" s="26">
        <f>股权价值增加表!BY42</f>
        <v>-217786839.49000001</v>
      </c>
      <c r="BZ2" s="26">
        <f>股权价值增加表!BZ42</f>
        <v>-40798540.960000001</v>
      </c>
      <c r="CA2" s="26">
        <f>股权价值增加表!CA42</f>
        <v>-179937260.47</v>
      </c>
      <c r="CB2" s="26">
        <f>股权价值增加表!CB42</f>
        <v>-144282576.27000001</v>
      </c>
      <c r="CC2" s="26">
        <f>股权价值增加表!CC42</f>
        <v>-119252620.25</v>
      </c>
      <c r="CD2" s="26">
        <f>股权价值增加表!CD42</f>
        <v>0</v>
      </c>
      <c r="CE2" s="26">
        <f>股权价值增加表!CE42</f>
        <v>-20081000</v>
      </c>
      <c r="CF2" s="26">
        <f>股权价值增加表!CF42</f>
        <v>-14354563.84</v>
      </c>
      <c r="CG2" s="26">
        <f>股权价值增加表!CG42</f>
        <v>-4330000</v>
      </c>
      <c r="CH2" s="26">
        <f>股权价值增加表!CH42</f>
        <v>-4220000</v>
      </c>
      <c r="CI2" s="26">
        <f>股权价值增加表!CI42</f>
        <v>-12510000</v>
      </c>
      <c r="CJ2" s="26">
        <f>股权价值增加表!CJ42</f>
        <v>-3630000</v>
      </c>
      <c r="CK2" s="26">
        <f>股权价值增加表!CK42</f>
        <v>0</v>
      </c>
    </row>
    <row r="3" spans="1:89" s="26" customFormat="1" x14ac:dyDescent="0.25">
      <c r="A3" s="17" t="s">
        <v>429</v>
      </c>
      <c r="E3" s="26">
        <f>资产资本表!E107</f>
        <v>1094321354.0599999</v>
      </c>
      <c r="F3" s="26">
        <f>资产资本表!F107</f>
        <v>1053764474.4</v>
      </c>
      <c r="G3" s="26">
        <f>资产资本表!G107</f>
        <v>1001055226.26</v>
      </c>
      <c r="H3" s="26">
        <f>资产资本表!H107</f>
        <v>991797985.12</v>
      </c>
      <c r="I3" s="26">
        <f>资产资本表!I107</f>
        <v>985414241.73000002</v>
      </c>
      <c r="J3" s="26">
        <f>资产资本表!J107</f>
        <v>444444693.15999997</v>
      </c>
      <c r="K3" s="26">
        <f>资产资本表!K107</f>
        <v>399276395.75</v>
      </c>
      <c r="L3" s="26">
        <f>资产资本表!L107</f>
        <v>478018286.77999997</v>
      </c>
      <c r="M3" s="26">
        <f>资产资本表!M107</f>
        <v>387347869.01999998</v>
      </c>
      <c r="N3" s="26">
        <f>资产资本表!N107</f>
        <v>317743228</v>
      </c>
      <c r="O3" s="26">
        <f>资产资本表!O107</f>
        <v>254378428.47999999</v>
      </c>
      <c r="P3" s="26">
        <f>资产资本表!P107</f>
        <v>209769272.30000001</v>
      </c>
      <c r="Q3" s="26">
        <f>资产资本表!Q107</f>
        <v>0</v>
      </c>
      <c r="R3" s="26">
        <f>资产资本表!R107</f>
        <v>39038063287.049995</v>
      </c>
      <c r="S3" s="26">
        <f>资产资本表!S107</f>
        <v>38186456366.719994</v>
      </c>
      <c r="T3" s="26">
        <f>资产资本表!T107</f>
        <v>39754833137.689995</v>
      </c>
      <c r="U3" s="26">
        <f>资产资本表!U107</f>
        <v>37019284552.089996</v>
      </c>
      <c r="V3" s="26">
        <f>资产资本表!V107</f>
        <v>35936255140.220001</v>
      </c>
      <c r="W3" s="26">
        <f>资产资本表!W107</f>
        <v>34492053862.870003</v>
      </c>
      <c r="X3" s="26">
        <f>资产资本表!X107</f>
        <v>35275133265.93</v>
      </c>
      <c r="Y3" s="26">
        <f>资产资本表!Y107</f>
        <v>31521070553.299999</v>
      </c>
      <c r="Z3" s="26">
        <f>资产资本表!Z107</f>
        <v>29621442772.68</v>
      </c>
      <c r="AA3" s="26">
        <f>资产资本表!AA107</f>
        <v>26749200973.880001</v>
      </c>
      <c r="AB3" s="26">
        <f>资产资本表!AB107</f>
        <v>26577947881.900002</v>
      </c>
      <c r="AC3" s="26">
        <f>资产资本表!AC107</f>
        <v>23446688740.450001</v>
      </c>
      <c r="AD3" s="26">
        <f>资产资本表!AD107</f>
        <v>22228578013.470001</v>
      </c>
      <c r="AE3" s="26">
        <f>资产资本表!AE107</f>
        <v>20718108830.41</v>
      </c>
      <c r="AF3" s="26">
        <f>资产资本表!AF107</f>
        <v>20565137134.060001</v>
      </c>
      <c r="AG3" s="26">
        <f>资产资本表!AG107</f>
        <v>18366101541.469997</v>
      </c>
      <c r="AH3" s="26">
        <f>资产资本表!AH107</f>
        <v>17519043970.790001</v>
      </c>
      <c r="AI3" s="26">
        <f>资产资本表!AI107</f>
        <v>16339410822.219999</v>
      </c>
      <c r="AJ3" s="26">
        <f>资产资本表!AJ107</f>
        <v>16187697852.24</v>
      </c>
      <c r="AK3" s="26">
        <f>资产资本表!AK107</f>
        <v>14580462144.59</v>
      </c>
      <c r="AL3" s="26">
        <f>资产资本表!AL107</f>
        <v>13658846653.599998</v>
      </c>
      <c r="AM3" s="26">
        <f>资产资本表!AM107</f>
        <v>12886039184.620001</v>
      </c>
      <c r="AN3" s="26">
        <f>资产资本表!AN107</f>
        <v>12725217105.43</v>
      </c>
      <c r="AO3" s="26">
        <f>资产资本表!AO107</f>
        <v>11455936876.719999</v>
      </c>
      <c r="AP3" s="26">
        <f>资产资本表!AP107</f>
        <v>11230323337.110001</v>
      </c>
      <c r="AQ3" s="26">
        <f>资产资本表!AQ107</f>
        <v>10934383750.469999</v>
      </c>
      <c r="AR3" s="26">
        <f>资产资本表!AR107</f>
        <v>10641944677.480001</v>
      </c>
      <c r="AS3" s="26">
        <f>资产资本表!AS107</f>
        <v>9626236984.1700001</v>
      </c>
      <c r="AT3" s="26">
        <f>资产资本表!AT107</f>
        <v>9485588152.4899998</v>
      </c>
      <c r="AU3" s="26">
        <f>资产资本表!AU107</f>
        <v>9304015150.3199997</v>
      </c>
      <c r="AV3" s="26">
        <f>资产资本表!AV107</f>
        <v>9051649388.7700005</v>
      </c>
      <c r="AW3" s="26">
        <f>资产资本表!AW107</f>
        <v>8295168514.6399994</v>
      </c>
      <c r="AX3" s="26">
        <f>资产资本表!AX107</f>
        <v>8139685182.96</v>
      </c>
      <c r="AY3" s="26">
        <f>资产资本表!AY107</f>
        <v>7938750364.1499996</v>
      </c>
      <c r="AZ3" s="26">
        <f>资产资本表!AZ107</f>
        <v>7934784508.5</v>
      </c>
      <c r="BA3" s="26">
        <f>资产资本表!BA107</f>
        <v>7385968978.54</v>
      </c>
      <c r="BB3" s="26">
        <f>资产资本表!BB107</f>
        <v>7360716151.5900002</v>
      </c>
      <c r="BC3" s="26">
        <f>资产资本表!BC107</f>
        <v>7179425965.6500006</v>
      </c>
      <c r="BD3" s="26">
        <f>资产资本表!BD107</f>
        <v>7003465589.3699999</v>
      </c>
      <c r="BE3" s="26">
        <f>资产资本表!BE107</f>
        <v>6586961901.7700005</v>
      </c>
      <c r="BF3" s="26">
        <f>资产资本表!BF107</f>
        <v>6433916281.1799994</v>
      </c>
      <c r="BG3" s="26">
        <f>资产资本表!BG107</f>
        <v>6292714866.6600008</v>
      </c>
      <c r="BH3" s="26">
        <f>资产资本表!BH107</f>
        <v>6409286809.8599997</v>
      </c>
      <c r="BI3" s="26">
        <f>资产资本表!BI107</f>
        <v>6025892686.6600008</v>
      </c>
      <c r="BJ3" s="26">
        <f>资产资本表!BJ107</f>
        <v>5870405150.8400002</v>
      </c>
      <c r="BK3" s="26">
        <f>资产资本表!BK107</f>
        <v>5711754634.1499996</v>
      </c>
      <c r="BL3" s="26">
        <f>资产资本表!BL107</f>
        <v>5611611741.0699997</v>
      </c>
      <c r="BM3" s="26">
        <f>资产资本表!BM107</f>
        <v>5322099955.71</v>
      </c>
      <c r="BN3" s="26">
        <f>资产资本表!BN107</f>
        <v>5214293132.5199995</v>
      </c>
      <c r="BO3" s="26">
        <f>资产资本表!BO107</f>
        <v>5075362101.0900002</v>
      </c>
      <c r="BP3" s="26">
        <f>资产资本表!BP107</f>
        <v>4954980669.5600004</v>
      </c>
      <c r="BQ3" s="26">
        <f>资产资本表!BQ107</f>
        <v>4702243132.8000002</v>
      </c>
      <c r="BR3" s="26">
        <f>资产资本表!BR107</f>
        <v>4561780000</v>
      </c>
      <c r="BS3" s="26">
        <f>资产资本表!BS107</f>
        <v>4385655821.6400003</v>
      </c>
      <c r="BT3" s="26">
        <f>资产资本表!BT107</f>
        <v>4238623191.5</v>
      </c>
      <c r="BU3" s="26">
        <f>资产资本表!BU107</f>
        <v>3191216198.9499998</v>
      </c>
      <c r="BV3" s="26">
        <f>资产资本表!BV107</f>
        <v>2850312166.9000001</v>
      </c>
      <c r="BW3" s="26">
        <f>资产资本表!BW107</f>
        <v>2420499366.4499998</v>
      </c>
      <c r="BX3" s="26">
        <f>资产资本表!BX107</f>
        <v>2089698452.7</v>
      </c>
      <c r="BY3" s="26">
        <f>资产资本表!BY107</f>
        <v>1764990217.6700001</v>
      </c>
      <c r="BZ3" s="26">
        <f>资产资本表!BZ107</f>
        <v>1864618529.46</v>
      </c>
      <c r="CA3" s="26">
        <f>资产资本表!CA107</f>
        <v>392384778.43000001</v>
      </c>
      <c r="CB3" s="26">
        <f>资产资本表!CB107</f>
        <v>264958379.21000001</v>
      </c>
      <c r="CC3" s="26">
        <f>资产资本表!CC107</f>
        <v>225967479.94999999</v>
      </c>
      <c r="CD3" s="26">
        <f>资产资本表!CD107</f>
        <v>0</v>
      </c>
      <c r="CE3" s="26">
        <f>资产资本表!CE107</f>
        <v>1079738000</v>
      </c>
      <c r="CF3" s="26">
        <f>资产资本表!CF107</f>
        <v>1004228352.76</v>
      </c>
      <c r="CG3" s="26">
        <f>资产资本表!CG107</f>
        <v>492689900.37</v>
      </c>
      <c r="CH3" s="26">
        <f>资产资本表!CH107</f>
        <v>203800000</v>
      </c>
      <c r="CI3" s="26">
        <f>资产资本表!CI107</f>
        <v>162870000</v>
      </c>
      <c r="CJ3" s="26">
        <f>资产资本表!CJ107</f>
        <v>92660000</v>
      </c>
      <c r="CK3" s="26">
        <f>资产资本表!CK107</f>
        <v>75420000</v>
      </c>
    </row>
    <row r="4" spans="1:89" s="59" customFormat="1" x14ac:dyDescent="0.25">
      <c r="A4" s="144" t="s">
        <v>430</v>
      </c>
      <c r="E4" s="59">
        <f>E2/E3</f>
        <v>0.12796982090356049</v>
      </c>
      <c r="F4" s="59">
        <f t="shared" ref="F4:BQ4" si="0">F2/F3</f>
        <v>9.9119595931976931E-2</v>
      </c>
      <c r="G4" s="59">
        <f t="shared" si="0"/>
        <v>5.6563700517850805E-2</v>
      </c>
      <c r="H4" s="59">
        <f t="shared" si="0"/>
        <v>1.7072117148888278E-2</v>
      </c>
      <c r="I4" s="59">
        <f t="shared" si="0"/>
        <v>0.12919867921381595</v>
      </c>
      <c r="J4" s="59">
        <f t="shared" si="0"/>
        <v>0.21028129667948364</v>
      </c>
      <c r="K4" s="59">
        <f t="shared" si="0"/>
        <v>0.12094406151731543</v>
      </c>
      <c r="L4" s="59">
        <f t="shared" si="0"/>
        <v>1.8481028517776835E-2</v>
      </c>
      <c r="M4" s="59">
        <f t="shared" si="0"/>
        <v>0.29106914429463049</v>
      </c>
      <c r="N4" s="59">
        <f t="shared" si="0"/>
        <v>0.24826177154592249</v>
      </c>
      <c r="O4" s="59">
        <f t="shared" si="0"/>
        <v>0.3731211156038039</v>
      </c>
      <c r="P4" s="59">
        <f t="shared" si="0"/>
        <v>0.40052767785665833</v>
      </c>
      <c r="Q4" s="59" t="e">
        <f t="shared" si="0"/>
        <v>#DIV/0!</v>
      </c>
      <c r="R4" s="59">
        <f t="shared" si="0"/>
        <v>1.7824694385667173E-3</v>
      </c>
      <c r="S4" s="59">
        <f t="shared" si="0"/>
        <v>0</v>
      </c>
      <c r="T4" s="59">
        <f t="shared" si="0"/>
        <v>-1.7297321624475996E-2</v>
      </c>
      <c r="U4" s="59">
        <f t="shared" si="0"/>
        <v>-5.6413659828336578E-2</v>
      </c>
      <c r="V4" s="59">
        <f t="shared" si="0"/>
        <v>-4.9271243851680871E-2</v>
      </c>
      <c r="W4" s="59">
        <f t="shared" si="0"/>
        <v>-4.3580429396468646E-2</v>
      </c>
      <c r="X4" s="59">
        <f t="shared" si="0"/>
        <v>-2.8244002324217247E-2</v>
      </c>
      <c r="Y4" s="59">
        <f t="shared" si="0"/>
        <v>-8.2411230501752197E-2</v>
      </c>
      <c r="Z4" s="59">
        <f t="shared" si="0"/>
        <v>-6.6904426615162341E-2</v>
      </c>
      <c r="AA4" s="59">
        <f t="shared" si="0"/>
        <v>-4.9090270162919551E-2</v>
      </c>
      <c r="AB4" s="59">
        <f t="shared" si="0"/>
        <v>-3.3478527881227474E-2</v>
      </c>
      <c r="AC4" s="59">
        <f t="shared" si="0"/>
        <v>-6.9112371373975898E-2</v>
      </c>
      <c r="AD4" s="59">
        <f t="shared" si="0"/>
        <v>-6.2121129003538979E-2</v>
      </c>
      <c r="AE4" s="59">
        <f t="shared" si="0"/>
        <v>-4.5461782500027574E-2</v>
      </c>
      <c r="AF4" s="59">
        <f t="shared" si="0"/>
        <v>-3.2851627641766294E-2</v>
      </c>
      <c r="AG4" s="59">
        <f t="shared" si="0"/>
        <v>-7.1454026511113516E-2</v>
      </c>
      <c r="AH4" s="59">
        <f t="shared" si="0"/>
        <v>-5.9617986918204052E-2</v>
      </c>
      <c r="AI4" s="59">
        <f t="shared" si="0"/>
        <v>-4.2147751624769539E-2</v>
      </c>
      <c r="AJ4" s="59">
        <f t="shared" si="0"/>
        <v>-3.0670256876662586E-2</v>
      </c>
      <c r="AK4" s="59">
        <f t="shared" si="0"/>
        <v>-7.0545052079275056E-2</v>
      </c>
      <c r="AL4" s="59">
        <f t="shared" si="0"/>
        <v>-5.2486427443055657E-2</v>
      </c>
      <c r="AM4" s="59">
        <f t="shared" si="0"/>
        <v>-3.8777552109759118E-2</v>
      </c>
      <c r="AN4" s="59">
        <f t="shared" si="0"/>
        <v>-2.9876851160973016E-2</v>
      </c>
      <c r="AO4" s="59">
        <f t="shared" si="0"/>
        <v>-3.5607945498456167E-2</v>
      </c>
      <c r="AP4" s="59">
        <f t="shared" si="0"/>
        <v>-3.6614766209911873E-2</v>
      </c>
      <c r="AQ4" s="59">
        <f t="shared" si="0"/>
        <v>-3.015078208827536E-2</v>
      </c>
      <c r="AR4" s="59">
        <f t="shared" si="0"/>
        <v>-3.0088761463644788E-2</v>
      </c>
      <c r="AS4" s="59">
        <f t="shared" si="0"/>
        <v>-6.3382529886117006E-2</v>
      </c>
      <c r="AT4" s="59">
        <f t="shared" si="0"/>
        <v>-6.3957652305486765E-2</v>
      </c>
      <c r="AU4" s="59">
        <f t="shared" si="0"/>
        <v>-5.6453495505317926E-2</v>
      </c>
      <c r="AV4" s="59">
        <f t="shared" si="0"/>
        <v>-4.0932230447377788E-2</v>
      </c>
      <c r="AW4" s="59">
        <f t="shared" si="0"/>
        <v>-6.6404507779177488E-2</v>
      </c>
      <c r="AX4" s="59">
        <f t="shared" si="0"/>
        <v>-6.1103607040135344E-2</v>
      </c>
      <c r="AY4" s="59">
        <f t="shared" si="0"/>
        <v>-4.9629148809012189E-2</v>
      </c>
      <c r="AZ4" s="59">
        <f t="shared" si="0"/>
        <v>-3.5026271701805722E-2</v>
      </c>
      <c r="BA4" s="59">
        <f t="shared" si="0"/>
        <v>-5.0853060463875034E-2</v>
      </c>
      <c r="BB4" s="59">
        <f t="shared" si="0"/>
        <v>-5.1205500633057732E-2</v>
      </c>
      <c r="BC4" s="59">
        <f t="shared" si="0"/>
        <v>-4.6121531415502376E-2</v>
      </c>
      <c r="BD4" s="59">
        <f t="shared" si="0"/>
        <v>-3.3192191183581021E-2</v>
      </c>
      <c r="BE4" s="59">
        <f t="shared" si="0"/>
        <v>-6.3014106011219678E-2</v>
      </c>
      <c r="BF4" s="59">
        <f t="shared" si="0"/>
        <v>-5.3138023037392887E-2</v>
      </c>
      <c r="BG4" s="59">
        <f t="shared" si="0"/>
        <v>-4.2409134677930588E-2</v>
      </c>
      <c r="BH4" s="59">
        <f t="shared" si="0"/>
        <v>-2.9736987250561689E-2</v>
      </c>
      <c r="BI4" s="59">
        <f t="shared" si="0"/>
        <v>-5.901924832437138E-2</v>
      </c>
      <c r="BJ4" s="59">
        <f t="shared" si="0"/>
        <v>-4.9655280618628096E-2</v>
      </c>
      <c r="BK4" s="59">
        <f t="shared" si="0"/>
        <v>-4.1645710825496417E-2</v>
      </c>
      <c r="BL4" s="59">
        <f t="shared" si="0"/>
        <v>-3.6475277682160433E-2</v>
      </c>
      <c r="BM4" s="59">
        <f t="shared" si="0"/>
        <v>-4.1940764562401395E-2</v>
      </c>
      <c r="BN4" s="59">
        <f t="shared" si="0"/>
        <v>-3.2060575046575363E-2</v>
      </c>
      <c r="BO4" s="59">
        <f t="shared" si="0"/>
        <v>-2.2373063298402562E-2</v>
      </c>
      <c r="BP4" s="59">
        <f t="shared" si="0"/>
        <v>-2.3017074472285983E-2</v>
      </c>
      <c r="BQ4" s="59">
        <f t="shared" si="0"/>
        <v>-1.6801503628961819E-2</v>
      </c>
      <c r="BR4" s="59">
        <f t="shared" ref="BR4:CJ4" si="1">BR2/BR3</f>
        <v>-3.24149783637089E-2</v>
      </c>
      <c r="BS4" s="59">
        <f t="shared" si="1"/>
        <v>-3.4881727105706604E-2</v>
      </c>
      <c r="BT4" s="59">
        <f t="shared" si="1"/>
        <v>-3.0201354939196182E-2</v>
      </c>
      <c r="BU4" s="59">
        <f t="shared" si="1"/>
        <v>-6.9615193891625377E-2</v>
      </c>
      <c r="BV4" s="59">
        <f t="shared" si="1"/>
        <v>-0.1010104605535654</v>
      </c>
      <c r="BW4" s="59">
        <f t="shared" si="1"/>
        <v>-0.11912518667290314</v>
      </c>
      <c r="BX4" s="59">
        <f t="shared" si="1"/>
        <v>-2.7305636971819917E-2</v>
      </c>
      <c r="BY4" s="59">
        <f t="shared" si="1"/>
        <v>-0.12339266093922316</v>
      </c>
      <c r="BZ4" s="59">
        <f t="shared" si="1"/>
        <v>-2.1880368727117284E-2</v>
      </c>
      <c r="CA4" s="59">
        <f t="shared" si="1"/>
        <v>-0.45857349816157594</v>
      </c>
      <c r="CB4" s="59">
        <f t="shared" si="1"/>
        <v>-0.54454807845742792</v>
      </c>
      <c r="CC4" s="59">
        <f t="shared" si="1"/>
        <v>-0.52774240026214003</v>
      </c>
      <c r="CD4" s="59" t="e">
        <f t="shared" si="1"/>
        <v>#DIV/0!</v>
      </c>
      <c r="CE4" s="59">
        <f t="shared" si="1"/>
        <v>-1.8598030262897112E-2</v>
      </c>
      <c r="CF4" s="59">
        <f t="shared" si="1"/>
        <v>-1.4294123244527224E-2</v>
      </c>
      <c r="CG4" s="59">
        <f t="shared" si="1"/>
        <v>-8.7884894672049466E-3</v>
      </c>
      <c r="CH4" s="59">
        <f t="shared" si="1"/>
        <v>-2.0706575073601571E-2</v>
      </c>
      <c r="CI4" s="59">
        <f t="shared" si="1"/>
        <v>-7.6809725547983057E-2</v>
      </c>
      <c r="CJ4" s="59">
        <f t="shared" si="1"/>
        <v>-3.9175480250377724E-2</v>
      </c>
    </row>
    <row r="5" spans="1:89" s="26" customFormat="1" x14ac:dyDescent="0.25">
      <c r="A5" s="20" t="s">
        <v>426</v>
      </c>
      <c r="E5" s="26">
        <f>股权价值增加表!E47</f>
        <v>52494399.365199998</v>
      </c>
      <c r="F5" s="26">
        <f>股权价值增加表!F47</f>
        <v>20147550.958000034</v>
      </c>
      <c r="G5" s="26">
        <f>股权价值增加表!G47</f>
        <v>-23461030.080799989</v>
      </c>
      <c r="H5" s="26">
        <f>股权价值增加表!H47</f>
        <v>-62411747.419600002</v>
      </c>
      <c r="I5" s="26">
        <f>股权价值增加表!I47</f>
        <v>48481079.171599939</v>
      </c>
      <c r="J5" s="26">
        <f>股权价值增加表!J47</f>
        <v>57902830.927200019</v>
      </c>
      <c r="K5" s="26">
        <f>股权价值增加表!K47</f>
        <v>16347997.309999984</v>
      </c>
      <c r="L5" s="26">
        <f>股权价值增加表!L47</f>
        <v>-29407193.352399997</v>
      </c>
      <c r="M5" s="26">
        <f>股权价值增加表!M47</f>
        <v>81757183.258399993</v>
      </c>
      <c r="N5" s="26">
        <f>股权价值增加表!N47</f>
        <v>53464038.43999996</v>
      </c>
      <c r="O5" s="26">
        <f>股权价值增加表!O47</f>
        <v>74563688.741600037</v>
      </c>
      <c r="P5" s="26">
        <f>股权价值增加表!P47</f>
        <v>67236857.736000031</v>
      </c>
      <c r="Q5" s="26">
        <f>股权价值增加表!Q47</f>
        <v>78574092.780000001</v>
      </c>
      <c r="R5" s="26">
        <f>股权价值增加表!R47</f>
        <v>69584154.749999985</v>
      </c>
      <c r="S5" s="26">
        <f>股权价值增加表!S47</f>
        <v>0</v>
      </c>
      <c r="T5" s="26">
        <f>股权价值增加表!T47</f>
        <v>-3868038785.9252005</v>
      </c>
      <c r="U5" s="26">
        <f>股权价值增加表!U47</f>
        <v>-5049936089.9771996</v>
      </c>
      <c r="V5" s="26">
        <f>股权价值增加表!V47</f>
        <v>-4645524401.3476</v>
      </c>
      <c r="W5" s="26">
        <f>股权价值增加表!W47</f>
        <v>-4262542827.1395998</v>
      </c>
      <c r="X5" s="26">
        <f>股权价值增加表!X47</f>
        <v>-3818321607.2244005</v>
      </c>
      <c r="Y5" s="26">
        <f>股权价值增加表!Y47</f>
        <v>-5119375855.2939997</v>
      </c>
      <c r="Z5" s="26">
        <f>股权价值增加表!Z47</f>
        <v>-4351521066.0344</v>
      </c>
      <c r="AA5" s="26">
        <f>股权价值增加表!AA47</f>
        <v>-3453061580.3604002</v>
      </c>
      <c r="AB5" s="26">
        <f>股权价值增加表!AB47</f>
        <v>-3016026399.7420001</v>
      </c>
      <c r="AC5" s="26">
        <f>股权价值增加表!AC47</f>
        <v>-3496191358.9559999</v>
      </c>
      <c r="AD5" s="26">
        <f>股权价值增加表!AD47</f>
        <v>-3159150603.4176006</v>
      </c>
      <c r="AE5" s="26">
        <f>股权价值增加表!AE47</f>
        <v>-2599330863.8928003</v>
      </c>
      <c r="AF5" s="26">
        <f>股权价值增加表!AF47</f>
        <v>-2320809198.2547998</v>
      </c>
      <c r="AG5" s="26">
        <f>股权价值增加表!AG47</f>
        <v>-2781620029.7676001</v>
      </c>
      <c r="AH5" s="26">
        <f>股权价值增加表!AH47</f>
        <v>-2445973651.9331999</v>
      </c>
      <c r="AI5" s="26">
        <f>股权价值增加表!AI47</f>
        <v>-1995822294.8076</v>
      </c>
      <c r="AJ5" s="26">
        <f>股权价值增加表!AJ47</f>
        <v>-1791496679.5492001</v>
      </c>
      <c r="AK5" s="26">
        <f>股权价值增加表!AK47</f>
        <v>-2195016432.8972001</v>
      </c>
      <c r="AL5" s="26">
        <f>股权价值增加表!AL47</f>
        <v>-1809611796.128</v>
      </c>
      <c r="AM5" s="26">
        <f>股权价值增加表!AM47</f>
        <v>-1530572190.7395999</v>
      </c>
      <c r="AN5" s="26">
        <f>股权价值增加表!AN47</f>
        <v>-1398206785.8844001</v>
      </c>
      <c r="AO5" s="26">
        <f>股权价值增加表!AO47</f>
        <v>-1324397326.0776</v>
      </c>
      <c r="AP5" s="26">
        <f>股权价值增加表!AP47</f>
        <v>-1309621530.4188001</v>
      </c>
      <c r="AQ5" s="26">
        <f>股权价值增加表!AQ47</f>
        <v>-1204430921.7676001</v>
      </c>
      <c r="AR5" s="26">
        <f>股权价值增加表!AR47</f>
        <v>-1171558509.1084001</v>
      </c>
      <c r="AS5" s="26">
        <f>股权价值增加表!AS47</f>
        <v>-1380234212.0735998</v>
      </c>
      <c r="AT5" s="26">
        <f>股权价值增加表!AT47</f>
        <v>-1365523001.1691999</v>
      </c>
      <c r="AU5" s="26">
        <f>股权价值增加表!AU47</f>
        <v>-1269565389.4956</v>
      </c>
      <c r="AV5" s="26">
        <f>股权价值增加表!AV47</f>
        <v>-1094636149.8116</v>
      </c>
      <c r="AW5" s="26">
        <f>股权价值增加表!AW47</f>
        <v>-1214450063.3312001</v>
      </c>
      <c r="AX5" s="26">
        <f>股权价值增加表!AX47</f>
        <v>-1148538939.4868002</v>
      </c>
      <c r="AY5" s="26">
        <f>股权价值增加表!AY47</f>
        <v>-1029093452.312</v>
      </c>
      <c r="AZ5" s="26">
        <f>股权价值增加表!AZ47</f>
        <v>-912708678.76999998</v>
      </c>
      <c r="BA5" s="26">
        <f>股权价值增加表!BA47</f>
        <v>-966476645.33319998</v>
      </c>
      <c r="BB5" s="26">
        <f>股权价值增加表!BB47</f>
        <v>-965766447.68720007</v>
      </c>
      <c r="BC5" s="26">
        <f>股权价值增加表!BC47</f>
        <v>-905480197.47199988</v>
      </c>
      <c r="BD5" s="26">
        <f>股权价值增加表!BD47</f>
        <v>-792737615.93959999</v>
      </c>
      <c r="BE5" s="26">
        <f>股权价值增加表!BE47</f>
        <v>-942028467.71160007</v>
      </c>
      <c r="BF5" s="26">
        <f>股权价值增加表!BF47</f>
        <v>-856598894.06439996</v>
      </c>
      <c r="BG5" s="26">
        <f>股权价值增加表!BG47</f>
        <v>-770285781.60280001</v>
      </c>
      <c r="BH5" s="26">
        <f>股权价值增加表!BH47</f>
        <v>-703335824.93879998</v>
      </c>
      <c r="BI5" s="26">
        <f>股权价值增加表!BI47</f>
        <v>-837715071.78279996</v>
      </c>
      <c r="BJ5" s="26">
        <f>股权价值增加表!BJ47</f>
        <v>-761129027.17720008</v>
      </c>
      <c r="BK5" s="26">
        <f>股权价值增加表!BK47</f>
        <v>-694810452.53199995</v>
      </c>
      <c r="BL5" s="26">
        <f>股权价值增加表!BL47</f>
        <v>-653614035.78559995</v>
      </c>
      <c r="BM5" s="26">
        <f>股权价值增加表!BM47</f>
        <v>-648980937.67680001</v>
      </c>
      <c r="BN5" s="26">
        <f>股权价值增加表!BN47</f>
        <v>-584316686.89160001</v>
      </c>
      <c r="BO5" s="26">
        <f>股权价值增加表!BO47</f>
        <v>-519580365.63720006</v>
      </c>
      <c r="BP5" s="26">
        <f>股权价值增加表!BP47</f>
        <v>-510447612.64480001</v>
      </c>
      <c r="BQ5" s="26">
        <f>股权价值增加表!BQ47</f>
        <v>-455184205.68400002</v>
      </c>
      <c r="BR5" s="26">
        <f>股权价值增加表!BR47</f>
        <v>-147870000</v>
      </c>
      <c r="BS5" s="26">
        <f>股权价值增加表!BS47</f>
        <v>-503831715.28120005</v>
      </c>
      <c r="BT5" s="26">
        <f>股权价值增加表!BT47</f>
        <v>-467102018.77999997</v>
      </c>
      <c r="BU5" s="26">
        <f>股权价值增加表!BU47</f>
        <v>-477454430.35599995</v>
      </c>
      <c r="BV5" s="26">
        <f>股权价值增加表!BV47</f>
        <v>-515936318.05199999</v>
      </c>
      <c r="BW5" s="26">
        <f>股权价值增加表!BW47</f>
        <v>-481982388.18599999</v>
      </c>
      <c r="BX5" s="26">
        <f>股权价值增加表!BX47</f>
        <v>-224236423.546</v>
      </c>
      <c r="BY5" s="26">
        <f>股权价值增加表!BY47</f>
        <v>-358986056.90359998</v>
      </c>
      <c r="BZ5" s="26">
        <f>股权价值增加表!BZ47</f>
        <v>-189968023.31680003</v>
      </c>
      <c r="CA5" s="26">
        <f>股权价值增加表!CA47</f>
        <v>-211328042.74439999</v>
      </c>
      <c r="CB5" s="26">
        <f>股权价值增加表!CB47</f>
        <v>-165479246.60680002</v>
      </c>
      <c r="CC5" s="26">
        <f>股权价值增加表!CC47</f>
        <v>-137330018.646</v>
      </c>
      <c r="CD5" s="26">
        <f>股权价值增加表!CD47</f>
        <v>0</v>
      </c>
      <c r="CE5" s="26">
        <f>股权价值增加表!CE47</f>
        <v>-106460040</v>
      </c>
      <c r="CF5" s="26">
        <f>股权价值增加表!CF47</f>
        <v>-94692832.060800001</v>
      </c>
      <c r="CG5" s="26">
        <f>股权价值增加表!CG47</f>
        <v>-43745192.029600002</v>
      </c>
      <c r="CH5" s="26">
        <f>股权价值增加表!CH47</f>
        <v>-4220000</v>
      </c>
      <c r="CI5" s="26">
        <f>股权价值增加表!CI47</f>
        <v>-12510000</v>
      </c>
      <c r="CJ5" s="26">
        <f>股权价值增加表!CJ47</f>
        <v>-3630000</v>
      </c>
      <c r="CK5" s="26">
        <f>股权价值增加表!CK47</f>
        <v>0</v>
      </c>
    </row>
    <row r="6" spans="1:89" s="156" customFormat="1" x14ac:dyDescent="0.25">
      <c r="A6" s="156" t="s">
        <v>437</v>
      </c>
      <c r="E6" s="156">
        <f>股权价值增加表!E31/股权价值增加表!E4</f>
        <v>0.22096240780960927</v>
      </c>
      <c r="F6" s="156">
        <f>股权价值增加表!F31/股权价值增加表!F4</f>
        <v>0.2357938161829467</v>
      </c>
      <c r="G6" s="156">
        <f>股权价值增加表!G31/股权价值增加表!G4</f>
        <v>0.20179998639159474</v>
      </c>
      <c r="H6" s="156">
        <f>股权价值增加表!H31/股权价值增加表!H4</f>
        <v>0.13891864284186209</v>
      </c>
      <c r="I6" s="156">
        <f>股权价值增加表!I31/股权价值增加表!I4</f>
        <v>0.23227361159850929</v>
      </c>
      <c r="J6" s="156">
        <f>股权价值增加表!J31/股权价值增加表!J4</f>
        <v>0.25161791760811975</v>
      </c>
      <c r="K6" s="156">
        <f>股权价值增加表!K31/股权价值增加表!K4</f>
        <v>0.21024621274883967</v>
      </c>
      <c r="L6" s="156">
        <f>股权价值增加表!L31/股权价值增加表!L4</f>
        <v>9.5390858381427704E-2</v>
      </c>
      <c r="M6" s="156">
        <f>股权价值增加表!M31/股权价值增加表!M4</f>
        <v>0.23366781761171718</v>
      </c>
      <c r="N6" s="156">
        <f>股权价值增加表!N31/股权价值增加表!N4</f>
        <v>0.2411234567034678</v>
      </c>
      <c r="O6" s="156">
        <f>股权价值增加表!O31/股权价值增加表!O4</f>
        <v>0.23010448239094775</v>
      </c>
      <c r="P6" s="156">
        <f>股权价值增加表!P31/股权价值增加表!P4</f>
        <v>0.23042017511296525</v>
      </c>
      <c r="Q6" s="156">
        <f>股权价值增加表!Q31/股权价值增加表!Q4</f>
        <v>0.24421779960748016</v>
      </c>
      <c r="R6" s="156">
        <f>股权价值增加表!R31/股权价值增加表!R4</f>
        <v>0.26381320271879261</v>
      </c>
      <c r="S6" s="156" t="e">
        <f>股权价值增加表!S31/股权价值增加表!S4</f>
        <v>#DIV/0!</v>
      </c>
      <c r="T6" s="156" t="e">
        <f>股权价值增加表!T31/股权价值增加表!T4</f>
        <v>#DIV/0!</v>
      </c>
      <c r="U6" s="156" t="e">
        <f>股权价值增加表!U31/股权价值增加表!U4</f>
        <v>#DIV/0!</v>
      </c>
      <c r="V6" s="156" t="e">
        <f>股权价值增加表!V31/股权价值增加表!V4</f>
        <v>#DIV/0!</v>
      </c>
      <c r="W6" s="156" t="e">
        <f>股权价值增加表!W31/股权价值增加表!W4</f>
        <v>#DIV/0!</v>
      </c>
      <c r="X6" s="156" t="e">
        <f>股权价值增加表!X31/股权价值增加表!X4</f>
        <v>#DIV/0!</v>
      </c>
      <c r="Y6" s="156" t="e">
        <f>股权价值增加表!Y31/股权价值增加表!Y4</f>
        <v>#DIV/0!</v>
      </c>
      <c r="Z6" s="156" t="e">
        <f>股权价值增加表!Z31/股权价值增加表!Z4</f>
        <v>#DIV/0!</v>
      </c>
      <c r="AA6" s="156" t="e">
        <f>股权价值增加表!AA31/股权价值增加表!AA4</f>
        <v>#DIV/0!</v>
      </c>
      <c r="AB6" s="156" t="e">
        <f>股权价值增加表!AB31/股权价值增加表!AB4</f>
        <v>#DIV/0!</v>
      </c>
      <c r="AC6" s="156" t="e">
        <f>股权价值增加表!AC31/股权价值增加表!AC4</f>
        <v>#DIV/0!</v>
      </c>
      <c r="AD6" s="156" t="e">
        <f>股权价值增加表!AD31/股权价值增加表!AD4</f>
        <v>#DIV/0!</v>
      </c>
      <c r="AE6" s="156" t="e">
        <f>股权价值增加表!AE31/股权价值增加表!AE4</f>
        <v>#DIV/0!</v>
      </c>
      <c r="AF6" s="156" t="e">
        <f>股权价值增加表!AF31/股权价值增加表!AF4</f>
        <v>#DIV/0!</v>
      </c>
      <c r="AG6" s="156" t="e">
        <f>股权价值增加表!AG31/股权价值增加表!AG4</f>
        <v>#DIV/0!</v>
      </c>
      <c r="AH6" s="156" t="e">
        <f>股权价值增加表!AH31/股权价值增加表!AH4</f>
        <v>#DIV/0!</v>
      </c>
      <c r="AI6" s="156" t="e">
        <f>股权价值增加表!AI31/股权价值增加表!AI4</f>
        <v>#DIV/0!</v>
      </c>
      <c r="AJ6" s="156" t="e">
        <f>股权价值增加表!AJ31/股权价值增加表!AJ4</f>
        <v>#DIV/0!</v>
      </c>
      <c r="AK6" s="156" t="e">
        <f>股权价值增加表!AK31/股权价值增加表!AK4</f>
        <v>#DIV/0!</v>
      </c>
      <c r="AL6" s="156" t="e">
        <f>股权价值增加表!AL31/股权价值增加表!AL4</f>
        <v>#DIV/0!</v>
      </c>
      <c r="AM6" s="156" t="e">
        <f>股权价值增加表!AM31/股权价值增加表!AM4</f>
        <v>#DIV/0!</v>
      </c>
      <c r="AN6" s="156" t="e">
        <f>股权价值增加表!AN31/股权价值增加表!AN4</f>
        <v>#DIV/0!</v>
      </c>
      <c r="AO6" s="156" t="e">
        <f>股权价值增加表!AO31/股权价值增加表!AO4</f>
        <v>#DIV/0!</v>
      </c>
      <c r="AP6" s="156" t="e">
        <f>股权价值增加表!AP31/股权价值增加表!AP4</f>
        <v>#DIV/0!</v>
      </c>
      <c r="AQ6" s="156" t="e">
        <f>股权价值增加表!AQ31/股权价值增加表!AQ4</f>
        <v>#DIV/0!</v>
      </c>
      <c r="AR6" s="156" t="e">
        <f>股权价值增加表!AR31/股权价值增加表!AR4</f>
        <v>#DIV/0!</v>
      </c>
      <c r="AS6" s="156" t="e">
        <f>股权价值增加表!AS31/股权价值增加表!AS4</f>
        <v>#DIV/0!</v>
      </c>
      <c r="AT6" s="156" t="e">
        <f>股权价值增加表!AT31/股权价值增加表!AT4</f>
        <v>#DIV/0!</v>
      </c>
      <c r="AU6" s="156" t="e">
        <f>股权价值增加表!AU31/股权价值增加表!AU4</f>
        <v>#DIV/0!</v>
      </c>
      <c r="AV6" s="156" t="e">
        <f>股权价值增加表!AV31/股权价值增加表!AV4</f>
        <v>#DIV/0!</v>
      </c>
      <c r="AW6" s="156" t="e">
        <f>股权价值增加表!AW31/股权价值增加表!AW4</f>
        <v>#DIV/0!</v>
      </c>
      <c r="AX6" s="156" t="e">
        <f>股权价值增加表!AX31/股权价值增加表!AX4</f>
        <v>#DIV/0!</v>
      </c>
      <c r="AY6" s="156" t="e">
        <f>股权价值增加表!AY31/股权价值增加表!AY4</f>
        <v>#DIV/0!</v>
      </c>
      <c r="AZ6" s="156" t="e">
        <f>股权价值增加表!AZ31/股权价值增加表!AZ4</f>
        <v>#DIV/0!</v>
      </c>
      <c r="BA6" s="156" t="e">
        <f>股权价值增加表!BA31/股权价值增加表!BA4</f>
        <v>#DIV/0!</v>
      </c>
      <c r="BB6" s="156" t="e">
        <f>股权价值增加表!BB31/股权价值增加表!BB4</f>
        <v>#DIV/0!</v>
      </c>
      <c r="BC6" s="156" t="e">
        <f>股权价值增加表!BC31/股权价值增加表!BC4</f>
        <v>#DIV/0!</v>
      </c>
      <c r="BD6" s="156" t="e">
        <f>股权价值增加表!BD31/股权价值增加表!BD4</f>
        <v>#DIV/0!</v>
      </c>
      <c r="BE6" s="156" t="e">
        <f>股权价值增加表!BE31/股权价值增加表!BE4</f>
        <v>#DIV/0!</v>
      </c>
      <c r="BF6" s="156" t="e">
        <f>股权价值增加表!BF31/股权价值增加表!BF4</f>
        <v>#DIV/0!</v>
      </c>
      <c r="BG6" s="156" t="e">
        <f>股权价值增加表!BG31/股权价值增加表!BG4</f>
        <v>#DIV/0!</v>
      </c>
      <c r="BH6" s="156" t="e">
        <f>股权价值增加表!BH31/股权价值增加表!BH4</f>
        <v>#DIV/0!</v>
      </c>
      <c r="BI6" s="156" t="e">
        <f>股权价值增加表!BI31/股权价值增加表!BI4</f>
        <v>#DIV/0!</v>
      </c>
      <c r="BJ6" s="156" t="e">
        <f>股权价值增加表!BJ31/股权价值增加表!BJ4</f>
        <v>#DIV/0!</v>
      </c>
      <c r="BK6" s="156" t="e">
        <f>股权价值增加表!BK31/股权价值增加表!BK4</f>
        <v>#DIV/0!</v>
      </c>
      <c r="BL6" s="156" t="e">
        <f>股权价值增加表!BL31/股权价值增加表!BL4</f>
        <v>#DIV/0!</v>
      </c>
      <c r="BM6" s="156" t="e">
        <f>股权价值增加表!BM31/股权价值增加表!BM4</f>
        <v>#DIV/0!</v>
      </c>
      <c r="BN6" s="156" t="e">
        <f>股权价值增加表!BN31/股权价值增加表!BN4</f>
        <v>#DIV/0!</v>
      </c>
      <c r="BO6" s="156" t="e">
        <f>股权价值增加表!BO31/股权价值增加表!BO4</f>
        <v>#DIV/0!</v>
      </c>
      <c r="BP6" s="156" t="e">
        <f>股权价值增加表!BP31/股权价值增加表!BP4</f>
        <v>#DIV/0!</v>
      </c>
      <c r="BQ6" s="156" t="e">
        <f>股权价值增加表!BQ31/股权价值增加表!BQ4</f>
        <v>#DIV/0!</v>
      </c>
      <c r="BR6" s="156" t="e">
        <f>股权价值增加表!BR31/股权价值增加表!BR4</f>
        <v>#DIV/0!</v>
      </c>
      <c r="BS6" s="156" t="e">
        <f>股权价值增加表!BS31/股权价值增加表!BS4</f>
        <v>#DIV/0!</v>
      </c>
      <c r="BT6" s="156" t="e">
        <f>股权价值增加表!BT31/股权价值增加表!BT4</f>
        <v>#DIV/0!</v>
      </c>
      <c r="BU6" s="156" t="e">
        <f>股权价值增加表!BU31/股权价值增加表!BU4</f>
        <v>#DIV/0!</v>
      </c>
      <c r="BV6" s="156" t="e">
        <f>股权价值增加表!BV31/股权价值增加表!BV4</f>
        <v>#DIV/0!</v>
      </c>
      <c r="BW6" s="156" t="e">
        <f>股权价值增加表!BW31/股权价值增加表!BW4</f>
        <v>#DIV/0!</v>
      </c>
      <c r="BX6" s="156" t="e">
        <f>股权价值增加表!BX31/股权价值增加表!BX4</f>
        <v>#DIV/0!</v>
      </c>
      <c r="BY6" s="156" t="e">
        <f>股权价值增加表!BY31/股权价值增加表!BY4</f>
        <v>#DIV/0!</v>
      </c>
      <c r="BZ6" s="156" t="e">
        <f>股权价值增加表!BZ31/股权价值增加表!BZ4</f>
        <v>#DIV/0!</v>
      </c>
      <c r="CA6" s="156" t="e">
        <f>股权价值增加表!CA31/股权价值增加表!CA4</f>
        <v>#DIV/0!</v>
      </c>
      <c r="CB6" s="156" t="e">
        <f>股权价值增加表!CB31/股权价值增加表!CB4</f>
        <v>#DIV/0!</v>
      </c>
      <c r="CC6" s="156" t="e">
        <f>股权价值增加表!CC31/股权价值增加表!CC4</f>
        <v>#DIV/0!</v>
      </c>
      <c r="CD6" s="156" t="e">
        <f>股权价值增加表!CD31/股权价值增加表!CD4</f>
        <v>#DIV/0!</v>
      </c>
      <c r="CE6" s="156" t="e">
        <f>股权价值增加表!CE31/股权价值增加表!CE4</f>
        <v>#DIV/0!</v>
      </c>
      <c r="CF6" s="156" t="e">
        <f>股权价值增加表!CF31/股权价值增加表!CF4</f>
        <v>#DIV/0!</v>
      </c>
      <c r="CG6" s="156" t="e">
        <f>股权价值增加表!CG31/股权价值增加表!CG4</f>
        <v>#DIV/0!</v>
      </c>
      <c r="CH6" s="156" t="e">
        <f>股权价值增加表!CH31/股权价值增加表!CH4</f>
        <v>#DIV/0!</v>
      </c>
      <c r="CI6" s="156" t="e">
        <f>股权价值增加表!CI31/股权价值增加表!CI4</f>
        <v>#DIV/0!</v>
      </c>
      <c r="CJ6" s="156" t="e">
        <f>股权价值增加表!CJ31/股权价值增加表!CJ4</f>
        <v>#DIV/0!</v>
      </c>
    </row>
    <row r="7" spans="1:89" s="61" customFormat="1" x14ac:dyDescent="0.25">
      <c r="A7" s="241" t="s">
        <v>431</v>
      </c>
      <c r="E7" s="61">
        <f>股权价值增加表!E4/资产资本表!E70</f>
        <v>0.68720144088064206</v>
      </c>
      <c r="F7" s="61">
        <f>股权价值增加表!F4/资产资本表!F70</f>
        <v>0.49867892898315386</v>
      </c>
      <c r="G7" s="61">
        <f>股权价值增加表!G4/资产资本表!G70</f>
        <v>0.33922041795612168</v>
      </c>
      <c r="H7" s="61">
        <f>股权价值增加表!H4/资产资本表!H70</f>
        <v>0.1469415907897276</v>
      </c>
      <c r="I7" s="61">
        <f>股权价值增加表!I4/资产资本表!I70</f>
        <v>0.62614684082879946</v>
      </c>
      <c r="J7" s="61">
        <f>股权价值增加表!J4/资产资本表!J70</f>
        <v>0.81408243309628214</v>
      </c>
      <c r="K7" s="61">
        <f>股权价值增加表!K4/资产资本表!K70</f>
        <v>0.55316157607399763</v>
      </c>
      <c r="L7" s="61">
        <f>股权价值增加表!L4/资产资本表!L70</f>
        <v>0.21867490189194025</v>
      </c>
      <c r="M7" s="61">
        <f>股权价值增加表!M4/资产资本表!M70</f>
        <v>1.2174789291994235</v>
      </c>
      <c r="N7" s="61">
        <f>股权价值增加表!N4/资产资本表!N70</f>
        <v>0.82525737186565229</v>
      </c>
      <c r="O7" s="61">
        <f>股权价值增加表!O4/资产资本表!O70</f>
        <v>1.6039742602585818</v>
      </c>
      <c r="P7" s="61">
        <f>股权价值增加表!P4/资产资本表!P70</f>
        <v>2.0415230064601575</v>
      </c>
      <c r="Q7" s="61" t="e">
        <f>股权价值增加表!Q4/资产资本表!Q70</f>
        <v>#DIV/0!</v>
      </c>
      <c r="R7" s="61" t="e">
        <f>股权价值增加表!R4/资产资本表!R70</f>
        <v>#DIV/0!</v>
      </c>
      <c r="S7" s="61" t="e">
        <f>股权价值增加表!S4/资产资本表!S70</f>
        <v>#DIV/0!</v>
      </c>
      <c r="T7" s="61" t="e">
        <f>股权价值增加表!T4/资产资本表!T70</f>
        <v>#DIV/0!</v>
      </c>
      <c r="U7" s="61" t="e">
        <f>股权价值增加表!U4/资产资本表!U70</f>
        <v>#DIV/0!</v>
      </c>
      <c r="V7" s="61" t="e">
        <f>股权价值增加表!V4/资产资本表!V70</f>
        <v>#DIV/0!</v>
      </c>
      <c r="W7" s="61" t="e">
        <f>股权价值增加表!W4/资产资本表!W70</f>
        <v>#DIV/0!</v>
      </c>
      <c r="X7" s="61" t="e">
        <f>股权价值增加表!X4/资产资本表!X70</f>
        <v>#DIV/0!</v>
      </c>
      <c r="Y7" s="61" t="e">
        <f>股权价值增加表!Y4/资产资本表!Y70</f>
        <v>#DIV/0!</v>
      </c>
      <c r="Z7" s="61" t="e">
        <f>股权价值增加表!Z4/资产资本表!Z70</f>
        <v>#DIV/0!</v>
      </c>
      <c r="AA7" s="61" t="e">
        <f>股权价值增加表!AA4/资产资本表!AA70</f>
        <v>#DIV/0!</v>
      </c>
      <c r="AB7" s="61" t="e">
        <f>股权价值增加表!AB4/资产资本表!AB70</f>
        <v>#DIV/0!</v>
      </c>
      <c r="AC7" s="61" t="e">
        <f>股权价值增加表!AC4/资产资本表!AC70</f>
        <v>#DIV/0!</v>
      </c>
      <c r="AD7" s="61" t="e">
        <f>股权价值增加表!AD4/资产资本表!AD70</f>
        <v>#DIV/0!</v>
      </c>
      <c r="AE7" s="61" t="e">
        <f>股权价值增加表!AE4/资产资本表!AE70</f>
        <v>#DIV/0!</v>
      </c>
      <c r="AF7" s="61" t="e">
        <f>股权价值增加表!AF4/资产资本表!AF70</f>
        <v>#DIV/0!</v>
      </c>
      <c r="AG7" s="61" t="e">
        <f>股权价值增加表!AG4/资产资本表!AG70</f>
        <v>#DIV/0!</v>
      </c>
      <c r="AH7" s="61" t="e">
        <f>股权价值增加表!AH4/资产资本表!AH70</f>
        <v>#DIV/0!</v>
      </c>
      <c r="AI7" s="61" t="e">
        <f>股权价值增加表!AI4/资产资本表!AI70</f>
        <v>#DIV/0!</v>
      </c>
      <c r="AJ7" s="61" t="e">
        <f>股权价值增加表!AJ4/资产资本表!AJ70</f>
        <v>#DIV/0!</v>
      </c>
      <c r="AK7" s="61" t="e">
        <f>股权价值增加表!AK4/资产资本表!AK70</f>
        <v>#DIV/0!</v>
      </c>
      <c r="AL7" s="61" t="e">
        <f>股权价值增加表!AL4/资产资本表!AL70</f>
        <v>#DIV/0!</v>
      </c>
      <c r="AM7" s="61" t="e">
        <f>股权价值增加表!AM4/资产资本表!AM70</f>
        <v>#DIV/0!</v>
      </c>
      <c r="AN7" s="61" t="e">
        <f>股权价值增加表!AN4/资产资本表!AN70</f>
        <v>#DIV/0!</v>
      </c>
      <c r="AO7" s="61" t="e">
        <f>股权价值增加表!AO4/资产资本表!AO70</f>
        <v>#DIV/0!</v>
      </c>
      <c r="AP7" s="61" t="e">
        <f>股权价值增加表!AP4/资产资本表!AP70</f>
        <v>#DIV/0!</v>
      </c>
      <c r="AQ7" s="61" t="e">
        <f>股权价值增加表!AQ4/资产资本表!AQ70</f>
        <v>#DIV/0!</v>
      </c>
      <c r="AR7" s="61" t="e">
        <f>股权价值增加表!AR4/资产资本表!AR70</f>
        <v>#DIV/0!</v>
      </c>
      <c r="AS7" s="61" t="e">
        <f>股权价值增加表!AS4/资产资本表!AS70</f>
        <v>#DIV/0!</v>
      </c>
      <c r="AT7" s="61" t="e">
        <f>股权价值增加表!AT4/资产资本表!AT70</f>
        <v>#DIV/0!</v>
      </c>
      <c r="AU7" s="61" t="e">
        <f>股权价值增加表!AU4/资产资本表!AU70</f>
        <v>#DIV/0!</v>
      </c>
      <c r="AV7" s="61" t="e">
        <f>股权价值增加表!AV4/资产资本表!AV70</f>
        <v>#DIV/0!</v>
      </c>
      <c r="AW7" s="61" t="e">
        <f>股权价值增加表!AW4/资产资本表!AW70</f>
        <v>#DIV/0!</v>
      </c>
      <c r="AX7" s="61" t="e">
        <f>股权价值增加表!AX4/资产资本表!AX70</f>
        <v>#DIV/0!</v>
      </c>
      <c r="AY7" s="61" t="e">
        <f>股权价值增加表!AY4/资产资本表!AY70</f>
        <v>#DIV/0!</v>
      </c>
      <c r="AZ7" s="61" t="e">
        <f>股权价值增加表!AZ4/资产资本表!AZ70</f>
        <v>#DIV/0!</v>
      </c>
      <c r="BA7" s="61" t="e">
        <f>股权价值增加表!BA4/资产资本表!BA70</f>
        <v>#DIV/0!</v>
      </c>
      <c r="BB7" s="61" t="e">
        <f>股权价值增加表!BB4/资产资本表!BB70</f>
        <v>#DIV/0!</v>
      </c>
      <c r="BC7" s="61" t="e">
        <f>股权价值增加表!BC4/资产资本表!BC70</f>
        <v>#DIV/0!</v>
      </c>
      <c r="BD7" s="61" t="e">
        <f>股权价值增加表!BD4/资产资本表!BD70</f>
        <v>#DIV/0!</v>
      </c>
      <c r="BE7" s="61" t="e">
        <f>股权价值增加表!BE4/资产资本表!BE70</f>
        <v>#DIV/0!</v>
      </c>
      <c r="BF7" s="61" t="e">
        <f>股权价值增加表!BF4/资产资本表!BF70</f>
        <v>#DIV/0!</v>
      </c>
      <c r="BG7" s="61" t="e">
        <f>股权价值增加表!BG4/资产资本表!BG70</f>
        <v>#DIV/0!</v>
      </c>
      <c r="BH7" s="61" t="e">
        <f>股权价值增加表!BH4/资产资本表!BH70</f>
        <v>#DIV/0!</v>
      </c>
      <c r="BI7" s="61" t="e">
        <f>股权价值增加表!BI4/资产资本表!BI70</f>
        <v>#DIV/0!</v>
      </c>
      <c r="BJ7" s="61" t="e">
        <f>股权价值增加表!BJ4/资产资本表!BJ70</f>
        <v>#DIV/0!</v>
      </c>
      <c r="BK7" s="61" t="e">
        <f>股权价值增加表!BK4/资产资本表!BK70</f>
        <v>#DIV/0!</v>
      </c>
      <c r="BL7" s="61" t="e">
        <f>股权价值增加表!BL4/资产资本表!BL70</f>
        <v>#DIV/0!</v>
      </c>
      <c r="BM7" s="61" t="e">
        <f>股权价值增加表!BM4/资产资本表!BM70</f>
        <v>#DIV/0!</v>
      </c>
      <c r="BN7" s="61" t="e">
        <f>股权价值增加表!BN4/资产资本表!BN70</f>
        <v>#DIV/0!</v>
      </c>
      <c r="BO7" s="61" t="e">
        <f>股权价值增加表!BO4/资产资本表!BO70</f>
        <v>#DIV/0!</v>
      </c>
      <c r="BP7" s="61" t="e">
        <f>股权价值增加表!BP4/资产资本表!BP70</f>
        <v>#DIV/0!</v>
      </c>
      <c r="BQ7" s="61" t="e">
        <f>股权价值增加表!BQ4/资产资本表!BQ70</f>
        <v>#DIV/0!</v>
      </c>
      <c r="BR7" s="61" t="e">
        <f>股权价值增加表!BR4/资产资本表!BR70</f>
        <v>#DIV/0!</v>
      </c>
      <c r="BS7" s="61" t="e">
        <f>股权价值增加表!BS4/资产资本表!BS70</f>
        <v>#DIV/0!</v>
      </c>
      <c r="BT7" s="61" t="e">
        <f>股权价值增加表!BT4/资产资本表!BT70</f>
        <v>#DIV/0!</v>
      </c>
      <c r="BU7" s="61" t="e">
        <f>股权价值增加表!BU4/资产资本表!BU70</f>
        <v>#DIV/0!</v>
      </c>
      <c r="BV7" s="61" t="e">
        <f>股权价值增加表!BV4/资产资本表!BV70</f>
        <v>#DIV/0!</v>
      </c>
      <c r="BW7" s="61" t="e">
        <f>股权价值增加表!BW4/资产资本表!BW70</f>
        <v>#DIV/0!</v>
      </c>
      <c r="BX7" s="61" t="e">
        <f>股权价值增加表!BX4/资产资本表!BX70</f>
        <v>#DIV/0!</v>
      </c>
      <c r="BY7" s="61" t="e">
        <f>股权价值增加表!BY4/资产资本表!BY70</f>
        <v>#DIV/0!</v>
      </c>
      <c r="BZ7" s="61" t="e">
        <f>股权价值增加表!BZ4/资产资本表!BZ70</f>
        <v>#DIV/0!</v>
      </c>
      <c r="CA7" s="61" t="e">
        <f>股权价值增加表!CA4/资产资本表!CA70</f>
        <v>#DIV/0!</v>
      </c>
      <c r="CB7" s="61" t="e">
        <f>股权价值增加表!CB4/资产资本表!CB70</f>
        <v>#DIV/0!</v>
      </c>
      <c r="CC7" s="61" t="e">
        <f>股权价值增加表!CC4/资产资本表!CC70</f>
        <v>#DIV/0!</v>
      </c>
      <c r="CD7" s="61" t="e">
        <f>股权价值增加表!CD4/资产资本表!CD70</f>
        <v>#DIV/0!</v>
      </c>
      <c r="CE7" s="61" t="e">
        <f>股权价值增加表!CE4/资产资本表!CE70</f>
        <v>#DIV/0!</v>
      </c>
      <c r="CF7" s="61" t="e">
        <f>股权价值增加表!CF4/资产资本表!CF70</f>
        <v>#DIV/0!</v>
      </c>
      <c r="CG7" s="61" t="e">
        <f>股权价值增加表!CG4/资产资本表!CG70</f>
        <v>#DIV/0!</v>
      </c>
      <c r="CH7" s="61" t="e">
        <f>股权价值增加表!CH4/资产资本表!CH70</f>
        <v>#DIV/0!</v>
      </c>
      <c r="CI7" s="61" t="e">
        <f>股权价值增加表!CI4/资产资本表!CI70</f>
        <v>#DIV/0!</v>
      </c>
      <c r="CJ7" s="61" t="e">
        <f>股权价值增加表!CJ4/资产资本表!CJ70</f>
        <v>#DIV/0!</v>
      </c>
    </row>
    <row r="8" spans="1:89" s="63" customFormat="1" x14ac:dyDescent="0.25">
      <c r="A8" s="20" t="s">
        <v>438</v>
      </c>
      <c r="E8" s="63">
        <f>股权价值增加表!E31/资产资本表!E70</f>
        <v>0.15184568502721951</v>
      </c>
      <c r="F8" s="63">
        <f>股权价值增加表!F31/资产资本表!F70</f>
        <v>0.11758540771496251</v>
      </c>
      <c r="G8" s="63">
        <f>股权价值增加表!G31/资产资本表!G70</f>
        <v>6.8454675727296438E-2</v>
      </c>
      <c r="H8" s="63">
        <f>股权价值增加表!H31/资产资本表!H70</f>
        <v>2.0412926369533221E-2</v>
      </c>
      <c r="I8" s="63">
        <f>股权价值增加表!I31/资产资本表!I70</f>
        <v>0.14543738811030218</v>
      </c>
      <c r="J8" s="63">
        <f>股权价值增加表!J31/资产资本表!J70</f>
        <v>0.20483772657703794</v>
      </c>
      <c r="K8" s="63">
        <f>股权价值增加表!K31/资产资本表!K70</f>
        <v>0.11630012640773717</v>
      </c>
      <c r="L8" s="63">
        <f>股权价值增加表!L31/资产资本表!L70</f>
        <v>2.0859586597946667E-2</v>
      </c>
      <c r="M8" s="63">
        <f>股权价值增加表!M31/资产资本表!M70</f>
        <v>0.28448564437427959</v>
      </c>
      <c r="N8" s="63">
        <f>股权价值增加表!N31/资产资本表!N70</f>
        <v>0.19898891017426523</v>
      </c>
      <c r="O8" s="63">
        <f>股权价值增加表!O31/资产资本表!O70</f>
        <v>0.36908166692520428</v>
      </c>
      <c r="P8" s="63">
        <f>股权价值增加表!P31/资产资本表!P70</f>
        <v>0.47040808864569678</v>
      </c>
      <c r="Q8" s="63" t="e">
        <f>股权价值增加表!Q31/资产资本表!Q70</f>
        <v>#DIV/0!</v>
      </c>
      <c r="R8" s="63" t="e">
        <f>股权价值增加表!R31/资产资本表!R70</f>
        <v>#DIV/0!</v>
      </c>
      <c r="S8" s="63" t="e">
        <f>股权价值增加表!S31/资产资本表!S70</f>
        <v>#DIV/0!</v>
      </c>
      <c r="T8" s="63" t="e">
        <f>股权价值增加表!T31/资产资本表!T70</f>
        <v>#DIV/0!</v>
      </c>
      <c r="U8" s="63" t="e">
        <f>股权价值增加表!U31/资产资本表!U70</f>
        <v>#DIV/0!</v>
      </c>
      <c r="V8" s="63" t="e">
        <f>股权价值增加表!V31/资产资本表!V70</f>
        <v>#DIV/0!</v>
      </c>
      <c r="W8" s="63" t="e">
        <f>股权价值增加表!W31/资产资本表!W70</f>
        <v>#DIV/0!</v>
      </c>
      <c r="X8" s="63" t="e">
        <f>股权价值增加表!X31/资产资本表!X70</f>
        <v>#DIV/0!</v>
      </c>
      <c r="Y8" s="63" t="e">
        <f>股权价值增加表!Y31/资产资本表!Y70</f>
        <v>#DIV/0!</v>
      </c>
      <c r="Z8" s="63" t="e">
        <f>股权价值增加表!Z31/资产资本表!Z70</f>
        <v>#DIV/0!</v>
      </c>
      <c r="AA8" s="63" t="e">
        <f>股权价值增加表!AA31/资产资本表!AA70</f>
        <v>#DIV/0!</v>
      </c>
      <c r="AB8" s="63" t="e">
        <f>股权价值增加表!AB31/资产资本表!AB70</f>
        <v>#DIV/0!</v>
      </c>
      <c r="AC8" s="63" t="e">
        <f>股权价值增加表!AC31/资产资本表!AC70</f>
        <v>#DIV/0!</v>
      </c>
      <c r="AD8" s="63" t="e">
        <f>股权价值增加表!AD31/资产资本表!AD70</f>
        <v>#DIV/0!</v>
      </c>
      <c r="AE8" s="63" t="e">
        <f>股权价值增加表!AE31/资产资本表!AE70</f>
        <v>#DIV/0!</v>
      </c>
      <c r="AF8" s="63" t="e">
        <f>股权价值增加表!AF31/资产资本表!AF70</f>
        <v>#DIV/0!</v>
      </c>
      <c r="AG8" s="63" t="e">
        <f>股权价值增加表!AG31/资产资本表!AG70</f>
        <v>#DIV/0!</v>
      </c>
      <c r="AH8" s="63" t="e">
        <f>股权价值增加表!AH31/资产资本表!AH70</f>
        <v>#DIV/0!</v>
      </c>
      <c r="AI8" s="63" t="e">
        <f>股权价值增加表!AI31/资产资本表!AI70</f>
        <v>#DIV/0!</v>
      </c>
      <c r="AJ8" s="63" t="e">
        <f>股权价值增加表!AJ31/资产资本表!AJ70</f>
        <v>#DIV/0!</v>
      </c>
      <c r="AK8" s="63" t="e">
        <f>股权价值增加表!AK31/资产资本表!AK70</f>
        <v>#DIV/0!</v>
      </c>
      <c r="AL8" s="63" t="e">
        <f>股权价值增加表!AL31/资产资本表!AL70</f>
        <v>#DIV/0!</v>
      </c>
      <c r="AM8" s="63" t="e">
        <f>股权价值增加表!AM31/资产资本表!AM70</f>
        <v>#DIV/0!</v>
      </c>
      <c r="AN8" s="63" t="e">
        <f>股权价值增加表!AN31/资产资本表!AN70</f>
        <v>#DIV/0!</v>
      </c>
      <c r="AO8" s="63" t="e">
        <f>股权价值增加表!AO31/资产资本表!AO70</f>
        <v>#DIV/0!</v>
      </c>
      <c r="AP8" s="63" t="e">
        <f>股权价值增加表!AP31/资产资本表!AP70</f>
        <v>#DIV/0!</v>
      </c>
      <c r="AQ8" s="63" t="e">
        <f>股权价值增加表!AQ31/资产资本表!AQ70</f>
        <v>#DIV/0!</v>
      </c>
      <c r="AR8" s="63" t="e">
        <f>股权价值增加表!AR31/资产资本表!AR70</f>
        <v>#DIV/0!</v>
      </c>
      <c r="AS8" s="63" t="e">
        <f>股权价值增加表!AS31/资产资本表!AS70</f>
        <v>#DIV/0!</v>
      </c>
      <c r="AT8" s="63" t="e">
        <f>股权价值增加表!AT31/资产资本表!AT70</f>
        <v>#DIV/0!</v>
      </c>
      <c r="AU8" s="63" t="e">
        <f>股权价值增加表!AU31/资产资本表!AU70</f>
        <v>#DIV/0!</v>
      </c>
      <c r="AV8" s="63" t="e">
        <f>股权价值增加表!AV31/资产资本表!AV70</f>
        <v>#DIV/0!</v>
      </c>
      <c r="AW8" s="63" t="e">
        <f>股权价值增加表!AW31/资产资本表!AW70</f>
        <v>#DIV/0!</v>
      </c>
      <c r="AX8" s="63" t="e">
        <f>股权价值增加表!AX31/资产资本表!AX70</f>
        <v>#DIV/0!</v>
      </c>
      <c r="AY8" s="63" t="e">
        <f>股权价值增加表!AY31/资产资本表!AY70</f>
        <v>#DIV/0!</v>
      </c>
      <c r="AZ8" s="63" t="e">
        <f>股权价值增加表!AZ31/资产资本表!AZ70</f>
        <v>#DIV/0!</v>
      </c>
      <c r="BA8" s="63" t="e">
        <f>股权价值增加表!BA31/资产资本表!BA70</f>
        <v>#DIV/0!</v>
      </c>
      <c r="BB8" s="63" t="e">
        <f>股权价值增加表!BB31/资产资本表!BB70</f>
        <v>#DIV/0!</v>
      </c>
      <c r="BC8" s="63" t="e">
        <f>股权价值增加表!BC31/资产资本表!BC70</f>
        <v>#DIV/0!</v>
      </c>
      <c r="BD8" s="63" t="e">
        <f>股权价值增加表!BD31/资产资本表!BD70</f>
        <v>#DIV/0!</v>
      </c>
      <c r="BE8" s="63" t="e">
        <f>股权价值增加表!BE31/资产资本表!BE70</f>
        <v>#DIV/0!</v>
      </c>
      <c r="BF8" s="63" t="e">
        <f>股权价值增加表!BF31/资产资本表!BF70</f>
        <v>#DIV/0!</v>
      </c>
      <c r="BG8" s="63" t="e">
        <f>股权价值增加表!BG31/资产资本表!BG70</f>
        <v>#DIV/0!</v>
      </c>
      <c r="BH8" s="63" t="e">
        <f>股权价值增加表!BH31/资产资本表!BH70</f>
        <v>#DIV/0!</v>
      </c>
      <c r="BI8" s="63" t="e">
        <f>股权价值增加表!BI31/资产资本表!BI70</f>
        <v>#DIV/0!</v>
      </c>
      <c r="BJ8" s="63" t="e">
        <f>股权价值增加表!BJ31/资产资本表!BJ70</f>
        <v>#DIV/0!</v>
      </c>
      <c r="BK8" s="63" t="e">
        <f>股权价值增加表!BK31/资产资本表!BK70</f>
        <v>#DIV/0!</v>
      </c>
      <c r="BL8" s="63" t="e">
        <f>股权价值增加表!BL31/资产资本表!BL70</f>
        <v>#DIV/0!</v>
      </c>
      <c r="BM8" s="63" t="e">
        <f>股权价值增加表!BM31/资产资本表!BM70</f>
        <v>#DIV/0!</v>
      </c>
      <c r="BN8" s="63" t="e">
        <f>股权价值增加表!BN31/资产资本表!BN70</f>
        <v>#DIV/0!</v>
      </c>
      <c r="BO8" s="63" t="e">
        <f>股权价值增加表!BO31/资产资本表!BO70</f>
        <v>#DIV/0!</v>
      </c>
      <c r="BP8" s="63" t="e">
        <f>股权价值增加表!BP31/资产资本表!BP70</f>
        <v>#DIV/0!</v>
      </c>
      <c r="BQ8" s="63" t="e">
        <f>股权价值增加表!BQ31/资产资本表!BQ70</f>
        <v>#DIV/0!</v>
      </c>
      <c r="BR8" s="63" t="e">
        <f>股权价值增加表!BR31/资产资本表!BR70</f>
        <v>#DIV/0!</v>
      </c>
      <c r="BS8" s="63" t="e">
        <f>股权价值增加表!BS31/资产资本表!BS70</f>
        <v>#DIV/0!</v>
      </c>
      <c r="BT8" s="63" t="e">
        <f>股权价值增加表!BT31/资产资本表!BT70</f>
        <v>#DIV/0!</v>
      </c>
      <c r="BU8" s="63" t="e">
        <f>股权价值增加表!BU31/资产资本表!BU70</f>
        <v>#DIV/0!</v>
      </c>
      <c r="BV8" s="63" t="e">
        <f>股权价值增加表!BV31/资产资本表!BV70</f>
        <v>#DIV/0!</v>
      </c>
      <c r="BW8" s="63" t="e">
        <f>股权价值增加表!BW31/资产资本表!BW70</f>
        <v>#DIV/0!</v>
      </c>
      <c r="BX8" s="63" t="e">
        <f>股权价值增加表!BX31/资产资本表!BX70</f>
        <v>#DIV/0!</v>
      </c>
      <c r="BY8" s="63" t="e">
        <f>股权价值增加表!BY31/资产资本表!BY70</f>
        <v>#DIV/0!</v>
      </c>
      <c r="BZ8" s="63" t="e">
        <f>股权价值增加表!BZ31/资产资本表!BZ70</f>
        <v>#DIV/0!</v>
      </c>
      <c r="CA8" s="63" t="e">
        <f>股权价值增加表!CA31/资产资本表!CA70</f>
        <v>#DIV/0!</v>
      </c>
      <c r="CB8" s="63" t="e">
        <f>股权价值增加表!CB31/资产资本表!CB70</f>
        <v>#DIV/0!</v>
      </c>
      <c r="CC8" s="63" t="e">
        <f>股权价值增加表!CC31/资产资本表!CC70</f>
        <v>#DIV/0!</v>
      </c>
      <c r="CD8" s="63" t="e">
        <f>股权价值增加表!CD31/资产资本表!CD70</f>
        <v>#DIV/0!</v>
      </c>
      <c r="CE8" s="63" t="e">
        <f>股权价值增加表!CE31/资产资本表!CE70</f>
        <v>#DIV/0!</v>
      </c>
      <c r="CF8" s="63" t="e">
        <f>股权价值增加表!CF31/资产资本表!CF70</f>
        <v>#DIV/0!</v>
      </c>
      <c r="CG8" s="63" t="e">
        <f>股权价值增加表!CG31/资产资本表!CG70</f>
        <v>#DIV/0!</v>
      </c>
      <c r="CH8" s="63" t="e">
        <f>股权价值增加表!CH31/资产资本表!CH70</f>
        <v>#DIV/0!</v>
      </c>
      <c r="CI8" s="63" t="e">
        <f>股权价值增加表!CI31/资产资本表!CI70</f>
        <v>#DIV/0!</v>
      </c>
      <c r="CJ8" s="63" t="e">
        <f>股权价值增加表!CJ31/资产资本表!CJ70</f>
        <v>#DIV/0!</v>
      </c>
    </row>
    <row r="9" spans="1:89" s="156" customFormat="1" x14ac:dyDescent="0.25">
      <c r="A9" s="156" t="s">
        <v>432</v>
      </c>
      <c r="E9" s="156">
        <f>股权价值增加表!E38/股权价值增加表!E31</f>
        <v>0.99556677204566946</v>
      </c>
      <c r="F9" s="156">
        <f>股权价值增加表!F38/股权价值增加表!F31</f>
        <v>1.0058440369790647</v>
      </c>
      <c r="G9" s="156">
        <f>股权价值增加表!G38/股权价值增加表!G31</f>
        <v>1.0037633653608873</v>
      </c>
      <c r="H9" s="156">
        <f>股权价值增加表!H38/股权价值增加表!H31</f>
        <v>0.9906253891968485</v>
      </c>
      <c r="I9" s="156">
        <f>股权价值增加表!I38/股权价值增加表!I31</f>
        <v>0.96679885898810014</v>
      </c>
      <c r="J9" s="156">
        <f>股权价值增加表!J38/股权价值增加表!J31</f>
        <v>0.97164939100794301</v>
      </c>
      <c r="K9" s="156">
        <f>股权价值增加表!K38/股权价值增加表!K31</f>
        <v>0.96683021027690441</v>
      </c>
      <c r="L9" s="156">
        <f>股权价值增加表!L38/股权价值增加表!L31</f>
        <v>0.91623247274927233</v>
      </c>
      <c r="M9" s="156">
        <f>股权价值增加表!M38/股权价值增加表!M31</f>
        <v>0.9552018019341777</v>
      </c>
      <c r="N9" s="156">
        <f>股权价值增加表!N38/股权价值增加表!N31</f>
        <v>0.95722043828864145</v>
      </c>
      <c r="O9" s="156">
        <f>股权价值增加表!O38/股权价值增加表!O31</f>
        <v>0.92143950881158043</v>
      </c>
      <c r="P9" s="156">
        <f>股权价值增加表!P38/股权价值增加表!P31</f>
        <v>0.90175846031998508</v>
      </c>
      <c r="Q9" s="156">
        <f>股权价值增加表!Q38/股权价值增加表!Q31</f>
        <v>1.0000434157398292</v>
      </c>
      <c r="R9" s="156">
        <f>股权价值增加表!R38/股权价值增加表!R31</f>
        <v>1.0070774370571343</v>
      </c>
      <c r="S9" s="156" t="e">
        <f>股权价值增加表!S38/股权价值增加表!S31</f>
        <v>#DIV/0!</v>
      </c>
      <c r="T9" s="156" t="e">
        <f>股权价值增加表!T38/股权价值增加表!T31</f>
        <v>#DIV/0!</v>
      </c>
      <c r="U9" s="156">
        <f>股权价值增加表!U38/股权价值增加表!U31</f>
        <v>1.0067888825451388</v>
      </c>
      <c r="V9" s="156">
        <f>股权价值增加表!V38/股权价值增加表!V31</f>
        <v>177.66928344170117</v>
      </c>
      <c r="W9" s="156">
        <f>股权价值增加表!W38/股权价值增加表!W31</f>
        <v>127.44470457436741</v>
      </c>
      <c r="X9" s="156" t="e">
        <f>股权价值增加表!X38/股权价值增加表!X31</f>
        <v>#DIV/0!</v>
      </c>
      <c r="Y9" s="156">
        <f>股权价值增加表!Y38/股权价值增加表!Y31</f>
        <v>1.0153071647881835</v>
      </c>
      <c r="Z9" s="156">
        <f>股权价值增加表!Z38/股权价值增加表!Z31</f>
        <v>-675.0397420242349</v>
      </c>
      <c r="AA9" s="156">
        <f>股权价值增加表!AA38/股权价值增加表!AA31</f>
        <v>-405.38531185722303</v>
      </c>
      <c r="AB9" s="156">
        <f>股权价值增加表!AB38/股权价值增加表!AB31</f>
        <v>-14532.955729129431</v>
      </c>
      <c r="AC9" s="156">
        <f>股权价值增加表!AC38/股权价值增加表!AC31</f>
        <v>1.0164776399203117</v>
      </c>
      <c r="AD9" s="156">
        <f>股权价值增加表!AD38/股权价值增加表!AD31</f>
        <v>825.8262717727489</v>
      </c>
      <c r="AE9" s="156">
        <f>股权价值增加表!AE38/股权价值增加表!AE31</f>
        <v>1411.9956672778517</v>
      </c>
      <c r="AF9" s="156">
        <f>股权价值增加表!AF38/股权价值增加表!AF31</f>
        <v>2357.4391995048486</v>
      </c>
      <c r="AG9" s="156">
        <f>股权价值增加表!AG38/股权价值增加表!AG31</f>
        <v>1.0131980831581258</v>
      </c>
      <c r="AH9" s="156">
        <f>股权价值增加表!AH38/股权价值增加表!AH31</f>
        <v>-29.016729108236891</v>
      </c>
      <c r="AI9" s="156">
        <f>股权价值增加表!AI38/股权价值增加表!AI31</f>
        <v>239.74816931760449</v>
      </c>
      <c r="AJ9" s="156">
        <f>股权价值增加表!AJ38/股权价值增加表!AJ31</f>
        <v>95.635402270618115</v>
      </c>
      <c r="AK9" s="156">
        <f>股权价值增加表!AK38/股权价值增加表!AK31</f>
        <v>181.31655946674428</v>
      </c>
      <c r="AL9" s="156">
        <f>股权价值增加表!AL38/股权价值增加表!AL31</f>
        <v>2121.2861398759569</v>
      </c>
      <c r="AM9" s="156">
        <f>股权价值增加表!AM38/股权价值增加表!AM31</f>
        <v>-15.848387174311645</v>
      </c>
      <c r="AN9" s="156" t="e">
        <f>股权价值增加表!AN38/股权价值增加表!AN31</f>
        <v>#DIV/0!</v>
      </c>
      <c r="AO9" s="156">
        <f>股权价值增加表!AO38/股权价值增加表!AO31</f>
        <v>102.29321060837309</v>
      </c>
      <c r="AP9" s="156">
        <f>股权价值增加表!AP38/股权价值增加表!AP31</f>
        <v>-93.36650505816408</v>
      </c>
      <c r="AQ9" s="156">
        <f>股权价值增加表!AQ38/股权价值增加表!AQ31</f>
        <v>-79.478184971410798</v>
      </c>
      <c r="AR9" s="156" t="e">
        <f>股权价值增加表!AR38/股权价值增加表!AR31</f>
        <v>#DIV/0!</v>
      </c>
      <c r="AS9" s="156">
        <f>股权价值增加表!AS38/股权价值增加表!AS31</f>
        <v>29.82489017332593</v>
      </c>
      <c r="AT9" s="156">
        <f>股权价值增加表!AT38/股权价值增加表!AT31</f>
        <v>74.693791916224583</v>
      </c>
      <c r="AU9" s="156">
        <f>股权价值增加表!AU38/股权价值增加表!AU31</f>
        <v>762.43841528552787</v>
      </c>
      <c r="AV9" s="156">
        <f>股权价值增加表!AV38/股权价值增加表!AV31</f>
        <v>6.0715712302299112</v>
      </c>
      <c r="AW9" s="156">
        <f>股权价值增加表!AW38/股权价值增加表!AW31</f>
        <v>10.996125403577111</v>
      </c>
      <c r="AX9" s="156">
        <f>股权价值增加表!AX38/股权价值增加表!AX31</f>
        <v>11.563322521142613</v>
      </c>
      <c r="AY9" s="156">
        <f>股权价值增加表!AY38/股权价值增加表!AY31</f>
        <v>14.314610464689412</v>
      </c>
      <c r="AZ9" s="156">
        <f>股权价值增加表!AZ38/股权价值增加表!AZ31</f>
        <v>30.177087999999998</v>
      </c>
      <c r="BA9" s="156">
        <f>股权价值增加表!BA38/股权价值增加表!BA31</f>
        <v>-5.4302495344527406</v>
      </c>
      <c r="BB9" s="156">
        <f>股权价值增加表!BB38/股权价值增加表!BB31</f>
        <v>-13.954913103035617</v>
      </c>
      <c r="BC9" s="156">
        <f>股权价值增加表!BC38/股权价值增加表!BC31</f>
        <v>-9.9942730035859633</v>
      </c>
      <c r="BD9" s="156" t="e">
        <f>股权价值增加表!BD38/股权价值增加表!BD31</f>
        <v>#DIV/0!</v>
      </c>
      <c r="BE9" s="156">
        <f>股权价值增加表!BE38/股权价值增加表!BE31</f>
        <v>-207.72438969261265</v>
      </c>
      <c r="BF9" s="156">
        <f>股权价值增加表!BF38/股权价值增加表!BF31</f>
        <v>38.123657821263173</v>
      </c>
      <c r="BG9" s="156">
        <f>股权价值增加表!BG38/股权价值增加表!BG31</f>
        <v>33.265097832398752</v>
      </c>
      <c r="BH9" s="156">
        <f>股权价值增加表!BH38/股权价值增加表!BH31</f>
        <v>2.6912248525255302</v>
      </c>
      <c r="BI9" s="156">
        <f>股权价值增加表!BI38/股权价值增加表!BI31</f>
        <v>-50.149746229058351</v>
      </c>
      <c r="BJ9" s="156">
        <f>股权价值增加表!BJ38/股权价值增加表!BJ31</f>
        <v>69.171187698585072</v>
      </c>
      <c r="BK9" s="156">
        <f>股权价值增加表!BK38/股权价值增加表!BK31</f>
        <v>232.32435186984958</v>
      </c>
      <c r="BL9" s="156">
        <f>股权价值增加表!BL38/股权价值增加表!BL31</f>
        <v>10.213152951199438</v>
      </c>
      <c r="BM9" s="156">
        <f>股权价值增加表!BM38/股权价值增加表!BM31</f>
        <v>150.18376358893079</v>
      </c>
      <c r="BN9" s="156">
        <f>股权价值增加表!BN38/股权价值增加表!BN31</f>
        <v>12.619124030745919</v>
      </c>
      <c r="BO9" s="156">
        <f>股权价值增加表!BO38/股权价值增加表!BO31</f>
        <v>8.7036936464919741</v>
      </c>
      <c r="BP9" s="156">
        <f>股权价值增加表!BP38/股权价值增加表!BP31</f>
        <v>-42.249783743212781</v>
      </c>
      <c r="BQ9" s="156">
        <f>股权价值增加表!BQ38/股权价值增加表!BQ31</f>
        <v>3.0583806324776739</v>
      </c>
      <c r="BR9" s="156">
        <f>股权价值增加表!BR38/股权价值增加表!BR31</f>
        <v>1</v>
      </c>
      <c r="BS9" s="156">
        <f>股权价值增加表!BS38/股权价值增加表!BS31</f>
        <v>2.6875461769888385</v>
      </c>
      <c r="BT9" s="156">
        <f>股权价值增加表!BT38/股权价值增加表!BT31</f>
        <v>2.0192338281291593</v>
      </c>
      <c r="BU9" s="156">
        <f>股权价值增加表!BU38/股权价值增加表!BU31</f>
        <v>7.0450850452289444</v>
      </c>
      <c r="BV9" s="156" t="e">
        <f>股权价值增加表!BV38/股权价值增加表!BV31</f>
        <v>#DIV/0!</v>
      </c>
      <c r="BW9" s="156" t="e">
        <f>股权价值增加表!BW38/股权价值增加表!BW31</f>
        <v>#DIV/0!</v>
      </c>
      <c r="BX9" s="156" t="e">
        <f>股权价值增加表!BX38/股权价值增加表!BX31</f>
        <v>#DIV/0!</v>
      </c>
      <c r="BY9" s="156" t="e">
        <f>股权价值增加表!BY38/股权价值增加表!BY31</f>
        <v>#DIV/0!</v>
      </c>
      <c r="BZ9" s="156" t="e">
        <f>股权价值增加表!BZ38/股权价值增加表!BZ31</f>
        <v>#DIV/0!</v>
      </c>
      <c r="CA9" s="156" t="e">
        <f>股权价值增加表!CA38/股权价值增加表!CA31</f>
        <v>#DIV/0!</v>
      </c>
      <c r="CB9" s="156" t="e">
        <f>股权价值增加表!CB38/股权价值增加表!CB31</f>
        <v>#DIV/0!</v>
      </c>
      <c r="CC9" s="156" t="e">
        <f>股权价值增加表!CC38/股权价值增加表!CC31</f>
        <v>#DIV/0!</v>
      </c>
      <c r="CD9" s="156" t="e">
        <f>股权价值增加表!CD38/股权价值增加表!CD31</f>
        <v>#DIV/0!</v>
      </c>
      <c r="CE9" s="156">
        <f>股权价值增加表!CE38/股权价值增加表!CE31</f>
        <v>1</v>
      </c>
      <c r="CF9" s="156">
        <f>股权价值增加表!CF38/股权价值增加表!CF31</f>
        <v>1</v>
      </c>
      <c r="CG9" s="156" t="e">
        <f>股权价值增加表!CG38/股权价值增加表!CG31</f>
        <v>#DIV/0!</v>
      </c>
      <c r="CH9" s="156" t="e">
        <f>股权价值增加表!CH38/股权价值增加表!CH31</f>
        <v>#DIV/0!</v>
      </c>
      <c r="CI9" s="156" t="e">
        <f>股权价值增加表!CI38/股权价值增加表!CI31</f>
        <v>#DIV/0!</v>
      </c>
      <c r="CJ9" s="156" t="e">
        <f>股权价值增加表!CJ38/股权价值增加表!CJ31</f>
        <v>#DIV/0!</v>
      </c>
    </row>
    <row r="10" spans="1:89" s="61" customFormat="1" x14ac:dyDescent="0.25">
      <c r="A10" s="241" t="s">
        <v>433</v>
      </c>
      <c r="E10" s="61">
        <f>资产资本表!E70/资产资本表!E107</f>
        <v>1.0005182241193558</v>
      </c>
      <c r="F10" s="61">
        <f>资产资本表!F70/资产资本表!F107</f>
        <v>1.0005381693288939</v>
      </c>
      <c r="G10" s="61">
        <f>资产资本表!G70/资产资本表!G107</f>
        <v>1.0005665059280684</v>
      </c>
      <c r="H10" s="61">
        <f>资产资本表!H70/资产资本表!H107</f>
        <v>1.0546494187659012</v>
      </c>
      <c r="I10" s="61">
        <f>资产资本表!I70/资产资本表!I107</f>
        <v>1.0777898168849513</v>
      </c>
      <c r="J10" s="61">
        <f>资产资本表!J70/资产资本表!J107</f>
        <v>1.2548081245943254</v>
      </c>
      <c r="K10" s="61">
        <f>资产资本表!K70/资产资本表!K107</f>
        <v>1.2824945126749332</v>
      </c>
      <c r="L10" s="61">
        <f>资产资本表!L70/资产资本表!L107</f>
        <v>1.1891511848617067</v>
      </c>
      <c r="M10" s="61">
        <f>资产资本表!M70/资产资本表!M107</f>
        <v>1.266016178843828</v>
      </c>
      <c r="N10" s="61">
        <f>资产资本表!N70/资产资本表!N107</f>
        <v>1.5615720439524208</v>
      </c>
      <c r="O10" s="61">
        <f>资产资本表!O70/资产资本表!O107</f>
        <v>1.2960498984917705</v>
      </c>
      <c r="P10" s="61">
        <f>资产资本表!P70/资产资本表!P107</f>
        <v>1.1323042758631907</v>
      </c>
      <c r="Q10" s="61" t="e">
        <f>资产资本表!Q70/资产资本表!Q107</f>
        <v>#DIV/0!</v>
      </c>
      <c r="R10" s="61">
        <f>资产资本表!R70/资产资本表!R107</f>
        <v>0</v>
      </c>
      <c r="S10" s="61">
        <f>资产资本表!S70/资产资本表!S107</f>
        <v>0</v>
      </c>
      <c r="T10" s="61">
        <f>资产资本表!T70/资产资本表!T107</f>
        <v>0</v>
      </c>
      <c r="U10" s="61">
        <f>资产资本表!U70/资产资本表!U107</f>
        <v>0</v>
      </c>
      <c r="V10" s="61">
        <f>资产资本表!V70/资产资本表!V107</f>
        <v>0</v>
      </c>
      <c r="W10" s="61">
        <f>资产资本表!W70/资产资本表!W107</f>
        <v>0</v>
      </c>
      <c r="X10" s="61">
        <f>资产资本表!X70/资产资本表!X107</f>
        <v>0</v>
      </c>
      <c r="Y10" s="61">
        <f>资产资本表!Y70/资产资本表!Y107</f>
        <v>0</v>
      </c>
      <c r="Z10" s="61">
        <f>资产资本表!Z70/资产资本表!Z107</f>
        <v>0</v>
      </c>
      <c r="AA10" s="61">
        <f>资产资本表!AA70/资产资本表!AA107</f>
        <v>0</v>
      </c>
      <c r="AB10" s="61">
        <f>资产资本表!AB70/资产资本表!AB107</f>
        <v>0</v>
      </c>
      <c r="AC10" s="61">
        <f>资产资本表!AC70/资产资本表!AC107</f>
        <v>0</v>
      </c>
      <c r="AD10" s="61">
        <f>资产资本表!AD70/资产资本表!AD107</f>
        <v>0</v>
      </c>
      <c r="AE10" s="61">
        <f>资产资本表!AE70/资产资本表!AE107</f>
        <v>0</v>
      </c>
      <c r="AF10" s="61">
        <f>资产资本表!AF70/资产资本表!AF107</f>
        <v>0</v>
      </c>
      <c r="AG10" s="61">
        <f>资产资本表!AG70/资产资本表!AG107</f>
        <v>0</v>
      </c>
      <c r="AH10" s="61">
        <f>资产资本表!AH70/资产资本表!AH107</f>
        <v>0</v>
      </c>
      <c r="AI10" s="61">
        <f>资产资本表!AI70/资产资本表!AI107</f>
        <v>0</v>
      </c>
      <c r="AJ10" s="61">
        <f>资产资本表!AJ70/资产资本表!AJ107</f>
        <v>0</v>
      </c>
      <c r="AK10" s="61">
        <f>资产资本表!AK70/资产资本表!AK107</f>
        <v>0</v>
      </c>
      <c r="AL10" s="61">
        <f>资产资本表!AL70/资产资本表!AL107</f>
        <v>0</v>
      </c>
      <c r="AM10" s="61">
        <f>资产资本表!AM70/资产资本表!AM107</f>
        <v>0</v>
      </c>
      <c r="AN10" s="61">
        <f>资产资本表!AN70/资产资本表!AN107</f>
        <v>0</v>
      </c>
      <c r="AO10" s="61">
        <f>资产资本表!AO70/资产资本表!AO107</f>
        <v>0</v>
      </c>
      <c r="AP10" s="61">
        <f>资产资本表!AP70/资产资本表!AP107</f>
        <v>0</v>
      </c>
      <c r="AQ10" s="61">
        <f>资产资本表!AQ70/资产资本表!AQ107</f>
        <v>0</v>
      </c>
      <c r="AR10" s="61">
        <f>资产资本表!AR70/资产资本表!AR107</f>
        <v>0</v>
      </c>
      <c r="AS10" s="61">
        <f>资产资本表!AS70/资产资本表!AS107</f>
        <v>0</v>
      </c>
      <c r="AT10" s="61">
        <f>资产资本表!AT70/资产资本表!AT107</f>
        <v>0</v>
      </c>
      <c r="AU10" s="61">
        <f>资产资本表!AU70/资产资本表!AU107</f>
        <v>0</v>
      </c>
      <c r="AV10" s="61">
        <f>资产资本表!AV70/资产资本表!AV107</f>
        <v>0</v>
      </c>
      <c r="AW10" s="61">
        <f>资产资本表!AW70/资产资本表!AW107</f>
        <v>0</v>
      </c>
      <c r="AX10" s="61">
        <f>资产资本表!AX70/资产资本表!AX107</f>
        <v>0</v>
      </c>
      <c r="AY10" s="61">
        <f>资产资本表!AY70/资产资本表!AY107</f>
        <v>0</v>
      </c>
      <c r="AZ10" s="61">
        <f>资产资本表!AZ70/资产资本表!AZ107</f>
        <v>0</v>
      </c>
      <c r="BA10" s="61">
        <f>资产资本表!BA70/资产资本表!BA107</f>
        <v>0</v>
      </c>
      <c r="BB10" s="61">
        <f>资产资本表!BB70/资产资本表!BB107</f>
        <v>0</v>
      </c>
      <c r="BC10" s="61">
        <f>资产资本表!BC70/资产资本表!BC107</f>
        <v>0</v>
      </c>
      <c r="BD10" s="61">
        <f>资产资本表!BD70/资产资本表!BD107</f>
        <v>0</v>
      </c>
      <c r="BE10" s="61">
        <f>资产资本表!BE70/资产资本表!BE107</f>
        <v>0</v>
      </c>
      <c r="BF10" s="61">
        <f>资产资本表!BF70/资产资本表!BF107</f>
        <v>0</v>
      </c>
      <c r="BG10" s="61">
        <f>资产资本表!BG70/资产资本表!BG107</f>
        <v>0</v>
      </c>
      <c r="BH10" s="61">
        <f>资产资本表!BH70/资产资本表!BH107</f>
        <v>0</v>
      </c>
      <c r="BI10" s="61">
        <f>资产资本表!BI70/资产资本表!BI107</f>
        <v>0</v>
      </c>
      <c r="BJ10" s="61">
        <f>资产资本表!BJ70/资产资本表!BJ107</f>
        <v>0</v>
      </c>
      <c r="BK10" s="61">
        <f>资产资本表!BK70/资产资本表!BK107</f>
        <v>0</v>
      </c>
      <c r="BL10" s="61">
        <f>资产资本表!BL70/资产资本表!BL107</f>
        <v>0</v>
      </c>
      <c r="BM10" s="61">
        <f>资产资本表!BM70/资产资本表!BM107</f>
        <v>0</v>
      </c>
      <c r="BN10" s="61">
        <f>资产资本表!BN70/资产资本表!BN107</f>
        <v>0</v>
      </c>
      <c r="BO10" s="61">
        <f>资产资本表!BO70/资产资本表!BO107</f>
        <v>0</v>
      </c>
      <c r="BP10" s="61">
        <f>资产资本表!BP70/资产资本表!BP107</f>
        <v>0</v>
      </c>
      <c r="BQ10" s="61">
        <f>资产资本表!BQ70/资产资本表!BQ107</f>
        <v>0</v>
      </c>
      <c r="BR10" s="61">
        <f>资产资本表!BR70/资产资本表!BR107</f>
        <v>0</v>
      </c>
      <c r="BS10" s="61">
        <f>资产资本表!BS70/资产资本表!BS107</f>
        <v>0</v>
      </c>
      <c r="BT10" s="61">
        <f>资产资本表!BT70/资产资本表!BT107</f>
        <v>0</v>
      </c>
      <c r="BU10" s="61">
        <f>资产资本表!BU70/资产资本表!BU107</f>
        <v>0</v>
      </c>
      <c r="BV10" s="61">
        <f>资产资本表!BV70/资产资本表!BV107</f>
        <v>0</v>
      </c>
      <c r="BW10" s="61">
        <f>资产资本表!BW70/资产资本表!BW107</f>
        <v>0</v>
      </c>
      <c r="BX10" s="61">
        <f>资产资本表!BX70/资产资本表!BX107</f>
        <v>0</v>
      </c>
      <c r="BY10" s="61">
        <f>资产资本表!BY70/资产资本表!BY107</f>
        <v>0</v>
      </c>
      <c r="BZ10" s="61">
        <f>资产资本表!BZ70/资产资本表!BZ107</f>
        <v>0</v>
      </c>
      <c r="CA10" s="61">
        <f>资产资本表!CA70/资产资本表!CA107</f>
        <v>0</v>
      </c>
      <c r="CB10" s="61">
        <f>资产资本表!CB70/资产资本表!CB107</f>
        <v>0</v>
      </c>
      <c r="CC10" s="61">
        <f>资产资本表!CC70/资产资本表!CC107</f>
        <v>0</v>
      </c>
      <c r="CD10" s="61" t="e">
        <f>资产资本表!CD70/资产资本表!CD107</f>
        <v>#DIV/0!</v>
      </c>
      <c r="CE10" s="61">
        <f>资产资本表!CE70/资产资本表!CE107</f>
        <v>0</v>
      </c>
      <c r="CF10" s="61">
        <f>资产资本表!CF70/资产资本表!CF107</f>
        <v>0</v>
      </c>
      <c r="CG10" s="61">
        <f>资产资本表!CG70/资产资本表!CG107</f>
        <v>0</v>
      </c>
      <c r="CH10" s="61">
        <f>资产资本表!CH70/资产资本表!CH107</f>
        <v>0</v>
      </c>
      <c r="CI10" s="61">
        <f>资产资本表!CI70/资产资本表!CI107</f>
        <v>0</v>
      </c>
      <c r="CJ10" s="61">
        <f>资产资本表!CJ70/资产资本表!CJ107</f>
        <v>0</v>
      </c>
    </row>
    <row r="11" spans="1:89" s="28" customFormat="1" x14ac:dyDescent="0.25">
      <c r="A11" s="20" t="s">
        <v>439</v>
      </c>
      <c r="E11" s="28">
        <f>E9*E10</f>
        <v>0.99608269875937272</v>
      </c>
      <c r="F11" s="28">
        <f t="shared" ref="F11:BQ11" si="2">F9*F10</f>
        <v>1.0063853513894176</v>
      </c>
      <c r="G11" s="28">
        <f t="shared" si="2"/>
        <v>1.0043320032577421</v>
      </c>
      <c r="H11" s="28">
        <f t="shared" si="2"/>
        <v>1.044762490931201</v>
      </c>
      <c r="I11" s="28">
        <f t="shared" si="2"/>
        <v>1.0420059651933644</v>
      </c>
      <c r="J11" s="28">
        <f t="shared" si="2"/>
        <v>1.2192335500938953</v>
      </c>
      <c r="K11" s="28">
        <f t="shared" si="2"/>
        <v>1.2399544393684818</v>
      </c>
      <c r="L11" s="28">
        <f t="shared" si="2"/>
        <v>1.0895389305785685</v>
      </c>
      <c r="M11" s="28">
        <f t="shared" si="2"/>
        <v>1.2093009353094466</v>
      </c>
      <c r="N11" s="28">
        <f t="shared" si="2"/>
        <v>1.4947686763314258</v>
      </c>
      <c r="O11" s="28">
        <f t="shared" si="2"/>
        <v>1.1942315818615556</v>
      </c>
      <c r="P11" s="28">
        <f t="shared" si="2"/>
        <v>1.0210649604161266</v>
      </c>
      <c r="Q11" s="28" t="e">
        <f t="shared" si="2"/>
        <v>#DIV/0!</v>
      </c>
      <c r="R11" s="28">
        <f t="shared" si="2"/>
        <v>0</v>
      </c>
      <c r="S11" s="28" t="e">
        <f t="shared" si="2"/>
        <v>#DIV/0!</v>
      </c>
      <c r="T11" s="28" t="e">
        <f t="shared" si="2"/>
        <v>#DIV/0!</v>
      </c>
      <c r="U11" s="28">
        <f t="shared" si="2"/>
        <v>0</v>
      </c>
      <c r="V11" s="28">
        <f t="shared" si="2"/>
        <v>0</v>
      </c>
      <c r="W11" s="28">
        <f t="shared" si="2"/>
        <v>0</v>
      </c>
      <c r="X11" s="28" t="e">
        <f t="shared" si="2"/>
        <v>#DIV/0!</v>
      </c>
      <c r="Y11" s="28">
        <f t="shared" si="2"/>
        <v>0</v>
      </c>
      <c r="Z11" s="28">
        <f t="shared" si="2"/>
        <v>0</v>
      </c>
      <c r="AA11" s="28">
        <f t="shared" si="2"/>
        <v>0</v>
      </c>
      <c r="AB11" s="28">
        <f t="shared" si="2"/>
        <v>0</v>
      </c>
      <c r="AC11" s="28">
        <f t="shared" si="2"/>
        <v>0</v>
      </c>
      <c r="AD11" s="28">
        <f t="shared" si="2"/>
        <v>0</v>
      </c>
      <c r="AE11" s="28">
        <f t="shared" si="2"/>
        <v>0</v>
      </c>
      <c r="AF11" s="28">
        <f t="shared" si="2"/>
        <v>0</v>
      </c>
      <c r="AG11" s="28">
        <f t="shared" si="2"/>
        <v>0</v>
      </c>
      <c r="AH11" s="28">
        <f t="shared" si="2"/>
        <v>0</v>
      </c>
      <c r="AI11" s="28">
        <f t="shared" si="2"/>
        <v>0</v>
      </c>
      <c r="AJ11" s="28">
        <f t="shared" si="2"/>
        <v>0</v>
      </c>
      <c r="AK11" s="28">
        <f t="shared" si="2"/>
        <v>0</v>
      </c>
      <c r="AL11" s="28">
        <f t="shared" si="2"/>
        <v>0</v>
      </c>
      <c r="AM11" s="28">
        <f t="shared" si="2"/>
        <v>0</v>
      </c>
      <c r="AN11" s="28" t="e">
        <f t="shared" si="2"/>
        <v>#DIV/0!</v>
      </c>
      <c r="AO11" s="28">
        <f t="shared" si="2"/>
        <v>0</v>
      </c>
      <c r="AP11" s="28">
        <f t="shared" si="2"/>
        <v>0</v>
      </c>
      <c r="AQ11" s="28">
        <f t="shared" si="2"/>
        <v>0</v>
      </c>
      <c r="AR11" s="28" t="e">
        <f t="shared" si="2"/>
        <v>#DIV/0!</v>
      </c>
      <c r="AS11" s="28">
        <f t="shared" si="2"/>
        <v>0</v>
      </c>
      <c r="AT11" s="28">
        <f t="shared" si="2"/>
        <v>0</v>
      </c>
      <c r="AU11" s="28">
        <f t="shared" si="2"/>
        <v>0</v>
      </c>
      <c r="AV11" s="28">
        <f t="shared" si="2"/>
        <v>0</v>
      </c>
      <c r="AW11" s="28">
        <f t="shared" si="2"/>
        <v>0</v>
      </c>
      <c r="AX11" s="28">
        <f t="shared" si="2"/>
        <v>0</v>
      </c>
      <c r="AY11" s="28">
        <f t="shared" si="2"/>
        <v>0</v>
      </c>
      <c r="AZ11" s="28">
        <f t="shared" si="2"/>
        <v>0</v>
      </c>
      <c r="BA11" s="28">
        <f t="shared" si="2"/>
        <v>0</v>
      </c>
      <c r="BB11" s="28">
        <f t="shared" si="2"/>
        <v>0</v>
      </c>
      <c r="BC11" s="28">
        <f t="shared" si="2"/>
        <v>0</v>
      </c>
      <c r="BD11" s="28" t="e">
        <f t="shared" si="2"/>
        <v>#DIV/0!</v>
      </c>
      <c r="BE11" s="28">
        <f t="shared" si="2"/>
        <v>0</v>
      </c>
      <c r="BF11" s="28">
        <f t="shared" si="2"/>
        <v>0</v>
      </c>
      <c r="BG11" s="28">
        <f t="shared" si="2"/>
        <v>0</v>
      </c>
      <c r="BH11" s="28">
        <f t="shared" si="2"/>
        <v>0</v>
      </c>
      <c r="BI11" s="28">
        <f t="shared" si="2"/>
        <v>0</v>
      </c>
      <c r="BJ11" s="28">
        <f t="shared" si="2"/>
        <v>0</v>
      </c>
      <c r="BK11" s="28">
        <f t="shared" si="2"/>
        <v>0</v>
      </c>
      <c r="BL11" s="28">
        <f t="shared" si="2"/>
        <v>0</v>
      </c>
      <c r="BM11" s="28">
        <f t="shared" si="2"/>
        <v>0</v>
      </c>
      <c r="BN11" s="28">
        <f t="shared" si="2"/>
        <v>0</v>
      </c>
      <c r="BO11" s="28">
        <f t="shared" si="2"/>
        <v>0</v>
      </c>
      <c r="BP11" s="28">
        <f t="shared" si="2"/>
        <v>0</v>
      </c>
      <c r="BQ11" s="28">
        <f t="shared" si="2"/>
        <v>0</v>
      </c>
      <c r="BR11" s="28">
        <f t="shared" ref="BR11:CJ11" si="3">BR9*BR10</f>
        <v>0</v>
      </c>
      <c r="BS11" s="28">
        <f t="shared" si="3"/>
        <v>0</v>
      </c>
      <c r="BT11" s="28">
        <f t="shared" si="3"/>
        <v>0</v>
      </c>
      <c r="BU11" s="28">
        <f t="shared" si="3"/>
        <v>0</v>
      </c>
      <c r="BV11" s="28" t="e">
        <f t="shared" si="3"/>
        <v>#DIV/0!</v>
      </c>
      <c r="BW11" s="28" t="e">
        <f t="shared" si="3"/>
        <v>#DIV/0!</v>
      </c>
      <c r="BX11" s="28" t="e">
        <f t="shared" si="3"/>
        <v>#DIV/0!</v>
      </c>
      <c r="BY11" s="28" t="e">
        <f t="shared" si="3"/>
        <v>#DIV/0!</v>
      </c>
      <c r="BZ11" s="28" t="e">
        <f t="shared" si="3"/>
        <v>#DIV/0!</v>
      </c>
      <c r="CA11" s="28" t="e">
        <f t="shared" si="3"/>
        <v>#DIV/0!</v>
      </c>
      <c r="CB11" s="28" t="e">
        <f t="shared" si="3"/>
        <v>#DIV/0!</v>
      </c>
      <c r="CC11" s="28" t="e">
        <f t="shared" si="3"/>
        <v>#DIV/0!</v>
      </c>
      <c r="CD11" s="28" t="e">
        <f t="shared" si="3"/>
        <v>#DIV/0!</v>
      </c>
      <c r="CE11" s="28">
        <f t="shared" si="3"/>
        <v>0</v>
      </c>
      <c r="CF11" s="28">
        <f t="shared" si="3"/>
        <v>0</v>
      </c>
      <c r="CG11" s="28" t="e">
        <f t="shared" si="3"/>
        <v>#DIV/0!</v>
      </c>
      <c r="CH11" s="28" t="e">
        <f t="shared" si="3"/>
        <v>#DIV/0!</v>
      </c>
      <c r="CI11" s="28" t="e">
        <f t="shared" si="3"/>
        <v>#DIV/0!</v>
      </c>
      <c r="CJ11" s="28" t="e">
        <f t="shared" si="3"/>
        <v>#DIV/0!</v>
      </c>
    </row>
    <row r="12" spans="1:89" s="156" customFormat="1" x14ac:dyDescent="0.25">
      <c r="A12" s="156" t="s">
        <v>434</v>
      </c>
      <c r="E12" s="156">
        <f>E2/股权价值增加表!E38</f>
        <v>0.84607665124139764</v>
      </c>
      <c r="F12" s="156">
        <f>F2/股权价值增加表!F38</f>
        <v>0.83760987123532771</v>
      </c>
      <c r="G12" s="156">
        <f>G2/股权价值增加表!G38</f>
        <v>0.82273011587158096</v>
      </c>
      <c r="H12" s="156">
        <f>H2/股权价值增加表!H38</f>
        <v>0.800505907074336</v>
      </c>
      <c r="I12" s="156">
        <f>I2/股权价值增加表!I38</f>
        <v>0.8525341846724348</v>
      </c>
      <c r="J12" s="156">
        <f>J2/股权价值增加表!J38</f>
        <v>0.84198391409618889</v>
      </c>
      <c r="K12" s="156">
        <f>K2/股权价值增加表!K38</f>
        <v>0.83868453388755571</v>
      </c>
      <c r="L12" s="156">
        <f>L2/股权价值增加表!L38</f>
        <v>0.81316314570819881</v>
      </c>
      <c r="M12" s="156">
        <f>M2/股权价值增加表!M38</f>
        <v>0.84606050909185904</v>
      </c>
      <c r="N12" s="156">
        <f>N2/股权价值增加表!N38</f>
        <v>0.83465497859238202</v>
      </c>
      <c r="O12" s="156">
        <f>O2/股权价值增加表!O38</f>
        <v>0.84652307683954175</v>
      </c>
      <c r="P12" s="156">
        <f>P2/股权价值增加表!P38</f>
        <v>0.83388157694669995</v>
      </c>
      <c r="Q12" s="156">
        <f>Q2/股权价值增加表!Q38</f>
        <v>0.81326810480111911</v>
      </c>
      <c r="R12" s="156">
        <f>R2/股权价值增加表!R38</f>
        <v>0.82649523194275631</v>
      </c>
      <c r="S12" s="156" t="e">
        <f>S2/股权价值增加表!S38</f>
        <v>#DIV/0!</v>
      </c>
      <c r="T12" s="156">
        <f>T2/股权价值增加表!T38</f>
        <v>-2.805419778682396</v>
      </c>
      <c r="U12" s="156">
        <f>U2/股权价值增加表!U38</f>
        <v>-2.4966723297173448</v>
      </c>
      <c r="V12" s="156">
        <f>V2/股权价值增加表!V38</f>
        <v>-2.6700742808608782</v>
      </c>
      <c r="W12" s="156">
        <f>W2/股权价值增加表!W38</f>
        <v>-3.1600802808156199</v>
      </c>
      <c r="X12" s="156">
        <f>X2/股权价值增加表!X38</f>
        <v>-4.1745322558829008</v>
      </c>
      <c r="Y12" s="156">
        <f>Y2/股权价值增加表!Y38</f>
        <v>-3.2259737182528201</v>
      </c>
      <c r="Z12" s="156">
        <f>Z2/股权价值增加表!Z38</f>
        <v>-3.1994958162188993</v>
      </c>
      <c r="AA12" s="156">
        <f>AA2/股权价值增加表!AA38</f>
        <v>-3.2888934709841644</v>
      </c>
      <c r="AB12" s="156">
        <f>AB2/股权价值增加表!AB38</f>
        <v>-6.2529196118367807</v>
      </c>
      <c r="AC12" s="156">
        <f>AC2/股权价值增加表!AC38</f>
        <v>-3.3403190402720822</v>
      </c>
      <c r="AD12" s="156">
        <f>AD2/股权价值增加表!AD38</f>
        <v>-5.8662940813406408</v>
      </c>
      <c r="AE12" s="156">
        <f>AE2/股权价值增加表!AE38</f>
        <v>-5.015138846302154</v>
      </c>
      <c r="AF12" s="156">
        <f>AF2/股权价值增加表!AF38</f>
        <v>-28.841717588486997</v>
      </c>
      <c r="AG12" s="156">
        <f>AG2/股权价值增加表!AG38</f>
        <v>-6.700555738097024</v>
      </c>
      <c r="AH12" s="156">
        <f>AH2/股权价值增加表!AH38</f>
        <v>-10.267420694522546</v>
      </c>
      <c r="AI12" s="156">
        <f>AI2/股权价值增加表!AI38</f>
        <v>-8.8740053906789367</v>
      </c>
      <c r="AJ12" s="156">
        <f>AJ2/股权价值增加表!AJ38</f>
        <v>-40.974362341375894</v>
      </c>
      <c r="AK12" s="156">
        <f>AK2/股权价值增加表!AK38</f>
        <v>-9.3218471575625124</v>
      </c>
      <c r="AL12" s="156">
        <f>AL2/股权价值增加表!AL38</f>
        <v>-10.854023058184641</v>
      </c>
      <c r="AM12" s="156">
        <f>AM2/股权价值增加表!AM38</f>
        <v>-13.068775080429651</v>
      </c>
      <c r="AN12" s="156">
        <f>AN2/股权价值增加表!AN38</f>
        <v>-34.664573379659004</v>
      </c>
      <c r="AO12" s="156">
        <f>AO2/股权价值增加表!AO38</f>
        <v>-2.52531305832122</v>
      </c>
      <c r="AP12" s="156">
        <f>AP2/股权价值增加表!AP38</f>
        <v>-4.7377873328213909</v>
      </c>
      <c r="AQ12" s="156">
        <f>AQ2/股权价值增加表!AQ38</f>
        <v>-4.4623444638231016</v>
      </c>
      <c r="AR12" s="156">
        <f>AR2/股权价值增加表!AR38</f>
        <v>-20.506440938812048</v>
      </c>
      <c r="AS12" s="156">
        <f>AS2/股权价值增加表!AS38</f>
        <v>-6.3937250836614146</v>
      </c>
      <c r="AT12" s="156">
        <f>AT2/股权价值增加表!AT38</f>
        <v>-14.592366512196667</v>
      </c>
      <c r="AU12" s="156">
        <f>AU2/股权价值增加表!AU38</f>
        <v>-14.376416082794156</v>
      </c>
      <c r="AV12" s="156">
        <f>AV2/股权价值增加表!AV38</f>
        <v>-91.644454630179325</v>
      </c>
      <c r="AW12" s="156">
        <f>AW2/股权价值增加表!AW38</f>
        <v>-9.9162205411310982</v>
      </c>
      <c r="AX12" s="156">
        <f>AX2/股权价值增加表!AX38</f>
        <v>-17.231369460204579</v>
      </c>
      <c r="AY12" s="156">
        <f>AY2/股权价值增加表!AY38</f>
        <v>-15.021387764306059</v>
      </c>
      <c r="AZ12" s="156">
        <f>AZ2/股权价值增加表!AZ38</f>
        <v>-92.098322439196252</v>
      </c>
      <c r="BA12" s="156">
        <f>BA2/股权价值增加表!BA38</f>
        <v>-17.631308838172572</v>
      </c>
      <c r="BB12" s="156">
        <f>BB2/股权价值增加表!BB38</f>
        <v>-54.304324722487436</v>
      </c>
      <c r="BC12" s="156">
        <f>BC2/股权价值增加表!BC38</f>
        <v>-66.277250227328935</v>
      </c>
      <c r="BD12" s="156">
        <f>BD2/股权价值增加表!BD38</f>
        <v>-38.372760490940244</v>
      </c>
      <c r="BE12" s="156">
        <f>BE2/股权价值增加表!BE38</f>
        <v>-15.764297507062913</v>
      </c>
      <c r="BF12" s="156">
        <f>BF2/股权价值增加表!BF38</f>
        <v>-26.049077122304052</v>
      </c>
      <c r="BG12" s="156">
        <f>BG2/股权价值增加表!BG38</f>
        <v>-23.303157252166656</v>
      </c>
      <c r="BH12" s="156">
        <f>BH2/股权价值增加表!BH38</f>
        <v>-69.000749015543192</v>
      </c>
      <c r="BI12" s="156">
        <f>BI2/股权价值增加表!BI38</f>
        <v>-12.790967082937895</v>
      </c>
      <c r="BJ12" s="156">
        <f>BJ2/股权价值增加表!BJ38</f>
        <v>-14.670402589550692</v>
      </c>
      <c r="BK12" s="156">
        <f>BK2/股权价值增加表!BK38</f>
        <v>-19.530470057823827</v>
      </c>
      <c r="BL12" s="156">
        <f>BL2/股权价值增加表!BL38</f>
        <v>-75.496332781702776</v>
      </c>
      <c r="BM12" s="156">
        <f>BM2/股权价值增加表!BM38</f>
        <v>-8.3062959249435355</v>
      </c>
      <c r="BN12" s="156">
        <f>BN2/股权价值增加表!BN38</f>
        <v>-7.0800067537645504</v>
      </c>
      <c r="BO12" s="156">
        <f>BO2/股权价值增加表!BO38</f>
        <v>-8.6301249443167141</v>
      </c>
      <c r="BP12" s="156">
        <f>BP2/股权价值增加表!BP38</f>
        <v>-15.511200920697274</v>
      </c>
      <c r="BQ12" s="156">
        <f>BQ2/股权价值增加表!BQ38</f>
        <v>-2.0916829946917983</v>
      </c>
      <c r="BR12" s="156">
        <f>BR2/股权价值增加表!BR38</f>
        <v>-11.625</v>
      </c>
      <c r="BS12" s="156">
        <f>BS2/股权价值增加表!BS38</f>
        <v>-5.8283566880658215</v>
      </c>
      <c r="BT12" s="156">
        <f>BT2/股权价值增加表!BT38</f>
        <v>-11.853075776272602</v>
      </c>
      <c r="BU12" s="156">
        <f>BU2/股权价值增加表!BU38</f>
        <v>-13.285141378045161</v>
      </c>
      <c r="BV12" s="156">
        <f>BV2/股权价值增加表!BV38</f>
        <v>-38.705149385866775</v>
      </c>
      <c r="BW12" s="156">
        <f>BW2/股权价值增加表!BW38</f>
        <v>-19.112527092609866</v>
      </c>
      <c r="BX12" s="156">
        <f>BX2/股权价值增加表!BX38</f>
        <v>-5.948062846312304</v>
      </c>
      <c r="BY12" s="156">
        <f>BY2/股权价值增加表!BY38</f>
        <v>-5.0894858138564683</v>
      </c>
      <c r="BZ12" s="156">
        <f>BZ2/股权价值增加表!BZ38</f>
        <v>-10.640426755835241</v>
      </c>
      <c r="CA12" s="156">
        <f>CA2/股权价值增加表!CA38</f>
        <v>15.20372750495731</v>
      </c>
      <c r="CB12" s="156">
        <f>CB2/股权价值增加表!CB38</f>
        <v>8.8774211764848925</v>
      </c>
      <c r="CC12" s="156">
        <f>CC2/股权价值增加表!CC38</f>
        <v>9.6111449985966146</v>
      </c>
      <c r="CD12" s="156" t="e">
        <f>CD2/股权价值增加表!CD38</f>
        <v>#DIV/0!</v>
      </c>
      <c r="CE12" s="156">
        <f>CE2/股权价值增加表!CE38</f>
        <v>-2.5981368870487773</v>
      </c>
      <c r="CF12" s="156">
        <f>CF2/股权价值增加表!CF38</f>
        <v>-6.859739633359264</v>
      </c>
      <c r="CG12" s="156" t="e">
        <f>CG2/股权价值增加表!CG38</f>
        <v>#DIV/0!</v>
      </c>
      <c r="CH12" s="156" t="e">
        <f>CH2/股权价值增加表!CH38</f>
        <v>#DIV/0!</v>
      </c>
      <c r="CI12" s="156" t="e">
        <f>CI2/股权价值增加表!CI38</f>
        <v>#DIV/0!</v>
      </c>
      <c r="CJ12" s="156" t="e">
        <f>CJ2/股权价值增加表!CJ38</f>
        <v>#DIV/0!</v>
      </c>
    </row>
    <row r="13" spans="1:89" s="63" customFormat="1" x14ac:dyDescent="0.25">
      <c r="A13" s="17" t="s">
        <v>435</v>
      </c>
      <c r="E13" s="63">
        <f>1-E2/股权价值增加表!E38</f>
        <v>0.15392334875860236</v>
      </c>
      <c r="F13" s="63">
        <f>1-F2/股权价值增加表!F38</f>
        <v>0.16239012876467229</v>
      </c>
      <c r="G13" s="63">
        <f>1-G2/股权价值增加表!G38</f>
        <v>0.17726988412841904</v>
      </c>
      <c r="H13" s="63">
        <f>1-H2/股权价值增加表!H38</f>
        <v>0.199494092925664</v>
      </c>
      <c r="I13" s="63">
        <f>1-I2/股权价值增加表!I38</f>
        <v>0.1474658153275652</v>
      </c>
      <c r="J13" s="63">
        <f>1-J2/股权价值增加表!J38</f>
        <v>0.15801608590381111</v>
      </c>
      <c r="K13" s="63">
        <f>1-K2/股权价值增加表!K38</f>
        <v>0.16131546611244429</v>
      </c>
      <c r="L13" s="63">
        <f>1-L2/股权价值增加表!L38</f>
        <v>0.18683685429180119</v>
      </c>
      <c r="M13" s="63">
        <f>1-M2/股权价值增加表!M38</f>
        <v>0.15393949090814096</v>
      </c>
      <c r="N13" s="63">
        <f>1-N2/股权价值增加表!N38</f>
        <v>0.16534502140761798</v>
      </c>
      <c r="O13" s="63">
        <f>1-O2/股权价值增加表!O38</f>
        <v>0.15347692316045825</v>
      </c>
      <c r="P13" s="63">
        <f>1-P2/股权价值增加表!P38</f>
        <v>0.16611842305330005</v>
      </c>
      <c r="Q13" s="63">
        <f>1-Q2/股权价值增加表!Q38</f>
        <v>0.18673189519888089</v>
      </c>
      <c r="R13" s="63">
        <f>1-R2/股权价值增加表!R38</f>
        <v>0.17350476805724369</v>
      </c>
      <c r="S13" s="63" t="e">
        <f>1-S2/股权价值增加表!S38</f>
        <v>#DIV/0!</v>
      </c>
      <c r="T13" s="63">
        <f>1-T2/股权价值增加表!T38</f>
        <v>3.805419778682396</v>
      </c>
      <c r="U13" s="63">
        <f>1-U2/股权价值增加表!U38</f>
        <v>3.4966723297173448</v>
      </c>
      <c r="V13" s="63">
        <f>1-V2/股权价值增加表!V38</f>
        <v>3.6700742808608782</v>
      </c>
      <c r="W13" s="63">
        <f>1-W2/股权价值增加表!W38</f>
        <v>4.1600802808156203</v>
      </c>
      <c r="X13" s="63">
        <f>1-X2/股权价值增加表!X38</f>
        <v>5.1745322558829008</v>
      </c>
      <c r="Y13" s="63">
        <f>1-Y2/股权价值增加表!Y38</f>
        <v>4.2259737182528205</v>
      </c>
      <c r="Z13" s="63">
        <f>1-Z2/股权价值增加表!Z38</f>
        <v>4.1994958162188993</v>
      </c>
      <c r="AA13" s="63">
        <f>1-AA2/股权价值增加表!AA38</f>
        <v>4.2888934709841644</v>
      </c>
      <c r="AB13" s="63">
        <f>1-AB2/股权价值增加表!AB38</f>
        <v>7.2529196118367807</v>
      </c>
      <c r="AC13" s="63">
        <f>1-AC2/股权价值增加表!AC38</f>
        <v>4.3403190402720817</v>
      </c>
      <c r="AD13" s="63">
        <f>1-AD2/股权价值增加表!AD38</f>
        <v>6.8662940813406408</v>
      </c>
      <c r="AE13" s="63">
        <f>1-AE2/股权价值增加表!AE38</f>
        <v>6.015138846302154</v>
      </c>
      <c r="AF13" s="63">
        <f>1-AF2/股权价值增加表!AF38</f>
        <v>29.841717588486997</v>
      </c>
      <c r="AG13" s="63">
        <f>1-AG2/股权价值增加表!AG38</f>
        <v>7.700555738097024</v>
      </c>
      <c r="AH13" s="63">
        <f>1-AH2/股权价值增加表!AH38</f>
        <v>11.267420694522546</v>
      </c>
      <c r="AI13" s="63">
        <f>1-AI2/股权价值增加表!AI38</f>
        <v>9.8740053906789367</v>
      </c>
      <c r="AJ13" s="63">
        <f>1-AJ2/股权价值增加表!AJ38</f>
        <v>41.974362341375894</v>
      </c>
      <c r="AK13" s="63">
        <f>1-AK2/股权价值增加表!AK38</f>
        <v>10.321847157562512</v>
      </c>
      <c r="AL13" s="63">
        <f>1-AL2/股权价值增加表!AL38</f>
        <v>11.854023058184641</v>
      </c>
      <c r="AM13" s="63">
        <f>1-AM2/股权价值增加表!AM38</f>
        <v>14.068775080429651</v>
      </c>
      <c r="AN13" s="63">
        <f>1-AN2/股权价值增加表!AN38</f>
        <v>35.664573379659004</v>
      </c>
      <c r="AO13" s="63">
        <f>1-AO2/股权价值增加表!AO38</f>
        <v>3.52531305832122</v>
      </c>
      <c r="AP13" s="63">
        <f>1-AP2/股权价值增加表!AP38</f>
        <v>5.7377873328213909</v>
      </c>
      <c r="AQ13" s="63">
        <f>1-AQ2/股权价值增加表!AQ38</f>
        <v>5.4623444638231016</v>
      </c>
      <c r="AR13" s="63">
        <f>1-AR2/股权价值增加表!AR38</f>
        <v>21.506440938812048</v>
      </c>
      <c r="AS13" s="63">
        <f>1-AS2/股权价值增加表!AS38</f>
        <v>7.3937250836614146</v>
      </c>
      <c r="AT13" s="63">
        <f>1-AT2/股权价值增加表!AT38</f>
        <v>15.592366512196667</v>
      </c>
      <c r="AU13" s="63">
        <f>1-AU2/股权价值增加表!AU38</f>
        <v>15.376416082794156</v>
      </c>
      <c r="AV13" s="63">
        <f>1-AV2/股权价值增加表!AV38</f>
        <v>92.644454630179325</v>
      </c>
      <c r="AW13" s="63">
        <f>1-AW2/股权价值增加表!AW38</f>
        <v>10.916220541131098</v>
      </c>
      <c r="AX13" s="63">
        <f>1-AX2/股权价值增加表!AX38</f>
        <v>18.231369460204579</v>
      </c>
      <c r="AY13" s="63">
        <f>1-AY2/股权价值增加表!AY38</f>
        <v>16.021387764306059</v>
      </c>
      <c r="AZ13" s="63">
        <f>1-AZ2/股权价值增加表!AZ38</f>
        <v>93.098322439196252</v>
      </c>
      <c r="BA13" s="63">
        <f>1-BA2/股权价值增加表!BA38</f>
        <v>18.631308838172572</v>
      </c>
      <c r="BB13" s="63">
        <f>1-BB2/股权价值增加表!BB38</f>
        <v>55.304324722487436</v>
      </c>
      <c r="BC13" s="63">
        <f>1-BC2/股权价值增加表!BC38</f>
        <v>67.277250227328935</v>
      </c>
      <c r="BD13" s="63">
        <f>1-BD2/股权价值增加表!BD38</f>
        <v>39.372760490940244</v>
      </c>
      <c r="BE13" s="63">
        <f>1-BE2/股权价值增加表!BE38</f>
        <v>16.764297507062913</v>
      </c>
      <c r="BF13" s="63">
        <f>1-BF2/股权价值增加表!BF38</f>
        <v>27.049077122304052</v>
      </c>
      <c r="BG13" s="63">
        <f>1-BG2/股权价值增加表!BG38</f>
        <v>24.303157252166656</v>
      </c>
      <c r="BH13" s="63">
        <f>1-BH2/股权价值增加表!BH38</f>
        <v>70.000749015543192</v>
      </c>
      <c r="BI13" s="63">
        <f>1-BI2/股权价值增加表!BI38</f>
        <v>13.790967082937895</v>
      </c>
      <c r="BJ13" s="63">
        <f>1-BJ2/股权价值增加表!BJ38</f>
        <v>15.670402589550692</v>
      </c>
      <c r="BK13" s="63">
        <f>1-BK2/股权价值增加表!BK38</f>
        <v>20.530470057823827</v>
      </c>
      <c r="BL13" s="63">
        <f>1-BL2/股权价值增加表!BL38</f>
        <v>76.496332781702776</v>
      </c>
      <c r="BM13" s="63">
        <f>1-BM2/股权价值增加表!BM38</f>
        <v>9.3062959249435355</v>
      </c>
      <c r="BN13" s="63">
        <f>1-BN2/股权价值增加表!BN38</f>
        <v>8.0800067537645504</v>
      </c>
      <c r="BO13" s="63">
        <f>1-BO2/股权价值增加表!BO38</f>
        <v>9.6301249443167141</v>
      </c>
      <c r="BP13" s="63">
        <f>1-BP2/股权价值增加表!BP38</f>
        <v>16.511200920697274</v>
      </c>
      <c r="BQ13" s="63">
        <f>1-BQ2/股权价值增加表!BQ38</f>
        <v>3.0916829946917983</v>
      </c>
      <c r="BR13" s="63">
        <f>1-BR2/股权价值增加表!BR38</f>
        <v>12.625</v>
      </c>
      <c r="BS13" s="63">
        <f>1-BS2/股权价值增加表!BS38</f>
        <v>6.8283566880658215</v>
      </c>
      <c r="BT13" s="63">
        <f>1-BT2/股权价值增加表!BT38</f>
        <v>12.853075776272602</v>
      </c>
      <c r="BU13" s="63">
        <f>1-BU2/股权价值增加表!BU38</f>
        <v>14.285141378045161</v>
      </c>
      <c r="BV13" s="63">
        <f>1-BV2/股权价值增加表!BV38</f>
        <v>39.705149385866775</v>
      </c>
      <c r="BW13" s="63">
        <f>1-BW2/股权价值增加表!BW38</f>
        <v>20.112527092609866</v>
      </c>
      <c r="BX13" s="63">
        <f>1-BX2/股权价值增加表!BX38</f>
        <v>6.948062846312304</v>
      </c>
      <c r="BY13" s="63">
        <f>1-BY2/股权价值增加表!BY38</f>
        <v>6.0894858138564683</v>
      </c>
      <c r="BZ13" s="63">
        <f>1-BZ2/股权价值增加表!BZ38</f>
        <v>11.640426755835241</v>
      </c>
      <c r="CA13" s="63">
        <f>1-CA2/股权价值增加表!CA38</f>
        <v>-14.20372750495731</v>
      </c>
      <c r="CB13" s="63">
        <f>1-CB2/股权价值增加表!CB38</f>
        <v>-7.8774211764848925</v>
      </c>
      <c r="CC13" s="63">
        <f>1-CC2/股权价值增加表!CC38</f>
        <v>-8.6111449985966146</v>
      </c>
      <c r="CD13" s="63" t="e">
        <f>1-CD2/股权价值增加表!CD38</f>
        <v>#DIV/0!</v>
      </c>
      <c r="CE13" s="63">
        <f>1-CE2/股权价值增加表!CE38</f>
        <v>3.5981368870487773</v>
      </c>
      <c r="CF13" s="63">
        <f>1-CF2/股权价值增加表!CF38</f>
        <v>7.859739633359264</v>
      </c>
      <c r="CG13" s="63" t="e">
        <f>1-CG2/股权价值增加表!CG38</f>
        <v>#DIV/0!</v>
      </c>
      <c r="CH13" s="63" t="e">
        <f>1-CH2/股权价值增加表!CH38</f>
        <v>#DIV/0!</v>
      </c>
      <c r="CI13" s="63" t="e">
        <f>1-CI2/股权价值增加表!CI38</f>
        <v>#DIV/0!</v>
      </c>
      <c r="CJ13" s="63" t="e">
        <f>1-CJ2/股权价值增加表!CJ38</f>
        <v>#DIV/0!</v>
      </c>
    </row>
    <row r="14" spans="1:89" s="59" customFormat="1" x14ac:dyDescent="0.25">
      <c r="A14" s="144" t="s">
        <v>436</v>
      </c>
      <c r="E14" s="59">
        <f>E6*E7*E9*E10*E12</f>
        <v>0.12796982090356046</v>
      </c>
      <c r="F14" s="59">
        <f t="shared" ref="F14:BQ14" si="4">F6*F7*F9*F10*F12</f>
        <v>9.9119595931976931E-2</v>
      </c>
      <c r="G14" s="59">
        <f t="shared" si="4"/>
        <v>5.6563700517850805E-2</v>
      </c>
      <c r="H14" s="59">
        <f t="shared" si="4"/>
        <v>1.7072117148888278E-2</v>
      </c>
      <c r="I14" s="59">
        <f t="shared" si="4"/>
        <v>0.12919867921381595</v>
      </c>
      <c r="J14" s="59">
        <f t="shared" si="4"/>
        <v>0.21028129667948367</v>
      </c>
      <c r="K14" s="59">
        <f t="shared" si="4"/>
        <v>0.12094406151731543</v>
      </c>
      <c r="L14" s="59">
        <f t="shared" si="4"/>
        <v>1.8481028517776839E-2</v>
      </c>
      <c r="M14" s="59">
        <f t="shared" si="4"/>
        <v>0.29106914429463043</v>
      </c>
      <c r="N14" s="59">
        <f t="shared" si="4"/>
        <v>0.24826177154592247</v>
      </c>
      <c r="O14" s="59">
        <f t="shared" si="4"/>
        <v>0.3731211156038039</v>
      </c>
      <c r="P14" s="59">
        <f t="shared" si="4"/>
        <v>0.40052767785665827</v>
      </c>
      <c r="Q14" s="59" t="e">
        <f t="shared" si="4"/>
        <v>#DIV/0!</v>
      </c>
      <c r="R14" s="59" t="e">
        <f t="shared" si="4"/>
        <v>#DIV/0!</v>
      </c>
      <c r="S14" s="59" t="e">
        <f t="shared" si="4"/>
        <v>#DIV/0!</v>
      </c>
      <c r="T14" s="59" t="e">
        <f t="shared" si="4"/>
        <v>#DIV/0!</v>
      </c>
      <c r="U14" s="59" t="e">
        <f t="shared" si="4"/>
        <v>#DIV/0!</v>
      </c>
      <c r="V14" s="59" t="e">
        <f t="shared" si="4"/>
        <v>#DIV/0!</v>
      </c>
      <c r="W14" s="59" t="e">
        <f t="shared" si="4"/>
        <v>#DIV/0!</v>
      </c>
      <c r="X14" s="59" t="e">
        <f t="shared" si="4"/>
        <v>#DIV/0!</v>
      </c>
      <c r="Y14" s="59" t="e">
        <f t="shared" si="4"/>
        <v>#DIV/0!</v>
      </c>
      <c r="Z14" s="59" t="e">
        <f t="shared" si="4"/>
        <v>#DIV/0!</v>
      </c>
      <c r="AA14" s="59" t="e">
        <f t="shared" si="4"/>
        <v>#DIV/0!</v>
      </c>
      <c r="AB14" s="59" t="e">
        <f t="shared" si="4"/>
        <v>#DIV/0!</v>
      </c>
      <c r="AC14" s="59" t="e">
        <f t="shared" si="4"/>
        <v>#DIV/0!</v>
      </c>
      <c r="AD14" s="59" t="e">
        <f t="shared" si="4"/>
        <v>#DIV/0!</v>
      </c>
      <c r="AE14" s="59" t="e">
        <f t="shared" si="4"/>
        <v>#DIV/0!</v>
      </c>
      <c r="AF14" s="59" t="e">
        <f t="shared" si="4"/>
        <v>#DIV/0!</v>
      </c>
      <c r="AG14" s="59" t="e">
        <f t="shared" si="4"/>
        <v>#DIV/0!</v>
      </c>
      <c r="AH14" s="59" t="e">
        <f t="shared" si="4"/>
        <v>#DIV/0!</v>
      </c>
      <c r="AI14" s="59" t="e">
        <f t="shared" si="4"/>
        <v>#DIV/0!</v>
      </c>
      <c r="AJ14" s="59" t="e">
        <f t="shared" si="4"/>
        <v>#DIV/0!</v>
      </c>
      <c r="AK14" s="59" t="e">
        <f t="shared" si="4"/>
        <v>#DIV/0!</v>
      </c>
      <c r="AL14" s="59" t="e">
        <f t="shared" si="4"/>
        <v>#DIV/0!</v>
      </c>
      <c r="AM14" s="59" t="e">
        <f t="shared" si="4"/>
        <v>#DIV/0!</v>
      </c>
      <c r="AN14" s="59" t="e">
        <f t="shared" si="4"/>
        <v>#DIV/0!</v>
      </c>
      <c r="AO14" s="59" t="e">
        <f t="shared" si="4"/>
        <v>#DIV/0!</v>
      </c>
      <c r="AP14" s="59" t="e">
        <f t="shared" si="4"/>
        <v>#DIV/0!</v>
      </c>
      <c r="AQ14" s="59" t="e">
        <f t="shared" si="4"/>
        <v>#DIV/0!</v>
      </c>
      <c r="AR14" s="59" t="e">
        <f t="shared" si="4"/>
        <v>#DIV/0!</v>
      </c>
      <c r="AS14" s="59" t="e">
        <f t="shared" si="4"/>
        <v>#DIV/0!</v>
      </c>
      <c r="AT14" s="59" t="e">
        <f t="shared" si="4"/>
        <v>#DIV/0!</v>
      </c>
      <c r="AU14" s="59" t="e">
        <f t="shared" si="4"/>
        <v>#DIV/0!</v>
      </c>
      <c r="AV14" s="59" t="e">
        <f t="shared" si="4"/>
        <v>#DIV/0!</v>
      </c>
      <c r="AW14" s="59" t="e">
        <f t="shared" si="4"/>
        <v>#DIV/0!</v>
      </c>
      <c r="AX14" s="59" t="e">
        <f t="shared" si="4"/>
        <v>#DIV/0!</v>
      </c>
      <c r="AY14" s="59" t="e">
        <f t="shared" si="4"/>
        <v>#DIV/0!</v>
      </c>
      <c r="AZ14" s="59" t="e">
        <f t="shared" si="4"/>
        <v>#DIV/0!</v>
      </c>
      <c r="BA14" s="59" t="e">
        <f t="shared" si="4"/>
        <v>#DIV/0!</v>
      </c>
      <c r="BB14" s="59" t="e">
        <f t="shared" si="4"/>
        <v>#DIV/0!</v>
      </c>
      <c r="BC14" s="59" t="e">
        <f t="shared" si="4"/>
        <v>#DIV/0!</v>
      </c>
      <c r="BD14" s="59" t="e">
        <f t="shared" si="4"/>
        <v>#DIV/0!</v>
      </c>
      <c r="BE14" s="59" t="e">
        <f t="shared" si="4"/>
        <v>#DIV/0!</v>
      </c>
      <c r="BF14" s="59" t="e">
        <f t="shared" si="4"/>
        <v>#DIV/0!</v>
      </c>
      <c r="BG14" s="59" t="e">
        <f t="shared" si="4"/>
        <v>#DIV/0!</v>
      </c>
      <c r="BH14" s="59" t="e">
        <f t="shared" si="4"/>
        <v>#DIV/0!</v>
      </c>
      <c r="BI14" s="59" t="e">
        <f t="shared" si="4"/>
        <v>#DIV/0!</v>
      </c>
      <c r="BJ14" s="59" t="e">
        <f t="shared" si="4"/>
        <v>#DIV/0!</v>
      </c>
      <c r="BK14" s="59" t="e">
        <f t="shared" si="4"/>
        <v>#DIV/0!</v>
      </c>
      <c r="BL14" s="59" t="e">
        <f t="shared" si="4"/>
        <v>#DIV/0!</v>
      </c>
      <c r="BM14" s="59" t="e">
        <f t="shared" si="4"/>
        <v>#DIV/0!</v>
      </c>
      <c r="BN14" s="59" t="e">
        <f t="shared" si="4"/>
        <v>#DIV/0!</v>
      </c>
      <c r="BO14" s="59" t="e">
        <f t="shared" si="4"/>
        <v>#DIV/0!</v>
      </c>
      <c r="BP14" s="59" t="e">
        <f t="shared" si="4"/>
        <v>#DIV/0!</v>
      </c>
      <c r="BQ14" s="59" t="e">
        <f t="shared" si="4"/>
        <v>#DIV/0!</v>
      </c>
      <c r="BR14" s="59" t="e">
        <f t="shared" ref="BR14:CJ14" si="5">BR6*BR7*BR9*BR10*BR12</f>
        <v>#DIV/0!</v>
      </c>
      <c r="BS14" s="59" t="e">
        <f t="shared" si="5"/>
        <v>#DIV/0!</v>
      </c>
      <c r="BT14" s="59" t="e">
        <f t="shared" si="5"/>
        <v>#DIV/0!</v>
      </c>
      <c r="BU14" s="59" t="e">
        <f t="shared" si="5"/>
        <v>#DIV/0!</v>
      </c>
      <c r="BV14" s="59" t="e">
        <f t="shared" si="5"/>
        <v>#DIV/0!</v>
      </c>
      <c r="BW14" s="59" t="e">
        <f t="shared" si="5"/>
        <v>#DIV/0!</v>
      </c>
      <c r="BX14" s="59" t="e">
        <f t="shared" si="5"/>
        <v>#DIV/0!</v>
      </c>
      <c r="BY14" s="59" t="e">
        <f t="shared" si="5"/>
        <v>#DIV/0!</v>
      </c>
      <c r="BZ14" s="59" t="e">
        <f t="shared" si="5"/>
        <v>#DIV/0!</v>
      </c>
      <c r="CA14" s="59" t="e">
        <f t="shared" si="5"/>
        <v>#DIV/0!</v>
      </c>
      <c r="CB14" s="59" t="e">
        <f t="shared" si="5"/>
        <v>#DIV/0!</v>
      </c>
      <c r="CC14" s="59" t="e">
        <f t="shared" si="5"/>
        <v>#DIV/0!</v>
      </c>
      <c r="CD14" s="59" t="e">
        <f t="shared" si="5"/>
        <v>#DIV/0!</v>
      </c>
      <c r="CE14" s="59" t="e">
        <f t="shared" si="5"/>
        <v>#DIV/0!</v>
      </c>
      <c r="CF14" s="59" t="e">
        <f t="shared" si="5"/>
        <v>#DIV/0!</v>
      </c>
      <c r="CG14" s="59" t="e">
        <f t="shared" si="5"/>
        <v>#DIV/0!</v>
      </c>
      <c r="CH14" s="59" t="e">
        <f t="shared" si="5"/>
        <v>#DIV/0!</v>
      </c>
      <c r="CI14" s="59" t="e">
        <f t="shared" si="5"/>
        <v>#DIV/0!</v>
      </c>
      <c r="CJ14" s="59" t="e">
        <f t="shared" si="5"/>
        <v>#DIV/0!</v>
      </c>
    </row>
    <row r="15" spans="1:89" s="16" customFormat="1" ht="195" customHeight="1" x14ac:dyDescent="0.25">
      <c r="A15" s="278" t="s">
        <v>697</v>
      </c>
      <c r="B15" s="277"/>
      <c r="C15" s="277"/>
      <c r="D15" s="277"/>
      <c r="E15" s="277"/>
      <c r="F15" s="277"/>
      <c r="G15" s="277"/>
      <c r="H15" s="277"/>
      <c r="I15" s="277"/>
      <c r="J15" s="277"/>
      <c r="K15" s="277"/>
      <c r="L15" s="277"/>
      <c r="M15" s="277"/>
      <c r="N15" s="277"/>
      <c r="O15" s="277"/>
      <c r="P15" s="277"/>
      <c r="Q15" s="277"/>
      <c r="R15" s="277"/>
      <c r="S15" s="277"/>
      <c r="T15" s="277"/>
      <c r="U15" s="277"/>
      <c r="V15" s="277"/>
      <c r="W15" s="277"/>
      <c r="X15" s="277"/>
      <c r="Y15" s="277"/>
      <c r="Z15" s="277"/>
      <c r="AA15" s="277"/>
      <c r="AB15" s="277"/>
      <c r="AC15" s="277"/>
      <c r="AD15" s="277"/>
      <c r="AE15" s="277"/>
      <c r="AF15" s="277"/>
      <c r="AG15" s="277"/>
    </row>
    <row r="17" spans="1:89" ht="15" thickBot="1" x14ac:dyDescent="0.3"/>
    <row r="18" spans="1:89" s="248" customFormat="1" x14ac:dyDescent="0.25">
      <c r="A18" s="247" t="s">
        <v>440</v>
      </c>
      <c r="B18" s="1">
        <v>43373</v>
      </c>
      <c r="C18" s="1">
        <v>43281</v>
      </c>
      <c r="D18" s="1">
        <v>43190</v>
      </c>
      <c r="E18" s="1">
        <v>43100</v>
      </c>
      <c r="F18" s="1">
        <v>43008</v>
      </c>
      <c r="G18" s="1">
        <v>42916</v>
      </c>
      <c r="H18" s="1">
        <v>42825</v>
      </c>
      <c r="I18" s="1">
        <v>42735</v>
      </c>
      <c r="J18" s="1">
        <v>42643</v>
      </c>
      <c r="K18" s="1">
        <v>42551</v>
      </c>
      <c r="L18" s="1">
        <v>42460</v>
      </c>
      <c r="M18" s="1">
        <v>42369</v>
      </c>
      <c r="N18" s="1">
        <v>42277</v>
      </c>
      <c r="O18" s="1">
        <v>42004</v>
      </c>
      <c r="P18" s="1">
        <v>41639</v>
      </c>
      <c r="Q18" s="1">
        <v>41274</v>
      </c>
      <c r="R18" s="1">
        <v>40908</v>
      </c>
      <c r="S18" s="1">
        <v>25569</v>
      </c>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row>
    <row r="19" spans="1:89" s="115" customFormat="1" x14ac:dyDescent="0.25">
      <c r="A19" s="157" t="s">
        <v>446</v>
      </c>
      <c r="B19" s="75">
        <v>43373</v>
      </c>
      <c r="C19" s="75">
        <v>43281</v>
      </c>
      <c r="D19" s="75">
        <v>43190</v>
      </c>
      <c r="E19" s="75">
        <f>股权价值增加表!E4</f>
        <v>752408925.78999996</v>
      </c>
      <c r="F19" s="75">
        <f>股权价值增加表!F4</f>
        <v>525772942.17000002</v>
      </c>
      <c r="G19" s="75">
        <f>股权价值增加表!G4</f>
        <v>339770745.41000003</v>
      </c>
      <c r="H19" s="75">
        <f>股权价值增加表!H4</f>
        <v>153700781.78999999</v>
      </c>
      <c r="I19" s="75">
        <f>股权价值增加表!I4</f>
        <v>665011421.55999994</v>
      </c>
      <c r="J19" s="75">
        <f>股权价值增加表!J4</f>
        <v>454007921.24000001</v>
      </c>
      <c r="K19" s="75">
        <f>股权价值增加表!K4</f>
        <v>283257330.20999998</v>
      </c>
      <c r="L19" s="75">
        <f>股权价值增加表!L4</f>
        <v>124302689.18000001</v>
      </c>
      <c r="M19" s="75">
        <f>股权价值增加表!M4</f>
        <v>597037871.64999998</v>
      </c>
      <c r="N19" s="75">
        <f>股权价值增加表!N4</f>
        <v>409475329.64999998</v>
      </c>
      <c r="O19" s="75">
        <f>股权价值增加表!O4</f>
        <v>528809680.74000001</v>
      </c>
      <c r="P19" s="75">
        <f>股权价值增加表!P4</f>
        <v>484907942.22000003</v>
      </c>
      <c r="Q19" s="75">
        <f>股权价值增加表!Q4</f>
        <v>395593790.81</v>
      </c>
      <c r="R19" s="75">
        <f>股权价值增加表!R4</f>
        <v>316891515.43000001</v>
      </c>
      <c r="S19" s="75">
        <f>股权价值增加表!S4</f>
        <v>0</v>
      </c>
      <c r="T19" s="75">
        <f>股权价值增加表!T4</f>
        <v>0</v>
      </c>
      <c r="U19" s="75">
        <f>股权价值增加表!U4</f>
        <v>0</v>
      </c>
      <c r="V19" s="75">
        <f>股权价值增加表!V4</f>
        <v>0</v>
      </c>
      <c r="W19" s="75">
        <f>股权价值增加表!W4</f>
        <v>0</v>
      </c>
      <c r="X19" s="75">
        <f>股权价值增加表!X4</f>
        <v>0</v>
      </c>
      <c r="Y19" s="75">
        <f>股权价值增加表!Y4</f>
        <v>0</v>
      </c>
      <c r="Z19" s="75">
        <f>股权价值增加表!Z4</f>
        <v>0</v>
      </c>
      <c r="AA19" s="75">
        <f>股权价值增加表!AA4</f>
        <v>0</v>
      </c>
      <c r="AB19" s="75">
        <f>股权价值增加表!AB4</f>
        <v>0</v>
      </c>
      <c r="AC19" s="75">
        <f>股权价值增加表!AC4</f>
        <v>0</v>
      </c>
      <c r="AD19" s="75">
        <f>股权价值增加表!AD4</f>
        <v>0</v>
      </c>
      <c r="AE19" s="75">
        <f>股权价值增加表!AE4</f>
        <v>0</v>
      </c>
      <c r="AF19" s="75">
        <f>股权价值增加表!AF4</f>
        <v>0</v>
      </c>
      <c r="AG19" s="75">
        <f>股权价值增加表!AG4</f>
        <v>0</v>
      </c>
      <c r="AH19" s="75">
        <f>股权价值增加表!AH4</f>
        <v>0</v>
      </c>
      <c r="AI19" s="75">
        <f>股权价值增加表!AI4</f>
        <v>0</v>
      </c>
      <c r="AJ19" s="75">
        <f>股权价值增加表!AJ4</f>
        <v>0</v>
      </c>
      <c r="AK19" s="75">
        <f>股权价值增加表!AK4</f>
        <v>0</v>
      </c>
      <c r="AL19" s="75">
        <f>股权价值增加表!AL4</f>
        <v>0</v>
      </c>
      <c r="AM19" s="75">
        <f>股权价值增加表!AM4</f>
        <v>0</v>
      </c>
      <c r="AN19" s="75">
        <f>股权价值增加表!AN4</f>
        <v>0</v>
      </c>
      <c r="AO19" s="75">
        <f>股权价值增加表!AO4</f>
        <v>0</v>
      </c>
      <c r="AP19" s="75">
        <f>股权价值增加表!AP4</f>
        <v>0</v>
      </c>
      <c r="AQ19" s="75">
        <f>股权价值增加表!AQ4</f>
        <v>0</v>
      </c>
      <c r="AR19" s="75">
        <f>股权价值增加表!AR4</f>
        <v>0</v>
      </c>
      <c r="AS19" s="75">
        <f>股权价值增加表!AS4</f>
        <v>0</v>
      </c>
      <c r="AT19" s="75">
        <f>股权价值增加表!AT4</f>
        <v>0</v>
      </c>
      <c r="AU19" s="75">
        <f>股权价值增加表!AU4</f>
        <v>0</v>
      </c>
      <c r="AV19" s="75">
        <f>股权价值增加表!AV4</f>
        <v>0</v>
      </c>
      <c r="AW19" s="75">
        <f>股权价值增加表!AW4</f>
        <v>0</v>
      </c>
      <c r="AX19" s="75">
        <f>股权价值增加表!AX4</f>
        <v>0</v>
      </c>
      <c r="AY19" s="75">
        <f>股权价值增加表!AY4</f>
        <v>0</v>
      </c>
      <c r="AZ19" s="75">
        <f>股权价值增加表!AZ4</f>
        <v>0</v>
      </c>
      <c r="BA19" s="75">
        <f>股权价值增加表!BA4</f>
        <v>0</v>
      </c>
      <c r="BB19" s="75">
        <f>股权价值增加表!BB4</f>
        <v>0</v>
      </c>
      <c r="BC19" s="75">
        <f>股权价值增加表!BC4</f>
        <v>0</v>
      </c>
      <c r="BD19" s="75">
        <f>股权价值增加表!BD4</f>
        <v>0</v>
      </c>
      <c r="BE19" s="75">
        <f>股权价值增加表!BE4</f>
        <v>0</v>
      </c>
      <c r="BF19" s="75">
        <f>股权价值增加表!BF4</f>
        <v>0</v>
      </c>
      <c r="BG19" s="75">
        <f>股权价值增加表!BG4</f>
        <v>0</v>
      </c>
      <c r="BH19" s="75">
        <f>股权价值增加表!BH4</f>
        <v>0</v>
      </c>
      <c r="BI19" s="75">
        <f>股权价值增加表!BI4</f>
        <v>0</v>
      </c>
      <c r="BJ19" s="75">
        <f>股权价值增加表!BJ4</f>
        <v>0</v>
      </c>
      <c r="BK19" s="75">
        <f>股权价值增加表!BK4</f>
        <v>0</v>
      </c>
      <c r="BL19" s="75">
        <f>股权价值增加表!BL4</f>
        <v>0</v>
      </c>
      <c r="BM19" s="75">
        <f>股权价值增加表!BM4</f>
        <v>0</v>
      </c>
      <c r="BN19" s="75">
        <f>股权价值增加表!BN4</f>
        <v>0</v>
      </c>
      <c r="BO19" s="75">
        <f>股权价值增加表!BO4</f>
        <v>0</v>
      </c>
      <c r="BP19" s="75">
        <f>股权价值增加表!BP4</f>
        <v>0</v>
      </c>
      <c r="BQ19" s="75">
        <f>股权价值增加表!BQ4</f>
        <v>0</v>
      </c>
      <c r="BR19" s="75">
        <f>股权价值增加表!BR4</f>
        <v>0</v>
      </c>
      <c r="BS19" s="75">
        <f>股权价值增加表!BS4</f>
        <v>0</v>
      </c>
      <c r="BT19" s="75">
        <f>股权价值增加表!BT4</f>
        <v>0</v>
      </c>
      <c r="BU19" s="75">
        <f>股权价值增加表!BU4</f>
        <v>0</v>
      </c>
      <c r="BV19" s="75">
        <f>股权价值增加表!BV4</f>
        <v>0</v>
      </c>
      <c r="BW19" s="75">
        <f>股权价值增加表!BW4</f>
        <v>0</v>
      </c>
      <c r="BX19" s="75">
        <f>股权价值增加表!BX4</f>
        <v>0</v>
      </c>
      <c r="BY19" s="75">
        <f>股权价值增加表!BY4</f>
        <v>0</v>
      </c>
      <c r="BZ19" s="75">
        <f>股权价值增加表!BZ4</f>
        <v>0</v>
      </c>
      <c r="CA19" s="75">
        <f>股权价值增加表!CA4</f>
        <v>0</v>
      </c>
      <c r="CB19" s="75">
        <f>股权价值增加表!CB4</f>
        <v>0</v>
      </c>
      <c r="CC19" s="75">
        <f>股权价值增加表!CC4</f>
        <v>0</v>
      </c>
      <c r="CD19" s="75">
        <f>股权价值增加表!CD4</f>
        <v>0</v>
      </c>
      <c r="CE19" s="75">
        <f>股权价值增加表!CE4</f>
        <v>0</v>
      </c>
      <c r="CF19" s="75">
        <f>股权价值增加表!CF4</f>
        <v>0</v>
      </c>
      <c r="CG19" s="75">
        <f>股权价值增加表!CG4</f>
        <v>0</v>
      </c>
      <c r="CH19" s="75">
        <f>股权价值增加表!CH4</f>
        <v>0</v>
      </c>
      <c r="CI19" s="75">
        <f>股权价值增加表!CI4</f>
        <v>0</v>
      </c>
      <c r="CJ19" s="75">
        <f>股权价值增加表!CJ4</f>
        <v>0</v>
      </c>
      <c r="CK19" s="75">
        <f>股权价值增加表!CK4</f>
        <v>0</v>
      </c>
    </row>
    <row r="20" spans="1:89" s="75" customFormat="1" x14ac:dyDescent="0.25">
      <c r="A20" s="157" t="s">
        <v>447</v>
      </c>
      <c r="E20" s="75">
        <f>股权价值增加表!E15</f>
        <v>155851417.39000002</v>
      </c>
      <c r="F20" s="75">
        <f>股权价值增加表!F15</f>
        <v>118379160.12000005</v>
      </c>
      <c r="G20" s="75">
        <f>股权价值增加表!G15</f>
        <v>65713816.170000009</v>
      </c>
      <c r="H20" s="75">
        <f>股权价值增加表!H15</f>
        <v>20594767.00999999</v>
      </c>
      <c r="I20" s="75">
        <f>股权价值增加表!I15</f>
        <v>152781769.70999995</v>
      </c>
      <c r="J20" s="75">
        <f>股权价值增加表!J15</f>
        <v>114140798.95000003</v>
      </c>
      <c r="K20" s="75">
        <f>股权价值增加表!K15</f>
        <v>59494011.039999992</v>
      </c>
      <c r="L20" s="75">
        <f>股权价值增加表!L15</f>
        <v>11857340.220000006</v>
      </c>
      <c r="M20" s="75">
        <f>股权价值增加表!M15</f>
        <v>138852954.72999999</v>
      </c>
      <c r="N20" s="75">
        <f>股权价值增加表!N15</f>
        <v>98626845.369999975</v>
      </c>
      <c r="O20" s="75">
        <f>股权价值增加表!O15</f>
        <v>121681477.87000003</v>
      </c>
      <c r="P20" s="75">
        <f>股权价值增加表!P15</f>
        <v>111732572.96000004</v>
      </c>
      <c r="Q20" s="75">
        <f>股权价值增加表!Q15</f>
        <v>96611045.13000001</v>
      </c>
      <c r="R20" s="75">
        <f>股权价值增加表!R15</f>
        <v>83600165.599999994</v>
      </c>
      <c r="S20" s="75">
        <f>股权价值增加表!S15</f>
        <v>0</v>
      </c>
      <c r="T20" s="75">
        <f>股权价值增加表!T15</f>
        <v>0</v>
      </c>
      <c r="U20" s="75">
        <f>股权价值增加表!U15</f>
        <v>5869478</v>
      </c>
      <c r="V20" s="75">
        <f>股权价值增加表!V15</f>
        <v>0</v>
      </c>
      <c r="W20" s="75">
        <f>股权价值增加表!W15</f>
        <v>0</v>
      </c>
      <c r="X20" s="75">
        <f>股权价值增加表!X15</f>
        <v>0</v>
      </c>
      <c r="Y20" s="75">
        <f>股权价值增加表!Y15</f>
        <v>12046824.75</v>
      </c>
      <c r="Z20" s="75">
        <f>股权价值增加表!Z15</f>
        <v>0</v>
      </c>
      <c r="AA20" s="75">
        <f>股权价值增加表!AA15</f>
        <v>0</v>
      </c>
      <c r="AB20" s="75">
        <f>股权价值增加表!AB15</f>
        <v>0</v>
      </c>
      <c r="AC20" s="75">
        <f>股权价值增加表!AC15</f>
        <v>8254042.6900000004</v>
      </c>
      <c r="AD20" s="75">
        <f>股权价值增加表!AD15</f>
        <v>0</v>
      </c>
      <c r="AE20" s="75">
        <f>股权价值增加表!AE15</f>
        <v>0</v>
      </c>
      <c r="AF20" s="75">
        <f>股权价值增加表!AF15</f>
        <v>0</v>
      </c>
      <c r="AG20" s="75">
        <f>股权价值增加表!AG15</f>
        <v>2922096.12</v>
      </c>
      <c r="AH20" s="75">
        <f>股权价值增加表!AH15</f>
        <v>0</v>
      </c>
      <c r="AI20" s="75">
        <f>股权价值增加表!AI15</f>
        <v>0</v>
      </c>
      <c r="AJ20" s="75">
        <f>股权价值增加表!AJ15</f>
        <v>0</v>
      </c>
      <c r="AK20" s="75">
        <f>股权价值增加表!AK15</f>
        <v>0</v>
      </c>
      <c r="AL20" s="75">
        <f>股权价值增加表!AL15</f>
        <v>0</v>
      </c>
      <c r="AM20" s="75">
        <f>股权价值增加表!AM15</f>
        <v>0</v>
      </c>
      <c r="AN20" s="75">
        <f>股权价值增加表!AN15</f>
        <v>0</v>
      </c>
      <c r="AO20" s="75">
        <f>股权价值增加表!AO15</f>
        <v>0</v>
      </c>
      <c r="AP20" s="75">
        <f>股权价值增加表!AP15</f>
        <v>0</v>
      </c>
      <c r="AQ20" s="75">
        <f>股权价值增加表!AQ15</f>
        <v>0</v>
      </c>
      <c r="AR20" s="75">
        <f>股权价值增加表!AR15</f>
        <v>0</v>
      </c>
      <c r="AS20" s="75">
        <f>股权价值增加表!AS15</f>
        <v>0</v>
      </c>
      <c r="AT20" s="75">
        <f>股权价值增加表!AT15</f>
        <v>0</v>
      </c>
      <c r="AU20" s="75">
        <f>股权价值增加表!AU15</f>
        <v>0</v>
      </c>
      <c r="AV20" s="75">
        <f>股权价值增加表!AV15</f>
        <v>0</v>
      </c>
      <c r="AW20" s="75">
        <f>股权价值增加表!AW15</f>
        <v>0</v>
      </c>
      <c r="AX20" s="75">
        <f>股权价值增加表!AX15</f>
        <v>0</v>
      </c>
      <c r="AY20" s="75">
        <f>股权价值增加表!AY15</f>
        <v>0</v>
      </c>
      <c r="AZ20" s="75">
        <f>股权价值增加表!AZ15</f>
        <v>0</v>
      </c>
      <c r="BA20" s="75">
        <f>股权价值增加表!BA15</f>
        <v>0</v>
      </c>
      <c r="BB20" s="75">
        <f>股权价值增加表!BB15</f>
        <v>0</v>
      </c>
      <c r="BC20" s="75">
        <f>股权价值增加表!BC15</f>
        <v>0</v>
      </c>
      <c r="BD20" s="75">
        <f>股权价值增加表!BD15</f>
        <v>0</v>
      </c>
      <c r="BE20" s="75">
        <f>股权价值增加表!BE15</f>
        <v>0</v>
      </c>
      <c r="BF20" s="75">
        <f>股权价值增加表!BF15</f>
        <v>0</v>
      </c>
      <c r="BG20" s="75">
        <f>股权价值增加表!BG15</f>
        <v>0</v>
      </c>
      <c r="BH20" s="75">
        <f>股权价值增加表!BH15</f>
        <v>0</v>
      </c>
      <c r="BI20" s="75">
        <f>股权价值增加表!BI15</f>
        <v>0</v>
      </c>
      <c r="BJ20" s="75">
        <f>股权价值增加表!BJ15</f>
        <v>0</v>
      </c>
      <c r="BK20" s="75">
        <f>股权价值增加表!BK15</f>
        <v>0</v>
      </c>
      <c r="BL20" s="75">
        <f>股权价值增加表!BL15</f>
        <v>0</v>
      </c>
      <c r="BM20" s="75">
        <f>股权价值增加表!BM15</f>
        <v>0</v>
      </c>
      <c r="BN20" s="75">
        <f>股权价值增加表!BN15</f>
        <v>0</v>
      </c>
      <c r="BO20" s="75">
        <f>股权价值增加表!BO15</f>
        <v>0</v>
      </c>
      <c r="BP20" s="75">
        <f>股权价值增加表!BP15</f>
        <v>0</v>
      </c>
      <c r="BQ20" s="75">
        <f>股权价值增加表!BQ15</f>
        <v>0</v>
      </c>
      <c r="BR20" s="75">
        <f>股权价值增加表!BR15</f>
        <v>0</v>
      </c>
      <c r="BS20" s="75">
        <f>股权价值增加表!BS15</f>
        <v>0</v>
      </c>
      <c r="BT20" s="75">
        <f>股权价值增加表!BT15</f>
        <v>0</v>
      </c>
      <c r="BU20" s="75">
        <f>股权价值增加表!BU15</f>
        <v>0</v>
      </c>
      <c r="BV20" s="75">
        <f>股权价值增加表!BV15</f>
        <v>0</v>
      </c>
      <c r="BW20" s="75">
        <f>股权价值增加表!BW15</f>
        <v>0</v>
      </c>
      <c r="BX20" s="75">
        <f>股权价值增加表!BX15</f>
        <v>0</v>
      </c>
      <c r="BY20" s="75">
        <f>股权价值增加表!BY15</f>
        <v>0</v>
      </c>
      <c r="BZ20" s="75">
        <f>股权价值增加表!BZ15</f>
        <v>0</v>
      </c>
      <c r="CA20" s="75">
        <f>股权价值增加表!CA15</f>
        <v>0</v>
      </c>
      <c r="CB20" s="75">
        <f>股权价值增加表!CB15</f>
        <v>0</v>
      </c>
      <c r="CC20" s="75">
        <f>股权价值增加表!CC15</f>
        <v>0</v>
      </c>
      <c r="CD20" s="75">
        <f>股权价值增加表!CD15</f>
        <v>0</v>
      </c>
      <c r="CE20" s="75">
        <f>股权价值增加表!CE15</f>
        <v>0</v>
      </c>
      <c r="CF20" s="75">
        <f>股权价值增加表!CF15</f>
        <v>0</v>
      </c>
      <c r="CG20" s="75">
        <f>股权价值增加表!CG15</f>
        <v>0</v>
      </c>
      <c r="CH20" s="75">
        <f>股权价值增加表!CH15</f>
        <v>0</v>
      </c>
      <c r="CI20" s="75">
        <f>股权价值增加表!CI15</f>
        <v>0</v>
      </c>
      <c r="CJ20" s="75">
        <f>股权价值增加表!CJ15</f>
        <v>0</v>
      </c>
      <c r="CK20" s="75">
        <f>股权价值增加表!CK15</f>
        <v>0</v>
      </c>
    </row>
    <row r="21" spans="1:89" s="242" customFormat="1" x14ac:dyDescent="0.25">
      <c r="A21" s="232" t="s">
        <v>448</v>
      </c>
      <c r="E21" s="242">
        <f>E20/E19</f>
        <v>0.20713658762934281</v>
      </c>
      <c r="F21" s="242">
        <f t="shared" ref="F21:BQ21" si="6">F20/F19</f>
        <v>0.22515262887325246</v>
      </c>
      <c r="G21" s="242">
        <f t="shared" si="6"/>
        <v>0.19340633959143069</v>
      </c>
      <c r="H21" s="242">
        <f t="shared" si="6"/>
        <v>0.1339925976312758</v>
      </c>
      <c r="I21" s="242">
        <f t="shared" si="6"/>
        <v>0.22974307621905316</v>
      </c>
      <c r="J21" s="242">
        <f t="shared" si="6"/>
        <v>0.25140706496542015</v>
      </c>
      <c r="K21" s="242">
        <f t="shared" si="6"/>
        <v>0.21003520366407677</v>
      </c>
      <c r="L21" s="242">
        <f t="shared" si="6"/>
        <v>9.5390858381427704E-2</v>
      </c>
      <c r="M21" s="242">
        <f t="shared" si="6"/>
        <v>0.23256976035081309</v>
      </c>
      <c r="N21" s="242">
        <f t="shared" si="6"/>
        <v>0.2408615079553181</v>
      </c>
      <c r="O21" s="242">
        <f t="shared" si="6"/>
        <v>0.23010448239094775</v>
      </c>
      <c r="P21" s="242">
        <f t="shared" si="6"/>
        <v>0.23042017511296525</v>
      </c>
      <c r="Q21" s="242">
        <f t="shared" si="6"/>
        <v>0.24421779960748016</v>
      </c>
      <c r="R21" s="242">
        <f t="shared" si="6"/>
        <v>0.26381320271879261</v>
      </c>
      <c r="S21" s="242" t="e">
        <f t="shared" si="6"/>
        <v>#DIV/0!</v>
      </c>
      <c r="T21" s="242" t="e">
        <f t="shared" si="6"/>
        <v>#DIV/0!</v>
      </c>
      <c r="U21" s="242" t="e">
        <f t="shared" si="6"/>
        <v>#DIV/0!</v>
      </c>
      <c r="V21" s="242" t="e">
        <f t="shared" si="6"/>
        <v>#DIV/0!</v>
      </c>
      <c r="W21" s="242" t="e">
        <f t="shared" si="6"/>
        <v>#DIV/0!</v>
      </c>
      <c r="X21" s="242" t="e">
        <f t="shared" si="6"/>
        <v>#DIV/0!</v>
      </c>
      <c r="Y21" s="242" t="e">
        <f t="shared" si="6"/>
        <v>#DIV/0!</v>
      </c>
      <c r="Z21" s="242" t="e">
        <f t="shared" si="6"/>
        <v>#DIV/0!</v>
      </c>
      <c r="AA21" s="242" t="e">
        <f t="shared" si="6"/>
        <v>#DIV/0!</v>
      </c>
      <c r="AB21" s="242" t="e">
        <f t="shared" si="6"/>
        <v>#DIV/0!</v>
      </c>
      <c r="AC21" s="242" t="e">
        <f t="shared" si="6"/>
        <v>#DIV/0!</v>
      </c>
      <c r="AD21" s="242" t="e">
        <f t="shared" si="6"/>
        <v>#DIV/0!</v>
      </c>
      <c r="AE21" s="242" t="e">
        <f t="shared" si="6"/>
        <v>#DIV/0!</v>
      </c>
      <c r="AF21" s="242" t="e">
        <f t="shared" si="6"/>
        <v>#DIV/0!</v>
      </c>
      <c r="AG21" s="242" t="e">
        <f t="shared" si="6"/>
        <v>#DIV/0!</v>
      </c>
      <c r="AH21" s="242" t="e">
        <f t="shared" si="6"/>
        <v>#DIV/0!</v>
      </c>
      <c r="AI21" s="242" t="e">
        <f t="shared" si="6"/>
        <v>#DIV/0!</v>
      </c>
      <c r="AJ21" s="242" t="e">
        <f t="shared" si="6"/>
        <v>#DIV/0!</v>
      </c>
      <c r="AK21" s="242" t="e">
        <f t="shared" si="6"/>
        <v>#DIV/0!</v>
      </c>
      <c r="AL21" s="242" t="e">
        <f t="shared" si="6"/>
        <v>#DIV/0!</v>
      </c>
      <c r="AM21" s="242" t="e">
        <f t="shared" si="6"/>
        <v>#DIV/0!</v>
      </c>
      <c r="AN21" s="242" t="e">
        <f t="shared" si="6"/>
        <v>#DIV/0!</v>
      </c>
      <c r="AO21" s="242" t="e">
        <f t="shared" si="6"/>
        <v>#DIV/0!</v>
      </c>
      <c r="AP21" s="242" t="e">
        <f t="shared" si="6"/>
        <v>#DIV/0!</v>
      </c>
      <c r="AQ21" s="242" t="e">
        <f t="shared" si="6"/>
        <v>#DIV/0!</v>
      </c>
      <c r="AR21" s="242" t="e">
        <f t="shared" si="6"/>
        <v>#DIV/0!</v>
      </c>
      <c r="AS21" s="242" t="e">
        <f t="shared" si="6"/>
        <v>#DIV/0!</v>
      </c>
      <c r="AT21" s="242" t="e">
        <f t="shared" si="6"/>
        <v>#DIV/0!</v>
      </c>
      <c r="AU21" s="242" t="e">
        <f t="shared" si="6"/>
        <v>#DIV/0!</v>
      </c>
      <c r="AV21" s="242" t="e">
        <f t="shared" si="6"/>
        <v>#DIV/0!</v>
      </c>
      <c r="AW21" s="242" t="e">
        <f t="shared" si="6"/>
        <v>#DIV/0!</v>
      </c>
      <c r="AX21" s="242" t="e">
        <f t="shared" si="6"/>
        <v>#DIV/0!</v>
      </c>
      <c r="AY21" s="242" t="e">
        <f t="shared" si="6"/>
        <v>#DIV/0!</v>
      </c>
      <c r="AZ21" s="242" t="e">
        <f t="shared" si="6"/>
        <v>#DIV/0!</v>
      </c>
      <c r="BA21" s="242" t="e">
        <f t="shared" si="6"/>
        <v>#DIV/0!</v>
      </c>
      <c r="BB21" s="242" t="e">
        <f t="shared" si="6"/>
        <v>#DIV/0!</v>
      </c>
      <c r="BC21" s="242" t="e">
        <f t="shared" si="6"/>
        <v>#DIV/0!</v>
      </c>
      <c r="BD21" s="242" t="e">
        <f t="shared" si="6"/>
        <v>#DIV/0!</v>
      </c>
      <c r="BE21" s="242" t="e">
        <f t="shared" si="6"/>
        <v>#DIV/0!</v>
      </c>
      <c r="BF21" s="242" t="e">
        <f t="shared" si="6"/>
        <v>#DIV/0!</v>
      </c>
      <c r="BG21" s="242" t="e">
        <f t="shared" si="6"/>
        <v>#DIV/0!</v>
      </c>
      <c r="BH21" s="242" t="e">
        <f t="shared" si="6"/>
        <v>#DIV/0!</v>
      </c>
      <c r="BI21" s="242" t="e">
        <f t="shared" si="6"/>
        <v>#DIV/0!</v>
      </c>
      <c r="BJ21" s="242" t="e">
        <f t="shared" si="6"/>
        <v>#DIV/0!</v>
      </c>
      <c r="BK21" s="242" t="e">
        <f t="shared" si="6"/>
        <v>#DIV/0!</v>
      </c>
      <c r="BL21" s="242" t="e">
        <f t="shared" si="6"/>
        <v>#DIV/0!</v>
      </c>
      <c r="BM21" s="242" t="e">
        <f t="shared" si="6"/>
        <v>#DIV/0!</v>
      </c>
      <c r="BN21" s="242" t="e">
        <f t="shared" si="6"/>
        <v>#DIV/0!</v>
      </c>
      <c r="BO21" s="242" t="e">
        <f t="shared" si="6"/>
        <v>#DIV/0!</v>
      </c>
      <c r="BP21" s="242" t="e">
        <f t="shared" si="6"/>
        <v>#DIV/0!</v>
      </c>
      <c r="BQ21" s="242" t="e">
        <f t="shared" si="6"/>
        <v>#DIV/0!</v>
      </c>
      <c r="BR21" s="242" t="e">
        <f t="shared" ref="BR21:CK21" si="7">BR20/BR19</f>
        <v>#DIV/0!</v>
      </c>
      <c r="BS21" s="242" t="e">
        <f t="shared" si="7"/>
        <v>#DIV/0!</v>
      </c>
      <c r="BT21" s="242" t="e">
        <f t="shared" si="7"/>
        <v>#DIV/0!</v>
      </c>
      <c r="BU21" s="242" t="e">
        <f t="shared" si="7"/>
        <v>#DIV/0!</v>
      </c>
      <c r="BV21" s="242" t="e">
        <f t="shared" si="7"/>
        <v>#DIV/0!</v>
      </c>
      <c r="BW21" s="242" t="e">
        <f t="shared" si="7"/>
        <v>#DIV/0!</v>
      </c>
      <c r="BX21" s="242" t="e">
        <f t="shared" si="7"/>
        <v>#DIV/0!</v>
      </c>
      <c r="BY21" s="242" t="e">
        <f t="shared" si="7"/>
        <v>#DIV/0!</v>
      </c>
      <c r="BZ21" s="242" t="e">
        <f t="shared" si="7"/>
        <v>#DIV/0!</v>
      </c>
      <c r="CA21" s="242" t="e">
        <f t="shared" si="7"/>
        <v>#DIV/0!</v>
      </c>
      <c r="CB21" s="242" t="e">
        <f t="shared" si="7"/>
        <v>#DIV/0!</v>
      </c>
      <c r="CC21" s="242" t="e">
        <f t="shared" si="7"/>
        <v>#DIV/0!</v>
      </c>
      <c r="CD21" s="242" t="e">
        <f t="shared" si="7"/>
        <v>#DIV/0!</v>
      </c>
      <c r="CE21" s="242" t="e">
        <f t="shared" si="7"/>
        <v>#DIV/0!</v>
      </c>
      <c r="CF21" s="242" t="e">
        <f t="shared" si="7"/>
        <v>#DIV/0!</v>
      </c>
      <c r="CG21" s="242" t="e">
        <f t="shared" si="7"/>
        <v>#DIV/0!</v>
      </c>
      <c r="CH21" s="242" t="e">
        <f t="shared" si="7"/>
        <v>#DIV/0!</v>
      </c>
      <c r="CI21" s="242" t="e">
        <f t="shared" si="7"/>
        <v>#DIV/0!</v>
      </c>
      <c r="CJ21" s="242" t="e">
        <f t="shared" si="7"/>
        <v>#DIV/0!</v>
      </c>
      <c r="CK21" s="242" t="e">
        <f t="shared" si="7"/>
        <v>#DIV/0!</v>
      </c>
    </row>
    <row r="22" spans="1:89" s="26" customFormat="1" x14ac:dyDescent="0.25">
      <c r="A22" s="26" t="s">
        <v>684</v>
      </c>
      <c r="E22" s="26">
        <f>资产资本表!E69</f>
        <v>702164235.43999994</v>
      </c>
      <c r="F22" s="191">
        <f>资产资本表!F69</f>
        <v>781586907.52999997</v>
      </c>
      <c r="G22" s="191">
        <f>资产资本表!G69</f>
        <v>640632225.54999995</v>
      </c>
      <c r="H22" s="191">
        <f>资产资本表!H69</f>
        <v>502980738.4799999</v>
      </c>
      <c r="I22" s="191">
        <f>资产资本表!I69</f>
        <v>619996063.93999994</v>
      </c>
      <c r="J22" s="191">
        <f>资产资本表!J69</f>
        <v>384251723.55999994</v>
      </c>
      <c r="K22" s="191">
        <f>资产资本表!K69</f>
        <v>386306516.14999998</v>
      </c>
      <c r="L22" s="191">
        <f>资产资本表!L69</f>
        <v>364766595.25</v>
      </c>
      <c r="M22" s="191">
        <f>资产资本表!M69</f>
        <v>369028479.01999992</v>
      </c>
      <c r="N22" s="191">
        <f>资产资本表!N69</f>
        <v>375130690.38000005</v>
      </c>
      <c r="O22" s="191">
        <f>资产资本表!O69</f>
        <v>197308563.13000005</v>
      </c>
      <c r="P22" s="191">
        <f>资产资本表!P69</f>
        <v>129888213.55</v>
      </c>
      <c r="Q22" s="191">
        <f>资产资本表!Q69</f>
        <v>0</v>
      </c>
      <c r="R22" s="191">
        <f>资产资本表!R69</f>
        <v>0</v>
      </c>
      <c r="S22" s="191">
        <f>资产资本表!S69</f>
        <v>0</v>
      </c>
      <c r="T22" s="191">
        <f>资产资本表!T69</f>
        <v>0</v>
      </c>
      <c r="U22" s="191">
        <f>资产资本表!U69</f>
        <v>0</v>
      </c>
      <c r="V22" s="191">
        <f>资产资本表!V69</f>
        <v>0</v>
      </c>
      <c r="W22" s="191">
        <f>资产资本表!W69</f>
        <v>0</v>
      </c>
      <c r="X22" s="191">
        <f>资产资本表!X69</f>
        <v>0</v>
      </c>
      <c r="Y22" s="191">
        <f>资产资本表!Y69</f>
        <v>0</v>
      </c>
      <c r="Z22" s="191">
        <f>资产资本表!Z69</f>
        <v>0</v>
      </c>
      <c r="AA22" s="191">
        <f>资产资本表!AA69</f>
        <v>0</v>
      </c>
      <c r="AB22" s="191">
        <f>资产资本表!AB69</f>
        <v>0</v>
      </c>
      <c r="AC22" s="191">
        <f>资产资本表!AC69</f>
        <v>0</v>
      </c>
      <c r="AD22" s="191">
        <f>资产资本表!AD69</f>
        <v>0</v>
      </c>
      <c r="AE22" s="191">
        <f>资产资本表!AE69</f>
        <v>0</v>
      </c>
      <c r="AF22" s="191">
        <f>资产资本表!AF69</f>
        <v>0</v>
      </c>
      <c r="AG22" s="191">
        <f>资产资本表!AG69</f>
        <v>0</v>
      </c>
      <c r="AH22" s="191">
        <f>资产资本表!AH69</f>
        <v>0</v>
      </c>
      <c r="AI22" s="191">
        <f>资产资本表!AI69</f>
        <v>0</v>
      </c>
      <c r="AJ22" s="191">
        <f>资产资本表!AJ69</f>
        <v>0</v>
      </c>
      <c r="AK22" s="191">
        <f>资产资本表!AK69</f>
        <v>0</v>
      </c>
      <c r="AL22" s="191">
        <f>资产资本表!AL69</f>
        <v>0</v>
      </c>
      <c r="AM22" s="191">
        <f>资产资本表!AM69</f>
        <v>0</v>
      </c>
      <c r="AN22" s="191">
        <f>资产资本表!AN69</f>
        <v>0</v>
      </c>
      <c r="AO22" s="191">
        <f>资产资本表!AO69</f>
        <v>0</v>
      </c>
      <c r="AP22" s="191">
        <f>资产资本表!AP69</f>
        <v>0</v>
      </c>
      <c r="AQ22" s="191">
        <f>资产资本表!AQ69</f>
        <v>0</v>
      </c>
      <c r="AR22" s="191">
        <f>资产资本表!AR69</f>
        <v>0</v>
      </c>
      <c r="AS22" s="191">
        <f>资产资本表!AS69</f>
        <v>0</v>
      </c>
      <c r="AT22" s="191">
        <f>资产资本表!AT69</f>
        <v>0</v>
      </c>
      <c r="AU22" s="191">
        <f>资产资本表!AU69</f>
        <v>0</v>
      </c>
      <c r="AV22" s="191">
        <f>资产资本表!AV69</f>
        <v>0</v>
      </c>
      <c r="AW22" s="191">
        <f>资产资本表!AW69</f>
        <v>0</v>
      </c>
      <c r="AX22" s="191">
        <f>资产资本表!AX69</f>
        <v>0</v>
      </c>
      <c r="AY22" s="191">
        <f>资产资本表!AY69</f>
        <v>0</v>
      </c>
      <c r="AZ22" s="191">
        <f>资产资本表!AZ69</f>
        <v>0</v>
      </c>
      <c r="BA22" s="191">
        <f>资产资本表!BA69</f>
        <v>0</v>
      </c>
      <c r="BB22" s="191">
        <f>资产资本表!BB69</f>
        <v>0</v>
      </c>
      <c r="BC22" s="191">
        <f>资产资本表!BC69</f>
        <v>0</v>
      </c>
      <c r="BD22" s="191">
        <f>资产资本表!BD69</f>
        <v>0</v>
      </c>
      <c r="BE22" s="191">
        <f>资产资本表!BE69</f>
        <v>0</v>
      </c>
      <c r="BF22" s="191">
        <f>资产资本表!BF69</f>
        <v>0</v>
      </c>
      <c r="BG22" s="191">
        <f>资产资本表!BG69</f>
        <v>0</v>
      </c>
      <c r="BH22" s="191">
        <f>资产资本表!BH69</f>
        <v>0</v>
      </c>
      <c r="BI22" s="191">
        <f>资产资本表!BI69</f>
        <v>0</v>
      </c>
      <c r="BJ22" s="191">
        <f>资产资本表!BJ69</f>
        <v>0</v>
      </c>
      <c r="BK22" s="191">
        <f>资产资本表!BK69</f>
        <v>0</v>
      </c>
      <c r="BL22" s="191">
        <f>资产资本表!BL69</f>
        <v>0</v>
      </c>
      <c r="BM22" s="191">
        <f>资产资本表!BM69</f>
        <v>0</v>
      </c>
      <c r="BN22" s="191">
        <f>资产资本表!BN69</f>
        <v>0</v>
      </c>
      <c r="BO22" s="191">
        <f>资产资本表!BO69</f>
        <v>0</v>
      </c>
      <c r="BP22" s="191">
        <f>资产资本表!BP69</f>
        <v>0</v>
      </c>
      <c r="BQ22" s="191">
        <f>资产资本表!BQ69</f>
        <v>0</v>
      </c>
      <c r="BR22" s="191">
        <f>资产资本表!BR69</f>
        <v>0</v>
      </c>
      <c r="BS22" s="191">
        <f>资产资本表!BS69</f>
        <v>0</v>
      </c>
      <c r="BT22" s="191">
        <f>资产资本表!BT69</f>
        <v>0</v>
      </c>
      <c r="BU22" s="191">
        <f>资产资本表!BU69</f>
        <v>0</v>
      </c>
      <c r="BV22" s="191">
        <f>资产资本表!BV69</f>
        <v>0</v>
      </c>
      <c r="BW22" s="191">
        <f>资产资本表!BW69</f>
        <v>0</v>
      </c>
      <c r="BX22" s="191">
        <f>资产资本表!BX69</f>
        <v>0</v>
      </c>
      <c r="BY22" s="191">
        <f>资产资本表!BY69</f>
        <v>0</v>
      </c>
      <c r="BZ22" s="191">
        <f>资产资本表!BZ69</f>
        <v>0</v>
      </c>
      <c r="CA22" s="191">
        <f>资产资本表!CA69</f>
        <v>0</v>
      </c>
      <c r="CB22" s="191">
        <f>资产资本表!CB69</f>
        <v>0</v>
      </c>
      <c r="CC22" s="191">
        <f>资产资本表!CC69</f>
        <v>0</v>
      </c>
      <c r="CD22" s="191">
        <f>资产资本表!CD69</f>
        <v>0</v>
      </c>
      <c r="CE22" s="191">
        <f>资产资本表!CE69</f>
        <v>0</v>
      </c>
      <c r="CF22" s="191">
        <f>资产资本表!CF69</f>
        <v>0</v>
      </c>
      <c r="CG22" s="191">
        <f>资产资本表!CG69</f>
        <v>0</v>
      </c>
      <c r="CH22" s="191">
        <f>资产资本表!CH69</f>
        <v>0</v>
      </c>
      <c r="CI22" s="191">
        <f>资产资本表!CI69</f>
        <v>0</v>
      </c>
      <c r="CJ22" s="191">
        <f>资产资本表!CJ69</f>
        <v>0</v>
      </c>
      <c r="CK22" s="191">
        <f>资产资本表!CK69</f>
        <v>0</v>
      </c>
    </row>
    <row r="23" spans="1:89" s="244" customFormat="1" x14ac:dyDescent="0.25">
      <c r="A23" s="243" t="s">
        <v>685</v>
      </c>
      <c r="E23" s="244">
        <f>E19/E22</f>
        <v>1.0715568919834189</v>
      </c>
      <c r="F23" s="244">
        <f t="shared" ref="F23:BQ23" si="8">F19/F22</f>
        <v>0.67269927004223651</v>
      </c>
      <c r="G23" s="244">
        <f t="shared" si="8"/>
        <v>0.53036786452367068</v>
      </c>
      <c r="H23" s="244">
        <f t="shared" si="8"/>
        <v>0.30557985630718465</v>
      </c>
      <c r="I23" s="244">
        <f t="shared" si="8"/>
        <v>1.0726058764533646</v>
      </c>
      <c r="J23" s="244">
        <f t="shared" si="8"/>
        <v>1.1815377613240758</v>
      </c>
      <c r="K23" s="244">
        <f t="shared" si="8"/>
        <v>0.73324502271665859</v>
      </c>
      <c r="L23" s="244">
        <f t="shared" si="8"/>
        <v>0.34077322539583621</v>
      </c>
      <c r="M23" s="244">
        <f t="shared" si="8"/>
        <v>1.6178639470739677</v>
      </c>
      <c r="N23" s="244">
        <f t="shared" si="8"/>
        <v>1.0915537975184315</v>
      </c>
      <c r="O23" s="244">
        <f t="shared" si="8"/>
        <v>2.6801152081351121</v>
      </c>
      <c r="P23" s="244">
        <f t="shared" si="8"/>
        <v>3.7332713182119215</v>
      </c>
      <c r="Q23" s="244" t="e">
        <f t="shared" si="8"/>
        <v>#DIV/0!</v>
      </c>
      <c r="R23" s="244" t="e">
        <f t="shared" si="8"/>
        <v>#DIV/0!</v>
      </c>
      <c r="S23" s="244" t="e">
        <f t="shared" si="8"/>
        <v>#DIV/0!</v>
      </c>
      <c r="T23" s="244" t="e">
        <f t="shared" si="8"/>
        <v>#DIV/0!</v>
      </c>
      <c r="U23" s="244" t="e">
        <f t="shared" si="8"/>
        <v>#DIV/0!</v>
      </c>
      <c r="V23" s="244" t="e">
        <f t="shared" si="8"/>
        <v>#DIV/0!</v>
      </c>
      <c r="W23" s="244" t="e">
        <f t="shared" si="8"/>
        <v>#DIV/0!</v>
      </c>
      <c r="X23" s="244" t="e">
        <f t="shared" si="8"/>
        <v>#DIV/0!</v>
      </c>
      <c r="Y23" s="244" t="e">
        <f t="shared" si="8"/>
        <v>#DIV/0!</v>
      </c>
      <c r="Z23" s="244" t="e">
        <f t="shared" si="8"/>
        <v>#DIV/0!</v>
      </c>
      <c r="AA23" s="244" t="e">
        <f t="shared" si="8"/>
        <v>#DIV/0!</v>
      </c>
      <c r="AB23" s="244" t="e">
        <f t="shared" si="8"/>
        <v>#DIV/0!</v>
      </c>
      <c r="AC23" s="244" t="e">
        <f t="shared" si="8"/>
        <v>#DIV/0!</v>
      </c>
      <c r="AD23" s="244" t="e">
        <f t="shared" si="8"/>
        <v>#DIV/0!</v>
      </c>
      <c r="AE23" s="244" t="e">
        <f t="shared" si="8"/>
        <v>#DIV/0!</v>
      </c>
      <c r="AF23" s="244" t="e">
        <f t="shared" si="8"/>
        <v>#DIV/0!</v>
      </c>
      <c r="AG23" s="244" t="e">
        <f t="shared" si="8"/>
        <v>#DIV/0!</v>
      </c>
      <c r="AH23" s="244" t="e">
        <f t="shared" si="8"/>
        <v>#DIV/0!</v>
      </c>
      <c r="AI23" s="244" t="e">
        <f t="shared" si="8"/>
        <v>#DIV/0!</v>
      </c>
      <c r="AJ23" s="244" t="e">
        <f t="shared" si="8"/>
        <v>#DIV/0!</v>
      </c>
      <c r="AK23" s="244" t="e">
        <f t="shared" si="8"/>
        <v>#DIV/0!</v>
      </c>
      <c r="AL23" s="244" t="e">
        <f t="shared" si="8"/>
        <v>#DIV/0!</v>
      </c>
      <c r="AM23" s="244" t="e">
        <f t="shared" si="8"/>
        <v>#DIV/0!</v>
      </c>
      <c r="AN23" s="244" t="e">
        <f t="shared" si="8"/>
        <v>#DIV/0!</v>
      </c>
      <c r="AO23" s="244" t="e">
        <f t="shared" si="8"/>
        <v>#DIV/0!</v>
      </c>
      <c r="AP23" s="244" t="e">
        <f t="shared" si="8"/>
        <v>#DIV/0!</v>
      </c>
      <c r="AQ23" s="244" t="e">
        <f t="shared" si="8"/>
        <v>#DIV/0!</v>
      </c>
      <c r="AR23" s="244" t="e">
        <f t="shared" si="8"/>
        <v>#DIV/0!</v>
      </c>
      <c r="AS23" s="244" t="e">
        <f t="shared" si="8"/>
        <v>#DIV/0!</v>
      </c>
      <c r="AT23" s="244" t="e">
        <f t="shared" si="8"/>
        <v>#DIV/0!</v>
      </c>
      <c r="AU23" s="244" t="e">
        <f t="shared" si="8"/>
        <v>#DIV/0!</v>
      </c>
      <c r="AV23" s="244" t="e">
        <f t="shared" si="8"/>
        <v>#DIV/0!</v>
      </c>
      <c r="AW23" s="244" t="e">
        <f t="shared" si="8"/>
        <v>#DIV/0!</v>
      </c>
      <c r="AX23" s="244" t="e">
        <f t="shared" si="8"/>
        <v>#DIV/0!</v>
      </c>
      <c r="AY23" s="244" t="e">
        <f t="shared" si="8"/>
        <v>#DIV/0!</v>
      </c>
      <c r="AZ23" s="244" t="e">
        <f t="shared" si="8"/>
        <v>#DIV/0!</v>
      </c>
      <c r="BA23" s="244" t="e">
        <f t="shared" si="8"/>
        <v>#DIV/0!</v>
      </c>
      <c r="BB23" s="244" t="e">
        <f t="shared" si="8"/>
        <v>#DIV/0!</v>
      </c>
      <c r="BC23" s="244" t="e">
        <f t="shared" si="8"/>
        <v>#DIV/0!</v>
      </c>
      <c r="BD23" s="244" t="e">
        <f t="shared" si="8"/>
        <v>#DIV/0!</v>
      </c>
      <c r="BE23" s="244" t="e">
        <f t="shared" si="8"/>
        <v>#DIV/0!</v>
      </c>
      <c r="BF23" s="244" t="e">
        <f t="shared" si="8"/>
        <v>#DIV/0!</v>
      </c>
      <c r="BG23" s="244" t="e">
        <f t="shared" si="8"/>
        <v>#DIV/0!</v>
      </c>
      <c r="BH23" s="244" t="e">
        <f t="shared" si="8"/>
        <v>#DIV/0!</v>
      </c>
      <c r="BI23" s="244" t="e">
        <f t="shared" si="8"/>
        <v>#DIV/0!</v>
      </c>
      <c r="BJ23" s="244" t="e">
        <f t="shared" si="8"/>
        <v>#DIV/0!</v>
      </c>
      <c r="BK23" s="244" t="e">
        <f t="shared" si="8"/>
        <v>#DIV/0!</v>
      </c>
      <c r="BL23" s="244" t="e">
        <f t="shared" si="8"/>
        <v>#DIV/0!</v>
      </c>
      <c r="BM23" s="244" t="e">
        <f t="shared" si="8"/>
        <v>#DIV/0!</v>
      </c>
      <c r="BN23" s="244" t="e">
        <f t="shared" si="8"/>
        <v>#DIV/0!</v>
      </c>
      <c r="BO23" s="244" t="e">
        <f t="shared" si="8"/>
        <v>#DIV/0!</v>
      </c>
      <c r="BP23" s="244" t="e">
        <f t="shared" si="8"/>
        <v>#DIV/0!</v>
      </c>
      <c r="BQ23" s="244" t="e">
        <f t="shared" si="8"/>
        <v>#DIV/0!</v>
      </c>
      <c r="BR23" s="244" t="e">
        <f t="shared" ref="BR23:CK23" si="9">BR19/BR22</f>
        <v>#DIV/0!</v>
      </c>
      <c r="BS23" s="244" t="e">
        <f t="shared" si="9"/>
        <v>#DIV/0!</v>
      </c>
      <c r="BT23" s="244" t="e">
        <f t="shared" si="9"/>
        <v>#DIV/0!</v>
      </c>
      <c r="BU23" s="244" t="e">
        <f t="shared" si="9"/>
        <v>#DIV/0!</v>
      </c>
      <c r="BV23" s="244" t="e">
        <f t="shared" si="9"/>
        <v>#DIV/0!</v>
      </c>
      <c r="BW23" s="244" t="e">
        <f t="shared" si="9"/>
        <v>#DIV/0!</v>
      </c>
      <c r="BX23" s="244" t="e">
        <f t="shared" si="9"/>
        <v>#DIV/0!</v>
      </c>
      <c r="BY23" s="244" t="e">
        <f t="shared" si="9"/>
        <v>#DIV/0!</v>
      </c>
      <c r="BZ23" s="244" t="e">
        <f t="shared" si="9"/>
        <v>#DIV/0!</v>
      </c>
      <c r="CA23" s="244" t="e">
        <f t="shared" si="9"/>
        <v>#DIV/0!</v>
      </c>
      <c r="CB23" s="244" t="e">
        <f t="shared" si="9"/>
        <v>#DIV/0!</v>
      </c>
      <c r="CC23" s="244" t="e">
        <f t="shared" si="9"/>
        <v>#DIV/0!</v>
      </c>
      <c r="CD23" s="244" t="e">
        <f t="shared" si="9"/>
        <v>#DIV/0!</v>
      </c>
      <c r="CE23" s="244" t="e">
        <f t="shared" si="9"/>
        <v>#DIV/0!</v>
      </c>
      <c r="CF23" s="244" t="e">
        <f t="shared" si="9"/>
        <v>#DIV/0!</v>
      </c>
      <c r="CG23" s="244" t="e">
        <f t="shared" si="9"/>
        <v>#DIV/0!</v>
      </c>
      <c r="CH23" s="244" t="e">
        <f t="shared" si="9"/>
        <v>#DIV/0!</v>
      </c>
      <c r="CI23" s="244" t="e">
        <f t="shared" si="9"/>
        <v>#DIV/0!</v>
      </c>
      <c r="CJ23" s="244" t="e">
        <f t="shared" si="9"/>
        <v>#DIV/0!</v>
      </c>
      <c r="CK23" s="244" t="e">
        <f t="shared" si="9"/>
        <v>#DIV/0!</v>
      </c>
    </row>
    <row r="24" spans="1:89" s="159" customFormat="1" ht="15" thickBot="1" x14ac:dyDescent="0.3">
      <c r="A24" s="158" t="s">
        <v>692</v>
      </c>
      <c r="E24" s="159">
        <f>E21*E23</f>
        <v>0.22195863805614968</v>
      </c>
      <c r="F24" s="159">
        <f t="shared" ref="F24:BQ24" si="10">F21*F23</f>
        <v>0.15146000909112753</v>
      </c>
      <c r="G24" s="159">
        <f t="shared" si="10"/>
        <v>0.10257650731444697</v>
      </c>
      <c r="H24" s="159">
        <f t="shared" si="10"/>
        <v>4.0945438730391671E-2</v>
      </c>
      <c r="I24" s="159">
        <f t="shared" si="10"/>
        <v>0.24642377362702966</v>
      </c>
      <c r="J24" s="159">
        <f t="shared" si="10"/>
        <v>0.29704694072029902</v>
      </c>
      <c r="K24" s="159">
        <f t="shared" si="10"/>
        <v>0.15400726768196399</v>
      </c>
      <c r="L24" s="159">
        <f t="shared" si="10"/>
        <v>3.2506650483916558E-2</v>
      </c>
      <c r="M24" s="159">
        <f t="shared" si="10"/>
        <v>0.37626623045121321</v>
      </c>
      <c r="N24" s="159">
        <f t="shared" si="10"/>
        <v>0.26291329368464339</v>
      </c>
      <c r="O24" s="159">
        <f t="shared" si="10"/>
        <v>0.6167065227160371</v>
      </c>
      <c r="P24" s="159">
        <f t="shared" si="10"/>
        <v>0.86022103088660162</v>
      </c>
      <c r="Q24" s="159" t="e">
        <f t="shared" si="10"/>
        <v>#DIV/0!</v>
      </c>
      <c r="R24" s="159" t="e">
        <f t="shared" si="10"/>
        <v>#DIV/0!</v>
      </c>
      <c r="S24" s="159" t="e">
        <f t="shared" si="10"/>
        <v>#DIV/0!</v>
      </c>
      <c r="T24" s="159" t="e">
        <f t="shared" si="10"/>
        <v>#DIV/0!</v>
      </c>
      <c r="U24" s="159" t="e">
        <f t="shared" si="10"/>
        <v>#DIV/0!</v>
      </c>
      <c r="V24" s="159" t="e">
        <f t="shared" si="10"/>
        <v>#DIV/0!</v>
      </c>
      <c r="W24" s="159" t="e">
        <f t="shared" si="10"/>
        <v>#DIV/0!</v>
      </c>
      <c r="X24" s="159" t="e">
        <f t="shared" si="10"/>
        <v>#DIV/0!</v>
      </c>
      <c r="Y24" s="159" t="e">
        <f t="shared" si="10"/>
        <v>#DIV/0!</v>
      </c>
      <c r="Z24" s="159" t="e">
        <f t="shared" si="10"/>
        <v>#DIV/0!</v>
      </c>
      <c r="AA24" s="159" t="e">
        <f t="shared" si="10"/>
        <v>#DIV/0!</v>
      </c>
      <c r="AB24" s="159" t="e">
        <f t="shared" si="10"/>
        <v>#DIV/0!</v>
      </c>
      <c r="AC24" s="159" t="e">
        <f t="shared" si="10"/>
        <v>#DIV/0!</v>
      </c>
      <c r="AD24" s="159" t="e">
        <f t="shared" si="10"/>
        <v>#DIV/0!</v>
      </c>
      <c r="AE24" s="159" t="e">
        <f t="shared" si="10"/>
        <v>#DIV/0!</v>
      </c>
      <c r="AF24" s="159" t="e">
        <f t="shared" si="10"/>
        <v>#DIV/0!</v>
      </c>
      <c r="AG24" s="159" t="e">
        <f t="shared" si="10"/>
        <v>#DIV/0!</v>
      </c>
      <c r="AH24" s="159" t="e">
        <f t="shared" si="10"/>
        <v>#DIV/0!</v>
      </c>
      <c r="AI24" s="159" t="e">
        <f t="shared" si="10"/>
        <v>#DIV/0!</v>
      </c>
      <c r="AJ24" s="159" t="e">
        <f t="shared" si="10"/>
        <v>#DIV/0!</v>
      </c>
      <c r="AK24" s="159" t="e">
        <f t="shared" si="10"/>
        <v>#DIV/0!</v>
      </c>
      <c r="AL24" s="159" t="e">
        <f t="shared" si="10"/>
        <v>#DIV/0!</v>
      </c>
      <c r="AM24" s="159" t="e">
        <f t="shared" si="10"/>
        <v>#DIV/0!</v>
      </c>
      <c r="AN24" s="159" t="e">
        <f t="shared" si="10"/>
        <v>#DIV/0!</v>
      </c>
      <c r="AO24" s="159" t="e">
        <f t="shared" si="10"/>
        <v>#DIV/0!</v>
      </c>
      <c r="AP24" s="159" t="e">
        <f t="shared" si="10"/>
        <v>#DIV/0!</v>
      </c>
      <c r="AQ24" s="159" t="e">
        <f t="shared" si="10"/>
        <v>#DIV/0!</v>
      </c>
      <c r="AR24" s="159" t="e">
        <f t="shared" si="10"/>
        <v>#DIV/0!</v>
      </c>
      <c r="AS24" s="159" t="e">
        <f t="shared" si="10"/>
        <v>#DIV/0!</v>
      </c>
      <c r="AT24" s="159" t="e">
        <f t="shared" si="10"/>
        <v>#DIV/0!</v>
      </c>
      <c r="AU24" s="159" t="e">
        <f t="shared" si="10"/>
        <v>#DIV/0!</v>
      </c>
      <c r="AV24" s="159" t="e">
        <f t="shared" si="10"/>
        <v>#DIV/0!</v>
      </c>
      <c r="AW24" s="159" t="e">
        <f t="shared" si="10"/>
        <v>#DIV/0!</v>
      </c>
      <c r="AX24" s="159" t="e">
        <f t="shared" si="10"/>
        <v>#DIV/0!</v>
      </c>
      <c r="AY24" s="159" t="e">
        <f t="shared" si="10"/>
        <v>#DIV/0!</v>
      </c>
      <c r="AZ24" s="159" t="e">
        <f t="shared" si="10"/>
        <v>#DIV/0!</v>
      </c>
      <c r="BA24" s="159" t="e">
        <f t="shared" si="10"/>
        <v>#DIV/0!</v>
      </c>
      <c r="BB24" s="159" t="e">
        <f t="shared" si="10"/>
        <v>#DIV/0!</v>
      </c>
      <c r="BC24" s="159" t="e">
        <f t="shared" si="10"/>
        <v>#DIV/0!</v>
      </c>
      <c r="BD24" s="159" t="e">
        <f t="shared" si="10"/>
        <v>#DIV/0!</v>
      </c>
      <c r="BE24" s="159" t="e">
        <f t="shared" si="10"/>
        <v>#DIV/0!</v>
      </c>
      <c r="BF24" s="159" t="e">
        <f t="shared" si="10"/>
        <v>#DIV/0!</v>
      </c>
      <c r="BG24" s="159" t="e">
        <f t="shared" si="10"/>
        <v>#DIV/0!</v>
      </c>
      <c r="BH24" s="159" t="e">
        <f t="shared" si="10"/>
        <v>#DIV/0!</v>
      </c>
      <c r="BI24" s="159" t="e">
        <f t="shared" si="10"/>
        <v>#DIV/0!</v>
      </c>
      <c r="BJ24" s="159" t="e">
        <f t="shared" si="10"/>
        <v>#DIV/0!</v>
      </c>
      <c r="BK24" s="159" t="e">
        <f t="shared" si="10"/>
        <v>#DIV/0!</v>
      </c>
      <c r="BL24" s="159" t="e">
        <f t="shared" si="10"/>
        <v>#DIV/0!</v>
      </c>
      <c r="BM24" s="159" t="e">
        <f t="shared" si="10"/>
        <v>#DIV/0!</v>
      </c>
      <c r="BN24" s="159" t="e">
        <f t="shared" si="10"/>
        <v>#DIV/0!</v>
      </c>
      <c r="BO24" s="159" t="e">
        <f t="shared" si="10"/>
        <v>#DIV/0!</v>
      </c>
      <c r="BP24" s="159" t="e">
        <f t="shared" si="10"/>
        <v>#DIV/0!</v>
      </c>
      <c r="BQ24" s="159" t="e">
        <f t="shared" si="10"/>
        <v>#DIV/0!</v>
      </c>
      <c r="BR24" s="159" t="e">
        <f t="shared" ref="BR24:CK24" si="11">BR21*BR23</f>
        <v>#DIV/0!</v>
      </c>
      <c r="BS24" s="159" t="e">
        <f t="shared" si="11"/>
        <v>#DIV/0!</v>
      </c>
      <c r="BT24" s="159" t="e">
        <f t="shared" si="11"/>
        <v>#DIV/0!</v>
      </c>
      <c r="BU24" s="159" t="e">
        <f t="shared" si="11"/>
        <v>#DIV/0!</v>
      </c>
      <c r="BV24" s="159" t="e">
        <f t="shared" si="11"/>
        <v>#DIV/0!</v>
      </c>
      <c r="BW24" s="159" t="e">
        <f t="shared" si="11"/>
        <v>#DIV/0!</v>
      </c>
      <c r="BX24" s="159" t="e">
        <f t="shared" si="11"/>
        <v>#DIV/0!</v>
      </c>
      <c r="BY24" s="159" t="e">
        <f t="shared" si="11"/>
        <v>#DIV/0!</v>
      </c>
      <c r="BZ24" s="159" t="e">
        <f t="shared" si="11"/>
        <v>#DIV/0!</v>
      </c>
      <c r="CA24" s="159" t="e">
        <f t="shared" si="11"/>
        <v>#DIV/0!</v>
      </c>
      <c r="CB24" s="159" t="e">
        <f t="shared" si="11"/>
        <v>#DIV/0!</v>
      </c>
      <c r="CC24" s="159" t="e">
        <f t="shared" si="11"/>
        <v>#DIV/0!</v>
      </c>
      <c r="CD24" s="159" t="e">
        <f t="shared" si="11"/>
        <v>#DIV/0!</v>
      </c>
      <c r="CE24" s="159" t="e">
        <f t="shared" si="11"/>
        <v>#DIV/0!</v>
      </c>
      <c r="CF24" s="159" t="e">
        <f t="shared" si="11"/>
        <v>#DIV/0!</v>
      </c>
      <c r="CG24" s="159" t="e">
        <f t="shared" si="11"/>
        <v>#DIV/0!</v>
      </c>
      <c r="CH24" s="159" t="e">
        <f t="shared" si="11"/>
        <v>#DIV/0!</v>
      </c>
      <c r="CI24" s="159" t="e">
        <f t="shared" si="11"/>
        <v>#DIV/0!</v>
      </c>
      <c r="CJ24" s="159" t="e">
        <f t="shared" si="11"/>
        <v>#DIV/0!</v>
      </c>
      <c r="CK24" s="159" t="e">
        <f t="shared" si="11"/>
        <v>#DIV/0!</v>
      </c>
    </row>
    <row r="25" spans="1:89" s="246" customFormat="1" x14ac:dyDescent="0.25">
      <c r="A25" s="245" t="s">
        <v>441</v>
      </c>
      <c r="B25" s="1">
        <v>43373</v>
      </c>
      <c r="C25" s="1">
        <v>43281</v>
      </c>
      <c r="D25" s="1">
        <v>43190</v>
      </c>
      <c r="E25" s="1">
        <v>43100</v>
      </c>
      <c r="F25" s="1">
        <v>43008</v>
      </c>
      <c r="G25" s="1">
        <v>42916</v>
      </c>
      <c r="H25" s="1">
        <v>42825</v>
      </c>
      <c r="I25" s="1">
        <v>42735</v>
      </c>
      <c r="J25" s="1">
        <v>42643</v>
      </c>
      <c r="K25" s="1">
        <v>42551</v>
      </c>
      <c r="L25" s="1">
        <v>42460</v>
      </c>
      <c r="M25" s="1">
        <v>42369</v>
      </c>
      <c r="N25" s="1">
        <v>42277</v>
      </c>
      <c r="O25" s="1">
        <v>42004</v>
      </c>
      <c r="P25" s="1">
        <v>41639</v>
      </c>
      <c r="Q25" s="1">
        <v>41274</v>
      </c>
      <c r="R25" s="1">
        <v>40908</v>
      </c>
      <c r="S25" s="1">
        <v>25569</v>
      </c>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row>
    <row r="26" spans="1:89" s="75" customFormat="1" x14ac:dyDescent="0.25">
      <c r="A26" s="145" t="s">
        <v>442</v>
      </c>
      <c r="E26" s="75">
        <f>利润表!E14</f>
        <v>0</v>
      </c>
      <c r="F26" s="75">
        <f>利润表!F14</f>
        <v>0</v>
      </c>
      <c r="G26" s="75">
        <f>利润表!G14</f>
        <v>0</v>
      </c>
      <c r="H26" s="75">
        <f>利润表!H14</f>
        <v>0</v>
      </c>
      <c r="I26" s="75">
        <f>利润表!I14</f>
        <v>0</v>
      </c>
      <c r="J26" s="75">
        <f>利润表!J14</f>
        <v>0</v>
      </c>
      <c r="K26" s="75">
        <f>利润表!K14</f>
        <v>0</v>
      </c>
      <c r="L26" s="75">
        <f>利润表!L14</f>
        <v>0</v>
      </c>
      <c r="M26" s="75">
        <f>利润表!M14</f>
        <v>0</v>
      </c>
      <c r="N26" s="75">
        <f>利润表!N14</f>
        <v>0</v>
      </c>
      <c r="O26" s="75">
        <f>利润表!O14</f>
        <v>0</v>
      </c>
      <c r="P26" s="75">
        <f>利润表!P14</f>
        <v>0</v>
      </c>
      <c r="Q26" s="75">
        <f>利润表!Q14</f>
        <v>0</v>
      </c>
      <c r="R26" s="75">
        <f>利润表!R14</f>
        <v>0</v>
      </c>
      <c r="S26" s="75">
        <f>利润表!S14</f>
        <v>0</v>
      </c>
      <c r="T26" s="75">
        <f>利润表!T14</f>
        <v>0</v>
      </c>
      <c r="U26" s="75">
        <f>利润表!U14</f>
        <v>0</v>
      </c>
      <c r="V26" s="75">
        <f>利润表!V14</f>
        <v>0</v>
      </c>
      <c r="W26" s="75">
        <f>利润表!W14</f>
        <v>0</v>
      </c>
      <c r="X26" s="75">
        <f>利润表!X14</f>
        <v>0</v>
      </c>
      <c r="Y26" s="75">
        <f>利润表!Y14</f>
        <v>0</v>
      </c>
      <c r="Z26" s="75">
        <f>利润表!Z14</f>
        <v>0</v>
      </c>
      <c r="AA26" s="75">
        <f>利润表!AA14</f>
        <v>0</v>
      </c>
      <c r="AB26" s="75">
        <f>利润表!AB14</f>
        <v>0</v>
      </c>
      <c r="AC26" s="75">
        <f>利润表!AC14</f>
        <v>0</v>
      </c>
      <c r="AD26" s="75">
        <f>利润表!AD14</f>
        <v>0</v>
      </c>
      <c r="AE26" s="75">
        <f>利润表!AE14</f>
        <v>0</v>
      </c>
      <c r="AF26" s="75">
        <f>利润表!AF14</f>
        <v>0</v>
      </c>
      <c r="AG26" s="75">
        <f>利润表!AG14</f>
        <v>0</v>
      </c>
      <c r="AH26" s="75">
        <f>利润表!AH14</f>
        <v>0</v>
      </c>
      <c r="AI26" s="75">
        <f>利润表!AI14</f>
        <v>0</v>
      </c>
      <c r="AJ26" s="75">
        <f>利润表!AJ14</f>
        <v>0</v>
      </c>
      <c r="AK26" s="75">
        <f>利润表!AK14</f>
        <v>0</v>
      </c>
      <c r="AL26" s="75">
        <f>利润表!AL14</f>
        <v>0</v>
      </c>
      <c r="AM26" s="75">
        <f>利润表!AM14</f>
        <v>0</v>
      </c>
      <c r="AN26" s="75">
        <f>利润表!AN14</f>
        <v>0</v>
      </c>
      <c r="AO26" s="75">
        <f>利润表!AO14</f>
        <v>0</v>
      </c>
      <c r="AP26" s="75">
        <f>利润表!AP14</f>
        <v>0</v>
      </c>
      <c r="AQ26" s="75">
        <f>利润表!AQ14</f>
        <v>0</v>
      </c>
      <c r="AR26" s="75">
        <f>利润表!AR14</f>
        <v>0</v>
      </c>
      <c r="AS26" s="75">
        <f>利润表!AS14</f>
        <v>0</v>
      </c>
      <c r="AT26" s="75">
        <f>利润表!AT14</f>
        <v>0</v>
      </c>
      <c r="AU26" s="75">
        <f>利润表!AU14</f>
        <v>0</v>
      </c>
      <c r="AV26" s="75">
        <f>利润表!AV14</f>
        <v>0</v>
      </c>
      <c r="AW26" s="75">
        <f>利润表!AW14</f>
        <v>0</v>
      </c>
      <c r="AX26" s="75">
        <f>利润表!AX14</f>
        <v>0</v>
      </c>
      <c r="AY26" s="75">
        <f>利润表!AY14</f>
        <v>0</v>
      </c>
      <c r="AZ26" s="75">
        <f>利润表!AZ14</f>
        <v>0</v>
      </c>
      <c r="BA26" s="75">
        <f>利润表!BA14</f>
        <v>0</v>
      </c>
      <c r="BB26" s="75">
        <f>利润表!BB14</f>
        <v>0</v>
      </c>
      <c r="BC26" s="75">
        <f>利润表!BC14</f>
        <v>0</v>
      </c>
      <c r="BD26" s="75">
        <f>利润表!BD14</f>
        <v>0</v>
      </c>
      <c r="BE26" s="75">
        <f>利润表!BE14</f>
        <v>0</v>
      </c>
      <c r="BF26" s="75">
        <f>利润表!BF14</f>
        <v>0</v>
      </c>
      <c r="BG26" s="75">
        <f>利润表!BG14</f>
        <v>0</v>
      </c>
      <c r="BH26" s="75">
        <f>利润表!BH14</f>
        <v>0</v>
      </c>
      <c r="BI26" s="75">
        <f>利润表!BI14</f>
        <v>0</v>
      </c>
      <c r="BJ26" s="75">
        <f>利润表!BJ14</f>
        <v>0</v>
      </c>
      <c r="BK26" s="75">
        <f>利润表!BK14</f>
        <v>0</v>
      </c>
      <c r="BL26" s="75">
        <f>利润表!BL14</f>
        <v>0</v>
      </c>
      <c r="BM26" s="75">
        <f>利润表!BM14</f>
        <v>0</v>
      </c>
      <c r="BN26" s="75">
        <f>利润表!BN14</f>
        <v>0</v>
      </c>
      <c r="BO26" s="75">
        <f>利润表!BO14</f>
        <v>0</v>
      </c>
      <c r="BP26" s="75">
        <f>利润表!BP14</f>
        <v>0</v>
      </c>
      <c r="BQ26" s="75">
        <f>利润表!BQ14</f>
        <v>0</v>
      </c>
      <c r="BR26" s="75">
        <f>利润表!BR14</f>
        <v>0</v>
      </c>
      <c r="BS26" s="75">
        <f>利润表!BS14</f>
        <v>0</v>
      </c>
      <c r="BT26" s="75">
        <f>利润表!BT14</f>
        <v>0</v>
      </c>
      <c r="BU26" s="75">
        <f>利润表!BU14</f>
        <v>0</v>
      </c>
      <c r="BV26" s="75">
        <f>利润表!BV14</f>
        <v>0</v>
      </c>
      <c r="BW26" s="75">
        <f>利润表!BW14</f>
        <v>0</v>
      </c>
      <c r="BX26" s="75">
        <f>利润表!BX14</f>
        <v>0</v>
      </c>
      <c r="BY26" s="75">
        <f>利润表!BY14</f>
        <v>0</v>
      </c>
      <c r="BZ26" s="75">
        <f>利润表!BZ14</f>
        <v>0</v>
      </c>
      <c r="CA26" s="75">
        <f>利润表!CA14</f>
        <v>0</v>
      </c>
      <c r="CB26" s="75">
        <f>利润表!CB14</f>
        <v>0</v>
      </c>
      <c r="CC26" s="75">
        <f>利润表!CC14</f>
        <v>0</v>
      </c>
      <c r="CD26" s="75">
        <f>利润表!CD14</f>
        <v>0</v>
      </c>
      <c r="CE26" s="75">
        <f>利润表!CE14</f>
        <v>0</v>
      </c>
      <c r="CF26" s="75">
        <f>利润表!CF14</f>
        <v>0</v>
      </c>
      <c r="CG26" s="75">
        <f>利润表!CG14</f>
        <v>0</v>
      </c>
      <c r="CH26" s="75">
        <f>利润表!CH14</f>
        <v>0</v>
      </c>
      <c r="CI26" s="75">
        <f>利润表!CI14</f>
        <v>0</v>
      </c>
      <c r="CJ26" s="75">
        <f>利润表!CJ14</f>
        <v>0</v>
      </c>
    </row>
    <row r="27" spans="1:89" s="75" customFormat="1" x14ac:dyDescent="0.25">
      <c r="A27" s="145" t="s">
        <v>443</v>
      </c>
      <c r="E27" s="75">
        <f>资产资本表!E19</f>
        <v>33000000</v>
      </c>
      <c r="F27" s="75">
        <f>资产资本表!F19</f>
        <v>0</v>
      </c>
      <c r="G27" s="75">
        <f>资产资本表!G19</f>
        <v>0</v>
      </c>
      <c r="H27" s="75">
        <f>资产资本表!H19</f>
        <v>0</v>
      </c>
      <c r="I27" s="75">
        <f>资产资本表!I19</f>
        <v>0</v>
      </c>
      <c r="J27" s="75">
        <f>资产资本表!J19</f>
        <v>0</v>
      </c>
      <c r="K27" s="75">
        <f>资产资本表!K19</f>
        <v>0</v>
      </c>
      <c r="L27" s="75">
        <f>资产资本表!L19</f>
        <v>0</v>
      </c>
      <c r="M27" s="75">
        <f>资产资本表!M19</f>
        <v>0</v>
      </c>
      <c r="N27" s="75">
        <f>资产资本表!N19</f>
        <v>0</v>
      </c>
      <c r="O27" s="75">
        <f>资产资本表!O19</f>
        <v>1000000</v>
      </c>
      <c r="P27" s="75">
        <f>资产资本表!P19</f>
        <v>1000000</v>
      </c>
      <c r="Q27" s="75">
        <f>资产资本表!Q19</f>
        <v>0</v>
      </c>
      <c r="R27" s="75">
        <f>资产资本表!R19</f>
        <v>0</v>
      </c>
      <c r="S27" s="75">
        <f>资产资本表!S19</f>
        <v>0</v>
      </c>
      <c r="T27" s="75">
        <f>资产资本表!T19</f>
        <v>0</v>
      </c>
      <c r="U27" s="75">
        <f>资产资本表!U19</f>
        <v>0</v>
      </c>
      <c r="V27" s="75">
        <f>资产资本表!V19</f>
        <v>0</v>
      </c>
      <c r="W27" s="75">
        <f>资产资本表!W19</f>
        <v>0</v>
      </c>
      <c r="X27" s="75">
        <f>资产资本表!X19</f>
        <v>0</v>
      </c>
      <c r="Y27" s="75">
        <f>资产资本表!Y19</f>
        <v>0</v>
      </c>
      <c r="Z27" s="75">
        <f>资产资本表!Z19</f>
        <v>0</v>
      </c>
      <c r="AA27" s="75">
        <f>资产资本表!AA19</f>
        <v>0</v>
      </c>
      <c r="AB27" s="75">
        <f>资产资本表!AB19</f>
        <v>0</v>
      </c>
      <c r="AC27" s="75">
        <f>资产资本表!AC19</f>
        <v>0</v>
      </c>
      <c r="AD27" s="75">
        <f>资产资本表!AD19</f>
        <v>0</v>
      </c>
      <c r="AE27" s="75">
        <f>资产资本表!AE19</f>
        <v>0</v>
      </c>
      <c r="AF27" s="75">
        <f>资产资本表!AF19</f>
        <v>0</v>
      </c>
      <c r="AG27" s="75">
        <f>资产资本表!AG19</f>
        <v>0</v>
      </c>
      <c r="AH27" s="75">
        <f>资产资本表!AH19</f>
        <v>0</v>
      </c>
      <c r="AI27" s="75">
        <f>资产资本表!AI19</f>
        <v>0</v>
      </c>
      <c r="AJ27" s="75">
        <f>资产资本表!AJ19</f>
        <v>0</v>
      </c>
      <c r="AK27" s="75">
        <f>资产资本表!AK19</f>
        <v>0</v>
      </c>
      <c r="AL27" s="75">
        <f>资产资本表!AL19</f>
        <v>0</v>
      </c>
      <c r="AM27" s="75">
        <f>资产资本表!AM19</f>
        <v>0</v>
      </c>
      <c r="AN27" s="75">
        <f>资产资本表!AN19</f>
        <v>0</v>
      </c>
      <c r="AO27" s="75">
        <f>资产资本表!AO19</f>
        <v>0</v>
      </c>
      <c r="AP27" s="75">
        <f>资产资本表!AP19</f>
        <v>0</v>
      </c>
      <c r="AQ27" s="75">
        <f>资产资本表!AQ19</f>
        <v>0</v>
      </c>
      <c r="AR27" s="75">
        <f>资产资本表!AR19</f>
        <v>0</v>
      </c>
      <c r="AS27" s="75">
        <f>资产资本表!AS19</f>
        <v>0</v>
      </c>
      <c r="AT27" s="75">
        <f>资产资本表!AT19</f>
        <v>0</v>
      </c>
      <c r="AU27" s="75">
        <f>资产资本表!AU19</f>
        <v>0</v>
      </c>
      <c r="AV27" s="75">
        <f>资产资本表!AV19</f>
        <v>0</v>
      </c>
      <c r="AW27" s="75">
        <f>资产资本表!AW19</f>
        <v>0</v>
      </c>
      <c r="AX27" s="75">
        <f>资产资本表!AX19</f>
        <v>0</v>
      </c>
      <c r="AY27" s="75">
        <f>资产资本表!AY19</f>
        <v>0</v>
      </c>
      <c r="AZ27" s="75">
        <f>资产资本表!AZ19</f>
        <v>0</v>
      </c>
      <c r="BA27" s="75">
        <f>资产资本表!BA19</f>
        <v>0</v>
      </c>
      <c r="BB27" s="75">
        <f>资产资本表!BB19</f>
        <v>0</v>
      </c>
      <c r="BC27" s="75">
        <f>资产资本表!BC19</f>
        <v>0</v>
      </c>
      <c r="BD27" s="75">
        <f>资产资本表!BD19</f>
        <v>0</v>
      </c>
      <c r="BE27" s="75">
        <f>资产资本表!BE19</f>
        <v>0</v>
      </c>
      <c r="BF27" s="75">
        <f>资产资本表!BF19</f>
        <v>0</v>
      </c>
      <c r="BG27" s="75">
        <f>资产资本表!BG19</f>
        <v>0</v>
      </c>
      <c r="BH27" s="75">
        <f>资产资本表!BH19</f>
        <v>0</v>
      </c>
      <c r="BI27" s="75">
        <f>资产资本表!BI19</f>
        <v>0</v>
      </c>
      <c r="BJ27" s="75">
        <f>资产资本表!BJ19</f>
        <v>0</v>
      </c>
      <c r="BK27" s="75">
        <f>资产资本表!BK19</f>
        <v>0</v>
      </c>
      <c r="BL27" s="75">
        <f>资产资本表!BL19</f>
        <v>0</v>
      </c>
      <c r="BM27" s="75">
        <f>资产资本表!BM19</f>
        <v>0</v>
      </c>
      <c r="BN27" s="75">
        <f>资产资本表!BN19</f>
        <v>0</v>
      </c>
      <c r="BO27" s="75">
        <f>资产资本表!BO19</f>
        <v>0</v>
      </c>
      <c r="BP27" s="75">
        <f>资产资本表!BP19</f>
        <v>0</v>
      </c>
      <c r="BQ27" s="75">
        <f>资产资本表!BQ19</f>
        <v>0</v>
      </c>
      <c r="BR27" s="75">
        <f>资产资本表!BR19</f>
        <v>0</v>
      </c>
      <c r="BS27" s="75">
        <f>资产资本表!BS19</f>
        <v>0</v>
      </c>
      <c r="BT27" s="75">
        <f>资产资本表!BT19</f>
        <v>0</v>
      </c>
      <c r="BU27" s="75">
        <f>资产资本表!BU19</f>
        <v>0</v>
      </c>
      <c r="BV27" s="75">
        <f>资产资本表!BV19</f>
        <v>0</v>
      </c>
      <c r="BW27" s="75">
        <f>资产资本表!BW19</f>
        <v>0</v>
      </c>
      <c r="BX27" s="75">
        <f>资产资本表!BX19</f>
        <v>0</v>
      </c>
      <c r="BY27" s="75">
        <f>资产资本表!BY19</f>
        <v>0</v>
      </c>
      <c r="BZ27" s="75">
        <f>资产资本表!BZ19</f>
        <v>0</v>
      </c>
      <c r="CA27" s="75">
        <f>资产资本表!CA19</f>
        <v>0</v>
      </c>
      <c r="CB27" s="75">
        <f>资产资本表!CB19</f>
        <v>0</v>
      </c>
      <c r="CC27" s="75">
        <f>资产资本表!CC19</f>
        <v>0</v>
      </c>
      <c r="CD27" s="75">
        <f>资产资本表!CD19</f>
        <v>0</v>
      </c>
      <c r="CE27" s="75">
        <f>资产资本表!CE19</f>
        <v>0</v>
      </c>
      <c r="CF27" s="75">
        <f>资产资本表!CF19</f>
        <v>0</v>
      </c>
      <c r="CG27" s="75">
        <f>资产资本表!CG19</f>
        <v>0</v>
      </c>
      <c r="CH27" s="75">
        <f>资产资本表!CH19</f>
        <v>0</v>
      </c>
      <c r="CI27" s="75">
        <f>资产资本表!CI19</f>
        <v>0</v>
      </c>
      <c r="CJ27" s="75">
        <f>资产资本表!CJ19</f>
        <v>0</v>
      </c>
      <c r="CK27" s="75">
        <f>资产资本表!CK19</f>
        <v>0</v>
      </c>
    </row>
    <row r="28" spans="1:89" s="109" customFormat="1" x14ac:dyDescent="0.25">
      <c r="A28" s="143" t="s">
        <v>444</v>
      </c>
      <c r="E28" s="109">
        <f>E26/E27</f>
        <v>0</v>
      </c>
      <c r="F28" s="109" t="e">
        <f t="shared" ref="F28:BQ28" si="12">F26/F27</f>
        <v>#DIV/0!</v>
      </c>
      <c r="G28" s="109" t="e">
        <f t="shared" si="12"/>
        <v>#DIV/0!</v>
      </c>
      <c r="H28" s="109" t="e">
        <f t="shared" si="12"/>
        <v>#DIV/0!</v>
      </c>
      <c r="I28" s="109" t="e">
        <f t="shared" si="12"/>
        <v>#DIV/0!</v>
      </c>
      <c r="J28" s="109" t="e">
        <f t="shared" si="12"/>
        <v>#DIV/0!</v>
      </c>
      <c r="K28" s="109" t="e">
        <f t="shared" si="12"/>
        <v>#DIV/0!</v>
      </c>
      <c r="L28" s="109" t="e">
        <f t="shared" si="12"/>
        <v>#DIV/0!</v>
      </c>
      <c r="M28" s="109" t="e">
        <f t="shared" si="12"/>
        <v>#DIV/0!</v>
      </c>
      <c r="N28" s="109" t="e">
        <f t="shared" si="12"/>
        <v>#DIV/0!</v>
      </c>
      <c r="O28" s="109">
        <f t="shared" si="12"/>
        <v>0</v>
      </c>
      <c r="P28" s="109">
        <f t="shared" si="12"/>
        <v>0</v>
      </c>
      <c r="Q28" s="109" t="e">
        <f t="shared" si="12"/>
        <v>#DIV/0!</v>
      </c>
      <c r="R28" s="109" t="e">
        <f t="shared" si="12"/>
        <v>#DIV/0!</v>
      </c>
      <c r="S28" s="109" t="e">
        <f t="shared" si="12"/>
        <v>#DIV/0!</v>
      </c>
      <c r="T28" s="109" t="e">
        <f t="shared" si="12"/>
        <v>#DIV/0!</v>
      </c>
      <c r="U28" s="109" t="e">
        <f t="shared" si="12"/>
        <v>#DIV/0!</v>
      </c>
      <c r="V28" s="109" t="e">
        <f t="shared" si="12"/>
        <v>#DIV/0!</v>
      </c>
      <c r="W28" s="109" t="e">
        <f t="shared" si="12"/>
        <v>#DIV/0!</v>
      </c>
      <c r="X28" s="109" t="e">
        <f t="shared" si="12"/>
        <v>#DIV/0!</v>
      </c>
      <c r="Y28" s="109" t="e">
        <f t="shared" si="12"/>
        <v>#DIV/0!</v>
      </c>
      <c r="Z28" s="109" t="e">
        <f t="shared" si="12"/>
        <v>#DIV/0!</v>
      </c>
      <c r="AA28" s="109" t="e">
        <f t="shared" si="12"/>
        <v>#DIV/0!</v>
      </c>
      <c r="AB28" s="109" t="e">
        <f t="shared" si="12"/>
        <v>#DIV/0!</v>
      </c>
      <c r="AC28" s="109" t="e">
        <f t="shared" si="12"/>
        <v>#DIV/0!</v>
      </c>
      <c r="AD28" s="109" t="e">
        <f t="shared" si="12"/>
        <v>#DIV/0!</v>
      </c>
      <c r="AE28" s="109" t="e">
        <f t="shared" si="12"/>
        <v>#DIV/0!</v>
      </c>
      <c r="AF28" s="109" t="e">
        <f t="shared" si="12"/>
        <v>#DIV/0!</v>
      </c>
      <c r="AG28" s="109" t="e">
        <f t="shared" si="12"/>
        <v>#DIV/0!</v>
      </c>
      <c r="AH28" s="109" t="e">
        <f t="shared" si="12"/>
        <v>#DIV/0!</v>
      </c>
      <c r="AI28" s="109" t="e">
        <f t="shared" si="12"/>
        <v>#DIV/0!</v>
      </c>
      <c r="AJ28" s="109" t="e">
        <f t="shared" si="12"/>
        <v>#DIV/0!</v>
      </c>
      <c r="AK28" s="109" t="e">
        <f t="shared" si="12"/>
        <v>#DIV/0!</v>
      </c>
      <c r="AL28" s="109" t="e">
        <f t="shared" si="12"/>
        <v>#DIV/0!</v>
      </c>
      <c r="AM28" s="109" t="e">
        <f t="shared" si="12"/>
        <v>#DIV/0!</v>
      </c>
      <c r="AN28" s="109" t="e">
        <f t="shared" si="12"/>
        <v>#DIV/0!</v>
      </c>
      <c r="AO28" s="109" t="e">
        <f t="shared" si="12"/>
        <v>#DIV/0!</v>
      </c>
      <c r="AP28" s="109" t="e">
        <f t="shared" si="12"/>
        <v>#DIV/0!</v>
      </c>
      <c r="AQ28" s="109" t="e">
        <f t="shared" si="12"/>
        <v>#DIV/0!</v>
      </c>
      <c r="AR28" s="109" t="e">
        <f t="shared" si="12"/>
        <v>#DIV/0!</v>
      </c>
      <c r="AS28" s="109" t="e">
        <f t="shared" si="12"/>
        <v>#DIV/0!</v>
      </c>
      <c r="AT28" s="109" t="e">
        <f t="shared" si="12"/>
        <v>#DIV/0!</v>
      </c>
      <c r="AU28" s="109" t="e">
        <f t="shared" si="12"/>
        <v>#DIV/0!</v>
      </c>
      <c r="AV28" s="109" t="e">
        <f t="shared" si="12"/>
        <v>#DIV/0!</v>
      </c>
      <c r="AW28" s="109" t="e">
        <f t="shared" si="12"/>
        <v>#DIV/0!</v>
      </c>
      <c r="AX28" s="109" t="e">
        <f t="shared" si="12"/>
        <v>#DIV/0!</v>
      </c>
      <c r="AY28" s="109" t="e">
        <f t="shared" si="12"/>
        <v>#DIV/0!</v>
      </c>
      <c r="AZ28" s="109" t="e">
        <f t="shared" si="12"/>
        <v>#DIV/0!</v>
      </c>
      <c r="BA28" s="109" t="e">
        <f t="shared" si="12"/>
        <v>#DIV/0!</v>
      </c>
      <c r="BB28" s="109" t="e">
        <f t="shared" si="12"/>
        <v>#DIV/0!</v>
      </c>
      <c r="BC28" s="109" t="e">
        <f t="shared" si="12"/>
        <v>#DIV/0!</v>
      </c>
      <c r="BD28" s="109" t="e">
        <f t="shared" si="12"/>
        <v>#DIV/0!</v>
      </c>
      <c r="BE28" s="109" t="e">
        <f t="shared" si="12"/>
        <v>#DIV/0!</v>
      </c>
      <c r="BF28" s="109" t="e">
        <f t="shared" si="12"/>
        <v>#DIV/0!</v>
      </c>
      <c r="BG28" s="109" t="e">
        <f t="shared" si="12"/>
        <v>#DIV/0!</v>
      </c>
      <c r="BH28" s="109" t="e">
        <f t="shared" si="12"/>
        <v>#DIV/0!</v>
      </c>
      <c r="BI28" s="109" t="e">
        <f t="shared" si="12"/>
        <v>#DIV/0!</v>
      </c>
      <c r="BJ28" s="109" t="e">
        <f t="shared" si="12"/>
        <v>#DIV/0!</v>
      </c>
      <c r="BK28" s="109" t="e">
        <f t="shared" si="12"/>
        <v>#DIV/0!</v>
      </c>
      <c r="BL28" s="109" t="e">
        <f t="shared" si="12"/>
        <v>#DIV/0!</v>
      </c>
      <c r="BM28" s="109" t="e">
        <f t="shared" si="12"/>
        <v>#DIV/0!</v>
      </c>
      <c r="BN28" s="109" t="e">
        <f t="shared" si="12"/>
        <v>#DIV/0!</v>
      </c>
      <c r="BO28" s="109" t="e">
        <f t="shared" si="12"/>
        <v>#DIV/0!</v>
      </c>
      <c r="BP28" s="109" t="e">
        <f t="shared" si="12"/>
        <v>#DIV/0!</v>
      </c>
      <c r="BQ28" s="109" t="e">
        <f t="shared" si="12"/>
        <v>#DIV/0!</v>
      </c>
      <c r="BR28" s="109" t="e">
        <f t="shared" ref="BR28:CJ28" si="13">BR26/BR27</f>
        <v>#DIV/0!</v>
      </c>
      <c r="BS28" s="109" t="e">
        <f t="shared" si="13"/>
        <v>#DIV/0!</v>
      </c>
      <c r="BT28" s="109" t="e">
        <f t="shared" si="13"/>
        <v>#DIV/0!</v>
      </c>
      <c r="BU28" s="109" t="e">
        <f t="shared" si="13"/>
        <v>#DIV/0!</v>
      </c>
      <c r="BV28" s="109" t="e">
        <f t="shared" si="13"/>
        <v>#DIV/0!</v>
      </c>
      <c r="BW28" s="109" t="e">
        <f t="shared" si="13"/>
        <v>#DIV/0!</v>
      </c>
      <c r="BX28" s="109" t="e">
        <f t="shared" si="13"/>
        <v>#DIV/0!</v>
      </c>
      <c r="BY28" s="109" t="e">
        <f t="shared" si="13"/>
        <v>#DIV/0!</v>
      </c>
      <c r="BZ28" s="109" t="e">
        <f t="shared" si="13"/>
        <v>#DIV/0!</v>
      </c>
      <c r="CA28" s="109" t="e">
        <f t="shared" si="13"/>
        <v>#DIV/0!</v>
      </c>
      <c r="CB28" s="109" t="e">
        <f t="shared" si="13"/>
        <v>#DIV/0!</v>
      </c>
      <c r="CC28" s="109" t="e">
        <f t="shared" si="13"/>
        <v>#DIV/0!</v>
      </c>
      <c r="CD28" s="109" t="e">
        <f t="shared" si="13"/>
        <v>#DIV/0!</v>
      </c>
      <c r="CE28" s="109" t="e">
        <f t="shared" si="13"/>
        <v>#DIV/0!</v>
      </c>
      <c r="CF28" s="109" t="e">
        <f t="shared" si="13"/>
        <v>#DIV/0!</v>
      </c>
      <c r="CG28" s="109" t="e">
        <f t="shared" si="13"/>
        <v>#DIV/0!</v>
      </c>
      <c r="CH28" s="109" t="e">
        <f t="shared" si="13"/>
        <v>#DIV/0!</v>
      </c>
      <c r="CI28" s="109" t="e">
        <f t="shared" si="13"/>
        <v>#DIV/0!</v>
      </c>
      <c r="CJ28" s="109" t="e">
        <f t="shared" si="13"/>
        <v>#DIV/0!</v>
      </c>
    </row>
    <row r="29" spans="1:89" s="26" customFormat="1" ht="159.6" customHeight="1" x14ac:dyDescent="0.25">
      <c r="A29" s="289" t="s">
        <v>694</v>
      </c>
      <c r="B29" s="280"/>
      <c r="C29" s="280"/>
      <c r="D29" s="280"/>
      <c r="E29" s="280"/>
      <c r="F29" s="280"/>
      <c r="G29" s="280"/>
      <c r="H29" s="280"/>
      <c r="I29" s="280"/>
      <c r="J29" s="280"/>
      <c r="K29" s="280"/>
      <c r="L29" s="280"/>
      <c r="M29" s="280"/>
      <c r="N29" s="280"/>
      <c r="O29" s="280"/>
      <c r="P29" s="280"/>
      <c r="Q29" s="280"/>
      <c r="R29" s="280"/>
      <c r="S29" s="280"/>
      <c r="T29" s="280"/>
      <c r="U29" s="280"/>
    </row>
    <row r="30" spans="1:89" s="26" customFormat="1" x14ac:dyDescent="0.25">
      <c r="A30" s="17"/>
    </row>
    <row r="31" spans="1:89" s="115" customFormat="1" x14ac:dyDescent="0.25">
      <c r="A31" s="117" t="s">
        <v>445</v>
      </c>
      <c r="B31" s="1">
        <v>43373</v>
      </c>
      <c r="C31" s="1">
        <v>43281</v>
      </c>
      <c r="D31" s="1">
        <v>43190</v>
      </c>
      <c r="E31" s="1">
        <v>43100</v>
      </c>
      <c r="F31" s="1">
        <v>43008</v>
      </c>
      <c r="G31" s="1">
        <v>42916</v>
      </c>
      <c r="H31" s="1">
        <v>42825</v>
      </c>
      <c r="I31" s="1">
        <v>42735</v>
      </c>
      <c r="J31" s="1">
        <v>42643</v>
      </c>
      <c r="K31" s="1">
        <v>42551</v>
      </c>
      <c r="L31" s="1">
        <v>42460</v>
      </c>
      <c r="M31" s="1">
        <v>42369</v>
      </c>
      <c r="N31" s="1">
        <v>42277</v>
      </c>
      <c r="O31" s="1">
        <v>42004</v>
      </c>
      <c r="P31" s="1">
        <v>41639</v>
      </c>
      <c r="Q31" s="1">
        <v>41274</v>
      </c>
      <c r="R31" s="1">
        <v>40908</v>
      </c>
      <c r="S31" s="1">
        <v>25569</v>
      </c>
      <c r="T31" s="1"/>
      <c r="U31" s="1"/>
      <c r="V31" s="1"/>
      <c r="W31" s="1"/>
      <c r="X31" s="1"/>
      <c r="Y31" s="1"/>
      <c r="Z31" s="1"/>
      <c r="AA31" s="1"/>
      <c r="AB31" s="1"/>
      <c r="AC31" s="1"/>
      <c r="AD31" s="1"/>
      <c r="AE31" s="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row>
    <row r="32" spans="1:89" s="75" customFormat="1" x14ac:dyDescent="0.25">
      <c r="A32" s="145" t="s">
        <v>449</v>
      </c>
      <c r="E32" s="75">
        <f>股权价值增加表!E29</f>
        <v>8801456.6290684417</v>
      </c>
      <c r="F32" s="75">
        <f>股权价值增加表!F29</f>
        <v>4686300.214400785</v>
      </c>
      <c r="G32" s="75">
        <f>股权价值增加表!G29</f>
        <v>2346356.8767258725</v>
      </c>
      <c r="H32" s="75">
        <f>股权价值增加表!H29</f>
        <v>606092.64096454147</v>
      </c>
      <c r="I32" s="75">
        <f>股权价值增加表!I29</f>
        <v>1434674.3049858441</v>
      </c>
      <c r="J32" s="75">
        <f>股权价值增加表!J29</f>
        <v>80602.084456213837</v>
      </c>
      <c r="K32" s="75">
        <f>股权价值增加表!K29</f>
        <v>50128.065561469804</v>
      </c>
      <c r="L32" s="75">
        <f>股权价值增加表!L29</f>
        <v>0</v>
      </c>
      <c r="M32" s="75">
        <f>股权价值增加表!M29</f>
        <v>554661.84607754205</v>
      </c>
      <c r="N32" s="75">
        <f>股权价值增加表!N29</f>
        <v>89526.386719035712</v>
      </c>
      <c r="O32" s="75">
        <f>股权价值增加表!O29</f>
        <v>0</v>
      </c>
      <c r="P32" s="75">
        <f>股权价值增加表!P29</f>
        <v>0</v>
      </c>
      <c r="Q32" s="75">
        <f>股权价值增加表!Q29</f>
        <v>0</v>
      </c>
      <c r="R32" s="75">
        <f>股权价值增加表!R29</f>
        <v>0</v>
      </c>
      <c r="S32" s="75" t="e">
        <f>股权价值增加表!S29</f>
        <v>#DIV/0!</v>
      </c>
      <c r="T32" s="75">
        <f>股权价值增加表!T29</f>
        <v>0</v>
      </c>
      <c r="U32" s="75">
        <f>股权价值增加表!U29</f>
        <v>-2059656908.2704577</v>
      </c>
      <c r="V32" s="75">
        <f>股权价值增加表!V29</f>
        <v>-9965841.9048613813</v>
      </c>
      <c r="W32" s="75">
        <f>股权价值增加表!W29</f>
        <v>-11794750.69701978</v>
      </c>
      <c r="X32" s="75">
        <f>股权价值增加表!X29</f>
        <v>0</v>
      </c>
      <c r="Y32" s="75">
        <f>股权价值增加表!Y29</f>
        <v>-2519663685.3892589</v>
      </c>
      <c r="Z32" s="75">
        <f>股权价值增加表!Z29</f>
        <v>2935835.5084060375</v>
      </c>
      <c r="AA32" s="75">
        <f>股权价值增加表!AA29</f>
        <v>3239203.4542003428</v>
      </c>
      <c r="AB32" s="75">
        <f>股权价值增加表!AB29</f>
        <v>61225.712496084314</v>
      </c>
      <c r="AC32" s="75">
        <f>股权价值增加表!AC29</f>
        <v>-1566616671.1131275</v>
      </c>
      <c r="AD32" s="75">
        <f>股权价值增加表!AD29</f>
        <v>-1672100.306733747</v>
      </c>
      <c r="AE32" s="75">
        <f>股权价值增加表!AE29</f>
        <v>-667057.39917448116</v>
      </c>
      <c r="AF32" s="75">
        <f>股权价值增加表!AF29</f>
        <v>-286581.40056036279</v>
      </c>
      <c r="AG32" s="75">
        <f>股权价值增加表!AG29</f>
        <v>-1275657589.4929693</v>
      </c>
      <c r="AH32" s="75">
        <f>股权价值增加表!AH29</f>
        <v>35994757.72662174</v>
      </c>
      <c r="AI32" s="75">
        <f>股权价值增加表!AI29</f>
        <v>-2872470.0213151188</v>
      </c>
      <c r="AJ32" s="75">
        <f>股权价值增加表!AJ29</f>
        <v>-5191391.8860833067</v>
      </c>
      <c r="AK32" s="75">
        <f>股权价值增加表!AK29</f>
        <v>-5672837.9600576665</v>
      </c>
      <c r="AL32" s="75">
        <f>股权价值增加表!AL29</f>
        <v>-337957.26581323973</v>
      </c>
      <c r="AM32" s="75">
        <f>股权价值增加表!AM29</f>
        <v>31529331.689973895</v>
      </c>
      <c r="AN32" s="75">
        <f>股权价值增加表!AN29</f>
        <v>0</v>
      </c>
      <c r="AO32" s="75">
        <f>股权价值增加表!AO29</f>
        <v>-3987775.6648163111</v>
      </c>
      <c r="AP32" s="75">
        <f>股权价值增加表!AP29</f>
        <v>4404102.5546992403</v>
      </c>
      <c r="AQ32" s="75">
        <f>股权价值增加表!AQ29</f>
        <v>4148059.2674403638</v>
      </c>
      <c r="AR32" s="75">
        <f>股权价值增加表!AR29</f>
        <v>0</v>
      </c>
      <c r="AS32" s="75">
        <f>股权价值增加表!AS29</f>
        <v>-20457250.631745093</v>
      </c>
      <c r="AT32" s="75">
        <f>股权价值增加表!AT29</f>
        <v>-8122173.6560173379</v>
      </c>
      <c r="AU32" s="75">
        <f>股权价值增加表!AU29</f>
        <v>-688900.4632240358</v>
      </c>
      <c r="AV32" s="75">
        <f>股权价值增加表!AV29</f>
        <v>-61022787.12720795</v>
      </c>
      <c r="AW32" s="75">
        <f>股权价值增加表!AW29</f>
        <v>-50093697.729275554</v>
      </c>
      <c r="AX32" s="75">
        <f>股权价值增加表!AX29</f>
        <v>-43012215.904261902</v>
      </c>
      <c r="AY32" s="75">
        <f>股权价值增加表!AY29</f>
        <v>-27523866.203127492</v>
      </c>
      <c r="AZ32" s="75">
        <f>股权价值增加表!AZ29</f>
        <v>-9209832.2439196259</v>
      </c>
      <c r="BA32" s="75">
        <f>股权价值增加表!BA29</f>
        <v>69167931.356924787</v>
      </c>
      <c r="BB32" s="75">
        <f>股权价值增加表!BB29</f>
        <v>27009065.035167493</v>
      </c>
      <c r="BC32" s="75">
        <f>股权价值增加表!BC29</f>
        <v>33131586.469690327</v>
      </c>
      <c r="BD32" s="75">
        <f>股权价值增加表!BD29</f>
        <v>0</v>
      </c>
      <c r="BE32" s="75">
        <f>股权价值增加表!BE29</f>
        <v>1998183.825135876</v>
      </c>
      <c r="BF32" s="75">
        <f>股权价值增加表!BF29</f>
        <v>-8967806.6352624726</v>
      </c>
      <c r="BG32" s="75">
        <f>股权价值增加表!BG29</f>
        <v>-8022480.3069745274</v>
      </c>
      <c r="BH32" s="75">
        <f>股权价值增加表!BH29</f>
        <v>-70820124.885195538</v>
      </c>
      <c r="BI32" s="75">
        <f>股权价值增加表!BI29</f>
        <v>7091634.2273319187</v>
      </c>
      <c r="BJ32" s="75">
        <f>股权价值增加表!BJ29</f>
        <v>-4214133.4392030779</v>
      </c>
      <c r="BK32" s="75">
        <f>股权价值增加表!BK29</f>
        <v>-1023870.6355382719</v>
      </c>
      <c r="BL32" s="75">
        <f>股权价值增加表!BL29</f>
        <v>-20041322.937003668</v>
      </c>
      <c r="BM32" s="75">
        <f>股权价值增加表!BM29</f>
        <v>-1486265.4649603667</v>
      </c>
      <c r="BN32" s="75">
        <f>股权价值增加表!BN29</f>
        <v>-13247610.205168763</v>
      </c>
      <c r="BO32" s="75">
        <f>股权价值增加表!BO29</f>
        <v>-13046345.857516127</v>
      </c>
      <c r="BP32" s="75">
        <f>股权价值增加表!BP29</f>
        <v>2699402.1974922284</v>
      </c>
      <c r="BQ32" s="75">
        <f>股权价值增加表!BQ29</f>
        <v>-25832217.946003724</v>
      </c>
      <c r="BR32" s="75">
        <f>股权价值增加表!BR29</f>
        <v>-147870000</v>
      </c>
      <c r="BS32" s="75">
        <f>股权价值增加表!BS29</f>
        <v>-56921533.426971629</v>
      </c>
      <c r="BT32" s="75">
        <f>股权价值增加表!BT29</f>
        <v>-63396403.961102709</v>
      </c>
      <c r="BU32" s="75">
        <f>股权价值增加表!BU29</f>
        <v>-31533634.159668338</v>
      </c>
      <c r="BV32" s="75">
        <f>股权价值增加表!BV29</f>
        <v>0</v>
      </c>
      <c r="BW32" s="75">
        <f>股权价值增加表!BW29</f>
        <v>0</v>
      </c>
      <c r="BX32" s="75">
        <f>股权价值增加表!BX29</f>
        <v>0</v>
      </c>
      <c r="BY32" s="75">
        <f>股权价值增加表!BY29</f>
        <v>0</v>
      </c>
      <c r="BZ32" s="75">
        <f>股权价值增加表!BZ29</f>
        <v>0</v>
      </c>
      <c r="CA32" s="75">
        <f>股权价值增加表!CA29</f>
        <v>0</v>
      </c>
      <c r="CB32" s="75">
        <f>股权价值增加表!CB29</f>
        <v>0</v>
      </c>
      <c r="CC32" s="75">
        <f>股权价值增加表!CC29</f>
        <v>0</v>
      </c>
      <c r="CD32" s="75" t="e">
        <f>股权价值增加表!CD29</f>
        <v>#DIV/0!</v>
      </c>
      <c r="CE32" s="75">
        <f>股权价值增加表!CE29</f>
        <v>-20081000</v>
      </c>
      <c r="CF32" s="75">
        <f>股权价值增加表!CF29</f>
        <v>-14354563.84</v>
      </c>
      <c r="CG32" s="75" t="e">
        <f>股权价值增加表!CG29</f>
        <v>#DIV/0!</v>
      </c>
      <c r="CH32" s="75" t="e">
        <f>股权价值增加表!CH29</f>
        <v>#DIV/0!</v>
      </c>
      <c r="CI32" s="75" t="e">
        <f>股权价值增加表!CI29</f>
        <v>#DIV/0!</v>
      </c>
      <c r="CJ32" s="75" t="e">
        <f>股权价值增加表!CJ29</f>
        <v>#DIV/0!</v>
      </c>
    </row>
    <row r="33" spans="1:89" s="75" customFormat="1" x14ac:dyDescent="0.25">
      <c r="A33" s="146" t="s">
        <v>450</v>
      </c>
    </row>
    <row r="34" spans="1:89" s="75" customFormat="1" x14ac:dyDescent="0.25">
      <c r="A34" s="145" t="s">
        <v>451</v>
      </c>
      <c r="E34" s="75">
        <f>资产资本表!E4</f>
        <v>326019035.54000002</v>
      </c>
      <c r="F34" s="75">
        <f>资产资本表!F4</f>
        <v>239821834.81</v>
      </c>
      <c r="G34" s="75">
        <f>资产资本表!G4</f>
        <v>327855534.62</v>
      </c>
      <c r="H34" s="75">
        <f>资产资本表!H4</f>
        <v>509672126.22000003</v>
      </c>
      <c r="I34" s="75">
        <f>资产资本表!I4</f>
        <v>408833913.93000001</v>
      </c>
      <c r="J34" s="75">
        <f>资产资本表!J4</f>
        <v>139991968.87</v>
      </c>
      <c r="K34" s="75">
        <f>资产资本表!K4</f>
        <v>92104488.760000005</v>
      </c>
      <c r="L34" s="75">
        <f>资产资本表!L4</f>
        <v>169591310.78</v>
      </c>
      <c r="M34" s="75">
        <f>资产资本表!M4</f>
        <v>86443435.120000005</v>
      </c>
      <c r="N34" s="75">
        <f>资产资本表!N4</f>
        <v>85292847.939999998</v>
      </c>
      <c r="O34" s="75">
        <f>资产资本表!O4</f>
        <v>131378573.28</v>
      </c>
      <c r="P34" s="75">
        <f>资产资本表!P4</f>
        <v>106634430.42</v>
      </c>
      <c r="Q34" s="75">
        <f>资产资本表!Q4</f>
        <v>0</v>
      </c>
      <c r="R34" s="75">
        <f>资产资本表!R4</f>
        <v>0</v>
      </c>
      <c r="S34" s="75">
        <f>资产资本表!S4</f>
        <v>0</v>
      </c>
      <c r="T34" s="75">
        <f>资产资本表!T4</f>
        <v>0</v>
      </c>
      <c r="U34" s="75">
        <f>资产资本表!U4</f>
        <v>0</v>
      </c>
      <c r="V34" s="75">
        <f>资产资本表!V4</f>
        <v>0</v>
      </c>
      <c r="W34" s="75">
        <f>资产资本表!W4</f>
        <v>0</v>
      </c>
      <c r="X34" s="75">
        <f>资产资本表!X4</f>
        <v>0</v>
      </c>
      <c r="Y34" s="75">
        <f>资产资本表!Y4</f>
        <v>0</v>
      </c>
      <c r="Z34" s="75">
        <f>资产资本表!Z4</f>
        <v>0</v>
      </c>
      <c r="AA34" s="75">
        <f>资产资本表!AA4</f>
        <v>0</v>
      </c>
      <c r="AB34" s="75">
        <f>资产资本表!AB4</f>
        <v>0</v>
      </c>
      <c r="AC34" s="75">
        <f>资产资本表!AC4</f>
        <v>0</v>
      </c>
      <c r="AD34" s="75">
        <f>资产资本表!AD4</f>
        <v>0</v>
      </c>
      <c r="AE34" s="75">
        <f>资产资本表!AE4</f>
        <v>0</v>
      </c>
      <c r="AF34" s="75">
        <f>资产资本表!AF4</f>
        <v>0</v>
      </c>
      <c r="AG34" s="75">
        <f>资产资本表!AG4</f>
        <v>0</v>
      </c>
      <c r="AH34" s="75">
        <f>资产资本表!AH4</f>
        <v>0</v>
      </c>
      <c r="AI34" s="75">
        <f>资产资本表!AI4</f>
        <v>0</v>
      </c>
      <c r="AJ34" s="75">
        <f>资产资本表!AJ4</f>
        <v>0</v>
      </c>
      <c r="AK34" s="75">
        <f>资产资本表!AK4</f>
        <v>0</v>
      </c>
      <c r="AL34" s="75">
        <f>资产资本表!AL4</f>
        <v>0</v>
      </c>
      <c r="AM34" s="75">
        <f>资产资本表!AM4</f>
        <v>0</v>
      </c>
      <c r="AN34" s="75">
        <f>资产资本表!AN4</f>
        <v>0</v>
      </c>
      <c r="AO34" s="75">
        <f>资产资本表!AO4</f>
        <v>0</v>
      </c>
      <c r="AP34" s="75">
        <f>资产资本表!AP4</f>
        <v>0</v>
      </c>
      <c r="AQ34" s="75">
        <f>资产资本表!AQ4</f>
        <v>0</v>
      </c>
      <c r="AR34" s="75">
        <f>资产资本表!AR4</f>
        <v>0</v>
      </c>
      <c r="AS34" s="75">
        <f>资产资本表!AS4</f>
        <v>0</v>
      </c>
      <c r="AT34" s="75">
        <f>资产资本表!AT4</f>
        <v>0</v>
      </c>
      <c r="AU34" s="75">
        <f>资产资本表!AU4</f>
        <v>0</v>
      </c>
      <c r="AV34" s="75">
        <f>资产资本表!AV4</f>
        <v>0</v>
      </c>
      <c r="AW34" s="75">
        <f>资产资本表!AW4</f>
        <v>0</v>
      </c>
      <c r="AX34" s="75">
        <f>资产资本表!AX4</f>
        <v>0</v>
      </c>
      <c r="AY34" s="75">
        <f>资产资本表!AY4</f>
        <v>0</v>
      </c>
      <c r="AZ34" s="75">
        <f>资产资本表!AZ4</f>
        <v>0</v>
      </c>
      <c r="BA34" s="75">
        <f>资产资本表!BA4</f>
        <v>0</v>
      </c>
      <c r="BB34" s="75">
        <f>资产资本表!BB4</f>
        <v>0</v>
      </c>
      <c r="BC34" s="75">
        <f>资产资本表!BC4</f>
        <v>0</v>
      </c>
      <c r="BD34" s="75">
        <f>资产资本表!BD4</f>
        <v>0</v>
      </c>
      <c r="BE34" s="75">
        <f>资产资本表!BE4</f>
        <v>0</v>
      </c>
      <c r="BF34" s="75">
        <f>资产资本表!BF4</f>
        <v>0</v>
      </c>
      <c r="BG34" s="75">
        <f>资产资本表!BG4</f>
        <v>0</v>
      </c>
      <c r="BH34" s="75">
        <f>资产资本表!BH4</f>
        <v>0</v>
      </c>
      <c r="BI34" s="75">
        <f>资产资本表!BI4</f>
        <v>0</v>
      </c>
      <c r="BJ34" s="75">
        <f>资产资本表!BJ4</f>
        <v>0</v>
      </c>
      <c r="BK34" s="75">
        <f>资产资本表!BK4</f>
        <v>0</v>
      </c>
      <c r="BL34" s="75">
        <f>资产资本表!BL4</f>
        <v>0</v>
      </c>
      <c r="BM34" s="75">
        <f>资产资本表!BM4</f>
        <v>0</v>
      </c>
      <c r="BN34" s="75">
        <f>资产资本表!BN4</f>
        <v>0</v>
      </c>
      <c r="BO34" s="75">
        <f>资产资本表!BO4</f>
        <v>0</v>
      </c>
      <c r="BP34" s="75">
        <f>资产资本表!BP4</f>
        <v>0</v>
      </c>
      <c r="BQ34" s="75">
        <f>资产资本表!BQ4</f>
        <v>0</v>
      </c>
      <c r="BR34" s="75">
        <f>资产资本表!BR4</f>
        <v>0</v>
      </c>
      <c r="BS34" s="75">
        <f>资产资本表!BS4</f>
        <v>0</v>
      </c>
      <c r="BT34" s="75">
        <f>资产资本表!BT4</f>
        <v>0</v>
      </c>
      <c r="BU34" s="75">
        <f>资产资本表!BU4</f>
        <v>0</v>
      </c>
      <c r="BV34" s="75">
        <f>资产资本表!BV4</f>
        <v>0</v>
      </c>
      <c r="BW34" s="75">
        <f>资产资本表!BW4</f>
        <v>0</v>
      </c>
      <c r="BX34" s="75">
        <f>资产资本表!BX4</f>
        <v>0</v>
      </c>
      <c r="BY34" s="75">
        <f>资产资本表!BY4</f>
        <v>0</v>
      </c>
      <c r="BZ34" s="75">
        <f>资产资本表!BZ4</f>
        <v>0</v>
      </c>
      <c r="CA34" s="75">
        <f>资产资本表!CA4</f>
        <v>0</v>
      </c>
      <c r="CB34" s="75">
        <f>资产资本表!CB4</f>
        <v>0</v>
      </c>
      <c r="CC34" s="75">
        <f>资产资本表!CC4</f>
        <v>0</v>
      </c>
      <c r="CD34" s="75">
        <f>资产资本表!CD4</f>
        <v>0</v>
      </c>
      <c r="CE34" s="75">
        <f>资产资本表!CE4</f>
        <v>0</v>
      </c>
      <c r="CF34" s="75">
        <f>资产资本表!CF4</f>
        <v>0</v>
      </c>
      <c r="CG34" s="75">
        <f>资产资本表!CG4</f>
        <v>0</v>
      </c>
      <c r="CH34" s="75">
        <f>资产资本表!CH4</f>
        <v>0</v>
      </c>
      <c r="CI34" s="75">
        <f>资产资本表!CI4</f>
        <v>0</v>
      </c>
      <c r="CJ34" s="75">
        <f>资产资本表!CJ4</f>
        <v>0</v>
      </c>
    </row>
    <row r="35" spans="1:89" s="75" customFormat="1" x14ac:dyDescent="0.25">
      <c r="A35" s="145" t="s">
        <v>452</v>
      </c>
      <c r="E35" s="75">
        <f>利润表!E12</f>
        <v>0</v>
      </c>
      <c r="F35" s="75">
        <f>利润表!F12</f>
        <v>0</v>
      </c>
      <c r="G35" s="75">
        <f>利润表!G12</f>
        <v>0</v>
      </c>
      <c r="H35" s="75">
        <f>利润表!H12</f>
        <v>0</v>
      </c>
      <c r="I35" s="75">
        <f>利润表!I12</f>
        <v>0</v>
      </c>
      <c r="J35" s="75">
        <f>利润表!J12</f>
        <v>0</v>
      </c>
      <c r="K35" s="75">
        <f>利润表!K12</f>
        <v>0</v>
      </c>
      <c r="L35" s="75">
        <f>利润表!L12</f>
        <v>0</v>
      </c>
      <c r="M35" s="75">
        <f>利润表!M12</f>
        <v>0</v>
      </c>
      <c r="N35" s="75">
        <f>利润表!N12</f>
        <v>0</v>
      </c>
      <c r="O35" s="75">
        <f>利润表!O12</f>
        <v>0</v>
      </c>
      <c r="P35" s="75">
        <f>利润表!P12</f>
        <v>0</v>
      </c>
      <c r="Q35" s="75">
        <f>利润表!Q12</f>
        <v>0</v>
      </c>
      <c r="R35" s="75">
        <f>利润表!R12</f>
        <v>0</v>
      </c>
      <c r="S35" s="75">
        <f>利润表!S12</f>
        <v>0</v>
      </c>
      <c r="T35" s="75">
        <f>利润表!T12</f>
        <v>0</v>
      </c>
      <c r="U35" s="75">
        <f>利润表!U12</f>
        <v>0</v>
      </c>
      <c r="V35" s="75">
        <f>利润表!V12</f>
        <v>0</v>
      </c>
      <c r="W35" s="75">
        <f>利润表!W12</f>
        <v>0</v>
      </c>
      <c r="X35" s="75">
        <f>利润表!X12</f>
        <v>0</v>
      </c>
      <c r="Y35" s="75">
        <f>利润表!Y12</f>
        <v>0</v>
      </c>
      <c r="Z35" s="75">
        <f>利润表!Z12</f>
        <v>0</v>
      </c>
      <c r="AA35" s="75">
        <f>利润表!AA12</f>
        <v>0</v>
      </c>
      <c r="AB35" s="75">
        <f>利润表!AB12</f>
        <v>0</v>
      </c>
      <c r="AC35" s="75">
        <f>利润表!AC12</f>
        <v>0</v>
      </c>
      <c r="AD35" s="75">
        <f>利润表!AD12</f>
        <v>0</v>
      </c>
      <c r="AE35" s="75">
        <f>利润表!AE12</f>
        <v>0</v>
      </c>
      <c r="AF35" s="75">
        <f>利润表!AF12</f>
        <v>0</v>
      </c>
      <c r="AG35" s="75">
        <f>利润表!AG12</f>
        <v>0</v>
      </c>
      <c r="AH35" s="75">
        <f>利润表!AH12</f>
        <v>0</v>
      </c>
      <c r="AI35" s="75">
        <f>利润表!AI12</f>
        <v>0</v>
      </c>
      <c r="AJ35" s="75">
        <f>利润表!AJ12</f>
        <v>0</v>
      </c>
      <c r="AK35" s="75">
        <f>利润表!AK12</f>
        <v>0</v>
      </c>
      <c r="AL35" s="75">
        <f>利润表!AL12</f>
        <v>0</v>
      </c>
      <c r="AM35" s="75">
        <f>利润表!AM12</f>
        <v>0</v>
      </c>
      <c r="AN35" s="75">
        <f>利润表!AN12</f>
        <v>0</v>
      </c>
      <c r="AO35" s="75">
        <f>利润表!AO12</f>
        <v>0</v>
      </c>
      <c r="AP35" s="75">
        <f>利润表!AP12</f>
        <v>0</v>
      </c>
      <c r="AQ35" s="75">
        <f>利润表!AQ12</f>
        <v>0</v>
      </c>
      <c r="AR35" s="75">
        <f>利润表!AR12</f>
        <v>0</v>
      </c>
      <c r="AS35" s="75">
        <f>利润表!AS12</f>
        <v>0</v>
      </c>
      <c r="AT35" s="75">
        <f>利润表!AT12</f>
        <v>0</v>
      </c>
      <c r="AU35" s="75">
        <f>利润表!AU12</f>
        <v>0</v>
      </c>
      <c r="AV35" s="75">
        <f>利润表!AV12</f>
        <v>0</v>
      </c>
      <c r="AW35" s="75">
        <f>利润表!AW12</f>
        <v>0</v>
      </c>
      <c r="AX35" s="75">
        <f>利润表!AX12</f>
        <v>0</v>
      </c>
      <c r="AY35" s="75">
        <f>利润表!AY12</f>
        <v>0</v>
      </c>
      <c r="AZ35" s="75">
        <f>利润表!AZ12</f>
        <v>0</v>
      </c>
      <c r="BA35" s="75">
        <f>利润表!BA12</f>
        <v>0</v>
      </c>
      <c r="BB35" s="75">
        <f>利润表!BB12</f>
        <v>0</v>
      </c>
      <c r="BC35" s="75">
        <f>利润表!BC12</f>
        <v>0</v>
      </c>
      <c r="BD35" s="75">
        <f>利润表!BD12</f>
        <v>0</v>
      </c>
      <c r="BE35" s="75">
        <f>利润表!BE12</f>
        <v>0</v>
      </c>
      <c r="BF35" s="75">
        <f>利润表!BF12</f>
        <v>0</v>
      </c>
      <c r="BG35" s="75">
        <f>利润表!BG12</f>
        <v>0</v>
      </c>
      <c r="BH35" s="75">
        <f>利润表!BH12</f>
        <v>0</v>
      </c>
      <c r="BI35" s="75">
        <f>利润表!BI12</f>
        <v>0</v>
      </c>
      <c r="BJ35" s="75">
        <f>利润表!BJ12</f>
        <v>0</v>
      </c>
      <c r="BK35" s="75">
        <f>利润表!BK12</f>
        <v>0</v>
      </c>
      <c r="BL35" s="75">
        <f>利润表!BL12</f>
        <v>0</v>
      </c>
      <c r="BM35" s="75">
        <f>利润表!BM12</f>
        <v>0</v>
      </c>
      <c r="BN35" s="75">
        <f>利润表!BN12</f>
        <v>0</v>
      </c>
      <c r="BO35" s="75">
        <f>利润表!BO12</f>
        <v>0</v>
      </c>
      <c r="BP35" s="75">
        <f>利润表!BP12</f>
        <v>0</v>
      </c>
      <c r="BQ35" s="75">
        <f>利润表!BQ12</f>
        <v>0</v>
      </c>
      <c r="BR35" s="75">
        <f>利润表!BR12</f>
        <v>0</v>
      </c>
      <c r="BS35" s="75">
        <f>利润表!BS12</f>
        <v>0</v>
      </c>
      <c r="BT35" s="75">
        <f>利润表!BT12</f>
        <v>0</v>
      </c>
      <c r="BU35" s="75">
        <f>利润表!BU12</f>
        <v>0</v>
      </c>
      <c r="BV35" s="75">
        <f>利润表!BV12</f>
        <v>0</v>
      </c>
      <c r="BW35" s="75">
        <f>利润表!BW12</f>
        <v>0</v>
      </c>
      <c r="BX35" s="75">
        <f>利润表!BX12</f>
        <v>0</v>
      </c>
      <c r="BY35" s="75">
        <f>利润表!BY12</f>
        <v>0</v>
      </c>
      <c r="BZ35" s="75">
        <f>利润表!BZ12</f>
        <v>0</v>
      </c>
      <c r="CA35" s="75">
        <f>利润表!CA12</f>
        <v>0</v>
      </c>
      <c r="CB35" s="75">
        <f>利润表!CB12</f>
        <v>0</v>
      </c>
      <c r="CC35" s="75">
        <f>利润表!CC12</f>
        <v>0</v>
      </c>
      <c r="CD35" s="75">
        <f>利润表!CD12</f>
        <v>0</v>
      </c>
      <c r="CE35" s="75">
        <f>利润表!CE12</f>
        <v>0</v>
      </c>
      <c r="CF35" s="75">
        <f>利润表!CF12</f>
        <v>0</v>
      </c>
      <c r="CG35" s="75">
        <f>利润表!CG12</f>
        <v>0</v>
      </c>
      <c r="CH35" s="75">
        <f>利润表!CH12</f>
        <v>0</v>
      </c>
      <c r="CI35" s="75">
        <f>利润表!CI12</f>
        <v>0</v>
      </c>
      <c r="CJ35" s="75">
        <f>利润表!CJ12</f>
        <v>0</v>
      </c>
    </row>
    <row r="36" spans="1:89" s="75" customFormat="1" x14ac:dyDescent="0.25">
      <c r="A36" s="145" t="s">
        <v>453</v>
      </c>
      <c r="E36" s="75">
        <f>资产资本表!E13</f>
        <v>0</v>
      </c>
      <c r="F36" s="75">
        <f>资产资本表!F13</f>
        <v>0</v>
      </c>
      <c r="G36" s="75">
        <f>资产资本表!G13</f>
        <v>0</v>
      </c>
      <c r="H36" s="75">
        <f>资产资本表!H13</f>
        <v>0</v>
      </c>
      <c r="I36" s="75">
        <f>资产资本表!I13</f>
        <v>0</v>
      </c>
      <c r="J36" s="75">
        <f>资产资本表!J13</f>
        <v>0</v>
      </c>
      <c r="K36" s="75">
        <f>资产资本表!K13</f>
        <v>0</v>
      </c>
      <c r="L36" s="75">
        <f>资产资本表!L13</f>
        <v>0</v>
      </c>
      <c r="M36" s="75">
        <f>资产资本表!M13</f>
        <v>0</v>
      </c>
      <c r="N36" s="75">
        <f>资产资本表!N13</f>
        <v>0</v>
      </c>
      <c r="O36" s="75">
        <f>资产资本表!O13</f>
        <v>0</v>
      </c>
      <c r="P36" s="75">
        <f>资产资本表!P13</f>
        <v>0</v>
      </c>
      <c r="Q36" s="75">
        <f>资产资本表!Q13</f>
        <v>0</v>
      </c>
      <c r="R36" s="75">
        <f>资产资本表!R13</f>
        <v>0</v>
      </c>
      <c r="S36" s="75">
        <f>资产资本表!S13</f>
        <v>0</v>
      </c>
      <c r="T36" s="75">
        <f>资产资本表!T13</f>
        <v>0</v>
      </c>
      <c r="U36" s="75">
        <f>资产资本表!U13</f>
        <v>0</v>
      </c>
      <c r="V36" s="75">
        <f>资产资本表!V13</f>
        <v>0</v>
      </c>
      <c r="W36" s="75">
        <f>资产资本表!W13</f>
        <v>0</v>
      </c>
      <c r="X36" s="75">
        <f>资产资本表!X13</f>
        <v>0</v>
      </c>
      <c r="Y36" s="75">
        <f>资产资本表!Y13</f>
        <v>0</v>
      </c>
      <c r="Z36" s="75">
        <f>资产资本表!Z13</f>
        <v>0</v>
      </c>
      <c r="AA36" s="75">
        <f>资产资本表!AA13</f>
        <v>0</v>
      </c>
      <c r="AB36" s="75">
        <f>资产资本表!AB13</f>
        <v>0</v>
      </c>
      <c r="AC36" s="75">
        <f>资产资本表!AC13</f>
        <v>0</v>
      </c>
      <c r="AD36" s="75">
        <f>资产资本表!AD13</f>
        <v>0</v>
      </c>
      <c r="AE36" s="75">
        <f>资产资本表!AE13</f>
        <v>0</v>
      </c>
      <c r="AF36" s="75">
        <f>资产资本表!AF13</f>
        <v>0</v>
      </c>
      <c r="AG36" s="75">
        <f>资产资本表!AG13</f>
        <v>0</v>
      </c>
      <c r="AH36" s="75">
        <f>资产资本表!AH13</f>
        <v>0</v>
      </c>
      <c r="AI36" s="75">
        <f>资产资本表!AI13</f>
        <v>0</v>
      </c>
      <c r="AJ36" s="75">
        <f>资产资本表!AJ13</f>
        <v>0</v>
      </c>
      <c r="AK36" s="75">
        <f>资产资本表!AK13</f>
        <v>0</v>
      </c>
      <c r="AL36" s="75">
        <f>资产资本表!AL13</f>
        <v>0</v>
      </c>
      <c r="AM36" s="75">
        <f>资产资本表!AM13</f>
        <v>0</v>
      </c>
      <c r="AN36" s="75">
        <f>资产资本表!AN13</f>
        <v>0</v>
      </c>
      <c r="AO36" s="75">
        <f>资产资本表!AO13</f>
        <v>0</v>
      </c>
      <c r="AP36" s="75">
        <f>资产资本表!AP13</f>
        <v>0</v>
      </c>
      <c r="AQ36" s="75">
        <f>资产资本表!AQ13</f>
        <v>0</v>
      </c>
      <c r="AR36" s="75">
        <f>资产资本表!AR13</f>
        <v>0</v>
      </c>
      <c r="AS36" s="75">
        <f>资产资本表!AS13</f>
        <v>0</v>
      </c>
      <c r="AT36" s="75">
        <f>资产资本表!AT13</f>
        <v>0</v>
      </c>
      <c r="AU36" s="75">
        <f>资产资本表!AU13</f>
        <v>0</v>
      </c>
      <c r="AV36" s="75">
        <f>资产资本表!AV13</f>
        <v>0</v>
      </c>
      <c r="AW36" s="75">
        <f>资产资本表!AW13</f>
        <v>0</v>
      </c>
      <c r="AX36" s="75">
        <f>资产资本表!AX13</f>
        <v>0</v>
      </c>
      <c r="AY36" s="75">
        <f>资产资本表!AY13</f>
        <v>0</v>
      </c>
      <c r="AZ36" s="75">
        <f>资产资本表!AZ13</f>
        <v>0</v>
      </c>
      <c r="BA36" s="75">
        <f>资产资本表!BA13</f>
        <v>0</v>
      </c>
      <c r="BB36" s="75">
        <f>资产资本表!BB13</f>
        <v>0</v>
      </c>
      <c r="BC36" s="75">
        <f>资产资本表!BC13</f>
        <v>0</v>
      </c>
      <c r="BD36" s="75">
        <f>资产资本表!BD13</f>
        <v>0</v>
      </c>
      <c r="BE36" s="75">
        <f>资产资本表!BE13</f>
        <v>0</v>
      </c>
      <c r="BF36" s="75">
        <f>资产资本表!BF13</f>
        <v>0</v>
      </c>
      <c r="BG36" s="75">
        <f>资产资本表!BG13</f>
        <v>0</v>
      </c>
      <c r="BH36" s="75">
        <f>资产资本表!BH13</f>
        <v>0</v>
      </c>
      <c r="BI36" s="75">
        <f>资产资本表!BI13</f>
        <v>0</v>
      </c>
      <c r="BJ36" s="75">
        <f>资产资本表!BJ13</f>
        <v>0</v>
      </c>
      <c r="BK36" s="75">
        <f>资产资本表!BK13</f>
        <v>0</v>
      </c>
      <c r="BL36" s="75">
        <f>资产资本表!BL13</f>
        <v>0</v>
      </c>
      <c r="BM36" s="75">
        <f>资产资本表!BM13</f>
        <v>0</v>
      </c>
      <c r="BN36" s="75">
        <f>资产资本表!BN13</f>
        <v>0</v>
      </c>
      <c r="BO36" s="75">
        <f>资产资本表!BO13</f>
        <v>0</v>
      </c>
      <c r="BP36" s="75">
        <f>资产资本表!BP13</f>
        <v>0</v>
      </c>
      <c r="BQ36" s="75">
        <f>资产资本表!BQ13</f>
        <v>0</v>
      </c>
      <c r="BR36" s="75">
        <f>资产资本表!BR13</f>
        <v>0</v>
      </c>
      <c r="BS36" s="75">
        <f>资产资本表!BS13</f>
        <v>0</v>
      </c>
      <c r="BT36" s="75">
        <f>资产资本表!BT13</f>
        <v>0</v>
      </c>
      <c r="BU36" s="75">
        <f>资产资本表!BU13</f>
        <v>0</v>
      </c>
      <c r="BV36" s="75">
        <f>资产资本表!BV13</f>
        <v>0</v>
      </c>
      <c r="BW36" s="75">
        <f>资产资本表!BW13</f>
        <v>0</v>
      </c>
      <c r="BX36" s="75">
        <f>资产资本表!BX13</f>
        <v>0</v>
      </c>
      <c r="BY36" s="75">
        <f>资产资本表!BY13</f>
        <v>0</v>
      </c>
      <c r="BZ36" s="75">
        <f>资产资本表!BZ13</f>
        <v>0</v>
      </c>
      <c r="CA36" s="75">
        <f>资产资本表!CA13</f>
        <v>0</v>
      </c>
      <c r="CB36" s="75">
        <f>资产资本表!CB13</f>
        <v>0</v>
      </c>
      <c r="CC36" s="75">
        <f>资产资本表!CC13</f>
        <v>0</v>
      </c>
      <c r="CD36" s="75">
        <f>资产资本表!CD13</f>
        <v>0</v>
      </c>
      <c r="CE36" s="75">
        <f>资产资本表!CE13</f>
        <v>0</v>
      </c>
      <c r="CF36" s="75">
        <f>资产资本表!CF13</f>
        <v>0</v>
      </c>
      <c r="CG36" s="75">
        <f>资产资本表!CG13</f>
        <v>0</v>
      </c>
      <c r="CH36" s="75">
        <f>资产资本表!CH13</f>
        <v>0</v>
      </c>
      <c r="CI36" s="75">
        <f>资产资本表!CI13</f>
        <v>0</v>
      </c>
      <c r="CJ36" s="75">
        <f>资产资本表!CJ13</f>
        <v>0</v>
      </c>
    </row>
    <row r="37" spans="1:89" s="75" customFormat="1" x14ac:dyDescent="0.25">
      <c r="A37" s="145" t="s">
        <v>454</v>
      </c>
      <c r="E37" s="75">
        <f>资产资本表!E11</f>
        <v>0</v>
      </c>
      <c r="F37" s="75">
        <f>资产资本表!F11</f>
        <v>0</v>
      </c>
      <c r="G37" s="75">
        <f>资产资本表!G11</f>
        <v>0</v>
      </c>
      <c r="H37" s="75">
        <f>资产资本表!H11</f>
        <v>0</v>
      </c>
      <c r="I37" s="75">
        <f>资产资本表!I11</f>
        <v>0</v>
      </c>
      <c r="J37" s="75">
        <f>资产资本表!J11</f>
        <v>0</v>
      </c>
      <c r="K37" s="75">
        <f>资产资本表!K11</f>
        <v>0</v>
      </c>
      <c r="L37" s="75">
        <f>资产资本表!L11</f>
        <v>0</v>
      </c>
      <c r="M37" s="75">
        <f>资产资本表!M11</f>
        <v>0</v>
      </c>
      <c r="N37" s="75">
        <f>资产资本表!N11</f>
        <v>0</v>
      </c>
      <c r="O37" s="75">
        <f>资产资本表!O11</f>
        <v>0</v>
      </c>
      <c r="P37" s="75">
        <f>资产资本表!P11</f>
        <v>0</v>
      </c>
      <c r="Q37" s="75">
        <f>资产资本表!Q11</f>
        <v>0</v>
      </c>
      <c r="R37" s="75">
        <f>资产资本表!R11</f>
        <v>0</v>
      </c>
      <c r="S37" s="75">
        <f>资产资本表!S11</f>
        <v>0</v>
      </c>
      <c r="T37" s="75">
        <f>资产资本表!T11</f>
        <v>0</v>
      </c>
      <c r="U37" s="75">
        <f>资产资本表!U11</f>
        <v>0</v>
      </c>
      <c r="V37" s="75">
        <f>资产资本表!V11</f>
        <v>0</v>
      </c>
      <c r="W37" s="75">
        <f>资产资本表!W11</f>
        <v>0</v>
      </c>
      <c r="X37" s="75">
        <f>资产资本表!X11</f>
        <v>0</v>
      </c>
      <c r="Y37" s="75">
        <f>资产资本表!Y11</f>
        <v>0</v>
      </c>
      <c r="Z37" s="75">
        <f>资产资本表!Z11</f>
        <v>0</v>
      </c>
      <c r="AA37" s="75">
        <f>资产资本表!AA11</f>
        <v>0</v>
      </c>
      <c r="AB37" s="75">
        <f>资产资本表!AB11</f>
        <v>0</v>
      </c>
      <c r="AC37" s="75">
        <f>资产资本表!AC11</f>
        <v>0</v>
      </c>
      <c r="AD37" s="75">
        <f>资产资本表!AD11</f>
        <v>0</v>
      </c>
      <c r="AE37" s="75">
        <f>资产资本表!AE11</f>
        <v>0</v>
      </c>
      <c r="AF37" s="75">
        <f>资产资本表!AF11</f>
        <v>0</v>
      </c>
      <c r="AG37" s="75">
        <f>资产资本表!AG11</f>
        <v>0</v>
      </c>
      <c r="AH37" s="75">
        <f>资产资本表!AH11</f>
        <v>0</v>
      </c>
      <c r="AI37" s="75">
        <f>资产资本表!AI11</f>
        <v>0</v>
      </c>
      <c r="AJ37" s="75">
        <f>资产资本表!AJ11</f>
        <v>0</v>
      </c>
      <c r="AK37" s="75">
        <f>资产资本表!AK11</f>
        <v>0</v>
      </c>
      <c r="AL37" s="75">
        <f>资产资本表!AL11</f>
        <v>0</v>
      </c>
      <c r="AM37" s="75">
        <f>资产资本表!AM11</f>
        <v>0</v>
      </c>
      <c r="AN37" s="75">
        <f>资产资本表!AN11</f>
        <v>0</v>
      </c>
      <c r="AO37" s="75">
        <f>资产资本表!AO11</f>
        <v>0</v>
      </c>
      <c r="AP37" s="75">
        <f>资产资本表!AP11</f>
        <v>0</v>
      </c>
      <c r="AQ37" s="75">
        <f>资产资本表!AQ11</f>
        <v>0</v>
      </c>
      <c r="AR37" s="75">
        <f>资产资本表!AR11</f>
        <v>0</v>
      </c>
      <c r="AS37" s="75">
        <f>资产资本表!AS11</f>
        <v>0</v>
      </c>
      <c r="AT37" s="75">
        <f>资产资本表!AT11</f>
        <v>0</v>
      </c>
      <c r="AU37" s="75">
        <f>资产资本表!AU11</f>
        <v>0</v>
      </c>
      <c r="AV37" s="75">
        <f>资产资本表!AV11</f>
        <v>0</v>
      </c>
      <c r="AW37" s="75">
        <f>资产资本表!AW11</f>
        <v>0</v>
      </c>
      <c r="AX37" s="75">
        <f>资产资本表!AX11</f>
        <v>0</v>
      </c>
      <c r="AY37" s="75">
        <f>资产资本表!AY11</f>
        <v>0</v>
      </c>
      <c r="AZ37" s="75">
        <f>资产资本表!AZ11</f>
        <v>0</v>
      </c>
      <c r="BA37" s="75">
        <f>资产资本表!BA11</f>
        <v>0</v>
      </c>
      <c r="BB37" s="75">
        <f>资产资本表!BB11</f>
        <v>0</v>
      </c>
      <c r="BC37" s="75">
        <f>资产资本表!BC11</f>
        <v>0</v>
      </c>
      <c r="BD37" s="75">
        <f>资产资本表!BD11</f>
        <v>0</v>
      </c>
      <c r="BE37" s="75">
        <f>资产资本表!BE11</f>
        <v>0</v>
      </c>
      <c r="BF37" s="75">
        <f>资产资本表!BF11</f>
        <v>0</v>
      </c>
      <c r="BG37" s="75">
        <f>资产资本表!BG11</f>
        <v>0</v>
      </c>
      <c r="BH37" s="75">
        <f>资产资本表!BH11</f>
        <v>0</v>
      </c>
      <c r="BI37" s="75">
        <f>资产资本表!BI11</f>
        <v>0</v>
      </c>
      <c r="BJ37" s="75">
        <f>资产资本表!BJ11</f>
        <v>0</v>
      </c>
      <c r="BK37" s="75">
        <f>资产资本表!BK11</f>
        <v>0</v>
      </c>
      <c r="BL37" s="75">
        <f>资产资本表!BL11</f>
        <v>0</v>
      </c>
      <c r="BM37" s="75">
        <f>资产资本表!BM11</f>
        <v>0</v>
      </c>
      <c r="BN37" s="75">
        <f>资产资本表!BN11</f>
        <v>0</v>
      </c>
      <c r="BO37" s="75">
        <f>资产资本表!BO11</f>
        <v>0</v>
      </c>
      <c r="BP37" s="75">
        <f>资产资本表!BP11</f>
        <v>0</v>
      </c>
      <c r="BQ37" s="75">
        <f>资产资本表!BQ11</f>
        <v>0</v>
      </c>
      <c r="BR37" s="75">
        <f>资产资本表!BR11</f>
        <v>0</v>
      </c>
      <c r="BS37" s="75">
        <f>资产资本表!BS11</f>
        <v>0</v>
      </c>
      <c r="BT37" s="75">
        <f>资产资本表!BT11</f>
        <v>0</v>
      </c>
      <c r="BU37" s="75">
        <f>资产资本表!BU11</f>
        <v>0</v>
      </c>
      <c r="BV37" s="75">
        <f>资产资本表!BV11</f>
        <v>0</v>
      </c>
      <c r="BW37" s="75">
        <f>资产资本表!BW11</f>
        <v>0</v>
      </c>
      <c r="BX37" s="75">
        <f>资产资本表!BX11</f>
        <v>0</v>
      </c>
      <c r="BY37" s="75">
        <f>资产资本表!BY11</f>
        <v>0</v>
      </c>
      <c r="BZ37" s="75">
        <f>资产资本表!BZ11</f>
        <v>0</v>
      </c>
      <c r="CA37" s="75">
        <f>资产资本表!CA11</f>
        <v>0</v>
      </c>
      <c r="CB37" s="75">
        <f>资产资本表!CB11</f>
        <v>0</v>
      </c>
      <c r="CC37" s="75">
        <f>资产资本表!CC11</f>
        <v>0</v>
      </c>
      <c r="CD37" s="75">
        <f>资产资本表!CD11</f>
        <v>0</v>
      </c>
      <c r="CE37" s="75">
        <f>资产资本表!CE11</f>
        <v>0</v>
      </c>
      <c r="CF37" s="75">
        <f>资产资本表!CF11</f>
        <v>0</v>
      </c>
      <c r="CG37" s="75">
        <f>资产资本表!CG11</f>
        <v>0</v>
      </c>
      <c r="CH37" s="75">
        <f>资产资本表!CH11</f>
        <v>0</v>
      </c>
      <c r="CI37" s="75">
        <f>资产资本表!CI11</f>
        <v>0</v>
      </c>
      <c r="CJ37" s="75">
        <f>资产资本表!CJ11</f>
        <v>0</v>
      </c>
    </row>
    <row r="38" spans="1:89" s="75" customFormat="1" x14ac:dyDescent="0.25">
      <c r="A38" s="145" t="s">
        <v>455</v>
      </c>
      <c r="E38" s="75">
        <f>资产资本表!E8</f>
        <v>1000000</v>
      </c>
      <c r="F38" s="75">
        <f>资产资本表!F8</f>
        <v>1000000</v>
      </c>
      <c r="G38" s="75">
        <f>资产资本表!G8</f>
        <v>1000000</v>
      </c>
      <c r="H38" s="75">
        <f>资产资本表!H8</f>
        <v>1000000</v>
      </c>
      <c r="I38" s="75">
        <f>资产资本表!I8</f>
        <v>1000000</v>
      </c>
      <c r="J38" s="75">
        <f>资产资本表!J8</f>
        <v>1000000</v>
      </c>
      <c r="K38" s="75">
        <f>资产资本表!K8</f>
        <v>1000000</v>
      </c>
      <c r="L38" s="75">
        <f>资产资本表!L8</f>
        <v>1000000</v>
      </c>
      <c r="M38" s="75">
        <f>资产资本表!M8</f>
        <v>1000000</v>
      </c>
      <c r="N38" s="75">
        <f>资产资本表!N8</f>
        <v>1000000</v>
      </c>
      <c r="O38" s="75">
        <f>资产资本表!O8</f>
        <v>0</v>
      </c>
      <c r="P38" s="75">
        <f>资产资本表!P8</f>
        <v>0</v>
      </c>
      <c r="Q38" s="75">
        <f>资产资本表!Q8</f>
        <v>0</v>
      </c>
      <c r="R38" s="75">
        <f>资产资本表!R8</f>
        <v>0</v>
      </c>
      <c r="S38" s="75">
        <f>资产资本表!S8</f>
        <v>0</v>
      </c>
      <c r="T38" s="75">
        <f>资产资本表!T8</f>
        <v>0</v>
      </c>
      <c r="U38" s="75">
        <f>资产资本表!U8</f>
        <v>0</v>
      </c>
      <c r="V38" s="75">
        <f>资产资本表!V8</f>
        <v>0</v>
      </c>
      <c r="W38" s="75">
        <f>资产资本表!W8</f>
        <v>0</v>
      </c>
      <c r="X38" s="75">
        <f>资产资本表!X8</f>
        <v>0</v>
      </c>
      <c r="Y38" s="75">
        <f>资产资本表!Y8</f>
        <v>0</v>
      </c>
      <c r="Z38" s="75">
        <f>资产资本表!Z8</f>
        <v>0</v>
      </c>
      <c r="AA38" s="75">
        <f>资产资本表!AA8</f>
        <v>0</v>
      </c>
      <c r="AB38" s="75">
        <f>资产资本表!AB8</f>
        <v>0</v>
      </c>
      <c r="AC38" s="75">
        <f>资产资本表!AC8</f>
        <v>0</v>
      </c>
      <c r="AD38" s="75">
        <f>资产资本表!AD8</f>
        <v>0</v>
      </c>
      <c r="AE38" s="75">
        <f>资产资本表!AE8</f>
        <v>0</v>
      </c>
      <c r="AF38" s="75">
        <f>资产资本表!AF8</f>
        <v>0</v>
      </c>
      <c r="AG38" s="75">
        <f>资产资本表!AG8</f>
        <v>0</v>
      </c>
      <c r="AH38" s="75">
        <f>资产资本表!AH8</f>
        <v>0</v>
      </c>
      <c r="AI38" s="75">
        <f>资产资本表!AI8</f>
        <v>0</v>
      </c>
      <c r="AJ38" s="75">
        <f>资产资本表!AJ8</f>
        <v>0</v>
      </c>
      <c r="AK38" s="75">
        <f>资产资本表!AK8</f>
        <v>0</v>
      </c>
      <c r="AL38" s="75">
        <f>资产资本表!AL8</f>
        <v>0</v>
      </c>
      <c r="AM38" s="75">
        <f>资产资本表!AM8</f>
        <v>0</v>
      </c>
      <c r="AN38" s="75">
        <f>资产资本表!AN8</f>
        <v>0</v>
      </c>
      <c r="AO38" s="75">
        <f>资产资本表!AO8</f>
        <v>0</v>
      </c>
      <c r="AP38" s="75">
        <f>资产资本表!AP8</f>
        <v>0</v>
      </c>
      <c r="AQ38" s="75">
        <f>资产资本表!AQ8</f>
        <v>0</v>
      </c>
      <c r="AR38" s="75">
        <f>资产资本表!AR8</f>
        <v>0</v>
      </c>
      <c r="AS38" s="75">
        <f>资产资本表!AS8</f>
        <v>0</v>
      </c>
      <c r="AT38" s="75">
        <f>资产资本表!AT8</f>
        <v>0</v>
      </c>
      <c r="AU38" s="75">
        <f>资产资本表!AU8</f>
        <v>0</v>
      </c>
      <c r="AV38" s="75">
        <f>资产资本表!AV8</f>
        <v>0</v>
      </c>
      <c r="AW38" s="75">
        <f>资产资本表!AW8</f>
        <v>0</v>
      </c>
      <c r="AX38" s="75">
        <f>资产资本表!AX8</f>
        <v>0</v>
      </c>
      <c r="AY38" s="75">
        <f>资产资本表!AY8</f>
        <v>0</v>
      </c>
      <c r="AZ38" s="75">
        <f>资产资本表!AZ8</f>
        <v>0</v>
      </c>
      <c r="BA38" s="75">
        <f>资产资本表!BA8</f>
        <v>0</v>
      </c>
      <c r="BB38" s="75">
        <f>资产资本表!BB8</f>
        <v>0</v>
      </c>
      <c r="BC38" s="75">
        <f>资产资本表!BC8</f>
        <v>0</v>
      </c>
      <c r="BD38" s="75">
        <f>资产资本表!BD8</f>
        <v>0</v>
      </c>
      <c r="BE38" s="75">
        <f>资产资本表!BE8</f>
        <v>0</v>
      </c>
      <c r="BF38" s="75">
        <f>资产资本表!BF8</f>
        <v>0</v>
      </c>
      <c r="BG38" s="75">
        <f>资产资本表!BG8</f>
        <v>0</v>
      </c>
      <c r="BH38" s="75">
        <f>资产资本表!BH8</f>
        <v>0</v>
      </c>
      <c r="BI38" s="75">
        <f>资产资本表!BI8</f>
        <v>0</v>
      </c>
      <c r="BJ38" s="75">
        <f>资产资本表!BJ8</f>
        <v>0</v>
      </c>
      <c r="BK38" s="75">
        <f>资产资本表!BK8</f>
        <v>0</v>
      </c>
      <c r="BL38" s="75">
        <f>资产资本表!BL8</f>
        <v>0</v>
      </c>
      <c r="BM38" s="75">
        <f>资产资本表!BM8</f>
        <v>0</v>
      </c>
      <c r="BN38" s="75">
        <f>资产资本表!BN8</f>
        <v>0</v>
      </c>
      <c r="BO38" s="75">
        <f>资产资本表!BO8</f>
        <v>0</v>
      </c>
      <c r="BP38" s="75">
        <f>资产资本表!BP8</f>
        <v>0</v>
      </c>
      <c r="BQ38" s="75">
        <f>资产资本表!BQ8</f>
        <v>0</v>
      </c>
      <c r="BR38" s="75">
        <f>资产资本表!BR8</f>
        <v>0</v>
      </c>
      <c r="BS38" s="75">
        <f>资产资本表!BS8</f>
        <v>0</v>
      </c>
      <c r="BT38" s="75">
        <f>资产资本表!BT8</f>
        <v>0</v>
      </c>
      <c r="BU38" s="75">
        <f>资产资本表!BU8</f>
        <v>0</v>
      </c>
      <c r="BV38" s="75">
        <f>资产资本表!BV8</f>
        <v>0</v>
      </c>
      <c r="BW38" s="75">
        <f>资产资本表!BW8</f>
        <v>0</v>
      </c>
      <c r="BX38" s="75">
        <f>资产资本表!BX8</f>
        <v>0</v>
      </c>
      <c r="BY38" s="75">
        <f>资产资本表!BY8</f>
        <v>0</v>
      </c>
      <c r="BZ38" s="75">
        <f>资产资本表!BZ8</f>
        <v>0</v>
      </c>
      <c r="CA38" s="75">
        <f>资产资本表!CA8</f>
        <v>0</v>
      </c>
      <c r="CB38" s="75">
        <f>资产资本表!CB8</f>
        <v>0</v>
      </c>
      <c r="CC38" s="75">
        <f>资产资本表!CC8</f>
        <v>0</v>
      </c>
      <c r="CD38" s="75">
        <f>资产资本表!CD8</f>
        <v>0</v>
      </c>
      <c r="CE38" s="75">
        <f>资产资本表!CE8</f>
        <v>0</v>
      </c>
      <c r="CF38" s="75">
        <f>资产资本表!CF8</f>
        <v>0</v>
      </c>
      <c r="CG38" s="75">
        <f>资产资本表!CG8</f>
        <v>0</v>
      </c>
      <c r="CH38" s="75">
        <f>资产资本表!CH8</f>
        <v>0</v>
      </c>
      <c r="CI38" s="75">
        <f>资产资本表!CI8</f>
        <v>0</v>
      </c>
      <c r="CJ38" s="75">
        <f>资产资本表!CJ8</f>
        <v>0</v>
      </c>
      <c r="CK38" s="75">
        <f>资产资本表!CK8</f>
        <v>0</v>
      </c>
    </row>
    <row r="39" spans="1:89" s="75" customFormat="1" x14ac:dyDescent="0.25">
      <c r="A39" s="145" t="s">
        <v>456</v>
      </c>
      <c r="E39" s="75">
        <f>资产资本表!E9</f>
        <v>0</v>
      </c>
      <c r="F39" s="75">
        <f>资产资本表!F9</f>
        <v>0</v>
      </c>
      <c r="G39" s="75">
        <f>资产资本表!G9</f>
        <v>0</v>
      </c>
      <c r="H39" s="75">
        <f>资产资本表!H9</f>
        <v>0</v>
      </c>
      <c r="I39" s="75">
        <f>资产资本表!I9</f>
        <v>0</v>
      </c>
      <c r="J39" s="75">
        <f>资产资本表!J9</f>
        <v>0</v>
      </c>
      <c r="K39" s="75">
        <f>资产资本表!K9</f>
        <v>0</v>
      </c>
      <c r="L39" s="75">
        <f>资产资本表!L9</f>
        <v>0</v>
      </c>
      <c r="M39" s="75">
        <f>资产资本表!M9</f>
        <v>0</v>
      </c>
      <c r="N39" s="75">
        <f>资产资本表!N9</f>
        <v>0</v>
      </c>
      <c r="O39" s="75">
        <f>资产资本表!O9</f>
        <v>0</v>
      </c>
      <c r="P39" s="75">
        <f>资产资本表!P9</f>
        <v>0</v>
      </c>
      <c r="Q39" s="75">
        <f>资产资本表!Q9</f>
        <v>0</v>
      </c>
      <c r="R39" s="75">
        <f>资产资本表!R9</f>
        <v>0</v>
      </c>
      <c r="S39" s="75">
        <f>资产资本表!S9</f>
        <v>0</v>
      </c>
      <c r="T39" s="75">
        <f>资产资本表!T9</f>
        <v>0</v>
      </c>
      <c r="U39" s="75">
        <f>资产资本表!U9</f>
        <v>0</v>
      </c>
      <c r="V39" s="75">
        <f>资产资本表!V9</f>
        <v>0</v>
      </c>
      <c r="W39" s="75">
        <f>资产资本表!W9</f>
        <v>0</v>
      </c>
      <c r="X39" s="75">
        <f>资产资本表!X9</f>
        <v>0</v>
      </c>
      <c r="Y39" s="75">
        <f>资产资本表!Y9</f>
        <v>0</v>
      </c>
      <c r="Z39" s="75">
        <f>资产资本表!Z9</f>
        <v>0</v>
      </c>
      <c r="AA39" s="75">
        <f>资产资本表!AA9</f>
        <v>0</v>
      </c>
      <c r="AB39" s="75">
        <f>资产资本表!AB9</f>
        <v>0</v>
      </c>
      <c r="AC39" s="75">
        <f>资产资本表!AC9</f>
        <v>0</v>
      </c>
      <c r="AD39" s="75">
        <f>资产资本表!AD9</f>
        <v>0</v>
      </c>
      <c r="AE39" s="75">
        <f>资产资本表!AE9</f>
        <v>0</v>
      </c>
      <c r="AF39" s="75">
        <f>资产资本表!AF9</f>
        <v>0</v>
      </c>
      <c r="AG39" s="75">
        <f>资产资本表!AG9</f>
        <v>0</v>
      </c>
      <c r="AH39" s="75">
        <f>资产资本表!AH9</f>
        <v>0</v>
      </c>
      <c r="AI39" s="75">
        <f>资产资本表!AI9</f>
        <v>0</v>
      </c>
      <c r="AJ39" s="75">
        <f>资产资本表!AJ9</f>
        <v>0</v>
      </c>
      <c r="AK39" s="75">
        <f>资产资本表!AK9</f>
        <v>0</v>
      </c>
      <c r="AL39" s="75">
        <f>资产资本表!AL9</f>
        <v>0</v>
      </c>
      <c r="AM39" s="75">
        <f>资产资本表!AM9</f>
        <v>0</v>
      </c>
      <c r="AN39" s="75">
        <f>资产资本表!AN9</f>
        <v>0</v>
      </c>
      <c r="AO39" s="75">
        <f>资产资本表!AO9</f>
        <v>0</v>
      </c>
      <c r="AP39" s="75">
        <f>资产资本表!AP9</f>
        <v>0</v>
      </c>
      <c r="AQ39" s="75">
        <f>资产资本表!AQ9</f>
        <v>0</v>
      </c>
      <c r="AR39" s="75">
        <f>资产资本表!AR9</f>
        <v>0</v>
      </c>
      <c r="AS39" s="75">
        <f>资产资本表!AS9</f>
        <v>0</v>
      </c>
      <c r="AT39" s="75">
        <f>资产资本表!AT9</f>
        <v>0</v>
      </c>
      <c r="AU39" s="75">
        <f>资产资本表!AU9</f>
        <v>0</v>
      </c>
      <c r="AV39" s="75">
        <f>资产资本表!AV9</f>
        <v>0</v>
      </c>
      <c r="AW39" s="75">
        <f>资产资本表!AW9</f>
        <v>0</v>
      </c>
      <c r="AX39" s="75">
        <f>资产资本表!AX9</f>
        <v>0</v>
      </c>
      <c r="AY39" s="75">
        <f>资产资本表!AY9</f>
        <v>0</v>
      </c>
      <c r="AZ39" s="75">
        <f>资产资本表!AZ9</f>
        <v>0</v>
      </c>
      <c r="BA39" s="75">
        <f>资产资本表!BA9</f>
        <v>0</v>
      </c>
      <c r="BB39" s="75">
        <f>资产资本表!BB9</f>
        <v>0</v>
      </c>
      <c r="BC39" s="75">
        <f>资产资本表!BC9</f>
        <v>0</v>
      </c>
      <c r="BD39" s="75">
        <f>资产资本表!BD9</f>
        <v>0</v>
      </c>
      <c r="BE39" s="75">
        <f>资产资本表!BE9</f>
        <v>0</v>
      </c>
      <c r="BF39" s="75">
        <f>资产资本表!BF9</f>
        <v>0</v>
      </c>
      <c r="BG39" s="75">
        <f>资产资本表!BG9</f>
        <v>0</v>
      </c>
      <c r="BH39" s="75">
        <f>资产资本表!BH9</f>
        <v>0</v>
      </c>
      <c r="BI39" s="75">
        <f>资产资本表!BI9</f>
        <v>0</v>
      </c>
      <c r="BJ39" s="75">
        <f>资产资本表!BJ9</f>
        <v>0</v>
      </c>
      <c r="BK39" s="75">
        <f>资产资本表!BK9</f>
        <v>0</v>
      </c>
      <c r="BL39" s="75">
        <f>资产资本表!BL9</f>
        <v>0</v>
      </c>
      <c r="BM39" s="75">
        <f>资产资本表!BM9</f>
        <v>0</v>
      </c>
      <c r="BN39" s="75">
        <f>资产资本表!BN9</f>
        <v>0</v>
      </c>
      <c r="BO39" s="75">
        <f>资产资本表!BO9</f>
        <v>0</v>
      </c>
      <c r="BP39" s="75">
        <f>资产资本表!BP9</f>
        <v>0</v>
      </c>
      <c r="BQ39" s="75">
        <f>资产资本表!BQ9</f>
        <v>0</v>
      </c>
      <c r="BR39" s="75">
        <f>资产资本表!BR9</f>
        <v>0</v>
      </c>
      <c r="BS39" s="75">
        <f>资产资本表!BS9</f>
        <v>0</v>
      </c>
      <c r="BT39" s="75">
        <f>资产资本表!BT9</f>
        <v>0</v>
      </c>
      <c r="BU39" s="75">
        <f>资产资本表!BU9</f>
        <v>0</v>
      </c>
      <c r="BV39" s="75">
        <f>资产资本表!BV9</f>
        <v>0</v>
      </c>
      <c r="BW39" s="75">
        <f>资产资本表!BW9</f>
        <v>0</v>
      </c>
      <c r="BX39" s="75">
        <f>资产资本表!BX9</f>
        <v>0</v>
      </c>
      <c r="BY39" s="75">
        <f>资产资本表!BY9</f>
        <v>0</v>
      </c>
      <c r="BZ39" s="75">
        <f>资产资本表!BZ9</f>
        <v>0</v>
      </c>
      <c r="CA39" s="75">
        <f>资产资本表!CA9</f>
        <v>0</v>
      </c>
      <c r="CB39" s="75">
        <f>资产资本表!CB9</f>
        <v>0</v>
      </c>
      <c r="CC39" s="75">
        <f>资产资本表!CC9</f>
        <v>0</v>
      </c>
      <c r="CD39" s="75">
        <f>资产资本表!CD9</f>
        <v>0</v>
      </c>
      <c r="CE39" s="75">
        <f>资产资本表!CE9</f>
        <v>0</v>
      </c>
      <c r="CF39" s="75">
        <f>资产资本表!CF9</f>
        <v>0</v>
      </c>
      <c r="CG39" s="75">
        <f>资产资本表!CG9</f>
        <v>0</v>
      </c>
      <c r="CH39" s="75">
        <f>资产资本表!CH9</f>
        <v>0</v>
      </c>
      <c r="CI39" s="75">
        <f>资产资本表!CI9</f>
        <v>0</v>
      </c>
      <c r="CJ39" s="75">
        <f>资产资本表!CJ9</f>
        <v>0</v>
      </c>
      <c r="CK39" s="75">
        <f>资产资本表!CK9</f>
        <v>0</v>
      </c>
    </row>
    <row r="40" spans="1:89" s="75" customFormat="1" x14ac:dyDescent="0.25">
      <c r="A40" s="145" t="s">
        <v>457</v>
      </c>
      <c r="E40" s="75">
        <f>资产资本表!E10</f>
        <v>32705186.800000001</v>
      </c>
      <c r="F40" s="75">
        <f>资产资本表!F10</f>
        <v>31922835.780000001</v>
      </c>
      <c r="G40" s="75">
        <f>资产资本表!G10</f>
        <v>32134569.809999999</v>
      </c>
      <c r="H40" s="75">
        <f>资产资本表!H10</f>
        <v>32346303.84</v>
      </c>
      <c r="I40" s="75">
        <f>资产资本表!I10</f>
        <v>32239457.280000001</v>
      </c>
      <c r="J40" s="75">
        <f>资产资本表!J10</f>
        <v>32449119.48</v>
      </c>
      <c r="K40" s="75">
        <f>资产资本表!K10</f>
        <v>32658781.68</v>
      </c>
      <c r="L40" s="75">
        <f>资产资本表!L10</f>
        <v>33078106.079999998</v>
      </c>
      <c r="M40" s="75">
        <f>资产资本表!M10</f>
        <v>33916754.880000003</v>
      </c>
      <c r="N40" s="75">
        <f>资产资本表!N10</f>
        <v>34755403.68</v>
      </c>
      <c r="O40" s="75">
        <f>资产资本表!O10</f>
        <v>0</v>
      </c>
      <c r="P40" s="75">
        <f>资产资本表!P10</f>
        <v>0</v>
      </c>
      <c r="Q40" s="75">
        <f>资产资本表!Q10</f>
        <v>0</v>
      </c>
      <c r="R40" s="75">
        <f>资产资本表!R10</f>
        <v>0</v>
      </c>
      <c r="S40" s="75">
        <f>资产资本表!S10</f>
        <v>0</v>
      </c>
      <c r="T40" s="75">
        <f>资产资本表!T10</f>
        <v>0</v>
      </c>
      <c r="U40" s="75">
        <f>资产资本表!U10</f>
        <v>0</v>
      </c>
      <c r="V40" s="75">
        <f>资产资本表!V10</f>
        <v>0</v>
      </c>
      <c r="W40" s="75">
        <f>资产资本表!W10</f>
        <v>0</v>
      </c>
      <c r="X40" s="75">
        <f>资产资本表!X10</f>
        <v>0</v>
      </c>
      <c r="Y40" s="75">
        <f>资产资本表!Y10</f>
        <v>0</v>
      </c>
      <c r="Z40" s="75">
        <f>资产资本表!Z10</f>
        <v>0</v>
      </c>
      <c r="AA40" s="75">
        <f>资产资本表!AA10</f>
        <v>0</v>
      </c>
      <c r="AB40" s="75">
        <f>资产资本表!AB10</f>
        <v>0</v>
      </c>
      <c r="AC40" s="75">
        <f>资产资本表!AC10</f>
        <v>0</v>
      </c>
      <c r="AD40" s="75">
        <f>资产资本表!AD10</f>
        <v>0</v>
      </c>
      <c r="AE40" s="75">
        <f>资产资本表!AE10</f>
        <v>0</v>
      </c>
      <c r="AF40" s="75">
        <f>资产资本表!AF10</f>
        <v>0</v>
      </c>
      <c r="AG40" s="75">
        <f>资产资本表!AG10</f>
        <v>0</v>
      </c>
      <c r="AH40" s="75">
        <f>资产资本表!AH10</f>
        <v>0</v>
      </c>
      <c r="AI40" s="75">
        <f>资产资本表!AI10</f>
        <v>0</v>
      </c>
      <c r="AJ40" s="75">
        <f>资产资本表!AJ10</f>
        <v>0</v>
      </c>
      <c r="AK40" s="75">
        <f>资产资本表!AK10</f>
        <v>0</v>
      </c>
      <c r="AL40" s="75">
        <f>资产资本表!AL10</f>
        <v>0</v>
      </c>
      <c r="AM40" s="75">
        <f>资产资本表!AM10</f>
        <v>0</v>
      </c>
      <c r="AN40" s="75">
        <f>资产资本表!AN10</f>
        <v>0</v>
      </c>
      <c r="AO40" s="75">
        <f>资产资本表!AO10</f>
        <v>0</v>
      </c>
      <c r="AP40" s="75">
        <f>资产资本表!AP10</f>
        <v>0</v>
      </c>
      <c r="AQ40" s="75">
        <f>资产资本表!AQ10</f>
        <v>0</v>
      </c>
      <c r="AR40" s="75">
        <f>资产资本表!AR10</f>
        <v>0</v>
      </c>
      <c r="AS40" s="75">
        <f>资产资本表!AS10</f>
        <v>0</v>
      </c>
      <c r="AT40" s="75">
        <f>资产资本表!AT10</f>
        <v>0</v>
      </c>
      <c r="AU40" s="75">
        <f>资产资本表!AU10</f>
        <v>0</v>
      </c>
      <c r="AV40" s="75">
        <f>资产资本表!AV10</f>
        <v>0</v>
      </c>
      <c r="AW40" s="75">
        <f>资产资本表!AW10</f>
        <v>0</v>
      </c>
      <c r="AX40" s="75">
        <f>资产资本表!AX10</f>
        <v>0</v>
      </c>
      <c r="AY40" s="75">
        <f>资产资本表!AY10</f>
        <v>0</v>
      </c>
      <c r="AZ40" s="75">
        <f>资产资本表!AZ10</f>
        <v>0</v>
      </c>
      <c r="BA40" s="75">
        <f>资产资本表!BA10</f>
        <v>0</v>
      </c>
      <c r="BB40" s="75">
        <f>资产资本表!BB10</f>
        <v>0</v>
      </c>
      <c r="BC40" s="75">
        <f>资产资本表!BC10</f>
        <v>0</v>
      </c>
      <c r="BD40" s="75">
        <f>资产资本表!BD10</f>
        <v>0</v>
      </c>
      <c r="BE40" s="75">
        <f>资产资本表!BE10</f>
        <v>0</v>
      </c>
      <c r="BF40" s="75">
        <f>资产资本表!BF10</f>
        <v>0</v>
      </c>
      <c r="BG40" s="75">
        <f>资产资本表!BG10</f>
        <v>0</v>
      </c>
      <c r="BH40" s="75">
        <f>资产资本表!BH10</f>
        <v>0</v>
      </c>
      <c r="BI40" s="75">
        <f>资产资本表!BI10</f>
        <v>0</v>
      </c>
      <c r="BJ40" s="75">
        <f>资产资本表!BJ10</f>
        <v>0</v>
      </c>
      <c r="BK40" s="75">
        <f>资产资本表!BK10</f>
        <v>0</v>
      </c>
      <c r="BL40" s="75">
        <f>资产资本表!BL10</f>
        <v>0</v>
      </c>
      <c r="BM40" s="75">
        <f>资产资本表!BM10</f>
        <v>0</v>
      </c>
      <c r="BN40" s="75">
        <f>资产资本表!BN10</f>
        <v>0</v>
      </c>
      <c r="BO40" s="75">
        <f>资产资本表!BO10</f>
        <v>0</v>
      </c>
      <c r="BP40" s="75">
        <f>资产资本表!BP10</f>
        <v>0</v>
      </c>
      <c r="BQ40" s="75">
        <f>资产资本表!BQ10</f>
        <v>0</v>
      </c>
      <c r="BR40" s="75">
        <f>资产资本表!BR10</f>
        <v>0</v>
      </c>
      <c r="BS40" s="75">
        <f>资产资本表!BS10</f>
        <v>0</v>
      </c>
      <c r="BT40" s="75">
        <f>资产资本表!BT10</f>
        <v>0</v>
      </c>
      <c r="BU40" s="75">
        <f>资产资本表!BU10</f>
        <v>0</v>
      </c>
      <c r="BV40" s="75">
        <f>资产资本表!BV10</f>
        <v>0</v>
      </c>
      <c r="BW40" s="75">
        <f>资产资本表!BW10</f>
        <v>0</v>
      </c>
      <c r="BX40" s="75">
        <f>资产资本表!BX10</f>
        <v>0</v>
      </c>
      <c r="BY40" s="75">
        <f>资产资本表!BY10</f>
        <v>0</v>
      </c>
      <c r="BZ40" s="75">
        <f>资产资本表!BZ10</f>
        <v>0</v>
      </c>
      <c r="CA40" s="75">
        <f>资产资本表!CA10</f>
        <v>0</v>
      </c>
      <c r="CB40" s="75">
        <f>资产资本表!CB10</f>
        <v>0</v>
      </c>
      <c r="CC40" s="75">
        <f>资产资本表!CC10</f>
        <v>0</v>
      </c>
      <c r="CD40" s="75">
        <f>资产资本表!CD10</f>
        <v>0</v>
      </c>
      <c r="CE40" s="75">
        <f>资产资本表!CE10</f>
        <v>0</v>
      </c>
      <c r="CF40" s="75">
        <f>资产资本表!CF10</f>
        <v>0</v>
      </c>
      <c r="CG40" s="75">
        <f>资产资本表!CG10</f>
        <v>0</v>
      </c>
      <c r="CH40" s="75">
        <f>资产资本表!CH10</f>
        <v>0</v>
      </c>
      <c r="CI40" s="75">
        <f>资产资本表!CI10</f>
        <v>0</v>
      </c>
      <c r="CJ40" s="75">
        <f>资产资本表!CJ10</f>
        <v>0</v>
      </c>
      <c r="CK40" s="75">
        <f>资产资本表!CK10</f>
        <v>0</v>
      </c>
    </row>
    <row r="41" spans="1:89" s="75" customFormat="1" x14ac:dyDescent="0.25">
      <c r="A41" s="145" t="s">
        <v>458</v>
      </c>
      <c r="E41" s="75">
        <f>资产资本表!E12</f>
        <v>0</v>
      </c>
      <c r="F41" s="75">
        <f>资产资本表!F12</f>
        <v>0</v>
      </c>
      <c r="G41" s="75">
        <f>资产资本表!G12</f>
        <v>0</v>
      </c>
      <c r="H41" s="75">
        <f>资产资本表!H12</f>
        <v>0</v>
      </c>
      <c r="I41" s="75">
        <f>资产资本表!I12</f>
        <v>0</v>
      </c>
      <c r="J41" s="75">
        <f>资产资本表!J12</f>
        <v>0</v>
      </c>
      <c r="K41" s="75">
        <f>资产资本表!K12</f>
        <v>0</v>
      </c>
      <c r="L41" s="75">
        <f>资产资本表!L12</f>
        <v>0</v>
      </c>
      <c r="M41" s="75">
        <f>资产资本表!M12</f>
        <v>0</v>
      </c>
      <c r="N41" s="75">
        <f>资产资本表!N12</f>
        <v>0</v>
      </c>
      <c r="O41" s="75">
        <f>资产资本表!O12</f>
        <v>0</v>
      </c>
      <c r="P41" s="75">
        <f>资产资本表!P12</f>
        <v>0</v>
      </c>
      <c r="Q41" s="75">
        <f>资产资本表!Q12</f>
        <v>0</v>
      </c>
      <c r="R41" s="75">
        <f>资产资本表!R12</f>
        <v>0</v>
      </c>
      <c r="S41" s="75">
        <f>资产资本表!S12</f>
        <v>0</v>
      </c>
      <c r="T41" s="75">
        <f>资产资本表!T12</f>
        <v>0</v>
      </c>
      <c r="U41" s="75">
        <f>资产资本表!U12</f>
        <v>0</v>
      </c>
      <c r="V41" s="75">
        <f>资产资本表!V12</f>
        <v>0</v>
      </c>
      <c r="W41" s="75">
        <f>资产资本表!W12</f>
        <v>0</v>
      </c>
      <c r="X41" s="75">
        <f>资产资本表!X12</f>
        <v>0</v>
      </c>
      <c r="Y41" s="75">
        <f>资产资本表!Y12</f>
        <v>0</v>
      </c>
      <c r="Z41" s="75">
        <f>资产资本表!Z12</f>
        <v>0</v>
      </c>
      <c r="AA41" s="75">
        <f>资产资本表!AA12</f>
        <v>0</v>
      </c>
      <c r="AB41" s="75">
        <f>资产资本表!AB12</f>
        <v>0</v>
      </c>
      <c r="AC41" s="75">
        <f>资产资本表!AC12</f>
        <v>0</v>
      </c>
      <c r="AD41" s="75">
        <f>资产资本表!AD12</f>
        <v>0</v>
      </c>
      <c r="AE41" s="75">
        <f>资产资本表!AE12</f>
        <v>0</v>
      </c>
      <c r="AF41" s="75">
        <f>资产资本表!AF12</f>
        <v>0</v>
      </c>
      <c r="AG41" s="75">
        <f>资产资本表!AG12</f>
        <v>0</v>
      </c>
      <c r="AH41" s="75">
        <f>资产资本表!AH12</f>
        <v>0</v>
      </c>
      <c r="AI41" s="75">
        <f>资产资本表!AI12</f>
        <v>0</v>
      </c>
      <c r="AJ41" s="75">
        <f>资产资本表!AJ12</f>
        <v>0</v>
      </c>
      <c r="AK41" s="75">
        <f>资产资本表!AK12</f>
        <v>0</v>
      </c>
      <c r="AL41" s="75">
        <f>资产资本表!AL12</f>
        <v>0</v>
      </c>
      <c r="AM41" s="75">
        <f>资产资本表!AM12</f>
        <v>0</v>
      </c>
      <c r="AN41" s="75">
        <f>资产资本表!AN12</f>
        <v>0</v>
      </c>
      <c r="AO41" s="75">
        <f>资产资本表!AO12</f>
        <v>0</v>
      </c>
      <c r="AP41" s="75">
        <f>资产资本表!AP12</f>
        <v>0</v>
      </c>
      <c r="AQ41" s="75">
        <f>资产资本表!AQ12</f>
        <v>0</v>
      </c>
      <c r="AR41" s="75">
        <f>资产资本表!AR12</f>
        <v>0</v>
      </c>
      <c r="AS41" s="75">
        <f>资产资本表!AS12</f>
        <v>0</v>
      </c>
      <c r="AT41" s="75">
        <f>资产资本表!AT12</f>
        <v>0</v>
      </c>
      <c r="AU41" s="75">
        <f>资产资本表!AU12</f>
        <v>0</v>
      </c>
      <c r="AV41" s="75">
        <f>资产资本表!AV12</f>
        <v>0</v>
      </c>
      <c r="AW41" s="75">
        <f>资产资本表!AW12</f>
        <v>0</v>
      </c>
      <c r="AX41" s="75">
        <f>资产资本表!AX12</f>
        <v>0</v>
      </c>
      <c r="AY41" s="75">
        <f>资产资本表!AY12</f>
        <v>0</v>
      </c>
      <c r="AZ41" s="75">
        <f>资产资本表!AZ12</f>
        <v>0</v>
      </c>
      <c r="BA41" s="75">
        <f>资产资本表!BA12</f>
        <v>0</v>
      </c>
      <c r="BB41" s="75">
        <f>资产资本表!BB12</f>
        <v>0</v>
      </c>
      <c r="BC41" s="75">
        <f>资产资本表!BC12</f>
        <v>0</v>
      </c>
      <c r="BD41" s="75">
        <f>资产资本表!BD12</f>
        <v>0</v>
      </c>
      <c r="BE41" s="75">
        <f>资产资本表!BE12</f>
        <v>0</v>
      </c>
      <c r="BF41" s="75">
        <f>资产资本表!BF12</f>
        <v>0</v>
      </c>
      <c r="BG41" s="75">
        <f>资产资本表!BG12</f>
        <v>0</v>
      </c>
      <c r="BH41" s="75">
        <f>资产资本表!BH12</f>
        <v>0</v>
      </c>
      <c r="BI41" s="75">
        <f>资产资本表!BI12</f>
        <v>0</v>
      </c>
      <c r="BJ41" s="75">
        <f>资产资本表!BJ12</f>
        <v>0</v>
      </c>
      <c r="BK41" s="75">
        <f>资产资本表!BK12</f>
        <v>0</v>
      </c>
      <c r="BL41" s="75">
        <f>资产资本表!BL12</f>
        <v>0</v>
      </c>
      <c r="BM41" s="75">
        <f>资产资本表!BM12</f>
        <v>0</v>
      </c>
      <c r="BN41" s="75">
        <f>资产资本表!BN12</f>
        <v>0</v>
      </c>
      <c r="BO41" s="75">
        <f>资产资本表!BO12</f>
        <v>0</v>
      </c>
      <c r="BP41" s="75">
        <f>资产资本表!BP12</f>
        <v>0</v>
      </c>
      <c r="BQ41" s="75">
        <f>资产资本表!BQ12</f>
        <v>0</v>
      </c>
      <c r="BR41" s="75">
        <f>资产资本表!BR12</f>
        <v>0</v>
      </c>
      <c r="BS41" s="75">
        <f>资产资本表!BS12</f>
        <v>0</v>
      </c>
      <c r="BT41" s="75">
        <f>资产资本表!BT12</f>
        <v>0</v>
      </c>
      <c r="BU41" s="75">
        <f>资产资本表!BU12</f>
        <v>0</v>
      </c>
      <c r="BV41" s="75">
        <f>资产资本表!BV12</f>
        <v>0</v>
      </c>
      <c r="BW41" s="75">
        <f>资产资本表!BW12</f>
        <v>0</v>
      </c>
      <c r="BX41" s="75">
        <f>资产资本表!BX12</f>
        <v>0</v>
      </c>
      <c r="BY41" s="75">
        <f>资产资本表!BY12</f>
        <v>0</v>
      </c>
      <c r="BZ41" s="75">
        <f>资产资本表!BZ12</f>
        <v>0</v>
      </c>
      <c r="CA41" s="75">
        <f>资产资本表!CA12</f>
        <v>0</v>
      </c>
      <c r="CB41" s="75">
        <f>资产资本表!CB12</f>
        <v>0</v>
      </c>
      <c r="CC41" s="75">
        <f>资产资本表!CC12</f>
        <v>0</v>
      </c>
      <c r="CD41" s="75">
        <f>资产资本表!CD12</f>
        <v>0</v>
      </c>
      <c r="CE41" s="75">
        <f>资产资本表!CE12</f>
        <v>0</v>
      </c>
      <c r="CF41" s="75">
        <f>资产资本表!CF12</f>
        <v>0</v>
      </c>
      <c r="CG41" s="75">
        <f>资产资本表!CG12</f>
        <v>0</v>
      </c>
      <c r="CH41" s="75">
        <f>资产资本表!CH12</f>
        <v>0</v>
      </c>
      <c r="CI41" s="75">
        <f>资产资本表!CI12</f>
        <v>0</v>
      </c>
      <c r="CJ41" s="75">
        <f>资产资本表!CJ12</f>
        <v>0</v>
      </c>
    </row>
    <row r="42" spans="1:89" s="75" customFormat="1" x14ac:dyDescent="0.25">
      <c r="A42" s="145" t="s">
        <v>459</v>
      </c>
      <c r="E42" s="75">
        <f>资产资本表!E6</f>
        <v>0</v>
      </c>
      <c r="F42" s="75">
        <f>资产资本表!F6</f>
        <v>0</v>
      </c>
      <c r="G42" s="75">
        <f>资产资本表!G6</f>
        <v>0</v>
      </c>
      <c r="H42" s="75">
        <f>资产资本表!H6</f>
        <v>0</v>
      </c>
      <c r="I42" s="75">
        <f>资产资本表!I6</f>
        <v>0</v>
      </c>
      <c r="J42" s="75">
        <f>资产资本表!J6</f>
        <v>0</v>
      </c>
      <c r="K42" s="75">
        <f>资产资本表!K6</f>
        <v>0</v>
      </c>
      <c r="L42" s="75">
        <f>资产资本表!L6</f>
        <v>0</v>
      </c>
      <c r="M42" s="75">
        <f>资产资本表!M6</f>
        <v>0</v>
      </c>
      <c r="N42" s="75">
        <f>资产资本表!N6</f>
        <v>0</v>
      </c>
      <c r="O42" s="75">
        <f>资产资本表!O6</f>
        <v>0</v>
      </c>
      <c r="P42" s="75">
        <f>资产资本表!P6</f>
        <v>0</v>
      </c>
      <c r="Q42" s="75">
        <f>资产资本表!Q6</f>
        <v>0</v>
      </c>
      <c r="R42" s="75">
        <f>资产资本表!R6</f>
        <v>0</v>
      </c>
      <c r="S42" s="75">
        <f>资产资本表!S6</f>
        <v>0</v>
      </c>
      <c r="T42" s="75">
        <f>资产资本表!T6</f>
        <v>0</v>
      </c>
      <c r="U42" s="75">
        <f>资产资本表!U6</f>
        <v>0</v>
      </c>
      <c r="V42" s="75">
        <f>资产资本表!V6</f>
        <v>0</v>
      </c>
      <c r="W42" s="75">
        <f>资产资本表!W6</f>
        <v>0</v>
      </c>
      <c r="X42" s="75">
        <f>资产资本表!X6</f>
        <v>0</v>
      </c>
      <c r="Y42" s="75">
        <f>资产资本表!Y6</f>
        <v>0</v>
      </c>
      <c r="Z42" s="75">
        <f>资产资本表!Z6</f>
        <v>0</v>
      </c>
      <c r="AA42" s="75">
        <f>资产资本表!AA6</f>
        <v>0</v>
      </c>
      <c r="AB42" s="75">
        <f>资产资本表!AB6</f>
        <v>0</v>
      </c>
      <c r="AC42" s="75">
        <f>资产资本表!AC6</f>
        <v>0</v>
      </c>
      <c r="AD42" s="75">
        <f>资产资本表!AD6</f>
        <v>0</v>
      </c>
      <c r="AE42" s="75">
        <f>资产资本表!AE6</f>
        <v>0</v>
      </c>
      <c r="AF42" s="75">
        <f>资产资本表!AF6</f>
        <v>0</v>
      </c>
      <c r="AG42" s="75">
        <f>资产资本表!AG6</f>
        <v>0</v>
      </c>
      <c r="AH42" s="75">
        <f>资产资本表!AH6</f>
        <v>0</v>
      </c>
      <c r="AI42" s="75">
        <f>资产资本表!AI6</f>
        <v>0</v>
      </c>
      <c r="AJ42" s="75">
        <f>资产资本表!AJ6</f>
        <v>0</v>
      </c>
      <c r="AK42" s="75">
        <f>资产资本表!AK6</f>
        <v>0</v>
      </c>
      <c r="AL42" s="75">
        <f>资产资本表!AL6</f>
        <v>0</v>
      </c>
      <c r="AM42" s="75">
        <f>资产资本表!AM6</f>
        <v>0</v>
      </c>
      <c r="AN42" s="75">
        <f>资产资本表!AN6</f>
        <v>0</v>
      </c>
      <c r="AO42" s="75">
        <f>资产资本表!AO6</f>
        <v>0</v>
      </c>
      <c r="AP42" s="75">
        <f>资产资本表!AP6</f>
        <v>0</v>
      </c>
      <c r="AQ42" s="75">
        <f>资产资本表!AQ6</f>
        <v>0</v>
      </c>
      <c r="AR42" s="75">
        <f>资产资本表!AR6</f>
        <v>0</v>
      </c>
      <c r="AS42" s="75">
        <f>资产资本表!AS6</f>
        <v>0</v>
      </c>
      <c r="AT42" s="75">
        <f>资产资本表!AT6</f>
        <v>0</v>
      </c>
      <c r="AU42" s="75">
        <f>资产资本表!AU6</f>
        <v>0</v>
      </c>
      <c r="AV42" s="75">
        <f>资产资本表!AV6</f>
        <v>0</v>
      </c>
      <c r="AW42" s="75">
        <f>资产资本表!AW6</f>
        <v>0</v>
      </c>
      <c r="AX42" s="75">
        <f>资产资本表!AX6</f>
        <v>0</v>
      </c>
      <c r="AY42" s="75">
        <f>资产资本表!AY6</f>
        <v>0</v>
      </c>
      <c r="AZ42" s="75">
        <f>资产资本表!AZ6</f>
        <v>0</v>
      </c>
      <c r="BA42" s="75">
        <f>资产资本表!BA6</f>
        <v>0</v>
      </c>
      <c r="BB42" s="75">
        <f>资产资本表!BB6</f>
        <v>0</v>
      </c>
      <c r="BC42" s="75">
        <f>资产资本表!BC6</f>
        <v>0</v>
      </c>
      <c r="BD42" s="75">
        <f>资产资本表!BD6</f>
        <v>0</v>
      </c>
      <c r="BE42" s="75">
        <f>资产资本表!BE6</f>
        <v>0</v>
      </c>
      <c r="BF42" s="75">
        <f>资产资本表!BF6</f>
        <v>0</v>
      </c>
      <c r="BG42" s="75">
        <f>资产资本表!BG6</f>
        <v>0</v>
      </c>
      <c r="BH42" s="75">
        <f>资产资本表!BH6</f>
        <v>0</v>
      </c>
      <c r="BI42" s="75">
        <f>资产资本表!BI6</f>
        <v>0</v>
      </c>
      <c r="BJ42" s="75">
        <f>资产资本表!BJ6</f>
        <v>0</v>
      </c>
      <c r="BK42" s="75">
        <f>资产资本表!BK6</f>
        <v>0</v>
      </c>
      <c r="BL42" s="75">
        <f>资产资本表!BL6</f>
        <v>0</v>
      </c>
      <c r="BM42" s="75">
        <f>资产资本表!BM6</f>
        <v>0</v>
      </c>
      <c r="BN42" s="75">
        <f>资产资本表!BN6</f>
        <v>0</v>
      </c>
      <c r="BO42" s="75">
        <f>资产资本表!BO6</f>
        <v>0</v>
      </c>
      <c r="BP42" s="75">
        <f>资产资本表!BP6</f>
        <v>0</v>
      </c>
      <c r="BQ42" s="75">
        <f>资产资本表!BQ6</f>
        <v>0</v>
      </c>
      <c r="BR42" s="75">
        <f>资产资本表!BR6</f>
        <v>0</v>
      </c>
      <c r="BS42" s="75">
        <f>资产资本表!BS6</f>
        <v>0</v>
      </c>
      <c r="BT42" s="75">
        <f>资产资本表!BT6</f>
        <v>0</v>
      </c>
      <c r="BU42" s="75">
        <f>资产资本表!BU6</f>
        <v>0</v>
      </c>
      <c r="BV42" s="75">
        <f>资产资本表!BV6</f>
        <v>0</v>
      </c>
      <c r="BW42" s="75">
        <f>资产资本表!BW6</f>
        <v>0</v>
      </c>
      <c r="BX42" s="75">
        <f>资产资本表!BX6</f>
        <v>0</v>
      </c>
      <c r="BY42" s="75">
        <f>资产资本表!BY6</f>
        <v>0</v>
      </c>
      <c r="BZ42" s="75">
        <f>资产资本表!BZ6</f>
        <v>0</v>
      </c>
      <c r="CA42" s="75">
        <f>资产资本表!CA6</f>
        <v>0</v>
      </c>
      <c r="CB42" s="75">
        <f>资产资本表!CB6</f>
        <v>0</v>
      </c>
      <c r="CC42" s="75">
        <f>资产资本表!CC6</f>
        <v>0</v>
      </c>
      <c r="CD42" s="75">
        <f>资产资本表!CD6</f>
        <v>0</v>
      </c>
      <c r="CE42" s="75">
        <f>资产资本表!CE6</f>
        <v>0</v>
      </c>
      <c r="CF42" s="75">
        <f>资产资本表!CF6</f>
        <v>0</v>
      </c>
      <c r="CG42" s="75">
        <f>资产资本表!CG6</f>
        <v>0</v>
      </c>
      <c r="CH42" s="75">
        <f>资产资本表!CH6</f>
        <v>0</v>
      </c>
      <c r="CI42" s="75">
        <f>资产资本表!CI6</f>
        <v>0</v>
      </c>
      <c r="CJ42" s="75">
        <f>资产资本表!CJ6</f>
        <v>0</v>
      </c>
    </row>
    <row r="43" spans="1:89" s="75" customFormat="1" x14ac:dyDescent="0.25">
      <c r="A43" s="146" t="s">
        <v>460</v>
      </c>
      <c r="E43" s="75">
        <f>SUM(E34:E42)</f>
        <v>359724222.34000003</v>
      </c>
      <c r="F43" s="75">
        <f t="shared" ref="F43:BQ43" si="14">SUM(F34:F42)</f>
        <v>272744670.59000003</v>
      </c>
      <c r="G43" s="75">
        <f t="shared" si="14"/>
        <v>360990104.43000001</v>
      </c>
      <c r="H43" s="75">
        <f t="shared" si="14"/>
        <v>543018430.06000006</v>
      </c>
      <c r="I43" s="75">
        <f t="shared" si="14"/>
        <v>442073371.21000004</v>
      </c>
      <c r="J43" s="75">
        <f t="shared" si="14"/>
        <v>173441088.34999999</v>
      </c>
      <c r="K43" s="75">
        <f t="shared" si="14"/>
        <v>125763270.44</v>
      </c>
      <c r="L43" s="75">
        <f t="shared" si="14"/>
        <v>203669416.86000001</v>
      </c>
      <c r="M43" s="75">
        <f t="shared" si="14"/>
        <v>121360190</v>
      </c>
      <c r="N43" s="75">
        <f t="shared" si="14"/>
        <v>121048251.62</v>
      </c>
      <c r="O43" s="75">
        <f t="shared" si="14"/>
        <v>131378573.28</v>
      </c>
      <c r="P43" s="75">
        <f t="shared" si="14"/>
        <v>106634430.42</v>
      </c>
      <c r="Q43" s="75">
        <f t="shared" si="14"/>
        <v>0</v>
      </c>
      <c r="R43" s="75">
        <f t="shared" si="14"/>
        <v>0</v>
      </c>
      <c r="S43" s="75">
        <f t="shared" si="14"/>
        <v>0</v>
      </c>
      <c r="T43" s="75">
        <f t="shared" si="14"/>
        <v>0</v>
      </c>
      <c r="U43" s="75">
        <f t="shared" si="14"/>
        <v>0</v>
      </c>
      <c r="V43" s="75">
        <f t="shared" si="14"/>
        <v>0</v>
      </c>
      <c r="W43" s="75">
        <f t="shared" si="14"/>
        <v>0</v>
      </c>
      <c r="X43" s="75">
        <f t="shared" si="14"/>
        <v>0</v>
      </c>
      <c r="Y43" s="75">
        <f t="shared" si="14"/>
        <v>0</v>
      </c>
      <c r="Z43" s="75">
        <f t="shared" si="14"/>
        <v>0</v>
      </c>
      <c r="AA43" s="75">
        <f t="shared" si="14"/>
        <v>0</v>
      </c>
      <c r="AB43" s="75">
        <f t="shared" si="14"/>
        <v>0</v>
      </c>
      <c r="AC43" s="75">
        <f t="shared" si="14"/>
        <v>0</v>
      </c>
      <c r="AD43" s="75">
        <f t="shared" si="14"/>
        <v>0</v>
      </c>
      <c r="AE43" s="75">
        <f t="shared" si="14"/>
        <v>0</v>
      </c>
      <c r="AF43" s="75">
        <f t="shared" si="14"/>
        <v>0</v>
      </c>
      <c r="AG43" s="75">
        <f t="shared" si="14"/>
        <v>0</v>
      </c>
      <c r="AH43" s="75">
        <f t="shared" si="14"/>
        <v>0</v>
      </c>
      <c r="AI43" s="75">
        <f t="shared" si="14"/>
        <v>0</v>
      </c>
      <c r="AJ43" s="75">
        <f t="shared" si="14"/>
        <v>0</v>
      </c>
      <c r="AK43" s="75">
        <f t="shared" si="14"/>
        <v>0</v>
      </c>
      <c r="AL43" s="75">
        <f t="shared" si="14"/>
        <v>0</v>
      </c>
      <c r="AM43" s="75">
        <f t="shared" si="14"/>
        <v>0</v>
      </c>
      <c r="AN43" s="75">
        <f t="shared" si="14"/>
        <v>0</v>
      </c>
      <c r="AO43" s="75">
        <f t="shared" si="14"/>
        <v>0</v>
      </c>
      <c r="AP43" s="75">
        <f t="shared" si="14"/>
        <v>0</v>
      </c>
      <c r="AQ43" s="75">
        <f t="shared" si="14"/>
        <v>0</v>
      </c>
      <c r="AR43" s="75">
        <f t="shared" si="14"/>
        <v>0</v>
      </c>
      <c r="AS43" s="75">
        <f t="shared" si="14"/>
        <v>0</v>
      </c>
      <c r="AT43" s="75">
        <f t="shared" si="14"/>
        <v>0</v>
      </c>
      <c r="AU43" s="75">
        <f t="shared" si="14"/>
        <v>0</v>
      </c>
      <c r="AV43" s="75">
        <f t="shared" si="14"/>
        <v>0</v>
      </c>
      <c r="AW43" s="75">
        <f t="shared" si="14"/>
        <v>0</v>
      </c>
      <c r="AX43" s="75">
        <f t="shared" si="14"/>
        <v>0</v>
      </c>
      <c r="AY43" s="75">
        <f t="shared" si="14"/>
        <v>0</v>
      </c>
      <c r="AZ43" s="75">
        <f t="shared" si="14"/>
        <v>0</v>
      </c>
      <c r="BA43" s="75">
        <f t="shared" si="14"/>
        <v>0</v>
      </c>
      <c r="BB43" s="75">
        <f t="shared" si="14"/>
        <v>0</v>
      </c>
      <c r="BC43" s="75">
        <f t="shared" si="14"/>
        <v>0</v>
      </c>
      <c r="BD43" s="75">
        <f t="shared" si="14"/>
        <v>0</v>
      </c>
      <c r="BE43" s="75">
        <f t="shared" si="14"/>
        <v>0</v>
      </c>
      <c r="BF43" s="75">
        <f t="shared" si="14"/>
        <v>0</v>
      </c>
      <c r="BG43" s="75">
        <f t="shared" si="14"/>
        <v>0</v>
      </c>
      <c r="BH43" s="75">
        <f t="shared" si="14"/>
        <v>0</v>
      </c>
      <c r="BI43" s="75">
        <f t="shared" si="14"/>
        <v>0</v>
      </c>
      <c r="BJ43" s="75">
        <f t="shared" si="14"/>
        <v>0</v>
      </c>
      <c r="BK43" s="75">
        <f t="shared" si="14"/>
        <v>0</v>
      </c>
      <c r="BL43" s="75">
        <f t="shared" si="14"/>
        <v>0</v>
      </c>
      <c r="BM43" s="75">
        <f t="shared" si="14"/>
        <v>0</v>
      </c>
      <c r="BN43" s="75">
        <f t="shared" si="14"/>
        <v>0</v>
      </c>
      <c r="BO43" s="75">
        <f t="shared" si="14"/>
        <v>0</v>
      </c>
      <c r="BP43" s="75">
        <f t="shared" si="14"/>
        <v>0</v>
      </c>
      <c r="BQ43" s="75">
        <f t="shared" si="14"/>
        <v>0</v>
      </c>
      <c r="BR43" s="75">
        <f t="shared" ref="BR43:CJ43" si="15">SUM(BR34:BR42)</f>
        <v>0</v>
      </c>
      <c r="BS43" s="75">
        <f t="shared" si="15"/>
        <v>0</v>
      </c>
      <c r="BT43" s="75">
        <f t="shared" si="15"/>
        <v>0</v>
      </c>
      <c r="BU43" s="75">
        <f t="shared" si="15"/>
        <v>0</v>
      </c>
      <c r="BV43" s="75">
        <f t="shared" si="15"/>
        <v>0</v>
      </c>
      <c r="BW43" s="75">
        <f t="shared" si="15"/>
        <v>0</v>
      </c>
      <c r="BX43" s="75">
        <f t="shared" si="15"/>
        <v>0</v>
      </c>
      <c r="BY43" s="75">
        <f t="shared" si="15"/>
        <v>0</v>
      </c>
      <c r="BZ43" s="75">
        <f t="shared" si="15"/>
        <v>0</v>
      </c>
      <c r="CA43" s="75">
        <f t="shared" si="15"/>
        <v>0</v>
      </c>
      <c r="CB43" s="75">
        <f t="shared" si="15"/>
        <v>0</v>
      </c>
      <c r="CC43" s="75">
        <f t="shared" si="15"/>
        <v>0</v>
      </c>
      <c r="CD43" s="75">
        <f t="shared" si="15"/>
        <v>0</v>
      </c>
      <c r="CE43" s="75">
        <f t="shared" si="15"/>
        <v>0</v>
      </c>
      <c r="CF43" s="75">
        <f t="shared" si="15"/>
        <v>0</v>
      </c>
      <c r="CG43" s="75">
        <f t="shared" si="15"/>
        <v>0</v>
      </c>
      <c r="CH43" s="75">
        <f t="shared" si="15"/>
        <v>0</v>
      </c>
      <c r="CI43" s="75">
        <f t="shared" si="15"/>
        <v>0</v>
      </c>
      <c r="CJ43" s="75">
        <f t="shared" si="15"/>
        <v>0</v>
      </c>
    </row>
    <row r="44" spans="1:89" s="109" customFormat="1" x14ac:dyDescent="0.25">
      <c r="A44" s="143" t="s">
        <v>461</v>
      </c>
      <c r="E44" s="109">
        <f>E32/E43</f>
        <v>2.446723373759797E-2</v>
      </c>
      <c r="F44" s="109">
        <f t="shared" ref="F44:BQ44" si="16">F32/F43</f>
        <v>1.7182004708885427E-2</v>
      </c>
      <c r="G44" s="109">
        <f t="shared" si="16"/>
        <v>6.4997817057360838E-3</v>
      </c>
      <c r="H44" s="109">
        <f t="shared" si="16"/>
        <v>1.1161548253483258E-3</v>
      </c>
      <c r="I44" s="109">
        <f t="shared" si="16"/>
        <v>3.2453307491898771E-3</v>
      </c>
      <c r="J44" s="109">
        <f t="shared" si="16"/>
        <v>4.6472312427814534E-4</v>
      </c>
      <c r="K44" s="109">
        <f t="shared" si="16"/>
        <v>3.9859066471546034E-4</v>
      </c>
      <c r="L44" s="109">
        <f t="shared" si="16"/>
        <v>0</v>
      </c>
      <c r="M44" s="109">
        <f t="shared" si="16"/>
        <v>4.5703772058822752E-3</v>
      </c>
      <c r="N44" s="109">
        <f t="shared" si="16"/>
        <v>7.3959256346866438E-4</v>
      </c>
      <c r="O44" s="109">
        <f t="shared" si="16"/>
        <v>0</v>
      </c>
      <c r="P44" s="109">
        <f t="shared" si="16"/>
        <v>0</v>
      </c>
      <c r="Q44" s="109" t="e">
        <f t="shared" si="16"/>
        <v>#DIV/0!</v>
      </c>
      <c r="R44" s="109" t="e">
        <f t="shared" si="16"/>
        <v>#DIV/0!</v>
      </c>
      <c r="S44" s="109" t="e">
        <f t="shared" si="16"/>
        <v>#DIV/0!</v>
      </c>
      <c r="T44" s="109" t="e">
        <f t="shared" si="16"/>
        <v>#DIV/0!</v>
      </c>
      <c r="U44" s="109" t="e">
        <f t="shared" si="16"/>
        <v>#DIV/0!</v>
      </c>
      <c r="V44" s="109" t="e">
        <f t="shared" si="16"/>
        <v>#DIV/0!</v>
      </c>
      <c r="W44" s="109" t="e">
        <f t="shared" si="16"/>
        <v>#DIV/0!</v>
      </c>
      <c r="X44" s="109" t="e">
        <f t="shared" si="16"/>
        <v>#DIV/0!</v>
      </c>
      <c r="Y44" s="109" t="e">
        <f t="shared" si="16"/>
        <v>#DIV/0!</v>
      </c>
      <c r="Z44" s="109" t="e">
        <f t="shared" si="16"/>
        <v>#DIV/0!</v>
      </c>
      <c r="AA44" s="109" t="e">
        <f t="shared" si="16"/>
        <v>#DIV/0!</v>
      </c>
      <c r="AB44" s="109" t="e">
        <f t="shared" si="16"/>
        <v>#DIV/0!</v>
      </c>
      <c r="AC44" s="109" t="e">
        <f t="shared" si="16"/>
        <v>#DIV/0!</v>
      </c>
      <c r="AD44" s="109" t="e">
        <f t="shared" si="16"/>
        <v>#DIV/0!</v>
      </c>
      <c r="AE44" s="109" t="e">
        <f t="shared" si="16"/>
        <v>#DIV/0!</v>
      </c>
      <c r="AF44" s="109" t="e">
        <f t="shared" si="16"/>
        <v>#DIV/0!</v>
      </c>
      <c r="AG44" s="109" t="e">
        <f t="shared" si="16"/>
        <v>#DIV/0!</v>
      </c>
      <c r="AH44" s="109" t="e">
        <f t="shared" si="16"/>
        <v>#DIV/0!</v>
      </c>
      <c r="AI44" s="109" t="e">
        <f t="shared" si="16"/>
        <v>#DIV/0!</v>
      </c>
      <c r="AJ44" s="109" t="e">
        <f t="shared" si="16"/>
        <v>#DIV/0!</v>
      </c>
      <c r="AK44" s="109" t="e">
        <f t="shared" si="16"/>
        <v>#DIV/0!</v>
      </c>
      <c r="AL44" s="109" t="e">
        <f t="shared" si="16"/>
        <v>#DIV/0!</v>
      </c>
      <c r="AM44" s="109" t="e">
        <f t="shared" si="16"/>
        <v>#DIV/0!</v>
      </c>
      <c r="AN44" s="109" t="e">
        <f t="shared" si="16"/>
        <v>#DIV/0!</v>
      </c>
      <c r="AO44" s="109" t="e">
        <f t="shared" si="16"/>
        <v>#DIV/0!</v>
      </c>
      <c r="AP44" s="109" t="e">
        <f t="shared" si="16"/>
        <v>#DIV/0!</v>
      </c>
      <c r="AQ44" s="109" t="e">
        <f t="shared" si="16"/>
        <v>#DIV/0!</v>
      </c>
      <c r="AR44" s="109" t="e">
        <f t="shared" si="16"/>
        <v>#DIV/0!</v>
      </c>
      <c r="AS44" s="109" t="e">
        <f t="shared" si="16"/>
        <v>#DIV/0!</v>
      </c>
      <c r="AT44" s="109" t="e">
        <f t="shared" si="16"/>
        <v>#DIV/0!</v>
      </c>
      <c r="AU44" s="109" t="e">
        <f t="shared" si="16"/>
        <v>#DIV/0!</v>
      </c>
      <c r="AV44" s="109" t="e">
        <f t="shared" si="16"/>
        <v>#DIV/0!</v>
      </c>
      <c r="AW44" s="109" t="e">
        <f t="shared" si="16"/>
        <v>#DIV/0!</v>
      </c>
      <c r="AX44" s="109" t="e">
        <f t="shared" si="16"/>
        <v>#DIV/0!</v>
      </c>
      <c r="AY44" s="109" t="e">
        <f t="shared" si="16"/>
        <v>#DIV/0!</v>
      </c>
      <c r="AZ44" s="109" t="e">
        <f t="shared" si="16"/>
        <v>#DIV/0!</v>
      </c>
      <c r="BA44" s="109" t="e">
        <f t="shared" si="16"/>
        <v>#DIV/0!</v>
      </c>
      <c r="BB44" s="109" t="e">
        <f t="shared" si="16"/>
        <v>#DIV/0!</v>
      </c>
      <c r="BC44" s="109" t="e">
        <f t="shared" si="16"/>
        <v>#DIV/0!</v>
      </c>
      <c r="BD44" s="109" t="e">
        <f t="shared" si="16"/>
        <v>#DIV/0!</v>
      </c>
      <c r="BE44" s="109" t="e">
        <f t="shared" si="16"/>
        <v>#DIV/0!</v>
      </c>
      <c r="BF44" s="109" t="e">
        <f t="shared" si="16"/>
        <v>#DIV/0!</v>
      </c>
      <c r="BG44" s="109" t="e">
        <f t="shared" si="16"/>
        <v>#DIV/0!</v>
      </c>
      <c r="BH44" s="109" t="e">
        <f t="shared" si="16"/>
        <v>#DIV/0!</v>
      </c>
      <c r="BI44" s="109" t="e">
        <f t="shared" si="16"/>
        <v>#DIV/0!</v>
      </c>
      <c r="BJ44" s="109" t="e">
        <f t="shared" si="16"/>
        <v>#DIV/0!</v>
      </c>
      <c r="BK44" s="109" t="e">
        <f t="shared" si="16"/>
        <v>#DIV/0!</v>
      </c>
      <c r="BL44" s="109" t="e">
        <f t="shared" si="16"/>
        <v>#DIV/0!</v>
      </c>
      <c r="BM44" s="109" t="e">
        <f t="shared" si="16"/>
        <v>#DIV/0!</v>
      </c>
      <c r="BN44" s="109" t="e">
        <f t="shared" si="16"/>
        <v>#DIV/0!</v>
      </c>
      <c r="BO44" s="109" t="e">
        <f t="shared" si="16"/>
        <v>#DIV/0!</v>
      </c>
      <c r="BP44" s="109" t="e">
        <f t="shared" si="16"/>
        <v>#DIV/0!</v>
      </c>
      <c r="BQ44" s="109" t="e">
        <f t="shared" si="16"/>
        <v>#DIV/0!</v>
      </c>
      <c r="BR44" s="109" t="e">
        <f t="shared" ref="BR44:CK44" si="17">BR32/BR43</f>
        <v>#DIV/0!</v>
      </c>
      <c r="BS44" s="109" t="e">
        <f t="shared" si="17"/>
        <v>#DIV/0!</v>
      </c>
      <c r="BT44" s="109" t="e">
        <f t="shared" si="17"/>
        <v>#DIV/0!</v>
      </c>
      <c r="BU44" s="109" t="e">
        <f t="shared" si="17"/>
        <v>#DIV/0!</v>
      </c>
      <c r="BV44" s="109" t="e">
        <f t="shared" si="17"/>
        <v>#DIV/0!</v>
      </c>
      <c r="BW44" s="109" t="e">
        <f t="shared" si="17"/>
        <v>#DIV/0!</v>
      </c>
      <c r="BX44" s="109" t="e">
        <f t="shared" si="17"/>
        <v>#DIV/0!</v>
      </c>
      <c r="BY44" s="109" t="e">
        <f t="shared" si="17"/>
        <v>#DIV/0!</v>
      </c>
      <c r="BZ44" s="109" t="e">
        <f t="shared" si="17"/>
        <v>#DIV/0!</v>
      </c>
      <c r="CA44" s="109" t="e">
        <f t="shared" si="17"/>
        <v>#DIV/0!</v>
      </c>
      <c r="CB44" s="109" t="e">
        <f t="shared" si="17"/>
        <v>#DIV/0!</v>
      </c>
      <c r="CC44" s="109" t="e">
        <f t="shared" si="17"/>
        <v>#DIV/0!</v>
      </c>
      <c r="CD44" s="109" t="e">
        <f t="shared" si="17"/>
        <v>#DIV/0!</v>
      </c>
      <c r="CE44" s="109" t="e">
        <f t="shared" si="17"/>
        <v>#DIV/0!</v>
      </c>
      <c r="CF44" s="109" t="e">
        <f t="shared" si="17"/>
        <v>#DIV/0!</v>
      </c>
      <c r="CG44" s="109" t="e">
        <f t="shared" si="17"/>
        <v>#DIV/0!</v>
      </c>
      <c r="CH44" s="109" t="e">
        <f t="shared" si="17"/>
        <v>#DIV/0!</v>
      </c>
      <c r="CI44" s="109" t="e">
        <f t="shared" si="17"/>
        <v>#DIV/0!</v>
      </c>
      <c r="CJ44" s="109" t="e">
        <f t="shared" si="17"/>
        <v>#DIV/0!</v>
      </c>
      <c r="CK44" s="109" t="e">
        <f t="shared" si="17"/>
        <v>#DIV/0!</v>
      </c>
    </row>
    <row r="45" spans="1:89" s="16" customFormat="1" ht="81.599999999999994" customHeight="1" x14ac:dyDescent="0.25">
      <c r="A45" s="278" t="s">
        <v>695</v>
      </c>
      <c r="B45" s="277"/>
      <c r="C45" s="277"/>
      <c r="D45" s="277"/>
      <c r="E45" s="277"/>
      <c r="F45" s="277"/>
      <c r="G45" s="277"/>
      <c r="H45" s="277"/>
      <c r="I45" s="277"/>
      <c r="J45" s="277"/>
      <c r="K45" s="277"/>
      <c r="L45" s="277"/>
      <c r="M45" s="277"/>
      <c r="N45" s="277"/>
      <c r="O45" s="277"/>
      <c r="P45" s="277"/>
      <c r="Q45" s="277"/>
      <c r="R45" s="277"/>
      <c r="S45" s="277"/>
      <c r="T45" s="277"/>
      <c r="U45" s="277"/>
      <c r="V45" s="277"/>
      <c r="W45" s="277"/>
      <c r="X45" s="277"/>
      <c r="Y45" s="277"/>
      <c r="Z45" s="277"/>
      <c r="AA45" s="277"/>
      <c r="AB45" s="277"/>
      <c r="AC45" s="277"/>
      <c r="AD45" s="277"/>
      <c r="AE45" s="277"/>
      <c r="AF45" s="277"/>
      <c r="AG45" s="277"/>
    </row>
    <row r="46" spans="1:89" s="57" customFormat="1" x14ac:dyDescent="0.25">
      <c r="A46" s="57" t="s">
        <v>696</v>
      </c>
      <c r="E46" s="57">
        <f>E43/资产资本表!E70</f>
        <v>0.32854873917419702</v>
      </c>
      <c r="F46" s="57">
        <f>F43/资产资本表!F70</f>
        <v>0.25868965347347045</v>
      </c>
      <c r="G46" s="57">
        <f>G43/资产资本表!G70</f>
        <v>0.36040540793175818</v>
      </c>
      <c r="H46" s="57">
        <f>H43/资产资本表!H70</f>
        <v>0.51913849111174948</v>
      </c>
      <c r="I46" s="57">
        <f>I43/资产资本表!I70</f>
        <v>0.4162377303961905</v>
      </c>
      <c r="J46" s="57">
        <f>J43/资产资本表!J70</f>
        <v>0.3109975324157303</v>
      </c>
      <c r="K46" s="57">
        <f>K43/资产资本表!K70</f>
        <v>0.24559791210781812</v>
      </c>
      <c r="L46" s="57">
        <f>L43/资产资本表!L70</f>
        <v>0.35829787789832579</v>
      </c>
      <c r="M46" s="57">
        <f>M43/资产资本表!M70</f>
        <v>0.24747755742914701</v>
      </c>
      <c r="N46" s="57">
        <f>N43/资产资本表!N70</f>
        <v>0.24396088058892268</v>
      </c>
      <c r="O46" s="57">
        <f>O43/资产资本表!O70</f>
        <v>0.39849469017989569</v>
      </c>
      <c r="P46" s="57">
        <f>P43/资产资本表!P70</f>
        <v>0.44894427174475343</v>
      </c>
      <c r="Q46" s="57" t="e">
        <f>Q43/资产资本表!Q70</f>
        <v>#DIV/0!</v>
      </c>
      <c r="R46" s="57" t="e">
        <f>R43/资产资本表!R70</f>
        <v>#DIV/0!</v>
      </c>
      <c r="S46" s="57" t="e">
        <f>S43/资产资本表!S70</f>
        <v>#DIV/0!</v>
      </c>
      <c r="T46" s="57" t="e">
        <f>T43/资产资本表!T70</f>
        <v>#DIV/0!</v>
      </c>
      <c r="U46" s="57" t="e">
        <f>U43/资产资本表!U70</f>
        <v>#DIV/0!</v>
      </c>
      <c r="V46" s="57" t="e">
        <f>V43/资产资本表!V70</f>
        <v>#DIV/0!</v>
      </c>
      <c r="W46" s="57" t="e">
        <f>W43/资产资本表!W70</f>
        <v>#DIV/0!</v>
      </c>
      <c r="X46" s="57" t="e">
        <f>X43/资产资本表!X70</f>
        <v>#DIV/0!</v>
      </c>
      <c r="Y46" s="57" t="e">
        <f>Y43/资产资本表!Y70</f>
        <v>#DIV/0!</v>
      </c>
      <c r="Z46" s="57" t="e">
        <f>Z43/资产资本表!Z70</f>
        <v>#DIV/0!</v>
      </c>
      <c r="AA46" s="57" t="e">
        <f>AA43/资产资本表!AA70</f>
        <v>#DIV/0!</v>
      </c>
      <c r="AB46" s="57" t="e">
        <f>AB43/资产资本表!AB70</f>
        <v>#DIV/0!</v>
      </c>
      <c r="AC46" s="57" t="e">
        <f>AC43/资产资本表!AC70</f>
        <v>#DIV/0!</v>
      </c>
      <c r="AD46" s="57" t="e">
        <f>AD43/资产资本表!AD70</f>
        <v>#DIV/0!</v>
      </c>
      <c r="AE46" s="57" t="e">
        <f>AE43/资产资本表!AE70</f>
        <v>#DIV/0!</v>
      </c>
      <c r="AF46" s="57" t="e">
        <f>AF43/资产资本表!AF70</f>
        <v>#DIV/0!</v>
      </c>
      <c r="AG46" s="57" t="e">
        <f>AG43/资产资本表!AG70</f>
        <v>#DIV/0!</v>
      </c>
      <c r="AH46" s="57" t="e">
        <f>AH43/资产资本表!AH70</f>
        <v>#DIV/0!</v>
      </c>
      <c r="AI46" s="57" t="e">
        <f>AI43/资产资本表!AI70</f>
        <v>#DIV/0!</v>
      </c>
      <c r="AJ46" s="57" t="e">
        <f>AJ43/资产资本表!AJ70</f>
        <v>#DIV/0!</v>
      </c>
      <c r="AK46" s="57" t="e">
        <f>AK43/资产资本表!AK70</f>
        <v>#DIV/0!</v>
      </c>
      <c r="AL46" s="57" t="e">
        <f>AL43/资产资本表!AL70</f>
        <v>#DIV/0!</v>
      </c>
      <c r="AM46" s="57" t="e">
        <f>AM43/资产资本表!AM70</f>
        <v>#DIV/0!</v>
      </c>
      <c r="AN46" s="57" t="e">
        <f>AN43/资产资本表!AN70</f>
        <v>#DIV/0!</v>
      </c>
      <c r="AO46" s="57" t="e">
        <f>AO43/资产资本表!AO70</f>
        <v>#DIV/0!</v>
      </c>
      <c r="AP46" s="57" t="e">
        <f>AP43/资产资本表!AP70</f>
        <v>#DIV/0!</v>
      </c>
      <c r="AQ46" s="57" t="e">
        <f>AQ43/资产资本表!AQ70</f>
        <v>#DIV/0!</v>
      </c>
      <c r="AR46" s="57" t="e">
        <f>AR43/资产资本表!AR70</f>
        <v>#DIV/0!</v>
      </c>
      <c r="AS46" s="57" t="e">
        <f>AS43/资产资本表!AS70</f>
        <v>#DIV/0!</v>
      </c>
      <c r="AT46" s="57" t="e">
        <f>AT43/资产资本表!AT70</f>
        <v>#DIV/0!</v>
      </c>
      <c r="AU46" s="57" t="e">
        <f>AU43/资产资本表!AU70</f>
        <v>#DIV/0!</v>
      </c>
      <c r="AV46" s="57" t="e">
        <f>AV43/资产资本表!AV70</f>
        <v>#DIV/0!</v>
      </c>
      <c r="AW46" s="57" t="e">
        <f>AW43/资产资本表!AW70</f>
        <v>#DIV/0!</v>
      </c>
      <c r="AX46" s="57" t="e">
        <f>AX43/资产资本表!AX70</f>
        <v>#DIV/0!</v>
      </c>
      <c r="AY46" s="57" t="e">
        <f>AY43/资产资本表!AY70</f>
        <v>#DIV/0!</v>
      </c>
      <c r="AZ46" s="57" t="e">
        <f>AZ43/资产资本表!AZ70</f>
        <v>#DIV/0!</v>
      </c>
      <c r="BA46" s="57" t="e">
        <f>BA43/资产资本表!BA70</f>
        <v>#DIV/0!</v>
      </c>
      <c r="BB46" s="57" t="e">
        <f>BB43/资产资本表!BB70</f>
        <v>#DIV/0!</v>
      </c>
      <c r="BC46" s="57" t="e">
        <f>BC43/资产资本表!BC70</f>
        <v>#DIV/0!</v>
      </c>
      <c r="BD46" s="57" t="e">
        <f>BD43/资产资本表!BD70</f>
        <v>#DIV/0!</v>
      </c>
      <c r="BE46" s="57" t="e">
        <f>BE43/资产资本表!BE70</f>
        <v>#DIV/0!</v>
      </c>
      <c r="BF46" s="57" t="e">
        <f>BF43/资产资本表!BF70</f>
        <v>#DIV/0!</v>
      </c>
      <c r="BG46" s="57" t="e">
        <f>BG43/资产资本表!BG70</f>
        <v>#DIV/0!</v>
      </c>
      <c r="BH46" s="57" t="e">
        <f>BH43/资产资本表!BH70</f>
        <v>#DIV/0!</v>
      </c>
      <c r="BI46" s="57" t="e">
        <f>BI43/资产资本表!BI70</f>
        <v>#DIV/0!</v>
      </c>
      <c r="BJ46" s="57" t="e">
        <f>BJ43/资产资本表!BJ70</f>
        <v>#DIV/0!</v>
      </c>
      <c r="BK46" s="57" t="e">
        <f>BK43/资产资本表!BK70</f>
        <v>#DIV/0!</v>
      </c>
      <c r="BL46" s="57" t="e">
        <f>BL43/资产资本表!BL70</f>
        <v>#DIV/0!</v>
      </c>
      <c r="BM46" s="57" t="e">
        <f>BM43/资产资本表!BM70</f>
        <v>#DIV/0!</v>
      </c>
      <c r="BN46" s="57" t="e">
        <f>BN43/资产资本表!BN70</f>
        <v>#DIV/0!</v>
      </c>
      <c r="BO46" s="57" t="e">
        <f>BO43/资产资本表!BO70</f>
        <v>#DIV/0!</v>
      </c>
      <c r="BP46" s="57" t="e">
        <f>BP43/资产资本表!BP70</f>
        <v>#DIV/0!</v>
      </c>
      <c r="BQ46" s="57" t="e">
        <f>BQ43/资产资本表!BQ70</f>
        <v>#DIV/0!</v>
      </c>
      <c r="BR46" s="57" t="e">
        <f>BR43/资产资本表!BR70</f>
        <v>#DIV/0!</v>
      </c>
      <c r="BS46" s="57" t="e">
        <f>BS43/资产资本表!BS70</f>
        <v>#DIV/0!</v>
      </c>
      <c r="BT46" s="57" t="e">
        <f>BT43/资产资本表!BT70</f>
        <v>#DIV/0!</v>
      </c>
      <c r="BU46" s="57" t="e">
        <f>BU43/资产资本表!BU70</f>
        <v>#DIV/0!</v>
      </c>
      <c r="BV46" s="57" t="e">
        <f>BV43/资产资本表!BV70</f>
        <v>#DIV/0!</v>
      </c>
      <c r="BW46" s="57" t="e">
        <f>BW43/资产资本表!BW70</f>
        <v>#DIV/0!</v>
      </c>
      <c r="BX46" s="57" t="e">
        <f>BX43/资产资本表!BX70</f>
        <v>#DIV/0!</v>
      </c>
      <c r="BY46" s="57" t="e">
        <f>BY43/资产资本表!BY70</f>
        <v>#DIV/0!</v>
      </c>
      <c r="BZ46" s="57" t="e">
        <f>BZ43/资产资本表!BZ70</f>
        <v>#DIV/0!</v>
      </c>
      <c r="CA46" s="57" t="e">
        <f>CA43/资产资本表!CA70</f>
        <v>#DIV/0!</v>
      </c>
      <c r="CB46" s="57" t="e">
        <f>CB43/资产资本表!CB70</f>
        <v>#DIV/0!</v>
      </c>
      <c r="CC46" s="57" t="e">
        <f>CC43/资产资本表!CC70</f>
        <v>#DIV/0!</v>
      </c>
      <c r="CD46" s="57" t="e">
        <f>CD43/资产资本表!CD70</f>
        <v>#DIV/0!</v>
      </c>
      <c r="CE46" s="57" t="e">
        <f>CE43/资产资本表!CE70</f>
        <v>#DIV/0!</v>
      </c>
      <c r="CF46" s="57" t="e">
        <f>CF43/资产资本表!CF70</f>
        <v>#DIV/0!</v>
      </c>
      <c r="CG46" s="57" t="e">
        <f>CG43/资产资本表!CG70</f>
        <v>#DIV/0!</v>
      </c>
      <c r="CH46" s="57" t="e">
        <f>CH43/资产资本表!CH70</f>
        <v>#DIV/0!</v>
      </c>
      <c r="CI46" s="57" t="e">
        <f>CI43/资产资本表!CI70</f>
        <v>#DIV/0!</v>
      </c>
      <c r="CJ46" s="57" t="e">
        <f>CJ43/资产资本表!CJ70</f>
        <v>#DIV/0!</v>
      </c>
      <c r="CK46" s="57" t="e">
        <f>CK43/资产资本表!CK70</f>
        <v>#DIV/0!</v>
      </c>
    </row>
    <row r="48" spans="1:89" s="115" customFormat="1" x14ac:dyDescent="0.25">
      <c r="A48" s="117" t="s">
        <v>462</v>
      </c>
      <c r="B48" s="1">
        <v>43373</v>
      </c>
      <c r="C48" s="1">
        <v>43281</v>
      </c>
      <c r="D48" s="1">
        <v>43190</v>
      </c>
      <c r="E48" s="1">
        <v>43100</v>
      </c>
      <c r="F48" s="1">
        <v>43008</v>
      </c>
      <c r="G48" s="1">
        <v>42916</v>
      </c>
      <c r="H48" s="1">
        <v>42825</v>
      </c>
      <c r="I48" s="1">
        <v>42735</v>
      </c>
      <c r="J48" s="1">
        <v>42643</v>
      </c>
      <c r="K48" s="1">
        <v>42551</v>
      </c>
      <c r="L48" s="1">
        <v>42460</v>
      </c>
      <c r="M48" s="1">
        <v>42369</v>
      </c>
      <c r="N48" s="1">
        <v>42277</v>
      </c>
      <c r="O48" s="1">
        <v>42004</v>
      </c>
      <c r="P48" s="1">
        <v>41639</v>
      </c>
      <c r="Q48" s="1">
        <v>41274</v>
      </c>
      <c r="R48" s="1">
        <v>40908</v>
      </c>
      <c r="S48" s="1">
        <v>25569</v>
      </c>
      <c r="T48" s="1"/>
      <c r="U48" s="1"/>
      <c r="V48" s="1"/>
      <c r="W48" s="1"/>
      <c r="X48" s="1"/>
      <c r="Y48" s="1"/>
      <c r="Z48" s="1"/>
      <c r="AA48" s="1"/>
      <c r="AB48" s="1"/>
      <c r="AC48" s="1"/>
      <c r="AD48" s="1"/>
      <c r="AE48" s="1"/>
      <c r="AF48" s="1"/>
      <c r="AG48" s="1"/>
      <c r="AH48" s="1"/>
      <c r="AI48" s="1"/>
      <c r="AJ48" s="1"/>
      <c r="AK48" s="1"/>
      <c r="AL48" s="1"/>
      <c r="AM48" s="1"/>
      <c r="AN48" s="1"/>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row>
    <row r="49" spans="1:89" s="75" customFormat="1" x14ac:dyDescent="0.25">
      <c r="A49" s="145" t="s">
        <v>463</v>
      </c>
      <c r="E49" s="75">
        <f>利润表!E4</f>
        <v>752408925.78999996</v>
      </c>
      <c r="F49" s="75">
        <f>利润表!F4</f>
        <v>525772942.17000002</v>
      </c>
      <c r="G49" s="75">
        <f>利润表!G4</f>
        <v>339770745.41000003</v>
      </c>
      <c r="H49" s="75">
        <f>利润表!H4</f>
        <v>153700781.78999999</v>
      </c>
      <c r="I49" s="75">
        <f>利润表!I4</f>
        <v>665011421.55999994</v>
      </c>
      <c r="J49" s="75">
        <f>利润表!J4</f>
        <v>454007921.24000001</v>
      </c>
      <c r="K49" s="75">
        <f>利润表!K4</f>
        <v>283257330.20999998</v>
      </c>
      <c r="L49" s="75">
        <f>利润表!L4</f>
        <v>124302689.18000001</v>
      </c>
      <c r="M49" s="75">
        <f>利润表!M4</f>
        <v>597037871.64999998</v>
      </c>
      <c r="N49" s="75">
        <f>利润表!N4</f>
        <v>409475329.64999998</v>
      </c>
      <c r="O49" s="75">
        <f>利润表!O4</f>
        <v>528809680.74000001</v>
      </c>
      <c r="P49" s="75">
        <f>利润表!P4</f>
        <v>484907942.22000003</v>
      </c>
      <c r="Q49" s="75">
        <f>利润表!Q4</f>
        <v>395593790.81</v>
      </c>
      <c r="R49" s="75">
        <f>利润表!R4</f>
        <v>316891515.43000001</v>
      </c>
      <c r="S49" s="75">
        <f>利润表!S4</f>
        <v>0</v>
      </c>
      <c r="T49" s="75">
        <f>利润表!T4</f>
        <v>0</v>
      </c>
      <c r="U49" s="75">
        <f>利润表!U4</f>
        <v>0</v>
      </c>
      <c r="V49" s="75">
        <f>利润表!V4</f>
        <v>0</v>
      </c>
      <c r="W49" s="75">
        <f>利润表!W4</f>
        <v>0</v>
      </c>
      <c r="X49" s="75">
        <f>利润表!X4</f>
        <v>0</v>
      </c>
      <c r="Y49" s="75">
        <f>利润表!Y4</f>
        <v>0</v>
      </c>
      <c r="Z49" s="75">
        <f>利润表!Z4</f>
        <v>0</v>
      </c>
      <c r="AA49" s="75">
        <f>利润表!AA4</f>
        <v>0</v>
      </c>
      <c r="AB49" s="75">
        <f>利润表!AB4</f>
        <v>0</v>
      </c>
      <c r="AC49" s="75">
        <f>利润表!AC4</f>
        <v>0</v>
      </c>
      <c r="AD49" s="75">
        <f>利润表!AD4</f>
        <v>0</v>
      </c>
      <c r="AE49" s="75">
        <f>利润表!AE4</f>
        <v>0</v>
      </c>
      <c r="AF49" s="75">
        <f>利润表!AF4</f>
        <v>0</v>
      </c>
      <c r="AG49" s="75">
        <f>利润表!AG4</f>
        <v>0</v>
      </c>
      <c r="AH49" s="75">
        <f>利润表!AH4</f>
        <v>0</v>
      </c>
      <c r="AI49" s="75">
        <f>利润表!AI4</f>
        <v>0</v>
      </c>
      <c r="AJ49" s="75">
        <f>利润表!AJ4</f>
        <v>0</v>
      </c>
      <c r="AK49" s="75">
        <f>利润表!AK4</f>
        <v>0</v>
      </c>
      <c r="AL49" s="75">
        <f>利润表!AL4</f>
        <v>0</v>
      </c>
      <c r="AM49" s="75">
        <f>利润表!AM4</f>
        <v>0</v>
      </c>
      <c r="AN49" s="75">
        <f>利润表!AN4</f>
        <v>0</v>
      </c>
      <c r="AO49" s="75">
        <f>利润表!AO4</f>
        <v>0</v>
      </c>
      <c r="AP49" s="75">
        <f>利润表!AP4</f>
        <v>0</v>
      </c>
      <c r="AQ49" s="75">
        <f>利润表!AQ4</f>
        <v>0</v>
      </c>
      <c r="AR49" s="75">
        <f>利润表!AR4</f>
        <v>0</v>
      </c>
      <c r="AS49" s="75">
        <f>利润表!AS4</f>
        <v>0</v>
      </c>
      <c r="AT49" s="75">
        <f>利润表!AT4</f>
        <v>0</v>
      </c>
      <c r="AU49" s="75">
        <f>利润表!AU4</f>
        <v>0</v>
      </c>
      <c r="AV49" s="75">
        <f>利润表!AV4</f>
        <v>0</v>
      </c>
      <c r="AW49" s="75">
        <f>利润表!AW4</f>
        <v>0</v>
      </c>
      <c r="AX49" s="75">
        <f>利润表!AX4</f>
        <v>0</v>
      </c>
      <c r="AY49" s="75">
        <f>利润表!AY4</f>
        <v>0</v>
      </c>
      <c r="AZ49" s="75">
        <f>利润表!AZ4</f>
        <v>0</v>
      </c>
      <c r="BA49" s="75">
        <f>利润表!BA4</f>
        <v>0</v>
      </c>
      <c r="BB49" s="75">
        <f>利润表!BB4</f>
        <v>0</v>
      </c>
      <c r="BC49" s="75">
        <f>利润表!BC4</f>
        <v>0</v>
      </c>
      <c r="BD49" s="75">
        <f>利润表!BD4</f>
        <v>0</v>
      </c>
      <c r="BE49" s="75">
        <f>利润表!BE4</f>
        <v>0</v>
      </c>
      <c r="BF49" s="75">
        <f>利润表!BF4</f>
        <v>0</v>
      </c>
      <c r="BG49" s="75">
        <f>利润表!BG4</f>
        <v>0</v>
      </c>
      <c r="BH49" s="75">
        <f>利润表!BH4</f>
        <v>0</v>
      </c>
      <c r="BI49" s="75">
        <f>利润表!BI4</f>
        <v>0</v>
      </c>
      <c r="BJ49" s="75">
        <f>利润表!BJ4</f>
        <v>0</v>
      </c>
      <c r="BK49" s="75">
        <f>利润表!BK4</f>
        <v>0</v>
      </c>
      <c r="BL49" s="75">
        <f>利润表!BL4</f>
        <v>0</v>
      </c>
      <c r="BM49" s="75">
        <f>利润表!BM4</f>
        <v>0</v>
      </c>
      <c r="BN49" s="75">
        <f>利润表!BN4</f>
        <v>0</v>
      </c>
      <c r="BO49" s="75">
        <f>利润表!BO4</f>
        <v>0</v>
      </c>
      <c r="BP49" s="75">
        <f>利润表!BP4</f>
        <v>0</v>
      </c>
      <c r="BQ49" s="75">
        <f>利润表!BQ4</f>
        <v>0</v>
      </c>
      <c r="BR49" s="75">
        <f>利润表!BR4</f>
        <v>0</v>
      </c>
      <c r="BS49" s="75">
        <f>利润表!BS4</f>
        <v>0</v>
      </c>
      <c r="BT49" s="75">
        <f>利润表!BT4</f>
        <v>0</v>
      </c>
      <c r="BU49" s="75">
        <f>利润表!BU4</f>
        <v>0</v>
      </c>
      <c r="BV49" s="75">
        <f>利润表!BV4</f>
        <v>0</v>
      </c>
      <c r="BW49" s="75">
        <f>利润表!BW4</f>
        <v>0</v>
      </c>
      <c r="BX49" s="75">
        <f>利润表!BX4</f>
        <v>0</v>
      </c>
      <c r="BY49" s="75">
        <f>利润表!BY4</f>
        <v>0</v>
      </c>
      <c r="BZ49" s="75">
        <f>利润表!BZ4</f>
        <v>0</v>
      </c>
      <c r="CA49" s="75">
        <f>利润表!CA4</f>
        <v>0</v>
      </c>
      <c r="CB49" s="75">
        <f>利润表!CB4</f>
        <v>0</v>
      </c>
      <c r="CC49" s="75">
        <f>利润表!CC4</f>
        <v>0</v>
      </c>
      <c r="CD49" s="75">
        <f>利润表!CD4</f>
        <v>0</v>
      </c>
      <c r="CE49" s="75">
        <f>利润表!CE4</f>
        <v>0</v>
      </c>
      <c r="CF49" s="75">
        <f>利润表!CF4</f>
        <v>0</v>
      </c>
      <c r="CG49" s="75">
        <f>利润表!CG4</f>
        <v>0</v>
      </c>
      <c r="CH49" s="75">
        <f>利润表!CH4</f>
        <v>0</v>
      </c>
      <c r="CI49" s="75">
        <f>利润表!CI4</f>
        <v>0</v>
      </c>
      <c r="CJ49" s="75">
        <f>利润表!CJ4</f>
        <v>0</v>
      </c>
      <c r="CK49" s="75">
        <f>利润表!CK4</f>
        <v>0</v>
      </c>
    </row>
    <row r="50" spans="1:89" s="75" customFormat="1" x14ac:dyDescent="0.25">
      <c r="A50" s="145" t="s">
        <v>464</v>
      </c>
      <c r="E50" s="75">
        <f>资产资本表!E50</f>
        <v>191971497.01999995</v>
      </c>
      <c r="F50" s="75">
        <f>资产资本表!F50</f>
        <v>314958716.34000003</v>
      </c>
      <c r="G50" s="75">
        <f>资产资本表!G50</f>
        <v>179942635.36999997</v>
      </c>
      <c r="H50" s="75">
        <f>资产资本表!H50</f>
        <v>46953509.559999973</v>
      </c>
      <c r="I50" s="75">
        <f>资产资本表!I50</f>
        <v>174160219.69000003</v>
      </c>
      <c r="J50" s="75">
        <f>资产资本表!J50</f>
        <v>-54243005.640000015</v>
      </c>
      <c r="K50" s="75">
        <f>资产资本表!K50</f>
        <v>-52081627.970000014</v>
      </c>
      <c r="L50" s="75">
        <f>资产资本表!L50</f>
        <v>-65944078.750000015</v>
      </c>
      <c r="M50" s="75">
        <f>资产资本表!M50</f>
        <v>-40591410.170000017</v>
      </c>
      <c r="N50" s="75">
        <f>资产资本表!N50</f>
        <v>-24105600.079999983</v>
      </c>
      <c r="O50" s="75">
        <f>资产资本表!O50</f>
        <v>17286619.160000011</v>
      </c>
      <c r="P50" s="75">
        <f>资产资本表!P50</f>
        <v>-393556.98000000417</v>
      </c>
      <c r="Q50" s="75">
        <f>资产资本表!Q50</f>
        <v>0</v>
      </c>
      <c r="R50" s="75">
        <f>资产资本表!R50</f>
        <v>0</v>
      </c>
      <c r="S50" s="75">
        <f>资产资本表!S50</f>
        <v>0</v>
      </c>
      <c r="T50" s="75">
        <f>资产资本表!T50</f>
        <v>0</v>
      </c>
      <c r="U50" s="75">
        <f>资产资本表!U50</f>
        <v>0</v>
      </c>
      <c r="V50" s="75">
        <f>资产资本表!V50</f>
        <v>0</v>
      </c>
      <c r="W50" s="75">
        <f>资产资本表!W50</f>
        <v>0</v>
      </c>
      <c r="X50" s="75">
        <f>资产资本表!X50</f>
        <v>0</v>
      </c>
      <c r="Y50" s="75">
        <f>资产资本表!Y50</f>
        <v>0</v>
      </c>
      <c r="Z50" s="75">
        <f>资产资本表!Z50</f>
        <v>0</v>
      </c>
      <c r="AA50" s="75">
        <f>资产资本表!AA50</f>
        <v>0</v>
      </c>
      <c r="AB50" s="75">
        <f>资产资本表!AB50</f>
        <v>0</v>
      </c>
      <c r="AC50" s="75">
        <f>资产资本表!AC50</f>
        <v>0</v>
      </c>
      <c r="AD50" s="75">
        <f>资产资本表!AD50</f>
        <v>0</v>
      </c>
      <c r="AE50" s="75">
        <f>资产资本表!AE50</f>
        <v>0</v>
      </c>
      <c r="AF50" s="75">
        <f>资产资本表!AF50</f>
        <v>0</v>
      </c>
      <c r="AG50" s="75">
        <f>资产资本表!AG50</f>
        <v>0</v>
      </c>
      <c r="AH50" s="75">
        <f>资产资本表!AH50</f>
        <v>0</v>
      </c>
      <c r="AI50" s="75">
        <f>资产资本表!AI50</f>
        <v>0</v>
      </c>
      <c r="AJ50" s="75">
        <f>资产资本表!AJ50</f>
        <v>0</v>
      </c>
      <c r="AK50" s="75">
        <f>资产资本表!AK50</f>
        <v>0</v>
      </c>
      <c r="AL50" s="75">
        <f>资产资本表!AL50</f>
        <v>0</v>
      </c>
      <c r="AM50" s="75">
        <f>资产资本表!AM50</f>
        <v>0</v>
      </c>
      <c r="AN50" s="75">
        <f>资产资本表!AN50</f>
        <v>0</v>
      </c>
      <c r="AO50" s="75">
        <f>资产资本表!AO50</f>
        <v>0</v>
      </c>
      <c r="AP50" s="75">
        <f>资产资本表!AP50</f>
        <v>0</v>
      </c>
      <c r="AQ50" s="75">
        <f>资产资本表!AQ50</f>
        <v>0</v>
      </c>
      <c r="AR50" s="75">
        <f>资产资本表!AR50</f>
        <v>0</v>
      </c>
      <c r="AS50" s="75">
        <f>资产资本表!AS50</f>
        <v>0</v>
      </c>
      <c r="AT50" s="75">
        <f>资产资本表!AT50</f>
        <v>0</v>
      </c>
      <c r="AU50" s="75">
        <f>资产资本表!AU50</f>
        <v>0</v>
      </c>
      <c r="AV50" s="75">
        <f>资产资本表!AV50</f>
        <v>0</v>
      </c>
      <c r="AW50" s="75">
        <f>资产资本表!AW50</f>
        <v>0</v>
      </c>
      <c r="AX50" s="75">
        <f>资产资本表!AX50</f>
        <v>0</v>
      </c>
      <c r="AY50" s="75">
        <f>资产资本表!AY50</f>
        <v>0</v>
      </c>
      <c r="AZ50" s="75">
        <f>资产资本表!AZ50</f>
        <v>0</v>
      </c>
      <c r="BA50" s="75">
        <f>资产资本表!BA50</f>
        <v>0</v>
      </c>
      <c r="BB50" s="75">
        <f>资产资本表!BB50</f>
        <v>0</v>
      </c>
      <c r="BC50" s="75">
        <f>资产资本表!BC50</f>
        <v>0</v>
      </c>
      <c r="BD50" s="75">
        <f>资产资本表!BD50</f>
        <v>0</v>
      </c>
      <c r="BE50" s="75">
        <f>资产资本表!BE50</f>
        <v>0</v>
      </c>
      <c r="BF50" s="75">
        <f>资产资本表!BF50</f>
        <v>0</v>
      </c>
      <c r="BG50" s="75">
        <f>资产资本表!BG50</f>
        <v>0</v>
      </c>
      <c r="BH50" s="75">
        <f>资产资本表!BH50</f>
        <v>0</v>
      </c>
      <c r="BI50" s="75">
        <f>资产资本表!BI50</f>
        <v>0</v>
      </c>
      <c r="BJ50" s="75">
        <f>资产资本表!BJ50</f>
        <v>0</v>
      </c>
      <c r="BK50" s="75">
        <f>资产资本表!BK50</f>
        <v>0</v>
      </c>
      <c r="BL50" s="75">
        <f>资产资本表!BL50</f>
        <v>0</v>
      </c>
      <c r="BM50" s="75">
        <f>资产资本表!BM50</f>
        <v>0</v>
      </c>
      <c r="BN50" s="75">
        <f>资产资本表!BN50</f>
        <v>0</v>
      </c>
      <c r="BO50" s="75">
        <f>资产资本表!BO50</f>
        <v>0</v>
      </c>
      <c r="BP50" s="75">
        <f>资产资本表!BP50</f>
        <v>0</v>
      </c>
      <c r="BQ50" s="75">
        <f>资产资本表!BQ50</f>
        <v>0</v>
      </c>
      <c r="BR50" s="75">
        <f>资产资本表!BR50</f>
        <v>0</v>
      </c>
      <c r="BS50" s="75">
        <f>资产资本表!BS50</f>
        <v>0</v>
      </c>
      <c r="BT50" s="75">
        <f>资产资本表!BT50</f>
        <v>0</v>
      </c>
      <c r="BU50" s="75">
        <f>资产资本表!BU50</f>
        <v>0</v>
      </c>
      <c r="BV50" s="75">
        <f>资产资本表!BV50</f>
        <v>0</v>
      </c>
      <c r="BW50" s="75">
        <f>资产资本表!BW50</f>
        <v>0</v>
      </c>
      <c r="BX50" s="75">
        <f>资产资本表!BX50</f>
        <v>0</v>
      </c>
      <c r="BY50" s="75">
        <f>资产资本表!BY50</f>
        <v>0</v>
      </c>
      <c r="BZ50" s="75">
        <f>资产资本表!BZ50</f>
        <v>0</v>
      </c>
      <c r="CA50" s="75">
        <f>资产资本表!CA50</f>
        <v>0</v>
      </c>
      <c r="CB50" s="75">
        <f>资产资本表!CB50</f>
        <v>0</v>
      </c>
      <c r="CC50" s="75">
        <f>资产资本表!CC50</f>
        <v>0</v>
      </c>
      <c r="CD50" s="75">
        <f>资产资本表!CD50</f>
        <v>0</v>
      </c>
      <c r="CE50" s="75">
        <f>资产资本表!CE50</f>
        <v>0</v>
      </c>
      <c r="CF50" s="75">
        <f>资产资本表!CF50</f>
        <v>0</v>
      </c>
      <c r="CG50" s="75">
        <f>资产资本表!CG50</f>
        <v>0</v>
      </c>
      <c r="CH50" s="75">
        <f>资产资本表!CH50</f>
        <v>0</v>
      </c>
      <c r="CI50" s="75">
        <f>资产资本表!CI50</f>
        <v>0</v>
      </c>
      <c r="CJ50" s="75">
        <f>资产资本表!CJ50</f>
        <v>0</v>
      </c>
      <c r="CK50" s="75">
        <f>资产资本表!CK50</f>
        <v>0</v>
      </c>
    </row>
    <row r="51" spans="1:89" s="44" customFormat="1" x14ac:dyDescent="0.25">
      <c r="A51" s="141" t="s">
        <v>465</v>
      </c>
      <c r="E51" s="44">
        <f>E49/E50</f>
        <v>3.9193783320427644</v>
      </c>
      <c r="F51" s="44">
        <f t="shared" ref="F51:BQ51" si="18">F49/F50</f>
        <v>1.6693392336614195</v>
      </c>
      <c r="G51" s="44">
        <f t="shared" si="18"/>
        <v>1.888217012668286</v>
      </c>
      <c r="H51" s="44">
        <f t="shared" si="18"/>
        <v>3.2734673772062135</v>
      </c>
      <c r="I51" s="44">
        <f t="shared" si="18"/>
        <v>3.8183887385058446</v>
      </c>
      <c r="J51" s="44">
        <f t="shared" si="18"/>
        <v>-8.3698887235924904</v>
      </c>
      <c r="K51" s="44">
        <f t="shared" si="18"/>
        <v>-5.438718819871788</v>
      </c>
      <c r="L51" s="44">
        <f t="shared" si="18"/>
        <v>-1.8849711988735605</v>
      </c>
      <c r="M51" s="44">
        <f t="shared" si="18"/>
        <v>-14.708478201411541</v>
      </c>
      <c r="N51" s="44">
        <f t="shared" si="18"/>
        <v>-16.986730398374728</v>
      </c>
      <c r="O51" s="44">
        <f t="shared" si="18"/>
        <v>30.590694215305408</v>
      </c>
      <c r="P51" s="44">
        <f t="shared" si="18"/>
        <v>-1232.1162293195634</v>
      </c>
      <c r="Q51" s="44" t="e">
        <f t="shared" si="18"/>
        <v>#DIV/0!</v>
      </c>
      <c r="R51" s="44" t="e">
        <f t="shared" si="18"/>
        <v>#DIV/0!</v>
      </c>
      <c r="S51" s="44" t="e">
        <f t="shared" si="18"/>
        <v>#DIV/0!</v>
      </c>
      <c r="T51" s="44" t="e">
        <f t="shared" si="18"/>
        <v>#DIV/0!</v>
      </c>
      <c r="U51" s="44" t="e">
        <f t="shared" si="18"/>
        <v>#DIV/0!</v>
      </c>
      <c r="V51" s="44" t="e">
        <f t="shared" si="18"/>
        <v>#DIV/0!</v>
      </c>
      <c r="W51" s="44" t="e">
        <f t="shared" si="18"/>
        <v>#DIV/0!</v>
      </c>
      <c r="X51" s="44" t="e">
        <f t="shared" si="18"/>
        <v>#DIV/0!</v>
      </c>
      <c r="Y51" s="44" t="e">
        <f t="shared" si="18"/>
        <v>#DIV/0!</v>
      </c>
      <c r="Z51" s="44" t="e">
        <f t="shared" si="18"/>
        <v>#DIV/0!</v>
      </c>
      <c r="AA51" s="44" t="e">
        <f t="shared" si="18"/>
        <v>#DIV/0!</v>
      </c>
      <c r="AB51" s="44" t="e">
        <f t="shared" si="18"/>
        <v>#DIV/0!</v>
      </c>
      <c r="AC51" s="44" t="e">
        <f t="shared" si="18"/>
        <v>#DIV/0!</v>
      </c>
      <c r="AD51" s="44" t="e">
        <f t="shared" si="18"/>
        <v>#DIV/0!</v>
      </c>
      <c r="AE51" s="44" t="e">
        <f t="shared" si="18"/>
        <v>#DIV/0!</v>
      </c>
      <c r="AF51" s="44" t="e">
        <f t="shared" si="18"/>
        <v>#DIV/0!</v>
      </c>
      <c r="AG51" s="44" t="e">
        <f t="shared" si="18"/>
        <v>#DIV/0!</v>
      </c>
      <c r="AH51" s="44" t="e">
        <f t="shared" si="18"/>
        <v>#DIV/0!</v>
      </c>
      <c r="AI51" s="44" t="e">
        <f t="shared" si="18"/>
        <v>#DIV/0!</v>
      </c>
      <c r="AJ51" s="44" t="e">
        <f t="shared" si="18"/>
        <v>#DIV/0!</v>
      </c>
      <c r="AK51" s="44" t="e">
        <f t="shared" si="18"/>
        <v>#DIV/0!</v>
      </c>
      <c r="AL51" s="44" t="e">
        <f t="shared" si="18"/>
        <v>#DIV/0!</v>
      </c>
      <c r="AM51" s="44" t="e">
        <f t="shared" si="18"/>
        <v>#DIV/0!</v>
      </c>
      <c r="AN51" s="44" t="e">
        <f t="shared" si="18"/>
        <v>#DIV/0!</v>
      </c>
      <c r="AO51" s="44" t="e">
        <f t="shared" si="18"/>
        <v>#DIV/0!</v>
      </c>
      <c r="AP51" s="44" t="e">
        <f t="shared" si="18"/>
        <v>#DIV/0!</v>
      </c>
      <c r="AQ51" s="44" t="e">
        <f t="shared" si="18"/>
        <v>#DIV/0!</v>
      </c>
      <c r="AR51" s="44" t="e">
        <f t="shared" si="18"/>
        <v>#DIV/0!</v>
      </c>
      <c r="AS51" s="44" t="e">
        <f t="shared" si="18"/>
        <v>#DIV/0!</v>
      </c>
      <c r="AT51" s="44" t="e">
        <f t="shared" si="18"/>
        <v>#DIV/0!</v>
      </c>
      <c r="AU51" s="44" t="e">
        <f t="shared" si="18"/>
        <v>#DIV/0!</v>
      </c>
      <c r="AV51" s="44" t="e">
        <f t="shared" si="18"/>
        <v>#DIV/0!</v>
      </c>
      <c r="AW51" s="44" t="e">
        <f t="shared" si="18"/>
        <v>#DIV/0!</v>
      </c>
      <c r="AX51" s="44" t="e">
        <f t="shared" si="18"/>
        <v>#DIV/0!</v>
      </c>
      <c r="AY51" s="44" t="e">
        <f t="shared" si="18"/>
        <v>#DIV/0!</v>
      </c>
      <c r="AZ51" s="44" t="e">
        <f t="shared" si="18"/>
        <v>#DIV/0!</v>
      </c>
      <c r="BA51" s="44" t="e">
        <f t="shared" si="18"/>
        <v>#DIV/0!</v>
      </c>
      <c r="BB51" s="44" t="e">
        <f t="shared" si="18"/>
        <v>#DIV/0!</v>
      </c>
      <c r="BC51" s="44" t="e">
        <f t="shared" si="18"/>
        <v>#DIV/0!</v>
      </c>
      <c r="BD51" s="44" t="e">
        <f t="shared" si="18"/>
        <v>#DIV/0!</v>
      </c>
      <c r="BE51" s="44" t="e">
        <f t="shared" si="18"/>
        <v>#DIV/0!</v>
      </c>
      <c r="BF51" s="44" t="e">
        <f t="shared" si="18"/>
        <v>#DIV/0!</v>
      </c>
      <c r="BG51" s="44" t="e">
        <f t="shared" si="18"/>
        <v>#DIV/0!</v>
      </c>
      <c r="BH51" s="44" t="e">
        <f t="shared" si="18"/>
        <v>#DIV/0!</v>
      </c>
      <c r="BI51" s="44" t="e">
        <f t="shared" si="18"/>
        <v>#DIV/0!</v>
      </c>
      <c r="BJ51" s="44" t="e">
        <f t="shared" si="18"/>
        <v>#DIV/0!</v>
      </c>
      <c r="BK51" s="44" t="e">
        <f t="shared" si="18"/>
        <v>#DIV/0!</v>
      </c>
      <c r="BL51" s="44" t="e">
        <f t="shared" si="18"/>
        <v>#DIV/0!</v>
      </c>
      <c r="BM51" s="44" t="e">
        <f t="shared" si="18"/>
        <v>#DIV/0!</v>
      </c>
      <c r="BN51" s="44" t="e">
        <f t="shared" si="18"/>
        <v>#DIV/0!</v>
      </c>
      <c r="BO51" s="44" t="e">
        <f t="shared" si="18"/>
        <v>#DIV/0!</v>
      </c>
      <c r="BP51" s="44" t="e">
        <f t="shared" si="18"/>
        <v>#DIV/0!</v>
      </c>
      <c r="BQ51" s="44" t="e">
        <f t="shared" si="18"/>
        <v>#DIV/0!</v>
      </c>
      <c r="BR51" s="44" t="e">
        <f t="shared" ref="BR51:CJ51" si="19">BR49/BR50</f>
        <v>#DIV/0!</v>
      </c>
      <c r="BS51" s="44" t="e">
        <f t="shared" si="19"/>
        <v>#DIV/0!</v>
      </c>
      <c r="BT51" s="44" t="e">
        <f t="shared" si="19"/>
        <v>#DIV/0!</v>
      </c>
      <c r="BU51" s="44" t="e">
        <f t="shared" si="19"/>
        <v>#DIV/0!</v>
      </c>
      <c r="BV51" s="44" t="e">
        <f t="shared" si="19"/>
        <v>#DIV/0!</v>
      </c>
      <c r="BW51" s="44" t="e">
        <f t="shared" si="19"/>
        <v>#DIV/0!</v>
      </c>
      <c r="BX51" s="44" t="e">
        <f t="shared" si="19"/>
        <v>#DIV/0!</v>
      </c>
      <c r="BY51" s="44" t="e">
        <f t="shared" si="19"/>
        <v>#DIV/0!</v>
      </c>
      <c r="BZ51" s="44" t="e">
        <f t="shared" si="19"/>
        <v>#DIV/0!</v>
      </c>
      <c r="CA51" s="44" t="e">
        <f t="shared" si="19"/>
        <v>#DIV/0!</v>
      </c>
      <c r="CB51" s="44" t="e">
        <f t="shared" si="19"/>
        <v>#DIV/0!</v>
      </c>
      <c r="CC51" s="44" t="e">
        <f t="shared" si="19"/>
        <v>#DIV/0!</v>
      </c>
      <c r="CD51" s="44" t="e">
        <f t="shared" si="19"/>
        <v>#DIV/0!</v>
      </c>
      <c r="CE51" s="44" t="e">
        <f t="shared" si="19"/>
        <v>#DIV/0!</v>
      </c>
      <c r="CF51" s="44" t="e">
        <f t="shared" si="19"/>
        <v>#DIV/0!</v>
      </c>
      <c r="CG51" s="44" t="e">
        <f t="shared" si="19"/>
        <v>#DIV/0!</v>
      </c>
      <c r="CH51" s="44" t="e">
        <f t="shared" si="19"/>
        <v>#DIV/0!</v>
      </c>
      <c r="CI51" s="44" t="e">
        <f t="shared" si="19"/>
        <v>#DIV/0!</v>
      </c>
      <c r="CJ51" s="44" t="e">
        <f t="shared" si="19"/>
        <v>#DIV/0!</v>
      </c>
    </row>
    <row r="52" spans="1:89" s="75" customFormat="1" x14ac:dyDescent="0.25">
      <c r="A52" s="145" t="s">
        <v>466</v>
      </c>
      <c r="E52" s="75">
        <f>资产资本表!E68</f>
        <v>510192738.41999996</v>
      </c>
      <c r="F52" s="75">
        <f>资产资本表!F68</f>
        <v>466628191.19</v>
      </c>
      <c r="G52" s="75">
        <f>资产资本表!G68</f>
        <v>460689590.17999995</v>
      </c>
      <c r="H52" s="75">
        <f>资产资本表!H68</f>
        <v>456027228.91999996</v>
      </c>
      <c r="I52" s="75">
        <f>资产资本表!I68</f>
        <v>445835844.24999994</v>
      </c>
      <c r="J52" s="75">
        <f>资产资本表!J68</f>
        <v>438494729.19999999</v>
      </c>
      <c r="K52" s="75">
        <f>资产资本表!K68</f>
        <v>438388144.12</v>
      </c>
      <c r="L52" s="75">
        <f>资产资本表!L68</f>
        <v>430710674</v>
      </c>
      <c r="M52" s="75">
        <f>资产资本表!M68</f>
        <v>409619889.18999994</v>
      </c>
      <c r="N52" s="75">
        <f>资产资本表!N68</f>
        <v>399236290.46000004</v>
      </c>
      <c r="O52" s="75">
        <f>资产资本表!O68</f>
        <v>180021943.97000003</v>
      </c>
      <c r="P52" s="75">
        <f>资产资本表!P68</f>
        <v>130281770.53</v>
      </c>
      <c r="Q52" s="75">
        <f>资产资本表!Q68</f>
        <v>0</v>
      </c>
      <c r="R52" s="75">
        <f>资产资本表!R68</f>
        <v>0</v>
      </c>
      <c r="S52" s="75">
        <f>资产资本表!S68</f>
        <v>0</v>
      </c>
      <c r="T52" s="75">
        <f>资产资本表!T68</f>
        <v>0</v>
      </c>
      <c r="U52" s="75">
        <f>资产资本表!U68</f>
        <v>0</v>
      </c>
      <c r="V52" s="75">
        <f>资产资本表!V68</f>
        <v>0</v>
      </c>
      <c r="W52" s="75">
        <f>资产资本表!W68</f>
        <v>0</v>
      </c>
      <c r="X52" s="75">
        <f>资产资本表!X68</f>
        <v>0</v>
      </c>
      <c r="Y52" s="75">
        <f>资产资本表!Y68</f>
        <v>0</v>
      </c>
      <c r="Z52" s="75">
        <f>资产资本表!Z68</f>
        <v>0</v>
      </c>
      <c r="AA52" s="75">
        <f>资产资本表!AA68</f>
        <v>0</v>
      </c>
      <c r="AB52" s="75">
        <f>资产资本表!AB68</f>
        <v>0</v>
      </c>
      <c r="AC52" s="75">
        <f>资产资本表!AC68</f>
        <v>0</v>
      </c>
      <c r="AD52" s="75">
        <f>资产资本表!AD68</f>
        <v>0</v>
      </c>
      <c r="AE52" s="75">
        <f>资产资本表!AE68</f>
        <v>0</v>
      </c>
      <c r="AF52" s="75">
        <f>资产资本表!AF68</f>
        <v>0</v>
      </c>
      <c r="AG52" s="75">
        <f>资产资本表!AG68</f>
        <v>0</v>
      </c>
      <c r="AH52" s="75">
        <f>资产资本表!AH68</f>
        <v>0</v>
      </c>
      <c r="AI52" s="75">
        <f>资产资本表!AI68</f>
        <v>0</v>
      </c>
      <c r="AJ52" s="75">
        <f>资产资本表!AJ68</f>
        <v>0</v>
      </c>
      <c r="AK52" s="75">
        <f>资产资本表!AK68</f>
        <v>0</v>
      </c>
      <c r="AL52" s="75">
        <f>资产资本表!AL68</f>
        <v>0</v>
      </c>
      <c r="AM52" s="75">
        <f>资产资本表!AM68</f>
        <v>0</v>
      </c>
      <c r="AN52" s="75">
        <f>资产资本表!AN68</f>
        <v>0</v>
      </c>
      <c r="AO52" s="75">
        <f>资产资本表!AO68</f>
        <v>0</v>
      </c>
      <c r="AP52" s="75">
        <f>资产资本表!AP68</f>
        <v>0</v>
      </c>
      <c r="AQ52" s="75">
        <f>资产资本表!AQ68</f>
        <v>0</v>
      </c>
      <c r="AR52" s="75">
        <f>资产资本表!AR68</f>
        <v>0</v>
      </c>
      <c r="AS52" s="75">
        <f>资产资本表!AS68</f>
        <v>0</v>
      </c>
      <c r="AT52" s="75">
        <f>资产资本表!AT68</f>
        <v>0</v>
      </c>
      <c r="AU52" s="75">
        <f>资产资本表!AU68</f>
        <v>0</v>
      </c>
      <c r="AV52" s="75">
        <f>资产资本表!AV68</f>
        <v>0</v>
      </c>
      <c r="AW52" s="75">
        <f>资产资本表!AW68</f>
        <v>0</v>
      </c>
      <c r="AX52" s="75">
        <f>资产资本表!AX68</f>
        <v>0</v>
      </c>
      <c r="AY52" s="75">
        <f>资产资本表!AY68</f>
        <v>0</v>
      </c>
      <c r="AZ52" s="75">
        <f>资产资本表!AZ68</f>
        <v>0</v>
      </c>
      <c r="BA52" s="75">
        <f>资产资本表!BA68</f>
        <v>0</v>
      </c>
      <c r="BB52" s="75">
        <f>资产资本表!BB68</f>
        <v>0</v>
      </c>
      <c r="BC52" s="75">
        <f>资产资本表!BC68</f>
        <v>0</v>
      </c>
      <c r="BD52" s="75">
        <f>资产资本表!BD68</f>
        <v>0</v>
      </c>
      <c r="BE52" s="75">
        <f>资产资本表!BE68</f>
        <v>0</v>
      </c>
      <c r="BF52" s="75">
        <f>资产资本表!BF68</f>
        <v>0</v>
      </c>
      <c r="BG52" s="75">
        <f>资产资本表!BG68</f>
        <v>0</v>
      </c>
      <c r="BH52" s="75">
        <f>资产资本表!BH68</f>
        <v>0</v>
      </c>
      <c r="BI52" s="75">
        <f>资产资本表!BI68</f>
        <v>0</v>
      </c>
      <c r="BJ52" s="75">
        <f>资产资本表!BJ68</f>
        <v>0</v>
      </c>
      <c r="BK52" s="75">
        <f>资产资本表!BK68</f>
        <v>0</v>
      </c>
      <c r="BL52" s="75">
        <f>资产资本表!BL68</f>
        <v>0</v>
      </c>
      <c r="BM52" s="75">
        <f>资产资本表!BM68</f>
        <v>0</v>
      </c>
      <c r="BN52" s="75">
        <f>资产资本表!BN68</f>
        <v>0</v>
      </c>
      <c r="BO52" s="75">
        <f>资产资本表!BO68</f>
        <v>0</v>
      </c>
      <c r="BP52" s="75">
        <f>资产资本表!BP68</f>
        <v>0</v>
      </c>
      <c r="BQ52" s="75">
        <f>资产资本表!BQ68</f>
        <v>0</v>
      </c>
      <c r="BR52" s="75">
        <f>资产资本表!BR68</f>
        <v>0</v>
      </c>
      <c r="BS52" s="75">
        <f>资产资本表!BS68</f>
        <v>0</v>
      </c>
      <c r="BT52" s="75">
        <f>资产资本表!BT68</f>
        <v>0</v>
      </c>
      <c r="BU52" s="75">
        <f>资产资本表!BU68</f>
        <v>0</v>
      </c>
      <c r="BV52" s="75">
        <f>资产资本表!BV68</f>
        <v>0</v>
      </c>
      <c r="BW52" s="75">
        <f>资产资本表!BW68</f>
        <v>0</v>
      </c>
      <c r="BX52" s="75">
        <f>资产资本表!BX68</f>
        <v>0</v>
      </c>
      <c r="BY52" s="75">
        <f>资产资本表!BY68</f>
        <v>0</v>
      </c>
      <c r="BZ52" s="75">
        <f>资产资本表!BZ68</f>
        <v>0</v>
      </c>
      <c r="CA52" s="75">
        <f>资产资本表!CA68</f>
        <v>0</v>
      </c>
      <c r="CB52" s="75">
        <f>资产资本表!CB68</f>
        <v>0</v>
      </c>
      <c r="CC52" s="75">
        <f>资产资本表!CC68</f>
        <v>0</v>
      </c>
      <c r="CD52" s="75">
        <f>资产资本表!CD68</f>
        <v>0</v>
      </c>
      <c r="CE52" s="75">
        <f>资产资本表!CE68</f>
        <v>0</v>
      </c>
      <c r="CF52" s="75">
        <f>资产资本表!CF68</f>
        <v>0</v>
      </c>
      <c r="CG52" s="75">
        <f>资产资本表!CG68</f>
        <v>0</v>
      </c>
      <c r="CH52" s="75">
        <f>资产资本表!CH68</f>
        <v>0</v>
      </c>
      <c r="CI52" s="75">
        <f>资产资本表!CI68</f>
        <v>0</v>
      </c>
      <c r="CJ52" s="75">
        <f>资产资本表!CJ68</f>
        <v>0</v>
      </c>
      <c r="CK52" s="75">
        <f>资产资本表!CK68</f>
        <v>0</v>
      </c>
    </row>
    <row r="53" spans="1:89" s="44" customFormat="1" x14ac:dyDescent="0.25">
      <c r="A53" s="141" t="s">
        <v>467</v>
      </c>
      <c r="E53" s="44">
        <f>E49/E52</f>
        <v>1.4747542823132131</v>
      </c>
      <c r="F53" s="44">
        <f t="shared" ref="F53:BQ53" si="20">F49/F52</f>
        <v>1.126749202248515</v>
      </c>
      <c r="G53" s="44">
        <f t="shared" si="20"/>
        <v>0.73752642267702495</v>
      </c>
      <c r="H53" s="44">
        <f t="shared" si="20"/>
        <v>0.33704299226606804</v>
      </c>
      <c r="I53" s="44">
        <f t="shared" si="20"/>
        <v>1.4916060028298186</v>
      </c>
      <c r="J53" s="44">
        <f t="shared" si="20"/>
        <v>1.0353782862300367</v>
      </c>
      <c r="K53" s="44">
        <f t="shared" si="20"/>
        <v>0.64613364665369222</v>
      </c>
      <c r="L53" s="44">
        <f t="shared" si="20"/>
        <v>0.28859904498210787</v>
      </c>
      <c r="M53" s="44">
        <f t="shared" si="20"/>
        <v>1.4575412166401598</v>
      </c>
      <c r="N53" s="44">
        <f t="shared" si="20"/>
        <v>1.0256465642895403</v>
      </c>
      <c r="O53" s="44">
        <f t="shared" si="20"/>
        <v>2.9374734495041568</v>
      </c>
      <c r="P53" s="44">
        <f t="shared" si="20"/>
        <v>3.721993800416922</v>
      </c>
      <c r="Q53" s="44" t="e">
        <f t="shared" si="20"/>
        <v>#DIV/0!</v>
      </c>
      <c r="R53" s="44" t="e">
        <f t="shared" si="20"/>
        <v>#DIV/0!</v>
      </c>
      <c r="S53" s="44" t="e">
        <f t="shared" si="20"/>
        <v>#DIV/0!</v>
      </c>
      <c r="T53" s="44" t="e">
        <f t="shared" si="20"/>
        <v>#DIV/0!</v>
      </c>
      <c r="U53" s="44" t="e">
        <f t="shared" si="20"/>
        <v>#DIV/0!</v>
      </c>
      <c r="V53" s="44" t="e">
        <f t="shared" si="20"/>
        <v>#DIV/0!</v>
      </c>
      <c r="W53" s="44" t="e">
        <f t="shared" si="20"/>
        <v>#DIV/0!</v>
      </c>
      <c r="X53" s="44" t="e">
        <f t="shared" si="20"/>
        <v>#DIV/0!</v>
      </c>
      <c r="Y53" s="44" t="e">
        <f t="shared" si="20"/>
        <v>#DIV/0!</v>
      </c>
      <c r="Z53" s="44" t="e">
        <f t="shared" si="20"/>
        <v>#DIV/0!</v>
      </c>
      <c r="AA53" s="44" t="e">
        <f t="shared" si="20"/>
        <v>#DIV/0!</v>
      </c>
      <c r="AB53" s="44" t="e">
        <f t="shared" si="20"/>
        <v>#DIV/0!</v>
      </c>
      <c r="AC53" s="44" t="e">
        <f t="shared" si="20"/>
        <v>#DIV/0!</v>
      </c>
      <c r="AD53" s="44" t="e">
        <f t="shared" si="20"/>
        <v>#DIV/0!</v>
      </c>
      <c r="AE53" s="44" t="e">
        <f t="shared" si="20"/>
        <v>#DIV/0!</v>
      </c>
      <c r="AF53" s="44" t="e">
        <f t="shared" si="20"/>
        <v>#DIV/0!</v>
      </c>
      <c r="AG53" s="44" t="e">
        <f t="shared" si="20"/>
        <v>#DIV/0!</v>
      </c>
      <c r="AH53" s="44" t="e">
        <f t="shared" si="20"/>
        <v>#DIV/0!</v>
      </c>
      <c r="AI53" s="44" t="e">
        <f t="shared" si="20"/>
        <v>#DIV/0!</v>
      </c>
      <c r="AJ53" s="44" t="e">
        <f t="shared" si="20"/>
        <v>#DIV/0!</v>
      </c>
      <c r="AK53" s="44" t="e">
        <f t="shared" si="20"/>
        <v>#DIV/0!</v>
      </c>
      <c r="AL53" s="44" t="e">
        <f t="shared" si="20"/>
        <v>#DIV/0!</v>
      </c>
      <c r="AM53" s="44" t="e">
        <f t="shared" si="20"/>
        <v>#DIV/0!</v>
      </c>
      <c r="AN53" s="44" t="e">
        <f t="shared" si="20"/>
        <v>#DIV/0!</v>
      </c>
      <c r="AO53" s="44" t="e">
        <f t="shared" si="20"/>
        <v>#DIV/0!</v>
      </c>
      <c r="AP53" s="44" t="e">
        <f t="shared" si="20"/>
        <v>#DIV/0!</v>
      </c>
      <c r="AQ53" s="44" t="e">
        <f t="shared" si="20"/>
        <v>#DIV/0!</v>
      </c>
      <c r="AR53" s="44" t="e">
        <f t="shared" si="20"/>
        <v>#DIV/0!</v>
      </c>
      <c r="AS53" s="44" t="e">
        <f t="shared" si="20"/>
        <v>#DIV/0!</v>
      </c>
      <c r="AT53" s="44" t="e">
        <f t="shared" si="20"/>
        <v>#DIV/0!</v>
      </c>
      <c r="AU53" s="44" t="e">
        <f t="shared" si="20"/>
        <v>#DIV/0!</v>
      </c>
      <c r="AV53" s="44" t="e">
        <f t="shared" si="20"/>
        <v>#DIV/0!</v>
      </c>
      <c r="AW53" s="44" t="e">
        <f t="shared" si="20"/>
        <v>#DIV/0!</v>
      </c>
      <c r="AX53" s="44" t="e">
        <f t="shared" si="20"/>
        <v>#DIV/0!</v>
      </c>
      <c r="AY53" s="44" t="e">
        <f t="shared" si="20"/>
        <v>#DIV/0!</v>
      </c>
      <c r="AZ53" s="44" t="e">
        <f t="shared" si="20"/>
        <v>#DIV/0!</v>
      </c>
      <c r="BA53" s="44" t="e">
        <f t="shared" si="20"/>
        <v>#DIV/0!</v>
      </c>
      <c r="BB53" s="44" t="e">
        <f t="shared" si="20"/>
        <v>#DIV/0!</v>
      </c>
      <c r="BC53" s="44" t="e">
        <f t="shared" si="20"/>
        <v>#DIV/0!</v>
      </c>
      <c r="BD53" s="44" t="e">
        <f t="shared" si="20"/>
        <v>#DIV/0!</v>
      </c>
      <c r="BE53" s="44" t="e">
        <f t="shared" si="20"/>
        <v>#DIV/0!</v>
      </c>
      <c r="BF53" s="44" t="e">
        <f t="shared" si="20"/>
        <v>#DIV/0!</v>
      </c>
      <c r="BG53" s="44" t="e">
        <f t="shared" si="20"/>
        <v>#DIV/0!</v>
      </c>
      <c r="BH53" s="44" t="e">
        <f t="shared" si="20"/>
        <v>#DIV/0!</v>
      </c>
      <c r="BI53" s="44" t="e">
        <f t="shared" si="20"/>
        <v>#DIV/0!</v>
      </c>
      <c r="BJ53" s="44" t="e">
        <f t="shared" si="20"/>
        <v>#DIV/0!</v>
      </c>
      <c r="BK53" s="44" t="e">
        <f t="shared" si="20"/>
        <v>#DIV/0!</v>
      </c>
      <c r="BL53" s="44" t="e">
        <f t="shared" si="20"/>
        <v>#DIV/0!</v>
      </c>
      <c r="BM53" s="44" t="e">
        <f t="shared" si="20"/>
        <v>#DIV/0!</v>
      </c>
      <c r="BN53" s="44" t="e">
        <f t="shared" si="20"/>
        <v>#DIV/0!</v>
      </c>
      <c r="BO53" s="44" t="e">
        <f t="shared" si="20"/>
        <v>#DIV/0!</v>
      </c>
      <c r="BP53" s="44" t="e">
        <f t="shared" si="20"/>
        <v>#DIV/0!</v>
      </c>
      <c r="BQ53" s="44" t="e">
        <f t="shared" si="20"/>
        <v>#DIV/0!</v>
      </c>
      <c r="BR53" s="44" t="e">
        <f t="shared" ref="BR53:CK53" si="21">BR49/BR52</f>
        <v>#DIV/0!</v>
      </c>
      <c r="BS53" s="44" t="e">
        <f t="shared" si="21"/>
        <v>#DIV/0!</v>
      </c>
      <c r="BT53" s="44" t="e">
        <f t="shared" si="21"/>
        <v>#DIV/0!</v>
      </c>
      <c r="BU53" s="44" t="e">
        <f t="shared" si="21"/>
        <v>#DIV/0!</v>
      </c>
      <c r="BV53" s="44" t="e">
        <f t="shared" si="21"/>
        <v>#DIV/0!</v>
      </c>
      <c r="BW53" s="44" t="e">
        <f t="shared" si="21"/>
        <v>#DIV/0!</v>
      </c>
      <c r="BX53" s="44" t="e">
        <f t="shared" si="21"/>
        <v>#DIV/0!</v>
      </c>
      <c r="BY53" s="44" t="e">
        <f t="shared" si="21"/>
        <v>#DIV/0!</v>
      </c>
      <c r="BZ53" s="44" t="e">
        <f t="shared" si="21"/>
        <v>#DIV/0!</v>
      </c>
      <c r="CA53" s="44" t="e">
        <f t="shared" si="21"/>
        <v>#DIV/0!</v>
      </c>
      <c r="CB53" s="44" t="e">
        <f t="shared" si="21"/>
        <v>#DIV/0!</v>
      </c>
      <c r="CC53" s="44" t="e">
        <f t="shared" si="21"/>
        <v>#DIV/0!</v>
      </c>
      <c r="CD53" s="44" t="e">
        <f t="shared" si="21"/>
        <v>#DIV/0!</v>
      </c>
      <c r="CE53" s="44" t="e">
        <f t="shared" si="21"/>
        <v>#DIV/0!</v>
      </c>
      <c r="CF53" s="44" t="e">
        <f t="shared" si="21"/>
        <v>#DIV/0!</v>
      </c>
      <c r="CG53" s="44" t="e">
        <f t="shared" si="21"/>
        <v>#DIV/0!</v>
      </c>
      <c r="CH53" s="44" t="e">
        <f t="shared" si="21"/>
        <v>#DIV/0!</v>
      </c>
      <c r="CI53" s="44" t="e">
        <f t="shared" si="21"/>
        <v>#DIV/0!</v>
      </c>
      <c r="CJ53" s="44" t="e">
        <f t="shared" si="21"/>
        <v>#DIV/0!</v>
      </c>
      <c r="CK53" s="44" t="e">
        <f t="shared" si="21"/>
        <v>#DIV/0!</v>
      </c>
    </row>
    <row r="54" spans="1:89" s="75" customFormat="1" x14ac:dyDescent="0.25">
      <c r="A54" s="145" t="s">
        <v>468</v>
      </c>
      <c r="E54" s="75">
        <f>资产资本表!E17</f>
        <v>359724222.34000003</v>
      </c>
      <c r="F54" s="75">
        <f>资产资本表!F17</f>
        <v>272744670.59000003</v>
      </c>
      <c r="G54" s="75">
        <f>资产资本表!G17</f>
        <v>360990104.43000001</v>
      </c>
      <c r="H54" s="75">
        <f>资产资本表!H17</f>
        <v>543018430.06000006</v>
      </c>
      <c r="I54" s="75">
        <f>资产资本表!I17</f>
        <v>442073371.21000004</v>
      </c>
      <c r="J54" s="75">
        <f>资产资本表!J17</f>
        <v>173441088.34999999</v>
      </c>
      <c r="K54" s="75">
        <f>资产资本表!K17</f>
        <v>125763270.44</v>
      </c>
      <c r="L54" s="75">
        <f>资产资本表!L17</f>
        <v>203669416.86000001</v>
      </c>
      <c r="M54" s="75">
        <f>资产资本表!M17</f>
        <v>121360190</v>
      </c>
      <c r="N54" s="75">
        <f>资产资本表!N17</f>
        <v>121048251.62</v>
      </c>
      <c r="O54" s="75">
        <f>资产资本表!O17</f>
        <v>131378573.28</v>
      </c>
      <c r="P54" s="75">
        <f>资产资本表!P17</f>
        <v>106634430.42</v>
      </c>
      <c r="Q54" s="75">
        <f>资产资本表!Q17</f>
        <v>0</v>
      </c>
      <c r="R54" s="75">
        <f>资产资本表!R17</f>
        <v>0</v>
      </c>
      <c r="S54" s="75">
        <f>资产资本表!S17</f>
        <v>0</v>
      </c>
      <c r="T54" s="75">
        <f>资产资本表!T17</f>
        <v>0</v>
      </c>
      <c r="U54" s="75">
        <f>资产资本表!U17</f>
        <v>0</v>
      </c>
      <c r="V54" s="75">
        <f>资产资本表!V17</f>
        <v>0</v>
      </c>
      <c r="W54" s="75">
        <f>资产资本表!W17</f>
        <v>0</v>
      </c>
      <c r="X54" s="75">
        <f>资产资本表!X17</f>
        <v>0</v>
      </c>
      <c r="Y54" s="75">
        <f>资产资本表!Y17</f>
        <v>0</v>
      </c>
      <c r="Z54" s="75">
        <f>资产资本表!Z17</f>
        <v>0</v>
      </c>
      <c r="AA54" s="75">
        <f>资产资本表!AA17</f>
        <v>0</v>
      </c>
      <c r="AB54" s="75">
        <f>资产资本表!AB17</f>
        <v>0</v>
      </c>
      <c r="AC54" s="75">
        <f>资产资本表!AC17</f>
        <v>0</v>
      </c>
      <c r="AD54" s="75">
        <f>资产资本表!AD17</f>
        <v>0</v>
      </c>
      <c r="AE54" s="75">
        <f>资产资本表!AE17</f>
        <v>0</v>
      </c>
      <c r="AF54" s="75">
        <f>资产资本表!AF17</f>
        <v>0</v>
      </c>
      <c r="AG54" s="75">
        <f>资产资本表!AG17</f>
        <v>0</v>
      </c>
      <c r="AH54" s="75">
        <f>资产资本表!AH17</f>
        <v>0</v>
      </c>
      <c r="AI54" s="75">
        <f>资产资本表!AI17</f>
        <v>0</v>
      </c>
      <c r="AJ54" s="75">
        <f>资产资本表!AJ17</f>
        <v>0</v>
      </c>
      <c r="AK54" s="75">
        <f>资产资本表!AK17</f>
        <v>0</v>
      </c>
      <c r="AL54" s="75">
        <f>资产资本表!AL17</f>
        <v>0</v>
      </c>
      <c r="AM54" s="75">
        <f>资产资本表!AM17</f>
        <v>0</v>
      </c>
      <c r="AN54" s="75">
        <f>资产资本表!AN17</f>
        <v>0</v>
      </c>
      <c r="AO54" s="75">
        <f>资产资本表!AO17</f>
        <v>0</v>
      </c>
      <c r="AP54" s="75">
        <f>资产资本表!AP17</f>
        <v>0</v>
      </c>
      <c r="AQ54" s="75">
        <f>资产资本表!AQ17</f>
        <v>0</v>
      </c>
      <c r="AR54" s="75">
        <f>资产资本表!AR17</f>
        <v>0</v>
      </c>
      <c r="AS54" s="75">
        <f>资产资本表!AS17</f>
        <v>0</v>
      </c>
      <c r="AT54" s="75">
        <f>资产资本表!AT17</f>
        <v>0</v>
      </c>
      <c r="AU54" s="75">
        <f>资产资本表!AU17</f>
        <v>0</v>
      </c>
      <c r="AV54" s="75">
        <f>资产资本表!AV17</f>
        <v>0</v>
      </c>
      <c r="AW54" s="75">
        <f>资产资本表!AW17</f>
        <v>0</v>
      </c>
      <c r="AX54" s="75">
        <f>资产资本表!AX17</f>
        <v>0</v>
      </c>
      <c r="AY54" s="75">
        <f>资产资本表!AY17</f>
        <v>0</v>
      </c>
      <c r="AZ54" s="75">
        <f>资产资本表!AZ17</f>
        <v>0</v>
      </c>
      <c r="BA54" s="75">
        <f>资产资本表!BA17</f>
        <v>0</v>
      </c>
      <c r="BB54" s="75">
        <f>资产资本表!BB17</f>
        <v>0</v>
      </c>
      <c r="BC54" s="75">
        <f>资产资本表!BC17</f>
        <v>0</v>
      </c>
      <c r="BD54" s="75">
        <f>资产资本表!BD17</f>
        <v>0</v>
      </c>
      <c r="BE54" s="75">
        <f>资产资本表!BE17</f>
        <v>0</v>
      </c>
      <c r="BF54" s="75">
        <f>资产资本表!BF17</f>
        <v>0</v>
      </c>
      <c r="BG54" s="75">
        <f>资产资本表!BG17</f>
        <v>0</v>
      </c>
      <c r="BH54" s="75">
        <f>资产资本表!BH17</f>
        <v>0</v>
      </c>
      <c r="BI54" s="75">
        <f>资产资本表!BI17</f>
        <v>0</v>
      </c>
      <c r="BJ54" s="75">
        <f>资产资本表!BJ17</f>
        <v>0</v>
      </c>
      <c r="BK54" s="75">
        <f>资产资本表!BK17</f>
        <v>0</v>
      </c>
      <c r="BL54" s="75">
        <f>资产资本表!BL17</f>
        <v>0</v>
      </c>
      <c r="BM54" s="75">
        <f>资产资本表!BM17</f>
        <v>0</v>
      </c>
      <c r="BN54" s="75">
        <f>资产资本表!BN17</f>
        <v>0</v>
      </c>
      <c r="BO54" s="75">
        <f>资产资本表!BO17</f>
        <v>0</v>
      </c>
      <c r="BP54" s="75">
        <f>资产资本表!BP17</f>
        <v>0</v>
      </c>
      <c r="BQ54" s="75">
        <f>资产资本表!BQ17</f>
        <v>0</v>
      </c>
      <c r="BR54" s="75">
        <f>资产资本表!BR17</f>
        <v>0</v>
      </c>
      <c r="BS54" s="75">
        <f>资产资本表!BS17</f>
        <v>0</v>
      </c>
      <c r="BT54" s="75">
        <f>资产资本表!BT17</f>
        <v>0</v>
      </c>
      <c r="BU54" s="75">
        <f>资产资本表!BU17</f>
        <v>0</v>
      </c>
      <c r="BV54" s="75">
        <f>资产资本表!BV17</f>
        <v>0</v>
      </c>
      <c r="BW54" s="75">
        <f>资产资本表!BW17</f>
        <v>0</v>
      </c>
      <c r="BX54" s="75">
        <f>资产资本表!BX17</f>
        <v>0</v>
      </c>
      <c r="BY54" s="75">
        <f>资产资本表!BY17</f>
        <v>0</v>
      </c>
      <c r="BZ54" s="75">
        <f>资产资本表!BZ17</f>
        <v>0</v>
      </c>
      <c r="CA54" s="75">
        <f>资产资本表!CA17</f>
        <v>0</v>
      </c>
      <c r="CB54" s="75">
        <f>资产资本表!CB17</f>
        <v>0</v>
      </c>
      <c r="CC54" s="75">
        <f>资产资本表!CC17</f>
        <v>0</v>
      </c>
      <c r="CD54" s="75">
        <f>资产资本表!CD17</f>
        <v>0</v>
      </c>
      <c r="CE54" s="75">
        <f>资产资本表!CE17</f>
        <v>0</v>
      </c>
      <c r="CF54" s="75">
        <f>资产资本表!CF17</f>
        <v>0</v>
      </c>
      <c r="CG54" s="75">
        <f>资产资本表!CG17</f>
        <v>0</v>
      </c>
      <c r="CH54" s="75">
        <f>资产资本表!CH17</f>
        <v>0</v>
      </c>
      <c r="CI54" s="75">
        <f>资产资本表!CI17</f>
        <v>0</v>
      </c>
      <c r="CJ54" s="75">
        <f>资产资本表!CJ17</f>
        <v>0</v>
      </c>
      <c r="CK54" s="75">
        <f>资产资本表!CK17</f>
        <v>0</v>
      </c>
    </row>
    <row r="55" spans="1:89" s="44" customFormat="1" x14ac:dyDescent="0.25">
      <c r="A55" s="141" t="s">
        <v>469</v>
      </c>
      <c r="E55" s="44">
        <f>E49/E54</f>
        <v>2.0916270828124737</v>
      </c>
      <c r="F55" s="44">
        <f t="shared" ref="F55:BQ55" si="22">F49/F54</f>
        <v>1.92771114842556</v>
      </c>
      <c r="G55" s="44">
        <f t="shared" si="22"/>
        <v>0.94121900085459365</v>
      </c>
      <c r="H55" s="44">
        <f t="shared" si="22"/>
        <v>0.28304892298594181</v>
      </c>
      <c r="I55" s="44">
        <f t="shared" si="22"/>
        <v>1.5043010162313004</v>
      </c>
      <c r="J55" s="44">
        <f t="shared" si="22"/>
        <v>2.6176491715955033</v>
      </c>
      <c r="K55" s="44">
        <f t="shared" si="22"/>
        <v>2.2523056948104601</v>
      </c>
      <c r="L55" s="44">
        <f t="shared" si="22"/>
        <v>0.61031592811720092</v>
      </c>
      <c r="M55" s="44">
        <f t="shared" si="22"/>
        <v>4.9195528752056168</v>
      </c>
      <c r="N55" s="44">
        <f t="shared" si="22"/>
        <v>3.3827446837930624</v>
      </c>
      <c r="O55" s="44">
        <f t="shared" si="22"/>
        <v>4.0250831436034602</v>
      </c>
      <c r="P55" s="44">
        <f t="shared" si="22"/>
        <v>4.5473862457941383</v>
      </c>
      <c r="Q55" s="44" t="e">
        <f t="shared" si="22"/>
        <v>#DIV/0!</v>
      </c>
      <c r="R55" s="44" t="e">
        <f t="shared" si="22"/>
        <v>#DIV/0!</v>
      </c>
      <c r="S55" s="44" t="e">
        <f t="shared" si="22"/>
        <v>#DIV/0!</v>
      </c>
      <c r="T55" s="44" t="e">
        <f t="shared" si="22"/>
        <v>#DIV/0!</v>
      </c>
      <c r="U55" s="44" t="e">
        <f t="shared" si="22"/>
        <v>#DIV/0!</v>
      </c>
      <c r="V55" s="44" t="e">
        <f t="shared" si="22"/>
        <v>#DIV/0!</v>
      </c>
      <c r="W55" s="44" t="e">
        <f t="shared" si="22"/>
        <v>#DIV/0!</v>
      </c>
      <c r="X55" s="44" t="e">
        <f t="shared" si="22"/>
        <v>#DIV/0!</v>
      </c>
      <c r="Y55" s="44" t="e">
        <f t="shared" si="22"/>
        <v>#DIV/0!</v>
      </c>
      <c r="Z55" s="44" t="e">
        <f t="shared" si="22"/>
        <v>#DIV/0!</v>
      </c>
      <c r="AA55" s="44" t="e">
        <f t="shared" si="22"/>
        <v>#DIV/0!</v>
      </c>
      <c r="AB55" s="44" t="e">
        <f t="shared" si="22"/>
        <v>#DIV/0!</v>
      </c>
      <c r="AC55" s="44" t="e">
        <f t="shared" si="22"/>
        <v>#DIV/0!</v>
      </c>
      <c r="AD55" s="44" t="e">
        <f t="shared" si="22"/>
        <v>#DIV/0!</v>
      </c>
      <c r="AE55" s="44" t="e">
        <f t="shared" si="22"/>
        <v>#DIV/0!</v>
      </c>
      <c r="AF55" s="44" t="e">
        <f t="shared" si="22"/>
        <v>#DIV/0!</v>
      </c>
      <c r="AG55" s="44" t="e">
        <f t="shared" si="22"/>
        <v>#DIV/0!</v>
      </c>
      <c r="AH55" s="44" t="e">
        <f t="shared" si="22"/>
        <v>#DIV/0!</v>
      </c>
      <c r="AI55" s="44" t="e">
        <f t="shared" si="22"/>
        <v>#DIV/0!</v>
      </c>
      <c r="AJ55" s="44" t="e">
        <f t="shared" si="22"/>
        <v>#DIV/0!</v>
      </c>
      <c r="AK55" s="44" t="e">
        <f t="shared" si="22"/>
        <v>#DIV/0!</v>
      </c>
      <c r="AL55" s="44" t="e">
        <f t="shared" si="22"/>
        <v>#DIV/0!</v>
      </c>
      <c r="AM55" s="44" t="e">
        <f t="shared" si="22"/>
        <v>#DIV/0!</v>
      </c>
      <c r="AN55" s="44" t="e">
        <f t="shared" si="22"/>
        <v>#DIV/0!</v>
      </c>
      <c r="AO55" s="44" t="e">
        <f t="shared" si="22"/>
        <v>#DIV/0!</v>
      </c>
      <c r="AP55" s="44" t="e">
        <f t="shared" si="22"/>
        <v>#DIV/0!</v>
      </c>
      <c r="AQ55" s="44" t="e">
        <f t="shared" si="22"/>
        <v>#DIV/0!</v>
      </c>
      <c r="AR55" s="44" t="e">
        <f t="shared" si="22"/>
        <v>#DIV/0!</v>
      </c>
      <c r="AS55" s="44" t="e">
        <f t="shared" si="22"/>
        <v>#DIV/0!</v>
      </c>
      <c r="AT55" s="44" t="e">
        <f t="shared" si="22"/>
        <v>#DIV/0!</v>
      </c>
      <c r="AU55" s="44" t="e">
        <f t="shared" si="22"/>
        <v>#DIV/0!</v>
      </c>
      <c r="AV55" s="44" t="e">
        <f t="shared" si="22"/>
        <v>#DIV/0!</v>
      </c>
      <c r="AW55" s="44" t="e">
        <f t="shared" si="22"/>
        <v>#DIV/0!</v>
      </c>
      <c r="AX55" s="44" t="e">
        <f t="shared" si="22"/>
        <v>#DIV/0!</v>
      </c>
      <c r="AY55" s="44" t="e">
        <f t="shared" si="22"/>
        <v>#DIV/0!</v>
      </c>
      <c r="AZ55" s="44" t="e">
        <f t="shared" si="22"/>
        <v>#DIV/0!</v>
      </c>
      <c r="BA55" s="44" t="e">
        <f t="shared" si="22"/>
        <v>#DIV/0!</v>
      </c>
      <c r="BB55" s="44" t="e">
        <f t="shared" si="22"/>
        <v>#DIV/0!</v>
      </c>
      <c r="BC55" s="44" t="e">
        <f t="shared" si="22"/>
        <v>#DIV/0!</v>
      </c>
      <c r="BD55" s="44" t="e">
        <f t="shared" si="22"/>
        <v>#DIV/0!</v>
      </c>
      <c r="BE55" s="44" t="e">
        <f t="shared" si="22"/>
        <v>#DIV/0!</v>
      </c>
      <c r="BF55" s="44" t="e">
        <f t="shared" si="22"/>
        <v>#DIV/0!</v>
      </c>
      <c r="BG55" s="44" t="e">
        <f t="shared" si="22"/>
        <v>#DIV/0!</v>
      </c>
      <c r="BH55" s="44" t="e">
        <f t="shared" si="22"/>
        <v>#DIV/0!</v>
      </c>
      <c r="BI55" s="44" t="e">
        <f t="shared" si="22"/>
        <v>#DIV/0!</v>
      </c>
      <c r="BJ55" s="44" t="e">
        <f t="shared" si="22"/>
        <v>#DIV/0!</v>
      </c>
      <c r="BK55" s="44" t="e">
        <f t="shared" si="22"/>
        <v>#DIV/0!</v>
      </c>
      <c r="BL55" s="44" t="e">
        <f t="shared" si="22"/>
        <v>#DIV/0!</v>
      </c>
      <c r="BM55" s="44" t="e">
        <f t="shared" si="22"/>
        <v>#DIV/0!</v>
      </c>
      <c r="BN55" s="44" t="e">
        <f t="shared" si="22"/>
        <v>#DIV/0!</v>
      </c>
      <c r="BO55" s="44" t="e">
        <f t="shared" si="22"/>
        <v>#DIV/0!</v>
      </c>
      <c r="BP55" s="44" t="e">
        <f t="shared" si="22"/>
        <v>#DIV/0!</v>
      </c>
      <c r="BQ55" s="44" t="e">
        <f t="shared" si="22"/>
        <v>#DIV/0!</v>
      </c>
      <c r="BR55" s="44" t="e">
        <f t="shared" ref="BR55:CK55" si="23">BR49/BR54</f>
        <v>#DIV/0!</v>
      </c>
      <c r="BS55" s="44" t="e">
        <f t="shared" si="23"/>
        <v>#DIV/0!</v>
      </c>
      <c r="BT55" s="44" t="e">
        <f t="shared" si="23"/>
        <v>#DIV/0!</v>
      </c>
      <c r="BU55" s="44" t="e">
        <f t="shared" si="23"/>
        <v>#DIV/0!</v>
      </c>
      <c r="BV55" s="44" t="e">
        <f t="shared" si="23"/>
        <v>#DIV/0!</v>
      </c>
      <c r="BW55" s="44" t="e">
        <f t="shared" si="23"/>
        <v>#DIV/0!</v>
      </c>
      <c r="BX55" s="44" t="e">
        <f t="shared" si="23"/>
        <v>#DIV/0!</v>
      </c>
      <c r="BY55" s="44" t="e">
        <f t="shared" si="23"/>
        <v>#DIV/0!</v>
      </c>
      <c r="BZ55" s="44" t="e">
        <f t="shared" si="23"/>
        <v>#DIV/0!</v>
      </c>
      <c r="CA55" s="44" t="e">
        <f t="shared" si="23"/>
        <v>#DIV/0!</v>
      </c>
      <c r="CB55" s="44" t="e">
        <f t="shared" si="23"/>
        <v>#DIV/0!</v>
      </c>
      <c r="CC55" s="44" t="e">
        <f t="shared" si="23"/>
        <v>#DIV/0!</v>
      </c>
      <c r="CD55" s="44" t="e">
        <f t="shared" si="23"/>
        <v>#DIV/0!</v>
      </c>
      <c r="CE55" s="44" t="e">
        <f t="shared" si="23"/>
        <v>#DIV/0!</v>
      </c>
      <c r="CF55" s="44" t="e">
        <f t="shared" si="23"/>
        <v>#DIV/0!</v>
      </c>
      <c r="CG55" s="44" t="e">
        <f t="shared" si="23"/>
        <v>#DIV/0!</v>
      </c>
      <c r="CH55" s="44" t="e">
        <f t="shared" si="23"/>
        <v>#DIV/0!</v>
      </c>
      <c r="CI55" s="44" t="e">
        <f t="shared" si="23"/>
        <v>#DIV/0!</v>
      </c>
      <c r="CJ55" s="44" t="e">
        <f t="shared" si="23"/>
        <v>#DIV/0!</v>
      </c>
      <c r="CK55" s="44" t="e">
        <f t="shared" si="23"/>
        <v>#DIV/0!</v>
      </c>
    </row>
    <row r="56" spans="1:89" s="75" customFormat="1" x14ac:dyDescent="0.25">
      <c r="A56" s="145" t="s">
        <v>443</v>
      </c>
      <c r="E56" s="75">
        <f>资产资本表!E19</f>
        <v>33000000</v>
      </c>
      <c r="F56" s="75">
        <f>资产资本表!F19</f>
        <v>0</v>
      </c>
      <c r="G56" s="75">
        <f>资产资本表!G19</f>
        <v>0</v>
      </c>
      <c r="H56" s="75">
        <f>资产资本表!H19</f>
        <v>0</v>
      </c>
      <c r="I56" s="75">
        <f>资产资本表!I19</f>
        <v>0</v>
      </c>
      <c r="J56" s="75">
        <f>资产资本表!J19</f>
        <v>0</v>
      </c>
      <c r="K56" s="75">
        <f>资产资本表!K19</f>
        <v>0</v>
      </c>
      <c r="L56" s="75">
        <f>资产资本表!L19</f>
        <v>0</v>
      </c>
      <c r="M56" s="75">
        <f>资产资本表!M19</f>
        <v>0</v>
      </c>
      <c r="N56" s="75">
        <f>资产资本表!N19</f>
        <v>0</v>
      </c>
      <c r="O56" s="75">
        <f>资产资本表!O19</f>
        <v>1000000</v>
      </c>
      <c r="P56" s="75">
        <f>资产资本表!P19</f>
        <v>1000000</v>
      </c>
      <c r="Q56" s="75">
        <f>资产资本表!Q19</f>
        <v>0</v>
      </c>
      <c r="R56" s="75">
        <f>资产资本表!R19</f>
        <v>0</v>
      </c>
      <c r="S56" s="75">
        <f>资产资本表!S19</f>
        <v>0</v>
      </c>
      <c r="T56" s="75">
        <f>资产资本表!T19</f>
        <v>0</v>
      </c>
      <c r="U56" s="75">
        <f>资产资本表!U19</f>
        <v>0</v>
      </c>
      <c r="V56" s="75">
        <f>资产资本表!V19</f>
        <v>0</v>
      </c>
      <c r="W56" s="75">
        <f>资产资本表!W19</f>
        <v>0</v>
      </c>
      <c r="X56" s="75">
        <f>资产资本表!X19</f>
        <v>0</v>
      </c>
      <c r="Y56" s="75">
        <f>资产资本表!Y19</f>
        <v>0</v>
      </c>
      <c r="Z56" s="75">
        <f>资产资本表!Z19</f>
        <v>0</v>
      </c>
      <c r="AA56" s="75">
        <f>资产资本表!AA19</f>
        <v>0</v>
      </c>
      <c r="AB56" s="75">
        <f>资产资本表!AB19</f>
        <v>0</v>
      </c>
      <c r="AC56" s="75">
        <f>资产资本表!AC19</f>
        <v>0</v>
      </c>
      <c r="AD56" s="75">
        <f>资产资本表!AD19</f>
        <v>0</v>
      </c>
      <c r="AE56" s="75">
        <f>资产资本表!AE19</f>
        <v>0</v>
      </c>
      <c r="AF56" s="75">
        <f>资产资本表!AF19</f>
        <v>0</v>
      </c>
      <c r="AG56" s="75">
        <f>资产资本表!AG19</f>
        <v>0</v>
      </c>
      <c r="AH56" s="75">
        <f>资产资本表!AH19</f>
        <v>0</v>
      </c>
      <c r="AI56" s="75">
        <f>资产资本表!AI19</f>
        <v>0</v>
      </c>
      <c r="AJ56" s="75">
        <f>资产资本表!AJ19</f>
        <v>0</v>
      </c>
      <c r="AK56" s="75">
        <f>资产资本表!AK19</f>
        <v>0</v>
      </c>
      <c r="AL56" s="75">
        <f>资产资本表!AL19</f>
        <v>0</v>
      </c>
      <c r="AM56" s="75">
        <f>资产资本表!AM19</f>
        <v>0</v>
      </c>
      <c r="AN56" s="75">
        <f>资产资本表!AN19</f>
        <v>0</v>
      </c>
      <c r="AO56" s="75">
        <f>资产资本表!AO19</f>
        <v>0</v>
      </c>
      <c r="AP56" s="75">
        <f>资产资本表!AP19</f>
        <v>0</v>
      </c>
      <c r="AQ56" s="75">
        <f>资产资本表!AQ19</f>
        <v>0</v>
      </c>
      <c r="AR56" s="75">
        <f>资产资本表!AR19</f>
        <v>0</v>
      </c>
      <c r="AS56" s="75">
        <f>资产资本表!AS19</f>
        <v>0</v>
      </c>
      <c r="AT56" s="75">
        <f>资产资本表!AT19</f>
        <v>0</v>
      </c>
      <c r="AU56" s="75">
        <f>资产资本表!AU19</f>
        <v>0</v>
      </c>
      <c r="AV56" s="75">
        <f>资产资本表!AV19</f>
        <v>0</v>
      </c>
      <c r="AW56" s="75">
        <f>资产资本表!AW19</f>
        <v>0</v>
      </c>
      <c r="AX56" s="75">
        <f>资产资本表!AX19</f>
        <v>0</v>
      </c>
      <c r="AY56" s="75">
        <f>资产资本表!AY19</f>
        <v>0</v>
      </c>
      <c r="AZ56" s="75">
        <f>资产资本表!AZ19</f>
        <v>0</v>
      </c>
      <c r="BA56" s="75">
        <f>资产资本表!BA19</f>
        <v>0</v>
      </c>
      <c r="BB56" s="75">
        <f>资产资本表!BB19</f>
        <v>0</v>
      </c>
      <c r="BC56" s="75">
        <f>资产资本表!BC19</f>
        <v>0</v>
      </c>
      <c r="BD56" s="75">
        <f>资产资本表!BD19</f>
        <v>0</v>
      </c>
      <c r="BE56" s="75">
        <f>资产资本表!BE19</f>
        <v>0</v>
      </c>
      <c r="BF56" s="75">
        <f>资产资本表!BF19</f>
        <v>0</v>
      </c>
      <c r="BG56" s="75">
        <f>资产资本表!BG19</f>
        <v>0</v>
      </c>
      <c r="BH56" s="75">
        <f>资产资本表!BH19</f>
        <v>0</v>
      </c>
      <c r="BI56" s="75">
        <f>资产资本表!BI19</f>
        <v>0</v>
      </c>
      <c r="BJ56" s="75">
        <f>资产资本表!BJ19</f>
        <v>0</v>
      </c>
      <c r="BK56" s="75">
        <f>资产资本表!BK19</f>
        <v>0</v>
      </c>
      <c r="BL56" s="75">
        <f>资产资本表!BL19</f>
        <v>0</v>
      </c>
      <c r="BM56" s="75">
        <f>资产资本表!BM19</f>
        <v>0</v>
      </c>
      <c r="BN56" s="75">
        <f>资产资本表!BN19</f>
        <v>0</v>
      </c>
      <c r="BO56" s="75">
        <f>资产资本表!BO19</f>
        <v>0</v>
      </c>
      <c r="BP56" s="75">
        <f>资产资本表!BP19</f>
        <v>0</v>
      </c>
      <c r="BQ56" s="75">
        <f>资产资本表!BQ19</f>
        <v>0</v>
      </c>
      <c r="BR56" s="75">
        <f>资产资本表!BR19</f>
        <v>0</v>
      </c>
      <c r="BS56" s="75">
        <f>资产资本表!BS19</f>
        <v>0</v>
      </c>
      <c r="BT56" s="75">
        <f>资产资本表!BT19</f>
        <v>0</v>
      </c>
      <c r="BU56" s="75">
        <f>资产资本表!BU19</f>
        <v>0</v>
      </c>
      <c r="BV56" s="75">
        <f>资产资本表!BV19</f>
        <v>0</v>
      </c>
      <c r="BW56" s="75">
        <f>资产资本表!BW19</f>
        <v>0</v>
      </c>
      <c r="BX56" s="75">
        <f>资产资本表!BX19</f>
        <v>0</v>
      </c>
      <c r="BY56" s="75">
        <f>资产资本表!BY19</f>
        <v>0</v>
      </c>
      <c r="BZ56" s="75">
        <f>资产资本表!BZ19</f>
        <v>0</v>
      </c>
      <c r="CA56" s="75">
        <f>资产资本表!CA19</f>
        <v>0</v>
      </c>
      <c r="CB56" s="75">
        <f>资产资本表!CB19</f>
        <v>0</v>
      </c>
      <c r="CC56" s="75">
        <f>资产资本表!CC19</f>
        <v>0</v>
      </c>
      <c r="CD56" s="75">
        <f>资产资本表!CD19</f>
        <v>0</v>
      </c>
      <c r="CE56" s="75">
        <f>资产资本表!CE19</f>
        <v>0</v>
      </c>
      <c r="CF56" s="75">
        <f>资产资本表!CF19</f>
        <v>0</v>
      </c>
      <c r="CG56" s="75">
        <f>资产资本表!CG19</f>
        <v>0</v>
      </c>
      <c r="CH56" s="75">
        <f>资产资本表!CH19</f>
        <v>0</v>
      </c>
      <c r="CI56" s="75">
        <f>资产资本表!CI19</f>
        <v>0</v>
      </c>
      <c r="CJ56" s="75">
        <f>资产资本表!CJ19</f>
        <v>0</v>
      </c>
    </row>
    <row r="57" spans="1:89" s="116" customFormat="1" x14ac:dyDescent="0.25">
      <c r="A57" s="143" t="s">
        <v>470</v>
      </c>
      <c r="E57" s="116">
        <f>E49/E56</f>
        <v>22.800270478484848</v>
      </c>
      <c r="F57" s="116" t="e">
        <f t="shared" ref="F57:BQ57" si="24">F49/F56</f>
        <v>#DIV/0!</v>
      </c>
      <c r="G57" s="116" t="e">
        <f t="shared" si="24"/>
        <v>#DIV/0!</v>
      </c>
      <c r="H57" s="116" t="e">
        <f t="shared" si="24"/>
        <v>#DIV/0!</v>
      </c>
      <c r="I57" s="116" t="e">
        <f t="shared" si="24"/>
        <v>#DIV/0!</v>
      </c>
      <c r="J57" s="116" t="e">
        <f t="shared" si="24"/>
        <v>#DIV/0!</v>
      </c>
      <c r="K57" s="116" t="e">
        <f t="shared" si="24"/>
        <v>#DIV/0!</v>
      </c>
      <c r="L57" s="116" t="e">
        <f t="shared" si="24"/>
        <v>#DIV/0!</v>
      </c>
      <c r="M57" s="116" t="e">
        <f t="shared" si="24"/>
        <v>#DIV/0!</v>
      </c>
      <c r="N57" s="116" t="e">
        <f t="shared" si="24"/>
        <v>#DIV/0!</v>
      </c>
      <c r="O57" s="116">
        <f t="shared" si="24"/>
        <v>528.80968073999998</v>
      </c>
      <c r="P57" s="116">
        <f t="shared" si="24"/>
        <v>484.90794222000005</v>
      </c>
      <c r="Q57" s="116" t="e">
        <f t="shared" si="24"/>
        <v>#DIV/0!</v>
      </c>
      <c r="R57" s="116" t="e">
        <f t="shared" si="24"/>
        <v>#DIV/0!</v>
      </c>
      <c r="S57" s="116" t="e">
        <f t="shared" si="24"/>
        <v>#DIV/0!</v>
      </c>
      <c r="T57" s="116" t="e">
        <f t="shared" si="24"/>
        <v>#DIV/0!</v>
      </c>
      <c r="U57" s="116" t="e">
        <f t="shared" si="24"/>
        <v>#DIV/0!</v>
      </c>
      <c r="V57" s="116" t="e">
        <f t="shared" si="24"/>
        <v>#DIV/0!</v>
      </c>
      <c r="W57" s="116" t="e">
        <f t="shared" si="24"/>
        <v>#DIV/0!</v>
      </c>
      <c r="X57" s="116" t="e">
        <f t="shared" si="24"/>
        <v>#DIV/0!</v>
      </c>
      <c r="Y57" s="116" t="e">
        <f t="shared" si="24"/>
        <v>#DIV/0!</v>
      </c>
      <c r="Z57" s="116" t="e">
        <f t="shared" si="24"/>
        <v>#DIV/0!</v>
      </c>
      <c r="AA57" s="116" t="e">
        <f t="shared" si="24"/>
        <v>#DIV/0!</v>
      </c>
      <c r="AB57" s="116" t="e">
        <f t="shared" si="24"/>
        <v>#DIV/0!</v>
      </c>
      <c r="AC57" s="116" t="e">
        <f t="shared" si="24"/>
        <v>#DIV/0!</v>
      </c>
      <c r="AD57" s="116" t="e">
        <f t="shared" si="24"/>
        <v>#DIV/0!</v>
      </c>
      <c r="AE57" s="116" t="e">
        <f t="shared" si="24"/>
        <v>#DIV/0!</v>
      </c>
      <c r="AF57" s="116" t="e">
        <f t="shared" si="24"/>
        <v>#DIV/0!</v>
      </c>
      <c r="AG57" s="116" t="e">
        <f t="shared" si="24"/>
        <v>#DIV/0!</v>
      </c>
      <c r="AH57" s="116" t="e">
        <f t="shared" si="24"/>
        <v>#DIV/0!</v>
      </c>
      <c r="AI57" s="116" t="e">
        <f t="shared" si="24"/>
        <v>#DIV/0!</v>
      </c>
      <c r="AJ57" s="116" t="e">
        <f t="shared" si="24"/>
        <v>#DIV/0!</v>
      </c>
      <c r="AK57" s="116" t="e">
        <f t="shared" si="24"/>
        <v>#DIV/0!</v>
      </c>
      <c r="AL57" s="116" t="e">
        <f t="shared" si="24"/>
        <v>#DIV/0!</v>
      </c>
      <c r="AM57" s="116" t="e">
        <f t="shared" si="24"/>
        <v>#DIV/0!</v>
      </c>
      <c r="AN57" s="116" t="e">
        <f t="shared" si="24"/>
        <v>#DIV/0!</v>
      </c>
      <c r="AO57" s="116" t="e">
        <f t="shared" si="24"/>
        <v>#DIV/0!</v>
      </c>
      <c r="AP57" s="116" t="e">
        <f t="shared" si="24"/>
        <v>#DIV/0!</v>
      </c>
      <c r="AQ57" s="116" t="e">
        <f t="shared" si="24"/>
        <v>#DIV/0!</v>
      </c>
      <c r="AR57" s="116" t="e">
        <f t="shared" si="24"/>
        <v>#DIV/0!</v>
      </c>
      <c r="AS57" s="116" t="e">
        <f t="shared" si="24"/>
        <v>#DIV/0!</v>
      </c>
      <c r="AT57" s="116" t="e">
        <f t="shared" si="24"/>
        <v>#DIV/0!</v>
      </c>
      <c r="AU57" s="116" t="e">
        <f t="shared" si="24"/>
        <v>#DIV/0!</v>
      </c>
      <c r="AV57" s="116" t="e">
        <f t="shared" si="24"/>
        <v>#DIV/0!</v>
      </c>
      <c r="AW57" s="116" t="e">
        <f t="shared" si="24"/>
        <v>#DIV/0!</v>
      </c>
      <c r="AX57" s="116" t="e">
        <f t="shared" si="24"/>
        <v>#DIV/0!</v>
      </c>
      <c r="AY57" s="116" t="e">
        <f t="shared" si="24"/>
        <v>#DIV/0!</v>
      </c>
      <c r="AZ57" s="116" t="e">
        <f t="shared" si="24"/>
        <v>#DIV/0!</v>
      </c>
      <c r="BA57" s="116" t="e">
        <f t="shared" si="24"/>
        <v>#DIV/0!</v>
      </c>
      <c r="BB57" s="116" t="e">
        <f t="shared" si="24"/>
        <v>#DIV/0!</v>
      </c>
      <c r="BC57" s="116" t="e">
        <f t="shared" si="24"/>
        <v>#DIV/0!</v>
      </c>
      <c r="BD57" s="116" t="e">
        <f t="shared" si="24"/>
        <v>#DIV/0!</v>
      </c>
      <c r="BE57" s="116" t="e">
        <f t="shared" si="24"/>
        <v>#DIV/0!</v>
      </c>
      <c r="BF57" s="116" t="e">
        <f t="shared" si="24"/>
        <v>#DIV/0!</v>
      </c>
      <c r="BG57" s="116" t="e">
        <f t="shared" si="24"/>
        <v>#DIV/0!</v>
      </c>
      <c r="BH57" s="116" t="e">
        <f t="shared" si="24"/>
        <v>#DIV/0!</v>
      </c>
      <c r="BI57" s="116" t="e">
        <f t="shared" si="24"/>
        <v>#DIV/0!</v>
      </c>
      <c r="BJ57" s="116" t="e">
        <f t="shared" si="24"/>
        <v>#DIV/0!</v>
      </c>
      <c r="BK57" s="116" t="e">
        <f t="shared" si="24"/>
        <v>#DIV/0!</v>
      </c>
      <c r="BL57" s="116" t="e">
        <f t="shared" si="24"/>
        <v>#DIV/0!</v>
      </c>
      <c r="BM57" s="116" t="e">
        <f t="shared" si="24"/>
        <v>#DIV/0!</v>
      </c>
      <c r="BN57" s="116" t="e">
        <f t="shared" si="24"/>
        <v>#DIV/0!</v>
      </c>
      <c r="BO57" s="116" t="e">
        <f t="shared" si="24"/>
        <v>#DIV/0!</v>
      </c>
      <c r="BP57" s="116" t="e">
        <f t="shared" si="24"/>
        <v>#DIV/0!</v>
      </c>
      <c r="BQ57" s="116" t="e">
        <f t="shared" si="24"/>
        <v>#DIV/0!</v>
      </c>
      <c r="BR57" s="116" t="e">
        <f t="shared" ref="BR57:CK57" si="25">BR49/BR56</f>
        <v>#DIV/0!</v>
      </c>
      <c r="BS57" s="116" t="e">
        <f t="shared" si="25"/>
        <v>#DIV/0!</v>
      </c>
      <c r="BT57" s="116" t="e">
        <f t="shared" si="25"/>
        <v>#DIV/0!</v>
      </c>
      <c r="BU57" s="116" t="e">
        <f t="shared" si="25"/>
        <v>#DIV/0!</v>
      </c>
      <c r="BV57" s="116" t="e">
        <f t="shared" si="25"/>
        <v>#DIV/0!</v>
      </c>
      <c r="BW57" s="116" t="e">
        <f t="shared" si="25"/>
        <v>#DIV/0!</v>
      </c>
      <c r="BX57" s="116" t="e">
        <f t="shared" si="25"/>
        <v>#DIV/0!</v>
      </c>
      <c r="BY57" s="116" t="e">
        <f t="shared" si="25"/>
        <v>#DIV/0!</v>
      </c>
      <c r="BZ57" s="116" t="e">
        <f t="shared" si="25"/>
        <v>#DIV/0!</v>
      </c>
      <c r="CA57" s="116" t="e">
        <f t="shared" si="25"/>
        <v>#DIV/0!</v>
      </c>
      <c r="CB57" s="116" t="e">
        <f t="shared" si="25"/>
        <v>#DIV/0!</v>
      </c>
      <c r="CC57" s="116" t="e">
        <f t="shared" si="25"/>
        <v>#DIV/0!</v>
      </c>
      <c r="CD57" s="116" t="e">
        <f t="shared" si="25"/>
        <v>#DIV/0!</v>
      </c>
      <c r="CE57" s="116" t="e">
        <f t="shared" si="25"/>
        <v>#DIV/0!</v>
      </c>
      <c r="CF57" s="116" t="e">
        <f t="shared" si="25"/>
        <v>#DIV/0!</v>
      </c>
      <c r="CG57" s="116" t="e">
        <f t="shared" si="25"/>
        <v>#DIV/0!</v>
      </c>
      <c r="CH57" s="116" t="e">
        <f t="shared" si="25"/>
        <v>#DIV/0!</v>
      </c>
      <c r="CI57" s="116" t="e">
        <f t="shared" si="25"/>
        <v>#DIV/0!</v>
      </c>
      <c r="CJ57" s="116" t="e">
        <f t="shared" si="25"/>
        <v>#DIV/0!</v>
      </c>
      <c r="CK57" s="116" t="e">
        <f t="shared" si="25"/>
        <v>#DIV/0!</v>
      </c>
    </row>
    <row r="58" spans="1:89" s="16" customFormat="1" ht="44.4" customHeight="1" x14ac:dyDescent="0.25">
      <c r="A58" s="278" t="s">
        <v>693</v>
      </c>
      <c r="B58" s="277"/>
      <c r="C58" s="277"/>
      <c r="D58" s="277"/>
      <c r="E58" s="277"/>
      <c r="F58" s="277"/>
      <c r="G58" s="277"/>
      <c r="H58" s="277"/>
      <c r="I58" s="277"/>
      <c r="J58" s="277"/>
      <c r="K58" s="277"/>
      <c r="L58" s="277"/>
      <c r="M58" s="277"/>
      <c r="N58" s="277"/>
      <c r="O58" s="277"/>
      <c r="P58" s="277"/>
      <c r="Q58" s="277"/>
      <c r="R58" s="277"/>
      <c r="S58" s="277"/>
      <c r="T58" s="277"/>
      <c r="U58" s="277"/>
      <c r="V58" s="277"/>
      <c r="W58" s="277"/>
      <c r="X58" s="277"/>
      <c r="Y58" s="277"/>
      <c r="Z58" s="277"/>
      <c r="AA58" s="277"/>
      <c r="AB58" s="277"/>
      <c r="AC58" s="277"/>
      <c r="AD58" s="277"/>
      <c r="AE58" s="277"/>
      <c r="AF58" s="277"/>
      <c r="AG58" s="277"/>
    </row>
    <row r="61" spans="1:89" s="118" customFormat="1" x14ac:dyDescent="0.25">
      <c r="A61" s="117" t="s">
        <v>471</v>
      </c>
      <c r="B61" s="1">
        <v>43373</v>
      </c>
      <c r="C61" s="1">
        <v>43281</v>
      </c>
      <c r="D61" s="1">
        <v>43190</v>
      </c>
      <c r="E61" s="1">
        <v>43100</v>
      </c>
      <c r="F61" s="1">
        <v>43008</v>
      </c>
      <c r="G61" s="1">
        <v>42916</v>
      </c>
      <c r="H61" s="1">
        <v>42825</v>
      </c>
      <c r="I61" s="1">
        <v>42735</v>
      </c>
      <c r="J61" s="1">
        <v>42643</v>
      </c>
      <c r="K61" s="1">
        <v>42551</v>
      </c>
      <c r="L61" s="1">
        <v>42460</v>
      </c>
      <c r="M61" s="1">
        <v>42369</v>
      </c>
      <c r="N61" s="1">
        <v>42277</v>
      </c>
      <c r="O61" s="1">
        <v>42004</v>
      </c>
      <c r="P61" s="1">
        <v>41639</v>
      </c>
      <c r="Q61" s="1">
        <v>41274</v>
      </c>
      <c r="R61" s="1">
        <v>40908</v>
      </c>
      <c r="S61" s="1">
        <v>25569</v>
      </c>
      <c r="T61" s="1"/>
      <c r="U61" s="1"/>
      <c r="V61" s="1"/>
      <c r="W61" s="1"/>
      <c r="X61" s="1"/>
      <c r="Y61" s="1"/>
      <c r="Z61" s="1"/>
      <c r="AA61" s="1"/>
      <c r="AB61" s="1"/>
      <c r="AC61" s="1"/>
      <c r="AD61" s="1"/>
      <c r="AE61" s="1"/>
      <c r="AF61" s="1"/>
      <c r="AG61" s="1"/>
      <c r="AH61" s="1"/>
      <c r="AI61" s="1"/>
      <c r="AJ61" s="1"/>
      <c r="AK61" s="1"/>
      <c r="AL61" s="1"/>
      <c r="AM61" s="1"/>
      <c r="AN61" s="1"/>
      <c r="AO61" s="1"/>
      <c r="AP61" s="1"/>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row>
    <row r="62" spans="1:89" s="75" customFormat="1" x14ac:dyDescent="0.25">
      <c r="A62" s="145" t="s">
        <v>472</v>
      </c>
      <c r="E62" s="75">
        <v>365</v>
      </c>
      <c r="F62" s="75">
        <v>365</v>
      </c>
      <c r="G62" s="75">
        <v>365</v>
      </c>
      <c r="H62" s="75">
        <v>365</v>
      </c>
      <c r="I62" s="75">
        <v>365</v>
      </c>
      <c r="J62" s="75">
        <v>365</v>
      </c>
      <c r="K62" s="75">
        <v>365</v>
      </c>
      <c r="L62" s="75">
        <v>365</v>
      </c>
      <c r="M62" s="75">
        <v>365</v>
      </c>
      <c r="N62" s="75">
        <v>365</v>
      </c>
      <c r="O62" s="75">
        <v>365</v>
      </c>
      <c r="P62" s="75">
        <v>365</v>
      </c>
      <c r="Q62" s="75">
        <v>365</v>
      </c>
      <c r="R62" s="75">
        <v>365</v>
      </c>
      <c r="S62" s="75">
        <v>365</v>
      </c>
      <c r="T62" s="75">
        <v>365</v>
      </c>
      <c r="U62" s="75">
        <v>365</v>
      </c>
      <c r="V62" s="75">
        <v>365</v>
      </c>
      <c r="W62" s="75">
        <v>365</v>
      </c>
      <c r="X62" s="75">
        <v>365</v>
      </c>
      <c r="Y62" s="75">
        <v>365</v>
      </c>
      <c r="Z62" s="75">
        <v>365</v>
      </c>
      <c r="AA62" s="75">
        <v>365</v>
      </c>
      <c r="AB62" s="75">
        <v>365</v>
      </c>
      <c r="AC62" s="75">
        <v>365</v>
      </c>
      <c r="AD62" s="75">
        <v>365</v>
      </c>
      <c r="AE62" s="75">
        <v>365</v>
      </c>
      <c r="AF62" s="75">
        <v>365</v>
      </c>
      <c r="AG62" s="75">
        <v>365</v>
      </c>
      <c r="AH62" s="75">
        <v>365</v>
      </c>
      <c r="AI62" s="75">
        <v>365</v>
      </c>
      <c r="AJ62" s="75">
        <v>365</v>
      </c>
      <c r="AK62" s="75">
        <v>365</v>
      </c>
      <c r="AL62" s="75">
        <v>365</v>
      </c>
      <c r="AM62" s="75">
        <v>365</v>
      </c>
      <c r="AN62" s="75">
        <v>365</v>
      </c>
      <c r="AO62" s="75">
        <v>365</v>
      </c>
      <c r="AP62" s="75">
        <v>365</v>
      </c>
      <c r="AQ62" s="75">
        <v>365</v>
      </c>
      <c r="AR62" s="75">
        <v>365</v>
      </c>
      <c r="AS62" s="75">
        <v>365</v>
      </c>
      <c r="AT62" s="75">
        <v>365</v>
      </c>
      <c r="AU62" s="75">
        <v>365</v>
      </c>
      <c r="AV62" s="75">
        <v>365</v>
      </c>
      <c r="AW62" s="75">
        <v>365</v>
      </c>
      <c r="AX62" s="75">
        <v>365</v>
      </c>
      <c r="AY62" s="75">
        <v>365</v>
      </c>
      <c r="AZ62" s="75">
        <v>365</v>
      </c>
      <c r="BA62" s="75">
        <v>365</v>
      </c>
      <c r="BB62" s="75">
        <v>365</v>
      </c>
      <c r="BC62" s="75">
        <v>365</v>
      </c>
      <c r="BD62" s="75">
        <v>365</v>
      </c>
      <c r="BE62" s="75">
        <v>365</v>
      </c>
      <c r="BF62" s="75">
        <v>365</v>
      </c>
      <c r="BG62" s="75">
        <v>365</v>
      </c>
      <c r="BH62" s="75">
        <v>365</v>
      </c>
      <c r="BI62" s="75">
        <v>365</v>
      </c>
      <c r="BJ62" s="75">
        <v>365</v>
      </c>
      <c r="BK62" s="75">
        <v>365</v>
      </c>
      <c r="BL62" s="75">
        <v>365</v>
      </c>
      <c r="BM62" s="75">
        <v>365</v>
      </c>
      <c r="BN62" s="75">
        <v>365</v>
      </c>
      <c r="BO62" s="75">
        <v>365</v>
      </c>
      <c r="BP62" s="75">
        <v>365</v>
      </c>
      <c r="BQ62" s="75">
        <v>365</v>
      </c>
      <c r="BR62" s="75">
        <v>365</v>
      </c>
      <c r="BS62" s="75">
        <v>365</v>
      </c>
      <c r="BT62" s="75">
        <v>365</v>
      </c>
      <c r="BU62" s="75">
        <v>365</v>
      </c>
      <c r="BV62" s="75">
        <v>365</v>
      </c>
      <c r="BW62" s="75">
        <v>365</v>
      </c>
      <c r="BX62" s="75">
        <v>365</v>
      </c>
      <c r="BY62" s="75">
        <v>365</v>
      </c>
      <c r="BZ62" s="75">
        <v>365</v>
      </c>
      <c r="CA62" s="75">
        <v>365</v>
      </c>
      <c r="CB62" s="75">
        <v>365</v>
      </c>
      <c r="CC62" s="75">
        <v>365</v>
      </c>
      <c r="CD62" s="75">
        <v>365</v>
      </c>
      <c r="CE62" s="75">
        <v>365</v>
      </c>
      <c r="CF62" s="75">
        <v>365</v>
      </c>
      <c r="CG62" s="75">
        <v>365</v>
      </c>
      <c r="CH62" s="75">
        <v>365</v>
      </c>
      <c r="CI62" s="75">
        <v>365</v>
      </c>
      <c r="CJ62" s="75">
        <v>365</v>
      </c>
    </row>
    <row r="63" spans="1:89" s="75" customFormat="1" x14ac:dyDescent="0.25">
      <c r="A63" s="145" t="s">
        <v>463</v>
      </c>
      <c r="E63" s="75">
        <f>E49</f>
        <v>752408925.78999996</v>
      </c>
      <c r="F63" s="75">
        <f t="shared" ref="F63:BQ63" si="26">F49</f>
        <v>525772942.17000002</v>
      </c>
      <c r="G63" s="75">
        <f t="shared" si="26"/>
        <v>339770745.41000003</v>
      </c>
      <c r="H63" s="75">
        <f t="shared" si="26"/>
        <v>153700781.78999999</v>
      </c>
      <c r="I63" s="75">
        <f t="shared" si="26"/>
        <v>665011421.55999994</v>
      </c>
      <c r="J63" s="75">
        <f t="shared" si="26"/>
        <v>454007921.24000001</v>
      </c>
      <c r="K63" s="75">
        <f t="shared" si="26"/>
        <v>283257330.20999998</v>
      </c>
      <c r="L63" s="75">
        <f t="shared" si="26"/>
        <v>124302689.18000001</v>
      </c>
      <c r="M63" s="75">
        <f t="shared" si="26"/>
        <v>597037871.64999998</v>
      </c>
      <c r="N63" s="75">
        <f t="shared" si="26"/>
        <v>409475329.64999998</v>
      </c>
      <c r="O63" s="75">
        <f t="shared" si="26"/>
        <v>528809680.74000001</v>
      </c>
      <c r="P63" s="75">
        <f t="shared" si="26"/>
        <v>484907942.22000003</v>
      </c>
      <c r="Q63" s="75">
        <f t="shared" si="26"/>
        <v>395593790.81</v>
      </c>
      <c r="R63" s="75">
        <f t="shared" si="26"/>
        <v>316891515.43000001</v>
      </c>
      <c r="S63" s="75">
        <f t="shared" si="26"/>
        <v>0</v>
      </c>
      <c r="T63" s="75">
        <f t="shared" si="26"/>
        <v>0</v>
      </c>
      <c r="U63" s="75">
        <f t="shared" si="26"/>
        <v>0</v>
      </c>
      <c r="V63" s="75">
        <f t="shared" si="26"/>
        <v>0</v>
      </c>
      <c r="W63" s="75">
        <f t="shared" si="26"/>
        <v>0</v>
      </c>
      <c r="X63" s="75">
        <f t="shared" si="26"/>
        <v>0</v>
      </c>
      <c r="Y63" s="75">
        <f t="shared" si="26"/>
        <v>0</v>
      </c>
      <c r="Z63" s="75">
        <f t="shared" si="26"/>
        <v>0</v>
      </c>
      <c r="AA63" s="75">
        <f t="shared" si="26"/>
        <v>0</v>
      </c>
      <c r="AB63" s="75">
        <f t="shared" si="26"/>
        <v>0</v>
      </c>
      <c r="AC63" s="75">
        <f t="shared" si="26"/>
        <v>0</v>
      </c>
      <c r="AD63" s="75">
        <f t="shared" si="26"/>
        <v>0</v>
      </c>
      <c r="AE63" s="75">
        <f t="shared" si="26"/>
        <v>0</v>
      </c>
      <c r="AF63" s="75">
        <f t="shared" si="26"/>
        <v>0</v>
      </c>
      <c r="AG63" s="75">
        <f t="shared" si="26"/>
        <v>0</v>
      </c>
      <c r="AH63" s="75">
        <f t="shared" si="26"/>
        <v>0</v>
      </c>
      <c r="AI63" s="75">
        <f t="shared" si="26"/>
        <v>0</v>
      </c>
      <c r="AJ63" s="75">
        <f t="shared" si="26"/>
        <v>0</v>
      </c>
      <c r="AK63" s="75">
        <f t="shared" si="26"/>
        <v>0</v>
      </c>
      <c r="AL63" s="75">
        <f t="shared" si="26"/>
        <v>0</v>
      </c>
      <c r="AM63" s="75">
        <f t="shared" si="26"/>
        <v>0</v>
      </c>
      <c r="AN63" s="75">
        <f t="shared" si="26"/>
        <v>0</v>
      </c>
      <c r="AO63" s="75">
        <f t="shared" si="26"/>
        <v>0</v>
      </c>
      <c r="AP63" s="75">
        <f t="shared" si="26"/>
        <v>0</v>
      </c>
      <c r="AQ63" s="75">
        <f t="shared" si="26"/>
        <v>0</v>
      </c>
      <c r="AR63" s="75">
        <f t="shared" si="26"/>
        <v>0</v>
      </c>
      <c r="AS63" s="75">
        <f t="shared" si="26"/>
        <v>0</v>
      </c>
      <c r="AT63" s="75">
        <f t="shared" si="26"/>
        <v>0</v>
      </c>
      <c r="AU63" s="75">
        <f t="shared" si="26"/>
        <v>0</v>
      </c>
      <c r="AV63" s="75">
        <f t="shared" si="26"/>
        <v>0</v>
      </c>
      <c r="AW63" s="75">
        <f t="shared" si="26"/>
        <v>0</v>
      </c>
      <c r="AX63" s="75">
        <f t="shared" si="26"/>
        <v>0</v>
      </c>
      <c r="AY63" s="75">
        <f t="shared" si="26"/>
        <v>0</v>
      </c>
      <c r="AZ63" s="75">
        <f t="shared" si="26"/>
        <v>0</v>
      </c>
      <c r="BA63" s="75">
        <f t="shared" si="26"/>
        <v>0</v>
      </c>
      <c r="BB63" s="75">
        <f t="shared" si="26"/>
        <v>0</v>
      </c>
      <c r="BC63" s="75">
        <f t="shared" si="26"/>
        <v>0</v>
      </c>
      <c r="BD63" s="75">
        <f t="shared" si="26"/>
        <v>0</v>
      </c>
      <c r="BE63" s="75">
        <f t="shared" si="26"/>
        <v>0</v>
      </c>
      <c r="BF63" s="75">
        <f t="shared" si="26"/>
        <v>0</v>
      </c>
      <c r="BG63" s="75">
        <f t="shared" si="26"/>
        <v>0</v>
      </c>
      <c r="BH63" s="75">
        <f t="shared" si="26"/>
        <v>0</v>
      </c>
      <c r="BI63" s="75">
        <f t="shared" si="26"/>
        <v>0</v>
      </c>
      <c r="BJ63" s="75">
        <f t="shared" si="26"/>
        <v>0</v>
      </c>
      <c r="BK63" s="75">
        <f t="shared" si="26"/>
        <v>0</v>
      </c>
      <c r="BL63" s="75">
        <f t="shared" si="26"/>
        <v>0</v>
      </c>
      <c r="BM63" s="75">
        <f t="shared" si="26"/>
        <v>0</v>
      </c>
      <c r="BN63" s="75">
        <f t="shared" si="26"/>
        <v>0</v>
      </c>
      <c r="BO63" s="75">
        <f t="shared" si="26"/>
        <v>0</v>
      </c>
      <c r="BP63" s="75">
        <f t="shared" si="26"/>
        <v>0</v>
      </c>
      <c r="BQ63" s="75">
        <f t="shared" si="26"/>
        <v>0</v>
      </c>
      <c r="BR63" s="75">
        <f t="shared" ref="BR63:CJ63" si="27">BR49</f>
        <v>0</v>
      </c>
      <c r="BS63" s="75">
        <f t="shared" si="27"/>
        <v>0</v>
      </c>
      <c r="BT63" s="75">
        <f t="shared" si="27"/>
        <v>0</v>
      </c>
      <c r="BU63" s="75">
        <f t="shared" si="27"/>
        <v>0</v>
      </c>
      <c r="BV63" s="75">
        <f t="shared" si="27"/>
        <v>0</v>
      </c>
      <c r="BW63" s="75">
        <f t="shared" si="27"/>
        <v>0</v>
      </c>
      <c r="BX63" s="75">
        <f t="shared" si="27"/>
        <v>0</v>
      </c>
      <c r="BY63" s="75">
        <f t="shared" si="27"/>
        <v>0</v>
      </c>
      <c r="BZ63" s="75">
        <f t="shared" si="27"/>
        <v>0</v>
      </c>
      <c r="CA63" s="75">
        <f t="shared" si="27"/>
        <v>0</v>
      </c>
      <c r="CB63" s="75">
        <f t="shared" si="27"/>
        <v>0</v>
      </c>
      <c r="CC63" s="75">
        <f t="shared" si="27"/>
        <v>0</v>
      </c>
      <c r="CD63" s="75">
        <f t="shared" si="27"/>
        <v>0</v>
      </c>
      <c r="CE63" s="75">
        <f t="shared" si="27"/>
        <v>0</v>
      </c>
      <c r="CF63" s="75">
        <f t="shared" si="27"/>
        <v>0</v>
      </c>
      <c r="CG63" s="75">
        <f t="shared" si="27"/>
        <v>0</v>
      </c>
      <c r="CH63" s="75">
        <f t="shared" si="27"/>
        <v>0</v>
      </c>
      <c r="CI63" s="75">
        <f t="shared" si="27"/>
        <v>0</v>
      </c>
      <c r="CJ63" s="75">
        <f t="shared" si="27"/>
        <v>0</v>
      </c>
    </row>
    <row r="64" spans="1:89" s="75" customFormat="1" x14ac:dyDescent="0.25">
      <c r="A64" s="145" t="s">
        <v>473</v>
      </c>
      <c r="E64" s="75">
        <f>资产资本表!E22+资产资本表!E23-资产资本表!E37</f>
        <v>-29400678.989999995</v>
      </c>
      <c r="F64" s="75">
        <f>资产资本表!F22+资产资本表!F23-资产资本表!F37</f>
        <v>-18710323.74000001</v>
      </c>
      <c r="G64" s="75">
        <f>资产资本表!G22+资产资本表!G23-资产资本表!G37</f>
        <v>-21489629.620000005</v>
      </c>
      <c r="H64" s="75">
        <f>资产资本表!H22+资产资本表!H23-资产资本表!H37</f>
        <v>-29388032.149999991</v>
      </c>
      <c r="I64" s="75">
        <f>资产资本表!I22+资产资本表!I23-资产资本表!I37</f>
        <v>-22435266.560000002</v>
      </c>
      <c r="J64" s="75">
        <f>资产资本表!J22+资产资本表!J23-资产资本表!J37</f>
        <v>-30852294.810000002</v>
      </c>
      <c r="K64" s="75">
        <f>资产资本表!K22+资产资本表!K23-资产资本表!K37</f>
        <v>-19101019.570000008</v>
      </c>
      <c r="L64" s="75">
        <f>资产资本表!L22+资产资本表!L23-资产资本表!L37</f>
        <v>-15932894.490000002</v>
      </c>
      <c r="M64" s="75">
        <f>资产资本表!M22+资产资本表!M23-资产资本表!M37</f>
        <v>-14494856.729999997</v>
      </c>
      <c r="N64" s="75">
        <f>资产资本表!N22+资产资本表!N23-资产资本表!N37</f>
        <v>-11348847.119999997</v>
      </c>
      <c r="O64" s="75">
        <f>资产资本表!O22+资产资本表!O23-资产资本表!O37</f>
        <v>-14100024.060000002</v>
      </c>
      <c r="P64" s="75">
        <f>资产资本表!P22+资产资本表!P23-资产资本表!P37</f>
        <v>-1585541.0400000028</v>
      </c>
      <c r="Q64" s="75">
        <f>资产资本表!Q22+资产资本表!Q23-资产资本表!Q37</f>
        <v>0</v>
      </c>
      <c r="R64" s="75">
        <f>资产资本表!R22+资产资本表!R23-资产资本表!R37</f>
        <v>0</v>
      </c>
      <c r="S64" s="75">
        <f>资产资本表!S22+资产资本表!S23-资产资本表!S37</f>
        <v>0</v>
      </c>
      <c r="T64" s="75">
        <f>资产资本表!T22+资产资本表!T23-资产资本表!T37</f>
        <v>0</v>
      </c>
      <c r="U64" s="75">
        <f>资产资本表!U22+资产资本表!U23-资产资本表!U37</f>
        <v>0</v>
      </c>
      <c r="V64" s="75">
        <f>资产资本表!V22+资产资本表!V23-资产资本表!V37</f>
        <v>0</v>
      </c>
      <c r="W64" s="75">
        <f>资产资本表!W22+资产资本表!W23-资产资本表!W37</f>
        <v>0</v>
      </c>
      <c r="X64" s="75">
        <f>资产资本表!X22+资产资本表!X23-资产资本表!X37</f>
        <v>0</v>
      </c>
      <c r="Y64" s="75">
        <f>资产资本表!Y22+资产资本表!Y23-资产资本表!Y37</f>
        <v>0</v>
      </c>
      <c r="Z64" s="75">
        <f>资产资本表!Z22+资产资本表!Z23-资产资本表!Z37</f>
        <v>0</v>
      </c>
      <c r="AA64" s="75">
        <f>资产资本表!AA22+资产资本表!AA23-资产资本表!AA37</f>
        <v>0</v>
      </c>
      <c r="AB64" s="75">
        <f>资产资本表!AB22+资产资本表!AB23-资产资本表!AB37</f>
        <v>0</v>
      </c>
      <c r="AC64" s="75">
        <f>资产资本表!AC22+资产资本表!AC23-资产资本表!AC37</f>
        <v>0</v>
      </c>
      <c r="AD64" s="75">
        <f>资产资本表!AD22+资产资本表!AD23-资产资本表!AD37</f>
        <v>0</v>
      </c>
      <c r="AE64" s="75">
        <f>资产资本表!AE22+资产资本表!AE23-资产资本表!AE37</f>
        <v>0</v>
      </c>
      <c r="AF64" s="75">
        <f>资产资本表!AF22+资产资本表!AF23-资产资本表!AF37</f>
        <v>0</v>
      </c>
      <c r="AG64" s="75">
        <f>资产资本表!AG22+资产资本表!AG23-资产资本表!AG37</f>
        <v>0</v>
      </c>
      <c r="AH64" s="75">
        <f>资产资本表!AH22+资产资本表!AH23-资产资本表!AH37</f>
        <v>0</v>
      </c>
      <c r="AI64" s="75">
        <f>资产资本表!AI22+资产资本表!AI23-资产资本表!AI37</f>
        <v>0</v>
      </c>
      <c r="AJ64" s="75">
        <f>资产资本表!AJ22+资产资本表!AJ23-资产资本表!AJ37</f>
        <v>0</v>
      </c>
      <c r="AK64" s="75">
        <f>资产资本表!AK22+资产资本表!AK23-资产资本表!AK37</f>
        <v>0</v>
      </c>
      <c r="AL64" s="75">
        <f>资产资本表!AL22+资产资本表!AL23-资产资本表!AL37</f>
        <v>0</v>
      </c>
      <c r="AM64" s="75">
        <f>资产资本表!AM22+资产资本表!AM23-资产资本表!AM37</f>
        <v>0</v>
      </c>
      <c r="AN64" s="75">
        <f>资产资本表!AN22+资产资本表!AN23-资产资本表!AN37</f>
        <v>0</v>
      </c>
      <c r="AO64" s="75">
        <f>资产资本表!AO22+资产资本表!AO23-资产资本表!AO37</f>
        <v>0</v>
      </c>
      <c r="AP64" s="75">
        <f>资产资本表!AP22+资产资本表!AP23-资产资本表!AP37</f>
        <v>0</v>
      </c>
      <c r="AQ64" s="75">
        <f>资产资本表!AQ22+资产资本表!AQ23-资产资本表!AQ37</f>
        <v>0</v>
      </c>
      <c r="AR64" s="75">
        <f>资产资本表!AR22+资产资本表!AR23-资产资本表!AR37</f>
        <v>0</v>
      </c>
      <c r="AS64" s="75">
        <f>资产资本表!AS22+资产资本表!AS23-资产资本表!AS37</f>
        <v>0</v>
      </c>
      <c r="AT64" s="75">
        <f>资产资本表!AT22+资产资本表!AT23-资产资本表!AT37</f>
        <v>0</v>
      </c>
      <c r="AU64" s="75">
        <f>资产资本表!AU22+资产资本表!AU23-资产资本表!AU37</f>
        <v>0</v>
      </c>
      <c r="AV64" s="75">
        <f>资产资本表!AV22+资产资本表!AV23-资产资本表!AV37</f>
        <v>0</v>
      </c>
      <c r="AW64" s="75">
        <f>资产资本表!AW22+资产资本表!AW23-资产资本表!AW37</f>
        <v>0</v>
      </c>
      <c r="AX64" s="75">
        <f>资产资本表!AX22+资产资本表!AX23-资产资本表!AX37</f>
        <v>0</v>
      </c>
      <c r="AY64" s="75">
        <f>资产资本表!AY22+资产资本表!AY23-资产资本表!AY37</f>
        <v>0</v>
      </c>
      <c r="AZ64" s="75">
        <f>资产资本表!AZ22+资产资本表!AZ23-资产资本表!AZ37</f>
        <v>0</v>
      </c>
      <c r="BA64" s="75">
        <f>资产资本表!BA22+资产资本表!BA23-资产资本表!BA37</f>
        <v>0</v>
      </c>
      <c r="BB64" s="75">
        <f>资产资本表!BB22+资产资本表!BB23-资产资本表!BB37</f>
        <v>0</v>
      </c>
      <c r="BC64" s="75">
        <f>资产资本表!BC22+资产资本表!BC23-资产资本表!BC37</f>
        <v>0</v>
      </c>
      <c r="BD64" s="75">
        <f>资产资本表!BD22+资产资本表!BD23-资产资本表!BD37</f>
        <v>0</v>
      </c>
      <c r="BE64" s="75">
        <f>资产资本表!BE22+资产资本表!BE23-资产资本表!BE37</f>
        <v>0</v>
      </c>
      <c r="BF64" s="75">
        <f>资产资本表!BF22+资产资本表!BF23-资产资本表!BF37</f>
        <v>0</v>
      </c>
      <c r="BG64" s="75">
        <f>资产资本表!BG22+资产资本表!BG23-资产资本表!BG37</f>
        <v>0</v>
      </c>
      <c r="BH64" s="75">
        <f>资产资本表!BH22+资产资本表!BH23-资产资本表!BH37</f>
        <v>0</v>
      </c>
      <c r="BI64" s="75">
        <f>资产资本表!BI22+资产资本表!BI23-资产资本表!BI37</f>
        <v>0</v>
      </c>
      <c r="BJ64" s="75">
        <f>资产资本表!BJ22+资产资本表!BJ23-资产资本表!BJ37</f>
        <v>0</v>
      </c>
      <c r="BK64" s="75">
        <f>资产资本表!BK22+资产资本表!BK23-资产资本表!BK37</f>
        <v>0</v>
      </c>
      <c r="BL64" s="75">
        <f>资产资本表!BL22+资产资本表!BL23-资产资本表!BL37</f>
        <v>0</v>
      </c>
      <c r="BM64" s="75">
        <f>资产资本表!BM22+资产资本表!BM23-资产资本表!BM37</f>
        <v>0</v>
      </c>
      <c r="BN64" s="75">
        <f>资产资本表!BN22+资产资本表!BN23-资产资本表!BN37</f>
        <v>0</v>
      </c>
      <c r="BO64" s="75">
        <f>资产资本表!BO22+资产资本表!BO23-资产资本表!BO37</f>
        <v>0</v>
      </c>
      <c r="BP64" s="75">
        <f>资产资本表!BP22+资产资本表!BP23-资产资本表!BP37</f>
        <v>0</v>
      </c>
      <c r="BQ64" s="75">
        <f>资产资本表!BQ22+资产资本表!BQ23-资产资本表!BQ37</f>
        <v>0</v>
      </c>
      <c r="BR64" s="75">
        <f>资产资本表!BR22+资产资本表!BR23-资产资本表!BR37</f>
        <v>0</v>
      </c>
      <c r="BS64" s="75">
        <f>资产资本表!BS22+资产资本表!BS23-资产资本表!BS37</f>
        <v>0</v>
      </c>
      <c r="BT64" s="75">
        <f>资产资本表!BT22+资产资本表!BT23-资产资本表!BT37</f>
        <v>0</v>
      </c>
      <c r="BU64" s="75">
        <f>资产资本表!BU22+资产资本表!BU23-资产资本表!BU37</f>
        <v>0</v>
      </c>
      <c r="BV64" s="75">
        <f>资产资本表!BV22+资产资本表!BV23-资产资本表!BV37</f>
        <v>0</v>
      </c>
      <c r="BW64" s="75">
        <f>资产资本表!BW22+资产资本表!BW23-资产资本表!BW37</f>
        <v>0</v>
      </c>
      <c r="BX64" s="75">
        <f>资产资本表!BX22+资产资本表!BX23-资产资本表!BX37</f>
        <v>0</v>
      </c>
      <c r="BY64" s="75">
        <f>资产资本表!BY22+资产资本表!BY23-资产资本表!BY37</f>
        <v>0</v>
      </c>
      <c r="BZ64" s="75">
        <f>资产资本表!BZ22+资产资本表!BZ23-资产资本表!BZ37</f>
        <v>0</v>
      </c>
      <c r="CA64" s="75">
        <f>资产资本表!CA22+资产资本表!CA23-资产资本表!CA37</f>
        <v>0</v>
      </c>
      <c r="CB64" s="75">
        <f>资产资本表!CB22+资产资本表!CB23-资产资本表!CB37</f>
        <v>0</v>
      </c>
      <c r="CC64" s="75">
        <f>资产资本表!CC22+资产资本表!CC23-资产资本表!CC37</f>
        <v>0</v>
      </c>
      <c r="CD64" s="75">
        <f>资产资本表!CD22+资产资本表!CD23-资产资本表!CD37</f>
        <v>0</v>
      </c>
      <c r="CE64" s="75">
        <f>资产资本表!CE22+资产资本表!CE23-资产资本表!CE37</f>
        <v>0</v>
      </c>
      <c r="CF64" s="75">
        <f>资产资本表!CF22+资产资本表!CF23-资产资本表!CF37</f>
        <v>0</v>
      </c>
      <c r="CG64" s="75">
        <f>资产资本表!CG22+资产资本表!CG23-资产资本表!CG37</f>
        <v>0</v>
      </c>
      <c r="CH64" s="75">
        <f>资产资本表!CH22+资产资本表!CH23-资产资本表!CH37</f>
        <v>0</v>
      </c>
      <c r="CI64" s="75">
        <f>资产资本表!CI22+资产资本表!CI23-资产资本表!CI37</f>
        <v>0</v>
      </c>
      <c r="CJ64" s="75">
        <f>资产资本表!CJ22+资产资本表!CJ23-资产资本表!CJ37</f>
        <v>0</v>
      </c>
      <c r="CK64" s="75">
        <f>资产资本表!CK22+资产资本表!CK23-资产资本表!CK37</f>
        <v>0</v>
      </c>
    </row>
    <row r="65" spans="1:89" s="153" customFormat="1" x14ac:dyDescent="0.25">
      <c r="A65" s="152" t="s">
        <v>691</v>
      </c>
      <c r="E65" s="153">
        <f>E63/(E64+I64)*2</f>
        <v>-29.030392628383336</v>
      </c>
      <c r="F65" s="153">
        <f t="shared" ref="F65:BQ65" si="28">F63/(F64+J64)*2</f>
        <v>-21.216511861236189</v>
      </c>
      <c r="G65" s="153">
        <f t="shared" si="28"/>
        <v>-16.74133093164258</v>
      </c>
      <c r="H65" s="153">
        <f t="shared" si="28"/>
        <v>-6.7827731330781997</v>
      </c>
      <c r="I65" s="153">
        <f t="shared" si="28"/>
        <v>-36.014579011171236</v>
      </c>
      <c r="J65" s="153">
        <f t="shared" si="28"/>
        <v>-21.516380859696799</v>
      </c>
      <c r="K65" s="153">
        <f t="shared" si="28"/>
        <v>-17.063158216752711</v>
      </c>
      <c r="L65" s="153">
        <f t="shared" si="28"/>
        <v>-14.1910719101753</v>
      </c>
      <c r="M65" s="153">
        <f t="shared" si="28"/>
        <v>-82.379271871561315</v>
      </c>
      <c r="N65" s="153">
        <f t="shared" si="28"/>
        <v>-72.161572945746059</v>
      </c>
      <c r="O65" s="153">
        <f t="shared" si="28"/>
        <v>-75.008337360241342</v>
      </c>
      <c r="P65" s="153">
        <f t="shared" si="28"/>
        <v>-611.66242940012341</v>
      </c>
      <c r="Q65" s="153" t="e">
        <f t="shared" si="28"/>
        <v>#DIV/0!</v>
      </c>
      <c r="R65" s="153" t="e">
        <f t="shared" si="28"/>
        <v>#DIV/0!</v>
      </c>
      <c r="S65" s="153" t="e">
        <f t="shared" si="28"/>
        <v>#DIV/0!</v>
      </c>
      <c r="T65" s="153" t="e">
        <f t="shared" si="28"/>
        <v>#DIV/0!</v>
      </c>
      <c r="U65" s="153" t="e">
        <f t="shared" si="28"/>
        <v>#DIV/0!</v>
      </c>
      <c r="V65" s="153" t="e">
        <f t="shared" si="28"/>
        <v>#DIV/0!</v>
      </c>
      <c r="W65" s="153" t="e">
        <f t="shared" si="28"/>
        <v>#DIV/0!</v>
      </c>
      <c r="X65" s="153" t="e">
        <f t="shared" si="28"/>
        <v>#DIV/0!</v>
      </c>
      <c r="Y65" s="153" t="e">
        <f t="shared" si="28"/>
        <v>#DIV/0!</v>
      </c>
      <c r="Z65" s="153" t="e">
        <f t="shared" si="28"/>
        <v>#DIV/0!</v>
      </c>
      <c r="AA65" s="153" t="e">
        <f t="shared" si="28"/>
        <v>#DIV/0!</v>
      </c>
      <c r="AB65" s="153" t="e">
        <f t="shared" si="28"/>
        <v>#DIV/0!</v>
      </c>
      <c r="AC65" s="153" t="e">
        <f t="shared" si="28"/>
        <v>#DIV/0!</v>
      </c>
      <c r="AD65" s="153" t="e">
        <f t="shared" si="28"/>
        <v>#DIV/0!</v>
      </c>
      <c r="AE65" s="153" t="e">
        <f t="shared" si="28"/>
        <v>#DIV/0!</v>
      </c>
      <c r="AF65" s="153" t="e">
        <f t="shared" si="28"/>
        <v>#DIV/0!</v>
      </c>
      <c r="AG65" s="153" t="e">
        <f t="shared" si="28"/>
        <v>#DIV/0!</v>
      </c>
      <c r="AH65" s="153" t="e">
        <f t="shared" si="28"/>
        <v>#DIV/0!</v>
      </c>
      <c r="AI65" s="153" t="e">
        <f t="shared" si="28"/>
        <v>#DIV/0!</v>
      </c>
      <c r="AJ65" s="153" t="e">
        <f t="shared" si="28"/>
        <v>#DIV/0!</v>
      </c>
      <c r="AK65" s="153" t="e">
        <f t="shared" si="28"/>
        <v>#DIV/0!</v>
      </c>
      <c r="AL65" s="153" t="e">
        <f t="shared" si="28"/>
        <v>#DIV/0!</v>
      </c>
      <c r="AM65" s="153" t="e">
        <f t="shared" si="28"/>
        <v>#DIV/0!</v>
      </c>
      <c r="AN65" s="153" t="e">
        <f t="shared" si="28"/>
        <v>#DIV/0!</v>
      </c>
      <c r="AO65" s="153" t="e">
        <f t="shared" si="28"/>
        <v>#DIV/0!</v>
      </c>
      <c r="AP65" s="153" t="e">
        <f t="shared" si="28"/>
        <v>#DIV/0!</v>
      </c>
      <c r="AQ65" s="153" t="e">
        <f t="shared" si="28"/>
        <v>#DIV/0!</v>
      </c>
      <c r="AR65" s="153" t="e">
        <f t="shared" si="28"/>
        <v>#DIV/0!</v>
      </c>
      <c r="AS65" s="153" t="e">
        <f t="shared" si="28"/>
        <v>#DIV/0!</v>
      </c>
      <c r="AT65" s="153" t="e">
        <f t="shared" si="28"/>
        <v>#DIV/0!</v>
      </c>
      <c r="AU65" s="153" t="e">
        <f t="shared" si="28"/>
        <v>#DIV/0!</v>
      </c>
      <c r="AV65" s="153" t="e">
        <f t="shared" si="28"/>
        <v>#DIV/0!</v>
      </c>
      <c r="AW65" s="153" t="e">
        <f t="shared" si="28"/>
        <v>#DIV/0!</v>
      </c>
      <c r="AX65" s="153" t="e">
        <f t="shared" si="28"/>
        <v>#DIV/0!</v>
      </c>
      <c r="AY65" s="153" t="e">
        <f t="shared" si="28"/>
        <v>#DIV/0!</v>
      </c>
      <c r="AZ65" s="153" t="e">
        <f t="shared" si="28"/>
        <v>#DIV/0!</v>
      </c>
      <c r="BA65" s="153" t="e">
        <f t="shared" si="28"/>
        <v>#DIV/0!</v>
      </c>
      <c r="BB65" s="153" t="e">
        <f t="shared" si="28"/>
        <v>#DIV/0!</v>
      </c>
      <c r="BC65" s="153" t="e">
        <f t="shared" si="28"/>
        <v>#DIV/0!</v>
      </c>
      <c r="BD65" s="153" t="e">
        <f t="shared" si="28"/>
        <v>#DIV/0!</v>
      </c>
      <c r="BE65" s="153" t="e">
        <f t="shared" si="28"/>
        <v>#DIV/0!</v>
      </c>
      <c r="BF65" s="153" t="e">
        <f t="shared" si="28"/>
        <v>#DIV/0!</v>
      </c>
      <c r="BG65" s="153" t="e">
        <f t="shared" si="28"/>
        <v>#DIV/0!</v>
      </c>
      <c r="BH65" s="153" t="e">
        <f t="shared" si="28"/>
        <v>#DIV/0!</v>
      </c>
      <c r="BI65" s="153" t="e">
        <f t="shared" si="28"/>
        <v>#DIV/0!</v>
      </c>
      <c r="BJ65" s="153" t="e">
        <f t="shared" si="28"/>
        <v>#DIV/0!</v>
      </c>
      <c r="BK65" s="153" t="e">
        <f t="shared" si="28"/>
        <v>#DIV/0!</v>
      </c>
      <c r="BL65" s="153" t="e">
        <f t="shared" si="28"/>
        <v>#DIV/0!</v>
      </c>
      <c r="BM65" s="153" t="e">
        <f t="shared" si="28"/>
        <v>#DIV/0!</v>
      </c>
      <c r="BN65" s="153" t="e">
        <f t="shared" si="28"/>
        <v>#DIV/0!</v>
      </c>
      <c r="BO65" s="153" t="e">
        <f t="shared" si="28"/>
        <v>#DIV/0!</v>
      </c>
      <c r="BP65" s="153" t="e">
        <f t="shared" si="28"/>
        <v>#DIV/0!</v>
      </c>
      <c r="BQ65" s="153" t="e">
        <f t="shared" si="28"/>
        <v>#DIV/0!</v>
      </c>
      <c r="BR65" s="153" t="e">
        <f t="shared" ref="BR65:CK65" si="29">BR63/(BR64+BV64)*2</f>
        <v>#DIV/0!</v>
      </c>
      <c r="BS65" s="153" t="e">
        <f t="shared" si="29"/>
        <v>#DIV/0!</v>
      </c>
      <c r="BT65" s="153" t="e">
        <f t="shared" si="29"/>
        <v>#DIV/0!</v>
      </c>
      <c r="BU65" s="153" t="e">
        <f t="shared" si="29"/>
        <v>#DIV/0!</v>
      </c>
      <c r="BV65" s="153" t="e">
        <f t="shared" si="29"/>
        <v>#DIV/0!</v>
      </c>
      <c r="BW65" s="153" t="e">
        <f t="shared" si="29"/>
        <v>#DIV/0!</v>
      </c>
      <c r="BX65" s="153" t="e">
        <f t="shared" si="29"/>
        <v>#DIV/0!</v>
      </c>
      <c r="BY65" s="153" t="e">
        <f t="shared" si="29"/>
        <v>#DIV/0!</v>
      </c>
      <c r="BZ65" s="153" t="e">
        <f t="shared" si="29"/>
        <v>#DIV/0!</v>
      </c>
      <c r="CA65" s="153" t="e">
        <f t="shared" si="29"/>
        <v>#DIV/0!</v>
      </c>
      <c r="CB65" s="153" t="e">
        <f t="shared" si="29"/>
        <v>#DIV/0!</v>
      </c>
      <c r="CC65" s="153" t="e">
        <f t="shared" si="29"/>
        <v>#DIV/0!</v>
      </c>
      <c r="CD65" s="153" t="e">
        <f t="shared" si="29"/>
        <v>#DIV/0!</v>
      </c>
      <c r="CE65" s="153" t="e">
        <f t="shared" si="29"/>
        <v>#DIV/0!</v>
      </c>
      <c r="CF65" s="153" t="e">
        <f t="shared" si="29"/>
        <v>#DIV/0!</v>
      </c>
      <c r="CG65" s="153" t="e">
        <f t="shared" si="29"/>
        <v>#DIV/0!</v>
      </c>
      <c r="CH65" s="153" t="e">
        <f t="shared" si="29"/>
        <v>#DIV/0!</v>
      </c>
      <c r="CI65" s="153" t="e">
        <f t="shared" si="29"/>
        <v>#DIV/0!</v>
      </c>
      <c r="CJ65" s="153" t="e">
        <f t="shared" si="29"/>
        <v>#DIV/0!</v>
      </c>
      <c r="CK65" s="153" t="e">
        <f t="shared" si="29"/>
        <v>#DIV/0!</v>
      </c>
    </row>
    <row r="66" spans="1:89" s="82" customFormat="1" x14ac:dyDescent="0.25">
      <c r="A66" s="146" t="s">
        <v>474</v>
      </c>
      <c r="E66" s="82">
        <f>E62/E65</f>
        <v>-12.573030088581561</v>
      </c>
      <c r="F66" s="82">
        <f t="shared" ref="F66:BQ66" si="30">F62/F65</f>
        <v>-17.203581926531307</v>
      </c>
      <c r="G66" s="82">
        <f t="shared" si="30"/>
        <v>-21.802328709130173</v>
      </c>
      <c r="H66" s="82">
        <f t="shared" si="30"/>
        <v>-53.812797927733939</v>
      </c>
      <c r="I66" s="82">
        <f t="shared" si="30"/>
        <v>-10.134784579511035</v>
      </c>
      <c r="J66" s="82">
        <f t="shared" si="30"/>
        <v>-16.963819444360933</v>
      </c>
      <c r="K66" s="82">
        <f t="shared" si="30"/>
        <v>-21.391116191001547</v>
      </c>
      <c r="L66" s="82">
        <f t="shared" si="30"/>
        <v>-25.720396761451632</v>
      </c>
      <c r="M66" s="82">
        <f t="shared" si="30"/>
        <v>-4.4307262216286238</v>
      </c>
      <c r="N66" s="82">
        <f t="shared" si="30"/>
        <v>-5.0580937346587707</v>
      </c>
      <c r="O66" s="82">
        <f t="shared" si="30"/>
        <v>-4.8661257247580405</v>
      </c>
      <c r="P66" s="82">
        <f t="shared" si="30"/>
        <v>-0.59673437905605387</v>
      </c>
      <c r="Q66" s="82" t="e">
        <f t="shared" si="30"/>
        <v>#DIV/0!</v>
      </c>
      <c r="R66" s="82" t="e">
        <f t="shared" si="30"/>
        <v>#DIV/0!</v>
      </c>
      <c r="S66" s="82" t="e">
        <f t="shared" si="30"/>
        <v>#DIV/0!</v>
      </c>
      <c r="T66" s="82" t="e">
        <f t="shared" si="30"/>
        <v>#DIV/0!</v>
      </c>
      <c r="U66" s="82" t="e">
        <f t="shared" si="30"/>
        <v>#DIV/0!</v>
      </c>
      <c r="V66" s="82" t="e">
        <f t="shared" si="30"/>
        <v>#DIV/0!</v>
      </c>
      <c r="W66" s="82" t="e">
        <f t="shared" si="30"/>
        <v>#DIV/0!</v>
      </c>
      <c r="X66" s="82" t="e">
        <f t="shared" si="30"/>
        <v>#DIV/0!</v>
      </c>
      <c r="Y66" s="82" t="e">
        <f t="shared" si="30"/>
        <v>#DIV/0!</v>
      </c>
      <c r="Z66" s="82" t="e">
        <f t="shared" si="30"/>
        <v>#DIV/0!</v>
      </c>
      <c r="AA66" s="82" t="e">
        <f t="shared" si="30"/>
        <v>#DIV/0!</v>
      </c>
      <c r="AB66" s="82" t="e">
        <f t="shared" si="30"/>
        <v>#DIV/0!</v>
      </c>
      <c r="AC66" s="82" t="e">
        <f t="shared" si="30"/>
        <v>#DIV/0!</v>
      </c>
      <c r="AD66" s="82" t="e">
        <f t="shared" si="30"/>
        <v>#DIV/0!</v>
      </c>
      <c r="AE66" s="82" t="e">
        <f t="shared" si="30"/>
        <v>#DIV/0!</v>
      </c>
      <c r="AF66" s="82" t="e">
        <f t="shared" si="30"/>
        <v>#DIV/0!</v>
      </c>
      <c r="AG66" s="82" t="e">
        <f t="shared" si="30"/>
        <v>#DIV/0!</v>
      </c>
      <c r="AH66" s="82" t="e">
        <f t="shared" si="30"/>
        <v>#DIV/0!</v>
      </c>
      <c r="AI66" s="82" t="e">
        <f t="shared" si="30"/>
        <v>#DIV/0!</v>
      </c>
      <c r="AJ66" s="82" t="e">
        <f t="shared" si="30"/>
        <v>#DIV/0!</v>
      </c>
      <c r="AK66" s="82" t="e">
        <f t="shared" si="30"/>
        <v>#DIV/0!</v>
      </c>
      <c r="AL66" s="82" t="e">
        <f t="shared" si="30"/>
        <v>#DIV/0!</v>
      </c>
      <c r="AM66" s="82" t="e">
        <f t="shared" si="30"/>
        <v>#DIV/0!</v>
      </c>
      <c r="AN66" s="82" t="e">
        <f t="shared" si="30"/>
        <v>#DIV/0!</v>
      </c>
      <c r="AO66" s="82" t="e">
        <f t="shared" si="30"/>
        <v>#DIV/0!</v>
      </c>
      <c r="AP66" s="82" t="e">
        <f t="shared" si="30"/>
        <v>#DIV/0!</v>
      </c>
      <c r="AQ66" s="82" t="e">
        <f t="shared" si="30"/>
        <v>#DIV/0!</v>
      </c>
      <c r="AR66" s="82" t="e">
        <f t="shared" si="30"/>
        <v>#DIV/0!</v>
      </c>
      <c r="AS66" s="82" t="e">
        <f t="shared" si="30"/>
        <v>#DIV/0!</v>
      </c>
      <c r="AT66" s="82" t="e">
        <f t="shared" si="30"/>
        <v>#DIV/0!</v>
      </c>
      <c r="AU66" s="82" t="e">
        <f t="shared" si="30"/>
        <v>#DIV/0!</v>
      </c>
      <c r="AV66" s="82" t="e">
        <f t="shared" si="30"/>
        <v>#DIV/0!</v>
      </c>
      <c r="AW66" s="82" t="e">
        <f t="shared" si="30"/>
        <v>#DIV/0!</v>
      </c>
      <c r="AX66" s="82" t="e">
        <f t="shared" si="30"/>
        <v>#DIV/0!</v>
      </c>
      <c r="AY66" s="82" t="e">
        <f t="shared" si="30"/>
        <v>#DIV/0!</v>
      </c>
      <c r="AZ66" s="82" t="e">
        <f t="shared" si="30"/>
        <v>#DIV/0!</v>
      </c>
      <c r="BA66" s="82" t="e">
        <f t="shared" si="30"/>
        <v>#DIV/0!</v>
      </c>
      <c r="BB66" s="82" t="e">
        <f t="shared" si="30"/>
        <v>#DIV/0!</v>
      </c>
      <c r="BC66" s="82" t="e">
        <f t="shared" si="30"/>
        <v>#DIV/0!</v>
      </c>
      <c r="BD66" s="82" t="e">
        <f t="shared" si="30"/>
        <v>#DIV/0!</v>
      </c>
      <c r="BE66" s="82" t="e">
        <f t="shared" si="30"/>
        <v>#DIV/0!</v>
      </c>
      <c r="BF66" s="82" t="e">
        <f t="shared" si="30"/>
        <v>#DIV/0!</v>
      </c>
      <c r="BG66" s="82" t="e">
        <f t="shared" si="30"/>
        <v>#DIV/0!</v>
      </c>
      <c r="BH66" s="82" t="e">
        <f t="shared" si="30"/>
        <v>#DIV/0!</v>
      </c>
      <c r="BI66" s="82" t="e">
        <f t="shared" si="30"/>
        <v>#DIV/0!</v>
      </c>
      <c r="BJ66" s="82" t="e">
        <f t="shared" si="30"/>
        <v>#DIV/0!</v>
      </c>
      <c r="BK66" s="82" t="e">
        <f t="shared" si="30"/>
        <v>#DIV/0!</v>
      </c>
      <c r="BL66" s="82" t="e">
        <f t="shared" si="30"/>
        <v>#DIV/0!</v>
      </c>
      <c r="BM66" s="82" t="e">
        <f t="shared" si="30"/>
        <v>#DIV/0!</v>
      </c>
      <c r="BN66" s="82" t="e">
        <f t="shared" si="30"/>
        <v>#DIV/0!</v>
      </c>
      <c r="BO66" s="82" t="e">
        <f t="shared" si="30"/>
        <v>#DIV/0!</v>
      </c>
      <c r="BP66" s="82" t="e">
        <f t="shared" si="30"/>
        <v>#DIV/0!</v>
      </c>
      <c r="BQ66" s="82" t="e">
        <f t="shared" si="30"/>
        <v>#DIV/0!</v>
      </c>
      <c r="BR66" s="82" t="e">
        <f t="shared" ref="BR66:CJ66" si="31">BR62/BR65</f>
        <v>#DIV/0!</v>
      </c>
      <c r="BS66" s="82" t="e">
        <f t="shared" si="31"/>
        <v>#DIV/0!</v>
      </c>
      <c r="BT66" s="82" t="e">
        <f t="shared" si="31"/>
        <v>#DIV/0!</v>
      </c>
      <c r="BU66" s="82" t="e">
        <f t="shared" si="31"/>
        <v>#DIV/0!</v>
      </c>
      <c r="BV66" s="82" t="e">
        <f t="shared" si="31"/>
        <v>#DIV/0!</v>
      </c>
      <c r="BW66" s="82" t="e">
        <f t="shared" si="31"/>
        <v>#DIV/0!</v>
      </c>
      <c r="BX66" s="82" t="e">
        <f t="shared" si="31"/>
        <v>#DIV/0!</v>
      </c>
      <c r="BY66" s="82" t="e">
        <f t="shared" si="31"/>
        <v>#DIV/0!</v>
      </c>
      <c r="BZ66" s="82" t="e">
        <f t="shared" si="31"/>
        <v>#DIV/0!</v>
      </c>
      <c r="CA66" s="82" t="e">
        <f t="shared" si="31"/>
        <v>#DIV/0!</v>
      </c>
      <c r="CB66" s="82" t="e">
        <f t="shared" si="31"/>
        <v>#DIV/0!</v>
      </c>
      <c r="CC66" s="82" t="e">
        <f t="shared" si="31"/>
        <v>#DIV/0!</v>
      </c>
      <c r="CD66" s="82" t="e">
        <f t="shared" si="31"/>
        <v>#DIV/0!</v>
      </c>
      <c r="CE66" s="82" t="e">
        <f t="shared" si="31"/>
        <v>#DIV/0!</v>
      </c>
      <c r="CF66" s="82" t="e">
        <f t="shared" si="31"/>
        <v>#DIV/0!</v>
      </c>
      <c r="CG66" s="82" t="e">
        <f t="shared" si="31"/>
        <v>#DIV/0!</v>
      </c>
      <c r="CH66" s="82" t="e">
        <f t="shared" si="31"/>
        <v>#DIV/0!</v>
      </c>
      <c r="CI66" s="82" t="e">
        <f t="shared" si="31"/>
        <v>#DIV/0!</v>
      </c>
      <c r="CJ66" s="82" t="e">
        <f t="shared" si="31"/>
        <v>#DIV/0!</v>
      </c>
    </row>
    <row r="67" spans="1:89" s="75" customFormat="1" x14ac:dyDescent="0.25">
      <c r="A67" s="145" t="s">
        <v>475</v>
      </c>
      <c r="E67" s="75">
        <f>股权价值增加表!E5</f>
        <v>406091046.83999997</v>
      </c>
      <c r="F67" s="75">
        <f>股权价值增加表!F5</f>
        <v>271365768.27999997</v>
      </c>
      <c r="G67" s="75">
        <f>股权价值增加表!G5</f>
        <v>181470105.86000001</v>
      </c>
      <c r="H67" s="75">
        <f>股权价值增加表!H5</f>
        <v>91249713.920000002</v>
      </c>
      <c r="I67" s="75">
        <f>股权价值增加表!I5</f>
        <v>348439708.45999998</v>
      </c>
      <c r="J67" s="75">
        <f>股权价值增加表!J5</f>
        <v>228589200.88</v>
      </c>
      <c r="K67" s="75">
        <f>股权价值增加表!K5</f>
        <v>149382777.41999999</v>
      </c>
      <c r="L67" s="75">
        <f>股权价值增加表!L5</f>
        <v>74864949.950000003</v>
      </c>
      <c r="M67" s="75">
        <f>股权价值增加表!M5</f>
        <v>318153253.52999997</v>
      </c>
      <c r="N67" s="75">
        <f>股权价值增加表!N5</f>
        <v>215473046.52000001</v>
      </c>
      <c r="O67" s="75">
        <f>股权价值增加表!O5</f>
        <v>287721956.77999997</v>
      </c>
      <c r="P67" s="75">
        <f>股权价值增加表!P5</f>
        <v>255145394.69</v>
      </c>
      <c r="Q67" s="75">
        <f>股权价值增加表!Q5</f>
        <v>207821413.31999999</v>
      </c>
      <c r="R67" s="75">
        <f>股权价值增加表!R5</f>
        <v>157440528.15000001</v>
      </c>
      <c r="S67" s="75">
        <f>股权价值增加表!S5</f>
        <v>0</v>
      </c>
      <c r="T67" s="75">
        <f>股权价值增加表!T5</f>
        <v>0</v>
      </c>
      <c r="U67" s="75">
        <f>股权价值增加表!U5</f>
        <v>0</v>
      </c>
      <c r="V67" s="75">
        <f>股权价值增加表!V5</f>
        <v>0</v>
      </c>
      <c r="W67" s="75">
        <f>股权价值增加表!W5</f>
        <v>0</v>
      </c>
      <c r="X67" s="75">
        <f>股权价值增加表!X5</f>
        <v>0</v>
      </c>
      <c r="Y67" s="75">
        <f>股权价值增加表!Y5</f>
        <v>0</v>
      </c>
      <c r="Z67" s="75">
        <f>股权价值增加表!Z5</f>
        <v>0</v>
      </c>
      <c r="AA67" s="75">
        <f>股权价值增加表!AA5</f>
        <v>0</v>
      </c>
      <c r="AB67" s="75">
        <f>股权价值增加表!AB5</f>
        <v>0</v>
      </c>
      <c r="AC67" s="75">
        <f>股权价值增加表!AC5</f>
        <v>0</v>
      </c>
      <c r="AD67" s="75">
        <f>股权价值增加表!AD5</f>
        <v>0</v>
      </c>
      <c r="AE67" s="75">
        <f>股权价值增加表!AE5</f>
        <v>0</v>
      </c>
      <c r="AF67" s="75">
        <f>股权价值增加表!AF5</f>
        <v>0</v>
      </c>
      <c r="AG67" s="75">
        <f>股权价值增加表!AG5</f>
        <v>0</v>
      </c>
      <c r="AH67" s="75">
        <f>股权价值增加表!AH5</f>
        <v>0</v>
      </c>
      <c r="AI67" s="75">
        <f>股权价值增加表!AI5</f>
        <v>0</v>
      </c>
      <c r="AJ67" s="75">
        <f>股权价值增加表!AJ5</f>
        <v>0</v>
      </c>
      <c r="AK67" s="75">
        <f>股权价值增加表!AK5</f>
        <v>0</v>
      </c>
      <c r="AL67" s="75">
        <f>股权价值增加表!AL5</f>
        <v>0</v>
      </c>
      <c r="AM67" s="75">
        <f>股权价值增加表!AM5</f>
        <v>0</v>
      </c>
      <c r="AN67" s="75">
        <f>股权价值增加表!AN5</f>
        <v>0</v>
      </c>
      <c r="AO67" s="75">
        <f>股权价值增加表!AO5</f>
        <v>0</v>
      </c>
      <c r="AP67" s="75">
        <f>股权价值增加表!AP5</f>
        <v>0</v>
      </c>
      <c r="AQ67" s="75">
        <f>股权价值增加表!AQ5</f>
        <v>0</v>
      </c>
      <c r="AR67" s="75">
        <f>股权价值增加表!AR5</f>
        <v>0</v>
      </c>
      <c r="AS67" s="75">
        <f>股权价值增加表!AS5</f>
        <v>0</v>
      </c>
      <c r="AT67" s="75">
        <f>股权价值增加表!AT5</f>
        <v>0</v>
      </c>
      <c r="AU67" s="75">
        <f>股权价值增加表!AU5</f>
        <v>0</v>
      </c>
      <c r="AV67" s="75">
        <f>股权价值增加表!AV5</f>
        <v>0</v>
      </c>
      <c r="AW67" s="75">
        <f>股权价值增加表!AW5</f>
        <v>0</v>
      </c>
      <c r="AX67" s="75">
        <f>股权价值增加表!AX5</f>
        <v>0</v>
      </c>
      <c r="AY67" s="75">
        <f>股权价值增加表!AY5</f>
        <v>0</v>
      </c>
      <c r="AZ67" s="75">
        <f>股权价值增加表!AZ5</f>
        <v>0</v>
      </c>
      <c r="BA67" s="75">
        <f>股权价值增加表!BA5</f>
        <v>0</v>
      </c>
      <c r="BB67" s="75">
        <f>股权价值增加表!BB5</f>
        <v>0</v>
      </c>
      <c r="BC67" s="75">
        <f>股权价值增加表!BC5</f>
        <v>0</v>
      </c>
      <c r="BD67" s="75">
        <f>股权价值增加表!BD5</f>
        <v>0</v>
      </c>
      <c r="BE67" s="75">
        <f>股权价值增加表!BE5</f>
        <v>0</v>
      </c>
      <c r="BF67" s="75">
        <f>股权价值增加表!BF5</f>
        <v>0</v>
      </c>
      <c r="BG67" s="75">
        <f>股权价值增加表!BG5</f>
        <v>0</v>
      </c>
      <c r="BH67" s="75">
        <f>股权价值增加表!BH5</f>
        <v>0</v>
      </c>
      <c r="BI67" s="75">
        <f>股权价值增加表!BI5</f>
        <v>0</v>
      </c>
      <c r="BJ67" s="75">
        <f>股权价值增加表!BJ5</f>
        <v>0</v>
      </c>
      <c r="BK67" s="75">
        <f>股权价值增加表!BK5</f>
        <v>0</v>
      </c>
      <c r="BL67" s="75">
        <f>股权价值增加表!BL5</f>
        <v>0</v>
      </c>
      <c r="BM67" s="75">
        <f>股权价值增加表!BM5</f>
        <v>0</v>
      </c>
      <c r="BN67" s="75">
        <f>股权价值增加表!BN5</f>
        <v>0</v>
      </c>
      <c r="BO67" s="75">
        <f>股权价值增加表!BO5</f>
        <v>0</v>
      </c>
      <c r="BP67" s="75">
        <f>股权价值增加表!BP5</f>
        <v>0</v>
      </c>
      <c r="BQ67" s="75">
        <f>股权价值增加表!BQ5</f>
        <v>0</v>
      </c>
      <c r="BR67" s="75">
        <f>股权价值增加表!BR5</f>
        <v>0</v>
      </c>
      <c r="BS67" s="75">
        <f>股权价值增加表!BS5</f>
        <v>0</v>
      </c>
      <c r="BT67" s="75">
        <f>股权价值增加表!BT5</f>
        <v>0</v>
      </c>
      <c r="BU67" s="75">
        <f>股权价值增加表!BU5</f>
        <v>0</v>
      </c>
      <c r="BV67" s="75">
        <f>股权价值增加表!BV5</f>
        <v>0</v>
      </c>
      <c r="BW67" s="75">
        <f>股权价值增加表!BW5</f>
        <v>0</v>
      </c>
      <c r="BX67" s="75">
        <f>股权价值增加表!BX5</f>
        <v>0</v>
      </c>
      <c r="BY67" s="75">
        <f>股权价值增加表!BY5</f>
        <v>0</v>
      </c>
      <c r="BZ67" s="75">
        <f>股权价值增加表!BZ5</f>
        <v>0</v>
      </c>
      <c r="CA67" s="75">
        <f>股权价值增加表!CA5</f>
        <v>0</v>
      </c>
      <c r="CB67" s="75">
        <f>股权价值增加表!CB5</f>
        <v>0</v>
      </c>
      <c r="CC67" s="75">
        <f>股权价值增加表!CC5</f>
        <v>0</v>
      </c>
      <c r="CD67" s="75">
        <f>股权价值增加表!CD5</f>
        <v>0</v>
      </c>
      <c r="CE67" s="75">
        <f>股权价值增加表!CE5</f>
        <v>0</v>
      </c>
      <c r="CF67" s="75">
        <f>股权价值增加表!CF5</f>
        <v>0</v>
      </c>
      <c r="CG67" s="75">
        <f>股权价值增加表!CG5</f>
        <v>0</v>
      </c>
      <c r="CH67" s="75">
        <f>股权价值增加表!CH5</f>
        <v>0</v>
      </c>
      <c r="CI67" s="75">
        <f>股权价值增加表!CI5</f>
        <v>0</v>
      </c>
      <c r="CJ67" s="75">
        <f>股权价值增加表!CJ5</f>
        <v>0</v>
      </c>
      <c r="CK67" s="75">
        <f>股权价值增加表!CK5</f>
        <v>0</v>
      </c>
    </row>
    <row r="68" spans="1:89" s="75" customFormat="1" x14ac:dyDescent="0.25">
      <c r="A68" s="145" t="s">
        <v>476</v>
      </c>
      <c r="E68" s="75">
        <f>资产资本表!E26</f>
        <v>12117745.539999999</v>
      </c>
      <c r="F68" s="75">
        <f>资产资本表!F26</f>
        <v>12503960.84</v>
      </c>
      <c r="G68" s="75">
        <f>资产资本表!G26</f>
        <v>13673254.140000001</v>
      </c>
      <c r="H68" s="75">
        <f>资产资本表!H26</f>
        <v>12157989.869999999</v>
      </c>
      <c r="I68" s="75">
        <f>资产资本表!I26</f>
        <v>12589577.720000001</v>
      </c>
      <c r="J68" s="75">
        <f>资产资本表!J26</f>
        <v>10846087.970000001</v>
      </c>
      <c r="K68" s="75">
        <f>资产资本表!K26</f>
        <v>8984778.7699999996</v>
      </c>
      <c r="L68" s="75">
        <f>资产资本表!L26</f>
        <v>5961470.6200000001</v>
      </c>
      <c r="M68" s="75">
        <f>资产资本表!M26</f>
        <v>7215783.6699999999</v>
      </c>
      <c r="N68" s="75">
        <f>资产资本表!N26</f>
        <v>8664830.7799999993</v>
      </c>
      <c r="O68" s="75">
        <f>资产资本表!O26</f>
        <v>6187653.1900000004</v>
      </c>
      <c r="P68" s="75">
        <f>资产资本表!P26</f>
        <v>4502522.03</v>
      </c>
      <c r="Q68" s="75">
        <f>资产资本表!Q26</f>
        <v>0</v>
      </c>
      <c r="R68" s="75">
        <f>资产资本表!R26</f>
        <v>0</v>
      </c>
      <c r="S68" s="75">
        <f>资产资本表!S26</f>
        <v>0</v>
      </c>
      <c r="T68" s="75">
        <f>资产资本表!T26</f>
        <v>0</v>
      </c>
      <c r="U68" s="75">
        <f>资产资本表!U26</f>
        <v>0</v>
      </c>
      <c r="V68" s="75">
        <f>资产资本表!V26</f>
        <v>0</v>
      </c>
      <c r="W68" s="75">
        <f>资产资本表!W26</f>
        <v>0</v>
      </c>
      <c r="X68" s="75">
        <f>资产资本表!X26</f>
        <v>0</v>
      </c>
      <c r="Y68" s="75">
        <f>资产资本表!Y26</f>
        <v>0</v>
      </c>
      <c r="Z68" s="75">
        <f>资产资本表!Z26</f>
        <v>0</v>
      </c>
      <c r="AA68" s="75">
        <f>资产资本表!AA26</f>
        <v>0</v>
      </c>
      <c r="AB68" s="75">
        <f>资产资本表!AB26</f>
        <v>0</v>
      </c>
      <c r="AC68" s="75">
        <f>资产资本表!AC26</f>
        <v>0</v>
      </c>
      <c r="AD68" s="75">
        <f>资产资本表!AD26</f>
        <v>0</v>
      </c>
      <c r="AE68" s="75">
        <f>资产资本表!AE26</f>
        <v>0</v>
      </c>
      <c r="AF68" s="75">
        <f>资产资本表!AF26</f>
        <v>0</v>
      </c>
      <c r="AG68" s="75">
        <f>资产资本表!AG26</f>
        <v>0</v>
      </c>
      <c r="AH68" s="75">
        <f>资产资本表!AH26</f>
        <v>0</v>
      </c>
      <c r="AI68" s="75">
        <f>资产资本表!AI26</f>
        <v>0</v>
      </c>
      <c r="AJ68" s="75">
        <f>资产资本表!AJ26</f>
        <v>0</v>
      </c>
      <c r="AK68" s="75">
        <f>资产资本表!AK26</f>
        <v>0</v>
      </c>
      <c r="AL68" s="75">
        <f>资产资本表!AL26</f>
        <v>0</v>
      </c>
      <c r="AM68" s="75">
        <f>资产资本表!AM26</f>
        <v>0</v>
      </c>
      <c r="AN68" s="75">
        <f>资产资本表!AN26</f>
        <v>0</v>
      </c>
      <c r="AO68" s="75">
        <f>资产资本表!AO26</f>
        <v>0</v>
      </c>
      <c r="AP68" s="75">
        <f>资产资本表!AP26</f>
        <v>0</v>
      </c>
      <c r="AQ68" s="75">
        <f>资产资本表!AQ26</f>
        <v>0</v>
      </c>
      <c r="AR68" s="75">
        <f>资产资本表!AR26</f>
        <v>0</v>
      </c>
      <c r="AS68" s="75">
        <f>资产资本表!AS26</f>
        <v>0</v>
      </c>
      <c r="AT68" s="75">
        <f>资产资本表!AT26</f>
        <v>0</v>
      </c>
      <c r="AU68" s="75">
        <f>资产资本表!AU26</f>
        <v>0</v>
      </c>
      <c r="AV68" s="75">
        <f>资产资本表!AV26</f>
        <v>0</v>
      </c>
      <c r="AW68" s="75">
        <f>资产资本表!AW26</f>
        <v>0</v>
      </c>
      <c r="AX68" s="75">
        <f>资产资本表!AX26</f>
        <v>0</v>
      </c>
      <c r="AY68" s="75">
        <f>资产资本表!AY26</f>
        <v>0</v>
      </c>
      <c r="AZ68" s="75">
        <f>资产资本表!AZ26</f>
        <v>0</v>
      </c>
      <c r="BA68" s="75">
        <f>资产资本表!BA26</f>
        <v>0</v>
      </c>
      <c r="BB68" s="75">
        <f>资产资本表!BB26</f>
        <v>0</v>
      </c>
      <c r="BC68" s="75">
        <f>资产资本表!BC26</f>
        <v>0</v>
      </c>
      <c r="BD68" s="75">
        <f>资产资本表!BD26</f>
        <v>0</v>
      </c>
      <c r="BE68" s="75">
        <f>资产资本表!BE26</f>
        <v>0</v>
      </c>
      <c r="BF68" s="75">
        <f>资产资本表!BF26</f>
        <v>0</v>
      </c>
      <c r="BG68" s="75">
        <f>资产资本表!BG26</f>
        <v>0</v>
      </c>
      <c r="BH68" s="75">
        <f>资产资本表!BH26</f>
        <v>0</v>
      </c>
      <c r="BI68" s="75">
        <f>资产资本表!BI26</f>
        <v>0</v>
      </c>
      <c r="BJ68" s="75">
        <f>资产资本表!BJ26</f>
        <v>0</v>
      </c>
      <c r="BK68" s="75">
        <f>资产资本表!BK26</f>
        <v>0</v>
      </c>
      <c r="BL68" s="75">
        <f>资产资本表!BL26</f>
        <v>0</v>
      </c>
      <c r="BM68" s="75">
        <f>资产资本表!BM26</f>
        <v>0</v>
      </c>
      <c r="BN68" s="75">
        <f>资产资本表!BN26</f>
        <v>0</v>
      </c>
      <c r="BO68" s="75">
        <f>资产资本表!BO26</f>
        <v>0</v>
      </c>
      <c r="BP68" s="75">
        <f>资产资本表!BP26</f>
        <v>0</v>
      </c>
      <c r="BQ68" s="75">
        <f>资产资本表!BQ26</f>
        <v>0</v>
      </c>
      <c r="BR68" s="75">
        <f>资产资本表!BR26</f>
        <v>0</v>
      </c>
      <c r="BS68" s="75">
        <f>资产资本表!BS26</f>
        <v>0</v>
      </c>
      <c r="BT68" s="75">
        <f>资产资本表!BT26</f>
        <v>0</v>
      </c>
      <c r="BU68" s="75">
        <f>资产资本表!BU26</f>
        <v>0</v>
      </c>
      <c r="BV68" s="75">
        <f>资产资本表!BV26</f>
        <v>0</v>
      </c>
      <c r="BW68" s="75">
        <f>资产资本表!BW26</f>
        <v>0</v>
      </c>
      <c r="BX68" s="75">
        <f>资产资本表!BX26</f>
        <v>0</v>
      </c>
      <c r="BY68" s="75">
        <f>资产资本表!BY26</f>
        <v>0</v>
      </c>
      <c r="BZ68" s="75">
        <f>资产资本表!BZ26</f>
        <v>0</v>
      </c>
      <c r="CA68" s="75">
        <f>资产资本表!CA26</f>
        <v>0</v>
      </c>
      <c r="CB68" s="75">
        <f>资产资本表!CB26</f>
        <v>0</v>
      </c>
      <c r="CC68" s="75">
        <f>资产资本表!CC26</f>
        <v>0</v>
      </c>
      <c r="CD68" s="75">
        <f>资产资本表!CD26</f>
        <v>0</v>
      </c>
      <c r="CE68" s="75">
        <f>资产资本表!CE26</f>
        <v>0</v>
      </c>
      <c r="CF68" s="75">
        <f>资产资本表!CF26</f>
        <v>0</v>
      </c>
      <c r="CG68" s="75">
        <f>资产资本表!CG26</f>
        <v>0</v>
      </c>
      <c r="CH68" s="75">
        <f>资产资本表!CH26</f>
        <v>0</v>
      </c>
      <c r="CI68" s="75">
        <f>资产资本表!CI26</f>
        <v>0</v>
      </c>
      <c r="CJ68" s="75">
        <f>资产资本表!CJ26</f>
        <v>0</v>
      </c>
    </row>
    <row r="69" spans="1:89" s="153" customFormat="1" x14ac:dyDescent="0.25">
      <c r="A69" s="152" t="s">
        <v>477</v>
      </c>
      <c r="E69" s="153">
        <f>E67/(E68+I68)*2</f>
        <v>32.872119943275472</v>
      </c>
      <c r="F69" s="153">
        <f t="shared" ref="F69:BQ69" si="32">F67/(F68+J68)*2</f>
        <v>23.243272036654893</v>
      </c>
      <c r="G69" s="153">
        <f t="shared" si="32"/>
        <v>16.018169501370011</v>
      </c>
      <c r="H69" s="153">
        <f t="shared" si="32"/>
        <v>10.072012240139276</v>
      </c>
      <c r="I69" s="153">
        <f t="shared" si="32"/>
        <v>35.186402469377001</v>
      </c>
      <c r="J69" s="153">
        <f t="shared" si="32"/>
        <v>23.431925867663203</v>
      </c>
      <c r="K69" s="153">
        <f t="shared" si="32"/>
        <v>19.691342536757038</v>
      </c>
      <c r="L69" s="153">
        <f t="shared" si="32"/>
        <v>14.309060117697999</v>
      </c>
      <c r="M69" s="153">
        <f t="shared" si="32"/>
        <v>88.182591962322505</v>
      </c>
      <c r="N69" s="153">
        <f t="shared" si="32"/>
        <v>49.735084732953098</v>
      </c>
      <c r="O69" s="153">
        <f t="shared" si="32"/>
        <v>92.998734074170031</v>
      </c>
      <c r="P69" s="153">
        <f t="shared" si="32"/>
        <v>113.33443478565277</v>
      </c>
      <c r="Q69" s="153" t="e">
        <f t="shared" si="32"/>
        <v>#DIV/0!</v>
      </c>
      <c r="R69" s="153" t="e">
        <f t="shared" si="32"/>
        <v>#DIV/0!</v>
      </c>
      <c r="S69" s="153" t="e">
        <f t="shared" si="32"/>
        <v>#DIV/0!</v>
      </c>
      <c r="T69" s="153" t="e">
        <f t="shared" si="32"/>
        <v>#DIV/0!</v>
      </c>
      <c r="U69" s="153" t="e">
        <f t="shared" si="32"/>
        <v>#DIV/0!</v>
      </c>
      <c r="V69" s="153" t="e">
        <f t="shared" si="32"/>
        <v>#DIV/0!</v>
      </c>
      <c r="W69" s="153" t="e">
        <f t="shared" si="32"/>
        <v>#DIV/0!</v>
      </c>
      <c r="X69" s="153" t="e">
        <f t="shared" si="32"/>
        <v>#DIV/0!</v>
      </c>
      <c r="Y69" s="153" t="e">
        <f t="shared" si="32"/>
        <v>#DIV/0!</v>
      </c>
      <c r="Z69" s="153" t="e">
        <f t="shared" si="32"/>
        <v>#DIV/0!</v>
      </c>
      <c r="AA69" s="153" t="e">
        <f t="shared" si="32"/>
        <v>#DIV/0!</v>
      </c>
      <c r="AB69" s="153" t="e">
        <f t="shared" si="32"/>
        <v>#DIV/0!</v>
      </c>
      <c r="AC69" s="153" t="e">
        <f t="shared" si="32"/>
        <v>#DIV/0!</v>
      </c>
      <c r="AD69" s="153" t="e">
        <f t="shared" si="32"/>
        <v>#DIV/0!</v>
      </c>
      <c r="AE69" s="153" t="e">
        <f t="shared" si="32"/>
        <v>#DIV/0!</v>
      </c>
      <c r="AF69" s="153" t="e">
        <f t="shared" si="32"/>
        <v>#DIV/0!</v>
      </c>
      <c r="AG69" s="153" t="e">
        <f t="shared" si="32"/>
        <v>#DIV/0!</v>
      </c>
      <c r="AH69" s="153" t="e">
        <f t="shared" si="32"/>
        <v>#DIV/0!</v>
      </c>
      <c r="AI69" s="153" t="e">
        <f t="shared" si="32"/>
        <v>#DIV/0!</v>
      </c>
      <c r="AJ69" s="153" t="e">
        <f t="shared" si="32"/>
        <v>#DIV/0!</v>
      </c>
      <c r="AK69" s="153" t="e">
        <f t="shared" si="32"/>
        <v>#DIV/0!</v>
      </c>
      <c r="AL69" s="153" t="e">
        <f t="shared" si="32"/>
        <v>#DIV/0!</v>
      </c>
      <c r="AM69" s="153" t="e">
        <f t="shared" si="32"/>
        <v>#DIV/0!</v>
      </c>
      <c r="AN69" s="153" t="e">
        <f t="shared" si="32"/>
        <v>#DIV/0!</v>
      </c>
      <c r="AO69" s="153" t="e">
        <f t="shared" si="32"/>
        <v>#DIV/0!</v>
      </c>
      <c r="AP69" s="153" t="e">
        <f t="shared" si="32"/>
        <v>#DIV/0!</v>
      </c>
      <c r="AQ69" s="153" t="e">
        <f t="shared" si="32"/>
        <v>#DIV/0!</v>
      </c>
      <c r="AR69" s="153" t="e">
        <f t="shared" si="32"/>
        <v>#DIV/0!</v>
      </c>
      <c r="AS69" s="153" t="e">
        <f t="shared" si="32"/>
        <v>#DIV/0!</v>
      </c>
      <c r="AT69" s="153" t="e">
        <f t="shared" si="32"/>
        <v>#DIV/0!</v>
      </c>
      <c r="AU69" s="153" t="e">
        <f t="shared" si="32"/>
        <v>#DIV/0!</v>
      </c>
      <c r="AV69" s="153" t="e">
        <f t="shared" si="32"/>
        <v>#DIV/0!</v>
      </c>
      <c r="AW69" s="153" t="e">
        <f t="shared" si="32"/>
        <v>#DIV/0!</v>
      </c>
      <c r="AX69" s="153" t="e">
        <f t="shared" si="32"/>
        <v>#DIV/0!</v>
      </c>
      <c r="AY69" s="153" t="e">
        <f t="shared" si="32"/>
        <v>#DIV/0!</v>
      </c>
      <c r="AZ69" s="153" t="e">
        <f t="shared" si="32"/>
        <v>#DIV/0!</v>
      </c>
      <c r="BA69" s="153" t="e">
        <f t="shared" si="32"/>
        <v>#DIV/0!</v>
      </c>
      <c r="BB69" s="153" t="e">
        <f t="shared" si="32"/>
        <v>#DIV/0!</v>
      </c>
      <c r="BC69" s="153" t="e">
        <f t="shared" si="32"/>
        <v>#DIV/0!</v>
      </c>
      <c r="BD69" s="153" t="e">
        <f t="shared" si="32"/>
        <v>#DIV/0!</v>
      </c>
      <c r="BE69" s="153" t="e">
        <f t="shared" si="32"/>
        <v>#DIV/0!</v>
      </c>
      <c r="BF69" s="153" t="e">
        <f t="shared" si="32"/>
        <v>#DIV/0!</v>
      </c>
      <c r="BG69" s="153" t="e">
        <f t="shared" si="32"/>
        <v>#DIV/0!</v>
      </c>
      <c r="BH69" s="153" t="e">
        <f t="shared" si="32"/>
        <v>#DIV/0!</v>
      </c>
      <c r="BI69" s="153" t="e">
        <f t="shared" si="32"/>
        <v>#DIV/0!</v>
      </c>
      <c r="BJ69" s="153" t="e">
        <f t="shared" si="32"/>
        <v>#DIV/0!</v>
      </c>
      <c r="BK69" s="153" t="e">
        <f t="shared" si="32"/>
        <v>#DIV/0!</v>
      </c>
      <c r="BL69" s="153" t="e">
        <f t="shared" si="32"/>
        <v>#DIV/0!</v>
      </c>
      <c r="BM69" s="153" t="e">
        <f t="shared" si="32"/>
        <v>#DIV/0!</v>
      </c>
      <c r="BN69" s="153" t="e">
        <f t="shared" si="32"/>
        <v>#DIV/0!</v>
      </c>
      <c r="BO69" s="153" t="e">
        <f t="shared" si="32"/>
        <v>#DIV/0!</v>
      </c>
      <c r="BP69" s="153" t="e">
        <f t="shared" si="32"/>
        <v>#DIV/0!</v>
      </c>
      <c r="BQ69" s="153" t="e">
        <f t="shared" si="32"/>
        <v>#DIV/0!</v>
      </c>
      <c r="BR69" s="153" t="e">
        <f t="shared" ref="BR69:CJ69" si="33">BR67/(BR68+BV68)*2</f>
        <v>#DIV/0!</v>
      </c>
      <c r="BS69" s="153" t="e">
        <f t="shared" si="33"/>
        <v>#DIV/0!</v>
      </c>
      <c r="BT69" s="153" t="e">
        <f t="shared" si="33"/>
        <v>#DIV/0!</v>
      </c>
      <c r="BU69" s="153" t="e">
        <f t="shared" si="33"/>
        <v>#DIV/0!</v>
      </c>
      <c r="BV69" s="153" t="e">
        <f t="shared" si="33"/>
        <v>#DIV/0!</v>
      </c>
      <c r="BW69" s="153" t="e">
        <f t="shared" si="33"/>
        <v>#DIV/0!</v>
      </c>
      <c r="BX69" s="153" t="e">
        <f t="shared" si="33"/>
        <v>#DIV/0!</v>
      </c>
      <c r="BY69" s="153" t="e">
        <f t="shared" si="33"/>
        <v>#DIV/0!</v>
      </c>
      <c r="BZ69" s="153" t="e">
        <f t="shared" si="33"/>
        <v>#DIV/0!</v>
      </c>
      <c r="CA69" s="153" t="e">
        <f t="shared" si="33"/>
        <v>#DIV/0!</v>
      </c>
      <c r="CB69" s="153" t="e">
        <f t="shared" si="33"/>
        <v>#DIV/0!</v>
      </c>
      <c r="CC69" s="153" t="e">
        <f t="shared" si="33"/>
        <v>#DIV/0!</v>
      </c>
      <c r="CD69" s="153" t="e">
        <f t="shared" si="33"/>
        <v>#DIV/0!</v>
      </c>
      <c r="CE69" s="153" t="e">
        <f t="shared" si="33"/>
        <v>#DIV/0!</v>
      </c>
      <c r="CF69" s="153" t="e">
        <f t="shared" si="33"/>
        <v>#DIV/0!</v>
      </c>
      <c r="CG69" s="153" t="e">
        <f t="shared" si="33"/>
        <v>#DIV/0!</v>
      </c>
      <c r="CH69" s="153" t="e">
        <f t="shared" si="33"/>
        <v>#DIV/0!</v>
      </c>
      <c r="CI69" s="153" t="e">
        <f t="shared" si="33"/>
        <v>#DIV/0!</v>
      </c>
      <c r="CJ69" s="153" t="e">
        <f t="shared" si="33"/>
        <v>#DIV/0!</v>
      </c>
    </row>
    <row r="70" spans="1:89" s="82" customFormat="1" x14ac:dyDescent="0.25">
      <c r="A70" s="146" t="s">
        <v>478</v>
      </c>
      <c r="E70" s="82">
        <f>E62/E69</f>
        <v>11.103634345148668</v>
      </c>
      <c r="F70" s="82">
        <f t="shared" ref="F70:BQ70" si="34">F62/F69</f>
        <v>15.703468918850625</v>
      </c>
      <c r="G70" s="82">
        <f t="shared" si="34"/>
        <v>22.786623650647602</v>
      </c>
      <c r="H70" s="82">
        <f t="shared" si="34"/>
        <v>36.239034593841275</v>
      </c>
      <c r="I70" s="82">
        <f t="shared" si="34"/>
        <v>10.373325329796428</v>
      </c>
      <c r="J70" s="82">
        <f t="shared" si="34"/>
        <v>15.57703801477588</v>
      </c>
      <c r="K70" s="82">
        <f t="shared" si="34"/>
        <v>18.536064735995993</v>
      </c>
      <c r="L70" s="82">
        <f t="shared" si="34"/>
        <v>25.508314102933557</v>
      </c>
      <c r="M70" s="82">
        <f t="shared" si="34"/>
        <v>4.139138937489526</v>
      </c>
      <c r="N70" s="82">
        <f t="shared" si="34"/>
        <v>7.338883646420352</v>
      </c>
      <c r="O70" s="82">
        <f t="shared" si="34"/>
        <v>3.9247846073786188</v>
      </c>
      <c r="P70" s="82">
        <f t="shared" si="34"/>
        <v>3.2205569356772941</v>
      </c>
      <c r="Q70" s="82" t="e">
        <f t="shared" si="34"/>
        <v>#DIV/0!</v>
      </c>
      <c r="R70" s="82" t="e">
        <f t="shared" si="34"/>
        <v>#DIV/0!</v>
      </c>
      <c r="S70" s="82" t="e">
        <f t="shared" si="34"/>
        <v>#DIV/0!</v>
      </c>
      <c r="T70" s="82" t="e">
        <f t="shared" si="34"/>
        <v>#DIV/0!</v>
      </c>
      <c r="U70" s="82" t="e">
        <f t="shared" si="34"/>
        <v>#DIV/0!</v>
      </c>
      <c r="V70" s="82" t="e">
        <f t="shared" si="34"/>
        <v>#DIV/0!</v>
      </c>
      <c r="W70" s="82" t="e">
        <f t="shared" si="34"/>
        <v>#DIV/0!</v>
      </c>
      <c r="X70" s="82" t="e">
        <f t="shared" si="34"/>
        <v>#DIV/0!</v>
      </c>
      <c r="Y70" s="82" t="e">
        <f t="shared" si="34"/>
        <v>#DIV/0!</v>
      </c>
      <c r="Z70" s="82" t="e">
        <f t="shared" si="34"/>
        <v>#DIV/0!</v>
      </c>
      <c r="AA70" s="82" t="e">
        <f t="shared" si="34"/>
        <v>#DIV/0!</v>
      </c>
      <c r="AB70" s="82" t="e">
        <f t="shared" si="34"/>
        <v>#DIV/0!</v>
      </c>
      <c r="AC70" s="82" t="e">
        <f t="shared" si="34"/>
        <v>#DIV/0!</v>
      </c>
      <c r="AD70" s="82" t="e">
        <f t="shared" si="34"/>
        <v>#DIV/0!</v>
      </c>
      <c r="AE70" s="82" t="e">
        <f t="shared" si="34"/>
        <v>#DIV/0!</v>
      </c>
      <c r="AF70" s="82" t="e">
        <f t="shared" si="34"/>
        <v>#DIV/0!</v>
      </c>
      <c r="AG70" s="82" t="e">
        <f t="shared" si="34"/>
        <v>#DIV/0!</v>
      </c>
      <c r="AH70" s="82" t="e">
        <f t="shared" si="34"/>
        <v>#DIV/0!</v>
      </c>
      <c r="AI70" s="82" t="e">
        <f t="shared" si="34"/>
        <v>#DIV/0!</v>
      </c>
      <c r="AJ70" s="82" t="e">
        <f t="shared" si="34"/>
        <v>#DIV/0!</v>
      </c>
      <c r="AK70" s="82" t="e">
        <f t="shared" si="34"/>
        <v>#DIV/0!</v>
      </c>
      <c r="AL70" s="82" t="e">
        <f t="shared" si="34"/>
        <v>#DIV/0!</v>
      </c>
      <c r="AM70" s="82" t="e">
        <f t="shared" si="34"/>
        <v>#DIV/0!</v>
      </c>
      <c r="AN70" s="82" t="e">
        <f t="shared" si="34"/>
        <v>#DIV/0!</v>
      </c>
      <c r="AO70" s="82" t="e">
        <f t="shared" si="34"/>
        <v>#DIV/0!</v>
      </c>
      <c r="AP70" s="82" t="e">
        <f t="shared" si="34"/>
        <v>#DIV/0!</v>
      </c>
      <c r="AQ70" s="82" t="e">
        <f t="shared" si="34"/>
        <v>#DIV/0!</v>
      </c>
      <c r="AR70" s="82" t="e">
        <f t="shared" si="34"/>
        <v>#DIV/0!</v>
      </c>
      <c r="AS70" s="82" t="e">
        <f t="shared" si="34"/>
        <v>#DIV/0!</v>
      </c>
      <c r="AT70" s="82" t="e">
        <f t="shared" si="34"/>
        <v>#DIV/0!</v>
      </c>
      <c r="AU70" s="82" t="e">
        <f t="shared" si="34"/>
        <v>#DIV/0!</v>
      </c>
      <c r="AV70" s="82" t="e">
        <f t="shared" si="34"/>
        <v>#DIV/0!</v>
      </c>
      <c r="AW70" s="82" t="e">
        <f t="shared" si="34"/>
        <v>#DIV/0!</v>
      </c>
      <c r="AX70" s="82" t="e">
        <f t="shared" si="34"/>
        <v>#DIV/0!</v>
      </c>
      <c r="AY70" s="82" t="e">
        <f t="shared" si="34"/>
        <v>#DIV/0!</v>
      </c>
      <c r="AZ70" s="82" t="e">
        <f t="shared" si="34"/>
        <v>#DIV/0!</v>
      </c>
      <c r="BA70" s="82" t="e">
        <f t="shared" si="34"/>
        <v>#DIV/0!</v>
      </c>
      <c r="BB70" s="82" t="e">
        <f t="shared" si="34"/>
        <v>#DIV/0!</v>
      </c>
      <c r="BC70" s="82" t="e">
        <f t="shared" si="34"/>
        <v>#DIV/0!</v>
      </c>
      <c r="BD70" s="82" t="e">
        <f t="shared" si="34"/>
        <v>#DIV/0!</v>
      </c>
      <c r="BE70" s="82" t="e">
        <f t="shared" si="34"/>
        <v>#DIV/0!</v>
      </c>
      <c r="BF70" s="82" t="e">
        <f t="shared" si="34"/>
        <v>#DIV/0!</v>
      </c>
      <c r="BG70" s="82" t="e">
        <f t="shared" si="34"/>
        <v>#DIV/0!</v>
      </c>
      <c r="BH70" s="82" t="e">
        <f t="shared" si="34"/>
        <v>#DIV/0!</v>
      </c>
      <c r="BI70" s="82" t="e">
        <f t="shared" si="34"/>
        <v>#DIV/0!</v>
      </c>
      <c r="BJ70" s="82" t="e">
        <f t="shared" si="34"/>
        <v>#DIV/0!</v>
      </c>
      <c r="BK70" s="82" t="e">
        <f t="shared" si="34"/>
        <v>#DIV/0!</v>
      </c>
      <c r="BL70" s="82" t="e">
        <f t="shared" si="34"/>
        <v>#DIV/0!</v>
      </c>
      <c r="BM70" s="82" t="e">
        <f t="shared" si="34"/>
        <v>#DIV/0!</v>
      </c>
      <c r="BN70" s="82" t="e">
        <f t="shared" si="34"/>
        <v>#DIV/0!</v>
      </c>
      <c r="BO70" s="82" t="e">
        <f t="shared" si="34"/>
        <v>#DIV/0!</v>
      </c>
      <c r="BP70" s="82" t="e">
        <f t="shared" si="34"/>
        <v>#DIV/0!</v>
      </c>
      <c r="BQ70" s="82" t="e">
        <f t="shared" si="34"/>
        <v>#DIV/0!</v>
      </c>
      <c r="BR70" s="82" t="e">
        <f t="shared" ref="BR70:CJ70" si="35">BR62/BR69</f>
        <v>#DIV/0!</v>
      </c>
      <c r="BS70" s="82" t="e">
        <f t="shared" si="35"/>
        <v>#DIV/0!</v>
      </c>
      <c r="BT70" s="82" t="e">
        <f t="shared" si="35"/>
        <v>#DIV/0!</v>
      </c>
      <c r="BU70" s="82" t="e">
        <f t="shared" si="35"/>
        <v>#DIV/0!</v>
      </c>
      <c r="BV70" s="82" t="e">
        <f t="shared" si="35"/>
        <v>#DIV/0!</v>
      </c>
      <c r="BW70" s="82" t="e">
        <f t="shared" si="35"/>
        <v>#DIV/0!</v>
      </c>
      <c r="BX70" s="82" t="e">
        <f t="shared" si="35"/>
        <v>#DIV/0!</v>
      </c>
      <c r="BY70" s="82" t="e">
        <f t="shared" si="35"/>
        <v>#DIV/0!</v>
      </c>
      <c r="BZ70" s="82" t="e">
        <f t="shared" si="35"/>
        <v>#DIV/0!</v>
      </c>
      <c r="CA70" s="82" t="e">
        <f t="shared" si="35"/>
        <v>#DIV/0!</v>
      </c>
      <c r="CB70" s="82" t="e">
        <f t="shared" si="35"/>
        <v>#DIV/0!</v>
      </c>
      <c r="CC70" s="82" t="e">
        <f t="shared" si="35"/>
        <v>#DIV/0!</v>
      </c>
      <c r="CD70" s="82" t="e">
        <f t="shared" si="35"/>
        <v>#DIV/0!</v>
      </c>
      <c r="CE70" s="82" t="e">
        <f t="shared" si="35"/>
        <v>#DIV/0!</v>
      </c>
      <c r="CF70" s="82" t="e">
        <f t="shared" si="35"/>
        <v>#DIV/0!</v>
      </c>
      <c r="CG70" s="82" t="e">
        <f t="shared" si="35"/>
        <v>#DIV/0!</v>
      </c>
      <c r="CH70" s="82" t="e">
        <f t="shared" si="35"/>
        <v>#DIV/0!</v>
      </c>
      <c r="CI70" s="82" t="e">
        <f t="shared" si="35"/>
        <v>#DIV/0!</v>
      </c>
      <c r="CJ70" s="82" t="e">
        <f t="shared" si="35"/>
        <v>#DIV/0!</v>
      </c>
    </row>
    <row r="71" spans="1:89" s="75" customFormat="1" x14ac:dyDescent="0.25">
      <c r="A71" s="145" t="s">
        <v>479</v>
      </c>
      <c r="E71" s="75">
        <f>资产资本表!E35+资产资本表!E36-资产资本表!E24</f>
        <v>-20789610.559999999</v>
      </c>
      <c r="F71" s="75">
        <f>资产资本表!F35+资产资本表!F36-资产资本表!F24</f>
        <v>-43589614.909999996</v>
      </c>
      <c r="G71" s="75">
        <f>资产资本表!G35+资产资本表!G36-资产资本表!G24</f>
        <v>-14548553.319999997</v>
      </c>
      <c r="H71" s="75">
        <f>资产资本表!H35+资产资本表!H36-资产资本表!H24</f>
        <v>-17877719.230000004</v>
      </c>
      <c r="I71" s="75">
        <f>资产资本表!I35+资产资本表!I36-资产资本表!I24</f>
        <v>-7036467.9899999984</v>
      </c>
      <c r="J71" s="75">
        <f>资产资本表!J35+资产资本表!J36-资产资本表!J24</f>
        <v>-42872751.049999997</v>
      </c>
      <c r="K71" s="75">
        <f>资产资本表!K35+资产资本表!K36-资产资本表!K24</f>
        <v>-24889323.949999999</v>
      </c>
      <c r="L71" s="75">
        <f>资产资本表!L35+资产资本表!L36-资产资本表!L24</f>
        <v>-5204525.8900000006</v>
      </c>
      <c r="M71" s="75">
        <f>资产资本表!M35+资产资本表!M36-资产资本表!M24</f>
        <v>-1354486.3299999982</v>
      </c>
      <c r="N71" s="75">
        <f>资产资本表!N35+资产资本表!N36-资产资本表!N24</f>
        <v>-7295003.0700000003</v>
      </c>
      <c r="O71" s="75">
        <f>资产资本表!O35+资产资本表!O36-资产资本表!O24</f>
        <v>-70443094.039999992</v>
      </c>
      <c r="P71" s="75">
        <f>资产资本表!P35+资产资本表!P36-资产资本表!P24</f>
        <v>-8678213.5999999996</v>
      </c>
      <c r="Q71" s="75">
        <f>资产资本表!Q35+资产资本表!Q36-资产资本表!Q24</f>
        <v>0</v>
      </c>
      <c r="R71" s="75">
        <f>资产资本表!R35+资产资本表!R36-资产资本表!R24</f>
        <v>0</v>
      </c>
      <c r="S71" s="75">
        <f>资产资本表!S35+资产资本表!S36-资产资本表!S24</f>
        <v>0</v>
      </c>
      <c r="T71" s="75">
        <f>资产资本表!T35+资产资本表!T36-资产资本表!T24</f>
        <v>0</v>
      </c>
      <c r="U71" s="75">
        <f>资产资本表!U35+资产资本表!U36-资产资本表!U24</f>
        <v>0</v>
      </c>
      <c r="V71" s="75">
        <f>资产资本表!V35+资产资本表!V36-资产资本表!V24</f>
        <v>0</v>
      </c>
      <c r="W71" s="75">
        <f>资产资本表!W35+资产资本表!W36-资产资本表!W24</f>
        <v>0</v>
      </c>
      <c r="X71" s="75">
        <f>资产资本表!X35+资产资本表!X36-资产资本表!X24</f>
        <v>0</v>
      </c>
      <c r="Y71" s="75">
        <f>资产资本表!Y35+资产资本表!Y36-资产资本表!Y24</f>
        <v>0</v>
      </c>
      <c r="Z71" s="75">
        <f>资产资本表!Z35+资产资本表!Z36-资产资本表!Z24</f>
        <v>0</v>
      </c>
      <c r="AA71" s="75">
        <f>资产资本表!AA35+资产资本表!AA36-资产资本表!AA24</f>
        <v>0</v>
      </c>
      <c r="AB71" s="75">
        <f>资产资本表!AB35+资产资本表!AB36-资产资本表!AB24</f>
        <v>0</v>
      </c>
      <c r="AC71" s="75">
        <f>资产资本表!AC35+资产资本表!AC36-资产资本表!AC24</f>
        <v>0</v>
      </c>
      <c r="AD71" s="75">
        <f>资产资本表!AD35+资产资本表!AD36-资产资本表!AD24</f>
        <v>0</v>
      </c>
      <c r="AE71" s="75">
        <f>资产资本表!AE35+资产资本表!AE36-资产资本表!AE24</f>
        <v>0</v>
      </c>
      <c r="AF71" s="75">
        <f>资产资本表!AF35+资产资本表!AF36-资产资本表!AF24</f>
        <v>0</v>
      </c>
      <c r="AG71" s="75">
        <f>资产资本表!AG35+资产资本表!AG36-资产资本表!AG24</f>
        <v>0</v>
      </c>
      <c r="AH71" s="75">
        <f>资产资本表!AH35+资产资本表!AH36-资产资本表!AH24</f>
        <v>0</v>
      </c>
      <c r="AI71" s="75">
        <f>资产资本表!AI35+资产资本表!AI36-资产资本表!AI24</f>
        <v>0</v>
      </c>
      <c r="AJ71" s="75">
        <f>资产资本表!AJ35+资产资本表!AJ36-资产资本表!AJ24</f>
        <v>0</v>
      </c>
      <c r="AK71" s="75">
        <f>资产资本表!AK35+资产资本表!AK36-资产资本表!AK24</f>
        <v>0</v>
      </c>
      <c r="AL71" s="75">
        <f>资产资本表!AL35+资产资本表!AL36-资产资本表!AL24</f>
        <v>0</v>
      </c>
      <c r="AM71" s="75">
        <f>资产资本表!AM35+资产资本表!AM36-资产资本表!AM24</f>
        <v>0</v>
      </c>
      <c r="AN71" s="75">
        <f>资产资本表!AN35+资产资本表!AN36-资产资本表!AN24</f>
        <v>0</v>
      </c>
      <c r="AO71" s="75">
        <f>资产资本表!AO35+资产资本表!AO36-资产资本表!AO24</f>
        <v>0</v>
      </c>
      <c r="AP71" s="75">
        <f>资产资本表!AP35+资产资本表!AP36-资产资本表!AP24</f>
        <v>0</v>
      </c>
      <c r="AQ71" s="75">
        <f>资产资本表!AQ35+资产资本表!AQ36-资产资本表!AQ24</f>
        <v>0</v>
      </c>
      <c r="AR71" s="75">
        <f>资产资本表!AR35+资产资本表!AR36-资产资本表!AR24</f>
        <v>0</v>
      </c>
      <c r="AS71" s="75">
        <f>资产资本表!AS35+资产资本表!AS36-资产资本表!AS24</f>
        <v>0</v>
      </c>
      <c r="AT71" s="75">
        <f>资产资本表!AT35+资产资本表!AT36-资产资本表!AT24</f>
        <v>0</v>
      </c>
      <c r="AU71" s="75">
        <f>资产资本表!AU35+资产资本表!AU36-资产资本表!AU24</f>
        <v>0</v>
      </c>
      <c r="AV71" s="75">
        <f>资产资本表!AV35+资产资本表!AV36-资产资本表!AV24</f>
        <v>0</v>
      </c>
      <c r="AW71" s="75">
        <f>资产资本表!AW35+资产资本表!AW36-资产资本表!AW24</f>
        <v>0</v>
      </c>
      <c r="AX71" s="75">
        <f>资产资本表!AX35+资产资本表!AX36-资产资本表!AX24</f>
        <v>0</v>
      </c>
      <c r="AY71" s="75">
        <f>资产资本表!AY35+资产资本表!AY36-资产资本表!AY24</f>
        <v>0</v>
      </c>
      <c r="AZ71" s="75">
        <f>资产资本表!AZ35+资产资本表!AZ36-资产资本表!AZ24</f>
        <v>0</v>
      </c>
      <c r="BA71" s="75">
        <f>资产资本表!BA35+资产资本表!BA36-资产资本表!BA24</f>
        <v>0</v>
      </c>
      <c r="BB71" s="75">
        <f>资产资本表!BB35+资产资本表!BB36-资产资本表!BB24</f>
        <v>0</v>
      </c>
      <c r="BC71" s="75">
        <f>资产资本表!BC35+资产资本表!BC36-资产资本表!BC24</f>
        <v>0</v>
      </c>
      <c r="BD71" s="75">
        <f>资产资本表!BD35+资产资本表!BD36-资产资本表!BD24</f>
        <v>0</v>
      </c>
      <c r="BE71" s="75">
        <f>资产资本表!BE35+资产资本表!BE36-资产资本表!BE24</f>
        <v>0</v>
      </c>
      <c r="BF71" s="75">
        <f>资产资本表!BF35+资产资本表!BF36-资产资本表!BF24</f>
        <v>0</v>
      </c>
      <c r="BG71" s="75">
        <f>资产资本表!BG35+资产资本表!BG36-资产资本表!BG24</f>
        <v>0</v>
      </c>
      <c r="BH71" s="75">
        <f>资产资本表!BH35+资产资本表!BH36-资产资本表!BH24</f>
        <v>0</v>
      </c>
      <c r="BI71" s="75">
        <f>资产资本表!BI35+资产资本表!BI36-资产资本表!BI24</f>
        <v>0</v>
      </c>
      <c r="BJ71" s="75">
        <f>资产资本表!BJ35+资产资本表!BJ36-资产资本表!BJ24</f>
        <v>0</v>
      </c>
      <c r="BK71" s="75">
        <f>资产资本表!BK35+资产资本表!BK36-资产资本表!BK24</f>
        <v>0</v>
      </c>
      <c r="BL71" s="75">
        <f>资产资本表!BL35+资产资本表!BL36-资产资本表!BL24</f>
        <v>0</v>
      </c>
      <c r="BM71" s="75">
        <f>资产资本表!BM35+资产资本表!BM36-资产资本表!BM24</f>
        <v>0</v>
      </c>
      <c r="BN71" s="75">
        <f>资产资本表!BN35+资产资本表!BN36-资产资本表!BN24</f>
        <v>0</v>
      </c>
      <c r="BO71" s="75">
        <f>资产资本表!BO35+资产资本表!BO36-资产资本表!BO24</f>
        <v>0</v>
      </c>
      <c r="BP71" s="75">
        <f>资产资本表!BP35+资产资本表!BP36-资产资本表!BP24</f>
        <v>0</v>
      </c>
      <c r="BQ71" s="75">
        <f>资产资本表!BQ35+资产资本表!BQ36-资产资本表!BQ24</f>
        <v>0</v>
      </c>
      <c r="BR71" s="75">
        <f>资产资本表!BR35+资产资本表!BR36-资产资本表!BR24</f>
        <v>0</v>
      </c>
      <c r="BS71" s="75">
        <f>资产资本表!BS35+资产资本表!BS36-资产资本表!BS24</f>
        <v>0</v>
      </c>
      <c r="BT71" s="75">
        <f>资产资本表!BT35+资产资本表!BT36-资产资本表!BT24</f>
        <v>0</v>
      </c>
      <c r="BU71" s="75">
        <f>资产资本表!BU35+资产资本表!BU36-资产资本表!BU24</f>
        <v>0</v>
      </c>
      <c r="BV71" s="75">
        <f>资产资本表!BV35+资产资本表!BV36-资产资本表!BV24</f>
        <v>0</v>
      </c>
      <c r="BW71" s="75">
        <f>资产资本表!BW35+资产资本表!BW36-资产资本表!BW24</f>
        <v>0</v>
      </c>
      <c r="BX71" s="75">
        <f>资产资本表!BX35+资产资本表!BX36-资产资本表!BX24</f>
        <v>0</v>
      </c>
      <c r="BY71" s="75">
        <f>资产资本表!BY35+资产资本表!BY36-资产资本表!BY24</f>
        <v>0</v>
      </c>
      <c r="BZ71" s="75">
        <f>资产资本表!BZ35+资产资本表!BZ36-资产资本表!BZ24</f>
        <v>0</v>
      </c>
      <c r="CA71" s="75">
        <f>资产资本表!CA35+资产资本表!CA36-资产资本表!CA24</f>
        <v>0</v>
      </c>
      <c r="CB71" s="75">
        <f>资产资本表!CB35+资产资本表!CB36-资产资本表!CB24</f>
        <v>0</v>
      </c>
      <c r="CC71" s="75">
        <f>资产资本表!CC35+资产资本表!CC36-资产资本表!CC24</f>
        <v>0</v>
      </c>
      <c r="CD71" s="75">
        <f>资产资本表!CD35+资产资本表!CD36-资产资本表!CD24</f>
        <v>0</v>
      </c>
      <c r="CE71" s="75">
        <f>资产资本表!CE35+资产资本表!CE36-资产资本表!CE24</f>
        <v>0</v>
      </c>
      <c r="CF71" s="75">
        <f>资产资本表!CF35+资产资本表!CF36-资产资本表!CF24</f>
        <v>0</v>
      </c>
      <c r="CG71" s="75">
        <f>资产资本表!CG35+资产资本表!CG36-资产资本表!CG24</f>
        <v>0</v>
      </c>
      <c r="CH71" s="75">
        <f>资产资本表!CH35+资产资本表!CH36-资产资本表!CH24</f>
        <v>0</v>
      </c>
      <c r="CI71" s="75">
        <f>资产资本表!CI35+资产资本表!CI36-资产资本表!CI24</f>
        <v>0</v>
      </c>
      <c r="CJ71" s="75">
        <f>资产资本表!CJ35+资产资本表!CJ36-资产资本表!CJ24</f>
        <v>0</v>
      </c>
      <c r="CK71" s="75">
        <f>资产资本表!CK35+资产资本表!CK36-资产资本表!CK24</f>
        <v>0</v>
      </c>
    </row>
    <row r="72" spans="1:89" s="153" customFormat="1" x14ac:dyDescent="0.25">
      <c r="A72" s="152" t="s">
        <v>480</v>
      </c>
      <c r="E72" s="153">
        <f>E67/(E71+I71)*2</f>
        <v>-29.187802809533867</v>
      </c>
      <c r="F72" s="153">
        <f t="shared" ref="F72:BQ72" si="36">F67/(F71+J71)*2</f>
        <v>-6.2770840299591537</v>
      </c>
      <c r="G72" s="153">
        <f t="shared" si="36"/>
        <v>-9.2028333379921818</v>
      </c>
      <c r="H72" s="153">
        <f t="shared" si="36"/>
        <v>-7.9064851313735627</v>
      </c>
      <c r="I72" s="153">
        <f t="shared" si="36"/>
        <v>-83.0512704924367</v>
      </c>
      <c r="J72" s="153">
        <f t="shared" si="36"/>
        <v>-9.1129931921297658</v>
      </c>
      <c r="K72" s="153">
        <f t="shared" si="36"/>
        <v>-3.1339345118817747</v>
      </c>
      <c r="L72" s="153">
        <f t="shared" si="36"/>
        <v>-10.785328069280078</v>
      </c>
      <c r="M72" s="153">
        <f t="shared" si="36"/>
        <v>-469.77698701470155</v>
      </c>
      <c r="N72" s="153">
        <f t="shared" si="36"/>
        <v>-59.074148277226151</v>
      </c>
      <c r="O72" s="153">
        <f t="shared" si="36"/>
        <v>-8.1689187762428954</v>
      </c>
      <c r="P72" s="153">
        <f t="shared" si="36"/>
        <v>-58.801363149208498</v>
      </c>
      <c r="Q72" s="153" t="e">
        <f t="shared" si="36"/>
        <v>#DIV/0!</v>
      </c>
      <c r="R72" s="153" t="e">
        <f t="shared" si="36"/>
        <v>#DIV/0!</v>
      </c>
      <c r="S72" s="153" t="e">
        <f t="shared" si="36"/>
        <v>#DIV/0!</v>
      </c>
      <c r="T72" s="153" t="e">
        <f t="shared" si="36"/>
        <v>#DIV/0!</v>
      </c>
      <c r="U72" s="153" t="e">
        <f t="shared" si="36"/>
        <v>#DIV/0!</v>
      </c>
      <c r="V72" s="153" t="e">
        <f t="shared" si="36"/>
        <v>#DIV/0!</v>
      </c>
      <c r="W72" s="153" t="e">
        <f t="shared" si="36"/>
        <v>#DIV/0!</v>
      </c>
      <c r="X72" s="153" t="e">
        <f t="shared" si="36"/>
        <v>#DIV/0!</v>
      </c>
      <c r="Y72" s="153" t="e">
        <f t="shared" si="36"/>
        <v>#DIV/0!</v>
      </c>
      <c r="Z72" s="153" t="e">
        <f t="shared" si="36"/>
        <v>#DIV/0!</v>
      </c>
      <c r="AA72" s="153" t="e">
        <f t="shared" si="36"/>
        <v>#DIV/0!</v>
      </c>
      <c r="AB72" s="153" t="e">
        <f t="shared" si="36"/>
        <v>#DIV/0!</v>
      </c>
      <c r="AC72" s="153" t="e">
        <f t="shared" si="36"/>
        <v>#DIV/0!</v>
      </c>
      <c r="AD72" s="153" t="e">
        <f t="shared" si="36"/>
        <v>#DIV/0!</v>
      </c>
      <c r="AE72" s="153" t="e">
        <f t="shared" si="36"/>
        <v>#DIV/0!</v>
      </c>
      <c r="AF72" s="153" t="e">
        <f t="shared" si="36"/>
        <v>#DIV/0!</v>
      </c>
      <c r="AG72" s="153" t="e">
        <f t="shared" si="36"/>
        <v>#DIV/0!</v>
      </c>
      <c r="AH72" s="153" t="e">
        <f t="shared" si="36"/>
        <v>#DIV/0!</v>
      </c>
      <c r="AI72" s="153" t="e">
        <f t="shared" si="36"/>
        <v>#DIV/0!</v>
      </c>
      <c r="AJ72" s="153" t="e">
        <f t="shared" si="36"/>
        <v>#DIV/0!</v>
      </c>
      <c r="AK72" s="153" t="e">
        <f t="shared" si="36"/>
        <v>#DIV/0!</v>
      </c>
      <c r="AL72" s="153" t="e">
        <f t="shared" si="36"/>
        <v>#DIV/0!</v>
      </c>
      <c r="AM72" s="153" t="e">
        <f t="shared" si="36"/>
        <v>#DIV/0!</v>
      </c>
      <c r="AN72" s="153" t="e">
        <f t="shared" si="36"/>
        <v>#DIV/0!</v>
      </c>
      <c r="AO72" s="153" t="e">
        <f t="shared" si="36"/>
        <v>#DIV/0!</v>
      </c>
      <c r="AP72" s="153" t="e">
        <f t="shared" si="36"/>
        <v>#DIV/0!</v>
      </c>
      <c r="AQ72" s="153" t="e">
        <f t="shared" si="36"/>
        <v>#DIV/0!</v>
      </c>
      <c r="AR72" s="153" t="e">
        <f t="shared" si="36"/>
        <v>#DIV/0!</v>
      </c>
      <c r="AS72" s="153" t="e">
        <f t="shared" si="36"/>
        <v>#DIV/0!</v>
      </c>
      <c r="AT72" s="153" t="e">
        <f t="shared" si="36"/>
        <v>#DIV/0!</v>
      </c>
      <c r="AU72" s="153" t="e">
        <f t="shared" si="36"/>
        <v>#DIV/0!</v>
      </c>
      <c r="AV72" s="153" t="e">
        <f t="shared" si="36"/>
        <v>#DIV/0!</v>
      </c>
      <c r="AW72" s="153" t="e">
        <f t="shared" si="36"/>
        <v>#DIV/0!</v>
      </c>
      <c r="AX72" s="153" t="e">
        <f t="shared" si="36"/>
        <v>#DIV/0!</v>
      </c>
      <c r="AY72" s="153" t="e">
        <f t="shared" si="36"/>
        <v>#DIV/0!</v>
      </c>
      <c r="AZ72" s="153" t="e">
        <f t="shared" si="36"/>
        <v>#DIV/0!</v>
      </c>
      <c r="BA72" s="153" t="e">
        <f t="shared" si="36"/>
        <v>#DIV/0!</v>
      </c>
      <c r="BB72" s="153" t="e">
        <f t="shared" si="36"/>
        <v>#DIV/0!</v>
      </c>
      <c r="BC72" s="153" t="e">
        <f t="shared" si="36"/>
        <v>#DIV/0!</v>
      </c>
      <c r="BD72" s="153" t="e">
        <f t="shared" si="36"/>
        <v>#DIV/0!</v>
      </c>
      <c r="BE72" s="153" t="e">
        <f t="shared" si="36"/>
        <v>#DIV/0!</v>
      </c>
      <c r="BF72" s="153" t="e">
        <f t="shared" si="36"/>
        <v>#DIV/0!</v>
      </c>
      <c r="BG72" s="153" t="e">
        <f t="shared" si="36"/>
        <v>#DIV/0!</v>
      </c>
      <c r="BH72" s="153" t="e">
        <f t="shared" si="36"/>
        <v>#DIV/0!</v>
      </c>
      <c r="BI72" s="153" t="e">
        <f t="shared" si="36"/>
        <v>#DIV/0!</v>
      </c>
      <c r="BJ72" s="153" t="e">
        <f t="shared" si="36"/>
        <v>#DIV/0!</v>
      </c>
      <c r="BK72" s="153" t="e">
        <f t="shared" si="36"/>
        <v>#DIV/0!</v>
      </c>
      <c r="BL72" s="153" t="e">
        <f t="shared" si="36"/>
        <v>#DIV/0!</v>
      </c>
      <c r="BM72" s="153" t="e">
        <f t="shared" si="36"/>
        <v>#DIV/0!</v>
      </c>
      <c r="BN72" s="153" t="e">
        <f t="shared" si="36"/>
        <v>#DIV/0!</v>
      </c>
      <c r="BO72" s="153" t="e">
        <f t="shared" si="36"/>
        <v>#DIV/0!</v>
      </c>
      <c r="BP72" s="153" t="e">
        <f t="shared" si="36"/>
        <v>#DIV/0!</v>
      </c>
      <c r="BQ72" s="153" t="e">
        <f t="shared" si="36"/>
        <v>#DIV/0!</v>
      </c>
      <c r="BR72" s="153" t="e">
        <f t="shared" ref="BR72:CJ72" si="37">BR67/(BR71+BV71)*2</f>
        <v>#DIV/0!</v>
      </c>
      <c r="BS72" s="153" t="e">
        <f t="shared" si="37"/>
        <v>#DIV/0!</v>
      </c>
      <c r="BT72" s="153" t="e">
        <f t="shared" si="37"/>
        <v>#DIV/0!</v>
      </c>
      <c r="BU72" s="153" t="e">
        <f t="shared" si="37"/>
        <v>#DIV/0!</v>
      </c>
      <c r="BV72" s="153" t="e">
        <f t="shared" si="37"/>
        <v>#DIV/0!</v>
      </c>
      <c r="BW72" s="153" t="e">
        <f t="shared" si="37"/>
        <v>#DIV/0!</v>
      </c>
      <c r="BX72" s="153" t="e">
        <f t="shared" si="37"/>
        <v>#DIV/0!</v>
      </c>
      <c r="BY72" s="153" t="e">
        <f t="shared" si="37"/>
        <v>#DIV/0!</v>
      </c>
      <c r="BZ72" s="153" t="e">
        <f t="shared" si="37"/>
        <v>#DIV/0!</v>
      </c>
      <c r="CA72" s="153" t="e">
        <f t="shared" si="37"/>
        <v>#DIV/0!</v>
      </c>
      <c r="CB72" s="153" t="e">
        <f t="shared" si="37"/>
        <v>#DIV/0!</v>
      </c>
      <c r="CC72" s="153" t="e">
        <f t="shared" si="37"/>
        <v>#DIV/0!</v>
      </c>
      <c r="CD72" s="153" t="e">
        <f t="shared" si="37"/>
        <v>#DIV/0!</v>
      </c>
      <c r="CE72" s="153" t="e">
        <f t="shared" si="37"/>
        <v>#DIV/0!</v>
      </c>
      <c r="CF72" s="153" t="e">
        <f t="shared" si="37"/>
        <v>#DIV/0!</v>
      </c>
      <c r="CG72" s="153" t="e">
        <f t="shared" si="37"/>
        <v>#DIV/0!</v>
      </c>
      <c r="CH72" s="153" t="e">
        <f t="shared" si="37"/>
        <v>#DIV/0!</v>
      </c>
      <c r="CI72" s="153" t="e">
        <f t="shared" si="37"/>
        <v>#DIV/0!</v>
      </c>
      <c r="CJ72" s="153" t="e">
        <f t="shared" si="37"/>
        <v>#DIV/0!</v>
      </c>
    </row>
    <row r="73" spans="1:89" s="82" customFormat="1" x14ac:dyDescent="0.25">
      <c r="A73" s="146" t="s">
        <v>481</v>
      </c>
      <c r="E73" s="82">
        <f>E62/E72</f>
        <v>-12.505223581981198</v>
      </c>
      <c r="F73" s="82">
        <f t="shared" ref="F73:BQ73" si="38">F62/F72</f>
        <v>-58.148018770807361</v>
      </c>
      <c r="G73" s="82">
        <f t="shared" si="38"/>
        <v>-39.661698369910226</v>
      </c>
      <c r="H73" s="82">
        <f t="shared" si="38"/>
        <v>-46.164634971822174</v>
      </c>
      <c r="I73" s="82">
        <f t="shared" si="38"/>
        <v>-4.3948755730743425</v>
      </c>
      <c r="J73" s="82">
        <f t="shared" si="38"/>
        <v>-40.052701928409661</v>
      </c>
      <c r="K73" s="82">
        <f t="shared" si="38"/>
        <v>-116.46701570060419</v>
      </c>
      <c r="L73" s="82">
        <f t="shared" si="38"/>
        <v>-33.842271431652776</v>
      </c>
      <c r="M73" s="82">
        <f t="shared" si="38"/>
        <v>-0.77696441096331825</v>
      </c>
      <c r="N73" s="82">
        <f t="shared" si="38"/>
        <v>-6.1786756245237688</v>
      </c>
      <c r="O73" s="82">
        <f t="shared" si="38"/>
        <v>-44.681555784531042</v>
      </c>
      <c r="P73" s="82">
        <f t="shared" si="38"/>
        <v>-6.2073390896366174</v>
      </c>
      <c r="Q73" s="82" t="e">
        <f t="shared" si="38"/>
        <v>#DIV/0!</v>
      </c>
      <c r="R73" s="82" t="e">
        <f t="shared" si="38"/>
        <v>#DIV/0!</v>
      </c>
      <c r="S73" s="82" t="e">
        <f t="shared" si="38"/>
        <v>#DIV/0!</v>
      </c>
      <c r="T73" s="82" t="e">
        <f t="shared" si="38"/>
        <v>#DIV/0!</v>
      </c>
      <c r="U73" s="82" t="e">
        <f t="shared" si="38"/>
        <v>#DIV/0!</v>
      </c>
      <c r="V73" s="82" t="e">
        <f t="shared" si="38"/>
        <v>#DIV/0!</v>
      </c>
      <c r="W73" s="82" t="e">
        <f t="shared" si="38"/>
        <v>#DIV/0!</v>
      </c>
      <c r="X73" s="82" t="e">
        <f t="shared" si="38"/>
        <v>#DIV/0!</v>
      </c>
      <c r="Y73" s="82" t="e">
        <f t="shared" si="38"/>
        <v>#DIV/0!</v>
      </c>
      <c r="Z73" s="82" t="e">
        <f t="shared" si="38"/>
        <v>#DIV/0!</v>
      </c>
      <c r="AA73" s="82" t="e">
        <f t="shared" si="38"/>
        <v>#DIV/0!</v>
      </c>
      <c r="AB73" s="82" t="e">
        <f t="shared" si="38"/>
        <v>#DIV/0!</v>
      </c>
      <c r="AC73" s="82" t="e">
        <f t="shared" si="38"/>
        <v>#DIV/0!</v>
      </c>
      <c r="AD73" s="82" t="e">
        <f t="shared" si="38"/>
        <v>#DIV/0!</v>
      </c>
      <c r="AE73" s="82" t="e">
        <f t="shared" si="38"/>
        <v>#DIV/0!</v>
      </c>
      <c r="AF73" s="82" t="e">
        <f t="shared" si="38"/>
        <v>#DIV/0!</v>
      </c>
      <c r="AG73" s="82" t="e">
        <f t="shared" si="38"/>
        <v>#DIV/0!</v>
      </c>
      <c r="AH73" s="82" t="e">
        <f t="shared" si="38"/>
        <v>#DIV/0!</v>
      </c>
      <c r="AI73" s="82" t="e">
        <f t="shared" si="38"/>
        <v>#DIV/0!</v>
      </c>
      <c r="AJ73" s="82" t="e">
        <f t="shared" si="38"/>
        <v>#DIV/0!</v>
      </c>
      <c r="AK73" s="82" t="e">
        <f t="shared" si="38"/>
        <v>#DIV/0!</v>
      </c>
      <c r="AL73" s="82" t="e">
        <f t="shared" si="38"/>
        <v>#DIV/0!</v>
      </c>
      <c r="AM73" s="82" t="e">
        <f t="shared" si="38"/>
        <v>#DIV/0!</v>
      </c>
      <c r="AN73" s="82" t="e">
        <f t="shared" si="38"/>
        <v>#DIV/0!</v>
      </c>
      <c r="AO73" s="82" t="e">
        <f t="shared" si="38"/>
        <v>#DIV/0!</v>
      </c>
      <c r="AP73" s="82" t="e">
        <f t="shared" si="38"/>
        <v>#DIV/0!</v>
      </c>
      <c r="AQ73" s="82" t="e">
        <f t="shared" si="38"/>
        <v>#DIV/0!</v>
      </c>
      <c r="AR73" s="82" t="e">
        <f t="shared" si="38"/>
        <v>#DIV/0!</v>
      </c>
      <c r="AS73" s="82" t="e">
        <f t="shared" si="38"/>
        <v>#DIV/0!</v>
      </c>
      <c r="AT73" s="82" t="e">
        <f t="shared" si="38"/>
        <v>#DIV/0!</v>
      </c>
      <c r="AU73" s="82" t="e">
        <f t="shared" si="38"/>
        <v>#DIV/0!</v>
      </c>
      <c r="AV73" s="82" t="e">
        <f t="shared" si="38"/>
        <v>#DIV/0!</v>
      </c>
      <c r="AW73" s="82" t="e">
        <f t="shared" si="38"/>
        <v>#DIV/0!</v>
      </c>
      <c r="AX73" s="82" t="e">
        <f t="shared" si="38"/>
        <v>#DIV/0!</v>
      </c>
      <c r="AY73" s="82" t="e">
        <f t="shared" si="38"/>
        <v>#DIV/0!</v>
      </c>
      <c r="AZ73" s="82" t="e">
        <f t="shared" si="38"/>
        <v>#DIV/0!</v>
      </c>
      <c r="BA73" s="82" t="e">
        <f t="shared" si="38"/>
        <v>#DIV/0!</v>
      </c>
      <c r="BB73" s="82" t="e">
        <f t="shared" si="38"/>
        <v>#DIV/0!</v>
      </c>
      <c r="BC73" s="82" t="e">
        <f t="shared" si="38"/>
        <v>#DIV/0!</v>
      </c>
      <c r="BD73" s="82" t="e">
        <f t="shared" si="38"/>
        <v>#DIV/0!</v>
      </c>
      <c r="BE73" s="82" t="e">
        <f t="shared" si="38"/>
        <v>#DIV/0!</v>
      </c>
      <c r="BF73" s="82" t="e">
        <f t="shared" si="38"/>
        <v>#DIV/0!</v>
      </c>
      <c r="BG73" s="82" t="e">
        <f t="shared" si="38"/>
        <v>#DIV/0!</v>
      </c>
      <c r="BH73" s="82" t="e">
        <f t="shared" si="38"/>
        <v>#DIV/0!</v>
      </c>
      <c r="BI73" s="82" t="e">
        <f t="shared" si="38"/>
        <v>#DIV/0!</v>
      </c>
      <c r="BJ73" s="82" t="e">
        <f t="shared" si="38"/>
        <v>#DIV/0!</v>
      </c>
      <c r="BK73" s="82" t="e">
        <f t="shared" si="38"/>
        <v>#DIV/0!</v>
      </c>
      <c r="BL73" s="82" t="e">
        <f t="shared" si="38"/>
        <v>#DIV/0!</v>
      </c>
      <c r="BM73" s="82" t="e">
        <f t="shared" si="38"/>
        <v>#DIV/0!</v>
      </c>
      <c r="BN73" s="82" t="e">
        <f t="shared" si="38"/>
        <v>#DIV/0!</v>
      </c>
      <c r="BO73" s="82" t="e">
        <f t="shared" si="38"/>
        <v>#DIV/0!</v>
      </c>
      <c r="BP73" s="82" t="e">
        <f t="shared" si="38"/>
        <v>#DIV/0!</v>
      </c>
      <c r="BQ73" s="82" t="e">
        <f t="shared" si="38"/>
        <v>#DIV/0!</v>
      </c>
      <c r="BR73" s="82" t="e">
        <f t="shared" ref="BR73:CJ73" si="39">BR62/BR72</f>
        <v>#DIV/0!</v>
      </c>
      <c r="BS73" s="82" t="e">
        <f t="shared" si="39"/>
        <v>#DIV/0!</v>
      </c>
      <c r="BT73" s="82" t="e">
        <f t="shared" si="39"/>
        <v>#DIV/0!</v>
      </c>
      <c r="BU73" s="82" t="e">
        <f t="shared" si="39"/>
        <v>#DIV/0!</v>
      </c>
      <c r="BV73" s="82" t="e">
        <f t="shared" si="39"/>
        <v>#DIV/0!</v>
      </c>
      <c r="BW73" s="82" t="e">
        <f t="shared" si="39"/>
        <v>#DIV/0!</v>
      </c>
      <c r="BX73" s="82" t="e">
        <f t="shared" si="39"/>
        <v>#DIV/0!</v>
      </c>
      <c r="BY73" s="82" t="e">
        <f t="shared" si="39"/>
        <v>#DIV/0!</v>
      </c>
      <c r="BZ73" s="82" t="e">
        <f t="shared" si="39"/>
        <v>#DIV/0!</v>
      </c>
      <c r="CA73" s="82" t="e">
        <f t="shared" si="39"/>
        <v>#DIV/0!</v>
      </c>
      <c r="CB73" s="82" t="e">
        <f t="shared" si="39"/>
        <v>#DIV/0!</v>
      </c>
      <c r="CC73" s="82" t="e">
        <f t="shared" si="39"/>
        <v>#DIV/0!</v>
      </c>
      <c r="CD73" s="82" t="e">
        <f t="shared" si="39"/>
        <v>#DIV/0!</v>
      </c>
      <c r="CE73" s="82" t="e">
        <f t="shared" si="39"/>
        <v>#DIV/0!</v>
      </c>
      <c r="CF73" s="82" t="e">
        <f t="shared" si="39"/>
        <v>#DIV/0!</v>
      </c>
      <c r="CG73" s="82" t="e">
        <f t="shared" si="39"/>
        <v>#DIV/0!</v>
      </c>
      <c r="CH73" s="82" t="e">
        <f t="shared" si="39"/>
        <v>#DIV/0!</v>
      </c>
      <c r="CI73" s="82" t="e">
        <f t="shared" si="39"/>
        <v>#DIV/0!</v>
      </c>
      <c r="CJ73" s="82" t="e">
        <f t="shared" si="39"/>
        <v>#DIV/0!</v>
      </c>
    </row>
    <row r="74" spans="1:89" s="254" customFormat="1" x14ac:dyDescent="0.25">
      <c r="A74" s="253" t="s">
        <v>482</v>
      </c>
      <c r="E74" s="254">
        <f>E66+E70</f>
        <v>-1.4693957434328926</v>
      </c>
      <c r="F74" s="254">
        <f t="shared" ref="F74:BQ74" si="40">F66+F70</f>
        <v>-1.5001130076806817</v>
      </c>
      <c r="G74" s="254">
        <f t="shared" si="40"/>
        <v>0.98429494151742958</v>
      </c>
      <c r="H74" s="254">
        <f t="shared" si="40"/>
        <v>-17.573763333892664</v>
      </c>
      <c r="I74" s="254">
        <f t="shared" si="40"/>
        <v>0.23854075028539334</v>
      </c>
      <c r="J74" s="254">
        <f t="shared" si="40"/>
        <v>-1.3867814295850529</v>
      </c>
      <c r="K74" s="254">
        <f t="shared" si="40"/>
        <v>-2.8550514550055546</v>
      </c>
      <c r="L74" s="254">
        <f t="shared" si="40"/>
        <v>-0.2120826585180744</v>
      </c>
      <c r="M74" s="254">
        <f t="shared" si="40"/>
        <v>-0.29158728413909785</v>
      </c>
      <c r="N74" s="254">
        <f t="shared" si="40"/>
        <v>2.2807899117615813</v>
      </c>
      <c r="O74" s="254">
        <f t="shared" si="40"/>
        <v>-0.94134111737942172</v>
      </c>
      <c r="P74" s="254">
        <f t="shared" si="40"/>
        <v>2.6238225566212403</v>
      </c>
      <c r="Q74" s="254" t="e">
        <f t="shared" si="40"/>
        <v>#DIV/0!</v>
      </c>
      <c r="R74" s="254" t="e">
        <f t="shared" si="40"/>
        <v>#DIV/0!</v>
      </c>
      <c r="S74" s="254" t="e">
        <f t="shared" si="40"/>
        <v>#DIV/0!</v>
      </c>
      <c r="T74" s="254" t="e">
        <f t="shared" si="40"/>
        <v>#DIV/0!</v>
      </c>
      <c r="U74" s="254" t="e">
        <f t="shared" si="40"/>
        <v>#DIV/0!</v>
      </c>
      <c r="V74" s="254" t="e">
        <f t="shared" si="40"/>
        <v>#DIV/0!</v>
      </c>
      <c r="W74" s="254" t="e">
        <f t="shared" si="40"/>
        <v>#DIV/0!</v>
      </c>
      <c r="X74" s="254" t="e">
        <f t="shared" si="40"/>
        <v>#DIV/0!</v>
      </c>
      <c r="Y74" s="254" t="e">
        <f t="shared" si="40"/>
        <v>#DIV/0!</v>
      </c>
      <c r="Z74" s="254" t="e">
        <f t="shared" si="40"/>
        <v>#DIV/0!</v>
      </c>
      <c r="AA74" s="254" t="e">
        <f t="shared" si="40"/>
        <v>#DIV/0!</v>
      </c>
      <c r="AB74" s="254" t="e">
        <f t="shared" si="40"/>
        <v>#DIV/0!</v>
      </c>
      <c r="AC74" s="254" t="e">
        <f t="shared" si="40"/>
        <v>#DIV/0!</v>
      </c>
      <c r="AD74" s="254" t="e">
        <f t="shared" si="40"/>
        <v>#DIV/0!</v>
      </c>
      <c r="AE74" s="254" t="e">
        <f t="shared" si="40"/>
        <v>#DIV/0!</v>
      </c>
      <c r="AF74" s="254" t="e">
        <f t="shared" si="40"/>
        <v>#DIV/0!</v>
      </c>
      <c r="AG74" s="254" t="e">
        <f t="shared" si="40"/>
        <v>#DIV/0!</v>
      </c>
      <c r="AH74" s="254" t="e">
        <f t="shared" si="40"/>
        <v>#DIV/0!</v>
      </c>
      <c r="AI74" s="254" t="e">
        <f t="shared" si="40"/>
        <v>#DIV/0!</v>
      </c>
      <c r="AJ74" s="254" t="e">
        <f t="shared" si="40"/>
        <v>#DIV/0!</v>
      </c>
      <c r="AK74" s="254" t="e">
        <f t="shared" si="40"/>
        <v>#DIV/0!</v>
      </c>
      <c r="AL74" s="254" t="e">
        <f t="shared" si="40"/>
        <v>#DIV/0!</v>
      </c>
      <c r="AM74" s="254" t="e">
        <f t="shared" si="40"/>
        <v>#DIV/0!</v>
      </c>
      <c r="AN74" s="254" t="e">
        <f t="shared" si="40"/>
        <v>#DIV/0!</v>
      </c>
      <c r="AO74" s="254" t="e">
        <f t="shared" si="40"/>
        <v>#DIV/0!</v>
      </c>
      <c r="AP74" s="254" t="e">
        <f t="shared" si="40"/>
        <v>#DIV/0!</v>
      </c>
      <c r="AQ74" s="254" t="e">
        <f t="shared" si="40"/>
        <v>#DIV/0!</v>
      </c>
      <c r="AR74" s="254" t="e">
        <f t="shared" si="40"/>
        <v>#DIV/0!</v>
      </c>
      <c r="AS74" s="254" t="e">
        <f t="shared" si="40"/>
        <v>#DIV/0!</v>
      </c>
      <c r="AT74" s="254" t="e">
        <f t="shared" si="40"/>
        <v>#DIV/0!</v>
      </c>
      <c r="AU74" s="254" t="e">
        <f t="shared" si="40"/>
        <v>#DIV/0!</v>
      </c>
      <c r="AV74" s="254" t="e">
        <f t="shared" si="40"/>
        <v>#DIV/0!</v>
      </c>
      <c r="AW74" s="254" t="e">
        <f t="shared" si="40"/>
        <v>#DIV/0!</v>
      </c>
      <c r="AX74" s="254" t="e">
        <f t="shared" si="40"/>
        <v>#DIV/0!</v>
      </c>
      <c r="AY74" s="254" t="e">
        <f t="shared" si="40"/>
        <v>#DIV/0!</v>
      </c>
      <c r="AZ74" s="254" t="e">
        <f t="shared" si="40"/>
        <v>#DIV/0!</v>
      </c>
      <c r="BA74" s="254" t="e">
        <f t="shared" si="40"/>
        <v>#DIV/0!</v>
      </c>
      <c r="BB74" s="254" t="e">
        <f t="shared" si="40"/>
        <v>#DIV/0!</v>
      </c>
      <c r="BC74" s="254" t="e">
        <f t="shared" si="40"/>
        <v>#DIV/0!</v>
      </c>
      <c r="BD74" s="254" t="e">
        <f t="shared" si="40"/>
        <v>#DIV/0!</v>
      </c>
      <c r="BE74" s="254" t="e">
        <f t="shared" si="40"/>
        <v>#DIV/0!</v>
      </c>
      <c r="BF74" s="254" t="e">
        <f t="shared" si="40"/>
        <v>#DIV/0!</v>
      </c>
      <c r="BG74" s="254" t="e">
        <f t="shared" si="40"/>
        <v>#DIV/0!</v>
      </c>
      <c r="BH74" s="254" t="e">
        <f t="shared" si="40"/>
        <v>#DIV/0!</v>
      </c>
      <c r="BI74" s="254" t="e">
        <f t="shared" si="40"/>
        <v>#DIV/0!</v>
      </c>
      <c r="BJ74" s="254" t="e">
        <f t="shared" si="40"/>
        <v>#DIV/0!</v>
      </c>
      <c r="BK74" s="254" t="e">
        <f t="shared" si="40"/>
        <v>#DIV/0!</v>
      </c>
      <c r="BL74" s="254" t="e">
        <f t="shared" si="40"/>
        <v>#DIV/0!</v>
      </c>
      <c r="BM74" s="254" t="e">
        <f t="shared" si="40"/>
        <v>#DIV/0!</v>
      </c>
      <c r="BN74" s="254" t="e">
        <f t="shared" si="40"/>
        <v>#DIV/0!</v>
      </c>
      <c r="BO74" s="254" t="e">
        <f t="shared" si="40"/>
        <v>#DIV/0!</v>
      </c>
      <c r="BP74" s="254" t="e">
        <f t="shared" si="40"/>
        <v>#DIV/0!</v>
      </c>
      <c r="BQ74" s="254" t="e">
        <f t="shared" si="40"/>
        <v>#DIV/0!</v>
      </c>
      <c r="BR74" s="254" t="e">
        <f t="shared" ref="BR74:CK74" si="41">BR66+BR70</f>
        <v>#DIV/0!</v>
      </c>
      <c r="BS74" s="254" t="e">
        <f t="shared" si="41"/>
        <v>#DIV/0!</v>
      </c>
      <c r="BT74" s="254" t="e">
        <f t="shared" si="41"/>
        <v>#DIV/0!</v>
      </c>
      <c r="BU74" s="254" t="e">
        <f t="shared" si="41"/>
        <v>#DIV/0!</v>
      </c>
      <c r="BV74" s="254" t="e">
        <f t="shared" si="41"/>
        <v>#DIV/0!</v>
      </c>
      <c r="BW74" s="254" t="e">
        <f t="shared" si="41"/>
        <v>#DIV/0!</v>
      </c>
      <c r="BX74" s="254" t="e">
        <f t="shared" si="41"/>
        <v>#DIV/0!</v>
      </c>
      <c r="BY74" s="254" t="e">
        <f t="shared" si="41"/>
        <v>#DIV/0!</v>
      </c>
      <c r="BZ74" s="254" t="e">
        <f t="shared" si="41"/>
        <v>#DIV/0!</v>
      </c>
      <c r="CA74" s="254" t="e">
        <f t="shared" si="41"/>
        <v>#DIV/0!</v>
      </c>
      <c r="CB74" s="254" t="e">
        <f t="shared" si="41"/>
        <v>#DIV/0!</v>
      </c>
      <c r="CC74" s="254" t="e">
        <f t="shared" si="41"/>
        <v>#DIV/0!</v>
      </c>
      <c r="CD74" s="254" t="e">
        <f t="shared" si="41"/>
        <v>#DIV/0!</v>
      </c>
      <c r="CE74" s="254" t="e">
        <f t="shared" si="41"/>
        <v>#DIV/0!</v>
      </c>
      <c r="CF74" s="254" t="e">
        <f t="shared" si="41"/>
        <v>#DIV/0!</v>
      </c>
      <c r="CG74" s="254" t="e">
        <f t="shared" si="41"/>
        <v>#DIV/0!</v>
      </c>
      <c r="CH74" s="254" t="e">
        <f t="shared" si="41"/>
        <v>#DIV/0!</v>
      </c>
      <c r="CI74" s="254" t="e">
        <f t="shared" si="41"/>
        <v>#DIV/0!</v>
      </c>
      <c r="CJ74" s="254" t="e">
        <f t="shared" si="41"/>
        <v>#DIV/0!</v>
      </c>
      <c r="CK74" s="254">
        <f t="shared" si="41"/>
        <v>0</v>
      </c>
    </row>
    <row r="75" spans="1:89" s="254" customFormat="1" x14ac:dyDescent="0.25">
      <c r="A75" s="253" t="s">
        <v>483</v>
      </c>
      <c r="E75" s="254">
        <f>E74-E73</f>
        <v>11.035827838548306</v>
      </c>
      <c r="F75" s="254">
        <f t="shared" ref="F75:BQ75" si="42">F74-F73</f>
        <v>56.64790576312668</v>
      </c>
      <c r="G75" s="254">
        <f t="shared" si="42"/>
        <v>40.645993311427659</v>
      </c>
      <c r="H75" s="254">
        <f t="shared" si="42"/>
        <v>28.59087163792951</v>
      </c>
      <c r="I75" s="254">
        <f t="shared" si="42"/>
        <v>4.6334163233597359</v>
      </c>
      <c r="J75" s="254">
        <f t="shared" si="42"/>
        <v>38.665920498824605</v>
      </c>
      <c r="K75" s="254">
        <f t="shared" si="42"/>
        <v>113.61196424559864</v>
      </c>
      <c r="L75" s="254">
        <f t="shared" si="42"/>
        <v>33.630188773134705</v>
      </c>
      <c r="M75" s="254">
        <f t="shared" si="42"/>
        <v>0.48537712682422041</v>
      </c>
      <c r="N75" s="254">
        <f t="shared" si="42"/>
        <v>8.4594655362853501</v>
      </c>
      <c r="O75" s="254">
        <f t="shared" si="42"/>
        <v>43.740214667151619</v>
      </c>
      <c r="P75" s="254">
        <f t="shared" si="42"/>
        <v>8.8311616462578577</v>
      </c>
      <c r="Q75" s="254" t="e">
        <f t="shared" si="42"/>
        <v>#DIV/0!</v>
      </c>
      <c r="R75" s="254" t="e">
        <f t="shared" si="42"/>
        <v>#DIV/0!</v>
      </c>
      <c r="S75" s="254" t="e">
        <f t="shared" si="42"/>
        <v>#DIV/0!</v>
      </c>
      <c r="T75" s="254" t="e">
        <f t="shared" si="42"/>
        <v>#DIV/0!</v>
      </c>
      <c r="U75" s="254" t="e">
        <f t="shared" si="42"/>
        <v>#DIV/0!</v>
      </c>
      <c r="V75" s="254" t="e">
        <f t="shared" si="42"/>
        <v>#DIV/0!</v>
      </c>
      <c r="W75" s="254" t="e">
        <f t="shared" si="42"/>
        <v>#DIV/0!</v>
      </c>
      <c r="X75" s="254" t="e">
        <f t="shared" si="42"/>
        <v>#DIV/0!</v>
      </c>
      <c r="Y75" s="254" t="e">
        <f t="shared" si="42"/>
        <v>#DIV/0!</v>
      </c>
      <c r="Z75" s="254" t="e">
        <f t="shared" si="42"/>
        <v>#DIV/0!</v>
      </c>
      <c r="AA75" s="254" t="e">
        <f t="shared" si="42"/>
        <v>#DIV/0!</v>
      </c>
      <c r="AB75" s="254" t="e">
        <f t="shared" si="42"/>
        <v>#DIV/0!</v>
      </c>
      <c r="AC75" s="254" t="e">
        <f t="shared" si="42"/>
        <v>#DIV/0!</v>
      </c>
      <c r="AD75" s="254" t="e">
        <f t="shared" si="42"/>
        <v>#DIV/0!</v>
      </c>
      <c r="AE75" s="254" t="e">
        <f t="shared" si="42"/>
        <v>#DIV/0!</v>
      </c>
      <c r="AF75" s="254" t="e">
        <f t="shared" si="42"/>
        <v>#DIV/0!</v>
      </c>
      <c r="AG75" s="254" t="e">
        <f t="shared" si="42"/>
        <v>#DIV/0!</v>
      </c>
      <c r="AH75" s="254" t="e">
        <f t="shared" si="42"/>
        <v>#DIV/0!</v>
      </c>
      <c r="AI75" s="254" t="e">
        <f t="shared" si="42"/>
        <v>#DIV/0!</v>
      </c>
      <c r="AJ75" s="254" t="e">
        <f t="shared" si="42"/>
        <v>#DIV/0!</v>
      </c>
      <c r="AK75" s="254" t="e">
        <f t="shared" si="42"/>
        <v>#DIV/0!</v>
      </c>
      <c r="AL75" s="254" t="e">
        <f t="shared" si="42"/>
        <v>#DIV/0!</v>
      </c>
      <c r="AM75" s="254" t="e">
        <f t="shared" si="42"/>
        <v>#DIV/0!</v>
      </c>
      <c r="AN75" s="254" t="e">
        <f t="shared" si="42"/>
        <v>#DIV/0!</v>
      </c>
      <c r="AO75" s="254" t="e">
        <f t="shared" si="42"/>
        <v>#DIV/0!</v>
      </c>
      <c r="AP75" s="254" t="e">
        <f t="shared" si="42"/>
        <v>#DIV/0!</v>
      </c>
      <c r="AQ75" s="254" t="e">
        <f t="shared" si="42"/>
        <v>#DIV/0!</v>
      </c>
      <c r="AR75" s="254" t="e">
        <f t="shared" si="42"/>
        <v>#DIV/0!</v>
      </c>
      <c r="AS75" s="254" t="e">
        <f t="shared" si="42"/>
        <v>#DIV/0!</v>
      </c>
      <c r="AT75" s="254" t="e">
        <f t="shared" si="42"/>
        <v>#DIV/0!</v>
      </c>
      <c r="AU75" s="254" t="e">
        <f t="shared" si="42"/>
        <v>#DIV/0!</v>
      </c>
      <c r="AV75" s="254" t="e">
        <f t="shared" si="42"/>
        <v>#DIV/0!</v>
      </c>
      <c r="AW75" s="254" t="e">
        <f t="shared" si="42"/>
        <v>#DIV/0!</v>
      </c>
      <c r="AX75" s="254" t="e">
        <f t="shared" si="42"/>
        <v>#DIV/0!</v>
      </c>
      <c r="AY75" s="254" t="e">
        <f t="shared" si="42"/>
        <v>#DIV/0!</v>
      </c>
      <c r="AZ75" s="254" t="e">
        <f t="shared" si="42"/>
        <v>#DIV/0!</v>
      </c>
      <c r="BA75" s="254" t="e">
        <f t="shared" si="42"/>
        <v>#DIV/0!</v>
      </c>
      <c r="BB75" s="254" t="e">
        <f t="shared" si="42"/>
        <v>#DIV/0!</v>
      </c>
      <c r="BC75" s="254" t="e">
        <f t="shared" si="42"/>
        <v>#DIV/0!</v>
      </c>
      <c r="BD75" s="254" t="e">
        <f t="shared" si="42"/>
        <v>#DIV/0!</v>
      </c>
      <c r="BE75" s="254" t="e">
        <f t="shared" si="42"/>
        <v>#DIV/0!</v>
      </c>
      <c r="BF75" s="254" t="e">
        <f t="shared" si="42"/>
        <v>#DIV/0!</v>
      </c>
      <c r="BG75" s="254" t="e">
        <f t="shared" si="42"/>
        <v>#DIV/0!</v>
      </c>
      <c r="BH75" s="254" t="e">
        <f t="shared" si="42"/>
        <v>#DIV/0!</v>
      </c>
      <c r="BI75" s="254" t="e">
        <f t="shared" si="42"/>
        <v>#DIV/0!</v>
      </c>
      <c r="BJ75" s="254" t="e">
        <f t="shared" si="42"/>
        <v>#DIV/0!</v>
      </c>
      <c r="BK75" s="254" t="e">
        <f t="shared" si="42"/>
        <v>#DIV/0!</v>
      </c>
      <c r="BL75" s="254" t="e">
        <f t="shared" si="42"/>
        <v>#DIV/0!</v>
      </c>
      <c r="BM75" s="254" t="e">
        <f t="shared" si="42"/>
        <v>#DIV/0!</v>
      </c>
      <c r="BN75" s="254" t="e">
        <f t="shared" si="42"/>
        <v>#DIV/0!</v>
      </c>
      <c r="BO75" s="254" t="e">
        <f t="shared" si="42"/>
        <v>#DIV/0!</v>
      </c>
      <c r="BP75" s="254" t="e">
        <f t="shared" si="42"/>
        <v>#DIV/0!</v>
      </c>
      <c r="BQ75" s="254" t="e">
        <f t="shared" si="42"/>
        <v>#DIV/0!</v>
      </c>
      <c r="BR75" s="254" t="e">
        <f t="shared" ref="BR75:CJ75" si="43">BR74-BR73</f>
        <v>#DIV/0!</v>
      </c>
      <c r="BS75" s="254" t="e">
        <f t="shared" si="43"/>
        <v>#DIV/0!</v>
      </c>
      <c r="BT75" s="254" t="e">
        <f t="shared" si="43"/>
        <v>#DIV/0!</v>
      </c>
      <c r="BU75" s="254" t="e">
        <f t="shared" si="43"/>
        <v>#DIV/0!</v>
      </c>
      <c r="BV75" s="254" t="e">
        <f t="shared" si="43"/>
        <v>#DIV/0!</v>
      </c>
      <c r="BW75" s="254" t="e">
        <f t="shared" si="43"/>
        <v>#DIV/0!</v>
      </c>
      <c r="BX75" s="254" t="e">
        <f t="shared" si="43"/>
        <v>#DIV/0!</v>
      </c>
      <c r="BY75" s="254" t="e">
        <f t="shared" si="43"/>
        <v>#DIV/0!</v>
      </c>
      <c r="BZ75" s="254" t="e">
        <f t="shared" si="43"/>
        <v>#DIV/0!</v>
      </c>
      <c r="CA75" s="254" t="e">
        <f t="shared" si="43"/>
        <v>#DIV/0!</v>
      </c>
      <c r="CB75" s="254" t="e">
        <f t="shared" si="43"/>
        <v>#DIV/0!</v>
      </c>
      <c r="CC75" s="254" t="e">
        <f t="shared" si="43"/>
        <v>#DIV/0!</v>
      </c>
      <c r="CD75" s="254" t="e">
        <f t="shared" si="43"/>
        <v>#DIV/0!</v>
      </c>
      <c r="CE75" s="254" t="e">
        <f t="shared" si="43"/>
        <v>#DIV/0!</v>
      </c>
      <c r="CF75" s="254" t="e">
        <f t="shared" si="43"/>
        <v>#DIV/0!</v>
      </c>
      <c r="CG75" s="254" t="e">
        <f t="shared" si="43"/>
        <v>#DIV/0!</v>
      </c>
      <c r="CH75" s="254" t="e">
        <f t="shared" si="43"/>
        <v>#DIV/0!</v>
      </c>
      <c r="CI75" s="254" t="e">
        <f t="shared" si="43"/>
        <v>#DIV/0!</v>
      </c>
      <c r="CJ75" s="254" t="e">
        <f t="shared" si="43"/>
        <v>#DIV/0!</v>
      </c>
    </row>
    <row r="76" spans="1:89" s="119" customFormat="1" x14ac:dyDescent="0.25">
      <c r="A76" s="147" t="s">
        <v>484</v>
      </c>
      <c r="E76" s="119">
        <f>E71-E64-E68</f>
        <v>-3506677.1100000031</v>
      </c>
      <c r="F76" s="119">
        <f t="shared" ref="F76:BQ76" si="44">F71-F64-F68</f>
        <v>-37383252.00999999</v>
      </c>
      <c r="G76" s="119">
        <f t="shared" si="44"/>
        <v>-6732177.8399999924</v>
      </c>
      <c r="H76" s="119">
        <f t="shared" si="44"/>
        <v>-647676.95000001229</v>
      </c>
      <c r="I76" s="119">
        <f t="shared" si="44"/>
        <v>2809220.8500000034</v>
      </c>
      <c r="J76" s="119">
        <f t="shared" si="44"/>
        <v>-22866544.209999993</v>
      </c>
      <c r="K76" s="119">
        <f t="shared" si="44"/>
        <v>-14773083.149999991</v>
      </c>
      <c r="L76" s="119">
        <f t="shared" si="44"/>
        <v>4766897.9800000014</v>
      </c>
      <c r="M76" s="119">
        <f t="shared" si="44"/>
        <v>5924586.7299999986</v>
      </c>
      <c r="N76" s="119">
        <f t="shared" si="44"/>
        <v>-4610986.7300000023</v>
      </c>
      <c r="O76" s="119">
        <f t="shared" si="44"/>
        <v>-62530723.169999987</v>
      </c>
      <c r="P76" s="119">
        <f t="shared" si="44"/>
        <v>-11595194.589999996</v>
      </c>
      <c r="Q76" s="119">
        <f t="shared" si="44"/>
        <v>0</v>
      </c>
      <c r="R76" s="119">
        <f t="shared" si="44"/>
        <v>0</v>
      </c>
      <c r="S76" s="119">
        <f t="shared" si="44"/>
        <v>0</v>
      </c>
      <c r="T76" s="119">
        <f t="shared" si="44"/>
        <v>0</v>
      </c>
      <c r="U76" s="119">
        <f t="shared" si="44"/>
        <v>0</v>
      </c>
      <c r="V76" s="119">
        <f t="shared" si="44"/>
        <v>0</v>
      </c>
      <c r="W76" s="119">
        <f t="shared" si="44"/>
        <v>0</v>
      </c>
      <c r="X76" s="119">
        <f t="shared" si="44"/>
        <v>0</v>
      </c>
      <c r="Y76" s="119">
        <f t="shared" si="44"/>
        <v>0</v>
      </c>
      <c r="Z76" s="119">
        <f t="shared" si="44"/>
        <v>0</v>
      </c>
      <c r="AA76" s="119">
        <f t="shared" si="44"/>
        <v>0</v>
      </c>
      <c r="AB76" s="119">
        <f t="shared" si="44"/>
        <v>0</v>
      </c>
      <c r="AC76" s="119">
        <f t="shared" si="44"/>
        <v>0</v>
      </c>
      <c r="AD76" s="119">
        <f t="shared" si="44"/>
        <v>0</v>
      </c>
      <c r="AE76" s="119">
        <f t="shared" si="44"/>
        <v>0</v>
      </c>
      <c r="AF76" s="119">
        <f t="shared" si="44"/>
        <v>0</v>
      </c>
      <c r="AG76" s="119">
        <f t="shared" si="44"/>
        <v>0</v>
      </c>
      <c r="AH76" s="119">
        <f t="shared" si="44"/>
        <v>0</v>
      </c>
      <c r="AI76" s="119">
        <f t="shared" si="44"/>
        <v>0</v>
      </c>
      <c r="AJ76" s="119">
        <f t="shared" si="44"/>
        <v>0</v>
      </c>
      <c r="AK76" s="119">
        <f t="shared" si="44"/>
        <v>0</v>
      </c>
      <c r="AL76" s="119">
        <f t="shared" si="44"/>
        <v>0</v>
      </c>
      <c r="AM76" s="119">
        <f t="shared" si="44"/>
        <v>0</v>
      </c>
      <c r="AN76" s="119">
        <f t="shared" si="44"/>
        <v>0</v>
      </c>
      <c r="AO76" s="119">
        <f t="shared" si="44"/>
        <v>0</v>
      </c>
      <c r="AP76" s="119">
        <f t="shared" si="44"/>
        <v>0</v>
      </c>
      <c r="AQ76" s="119">
        <f t="shared" si="44"/>
        <v>0</v>
      </c>
      <c r="AR76" s="119">
        <f t="shared" si="44"/>
        <v>0</v>
      </c>
      <c r="AS76" s="119">
        <f t="shared" si="44"/>
        <v>0</v>
      </c>
      <c r="AT76" s="119">
        <f t="shared" si="44"/>
        <v>0</v>
      </c>
      <c r="AU76" s="119">
        <f t="shared" si="44"/>
        <v>0</v>
      </c>
      <c r="AV76" s="119">
        <f t="shared" si="44"/>
        <v>0</v>
      </c>
      <c r="AW76" s="119">
        <f t="shared" si="44"/>
        <v>0</v>
      </c>
      <c r="AX76" s="119">
        <f t="shared" si="44"/>
        <v>0</v>
      </c>
      <c r="AY76" s="119">
        <f t="shared" si="44"/>
        <v>0</v>
      </c>
      <c r="AZ76" s="119">
        <f t="shared" si="44"/>
        <v>0</v>
      </c>
      <c r="BA76" s="119">
        <f t="shared" si="44"/>
        <v>0</v>
      </c>
      <c r="BB76" s="119">
        <f t="shared" si="44"/>
        <v>0</v>
      </c>
      <c r="BC76" s="119">
        <f t="shared" si="44"/>
        <v>0</v>
      </c>
      <c r="BD76" s="119">
        <f t="shared" si="44"/>
        <v>0</v>
      </c>
      <c r="BE76" s="119">
        <f t="shared" si="44"/>
        <v>0</v>
      </c>
      <c r="BF76" s="119">
        <f t="shared" si="44"/>
        <v>0</v>
      </c>
      <c r="BG76" s="119">
        <f t="shared" si="44"/>
        <v>0</v>
      </c>
      <c r="BH76" s="119">
        <f t="shared" si="44"/>
        <v>0</v>
      </c>
      <c r="BI76" s="119">
        <f t="shared" si="44"/>
        <v>0</v>
      </c>
      <c r="BJ76" s="119">
        <f t="shared" si="44"/>
        <v>0</v>
      </c>
      <c r="BK76" s="119">
        <f t="shared" si="44"/>
        <v>0</v>
      </c>
      <c r="BL76" s="119">
        <f t="shared" si="44"/>
        <v>0</v>
      </c>
      <c r="BM76" s="119">
        <f t="shared" si="44"/>
        <v>0</v>
      </c>
      <c r="BN76" s="119">
        <f t="shared" si="44"/>
        <v>0</v>
      </c>
      <c r="BO76" s="119">
        <f t="shared" si="44"/>
        <v>0</v>
      </c>
      <c r="BP76" s="119">
        <f t="shared" si="44"/>
        <v>0</v>
      </c>
      <c r="BQ76" s="119">
        <f t="shared" si="44"/>
        <v>0</v>
      </c>
      <c r="BR76" s="119">
        <f t="shared" ref="BR76:CJ76" si="45">BR71-BR64-BR68</f>
        <v>0</v>
      </c>
      <c r="BS76" s="119">
        <f t="shared" si="45"/>
        <v>0</v>
      </c>
      <c r="BT76" s="119">
        <f t="shared" si="45"/>
        <v>0</v>
      </c>
      <c r="BU76" s="119">
        <f t="shared" si="45"/>
        <v>0</v>
      </c>
      <c r="BV76" s="119">
        <f t="shared" si="45"/>
        <v>0</v>
      </c>
      <c r="BW76" s="119">
        <f t="shared" si="45"/>
        <v>0</v>
      </c>
      <c r="BX76" s="119">
        <f t="shared" si="45"/>
        <v>0</v>
      </c>
      <c r="BY76" s="119">
        <f t="shared" si="45"/>
        <v>0</v>
      </c>
      <c r="BZ76" s="119">
        <f t="shared" si="45"/>
        <v>0</v>
      </c>
      <c r="CA76" s="119">
        <f t="shared" si="45"/>
        <v>0</v>
      </c>
      <c r="CB76" s="119">
        <f t="shared" si="45"/>
        <v>0</v>
      </c>
      <c r="CC76" s="119">
        <f t="shared" si="45"/>
        <v>0</v>
      </c>
      <c r="CD76" s="119">
        <f t="shared" si="45"/>
        <v>0</v>
      </c>
      <c r="CE76" s="119">
        <f t="shared" si="45"/>
        <v>0</v>
      </c>
      <c r="CF76" s="119">
        <f t="shared" si="45"/>
        <v>0</v>
      </c>
      <c r="CG76" s="119">
        <f t="shared" si="45"/>
        <v>0</v>
      </c>
      <c r="CH76" s="119">
        <f t="shared" si="45"/>
        <v>0</v>
      </c>
      <c r="CI76" s="119">
        <f t="shared" si="45"/>
        <v>0</v>
      </c>
      <c r="CJ76" s="119">
        <f t="shared" si="45"/>
        <v>0</v>
      </c>
    </row>
    <row r="77" spans="1:89" s="16" customFormat="1" ht="262.2" customHeight="1" x14ac:dyDescent="0.25">
      <c r="A77" s="278" t="s">
        <v>690</v>
      </c>
      <c r="B77" s="277"/>
      <c r="C77" s="277"/>
      <c r="D77" s="277"/>
      <c r="E77" s="277"/>
      <c r="F77" s="277"/>
      <c r="G77" s="277"/>
      <c r="H77" s="277"/>
      <c r="I77" s="277"/>
      <c r="J77" s="277"/>
      <c r="K77" s="277"/>
      <c r="L77" s="277"/>
      <c r="M77" s="277"/>
      <c r="N77" s="277"/>
      <c r="O77" s="277"/>
      <c r="P77" s="277"/>
      <c r="Q77" s="277"/>
      <c r="R77" s="277"/>
      <c r="S77" s="277"/>
      <c r="T77" s="277"/>
      <c r="U77" s="277"/>
      <c r="V77" s="277"/>
      <c r="W77" s="277"/>
      <c r="X77" s="277"/>
      <c r="Y77" s="277"/>
      <c r="Z77" s="277"/>
      <c r="AA77" s="277"/>
      <c r="AB77" s="277"/>
      <c r="AC77" s="277"/>
      <c r="AD77" s="277"/>
      <c r="AE77" s="277"/>
      <c r="AF77" s="277"/>
      <c r="AG77" s="277"/>
    </row>
    <row r="79" spans="1:89" ht="15" thickBot="1" x14ac:dyDescent="0.3">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row>
    <row r="80" spans="1:89" s="248" customFormat="1" x14ac:dyDescent="0.25">
      <c r="A80" s="247" t="s">
        <v>578</v>
      </c>
      <c r="B80" s="1">
        <v>43373</v>
      </c>
      <c r="C80" s="1">
        <v>43281</v>
      </c>
      <c r="D80" s="1">
        <v>43190</v>
      </c>
      <c r="E80" s="1">
        <v>43100</v>
      </c>
      <c r="F80" s="1">
        <v>43008</v>
      </c>
      <c r="G80" s="1">
        <v>42916</v>
      </c>
      <c r="H80" s="1">
        <v>42825</v>
      </c>
      <c r="I80" s="1">
        <v>42735</v>
      </c>
      <c r="J80" s="1">
        <v>42643</v>
      </c>
      <c r="K80" s="1">
        <v>42551</v>
      </c>
      <c r="L80" s="1">
        <v>42460</v>
      </c>
      <c r="M80" s="1">
        <v>42369</v>
      </c>
      <c r="N80" s="1">
        <v>42277</v>
      </c>
      <c r="O80" s="1">
        <v>42004</v>
      </c>
      <c r="P80" s="1">
        <v>41639</v>
      </c>
      <c r="Q80" s="1">
        <v>41274</v>
      </c>
      <c r="R80" s="1">
        <v>40908</v>
      </c>
      <c r="S80" s="1">
        <v>25569</v>
      </c>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row>
    <row r="81" spans="1:89" s="75" customFormat="1" x14ac:dyDescent="0.25">
      <c r="A81" s="69" t="s">
        <v>579</v>
      </c>
      <c r="E81" s="75">
        <f>股权价值增加表!E4</f>
        <v>752408925.78999996</v>
      </c>
      <c r="F81" s="75">
        <f>股权价值增加表!F4</f>
        <v>525772942.17000002</v>
      </c>
      <c r="G81" s="75">
        <f>股权价值增加表!G4</f>
        <v>339770745.41000003</v>
      </c>
      <c r="H81" s="75">
        <f>股权价值增加表!H4</f>
        <v>153700781.78999999</v>
      </c>
      <c r="I81" s="75">
        <f>股权价值增加表!I4</f>
        <v>665011421.55999994</v>
      </c>
      <c r="J81" s="75">
        <f>股权价值增加表!J4</f>
        <v>454007921.24000001</v>
      </c>
      <c r="K81" s="75">
        <f>股权价值增加表!K4</f>
        <v>283257330.20999998</v>
      </c>
      <c r="L81" s="75">
        <f>股权价值增加表!L4</f>
        <v>124302689.18000001</v>
      </c>
      <c r="M81" s="75">
        <f>股权价值增加表!M4</f>
        <v>597037871.64999998</v>
      </c>
      <c r="N81" s="75">
        <f>股权价值增加表!N4</f>
        <v>409475329.64999998</v>
      </c>
      <c r="O81" s="75">
        <f>股权价值增加表!O4</f>
        <v>528809680.74000001</v>
      </c>
      <c r="P81" s="75">
        <f>股权价值增加表!P4</f>
        <v>484907942.22000003</v>
      </c>
      <c r="Q81" s="75">
        <f>股权价值增加表!Q4</f>
        <v>395593790.81</v>
      </c>
      <c r="R81" s="75">
        <f>股权价值增加表!R4</f>
        <v>316891515.43000001</v>
      </c>
      <c r="S81" s="75">
        <f>股权价值增加表!S4</f>
        <v>0</v>
      </c>
      <c r="T81" s="75">
        <f>股权价值增加表!T4</f>
        <v>0</v>
      </c>
      <c r="U81" s="75">
        <f>股权价值增加表!U4</f>
        <v>0</v>
      </c>
      <c r="V81" s="75">
        <f>股权价值增加表!V4</f>
        <v>0</v>
      </c>
      <c r="W81" s="75">
        <f>股权价值增加表!W4</f>
        <v>0</v>
      </c>
      <c r="X81" s="75">
        <f>股权价值增加表!X4</f>
        <v>0</v>
      </c>
      <c r="Y81" s="75">
        <f>股权价值增加表!Y4</f>
        <v>0</v>
      </c>
      <c r="Z81" s="75">
        <f>股权价值增加表!Z4</f>
        <v>0</v>
      </c>
      <c r="AA81" s="75">
        <f>股权价值增加表!AA4</f>
        <v>0</v>
      </c>
      <c r="AB81" s="75">
        <f>股权价值增加表!AB4</f>
        <v>0</v>
      </c>
      <c r="AC81" s="75">
        <f>股权价值增加表!AC4</f>
        <v>0</v>
      </c>
      <c r="AD81" s="75">
        <f>股权价值增加表!AD4</f>
        <v>0</v>
      </c>
      <c r="AE81" s="75">
        <f>股权价值增加表!AE4</f>
        <v>0</v>
      </c>
      <c r="AF81" s="75">
        <f>股权价值增加表!AF4</f>
        <v>0</v>
      </c>
      <c r="AG81" s="75">
        <f>股权价值增加表!AG4</f>
        <v>0</v>
      </c>
      <c r="AH81" s="75">
        <f>股权价值增加表!AH4</f>
        <v>0</v>
      </c>
      <c r="AI81" s="75">
        <f>股权价值增加表!AI4</f>
        <v>0</v>
      </c>
      <c r="AJ81" s="75">
        <f>股权价值增加表!AJ4</f>
        <v>0</v>
      </c>
      <c r="AK81" s="75">
        <f>股权价值增加表!AK4</f>
        <v>0</v>
      </c>
      <c r="AL81" s="75">
        <f>股权价值增加表!AL4</f>
        <v>0</v>
      </c>
      <c r="AM81" s="75">
        <f>股权价值增加表!AM4</f>
        <v>0</v>
      </c>
      <c r="AN81" s="75">
        <f>股权价值增加表!AN4</f>
        <v>0</v>
      </c>
      <c r="AO81" s="75">
        <f>股权价值增加表!AO4</f>
        <v>0</v>
      </c>
      <c r="AP81" s="75">
        <f>股权价值增加表!AP4</f>
        <v>0</v>
      </c>
      <c r="AQ81" s="75">
        <f>股权价值增加表!AQ4</f>
        <v>0</v>
      </c>
      <c r="AR81" s="75">
        <f>股权价值增加表!AR4</f>
        <v>0</v>
      </c>
      <c r="AS81" s="75">
        <f>股权价值增加表!AS4</f>
        <v>0</v>
      </c>
      <c r="AT81" s="75">
        <f>股权价值增加表!AT4</f>
        <v>0</v>
      </c>
      <c r="AU81" s="75">
        <f>股权价值增加表!AU4</f>
        <v>0</v>
      </c>
      <c r="AV81" s="75">
        <f>股权价值增加表!AV4</f>
        <v>0</v>
      </c>
      <c r="AW81" s="75">
        <f>股权价值增加表!AW4</f>
        <v>0</v>
      </c>
      <c r="AX81" s="75">
        <f>股权价值增加表!AX4</f>
        <v>0</v>
      </c>
      <c r="AY81" s="75">
        <f>股权价值增加表!AY4</f>
        <v>0</v>
      </c>
      <c r="AZ81" s="75">
        <f>股权价值增加表!AZ4</f>
        <v>0</v>
      </c>
      <c r="BA81" s="75">
        <f>股权价值增加表!BA4</f>
        <v>0</v>
      </c>
      <c r="BB81" s="75">
        <f>股权价值增加表!BB4</f>
        <v>0</v>
      </c>
      <c r="BC81" s="75">
        <f>股权价值增加表!BC4</f>
        <v>0</v>
      </c>
      <c r="BD81" s="75">
        <f>股权价值增加表!BD4</f>
        <v>0</v>
      </c>
      <c r="BE81" s="75">
        <f>股权价值增加表!BE4</f>
        <v>0</v>
      </c>
      <c r="BF81" s="75">
        <f>股权价值增加表!BF4</f>
        <v>0</v>
      </c>
      <c r="BG81" s="75">
        <f>股权价值增加表!BG4</f>
        <v>0</v>
      </c>
      <c r="BH81" s="75">
        <f>股权价值增加表!BH4</f>
        <v>0</v>
      </c>
      <c r="BI81" s="75">
        <f>股权价值增加表!BI4</f>
        <v>0</v>
      </c>
      <c r="BJ81" s="75">
        <f>股权价值增加表!BJ4</f>
        <v>0</v>
      </c>
      <c r="BK81" s="75">
        <f>股权价值增加表!BK4</f>
        <v>0</v>
      </c>
      <c r="BL81" s="75">
        <f>股权价值增加表!BL4</f>
        <v>0</v>
      </c>
      <c r="BM81" s="75">
        <f>股权价值增加表!BM4</f>
        <v>0</v>
      </c>
      <c r="BN81" s="75">
        <f>股权价值增加表!BN4</f>
        <v>0</v>
      </c>
      <c r="BO81" s="75">
        <f>股权价值增加表!BO4</f>
        <v>0</v>
      </c>
      <c r="BP81" s="75">
        <f>股权价值增加表!BP4</f>
        <v>0</v>
      </c>
      <c r="BQ81" s="75">
        <f>股权价值增加表!BQ4</f>
        <v>0</v>
      </c>
      <c r="BR81" s="75">
        <f>股权价值增加表!BR4</f>
        <v>0</v>
      </c>
      <c r="BS81" s="75">
        <f>股权价值增加表!BS4</f>
        <v>0</v>
      </c>
      <c r="BT81" s="75">
        <f>股权价值增加表!BT4</f>
        <v>0</v>
      </c>
      <c r="BU81" s="75">
        <f>股权价值增加表!BU4</f>
        <v>0</v>
      </c>
      <c r="BV81" s="75">
        <f>股权价值增加表!BV4</f>
        <v>0</v>
      </c>
      <c r="BW81" s="75">
        <f>股权价值增加表!BW4</f>
        <v>0</v>
      </c>
      <c r="BX81" s="75">
        <f>股权价值增加表!BX4</f>
        <v>0</v>
      </c>
      <c r="BY81" s="75">
        <f>股权价值增加表!BY4</f>
        <v>0</v>
      </c>
      <c r="BZ81" s="75">
        <f>股权价值增加表!BZ4</f>
        <v>0</v>
      </c>
      <c r="CA81" s="75">
        <f>股权价值增加表!CA4</f>
        <v>0</v>
      </c>
      <c r="CB81" s="75">
        <f>股权价值增加表!CB4</f>
        <v>0</v>
      </c>
      <c r="CC81" s="75">
        <f>股权价值增加表!CC4</f>
        <v>0</v>
      </c>
      <c r="CD81" s="75">
        <f>股权价值增加表!CD4</f>
        <v>0</v>
      </c>
      <c r="CE81" s="75">
        <f>股权价值增加表!CE4</f>
        <v>0</v>
      </c>
      <c r="CF81" s="75">
        <f>股权价值增加表!CF4</f>
        <v>0</v>
      </c>
      <c r="CG81" s="75">
        <f>股权价值增加表!CG4</f>
        <v>0</v>
      </c>
      <c r="CH81" s="75">
        <f>股权价值增加表!CH4</f>
        <v>0</v>
      </c>
      <c r="CI81" s="75">
        <f>股权价值增加表!CI4</f>
        <v>0</v>
      </c>
      <c r="CJ81" s="75">
        <f>股权价值增加表!CJ4</f>
        <v>0</v>
      </c>
      <c r="CK81" s="75">
        <f>股权价值增加表!CK4</f>
        <v>0</v>
      </c>
    </row>
    <row r="82" spans="1:89" s="75" customFormat="1" x14ac:dyDescent="0.25">
      <c r="A82" s="69" t="s">
        <v>580</v>
      </c>
      <c r="E82" s="75">
        <f>投资和筹资活动现金流表!E34</f>
        <v>513971448.90999997</v>
      </c>
      <c r="F82" s="75">
        <f>投资和筹资活动现金流表!F34</f>
        <v>436676333.93000001</v>
      </c>
      <c r="G82" s="75">
        <f>投资和筹资活动现金流表!G34</f>
        <v>431001262.72000003</v>
      </c>
      <c r="H82" s="75">
        <f>投资和筹资活动现金流表!H34</f>
        <v>426602418.74000001</v>
      </c>
      <c r="I82" s="75">
        <f>投资和筹资活动现金流表!I34</f>
        <v>416358416.99000001</v>
      </c>
      <c r="J82" s="75">
        <f>投资和筹资活动现金流表!J34</f>
        <v>409281856.69</v>
      </c>
      <c r="K82" s="75">
        <f>投资和筹资活动现金流表!K34</f>
        <v>409439801.31</v>
      </c>
      <c r="L82" s="75">
        <f>投资和筹资活动现金流表!L34</f>
        <v>402209558.91000003</v>
      </c>
      <c r="M82" s="75">
        <f>投资和筹资活动现金流表!M34</f>
        <v>382712115.77999997</v>
      </c>
      <c r="N82" s="75">
        <f>投资和筹资活动现金流表!N34</f>
        <v>374389056.73000002</v>
      </c>
      <c r="O82" s="75">
        <f>投资和筹资活动现金流表!O34</f>
        <v>121825467.78999999</v>
      </c>
      <c r="P82" s="75">
        <f>投资和筹资活动现金流表!P34</f>
        <v>95918076.370000005</v>
      </c>
      <c r="Q82" s="75">
        <f>投资和筹资活动现金流表!Q34</f>
        <v>0</v>
      </c>
      <c r="R82" s="75">
        <f>投资和筹资活动现金流表!R34</f>
        <v>0</v>
      </c>
      <c r="S82" s="75">
        <f>投资和筹资活动现金流表!S34</f>
        <v>0</v>
      </c>
      <c r="T82" s="75">
        <f>投资和筹资活动现金流表!T34</f>
        <v>7740932584.29</v>
      </c>
      <c r="U82" s="75">
        <f>投资和筹资活动现金流表!U34</f>
        <v>7185660413.8000002</v>
      </c>
      <c r="V82" s="75">
        <f>投资和筹资活动现金流表!V34</f>
        <v>7206369226.2600002</v>
      </c>
      <c r="W82" s="75">
        <f>投资和筹资活动现金流表!W34</f>
        <v>7305520980.6000004</v>
      </c>
      <c r="X82" s="75">
        <f>投资和筹资活动现金流表!X34</f>
        <v>7309510343.54</v>
      </c>
      <c r="Y82" s="75">
        <f>投资和筹资活动现金流表!AZ34</f>
        <v>5394582476.9899998</v>
      </c>
      <c r="Z82" s="75">
        <f>投资和筹资活动现金流表!BA34</f>
        <v>5501322858.9799995</v>
      </c>
      <c r="AA82" s="75">
        <f>投资和筹资活动现金流表!BB34</f>
        <v>5577867470.3299999</v>
      </c>
      <c r="AB82" s="75">
        <f>投资和筹资活动现金流表!BC34</f>
        <v>5696283898.6499996</v>
      </c>
      <c r="AC82" s="75">
        <f>投资和筹资活动现金流表!BD34</f>
        <v>5779603253.5100002</v>
      </c>
      <c r="AD82" s="75">
        <f>投资和筹资活动现金流表!BE34</f>
        <v>5840992847.29</v>
      </c>
      <c r="AE82" s="75">
        <f>投资和筹资活动现金流表!BF34</f>
        <v>5434316703.3800001</v>
      </c>
      <c r="AF82" s="75">
        <f>投资和筹资活动现金流表!BG34</f>
        <v>5519652065.3800001</v>
      </c>
      <c r="AG82" s="75">
        <f>投资和筹资活动现金流表!BH34</f>
        <v>5587811046.9799995</v>
      </c>
      <c r="AH82" s="75">
        <f>投资和筹资活动现金流表!BI34</f>
        <v>5587556850.7200003</v>
      </c>
      <c r="AI82" s="75">
        <f>投资和筹资活动现金流表!BJ34</f>
        <v>5175235607.8500004</v>
      </c>
      <c r="AJ82" s="75">
        <f>投资和筹资活动现金流表!BK34</f>
        <v>4543535291.6599998</v>
      </c>
      <c r="AK82" s="75">
        <f>投资和筹资活动现金流表!BL34</f>
        <v>4478639735.0500002</v>
      </c>
      <c r="AL82" s="75">
        <f>投资和筹资活动现金流表!BM34</f>
        <v>4520776529.7700005</v>
      </c>
      <c r="AM82" s="75">
        <f>投资和筹资活动现金流表!BN34</f>
        <v>3620875395.5999999</v>
      </c>
      <c r="AN82" s="75">
        <f>投资和筹资活动现金流表!BO34</f>
        <v>3684993020.0500002</v>
      </c>
      <c r="AO82" s="75">
        <f>投资和筹资活动现金流表!BP34</f>
        <v>3523637936.8200002</v>
      </c>
      <c r="AP82" s="75">
        <f>投资和筹资活动现金流表!BQ34</f>
        <v>4841679198.5100002</v>
      </c>
      <c r="AQ82" s="75">
        <f>投资和筹资活动现金流表!BR34</f>
        <v>4945499008.7600002</v>
      </c>
      <c r="AR82" s="75">
        <f>投资和筹资活动现金流表!BS34</f>
        <v>4983590367.6400003</v>
      </c>
      <c r="AS82" s="75">
        <f>投资和筹资活动现金流表!AS34</f>
        <v>5087759145.3900003</v>
      </c>
      <c r="AT82" s="75">
        <f>投资和筹资活动现金流表!AT34</f>
        <v>5119825755.0799999</v>
      </c>
      <c r="AU82" s="75">
        <f>投资和筹资活动现金流表!AU34</f>
        <v>5166324238.8199997</v>
      </c>
      <c r="AV82" s="75">
        <f>投资和筹资活动现金流表!AV34</f>
        <v>5229742144.5900002</v>
      </c>
      <c r="AW82" s="75">
        <f>投资和筹资活动现金流表!AW34</f>
        <v>5303368604.3599997</v>
      </c>
      <c r="AX82" s="75">
        <f>投资和筹资活动现金流表!AX34</f>
        <v>5412891640.3100004</v>
      </c>
      <c r="AY82" s="75">
        <f>投资和筹资活动现金流表!AY34</f>
        <v>5477269087.8599997</v>
      </c>
      <c r="AZ82" s="75" t="e">
        <f>投资和筹资活动现金流表!#REF!</f>
        <v>#REF!</v>
      </c>
      <c r="BA82" s="75" t="e">
        <f>投资和筹资活动现金流表!#REF!</f>
        <v>#REF!</v>
      </c>
      <c r="BB82" s="75" t="e">
        <f>投资和筹资活动现金流表!#REF!</f>
        <v>#REF!</v>
      </c>
      <c r="BC82" s="75" t="e">
        <f>投资和筹资活动现金流表!#REF!</f>
        <v>#REF!</v>
      </c>
      <c r="BD82" s="75" t="e">
        <f>投资和筹资活动现金流表!#REF!</f>
        <v>#REF!</v>
      </c>
      <c r="BE82" s="75" t="e">
        <f>投资和筹资活动现金流表!#REF!</f>
        <v>#REF!</v>
      </c>
      <c r="BF82" s="75" t="e">
        <f>投资和筹资活动现金流表!#REF!</f>
        <v>#REF!</v>
      </c>
      <c r="BG82" s="75" t="e">
        <f>投资和筹资活动现金流表!#REF!</f>
        <v>#REF!</v>
      </c>
      <c r="BH82" s="75" t="e">
        <f>投资和筹资活动现金流表!#REF!</f>
        <v>#REF!</v>
      </c>
      <c r="BI82" s="75" t="e">
        <f>投资和筹资活动现金流表!#REF!</f>
        <v>#REF!</v>
      </c>
      <c r="BJ82" s="75" t="e">
        <f>投资和筹资活动现金流表!#REF!</f>
        <v>#REF!</v>
      </c>
      <c r="BK82" s="75" t="e">
        <f>投资和筹资活动现金流表!#REF!</f>
        <v>#REF!</v>
      </c>
      <c r="BL82" s="75" t="e">
        <f>投资和筹资活动现金流表!#REF!</f>
        <v>#REF!</v>
      </c>
      <c r="BM82" s="75" t="e">
        <f>投资和筹资活动现金流表!#REF!</f>
        <v>#REF!</v>
      </c>
      <c r="BN82" s="75" t="e">
        <f>投资和筹资活动现金流表!#REF!</f>
        <v>#REF!</v>
      </c>
      <c r="BO82" s="75" t="e">
        <f>投资和筹资活动现金流表!#REF!</f>
        <v>#REF!</v>
      </c>
      <c r="BP82" s="75" t="e">
        <f>投资和筹资活动现金流表!#REF!</f>
        <v>#REF!</v>
      </c>
      <c r="BQ82" s="75" t="e">
        <f>投资和筹资活动现金流表!#REF!</f>
        <v>#REF!</v>
      </c>
      <c r="BR82" s="75" t="e">
        <f>投资和筹资活动现金流表!#REF!</f>
        <v>#REF!</v>
      </c>
      <c r="BS82" s="75" t="e">
        <f>投资和筹资活动现金流表!#REF!</f>
        <v>#REF!</v>
      </c>
      <c r="BT82" s="75">
        <f>投资和筹资活动现金流表!BT34</f>
        <v>0</v>
      </c>
      <c r="BU82" s="75">
        <f>投资和筹资活动现金流表!BU34</f>
        <v>0</v>
      </c>
      <c r="BV82" s="75">
        <f>投资和筹资活动现金流表!BV34</f>
        <v>0</v>
      </c>
      <c r="BW82" s="75">
        <f>投资和筹资活动现金流表!BW34</f>
        <v>0</v>
      </c>
      <c r="BX82" s="75">
        <f>投资和筹资活动现金流表!BX34</f>
        <v>0</v>
      </c>
      <c r="BY82" s="75">
        <f>投资和筹资活动现金流表!BY34</f>
        <v>0</v>
      </c>
      <c r="BZ82" s="75">
        <f>投资和筹资活动现金流表!BZ34</f>
        <v>0</v>
      </c>
      <c r="CA82" s="75">
        <f>投资和筹资活动现金流表!CA34</f>
        <v>0</v>
      </c>
      <c r="CB82" s="75">
        <f>投资和筹资活动现金流表!CB34</f>
        <v>0</v>
      </c>
      <c r="CC82" s="75">
        <f>投资和筹资活动现金流表!CC34</f>
        <v>0</v>
      </c>
      <c r="CD82" s="75">
        <f>投资和筹资活动现金流表!CD34</f>
        <v>0</v>
      </c>
      <c r="CE82" s="75">
        <f>投资和筹资活动现金流表!CE34</f>
        <v>0</v>
      </c>
      <c r="CF82" s="75">
        <f>投资和筹资活动现金流表!CF34</f>
        <v>0</v>
      </c>
      <c r="CG82" s="75">
        <f>投资和筹资活动现金流表!CG34</f>
        <v>0</v>
      </c>
      <c r="CH82" s="75">
        <f>投资和筹资活动现金流表!CH34</f>
        <v>0</v>
      </c>
      <c r="CI82" s="75">
        <f>投资和筹资活动现金流表!CI34</f>
        <v>0</v>
      </c>
      <c r="CJ82" s="75">
        <f>投资和筹资活动现金流表!CJ34</f>
        <v>0</v>
      </c>
      <c r="CK82" s="75">
        <f>投资和筹资活动现金流表!CK34</f>
        <v>0</v>
      </c>
    </row>
    <row r="83" spans="1:89" s="153" customFormat="1" x14ac:dyDescent="0.25">
      <c r="A83" s="249" t="s">
        <v>581</v>
      </c>
      <c r="E83" s="153">
        <f>E81/E82</f>
        <v>1.4639119106434102</v>
      </c>
      <c r="F83" s="153">
        <f t="shared" ref="F83:BQ83" si="46">F81/F82</f>
        <v>1.204033517086095</v>
      </c>
      <c r="G83" s="153">
        <f t="shared" si="46"/>
        <v>0.78832888624442865</v>
      </c>
      <c r="H83" s="153">
        <f t="shared" si="46"/>
        <v>0.3602904602462545</v>
      </c>
      <c r="I83" s="153">
        <f t="shared" si="46"/>
        <v>1.5972090257418095</v>
      </c>
      <c r="J83" s="153">
        <f t="shared" si="46"/>
        <v>1.1092793726839365</v>
      </c>
      <c r="K83" s="153">
        <f t="shared" si="46"/>
        <v>0.69181679285628794</v>
      </c>
      <c r="L83" s="153">
        <f t="shared" si="46"/>
        <v>0.30904956490060559</v>
      </c>
      <c r="M83" s="153">
        <f t="shared" si="46"/>
        <v>1.5600182148223498</v>
      </c>
      <c r="N83" s="153">
        <f t="shared" si="46"/>
        <v>1.0937160750008335</v>
      </c>
      <c r="O83" s="153">
        <f t="shared" si="46"/>
        <v>4.3407153720234453</v>
      </c>
      <c r="P83" s="153">
        <f t="shared" si="46"/>
        <v>5.0554385635246453</v>
      </c>
      <c r="Q83" s="153" t="e">
        <f t="shared" si="46"/>
        <v>#DIV/0!</v>
      </c>
      <c r="R83" s="153" t="e">
        <f t="shared" si="46"/>
        <v>#DIV/0!</v>
      </c>
      <c r="S83" s="153" t="e">
        <f t="shared" si="46"/>
        <v>#DIV/0!</v>
      </c>
      <c r="T83" s="153">
        <f t="shared" si="46"/>
        <v>0</v>
      </c>
      <c r="U83" s="153">
        <f t="shared" si="46"/>
        <v>0</v>
      </c>
      <c r="V83" s="153">
        <f t="shared" si="46"/>
        <v>0</v>
      </c>
      <c r="W83" s="153">
        <f t="shared" si="46"/>
        <v>0</v>
      </c>
      <c r="X83" s="153">
        <f t="shared" si="46"/>
        <v>0</v>
      </c>
      <c r="Y83" s="153">
        <f t="shared" si="46"/>
        <v>0</v>
      </c>
      <c r="Z83" s="153">
        <f t="shared" si="46"/>
        <v>0</v>
      </c>
      <c r="AA83" s="153">
        <f t="shared" si="46"/>
        <v>0</v>
      </c>
      <c r="AB83" s="153">
        <f t="shared" si="46"/>
        <v>0</v>
      </c>
      <c r="AC83" s="153">
        <f t="shared" si="46"/>
        <v>0</v>
      </c>
      <c r="AD83" s="153">
        <f t="shared" si="46"/>
        <v>0</v>
      </c>
      <c r="AE83" s="153">
        <f t="shared" si="46"/>
        <v>0</v>
      </c>
      <c r="AF83" s="153">
        <f t="shared" si="46"/>
        <v>0</v>
      </c>
      <c r="AG83" s="153">
        <f t="shared" si="46"/>
        <v>0</v>
      </c>
      <c r="AH83" s="153">
        <f t="shared" si="46"/>
        <v>0</v>
      </c>
      <c r="AI83" s="153">
        <f t="shared" si="46"/>
        <v>0</v>
      </c>
      <c r="AJ83" s="153">
        <f t="shared" si="46"/>
        <v>0</v>
      </c>
      <c r="AK83" s="153">
        <f t="shared" si="46"/>
        <v>0</v>
      </c>
      <c r="AL83" s="153">
        <f t="shared" si="46"/>
        <v>0</v>
      </c>
      <c r="AM83" s="153">
        <f t="shared" si="46"/>
        <v>0</v>
      </c>
      <c r="AN83" s="153">
        <f t="shared" si="46"/>
        <v>0</v>
      </c>
      <c r="AO83" s="153">
        <f t="shared" si="46"/>
        <v>0</v>
      </c>
      <c r="AP83" s="153">
        <f t="shared" si="46"/>
        <v>0</v>
      </c>
      <c r="AQ83" s="153">
        <f t="shared" si="46"/>
        <v>0</v>
      </c>
      <c r="AR83" s="153">
        <f t="shared" si="46"/>
        <v>0</v>
      </c>
      <c r="AS83" s="153">
        <f t="shared" si="46"/>
        <v>0</v>
      </c>
      <c r="AT83" s="153">
        <f t="shared" si="46"/>
        <v>0</v>
      </c>
      <c r="AU83" s="153">
        <f t="shared" si="46"/>
        <v>0</v>
      </c>
      <c r="AV83" s="153">
        <f t="shared" si="46"/>
        <v>0</v>
      </c>
      <c r="AW83" s="153">
        <f t="shared" si="46"/>
        <v>0</v>
      </c>
      <c r="AX83" s="153">
        <f t="shared" si="46"/>
        <v>0</v>
      </c>
      <c r="AY83" s="153">
        <f t="shared" si="46"/>
        <v>0</v>
      </c>
      <c r="AZ83" s="153" t="e">
        <f t="shared" si="46"/>
        <v>#REF!</v>
      </c>
      <c r="BA83" s="153" t="e">
        <f t="shared" si="46"/>
        <v>#REF!</v>
      </c>
      <c r="BB83" s="153" t="e">
        <f t="shared" si="46"/>
        <v>#REF!</v>
      </c>
      <c r="BC83" s="153" t="e">
        <f t="shared" si="46"/>
        <v>#REF!</v>
      </c>
      <c r="BD83" s="153" t="e">
        <f t="shared" si="46"/>
        <v>#REF!</v>
      </c>
      <c r="BE83" s="153" t="e">
        <f t="shared" si="46"/>
        <v>#REF!</v>
      </c>
      <c r="BF83" s="153" t="e">
        <f t="shared" si="46"/>
        <v>#REF!</v>
      </c>
      <c r="BG83" s="153" t="e">
        <f t="shared" si="46"/>
        <v>#REF!</v>
      </c>
      <c r="BH83" s="153" t="e">
        <f t="shared" si="46"/>
        <v>#REF!</v>
      </c>
      <c r="BI83" s="153" t="e">
        <f t="shared" si="46"/>
        <v>#REF!</v>
      </c>
      <c r="BJ83" s="153" t="e">
        <f t="shared" si="46"/>
        <v>#REF!</v>
      </c>
      <c r="BK83" s="153" t="e">
        <f t="shared" si="46"/>
        <v>#REF!</v>
      </c>
      <c r="BL83" s="153" t="e">
        <f t="shared" si="46"/>
        <v>#REF!</v>
      </c>
      <c r="BM83" s="153" t="e">
        <f t="shared" si="46"/>
        <v>#REF!</v>
      </c>
      <c r="BN83" s="153" t="e">
        <f t="shared" si="46"/>
        <v>#REF!</v>
      </c>
      <c r="BO83" s="153" t="e">
        <f t="shared" si="46"/>
        <v>#REF!</v>
      </c>
      <c r="BP83" s="153" t="e">
        <f t="shared" si="46"/>
        <v>#REF!</v>
      </c>
      <c r="BQ83" s="153" t="e">
        <f t="shared" si="46"/>
        <v>#REF!</v>
      </c>
      <c r="BR83" s="153" t="e">
        <f t="shared" ref="BR83:CK83" si="47">BR81/BR82</f>
        <v>#REF!</v>
      </c>
      <c r="BS83" s="153" t="e">
        <f t="shared" si="47"/>
        <v>#REF!</v>
      </c>
      <c r="BT83" s="153" t="e">
        <f t="shared" si="47"/>
        <v>#DIV/0!</v>
      </c>
      <c r="BU83" s="153" t="e">
        <f t="shared" si="47"/>
        <v>#DIV/0!</v>
      </c>
      <c r="BV83" s="153" t="e">
        <f t="shared" si="47"/>
        <v>#DIV/0!</v>
      </c>
      <c r="BW83" s="153" t="e">
        <f t="shared" si="47"/>
        <v>#DIV/0!</v>
      </c>
      <c r="BX83" s="153" t="e">
        <f t="shared" si="47"/>
        <v>#DIV/0!</v>
      </c>
      <c r="BY83" s="153" t="e">
        <f t="shared" si="47"/>
        <v>#DIV/0!</v>
      </c>
      <c r="BZ83" s="153" t="e">
        <f t="shared" si="47"/>
        <v>#DIV/0!</v>
      </c>
      <c r="CA83" s="153" t="e">
        <f t="shared" si="47"/>
        <v>#DIV/0!</v>
      </c>
      <c r="CB83" s="153" t="e">
        <f t="shared" si="47"/>
        <v>#DIV/0!</v>
      </c>
      <c r="CC83" s="153" t="e">
        <f t="shared" si="47"/>
        <v>#DIV/0!</v>
      </c>
      <c r="CD83" s="153" t="e">
        <f t="shared" si="47"/>
        <v>#DIV/0!</v>
      </c>
      <c r="CE83" s="153" t="e">
        <f t="shared" si="47"/>
        <v>#DIV/0!</v>
      </c>
      <c r="CF83" s="153" t="e">
        <f t="shared" si="47"/>
        <v>#DIV/0!</v>
      </c>
      <c r="CG83" s="153" t="e">
        <f t="shared" si="47"/>
        <v>#DIV/0!</v>
      </c>
      <c r="CH83" s="153" t="e">
        <f t="shared" si="47"/>
        <v>#DIV/0!</v>
      </c>
      <c r="CI83" s="153" t="e">
        <f t="shared" si="47"/>
        <v>#DIV/0!</v>
      </c>
      <c r="CJ83" s="153" t="e">
        <f t="shared" si="47"/>
        <v>#DIV/0!</v>
      </c>
      <c r="CK83" s="153" t="e">
        <f t="shared" si="47"/>
        <v>#DIV/0!</v>
      </c>
    </row>
    <row r="84" spans="1:89" s="75" customFormat="1" x14ac:dyDescent="0.25">
      <c r="A84" s="69" t="s">
        <v>582</v>
      </c>
      <c r="E84" s="75">
        <f>资产资本表!E52</f>
        <v>319391107.06</v>
      </c>
      <c r="F84" s="75">
        <f>资产资本表!F52</f>
        <v>267304832.13</v>
      </c>
      <c r="G84" s="75">
        <f>资产资本表!G52</f>
        <v>263148285.97999999</v>
      </c>
      <c r="H84" s="75">
        <f>资产资本表!H52</f>
        <v>258002324.71000001</v>
      </c>
      <c r="I84" s="75">
        <f>资产资本表!I52</f>
        <v>260701094.24000001</v>
      </c>
      <c r="J84" s="75">
        <f>资产资本表!J52</f>
        <v>228037011.72</v>
      </c>
      <c r="K84" s="75">
        <f>资产资本表!K52</f>
        <v>228140943.62</v>
      </c>
      <c r="L84" s="75">
        <f>资产资本表!L52</f>
        <v>232212647.59999999</v>
      </c>
      <c r="M84" s="75">
        <f>资产资本表!M52</f>
        <v>219813120.94</v>
      </c>
      <c r="N84" s="75">
        <f>资产资本表!N52</f>
        <v>215450318.12</v>
      </c>
      <c r="O84" s="75">
        <f>资产资本表!O52</f>
        <v>100643033.04000001</v>
      </c>
      <c r="P84" s="75">
        <f>资产资本表!P52</f>
        <v>84088210.109999999</v>
      </c>
      <c r="Q84" s="75">
        <f>资产资本表!Q52</f>
        <v>0</v>
      </c>
      <c r="R84" s="75">
        <f>资产资本表!R52</f>
        <v>0</v>
      </c>
      <c r="S84" s="75">
        <f>资产资本表!S52</f>
        <v>0</v>
      </c>
      <c r="T84" s="75">
        <f>资产资本表!T52</f>
        <v>0</v>
      </c>
      <c r="U84" s="75">
        <f>资产资本表!U52</f>
        <v>0</v>
      </c>
      <c r="V84" s="75">
        <f>资产资本表!V52</f>
        <v>0</v>
      </c>
      <c r="W84" s="75">
        <f>资产资本表!W52</f>
        <v>0</v>
      </c>
      <c r="X84" s="75">
        <f>资产资本表!X52</f>
        <v>0</v>
      </c>
      <c r="Y84" s="75">
        <f>资产资本表!Y52</f>
        <v>0</v>
      </c>
      <c r="Z84" s="75">
        <f>资产资本表!Z52</f>
        <v>0</v>
      </c>
      <c r="AA84" s="75">
        <f>资产资本表!AA52</f>
        <v>0</v>
      </c>
      <c r="AB84" s="75">
        <f>资产资本表!AB52</f>
        <v>0</v>
      </c>
      <c r="AC84" s="75">
        <f>资产资本表!AC52</f>
        <v>0</v>
      </c>
      <c r="AD84" s="75">
        <f>资产资本表!AD52</f>
        <v>0</v>
      </c>
      <c r="AE84" s="75">
        <f>资产资本表!AE52</f>
        <v>0</v>
      </c>
      <c r="AF84" s="75">
        <f>资产资本表!AF52</f>
        <v>0</v>
      </c>
      <c r="AG84" s="75">
        <f>资产资本表!AG52</f>
        <v>0</v>
      </c>
      <c r="AH84" s="75">
        <f>资产资本表!AH52</f>
        <v>0</v>
      </c>
      <c r="AI84" s="75">
        <f>资产资本表!AI52</f>
        <v>0</v>
      </c>
      <c r="AJ84" s="75">
        <f>资产资本表!AJ52</f>
        <v>0</v>
      </c>
      <c r="AK84" s="75">
        <f>资产资本表!AK52</f>
        <v>0</v>
      </c>
      <c r="AL84" s="75">
        <f>资产资本表!AL52</f>
        <v>0</v>
      </c>
      <c r="AM84" s="75">
        <f>资产资本表!AM52</f>
        <v>0</v>
      </c>
      <c r="AN84" s="75">
        <f>资产资本表!AN52</f>
        <v>0</v>
      </c>
      <c r="AO84" s="75">
        <f>资产资本表!AO52</f>
        <v>0</v>
      </c>
      <c r="AP84" s="75">
        <f>资产资本表!AP52</f>
        <v>0</v>
      </c>
      <c r="AQ84" s="75">
        <f>资产资本表!AQ52</f>
        <v>0</v>
      </c>
      <c r="AR84" s="75">
        <f>资产资本表!AR52</f>
        <v>0</v>
      </c>
      <c r="AS84" s="75">
        <f>资产资本表!AS52</f>
        <v>0</v>
      </c>
      <c r="AT84" s="75">
        <f>资产资本表!AT52</f>
        <v>0</v>
      </c>
      <c r="AU84" s="75">
        <f>资产资本表!AU52</f>
        <v>0</v>
      </c>
      <c r="AV84" s="75">
        <f>资产资本表!AV52</f>
        <v>0</v>
      </c>
      <c r="AW84" s="75">
        <f>资产资本表!AW52</f>
        <v>0</v>
      </c>
      <c r="AX84" s="75">
        <f>资产资本表!AX52</f>
        <v>0</v>
      </c>
      <c r="AY84" s="75">
        <f>资产资本表!AY52</f>
        <v>0</v>
      </c>
      <c r="AZ84" s="75">
        <f>资产资本表!AZ52</f>
        <v>0</v>
      </c>
      <c r="BA84" s="75">
        <f>资产资本表!BA52</f>
        <v>0</v>
      </c>
      <c r="BB84" s="75">
        <f>资产资本表!BB52</f>
        <v>0</v>
      </c>
      <c r="BC84" s="75">
        <f>资产资本表!BC52</f>
        <v>0</v>
      </c>
      <c r="BD84" s="75">
        <f>资产资本表!BD52</f>
        <v>0</v>
      </c>
      <c r="BE84" s="75">
        <f>资产资本表!BE52</f>
        <v>0</v>
      </c>
      <c r="BF84" s="75">
        <f>资产资本表!BF52</f>
        <v>0</v>
      </c>
      <c r="BG84" s="75">
        <f>资产资本表!BG52</f>
        <v>0</v>
      </c>
      <c r="BH84" s="75">
        <f>资产资本表!BH52</f>
        <v>0</v>
      </c>
      <c r="BI84" s="75">
        <f>资产资本表!BI52</f>
        <v>0</v>
      </c>
      <c r="BJ84" s="75">
        <f>资产资本表!BJ52</f>
        <v>0</v>
      </c>
      <c r="BK84" s="75">
        <f>资产资本表!BK52</f>
        <v>0</v>
      </c>
      <c r="BL84" s="75">
        <f>资产资本表!BL52</f>
        <v>0</v>
      </c>
      <c r="BM84" s="75">
        <f>资产资本表!BM52</f>
        <v>0</v>
      </c>
      <c r="BN84" s="75">
        <f>资产资本表!BN52</f>
        <v>0</v>
      </c>
      <c r="BO84" s="75">
        <f>资产资本表!BO52</f>
        <v>0</v>
      </c>
      <c r="BP84" s="75">
        <f>资产资本表!BP52</f>
        <v>0</v>
      </c>
      <c r="BQ84" s="75">
        <f>资产资本表!BQ52</f>
        <v>0</v>
      </c>
      <c r="BR84" s="75">
        <f>资产资本表!BR52</f>
        <v>0</v>
      </c>
      <c r="BS84" s="75">
        <f>资产资本表!BS52</f>
        <v>0</v>
      </c>
      <c r="BT84" s="75">
        <f>资产资本表!BT52</f>
        <v>0</v>
      </c>
      <c r="BU84" s="75">
        <f>资产资本表!BU52</f>
        <v>0</v>
      </c>
      <c r="BV84" s="75">
        <f>资产资本表!BV52</f>
        <v>0</v>
      </c>
      <c r="BW84" s="75">
        <f>资产资本表!BW52</f>
        <v>0</v>
      </c>
      <c r="BX84" s="75">
        <f>资产资本表!BX52</f>
        <v>0</v>
      </c>
      <c r="BY84" s="75">
        <f>资产资本表!BY52</f>
        <v>0</v>
      </c>
      <c r="BZ84" s="75">
        <f>资产资本表!BZ52</f>
        <v>0</v>
      </c>
      <c r="CA84" s="75">
        <f>资产资本表!CA52</f>
        <v>0</v>
      </c>
      <c r="CB84" s="75">
        <f>资产资本表!CB52</f>
        <v>0</v>
      </c>
      <c r="CC84" s="75">
        <f>资产资本表!CC52</f>
        <v>0</v>
      </c>
      <c r="CD84" s="75">
        <f>资产资本表!CD52</f>
        <v>0</v>
      </c>
      <c r="CE84" s="75">
        <f>资产资本表!CE52</f>
        <v>0</v>
      </c>
      <c r="CF84" s="75">
        <f>资产资本表!CF52</f>
        <v>0</v>
      </c>
      <c r="CG84" s="75">
        <f>资产资本表!CG52</f>
        <v>0</v>
      </c>
      <c r="CH84" s="75">
        <f>资产资本表!CH52</f>
        <v>0</v>
      </c>
      <c r="CI84" s="75">
        <f>资产资本表!CI52</f>
        <v>0</v>
      </c>
      <c r="CJ84" s="75">
        <f>资产资本表!CJ52</f>
        <v>0</v>
      </c>
      <c r="CK84" s="75">
        <f>资产资本表!CK52</f>
        <v>0</v>
      </c>
    </row>
    <row r="85" spans="1:89" s="153" customFormat="1" x14ac:dyDescent="0.25">
      <c r="A85" s="249" t="s">
        <v>583</v>
      </c>
      <c r="E85" s="153">
        <f>E81/E84</f>
        <v>2.3557604114777506</v>
      </c>
      <c r="F85" s="153">
        <f t="shared" ref="F85:BQ85" si="48">F81/F84</f>
        <v>1.9669414053626149</v>
      </c>
      <c r="G85" s="153">
        <f t="shared" si="48"/>
        <v>1.2911759776228358</v>
      </c>
      <c r="H85" s="153">
        <f t="shared" si="48"/>
        <v>0.59573409643794051</v>
      </c>
      <c r="I85" s="153">
        <f t="shared" si="48"/>
        <v>2.5508578070937977</v>
      </c>
      <c r="J85" s="153">
        <f t="shared" si="48"/>
        <v>1.9909396190363304</v>
      </c>
      <c r="K85" s="153">
        <f t="shared" si="48"/>
        <v>1.2415891935723904</v>
      </c>
      <c r="L85" s="153">
        <f t="shared" si="48"/>
        <v>0.5352968086136235</v>
      </c>
      <c r="M85" s="153">
        <f t="shared" si="48"/>
        <v>2.7161157127329396</v>
      </c>
      <c r="N85" s="153">
        <f t="shared" si="48"/>
        <v>1.9005556975874749</v>
      </c>
      <c r="O85" s="153">
        <f t="shared" si="48"/>
        <v>5.2543098589827633</v>
      </c>
      <c r="P85" s="153">
        <f t="shared" si="48"/>
        <v>5.7666579129900333</v>
      </c>
      <c r="Q85" s="153" t="e">
        <f t="shared" si="48"/>
        <v>#DIV/0!</v>
      </c>
      <c r="R85" s="153" t="e">
        <f t="shared" si="48"/>
        <v>#DIV/0!</v>
      </c>
      <c r="S85" s="153" t="e">
        <f t="shared" si="48"/>
        <v>#DIV/0!</v>
      </c>
      <c r="T85" s="153" t="e">
        <f t="shared" si="48"/>
        <v>#DIV/0!</v>
      </c>
      <c r="U85" s="153" t="e">
        <f t="shared" si="48"/>
        <v>#DIV/0!</v>
      </c>
      <c r="V85" s="153" t="e">
        <f t="shared" si="48"/>
        <v>#DIV/0!</v>
      </c>
      <c r="W85" s="153" t="e">
        <f t="shared" si="48"/>
        <v>#DIV/0!</v>
      </c>
      <c r="X85" s="153" t="e">
        <f t="shared" si="48"/>
        <v>#DIV/0!</v>
      </c>
      <c r="Y85" s="153" t="e">
        <f t="shared" si="48"/>
        <v>#DIV/0!</v>
      </c>
      <c r="Z85" s="153" t="e">
        <f t="shared" si="48"/>
        <v>#DIV/0!</v>
      </c>
      <c r="AA85" s="153" t="e">
        <f t="shared" si="48"/>
        <v>#DIV/0!</v>
      </c>
      <c r="AB85" s="153" t="e">
        <f t="shared" si="48"/>
        <v>#DIV/0!</v>
      </c>
      <c r="AC85" s="153" t="e">
        <f t="shared" si="48"/>
        <v>#DIV/0!</v>
      </c>
      <c r="AD85" s="153" t="e">
        <f t="shared" si="48"/>
        <v>#DIV/0!</v>
      </c>
      <c r="AE85" s="153" t="e">
        <f t="shared" si="48"/>
        <v>#DIV/0!</v>
      </c>
      <c r="AF85" s="153" t="e">
        <f t="shared" si="48"/>
        <v>#DIV/0!</v>
      </c>
      <c r="AG85" s="153" t="e">
        <f t="shared" si="48"/>
        <v>#DIV/0!</v>
      </c>
      <c r="AH85" s="153" t="e">
        <f t="shared" si="48"/>
        <v>#DIV/0!</v>
      </c>
      <c r="AI85" s="153" t="e">
        <f t="shared" si="48"/>
        <v>#DIV/0!</v>
      </c>
      <c r="AJ85" s="153" t="e">
        <f t="shared" si="48"/>
        <v>#DIV/0!</v>
      </c>
      <c r="AK85" s="153" t="e">
        <f t="shared" si="48"/>
        <v>#DIV/0!</v>
      </c>
      <c r="AL85" s="153" t="e">
        <f t="shared" si="48"/>
        <v>#DIV/0!</v>
      </c>
      <c r="AM85" s="153" t="e">
        <f t="shared" si="48"/>
        <v>#DIV/0!</v>
      </c>
      <c r="AN85" s="153" t="e">
        <f t="shared" si="48"/>
        <v>#DIV/0!</v>
      </c>
      <c r="AO85" s="153" t="e">
        <f t="shared" si="48"/>
        <v>#DIV/0!</v>
      </c>
      <c r="AP85" s="153" t="e">
        <f t="shared" si="48"/>
        <v>#DIV/0!</v>
      </c>
      <c r="AQ85" s="153" t="e">
        <f t="shared" si="48"/>
        <v>#DIV/0!</v>
      </c>
      <c r="AR85" s="153" t="e">
        <f t="shared" si="48"/>
        <v>#DIV/0!</v>
      </c>
      <c r="AS85" s="153" t="e">
        <f t="shared" si="48"/>
        <v>#DIV/0!</v>
      </c>
      <c r="AT85" s="153" t="e">
        <f t="shared" si="48"/>
        <v>#DIV/0!</v>
      </c>
      <c r="AU85" s="153" t="e">
        <f t="shared" si="48"/>
        <v>#DIV/0!</v>
      </c>
      <c r="AV85" s="153" t="e">
        <f t="shared" si="48"/>
        <v>#DIV/0!</v>
      </c>
      <c r="AW85" s="153" t="e">
        <f t="shared" si="48"/>
        <v>#DIV/0!</v>
      </c>
      <c r="AX85" s="153" t="e">
        <f t="shared" si="48"/>
        <v>#DIV/0!</v>
      </c>
      <c r="AY85" s="153" t="e">
        <f t="shared" si="48"/>
        <v>#DIV/0!</v>
      </c>
      <c r="AZ85" s="153" t="e">
        <f t="shared" si="48"/>
        <v>#DIV/0!</v>
      </c>
      <c r="BA85" s="153" t="e">
        <f t="shared" si="48"/>
        <v>#DIV/0!</v>
      </c>
      <c r="BB85" s="153" t="e">
        <f t="shared" si="48"/>
        <v>#DIV/0!</v>
      </c>
      <c r="BC85" s="153" t="e">
        <f t="shared" si="48"/>
        <v>#DIV/0!</v>
      </c>
      <c r="BD85" s="153" t="e">
        <f t="shared" si="48"/>
        <v>#DIV/0!</v>
      </c>
      <c r="BE85" s="153" t="e">
        <f t="shared" si="48"/>
        <v>#DIV/0!</v>
      </c>
      <c r="BF85" s="153" t="e">
        <f t="shared" si="48"/>
        <v>#DIV/0!</v>
      </c>
      <c r="BG85" s="153" t="e">
        <f t="shared" si="48"/>
        <v>#DIV/0!</v>
      </c>
      <c r="BH85" s="153" t="e">
        <f t="shared" si="48"/>
        <v>#DIV/0!</v>
      </c>
      <c r="BI85" s="153" t="e">
        <f t="shared" si="48"/>
        <v>#DIV/0!</v>
      </c>
      <c r="BJ85" s="153" t="e">
        <f t="shared" si="48"/>
        <v>#DIV/0!</v>
      </c>
      <c r="BK85" s="153" t="e">
        <f t="shared" si="48"/>
        <v>#DIV/0!</v>
      </c>
      <c r="BL85" s="153" t="e">
        <f t="shared" si="48"/>
        <v>#DIV/0!</v>
      </c>
      <c r="BM85" s="153" t="e">
        <f t="shared" si="48"/>
        <v>#DIV/0!</v>
      </c>
      <c r="BN85" s="153" t="e">
        <f t="shared" si="48"/>
        <v>#DIV/0!</v>
      </c>
      <c r="BO85" s="153" t="e">
        <f t="shared" si="48"/>
        <v>#DIV/0!</v>
      </c>
      <c r="BP85" s="153" t="e">
        <f t="shared" si="48"/>
        <v>#DIV/0!</v>
      </c>
      <c r="BQ85" s="153" t="e">
        <f t="shared" si="48"/>
        <v>#DIV/0!</v>
      </c>
      <c r="BR85" s="153" t="e">
        <f t="shared" ref="BR85:CK85" si="49">BR81/BR84</f>
        <v>#DIV/0!</v>
      </c>
      <c r="BS85" s="153" t="e">
        <f t="shared" si="49"/>
        <v>#DIV/0!</v>
      </c>
      <c r="BT85" s="153" t="e">
        <f t="shared" si="49"/>
        <v>#DIV/0!</v>
      </c>
      <c r="BU85" s="153" t="e">
        <f t="shared" si="49"/>
        <v>#DIV/0!</v>
      </c>
      <c r="BV85" s="153" t="e">
        <f t="shared" si="49"/>
        <v>#DIV/0!</v>
      </c>
      <c r="BW85" s="153" t="e">
        <f t="shared" si="49"/>
        <v>#DIV/0!</v>
      </c>
      <c r="BX85" s="153" t="e">
        <f t="shared" si="49"/>
        <v>#DIV/0!</v>
      </c>
      <c r="BY85" s="153" t="e">
        <f t="shared" si="49"/>
        <v>#DIV/0!</v>
      </c>
      <c r="BZ85" s="153" t="e">
        <f t="shared" si="49"/>
        <v>#DIV/0!</v>
      </c>
      <c r="CA85" s="153" t="e">
        <f t="shared" si="49"/>
        <v>#DIV/0!</v>
      </c>
      <c r="CB85" s="153" t="e">
        <f t="shared" si="49"/>
        <v>#DIV/0!</v>
      </c>
      <c r="CC85" s="153" t="e">
        <f t="shared" si="49"/>
        <v>#DIV/0!</v>
      </c>
      <c r="CD85" s="153" t="e">
        <f t="shared" si="49"/>
        <v>#DIV/0!</v>
      </c>
      <c r="CE85" s="153" t="e">
        <f t="shared" si="49"/>
        <v>#DIV/0!</v>
      </c>
      <c r="CF85" s="153" t="e">
        <f t="shared" si="49"/>
        <v>#DIV/0!</v>
      </c>
      <c r="CG85" s="153" t="e">
        <f t="shared" si="49"/>
        <v>#DIV/0!</v>
      </c>
      <c r="CH85" s="153" t="e">
        <f t="shared" si="49"/>
        <v>#DIV/0!</v>
      </c>
      <c r="CI85" s="153" t="e">
        <f t="shared" si="49"/>
        <v>#DIV/0!</v>
      </c>
      <c r="CJ85" s="153" t="e">
        <f t="shared" si="49"/>
        <v>#DIV/0!</v>
      </c>
      <c r="CK85" s="153" t="e">
        <f t="shared" si="49"/>
        <v>#DIV/0!</v>
      </c>
    </row>
    <row r="86" spans="1:89" s="75" customFormat="1" x14ac:dyDescent="0.25">
      <c r="A86" s="69" t="s">
        <v>584</v>
      </c>
      <c r="E86" s="75">
        <f>资产资本表!E53</f>
        <v>48289733.960000001</v>
      </c>
      <c r="F86" s="75">
        <f>资产资本表!F53</f>
        <v>70180899.620000005</v>
      </c>
      <c r="G86" s="75">
        <f>资产资本表!G53</f>
        <v>67669223.189999998</v>
      </c>
      <c r="H86" s="75">
        <f>资产资本表!H53</f>
        <v>67064214.490000002</v>
      </c>
      <c r="I86" s="75">
        <f>资产资本表!I53</f>
        <v>53359317.390000001</v>
      </c>
      <c r="J86" s="75">
        <f>资产资本表!J53</f>
        <v>69635501.519999996</v>
      </c>
      <c r="K86" s="75">
        <f>资产资本表!K53</f>
        <v>68701890.849999994</v>
      </c>
      <c r="L86" s="75">
        <f>资产资本表!L53</f>
        <v>56098042</v>
      </c>
      <c r="M86" s="75">
        <f>资产资本表!M53</f>
        <v>50408573.420000002</v>
      </c>
      <c r="N86" s="75">
        <f>资产资本表!N53</f>
        <v>57075147.840000004</v>
      </c>
      <c r="O86" s="75">
        <f>资产资本表!O53</f>
        <v>0</v>
      </c>
      <c r="P86" s="75">
        <f>资产资本表!P53</f>
        <v>0</v>
      </c>
      <c r="Q86" s="75">
        <f>资产资本表!Q53</f>
        <v>0</v>
      </c>
      <c r="R86" s="75">
        <f>资产资本表!R53</f>
        <v>0</v>
      </c>
      <c r="S86" s="75">
        <f>资产资本表!S53</f>
        <v>0</v>
      </c>
      <c r="T86" s="75">
        <f>资产资本表!T53</f>
        <v>0</v>
      </c>
      <c r="U86" s="75">
        <f>资产资本表!U53</f>
        <v>0</v>
      </c>
      <c r="V86" s="75">
        <f>资产资本表!V53</f>
        <v>0</v>
      </c>
      <c r="W86" s="75">
        <f>资产资本表!W53</f>
        <v>0</v>
      </c>
      <c r="X86" s="75">
        <f>资产资本表!X53</f>
        <v>0</v>
      </c>
      <c r="Y86" s="75">
        <f>资产资本表!Y53</f>
        <v>0</v>
      </c>
      <c r="Z86" s="75">
        <f>资产资本表!Z53</f>
        <v>0</v>
      </c>
      <c r="AA86" s="75">
        <f>资产资本表!AA53</f>
        <v>0</v>
      </c>
      <c r="AB86" s="75">
        <f>资产资本表!AB53</f>
        <v>0</v>
      </c>
      <c r="AC86" s="75">
        <f>资产资本表!AC53</f>
        <v>0</v>
      </c>
      <c r="AD86" s="75">
        <f>资产资本表!AD53</f>
        <v>0</v>
      </c>
      <c r="AE86" s="75">
        <f>资产资本表!AE53</f>
        <v>0</v>
      </c>
      <c r="AF86" s="75">
        <f>资产资本表!AF53</f>
        <v>0</v>
      </c>
      <c r="AG86" s="75">
        <f>资产资本表!AG53</f>
        <v>0</v>
      </c>
      <c r="AH86" s="75">
        <f>资产资本表!AH53</f>
        <v>0</v>
      </c>
      <c r="AI86" s="75">
        <f>资产资本表!AI53</f>
        <v>0</v>
      </c>
      <c r="AJ86" s="75">
        <f>资产资本表!AJ53</f>
        <v>0</v>
      </c>
      <c r="AK86" s="75">
        <f>资产资本表!AK53</f>
        <v>0</v>
      </c>
      <c r="AL86" s="75">
        <f>资产资本表!AL53</f>
        <v>0</v>
      </c>
      <c r="AM86" s="75">
        <f>资产资本表!AM53</f>
        <v>0</v>
      </c>
      <c r="AN86" s="75">
        <f>资产资本表!AN53</f>
        <v>0</v>
      </c>
      <c r="AO86" s="75">
        <f>资产资本表!AO53</f>
        <v>0</v>
      </c>
      <c r="AP86" s="75">
        <f>资产资本表!AP53</f>
        <v>0</v>
      </c>
      <c r="AQ86" s="75">
        <f>资产资本表!AQ53</f>
        <v>0</v>
      </c>
      <c r="AR86" s="75">
        <f>资产资本表!AR53</f>
        <v>0</v>
      </c>
      <c r="AS86" s="75">
        <f>资产资本表!AS53</f>
        <v>0</v>
      </c>
      <c r="AT86" s="75">
        <f>资产资本表!AT53</f>
        <v>0</v>
      </c>
      <c r="AU86" s="75">
        <f>资产资本表!AU53</f>
        <v>0</v>
      </c>
      <c r="AV86" s="75">
        <f>资产资本表!AV53</f>
        <v>0</v>
      </c>
      <c r="AW86" s="75">
        <f>资产资本表!AW53</f>
        <v>0</v>
      </c>
      <c r="AX86" s="75">
        <f>资产资本表!AX53</f>
        <v>0</v>
      </c>
      <c r="AY86" s="75">
        <f>资产资本表!AY53</f>
        <v>0</v>
      </c>
      <c r="AZ86" s="75">
        <f>资产资本表!AZ53</f>
        <v>0</v>
      </c>
      <c r="BA86" s="75">
        <f>资产资本表!BA53</f>
        <v>0</v>
      </c>
      <c r="BB86" s="75">
        <f>资产资本表!BB53</f>
        <v>0</v>
      </c>
      <c r="BC86" s="75">
        <f>资产资本表!BC53</f>
        <v>0</v>
      </c>
      <c r="BD86" s="75">
        <f>资产资本表!BD53</f>
        <v>0</v>
      </c>
      <c r="BE86" s="75">
        <f>资产资本表!BE53</f>
        <v>0</v>
      </c>
      <c r="BF86" s="75">
        <f>资产资本表!BF53</f>
        <v>0</v>
      </c>
      <c r="BG86" s="75">
        <f>资产资本表!BG53</f>
        <v>0</v>
      </c>
      <c r="BH86" s="75">
        <f>资产资本表!BH53</f>
        <v>0</v>
      </c>
      <c r="BI86" s="75">
        <f>资产资本表!BI53</f>
        <v>0</v>
      </c>
      <c r="BJ86" s="75">
        <f>资产资本表!BJ53</f>
        <v>0</v>
      </c>
      <c r="BK86" s="75">
        <f>资产资本表!BK53</f>
        <v>0</v>
      </c>
      <c r="BL86" s="75">
        <f>资产资本表!BL53</f>
        <v>0</v>
      </c>
      <c r="BM86" s="75">
        <f>资产资本表!BM53</f>
        <v>0</v>
      </c>
      <c r="BN86" s="75">
        <f>资产资本表!BN53</f>
        <v>0</v>
      </c>
      <c r="BO86" s="75">
        <f>资产资本表!BO53</f>
        <v>0</v>
      </c>
      <c r="BP86" s="75">
        <f>资产资本表!BP53</f>
        <v>0</v>
      </c>
      <c r="BQ86" s="75">
        <f>资产资本表!BQ53</f>
        <v>0</v>
      </c>
      <c r="BR86" s="75">
        <f>资产资本表!BR53</f>
        <v>0</v>
      </c>
      <c r="BS86" s="75">
        <f>资产资本表!BS53</f>
        <v>0</v>
      </c>
      <c r="BT86" s="75">
        <f>资产资本表!BT53</f>
        <v>0</v>
      </c>
      <c r="BU86" s="75">
        <f>资产资本表!BU53</f>
        <v>0</v>
      </c>
      <c r="BV86" s="75">
        <f>资产资本表!BV53</f>
        <v>0</v>
      </c>
      <c r="BW86" s="75">
        <f>资产资本表!BW53</f>
        <v>0</v>
      </c>
      <c r="BX86" s="75">
        <f>资产资本表!BX53</f>
        <v>0</v>
      </c>
      <c r="BY86" s="75">
        <f>资产资本表!BY53</f>
        <v>0</v>
      </c>
      <c r="BZ86" s="75">
        <f>资产资本表!BZ53</f>
        <v>0</v>
      </c>
      <c r="CA86" s="75">
        <f>资产资本表!CA53</f>
        <v>0</v>
      </c>
      <c r="CB86" s="75">
        <f>资产资本表!CB53</f>
        <v>0</v>
      </c>
      <c r="CC86" s="75">
        <f>资产资本表!CC53</f>
        <v>0</v>
      </c>
      <c r="CD86" s="75">
        <f>资产资本表!CD53</f>
        <v>0</v>
      </c>
      <c r="CE86" s="75">
        <f>资产资本表!CE53</f>
        <v>0</v>
      </c>
      <c r="CF86" s="75">
        <f>资产资本表!CF53</f>
        <v>0</v>
      </c>
      <c r="CG86" s="75">
        <f>资产资本表!CG53</f>
        <v>0</v>
      </c>
      <c r="CH86" s="75">
        <f>资产资本表!CH53</f>
        <v>0</v>
      </c>
      <c r="CI86" s="75">
        <f>资产资本表!CI53</f>
        <v>0</v>
      </c>
      <c r="CJ86" s="75">
        <f>资产资本表!CJ53</f>
        <v>0</v>
      </c>
      <c r="CK86" s="75">
        <f>资产资本表!CK53</f>
        <v>0</v>
      </c>
    </row>
    <row r="87" spans="1:89" s="54" customFormat="1" x14ac:dyDescent="0.25">
      <c r="A87" s="252" t="s">
        <v>585</v>
      </c>
      <c r="E87" s="54">
        <f>E81/E86</f>
        <v>15.581136280710211</v>
      </c>
      <c r="F87" s="54">
        <f t="shared" ref="F87:BQ87" si="50">F81/F86</f>
        <v>7.4916814263829465</v>
      </c>
      <c r="G87" s="54">
        <f t="shared" si="50"/>
        <v>5.0210528419396807</v>
      </c>
      <c r="H87" s="54">
        <f t="shared" si="50"/>
        <v>2.2918449572374913</v>
      </c>
      <c r="I87" s="54">
        <f t="shared" si="50"/>
        <v>12.462892219918631</v>
      </c>
      <c r="J87" s="54">
        <f t="shared" si="50"/>
        <v>6.5197767134570643</v>
      </c>
      <c r="K87" s="54">
        <f t="shared" si="50"/>
        <v>4.1229917649348078</v>
      </c>
      <c r="L87" s="54">
        <f t="shared" si="50"/>
        <v>2.215811546149864</v>
      </c>
      <c r="M87" s="54">
        <f t="shared" si="50"/>
        <v>11.843974767457324</v>
      </c>
      <c r="N87" s="54">
        <f t="shared" si="50"/>
        <v>7.1743192115400385</v>
      </c>
      <c r="O87" s="54" t="e">
        <f t="shared" si="50"/>
        <v>#DIV/0!</v>
      </c>
      <c r="P87" s="54" t="e">
        <f t="shared" si="50"/>
        <v>#DIV/0!</v>
      </c>
      <c r="Q87" s="54" t="e">
        <f t="shared" si="50"/>
        <v>#DIV/0!</v>
      </c>
      <c r="R87" s="54" t="e">
        <f t="shared" si="50"/>
        <v>#DIV/0!</v>
      </c>
      <c r="S87" s="54" t="e">
        <f t="shared" si="50"/>
        <v>#DIV/0!</v>
      </c>
      <c r="T87" s="54" t="e">
        <f t="shared" si="50"/>
        <v>#DIV/0!</v>
      </c>
      <c r="U87" s="54" t="e">
        <f t="shared" si="50"/>
        <v>#DIV/0!</v>
      </c>
      <c r="V87" s="54" t="e">
        <f t="shared" si="50"/>
        <v>#DIV/0!</v>
      </c>
      <c r="W87" s="54" t="e">
        <f t="shared" si="50"/>
        <v>#DIV/0!</v>
      </c>
      <c r="X87" s="54" t="e">
        <f t="shared" si="50"/>
        <v>#DIV/0!</v>
      </c>
      <c r="Y87" s="54" t="e">
        <f t="shared" si="50"/>
        <v>#DIV/0!</v>
      </c>
      <c r="Z87" s="54" t="e">
        <f t="shared" si="50"/>
        <v>#DIV/0!</v>
      </c>
      <c r="AA87" s="54" t="e">
        <f t="shared" si="50"/>
        <v>#DIV/0!</v>
      </c>
      <c r="AB87" s="54" t="e">
        <f t="shared" si="50"/>
        <v>#DIV/0!</v>
      </c>
      <c r="AC87" s="54" t="e">
        <f t="shared" si="50"/>
        <v>#DIV/0!</v>
      </c>
      <c r="AD87" s="54" t="e">
        <f t="shared" si="50"/>
        <v>#DIV/0!</v>
      </c>
      <c r="AE87" s="54" t="e">
        <f t="shared" si="50"/>
        <v>#DIV/0!</v>
      </c>
      <c r="AF87" s="54" t="e">
        <f t="shared" si="50"/>
        <v>#DIV/0!</v>
      </c>
      <c r="AG87" s="54" t="e">
        <f t="shared" si="50"/>
        <v>#DIV/0!</v>
      </c>
      <c r="AH87" s="54" t="e">
        <f t="shared" si="50"/>
        <v>#DIV/0!</v>
      </c>
      <c r="AI87" s="54" t="e">
        <f t="shared" si="50"/>
        <v>#DIV/0!</v>
      </c>
      <c r="AJ87" s="54" t="e">
        <f t="shared" si="50"/>
        <v>#DIV/0!</v>
      </c>
      <c r="AK87" s="54" t="e">
        <f t="shared" si="50"/>
        <v>#DIV/0!</v>
      </c>
      <c r="AL87" s="54" t="e">
        <f t="shared" si="50"/>
        <v>#DIV/0!</v>
      </c>
      <c r="AM87" s="54" t="e">
        <f t="shared" si="50"/>
        <v>#DIV/0!</v>
      </c>
      <c r="AN87" s="54" t="e">
        <f t="shared" si="50"/>
        <v>#DIV/0!</v>
      </c>
      <c r="AO87" s="54" t="e">
        <f t="shared" si="50"/>
        <v>#DIV/0!</v>
      </c>
      <c r="AP87" s="54" t="e">
        <f t="shared" si="50"/>
        <v>#DIV/0!</v>
      </c>
      <c r="AQ87" s="54" t="e">
        <f t="shared" si="50"/>
        <v>#DIV/0!</v>
      </c>
      <c r="AR87" s="54" t="e">
        <f t="shared" si="50"/>
        <v>#DIV/0!</v>
      </c>
      <c r="AS87" s="54" t="e">
        <f t="shared" si="50"/>
        <v>#DIV/0!</v>
      </c>
      <c r="AT87" s="54" t="e">
        <f t="shared" si="50"/>
        <v>#DIV/0!</v>
      </c>
      <c r="AU87" s="54" t="e">
        <f t="shared" si="50"/>
        <v>#DIV/0!</v>
      </c>
      <c r="AV87" s="54" t="e">
        <f t="shared" si="50"/>
        <v>#DIV/0!</v>
      </c>
      <c r="AW87" s="54" t="e">
        <f t="shared" si="50"/>
        <v>#DIV/0!</v>
      </c>
      <c r="AX87" s="54" t="e">
        <f t="shared" si="50"/>
        <v>#DIV/0!</v>
      </c>
      <c r="AY87" s="54" t="e">
        <f t="shared" si="50"/>
        <v>#DIV/0!</v>
      </c>
      <c r="AZ87" s="54" t="e">
        <f t="shared" si="50"/>
        <v>#DIV/0!</v>
      </c>
      <c r="BA87" s="54" t="e">
        <f t="shared" si="50"/>
        <v>#DIV/0!</v>
      </c>
      <c r="BB87" s="54" t="e">
        <f t="shared" si="50"/>
        <v>#DIV/0!</v>
      </c>
      <c r="BC87" s="54" t="e">
        <f t="shared" si="50"/>
        <v>#DIV/0!</v>
      </c>
      <c r="BD87" s="54" t="e">
        <f t="shared" si="50"/>
        <v>#DIV/0!</v>
      </c>
      <c r="BE87" s="54" t="e">
        <f t="shared" si="50"/>
        <v>#DIV/0!</v>
      </c>
      <c r="BF87" s="54" t="e">
        <f t="shared" si="50"/>
        <v>#DIV/0!</v>
      </c>
      <c r="BG87" s="54" t="e">
        <f t="shared" si="50"/>
        <v>#DIV/0!</v>
      </c>
      <c r="BH87" s="54" t="e">
        <f t="shared" si="50"/>
        <v>#DIV/0!</v>
      </c>
      <c r="BI87" s="54" t="e">
        <f t="shared" si="50"/>
        <v>#DIV/0!</v>
      </c>
      <c r="BJ87" s="54" t="e">
        <f t="shared" si="50"/>
        <v>#DIV/0!</v>
      </c>
      <c r="BK87" s="54" t="e">
        <f t="shared" si="50"/>
        <v>#DIV/0!</v>
      </c>
      <c r="BL87" s="54" t="e">
        <f t="shared" si="50"/>
        <v>#DIV/0!</v>
      </c>
      <c r="BM87" s="54" t="e">
        <f t="shared" si="50"/>
        <v>#DIV/0!</v>
      </c>
      <c r="BN87" s="54" t="e">
        <f t="shared" si="50"/>
        <v>#DIV/0!</v>
      </c>
      <c r="BO87" s="54" t="e">
        <f t="shared" si="50"/>
        <v>#DIV/0!</v>
      </c>
      <c r="BP87" s="54" t="e">
        <f t="shared" si="50"/>
        <v>#DIV/0!</v>
      </c>
      <c r="BQ87" s="54" t="e">
        <f t="shared" si="50"/>
        <v>#DIV/0!</v>
      </c>
      <c r="BR87" s="54" t="e">
        <f t="shared" ref="BR87:CK87" si="51">BR81/BR86</f>
        <v>#DIV/0!</v>
      </c>
      <c r="BS87" s="54" t="e">
        <f t="shared" si="51"/>
        <v>#DIV/0!</v>
      </c>
      <c r="BT87" s="54" t="e">
        <f t="shared" si="51"/>
        <v>#DIV/0!</v>
      </c>
      <c r="BU87" s="54" t="e">
        <f t="shared" si="51"/>
        <v>#DIV/0!</v>
      </c>
      <c r="BV87" s="54" t="e">
        <f t="shared" si="51"/>
        <v>#DIV/0!</v>
      </c>
      <c r="BW87" s="54" t="e">
        <f t="shared" si="51"/>
        <v>#DIV/0!</v>
      </c>
      <c r="BX87" s="54" t="e">
        <f t="shared" si="51"/>
        <v>#DIV/0!</v>
      </c>
      <c r="BY87" s="54" t="e">
        <f t="shared" si="51"/>
        <v>#DIV/0!</v>
      </c>
      <c r="BZ87" s="54" t="e">
        <f t="shared" si="51"/>
        <v>#DIV/0!</v>
      </c>
      <c r="CA87" s="54" t="e">
        <f t="shared" si="51"/>
        <v>#DIV/0!</v>
      </c>
      <c r="CB87" s="54" t="e">
        <f t="shared" si="51"/>
        <v>#DIV/0!</v>
      </c>
      <c r="CC87" s="54" t="e">
        <f t="shared" si="51"/>
        <v>#DIV/0!</v>
      </c>
      <c r="CD87" s="54" t="e">
        <f t="shared" si="51"/>
        <v>#DIV/0!</v>
      </c>
      <c r="CE87" s="54" t="e">
        <f t="shared" si="51"/>
        <v>#DIV/0!</v>
      </c>
      <c r="CF87" s="54" t="e">
        <f t="shared" si="51"/>
        <v>#DIV/0!</v>
      </c>
      <c r="CG87" s="54" t="e">
        <f t="shared" si="51"/>
        <v>#DIV/0!</v>
      </c>
      <c r="CH87" s="54" t="e">
        <f t="shared" si="51"/>
        <v>#DIV/0!</v>
      </c>
      <c r="CI87" s="54" t="e">
        <f t="shared" si="51"/>
        <v>#DIV/0!</v>
      </c>
      <c r="CJ87" s="54" t="e">
        <f t="shared" si="51"/>
        <v>#DIV/0!</v>
      </c>
      <c r="CK87" s="54" t="e">
        <f t="shared" si="51"/>
        <v>#DIV/0!</v>
      </c>
    </row>
    <row r="88" spans="1:89" s="75" customFormat="1" x14ac:dyDescent="0.25">
      <c r="A88" s="69" t="s">
        <v>586</v>
      </c>
      <c r="E88" s="75">
        <f>资产资本表!E54</f>
        <v>0</v>
      </c>
      <c r="F88" s="75">
        <f>资产资本表!F54</f>
        <v>0</v>
      </c>
      <c r="G88" s="75">
        <f>资产资本表!G54</f>
        <v>0</v>
      </c>
      <c r="H88" s="75">
        <f>资产资本表!H54</f>
        <v>0</v>
      </c>
      <c r="I88" s="75">
        <f>资产资本表!I54</f>
        <v>0</v>
      </c>
      <c r="J88" s="75">
        <f>资产资本表!J54</f>
        <v>0</v>
      </c>
      <c r="K88" s="75">
        <f>资产资本表!K54</f>
        <v>0</v>
      </c>
      <c r="L88" s="75">
        <f>资产资本表!L54</f>
        <v>0</v>
      </c>
      <c r="M88" s="75">
        <f>资产资本表!M54</f>
        <v>0</v>
      </c>
      <c r="N88" s="75">
        <f>资产资本表!N54</f>
        <v>0</v>
      </c>
      <c r="O88" s="75">
        <f>资产资本表!O54</f>
        <v>0</v>
      </c>
      <c r="P88" s="75">
        <f>资产资本表!P54</f>
        <v>0</v>
      </c>
      <c r="Q88" s="75">
        <f>资产资本表!Q54</f>
        <v>0</v>
      </c>
      <c r="R88" s="75">
        <f>资产资本表!R54</f>
        <v>0</v>
      </c>
      <c r="S88" s="75">
        <f>资产资本表!S54</f>
        <v>0</v>
      </c>
      <c r="T88" s="75">
        <f>资产资本表!T54</f>
        <v>0</v>
      </c>
      <c r="U88" s="75">
        <f>资产资本表!U54</f>
        <v>0</v>
      </c>
      <c r="V88" s="75">
        <f>资产资本表!V54</f>
        <v>0</v>
      </c>
      <c r="W88" s="75">
        <f>资产资本表!W54</f>
        <v>0</v>
      </c>
      <c r="X88" s="75">
        <f>资产资本表!X54</f>
        <v>0</v>
      </c>
      <c r="Y88" s="75">
        <f>资产资本表!Y54</f>
        <v>0</v>
      </c>
      <c r="Z88" s="75">
        <f>资产资本表!Z54</f>
        <v>0</v>
      </c>
      <c r="AA88" s="75">
        <f>资产资本表!AA54</f>
        <v>0</v>
      </c>
      <c r="AB88" s="75">
        <f>资产资本表!AB54</f>
        <v>0</v>
      </c>
      <c r="AC88" s="75">
        <f>资产资本表!AC54</f>
        <v>0</v>
      </c>
      <c r="AD88" s="75">
        <f>资产资本表!AD54</f>
        <v>0</v>
      </c>
      <c r="AE88" s="75">
        <f>资产资本表!AE54</f>
        <v>0</v>
      </c>
      <c r="AF88" s="75">
        <f>资产资本表!AF54</f>
        <v>0</v>
      </c>
      <c r="AG88" s="75">
        <f>资产资本表!AG54</f>
        <v>0</v>
      </c>
      <c r="AH88" s="75">
        <f>资产资本表!AH54</f>
        <v>0</v>
      </c>
      <c r="AI88" s="75">
        <f>资产资本表!AI54</f>
        <v>0</v>
      </c>
      <c r="AJ88" s="75">
        <f>资产资本表!AJ54</f>
        <v>0</v>
      </c>
      <c r="AK88" s="75">
        <f>资产资本表!AK54</f>
        <v>0</v>
      </c>
      <c r="AL88" s="75">
        <f>资产资本表!AL54</f>
        <v>0</v>
      </c>
      <c r="AM88" s="75">
        <f>资产资本表!AM54</f>
        <v>0</v>
      </c>
      <c r="AN88" s="75">
        <f>资产资本表!AN54</f>
        <v>0</v>
      </c>
      <c r="AO88" s="75">
        <f>资产资本表!AO54</f>
        <v>0</v>
      </c>
      <c r="AP88" s="75">
        <f>资产资本表!AP54</f>
        <v>0</v>
      </c>
      <c r="AQ88" s="75">
        <f>资产资本表!AQ54</f>
        <v>0</v>
      </c>
      <c r="AR88" s="75">
        <f>资产资本表!AR54</f>
        <v>0</v>
      </c>
      <c r="AS88" s="75">
        <f>资产资本表!AS54</f>
        <v>0</v>
      </c>
      <c r="AT88" s="75">
        <f>资产资本表!AT54</f>
        <v>0</v>
      </c>
      <c r="AU88" s="75">
        <f>资产资本表!AU54</f>
        <v>0</v>
      </c>
      <c r="AV88" s="75">
        <f>资产资本表!AV54</f>
        <v>0</v>
      </c>
      <c r="AW88" s="75">
        <f>资产资本表!AW54</f>
        <v>0</v>
      </c>
      <c r="AX88" s="75">
        <f>资产资本表!AX54</f>
        <v>0</v>
      </c>
      <c r="AY88" s="75">
        <f>资产资本表!AY54</f>
        <v>0</v>
      </c>
      <c r="AZ88" s="75">
        <f>资产资本表!AZ54</f>
        <v>0</v>
      </c>
      <c r="BA88" s="75">
        <f>资产资本表!BA54</f>
        <v>0</v>
      </c>
      <c r="BB88" s="75">
        <f>资产资本表!BB54</f>
        <v>0</v>
      </c>
      <c r="BC88" s="75">
        <f>资产资本表!BC54</f>
        <v>0</v>
      </c>
      <c r="BD88" s="75">
        <f>资产资本表!BD54</f>
        <v>0</v>
      </c>
      <c r="BE88" s="75">
        <f>资产资本表!BE54</f>
        <v>0</v>
      </c>
      <c r="BF88" s="75">
        <f>资产资本表!BF54</f>
        <v>0</v>
      </c>
      <c r="BG88" s="75">
        <f>资产资本表!BG54</f>
        <v>0</v>
      </c>
      <c r="BH88" s="75">
        <f>资产资本表!BH54</f>
        <v>0</v>
      </c>
      <c r="BI88" s="75">
        <f>资产资本表!BI54</f>
        <v>0</v>
      </c>
      <c r="BJ88" s="75">
        <f>资产资本表!BJ54</f>
        <v>0</v>
      </c>
      <c r="BK88" s="75">
        <f>资产资本表!BK54</f>
        <v>0</v>
      </c>
      <c r="BL88" s="75">
        <f>资产资本表!BL54</f>
        <v>0</v>
      </c>
      <c r="BM88" s="75">
        <f>资产资本表!BM54</f>
        <v>0</v>
      </c>
      <c r="BN88" s="75">
        <f>资产资本表!BN54</f>
        <v>0</v>
      </c>
      <c r="BO88" s="75">
        <f>资产资本表!BO54</f>
        <v>0</v>
      </c>
      <c r="BP88" s="75">
        <f>资产资本表!BP54</f>
        <v>0</v>
      </c>
      <c r="BQ88" s="75">
        <f>资产资本表!BQ54</f>
        <v>0</v>
      </c>
      <c r="BR88" s="75">
        <f>资产资本表!BR54</f>
        <v>0</v>
      </c>
      <c r="BS88" s="75">
        <f>资产资本表!BS54</f>
        <v>0</v>
      </c>
      <c r="BT88" s="75">
        <f>资产资本表!BT54</f>
        <v>0</v>
      </c>
      <c r="BU88" s="75">
        <f>资产资本表!BU54</f>
        <v>0</v>
      </c>
      <c r="BV88" s="75">
        <f>资产资本表!BV54</f>
        <v>0</v>
      </c>
      <c r="BW88" s="75">
        <f>资产资本表!BW54</f>
        <v>0</v>
      </c>
      <c r="BX88" s="75">
        <f>资产资本表!BX54</f>
        <v>0</v>
      </c>
      <c r="BY88" s="75">
        <f>资产资本表!BY54</f>
        <v>0</v>
      </c>
      <c r="BZ88" s="75">
        <f>资产资本表!BZ54</f>
        <v>0</v>
      </c>
      <c r="CA88" s="75">
        <f>资产资本表!CA54</f>
        <v>0</v>
      </c>
      <c r="CB88" s="75">
        <f>资产资本表!CB54</f>
        <v>0</v>
      </c>
      <c r="CC88" s="75">
        <f>资产资本表!CC54</f>
        <v>0</v>
      </c>
      <c r="CD88" s="75">
        <f>资产资本表!CD54</f>
        <v>0</v>
      </c>
      <c r="CE88" s="75">
        <f>资产资本表!CE54</f>
        <v>0</v>
      </c>
      <c r="CF88" s="75">
        <f>资产资本表!CF54</f>
        <v>0</v>
      </c>
      <c r="CG88" s="75">
        <f>资产资本表!CG54</f>
        <v>0</v>
      </c>
      <c r="CH88" s="75">
        <f>资产资本表!CH54</f>
        <v>0</v>
      </c>
      <c r="CI88" s="75">
        <f>资产资本表!CI54</f>
        <v>0</v>
      </c>
      <c r="CJ88" s="75">
        <f>资产资本表!CJ54</f>
        <v>0</v>
      </c>
      <c r="CK88" s="75">
        <f>资产资本表!CK54</f>
        <v>0</v>
      </c>
    </row>
    <row r="89" spans="1:89" s="75" customFormat="1" x14ac:dyDescent="0.25">
      <c r="A89" s="69" t="s">
        <v>587</v>
      </c>
      <c r="E89" s="75">
        <f>资产资本表!E55</f>
        <v>0</v>
      </c>
      <c r="F89" s="75">
        <f>资产资本表!F55</f>
        <v>0</v>
      </c>
      <c r="G89" s="75">
        <f>资产资本表!G55</f>
        <v>0</v>
      </c>
      <c r="H89" s="75">
        <f>资产资本表!H55</f>
        <v>0</v>
      </c>
      <c r="I89" s="75">
        <f>资产资本表!I55</f>
        <v>0</v>
      </c>
      <c r="J89" s="75">
        <f>资产资本表!J55</f>
        <v>0</v>
      </c>
      <c r="K89" s="75">
        <f>资产资本表!K55</f>
        <v>0</v>
      </c>
      <c r="L89" s="75">
        <f>资产资本表!L55</f>
        <v>0</v>
      </c>
      <c r="M89" s="75">
        <f>资产资本表!M55</f>
        <v>0</v>
      </c>
      <c r="N89" s="75">
        <f>资产资本表!N55</f>
        <v>0</v>
      </c>
      <c r="O89" s="75">
        <f>资产资本表!O55</f>
        <v>0</v>
      </c>
      <c r="P89" s="75">
        <f>资产资本表!P55</f>
        <v>0</v>
      </c>
      <c r="Q89" s="75">
        <f>资产资本表!Q55</f>
        <v>0</v>
      </c>
      <c r="R89" s="75">
        <f>资产资本表!R55</f>
        <v>0</v>
      </c>
      <c r="S89" s="75">
        <f>资产资本表!S55</f>
        <v>0</v>
      </c>
      <c r="T89" s="75">
        <f>资产资本表!T55</f>
        <v>0</v>
      </c>
      <c r="U89" s="75">
        <f>资产资本表!U55</f>
        <v>0</v>
      </c>
      <c r="V89" s="75">
        <f>资产资本表!V55</f>
        <v>0</v>
      </c>
      <c r="W89" s="75">
        <f>资产资本表!W55</f>
        <v>0</v>
      </c>
      <c r="X89" s="75">
        <f>资产资本表!X55</f>
        <v>0</v>
      </c>
      <c r="Y89" s="75">
        <f>资产资本表!Y55</f>
        <v>0</v>
      </c>
      <c r="Z89" s="75">
        <f>资产资本表!Z55</f>
        <v>0</v>
      </c>
      <c r="AA89" s="75">
        <f>资产资本表!AA55</f>
        <v>0</v>
      </c>
      <c r="AB89" s="75">
        <f>资产资本表!AB55</f>
        <v>0</v>
      </c>
      <c r="AC89" s="75">
        <f>资产资本表!AC55</f>
        <v>0</v>
      </c>
      <c r="AD89" s="75">
        <f>资产资本表!AD55</f>
        <v>0</v>
      </c>
      <c r="AE89" s="75">
        <f>资产资本表!AE55</f>
        <v>0</v>
      </c>
      <c r="AF89" s="75">
        <f>资产资本表!AF55</f>
        <v>0</v>
      </c>
      <c r="AG89" s="75">
        <f>资产资本表!AG55</f>
        <v>0</v>
      </c>
      <c r="AH89" s="75">
        <f>资产资本表!AH55</f>
        <v>0</v>
      </c>
      <c r="AI89" s="75">
        <f>资产资本表!AI55</f>
        <v>0</v>
      </c>
      <c r="AJ89" s="75">
        <f>资产资本表!AJ55</f>
        <v>0</v>
      </c>
      <c r="AK89" s="75">
        <f>资产资本表!AK55</f>
        <v>0</v>
      </c>
      <c r="AL89" s="75">
        <f>资产资本表!AL55</f>
        <v>0</v>
      </c>
      <c r="AM89" s="75">
        <f>资产资本表!AM55</f>
        <v>0</v>
      </c>
      <c r="AN89" s="75">
        <f>资产资本表!AN55</f>
        <v>0</v>
      </c>
      <c r="AO89" s="75">
        <f>资产资本表!AO55</f>
        <v>0</v>
      </c>
      <c r="AP89" s="75">
        <f>资产资本表!AP55</f>
        <v>0</v>
      </c>
      <c r="AQ89" s="75">
        <f>资产资本表!AQ55</f>
        <v>0</v>
      </c>
      <c r="AR89" s="75">
        <f>资产资本表!AR55</f>
        <v>0</v>
      </c>
      <c r="AS89" s="75">
        <f>资产资本表!AS55</f>
        <v>0</v>
      </c>
      <c r="AT89" s="75">
        <f>资产资本表!AT55</f>
        <v>0</v>
      </c>
      <c r="AU89" s="75">
        <f>资产资本表!AU55</f>
        <v>0</v>
      </c>
      <c r="AV89" s="75">
        <f>资产资本表!AV55</f>
        <v>0</v>
      </c>
      <c r="AW89" s="75">
        <f>资产资本表!AW55</f>
        <v>0</v>
      </c>
      <c r="AX89" s="75">
        <f>资产资本表!AX55</f>
        <v>0</v>
      </c>
      <c r="AY89" s="75">
        <f>资产资本表!AY55</f>
        <v>0</v>
      </c>
      <c r="AZ89" s="75">
        <f>资产资本表!AZ55</f>
        <v>0</v>
      </c>
      <c r="BA89" s="75">
        <f>资产资本表!BA55</f>
        <v>0</v>
      </c>
      <c r="BB89" s="75">
        <f>资产资本表!BB55</f>
        <v>0</v>
      </c>
      <c r="BC89" s="75">
        <f>资产资本表!BC55</f>
        <v>0</v>
      </c>
      <c r="BD89" s="75">
        <f>资产资本表!BD55</f>
        <v>0</v>
      </c>
      <c r="BE89" s="75">
        <f>资产资本表!BE55</f>
        <v>0</v>
      </c>
      <c r="BF89" s="75">
        <f>资产资本表!BF55</f>
        <v>0</v>
      </c>
      <c r="BG89" s="75">
        <f>资产资本表!BG55</f>
        <v>0</v>
      </c>
      <c r="BH89" s="75">
        <f>资产资本表!BH55</f>
        <v>0</v>
      </c>
      <c r="BI89" s="75">
        <f>资产资本表!BI55</f>
        <v>0</v>
      </c>
      <c r="BJ89" s="75">
        <f>资产资本表!BJ55</f>
        <v>0</v>
      </c>
      <c r="BK89" s="75">
        <f>资产资本表!BK55</f>
        <v>0</v>
      </c>
      <c r="BL89" s="75">
        <f>资产资本表!BL55</f>
        <v>0</v>
      </c>
      <c r="BM89" s="75">
        <f>资产资本表!BM55</f>
        <v>0</v>
      </c>
      <c r="BN89" s="75">
        <f>资产资本表!BN55</f>
        <v>0</v>
      </c>
      <c r="BO89" s="75">
        <f>资产资本表!BO55</f>
        <v>0</v>
      </c>
      <c r="BP89" s="75">
        <f>资产资本表!BP55</f>
        <v>0</v>
      </c>
      <c r="BQ89" s="75">
        <f>资产资本表!BQ55</f>
        <v>0</v>
      </c>
      <c r="BR89" s="75">
        <f>资产资本表!BR55</f>
        <v>0</v>
      </c>
      <c r="BS89" s="75">
        <f>资产资本表!BS55</f>
        <v>0</v>
      </c>
      <c r="BT89" s="75">
        <f>资产资本表!BT55</f>
        <v>0</v>
      </c>
      <c r="BU89" s="75">
        <f>资产资本表!BU55</f>
        <v>0</v>
      </c>
      <c r="BV89" s="75">
        <f>资产资本表!BV55</f>
        <v>0</v>
      </c>
      <c r="BW89" s="75">
        <f>资产资本表!BW55</f>
        <v>0</v>
      </c>
      <c r="BX89" s="75">
        <f>资产资本表!BX55</f>
        <v>0</v>
      </c>
      <c r="BY89" s="75">
        <f>资产资本表!BY55</f>
        <v>0</v>
      </c>
      <c r="BZ89" s="75">
        <f>资产资本表!BZ55</f>
        <v>0</v>
      </c>
      <c r="CA89" s="75">
        <f>资产资本表!CA55</f>
        <v>0</v>
      </c>
      <c r="CB89" s="75">
        <f>资产资本表!CB55</f>
        <v>0</v>
      </c>
      <c r="CC89" s="75">
        <f>资产资本表!CC55</f>
        <v>0</v>
      </c>
      <c r="CD89" s="75">
        <f>资产资本表!CD55</f>
        <v>0</v>
      </c>
      <c r="CE89" s="75">
        <f>资产资本表!CE55</f>
        <v>0</v>
      </c>
      <c r="CF89" s="75">
        <f>资产资本表!CF55</f>
        <v>0</v>
      </c>
      <c r="CG89" s="75">
        <f>资产资本表!CG55</f>
        <v>0</v>
      </c>
      <c r="CH89" s="75">
        <f>资产资本表!CH55</f>
        <v>0</v>
      </c>
      <c r="CI89" s="75">
        <f>资产资本表!CI55</f>
        <v>0</v>
      </c>
      <c r="CJ89" s="75">
        <f>资产资本表!CJ55</f>
        <v>0</v>
      </c>
      <c r="CK89" s="75">
        <f>资产资本表!CK55</f>
        <v>0</v>
      </c>
    </row>
    <row r="90" spans="1:89" s="75" customFormat="1" x14ac:dyDescent="0.25">
      <c r="A90" s="69" t="s">
        <v>588</v>
      </c>
      <c r="E90" s="75">
        <f>资产资本表!E56</f>
        <v>0</v>
      </c>
      <c r="F90" s="75">
        <f>资产资本表!F56</f>
        <v>0</v>
      </c>
      <c r="G90" s="75">
        <f>资产资本表!G56</f>
        <v>0</v>
      </c>
      <c r="H90" s="75">
        <f>资产资本表!H56</f>
        <v>0</v>
      </c>
      <c r="I90" s="75">
        <f>资产资本表!I56</f>
        <v>0</v>
      </c>
      <c r="J90" s="75">
        <f>资产资本表!J56</f>
        <v>0</v>
      </c>
      <c r="K90" s="75">
        <f>资产资本表!K56</f>
        <v>0</v>
      </c>
      <c r="L90" s="75">
        <f>资产资本表!L56</f>
        <v>0</v>
      </c>
      <c r="M90" s="75">
        <f>资产资本表!M56</f>
        <v>0</v>
      </c>
      <c r="N90" s="75">
        <f>资产资本表!N56</f>
        <v>0</v>
      </c>
      <c r="O90" s="75">
        <f>资产资本表!O56</f>
        <v>0</v>
      </c>
      <c r="P90" s="75">
        <f>资产资本表!P56</f>
        <v>0</v>
      </c>
      <c r="Q90" s="75">
        <f>资产资本表!Q56</f>
        <v>0</v>
      </c>
      <c r="R90" s="75">
        <f>资产资本表!R56</f>
        <v>0</v>
      </c>
      <c r="S90" s="75">
        <f>资产资本表!S56</f>
        <v>0</v>
      </c>
      <c r="T90" s="75">
        <f>资产资本表!T56</f>
        <v>0</v>
      </c>
      <c r="U90" s="75">
        <f>资产资本表!U56</f>
        <v>0</v>
      </c>
      <c r="V90" s="75">
        <f>资产资本表!V56</f>
        <v>0</v>
      </c>
      <c r="W90" s="75">
        <f>资产资本表!W56</f>
        <v>0</v>
      </c>
      <c r="X90" s="75">
        <f>资产资本表!X56</f>
        <v>0</v>
      </c>
      <c r="Y90" s="75">
        <f>资产资本表!Y56</f>
        <v>0</v>
      </c>
      <c r="Z90" s="75">
        <f>资产资本表!Z56</f>
        <v>0</v>
      </c>
      <c r="AA90" s="75">
        <f>资产资本表!AA56</f>
        <v>0</v>
      </c>
      <c r="AB90" s="75">
        <f>资产资本表!AB56</f>
        <v>0</v>
      </c>
      <c r="AC90" s="75">
        <f>资产资本表!AC56</f>
        <v>0</v>
      </c>
      <c r="AD90" s="75">
        <f>资产资本表!AD56</f>
        <v>0</v>
      </c>
      <c r="AE90" s="75">
        <f>资产资本表!AE56</f>
        <v>0</v>
      </c>
      <c r="AF90" s="75">
        <f>资产资本表!AF56</f>
        <v>0</v>
      </c>
      <c r="AG90" s="75">
        <f>资产资本表!AG56</f>
        <v>0</v>
      </c>
      <c r="AH90" s="75">
        <f>资产资本表!AH56</f>
        <v>0</v>
      </c>
      <c r="AI90" s="75">
        <f>资产资本表!AI56</f>
        <v>0</v>
      </c>
      <c r="AJ90" s="75">
        <f>资产资本表!AJ56</f>
        <v>0</v>
      </c>
      <c r="AK90" s="75">
        <f>资产资本表!AK56</f>
        <v>0</v>
      </c>
      <c r="AL90" s="75">
        <f>资产资本表!AL56</f>
        <v>0</v>
      </c>
      <c r="AM90" s="75">
        <f>资产资本表!AM56</f>
        <v>0</v>
      </c>
      <c r="AN90" s="75">
        <f>资产资本表!AN56</f>
        <v>0</v>
      </c>
      <c r="AO90" s="75">
        <f>资产资本表!AO56</f>
        <v>0</v>
      </c>
      <c r="AP90" s="75">
        <f>资产资本表!AP56</f>
        <v>0</v>
      </c>
      <c r="AQ90" s="75">
        <f>资产资本表!AQ56</f>
        <v>0</v>
      </c>
      <c r="AR90" s="75">
        <f>资产资本表!AR56</f>
        <v>0</v>
      </c>
      <c r="AS90" s="75">
        <f>资产资本表!AS56</f>
        <v>0</v>
      </c>
      <c r="AT90" s="75">
        <f>资产资本表!AT56</f>
        <v>0</v>
      </c>
      <c r="AU90" s="75">
        <f>资产资本表!AU56</f>
        <v>0</v>
      </c>
      <c r="AV90" s="75">
        <f>资产资本表!AV56</f>
        <v>0</v>
      </c>
      <c r="AW90" s="75">
        <f>资产资本表!AW56</f>
        <v>0</v>
      </c>
      <c r="AX90" s="75">
        <f>资产资本表!AX56</f>
        <v>0</v>
      </c>
      <c r="AY90" s="75">
        <f>资产资本表!AY56</f>
        <v>0</v>
      </c>
      <c r="AZ90" s="75">
        <f>资产资本表!AZ56</f>
        <v>0</v>
      </c>
      <c r="BA90" s="75">
        <f>资产资本表!BA56</f>
        <v>0</v>
      </c>
      <c r="BB90" s="75">
        <f>资产资本表!BB56</f>
        <v>0</v>
      </c>
      <c r="BC90" s="75">
        <f>资产资本表!BC56</f>
        <v>0</v>
      </c>
      <c r="BD90" s="75">
        <f>资产资本表!BD56</f>
        <v>0</v>
      </c>
      <c r="BE90" s="75">
        <f>资产资本表!BE56</f>
        <v>0</v>
      </c>
      <c r="BF90" s="75">
        <f>资产资本表!BF56</f>
        <v>0</v>
      </c>
      <c r="BG90" s="75">
        <f>资产资本表!BG56</f>
        <v>0</v>
      </c>
      <c r="BH90" s="75">
        <f>资产资本表!BH56</f>
        <v>0</v>
      </c>
      <c r="BI90" s="75">
        <f>资产资本表!BI56</f>
        <v>0</v>
      </c>
      <c r="BJ90" s="75">
        <f>资产资本表!BJ56</f>
        <v>0</v>
      </c>
      <c r="BK90" s="75">
        <f>资产资本表!BK56</f>
        <v>0</v>
      </c>
      <c r="BL90" s="75">
        <f>资产资本表!BL56</f>
        <v>0</v>
      </c>
      <c r="BM90" s="75">
        <f>资产资本表!BM56</f>
        <v>0</v>
      </c>
      <c r="BN90" s="75">
        <f>资产资本表!BN56</f>
        <v>0</v>
      </c>
      <c r="BO90" s="75">
        <f>资产资本表!BO56</f>
        <v>0</v>
      </c>
      <c r="BP90" s="75">
        <f>资产资本表!BP56</f>
        <v>0</v>
      </c>
      <c r="BQ90" s="75">
        <f>资产资本表!BQ56</f>
        <v>0</v>
      </c>
      <c r="BR90" s="75">
        <f>资产资本表!BR56</f>
        <v>0</v>
      </c>
      <c r="BS90" s="75">
        <f>资产资本表!BS56</f>
        <v>0</v>
      </c>
      <c r="BT90" s="75">
        <f>资产资本表!BT56</f>
        <v>0</v>
      </c>
      <c r="BU90" s="75">
        <f>资产资本表!BU56</f>
        <v>0</v>
      </c>
      <c r="BV90" s="75">
        <f>资产资本表!BV56</f>
        <v>0</v>
      </c>
      <c r="BW90" s="75">
        <f>资产资本表!BW56</f>
        <v>0</v>
      </c>
      <c r="BX90" s="75">
        <f>资产资本表!BX56</f>
        <v>0</v>
      </c>
      <c r="BY90" s="75">
        <f>资产资本表!BY56</f>
        <v>0</v>
      </c>
      <c r="BZ90" s="75">
        <f>资产资本表!BZ56</f>
        <v>0</v>
      </c>
      <c r="CA90" s="75">
        <f>资产资本表!CA56</f>
        <v>0</v>
      </c>
      <c r="CB90" s="75">
        <f>资产资本表!CB56</f>
        <v>0</v>
      </c>
      <c r="CC90" s="75">
        <f>资产资本表!CC56</f>
        <v>0</v>
      </c>
      <c r="CD90" s="75">
        <f>资产资本表!CD56</f>
        <v>0</v>
      </c>
      <c r="CE90" s="75">
        <f>资产资本表!CE56</f>
        <v>0</v>
      </c>
      <c r="CF90" s="75">
        <f>资产资本表!CF56</f>
        <v>0</v>
      </c>
      <c r="CG90" s="75">
        <f>资产资本表!CG56</f>
        <v>0</v>
      </c>
      <c r="CH90" s="75">
        <f>资产资本表!CH56</f>
        <v>0</v>
      </c>
      <c r="CI90" s="75">
        <f>资产资本表!CI56</f>
        <v>0</v>
      </c>
      <c r="CJ90" s="75">
        <f>资产资本表!CJ56</f>
        <v>0</v>
      </c>
      <c r="CK90" s="75">
        <f>资产资本表!CK56</f>
        <v>0</v>
      </c>
    </row>
    <row r="91" spans="1:89" s="75" customFormat="1" x14ac:dyDescent="0.25">
      <c r="A91" s="69" t="s">
        <v>589</v>
      </c>
      <c r="E91" s="75">
        <f>资产资本表!E57</f>
        <v>0</v>
      </c>
      <c r="F91" s="75">
        <f>资产资本表!F57</f>
        <v>0</v>
      </c>
      <c r="G91" s="75">
        <f>资产资本表!G57</f>
        <v>0</v>
      </c>
      <c r="H91" s="75">
        <f>资产资本表!H57</f>
        <v>0</v>
      </c>
      <c r="I91" s="75">
        <f>资产资本表!I57</f>
        <v>0</v>
      </c>
      <c r="J91" s="75">
        <f>资产资本表!J57</f>
        <v>0</v>
      </c>
      <c r="K91" s="75">
        <f>资产资本表!K57</f>
        <v>0</v>
      </c>
      <c r="L91" s="75">
        <f>资产资本表!L57</f>
        <v>0</v>
      </c>
      <c r="M91" s="75">
        <f>资产资本表!M57</f>
        <v>0</v>
      </c>
      <c r="N91" s="75">
        <f>资产资本表!N57</f>
        <v>0</v>
      </c>
      <c r="O91" s="75">
        <f>资产资本表!O57</f>
        <v>0</v>
      </c>
      <c r="P91" s="75">
        <f>资产资本表!P57</f>
        <v>0</v>
      </c>
      <c r="Q91" s="75">
        <f>资产资本表!Q57</f>
        <v>0</v>
      </c>
      <c r="R91" s="75">
        <f>资产资本表!R57</f>
        <v>0</v>
      </c>
      <c r="S91" s="75">
        <f>资产资本表!S57</f>
        <v>0</v>
      </c>
      <c r="T91" s="75">
        <f>资产资本表!T57</f>
        <v>0</v>
      </c>
      <c r="U91" s="75">
        <f>资产资本表!U57</f>
        <v>0</v>
      </c>
      <c r="V91" s="75">
        <f>资产资本表!V57</f>
        <v>0</v>
      </c>
      <c r="W91" s="75">
        <f>资产资本表!W57</f>
        <v>0</v>
      </c>
      <c r="X91" s="75">
        <f>资产资本表!X57</f>
        <v>0</v>
      </c>
      <c r="Y91" s="75">
        <f>资产资本表!Y57</f>
        <v>0</v>
      </c>
      <c r="Z91" s="75">
        <f>资产资本表!Z57</f>
        <v>0</v>
      </c>
      <c r="AA91" s="75">
        <f>资产资本表!AA57</f>
        <v>0</v>
      </c>
      <c r="AB91" s="75">
        <f>资产资本表!AB57</f>
        <v>0</v>
      </c>
      <c r="AC91" s="75">
        <f>资产资本表!AC57</f>
        <v>0</v>
      </c>
      <c r="AD91" s="75">
        <f>资产资本表!AD57</f>
        <v>0</v>
      </c>
      <c r="AE91" s="75">
        <f>资产资本表!AE57</f>
        <v>0</v>
      </c>
      <c r="AF91" s="75">
        <f>资产资本表!AF57</f>
        <v>0</v>
      </c>
      <c r="AG91" s="75">
        <f>资产资本表!AG57</f>
        <v>0</v>
      </c>
      <c r="AH91" s="75">
        <f>资产资本表!AH57</f>
        <v>0</v>
      </c>
      <c r="AI91" s="75">
        <f>资产资本表!AI57</f>
        <v>0</v>
      </c>
      <c r="AJ91" s="75">
        <f>资产资本表!AJ57</f>
        <v>0</v>
      </c>
      <c r="AK91" s="75">
        <f>资产资本表!AK57</f>
        <v>0</v>
      </c>
      <c r="AL91" s="75">
        <f>资产资本表!AL57</f>
        <v>0</v>
      </c>
      <c r="AM91" s="75">
        <f>资产资本表!AM57</f>
        <v>0</v>
      </c>
      <c r="AN91" s="75">
        <f>资产资本表!AN57</f>
        <v>0</v>
      </c>
      <c r="AO91" s="75">
        <f>资产资本表!AO57</f>
        <v>0</v>
      </c>
      <c r="AP91" s="75">
        <f>资产资本表!AP57</f>
        <v>0</v>
      </c>
      <c r="AQ91" s="75">
        <f>资产资本表!AQ57</f>
        <v>0</v>
      </c>
      <c r="AR91" s="75">
        <f>资产资本表!AR57</f>
        <v>0</v>
      </c>
      <c r="AS91" s="75">
        <f>资产资本表!AS57</f>
        <v>0</v>
      </c>
      <c r="AT91" s="75">
        <f>资产资本表!AT57</f>
        <v>0</v>
      </c>
      <c r="AU91" s="75">
        <f>资产资本表!AU57</f>
        <v>0</v>
      </c>
      <c r="AV91" s="75">
        <f>资产资本表!AV57</f>
        <v>0</v>
      </c>
      <c r="AW91" s="75">
        <f>资产资本表!AW57</f>
        <v>0</v>
      </c>
      <c r="AX91" s="75">
        <f>资产资本表!AX57</f>
        <v>0</v>
      </c>
      <c r="AY91" s="75">
        <f>资产资本表!AY57</f>
        <v>0</v>
      </c>
      <c r="AZ91" s="75">
        <f>资产资本表!AZ57</f>
        <v>0</v>
      </c>
      <c r="BA91" s="75">
        <f>资产资本表!BA57</f>
        <v>0</v>
      </c>
      <c r="BB91" s="75">
        <f>资产资本表!BB57</f>
        <v>0</v>
      </c>
      <c r="BC91" s="75">
        <f>资产资本表!BC57</f>
        <v>0</v>
      </c>
      <c r="BD91" s="75">
        <f>资产资本表!BD57</f>
        <v>0</v>
      </c>
      <c r="BE91" s="75">
        <f>资产资本表!BE57</f>
        <v>0</v>
      </c>
      <c r="BF91" s="75">
        <f>资产资本表!BF57</f>
        <v>0</v>
      </c>
      <c r="BG91" s="75">
        <f>资产资本表!BG57</f>
        <v>0</v>
      </c>
      <c r="BH91" s="75">
        <f>资产资本表!BH57</f>
        <v>0</v>
      </c>
      <c r="BI91" s="75">
        <f>资产资本表!BI57</f>
        <v>0</v>
      </c>
      <c r="BJ91" s="75">
        <f>资产资本表!BJ57</f>
        <v>0</v>
      </c>
      <c r="BK91" s="75">
        <f>资产资本表!BK57</f>
        <v>0</v>
      </c>
      <c r="BL91" s="75">
        <f>资产资本表!BL57</f>
        <v>0</v>
      </c>
      <c r="BM91" s="75">
        <f>资产资本表!BM57</f>
        <v>0</v>
      </c>
      <c r="BN91" s="75">
        <f>资产资本表!BN57</f>
        <v>0</v>
      </c>
      <c r="BO91" s="75">
        <f>资产资本表!BO57</f>
        <v>0</v>
      </c>
      <c r="BP91" s="75">
        <f>资产资本表!BP57</f>
        <v>0</v>
      </c>
      <c r="BQ91" s="75">
        <f>资产资本表!BQ57</f>
        <v>0</v>
      </c>
      <c r="BR91" s="75">
        <f>资产资本表!BR57</f>
        <v>0</v>
      </c>
      <c r="BS91" s="75">
        <f>资产资本表!BS57</f>
        <v>0</v>
      </c>
      <c r="BT91" s="75">
        <f>资产资本表!BT57</f>
        <v>0</v>
      </c>
      <c r="BU91" s="75">
        <f>资产资本表!BU57</f>
        <v>0</v>
      </c>
      <c r="BV91" s="75">
        <f>资产资本表!BV57</f>
        <v>0</v>
      </c>
      <c r="BW91" s="75">
        <f>资产资本表!BW57</f>
        <v>0</v>
      </c>
      <c r="BX91" s="75">
        <f>资产资本表!BX57</f>
        <v>0</v>
      </c>
      <c r="BY91" s="75">
        <f>资产资本表!BY57</f>
        <v>0</v>
      </c>
      <c r="BZ91" s="75">
        <f>资产资本表!BZ57</f>
        <v>0</v>
      </c>
      <c r="CA91" s="75">
        <f>资产资本表!CA57</f>
        <v>0</v>
      </c>
      <c r="CB91" s="75">
        <f>资产资本表!CB57</f>
        <v>0</v>
      </c>
      <c r="CC91" s="75">
        <f>资产资本表!CC57</f>
        <v>0</v>
      </c>
      <c r="CD91" s="75">
        <f>资产资本表!CD57</f>
        <v>0</v>
      </c>
      <c r="CE91" s="75">
        <f>资产资本表!CE57</f>
        <v>0</v>
      </c>
      <c r="CF91" s="75">
        <f>资产资本表!CF57</f>
        <v>0</v>
      </c>
      <c r="CG91" s="75">
        <f>资产资本表!CG57</f>
        <v>0</v>
      </c>
      <c r="CH91" s="75">
        <f>资产资本表!CH57</f>
        <v>0</v>
      </c>
      <c r="CI91" s="75">
        <f>资产资本表!CI57</f>
        <v>0</v>
      </c>
      <c r="CJ91" s="75">
        <f>资产资本表!CJ57</f>
        <v>0</v>
      </c>
      <c r="CK91" s="75">
        <f>资产资本表!CK57</f>
        <v>0</v>
      </c>
    </row>
    <row r="92" spans="1:89" s="75" customFormat="1" x14ac:dyDescent="0.25">
      <c r="A92" s="69" t="s">
        <v>590</v>
      </c>
      <c r="E92" s="75">
        <f>资产资本表!E58</f>
        <v>55522117.740000002</v>
      </c>
      <c r="F92" s="75">
        <f>资产资本表!F58</f>
        <v>55376172.719999999</v>
      </c>
      <c r="G92" s="75">
        <f>资产资本表!G58</f>
        <v>55591959.420000002</v>
      </c>
      <c r="H92" s="75">
        <f>资产资本表!H58</f>
        <v>56545406.509999998</v>
      </c>
      <c r="I92" s="75">
        <f>资产资本表!I58</f>
        <v>56907484.909999996</v>
      </c>
      <c r="J92" s="75">
        <f>资产资本表!J58</f>
        <v>65440239.509999998</v>
      </c>
      <c r="K92" s="75">
        <f>资产资本表!K58</f>
        <v>66009379.030000001</v>
      </c>
      <c r="L92" s="75">
        <f>资产资本表!L58</f>
        <v>67270884.709999993</v>
      </c>
      <c r="M92" s="75">
        <f>资产资本表!M58</f>
        <v>66607493.780000001</v>
      </c>
      <c r="N92" s="75">
        <f>资产资本表!N58</f>
        <v>57043974.93</v>
      </c>
      <c r="O92" s="75">
        <f>资产资本表!O58</f>
        <v>11661119.57</v>
      </c>
      <c r="P92" s="75">
        <f>资产资本表!P58</f>
        <v>4352089.13</v>
      </c>
      <c r="Q92" s="75">
        <f>资产资本表!Q58</f>
        <v>0</v>
      </c>
      <c r="R92" s="75">
        <f>资产资本表!R58</f>
        <v>0</v>
      </c>
      <c r="S92" s="75">
        <f>资产资本表!S58</f>
        <v>0</v>
      </c>
      <c r="T92" s="75">
        <f>资产资本表!T58</f>
        <v>0</v>
      </c>
      <c r="U92" s="75">
        <f>资产资本表!U58</f>
        <v>0</v>
      </c>
      <c r="V92" s="75">
        <f>资产资本表!V58</f>
        <v>0</v>
      </c>
      <c r="W92" s="75">
        <f>资产资本表!W58</f>
        <v>0</v>
      </c>
      <c r="X92" s="75">
        <f>资产资本表!X58</f>
        <v>0</v>
      </c>
      <c r="Y92" s="75">
        <f>资产资本表!Y58</f>
        <v>0</v>
      </c>
      <c r="Z92" s="75">
        <f>资产资本表!Z58</f>
        <v>0</v>
      </c>
      <c r="AA92" s="75">
        <f>资产资本表!AA58</f>
        <v>0</v>
      </c>
      <c r="AB92" s="75">
        <f>资产资本表!AB58</f>
        <v>0</v>
      </c>
      <c r="AC92" s="75">
        <f>资产资本表!AC58</f>
        <v>0</v>
      </c>
      <c r="AD92" s="75">
        <f>资产资本表!AD58</f>
        <v>0</v>
      </c>
      <c r="AE92" s="75">
        <f>资产资本表!AE58</f>
        <v>0</v>
      </c>
      <c r="AF92" s="75">
        <f>资产资本表!AF58</f>
        <v>0</v>
      </c>
      <c r="AG92" s="75">
        <f>资产资本表!AG58</f>
        <v>0</v>
      </c>
      <c r="AH92" s="75">
        <f>资产资本表!AH58</f>
        <v>0</v>
      </c>
      <c r="AI92" s="75">
        <f>资产资本表!AI58</f>
        <v>0</v>
      </c>
      <c r="AJ92" s="75">
        <f>资产资本表!AJ58</f>
        <v>0</v>
      </c>
      <c r="AK92" s="75">
        <f>资产资本表!AK58</f>
        <v>0</v>
      </c>
      <c r="AL92" s="75">
        <f>资产资本表!AL58</f>
        <v>0</v>
      </c>
      <c r="AM92" s="75">
        <f>资产资本表!AM58</f>
        <v>0</v>
      </c>
      <c r="AN92" s="75">
        <f>资产资本表!AN58</f>
        <v>0</v>
      </c>
      <c r="AO92" s="75">
        <f>资产资本表!AO58</f>
        <v>0</v>
      </c>
      <c r="AP92" s="75">
        <f>资产资本表!AP58</f>
        <v>0</v>
      </c>
      <c r="AQ92" s="75">
        <f>资产资本表!AQ58</f>
        <v>0</v>
      </c>
      <c r="AR92" s="75">
        <f>资产资本表!AR58</f>
        <v>0</v>
      </c>
      <c r="AS92" s="75">
        <f>资产资本表!AS58</f>
        <v>0</v>
      </c>
      <c r="AT92" s="75">
        <f>资产资本表!AT58</f>
        <v>0</v>
      </c>
      <c r="AU92" s="75">
        <f>资产资本表!AU58</f>
        <v>0</v>
      </c>
      <c r="AV92" s="75">
        <f>资产资本表!AV58</f>
        <v>0</v>
      </c>
      <c r="AW92" s="75">
        <f>资产资本表!AW58</f>
        <v>0</v>
      </c>
      <c r="AX92" s="75">
        <f>资产资本表!AX58</f>
        <v>0</v>
      </c>
      <c r="AY92" s="75">
        <f>资产资本表!AY58</f>
        <v>0</v>
      </c>
      <c r="AZ92" s="75">
        <f>资产资本表!AZ58</f>
        <v>0</v>
      </c>
      <c r="BA92" s="75">
        <f>资产资本表!BA58</f>
        <v>0</v>
      </c>
      <c r="BB92" s="75">
        <f>资产资本表!BB58</f>
        <v>0</v>
      </c>
      <c r="BC92" s="75">
        <f>资产资本表!BC58</f>
        <v>0</v>
      </c>
      <c r="BD92" s="75">
        <f>资产资本表!BD58</f>
        <v>0</v>
      </c>
      <c r="BE92" s="75">
        <f>资产资本表!BE58</f>
        <v>0</v>
      </c>
      <c r="BF92" s="75">
        <f>资产资本表!BF58</f>
        <v>0</v>
      </c>
      <c r="BG92" s="75">
        <f>资产资本表!BG58</f>
        <v>0</v>
      </c>
      <c r="BH92" s="75">
        <f>资产资本表!BH58</f>
        <v>0</v>
      </c>
      <c r="BI92" s="75">
        <f>资产资本表!BI58</f>
        <v>0</v>
      </c>
      <c r="BJ92" s="75">
        <f>资产资本表!BJ58</f>
        <v>0</v>
      </c>
      <c r="BK92" s="75">
        <f>资产资本表!BK58</f>
        <v>0</v>
      </c>
      <c r="BL92" s="75">
        <f>资产资本表!BL58</f>
        <v>0</v>
      </c>
      <c r="BM92" s="75">
        <f>资产资本表!BM58</f>
        <v>0</v>
      </c>
      <c r="BN92" s="75">
        <f>资产资本表!BN58</f>
        <v>0</v>
      </c>
      <c r="BO92" s="75">
        <f>资产资本表!BO58</f>
        <v>0</v>
      </c>
      <c r="BP92" s="75">
        <f>资产资本表!BP58</f>
        <v>0</v>
      </c>
      <c r="BQ92" s="75">
        <f>资产资本表!BQ58</f>
        <v>0</v>
      </c>
      <c r="BR92" s="75">
        <f>资产资本表!BR58</f>
        <v>0</v>
      </c>
      <c r="BS92" s="75">
        <f>资产资本表!BS58</f>
        <v>0</v>
      </c>
      <c r="BT92" s="75">
        <f>资产资本表!BT58</f>
        <v>0</v>
      </c>
      <c r="BU92" s="75">
        <f>资产资本表!BU58</f>
        <v>0</v>
      </c>
      <c r="BV92" s="75">
        <f>资产资本表!BV58</f>
        <v>0</v>
      </c>
      <c r="BW92" s="75">
        <f>资产资本表!BW58</f>
        <v>0</v>
      </c>
      <c r="BX92" s="75">
        <f>资产资本表!BX58</f>
        <v>0</v>
      </c>
      <c r="BY92" s="75">
        <f>资产资本表!BY58</f>
        <v>0</v>
      </c>
      <c r="BZ92" s="75">
        <f>资产资本表!BZ58</f>
        <v>0</v>
      </c>
      <c r="CA92" s="75">
        <f>资产资本表!CA58</f>
        <v>0</v>
      </c>
      <c r="CB92" s="75">
        <f>资产资本表!CB58</f>
        <v>0</v>
      </c>
      <c r="CC92" s="75">
        <f>资产资本表!CC58</f>
        <v>0</v>
      </c>
      <c r="CD92" s="75">
        <f>资产资本表!CD58</f>
        <v>0</v>
      </c>
      <c r="CE92" s="75">
        <f>资产资本表!CE58</f>
        <v>0</v>
      </c>
      <c r="CF92" s="75">
        <f>资产资本表!CF58</f>
        <v>0</v>
      </c>
      <c r="CG92" s="75">
        <f>资产资本表!CG58</f>
        <v>0</v>
      </c>
      <c r="CH92" s="75">
        <f>资产资本表!CH58</f>
        <v>0</v>
      </c>
      <c r="CI92" s="75">
        <f>资产资本表!CI58</f>
        <v>0</v>
      </c>
      <c r="CJ92" s="75">
        <f>资产资本表!CJ58</f>
        <v>0</v>
      </c>
      <c r="CK92" s="75">
        <f>资产资本表!CK58</f>
        <v>0</v>
      </c>
    </row>
    <row r="93" spans="1:89" s="153" customFormat="1" x14ac:dyDescent="0.25">
      <c r="A93" s="249" t="s">
        <v>689</v>
      </c>
      <c r="E93" s="153">
        <f>E81/E92</f>
        <v>13.551517060523418</v>
      </c>
      <c r="F93" s="153">
        <f t="shared" ref="F93:BQ93" si="52">F81/F92</f>
        <v>9.4945698907087639</v>
      </c>
      <c r="G93" s="153">
        <f t="shared" si="52"/>
        <v>6.1118684959998486</v>
      </c>
      <c r="H93" s="153">
        <f t="shared" si="52"/>
        <v>2.7181833375416296</v>
      </c>
      <c r="I93" s="153">
        <f t="shared" si="52"/>
        <v>11.685833991991124</v>
      </c>
      <c r="J93" s="153">
        <f t="shared" si="52"/>
        <v>6.9377484654624855</v>
      </c>
      <c r="K93" s="153">
        <f t="shared" si="52"/>
        <v>4.291167927534433</v>
      </c>
      <c r="L93" s="153">
        <f t="shared" si="52"/>
        <v>1.8477932870343547</v>
      </c>
      <c r="M93" s="153">
        <f t="shared" si="52"/>
        <v>8.9635240386310766</v>
      </c>
      <c r="N93" s="153">
        <f t="shared" si="52"/>
        <v>7.1782397729554566</v>
      </c>
      <c r="O93" s="153">
        <f t="shared" si="52"/>
        <v>45.348105519854471</v>
      </c>
      <c r="P93" s="153">
        <f t="shared" si="52"/>
        <v>111.4195798237248</v>
      </c>
      <c r="Q93" s="153" t="e">
        <f t="shared" si="52"/>
        <v>#DIV/0!</v>
      </c>
      <c r="R93" s="153" t="e">
        <f t="shared" si="52"/>
        <v>#DIV/0!</v>
      </c>
      <c r="S93" s="153" t="e">
        <f t="shared" si="52"/>
        <v>#DIV/0!</v>
      </c>
      <c r="T93" s="153" t="e">
        <f t="shared" si="52"/>
        <v>#DIV/0!</v>
      </c>
      <c r="U93" s="153" t="e">
        <f t="shared" si="52"/>
        <v>#DIV/0!</v>
      </c>
      <c r="V93" s="153" t="e">
        <f t="shared" si="52"/>
        <v>#DIV/0!</v>
      </c>
      <c r="W93" s="153" t="e">
        <f t="shared" si="52"/>
        <v>#DIV/0!</v>
      </c>
      <c r="X93" s="153" t="e">
        <f t="shared" si="52"/>
        <v>#DIV/0!</v>
      </c>
      <c r="Y93" s="153" t="e">
        <f t="shared" si="52"/>
        <v>#DIV/0!</v>
      </c>
      <c r="Z93" s="153" t="e">
        <f t="shared" si="52"/>
        <v>#DIV/0!</v>
      </c>
      <c r="AA93" s="153" t="e">
        <f t="shared" si="52"/>
        <v>#DIV/0!</v>
      </c>
      <c r="AB93" s="153" t="e">
        <f t="shared" si="52"/>
        <v>#DIV/0!</v>
      </c>
      <c r="AC93" s="153" t="e">
        <f t="shared" si="52"/>
        <v>#DIV/0!</v>
      </c>
      <c r="AD93" s="153" t="e">
        <f t="shared" si="52"/>
        <v>#DIV/0!</v>
      </c>
      <c r="AE93" s="153" t="e">
        <f t="shared" si="52"/>
        <v>#DIV/0!</v>
      </c>
      <c r="AF93" s="153" t="e">
        <f t="shared" si="52"/>
        <v>#DIV/0!</v>
      </c>
      <c r="AG93" s="153" t="e">
        <f t="shared" si="52"/>
        <v>#DIV/0!</v>
      </c>
      <c r="AH93" s="153" t="e">
        <f t="shared" si="52"/>
        <v>#DIV/0!</v>
      </c>
      <c r="AI93" s="153" t="e">
        <f t="shared" si="52"/>
        <v>#DIV/0!</v>
      </c>
      <c r="AJ93" s="153" t="e">
        <f t="shared" si="52"/>
        <v>#DIV/0!</v>
      </c>
      <c r="AK93" s="153" t="e">
        <f t="shared" si="52"/>
        <v>#DIV/0!</v>
      </c>
      <c r="AL93" s="153" t="e">
        <f t="shared" si="52"/>
        <v>#DIV/0!</v>
      </c>
      <c r="AM93" s="153" t="e">
        <f t="shared" si="52"/>
        <v>#DIV/0!</v>
      </c>
      <c r="AN93" s="153" t="e">
        <f t="shared" si="52"/>
        <v>#DIV/0!</v>
      </c>
      <c r="AO93" s="153" t="e">
        <f t="shared" si="52"/>
        <v>#DIV/0!</v>
      </c>
      <c r="AP93" s="153" t="e">
        <f t="shared" si="52"/>
        <v>#DIV/0!</v>
      </c>
      <c r="AQ93" s="153" t="e">
        <f t="shared" si="52"/>
        <v>#DIV/0!</v>
      </c>
      <c r="AR93" s="153" t="e">
        <f t="shared" si="52"/>
        <v>#DIV/0!</v>
      </c>
      <c r="AS93" s="153" t="e">
        <f t="shared" si="52"/>
        <v>#DIV/0!</v>
      </c>
      <c r="AT93" s="153" t="e">
        <f t="shared" si="52"/>
        <v>#DIV/0!</v>
      </c>
      <c r="AU93" s="153" t="e">
        <f t="shared" si="52"/>
        <v>#DIV/0!</v>
      </c>
      <c r="AV93" s="153" t="e">
        <f t="shared" si="52"/>
        <v>#DIV/0!</v>
      </c>
      <c r="AW93" s="153" t="e">
        <f t="shared" si="52"/>
        <v>#DIV/0!</v>
      </c>
      <c r="AX93" s="153" t="e">
        <f t="shared" si="52"/>
        <v>#DIV/0!</v>
      </c>
      <c r="AY93" s="153" t="e">
        <f t="shared" si="52"/>
        <v>#DIV/0!</v>
      </c>
      <c r="AZ93" s="153" t="e">
        <f t="shared" si="52"/>
        <v>#DIV/0!</v>
      </c>
      <c r="BA93" s="153" t="e">
        <f t="shared" si="52"/>
        <v>#DIV/0!</v>
      </c>
      <c r="BB93" s="153" t="e">
        <f t="shared" si="52"/>
        <v>#DIV/0!</v>
      </c>
      <c r="BC93" s="153" t="e">
        <f t="shared" si="52"/>
        <v>#DIV/0!</v>
      </c>
      <c r="BD93" s="153" t="e">
        <f t="shared" si="52"/>
        <v>#DIV/0!</v>
      </c>
      <c r="BE93" s="153" t="e">
        <f t="shared" si="52"/>
        <v>#DIV/0!</v>
      </c>
      <c r="BF93" s="153" t="e">
        <f t="shared" si="52"/>
        <v>#DIV/0!</v>
      </c>
      <c r="BG93" s="153" t="e">
        <f t="shared" si="52"/>
        <v>#DIV/0!</v>
      </c>
      <c r="BH93" s="153" t="e">
        <f t="shared" si="52"/>
        <v>#DIV/0!</v>
      </c>
      <c r="BI93" s="153" t="e">
        <f t="shared" si="52"/>
        <v>#DIV/0!</v>
      </c>
      <c r="BJ93" s="153" t="e">
        <f t="shared" si="52"/>
        <v>#DIV/0!</v>
      </c>
      <c r="BK93" s="153" t="e">
        <f t="shared" si="52"/>
        <v>#DIV/0!</v>
      </c>
      <c r="BL93" s="153" t="e">
        <f t="shared" si="52"/>
        <v>#DIV/0!</v>
      </c>
      <c r="BM93" s="153" t="e">
        <f t="shared" si="52"/>
        <v>#DIV/0!</v>
      </c>
      <c r="BN93" s="153" t="e">
        <f t="shared" si="52"/>
        <v>#DIV/0!</v>
      </c>
      <c r="BO93" s="153" t="e">
        <f t="shared" si="52"/>
        <v>#DIV/0!</v>
      </c>
      <c r="BP93" s="153" t="e">
        <f t="shared" si="52"/>
        <v>#DIV/0!</v>
      </c>
      <c r="BQ93" s="153" t="e">
        <f t="shared" si="52"/>
        <v>#DIV/0!</v>
      </c>
      <c r="BR93" s="153" t="e">
        <f t="shared" ref="BR93:CK93" si="53">BR81/BR92</f>
        <v>#DIV/0!</v>
      </c>
      <c r="BS93" s="153" t="e">
        <f t="shared" si="53"/>
        <v>#DIV/0!</v>
      </c>
      <c r="BT93" s="153" t="e">
        <f t="shared" si="53"/>
        <v>#DIV/0!</v>
      </c>
      <c r="BU93" s="153" t="e">
        <f t="shared" si="53"/>
        <v>#DIV/0!</v>
      </c>
      <c r="BV93" s="153" t="e">
        <f t="shared" si="53"/>
        <v>#DIV/0!</v>
      </c>
      <c r="BW93" s="153" t="e">
        <f t="shared" si="53"/>
        <v>#DIV/0!</v>
      </c>
      <c r="BX93" s="153" t="e">
        <f t="shared" si="53"/>
        <v>#DIV/0!</v>
      </c>
      <c r="BY93" s="153" t="e">
        <f t="shared" si="53"/>
        <v>#DIV/0!</v>
      </c>
      <c r="BZ93" s="153" t="e">
        <f t="shared" si="53"/>
        <v>#DIV/0!</v>
      </c>
      <c r="CA93" s="153" t="e">
        <f t="shared" si="53"/>
        <v>#DIV/0!</v>
      </c>
      <c r="CB93" s="153" t="e">
        <f t="shared" si="53"/>
        <v>#DIV/0!</v>
      </c>
      <c r="CC93" s="153" t="e">
        <f t="shared" si="53"/>
        <v>#DIV/0!</v>
      </c>
      <c r="CD93" s="153" t="e">
        <f t="shared" si="53"/>
        <v>#DIV/0!</v>
      </c>
      <c r="CE93" s="153" t="e">
        <f t="shared" si="53"/>
        <v>#DIV/0!</v>
      </c>
      <c r="CF93" s="153" t="e">
        <f t="shared" si="53"/>
        <v>#DIV/0!</v>
      </c>
      <c r="CG93" s="153" t="e">
        <f t="shared" si="53"/>
        <v>#DIV/0!</v>
      </c>
      <c r="CH93" s="153" t="e">
        <f t="shared" si="53"/>
        <v>#DIV/0!</v>
      </c>
      <c r="CI93" s="153" t="e">
        <f t="shared" si="53"/>
        <v>#DIV/0!</v>
      </c>
      <c r="CJ93" s="153" t="e">
        <f t="shared" si="53"/>
        <v>#DIV/0!</v>
      </c>
      <c r="CK93" s="153" t="e">
        <f t="shared" si="53"/>
        <v>#DIV/0!</v>
      </c>
    </row>
    <row r="94" spans="1:89" s="75" customFormat="1" x14ac:dyDescent="0.25">
      <c r="A94" s="69" t="s">
        <v>591</v>
      </c>
      <c r="E94" s="75">
        <f>资产资本表!E59</f>
        <v>0</v>
      </c>
      <c r="F94" s="75">
        <f>资产资本表!F59</f>
        <v>0</v>
      </c>
      <c r="G94" s="75">
        <f>资产资本表!G59</f>
        <v>0</v>
      </c>
      <c r="H94" s="75">
        <f>资产资本表!H59</f>
        <v>0</v>
      </c>
      <c r="I94" s="75">
        <f>资产资本表!I59</f>
        <v>0</v>
      </c>
      <c r="J94" s="75">
        <f>资产资本表!J59</f>
        <v>0</v>
      </c>
      <c r="K94" s="75">
        <f>资产资本表!K59</f>
        <v>0</v>
      </c>
      <c r="L94" s="75">
        <f>资产资本表!L59</f>
        <v>0</v>
      </c>
      <c r="M94" s="75">
        <f>资产资本表!M59</f>
        <v>0</v>
      </c>
      <c r="N94" s="75">
        <f>资产资本表!N59</f>
        <v>0</v>
      </c>
      <c r="O94" s="75">
        <f>资产资本表!O59</f>
        <v>0</v>
      </c>
      <c r="P94" s="75">
        <f>资产资本表!P59</f>
        <v>0</v>
      </c>
      <c r="Q94" s="75">
        <f>资产资本表!Q59</f>
        <v>0</v>
      </c>
      <c r="R94" s="75">
        <f>资产资本表!R59</f>
        <v>0</v>
      </c>
      <c r="S94" s="75">
        <f>资产资本表!S59</f>
        <v>0</v>
      </c>
      <c r="T94" s="75">
        <f>资产资本表!T59</f>
        <v>0</v>
      </c>
      <c r="U94" s="75">
        <f>资产资本表!U59</f>
        <v>0</v>
      </c>
      <c r="V94" s="75">
        <f>资产资本表!V59</f>
        <v>0</v>
      </c>
      <c r="W94" s="75">
        <f>资产资本表!W59</f>
        <v>0</v>
      </c>
      <c r="X94" s="75">
        <f>资产资本表!X59</f>
        <v>0</v>
      </c>
      <c r="Y94" s="75">
        <f>资产资本表!Y59</f>
        <v>0</v>
      </c>
      <c r="Z94" s="75">
        <f>资产资本表!Z59</f>
        <v>0</v>
      </c>
      <c r="AA94" s="75">
        <f>资产资本表!AA59</f>
        <v>0</v>
      </c>
      <c r="AB94" s="75">
        <f>资产资本表!AB59</f>
        <v>0</v>
      </c>
      <c r="AC94" s="75">
        <f>资产资本表!AC59</f>
        <v>0</v>
      </c>
      <c r="AD94" s="75">
        <f>资产资本表!AD59</f>
        <v>0</v>
      </c>
      <c r="AE94" s="75">
        <f>资产资本表!AE59</f>
        <v>0</v>
      </c>
      <c r="AF94" s="75">
        <f>资产资本表!AF59</f>
        <v>0</v>
      </c>
      <c r="AG94" s="75">
        <f>资产资本表!AG59</f>
        <v>0</v>
      </c>
      <c r="AH94" s="75">
        <f>资产资本表!AH59</f>
        <v>0</v>
      </c>
      <c r="AI94" s="75">
        <f>资产资本表!AI59</f>
        <v>0</v>
      </c>
      <c r="AJ94" s="75">
        <f>资产资本表!AJ59</f>
        <v>0</v>
      </c>
      <c r="AK94" s="75">
        <f>资产资本表!AK59</f>
        <v>0</v>
      </c>
      <c r="AL94" s="75">
        <f>资产资本表!AL59</f>
        <v>0</v>
      </c>
      <c r="AM94" s="75">
        <f>资产资本表!AM59</f>
        <v>0</v>
      </c>
      <c r="AN94" s="75">
        <f>资产资本表!AN59</f>
        <v>0</v>
      </c>
      <c r="AO94" s="75">
        <f>资产资本表!AO59</f>
        <v>0</v>
      </c>
      <c r="AP94" s="75">
        <f>资产资本表!AP59</f>
        <v>0</v>
      </c>
      <c r="AQ94" s="75">
        <f>资产资本表!AQ59</f>
        <v>0</v>
      </c>
      <c r="AR94" s="75">
        <f>资产资本表!AR59</f>
        <v>0</v>
      </c>
      <c r="AS94" s="75">
        <f>资产资本表!AS59</f>
        <v>0</v>
      </c>
      <c r="AT94" s="75">
        <f>资产资本表!AT59</f>
        <v>0</v>
      </c>
      <c r="AU94" s="75">
        <f>资产资本表!AU59</f>
        <v>0</v>
      </c>
      <c r="AV94" s="75">
        <f>资产资本表!AV59</f>
        <v>0</v>
      </c>
      <c r="AW94" s="75">
        <f>资产资本表!AW59</f>
        <v>0</v>
      </c>
      <c r="AX94" s="75">
        <f>资产资本表!AX59</f>
        <v>0</v>
      </c>
      <c r="AY94" s="75">
        <f>资产资本表!AY59</f>
        <v>0</v>
      </c>
      <c r="AZ94" s="75">
        <f>资产资本表!AZ59</f>
        <v>0</v>
      </c>
      <c r="BA94" s="75">
        <f>资产资本表!BA59</f>
        <v>0</v>
      </c>
      <c r="BB94" s="75">
        <f>资产资本表!BB59</f>
        <v>0</v>
      </c>
      <c r="BC94" s="75">
        <f>资产资本表!BC59</f>
        <v>0</v>
      </c>
      <c r="BD94" s="75">
        <f>资产资本表!BD59</f>
        <v>0</v>
      </c>
      <c r="BE94" s="75">
        <f>资产资本表!BE59</f>
        <v>0</v>
      </c>
      <c r="BF94" s="75">
        <f>资产资本表!BF59</f>
        <v>0</v>
      </c>
      <c r="BG94" s="75">
        <f>资产资本表!BG59</f>
        <v>0</v>
      </c>
      <c r="BH94" s="75">
        <f>资产资本表!BH59</f>
        <v>0</v>
      </c>
      <c r="BI94" s="75">
        <f>资产资本表!BI59</f>
        <v>0</v>
      </c>
      <c r="BJ94" s="75">
        <f>资产资本表!BJ59</f>
        <v>0</v>
      </c>
      <c r="BK94" s="75">
        <f>资产资本表!BK59</f>
        <v>0</v>
      </c>
      <c r="BL94" s="75">
        <f>资产资本表!BL59</f>
        <v>0</v>
      </c>
      <c r="BM94" s="75">
        <f>资产资本表!BM59</f>
        <v>0</v>
      </c>
      <c r="BN94" s="75">
        <f>资产资本表!BN59</f>
        <v>0</v>
      </c>
      <c r="BO94" s="75">
        <f>资产资本表!BO59</f>
        <v>0</v>
      </c>
      <c r="BP94" s="75">
        <f>资产资本表!BP59</f>
        <v>0</v>
      </c>
      <c r="BQ94" s="75">
        <f>资产资本表!BQ59</f>
        <v>0</v>
      </c>
      <c r="BR94" s="75">
        <f>资产资本表!BR59</f>
        <v>0</v>
      </c>
      <c r="BS94" s="75">
        <f>资产资本表!BS59</f>
        <v>0</v>
      </c>
      <c r="BT94" s="75">
        <f>资产资本表!BT59</f>
        <v>0</v>
      </c>
      <c r="BU94" s="75">
        <f>资产资本表!BU59</f>
        <v>0</v>
      </c>
      <c r="BV94" s="75">
        <f>资产资本表!BV59</f>
        <v>0</v>
      </c>
      <c r="BW94" s="75">
        <f>资产资本表!BW59</f>
        <v>0</v>
      </c>
      <c r="BX94" s="75">
        <f>资产资本表!BX59</f>
        <v>0</v>
      </c>
      <c r="BY94" s="75">
        <f>资产资本表!BY59</f>
        <v>0</v>
      </c>
      <c r="BZ94" s="75">
        <f>资产资本表!BZ59</f>
        <v>0</v>
      </c>
      <c r="CA94" s="75">
        <f>资产资本表!CA59</f>
        <v>0</v>
      </c>
      <c r="CB94" s="75">
        <f>资产资本表!CB59</f>
        <v>0</v>
      </c>
      <c r="CC94" s="75">
        <f>资产资本表!CC59</f>
        <v>0</v>
      </c>
      <c r="CD94" s="75">
        <f>资产资本表!CD59</f>
        <v>0</v>
      </c>
      <c r="CE94" s="75">
        <f>资产资本表!CE59</f>
        <v>0</v>
      </c>
      <c r="CF94" s="75">
        <f>资产资本表!CF59</f>
        <v>0</v>
      </c>
      <c r="CG94" s="75">
        <f>资产资本表!CG59</f>
        <v>0</v>
      </c>
      <c r="CH94" s="75">
        <f>资产资本表!CH59</f>
        <v>0</v>
      </c>
      <c r="CI94" s="75">
        <f>资产资本表!CI59</f>
        <v>0</v>
      </c>
      <c r="CJ94" s="75">
        <f>资产资本表!CJ59</f>
        <v>0</v>
      </c>
      <c r="CK94" s="75">
        <f>资产资本表!CK59</f>
        <v>0</v>
      </c>
    </row>
    <row r="95" spans="1:89" s="75" customFormat="1" x14ac:dyDescent="0.25">
      <c r="A95" s="69" t="s">
        <v>592</v>
      </c>
      <c r="E95" s="75">
        <f>资产资本表!E60</f>
        <v>62947457.899999999</v>
      </c>
      <c r="F95" s="75">
        <f>资产资本表!F60</f>
        <v>62947457.899999999</v>
      </c>
      <c r="G95" s="75">
        <f>资产资本表!G60</f>
        <v>62947457.899999999</v>
      </c>
      <c r="H95" s="75">
        <f>资产资本表!H60</f>
        <v>62947457.899999999</v>
      </c>
      <c r="I95" s="75">
        <f>资产资本表!I60</f>
        <v>62947457.899999999</v>
      </c>
      <c r="J95" s="75">
        <f>资产资本表!J60</f>
        <v>62947457.899999999</v>
      </c>
      <c r="K95" s="75">
        <f>资产资本表!K60</f>
        <v>62947457.899999999</v>
      </c>
      <c r="L95" s="75">
        <f>资产资本表!L60</f>
        <v>62947457.899999999</v>
      </c>
      <c r="M95" s="75">
        <f>资产资本表!M60</f>
        <v>62082734.619999997</v>
      </c>
      <c r="N95" s="75">
        <f>资产资本表!N60</f>
        <v>62082734.619999997</v>
      </c>
      <c r="O95" s="75">
        <f>资产资本表!O60</f>
        <v>62082734.619999997</v>
      </c>
      <c r="P95" s="75">
        <f>资产资本表!P60</f>
        <v>36083966.270000003</v>
      </c>
      <c r="Q95" s="75">
        <f>资产资本表!Q60</f>
        <v>0</v>
      </c>
      <c r="R95" s="75">
        <f>资产资本表!R60</f>
        <v>0</v>
      </c>
      <c r="S95" s="75">
        <f>资产资本表!S60</f>
        <v>0</v>
      </c>
      <c r="T95" s="75">
        <f>资产资本表!T60</f>
        <v>0</v>
      </c>
      <c r="U95" s="75">
        <f>资产资本表!U60</f>
        <v>0</v>
      </c>
      <c r="V95" s="75">
        <f>资产资本表!V60</f>
        <v>0</v>
      </c>
      <c r="W95" s="75">
        <f>资产资本表!W60</f>
        <v>0</v>
      </c>
      <c r="X95" s="75">
        <f>资产资本表!X60</f>
        <v>0</v>
      </c>
      <c r="Y95" s="75">
        <f>资产资本表!Y60</f>
        <v>0</v>
      </c>
      <c r="Z95" s="75">
        <f>资产资本表!Z60</f>
        <v>0</v>
      </c>
      <c r="AA95" s="75">
        <f>资产资本表!AA60</f>
        <v>0</v>
      </c>
      <c r="AB95" s="75">
        <f>资产资本表!AB60</f>
        <v>0</v>
      </c>
      <c r="AC95" s="75">
        <f>资产资本表!AC60</f>
        <v>0</v>
      </c>
      <c r="AD95" s="75">
        <f>资产资本表!AD60</f>
        <v>0</v>
      </c>
      <c r="AE95" s="75">
        <f>资产资本表!AE60</f>
        <v>0</v>
      </c>
      <c r="AF95" s="75">
        <f>资产资本表!AF60</f>
        <v>0</v>
      </c>
      <c r="AG95" s="75">
        <f>资产资本表!AG60</f>
        <v>0</v>
      </c>
      <c r="AH95" s="75">
        <f>资产资本表!AH60</f>
        <v>0</v>
      </c>
      <c r="AI95" s="75">
        <f>资产资本表!AI60</f>
        <v>0</v>
      </c>
      <c r="AJ95" s="75">
        <f>资产资本表!AJ60</f>
        <v>0</v>
      </c>
      <c r="AK95" s="75">
        <f>资产资本表!AK60</f>
        <v>0</v>
      </c>
      <c r="AL95" s="75">
        <f>资产资本表!AL60</f>
        <v>0</v>
      </c>
      <c r="AM95" s="75">
        <f>资产资本表!AM60</f>
        <v>0</v>
      </c>
      <c r="AN95" s="75">
        <f>资产资本表!AN60</f>
        <v>0</v>
      </c>
      <c r="AO95" s="75">
        <f>资产资本表!AO60</f>
        <v>0</v>
      </c>
      <c r="AP95" s="75">
        <f>资产资本表!AP60</f>
        <v>0</v>
      </c>
      <c r="AQ95" s="75">
        <f>资产资本表!AQ60</f>
        <v>0</v>
      </c>
      <c r="AR95" s="75">
        <f>资产资本表!AR60</f>
        <v>0</v>
      </c>
      <c r="AS95" s="75">
        <f>资产资本表!AS60</f>
        <v>0</v>
      </c>
      <c r="AT95" s="75">
        <f>资产资本表!AT60</f>
        <v>0</v>
      </c>
      <c r="AU95" s="75">
        <f>资产资本表!AU60</f>
        <v>0</v>
      </c>
      <c r="AV95" s="75">
        <f>资产资本表!AV60</f>
        <v>0</v>
      </c>
      <c r="AW95" s="75">
        <f>资产资本表!AW60</f>
        <v>0</v>
      </c>
      <c r="AX95" s="75">
        <f>资产资本表!AX60</f>
        <v>0</v>
      </c>
      <c r="AY95" s="75">
        <f>资产资本表!AY60</f>
        <v>0</v>
      </c>
      <c r="AZ95" s="75">
        <f>资产资本表!AZ60</f>
        <v>0</v>
      </c>
      <c r="BA95" s="75">
        <f>资产资本表!BA60</f>
        <v>0</v>
      </c>
      <c r="BB95" s="75">
        <f>资产资本表!BB60</f>
        <v>0</v>
      </c>
      <c r="BC95" s="75">
        <f>资产资本表!BC60</f>
        <v>0</v>
      </c>
      <c r="BD95" s="75">
        <f>资产资本表!BD60</f>
        <v>0</v>
      </c>
      <c r="BE95" s="75">
        <f>资产资本表!BE60</f>
        <v>0</v>
      </c>
      <c r="BF95" s="75">
        <f>资产资本表!BF60</f>
        <v>0</v>
      </c>
      <c r="BG95" s="75">
        <f>资产资本表!BG60</f>
        <v>0</v>
      </c>
      <c r="BH95" s="75">
        <f>资产资本表!BH60</f>
        <v>0</v>
      </c>
      <c r="BI95" s="75">
        <f>资产资本表!BI60</f>
        <v>0</v>
      </c>
      <c r="BJ95" s="75">
        <f>资产资本表!BJ60</f>
        <v>0</v>
      </c>
      <c r="BK95" s="75">
        <f>资产资本表!BK60</f>
        <v>0</v>
      </c>
      <c r="BL95" s="75">
        <f>资产资本表!BL60</f>
        <v>0</v>
      </c>
      <c r="BM95" s="75">
        <f>资产资本表!BM60</f>
        <v>0</v>
      </c>
      <c r="BN95" s="75">
        <f>资产资本表!BN60</f>
        <v>0</v>
      </c>
      <c r="BO95" s="75">
        <f>资产资本表!BO60</f>
        <v>0</v>
      </c>
      <c r="BP95" s="75">
        <f>资产资本表!BP60</f>
        <v>0</v>
      </c>
      <c r="BQ95" s="75">
        <f>资产资本表!BQ60</f>
        <v>0</v>
      </c>
      <c r="BR95" s="75">
        <f>资产资本表!BR60</f>
        <v>0</v>
      </c>
      <c r="BS95" s="75">
        <f>资产资本表!BS60</f>
        <v>0</v>
      </c>
      <c r="BT95" s="75">
        <f>资产资本表!BT60</f>
        <v>0</v>
      </c>
      <c r="BU95" s="75">
        <f>资产资本表!BU60</f>
        <v>0</v>
      </c>
      <c r="BV95" s="75">
        <f>资产资本表!BV60</f>
        <v>0</v>
      </c>
      <c r="BW95" s="75">
        <f>资产资本表!BW60</f>
        <v>0</v>
      </c>
      <c r="BX95" s="75">
        <f>资产资本表!BX60</f>
        <v>0</v>
      </c>
      <c r="BY95" s="75">
        <f>资产资本表!BY60</f>
        <v>0</v>
      </c>
      <c r="BZ95" s="75">
        <f>资产资本表!BZ60</f>
        <v>0</v>
      </c>
      <c r="CA95" s="75">
        <f>资产资本表!CA60</f>
        <v>0</v>
      </c>
      <c r="CB95" s="75">
        <f>资产资本表!CB60</f>
        <v>0</v>
      </c>
      <c r="CC95" s="75">
        <f>资产资本表!CC60</f>
        <v>0</v>
      </c>
      <c r="CD95" s="75">
        <f>资产资本表!CD60</f>
        <v>0</v>
      </c>
      <c r="CE95" s="75">
        <f>资产资本表!CE60</f>
        <v>0</v>
      </c>
      <c r="CF95" s="75">
        <f>资产资本表!CF60</f>
        <v>0</v>
      </c>
      <c r="CG95" s="75">
        <f>资产资本表!CG60</f>
        <v>0</v>
      </c>
      <c r="CH95" s="75">
        <f>资产资本表!CH60</f>
        <v>0</v>
      </c>
      <c r="CI95" s="75">
        <f>资产资本表!CI60</f>
        <v>0</v>
      </c>
      <c r="CJ95" s="75">
        <f>资产资本表!CJ60</f>
        <v>0</v>
      </c>
      <c r="CK95" s="75">
        <f>资产资本表!CK60</f>
        <v>0</v>
      </c>
    </row>
    <row r="96" spans="1:89" s="75" customFormat="1" x14ac:dyDescent="0.25">
      <c r="A96" s="69" t="s">
        <v>593</v>
      </c>
      <c r="E96" s="75">
        <f>资产资本表!E61</f>
        <v>10456250.720000001</v>
      </c>
      <c r="F96" s="75">
        <f>资产资本表!F61</f>
        <v>9860098.1400000006</v>
      </c>
      <c r="G96" s="75">
        <f>资产资本表!G61</f>
        <v>10678917.27</v>
      </c>
      <c r="H96" s="75">
        <f>资产资本表!H61</f>
        <v>11193269.960000001</v>
      </c>
      <c r="I96" s="75">
        <f>资产资本表!I61</f>
        <v>11742230.220000001</v>
      </c>
      <c r="J96" s="75">
        <f>资产资本表!J61</f>
        <v>12237893.699999999</v>
      </c>
      <c r="K96" s="75">
        <f>资产资本表!K61</f>
        <v>12478785.4</v>
      </c>
      <c r="L96" s="75">
        <f>资产资本表!L61</f>
        <v>12476028.9</v>
      </c>
      <c r="M96" s="75">
        <f>资产资本表!M61</f>
        <v>11175137.050000001</v>
      </c>
      <c r="N96" s="75">
        <f>资产资本表!N61</f>
        <v>9058705.0399999991</v>
      </c>
      <c r="O96" s="75">
        <f>资产资本表!O61</f>
        <v>7781969.0499999998</v>
      </c>
      <c r="P96" s="75">
        <f>资产资本表!P61</f>
        <v>5988595.79</v>
      </c>
      <c r="Q96" s="75">
        <f>资产资本表!Q61</f>
        <v>0</v>
      </c>
      <c r="R96" s="75">
        <f>资产资本表!R61</f>
        <v>0</v>
      </c>
      <c r="S96" s="75">
        <f>资产资本表!S61</f>
        <v>0</v>
      </c>
      <c r="T96" s="75">
        <f>资产资本表!T61</f>
        <v>0</v>
      </c>
      <c r="U96" s="75">
        <f>资产资本表!U61</f>
        <v>0</v>
      </c>
      <c r="V96" s="75">
        <f>资产资本表!V61</f>
        <v>0</v>
      </c>
      <c r="W96" s="75">
        <f>资产资本表!W61</f>
        <v>0</v>
      </c>
      <c r="X96" s="75">
        <f>资产资本表!X61</f>
        <v>0</v>
      </c>
      <c r="Y96" s="75">
        <f>资产资本表!Y61</f>
        <v>0</v>
      </c>
      <c r="Z96" s="75">
        <f>资产资本表!Z61</f>
        <v>0</v>
      </c>
      <c r="AA96" s="75">
        <f>资产资本表!AA61</f>
        <v>0</v>
      </c>
      <c r="AB96" s="75">
        <f>资产资本表!AB61</f>
        <v>0</v>
      </c>
      <c r="AC96" s="75">
        <f>资产资本表!AC61</f>
        <v>0</v>
      </c>
      <c r="AD96" s="75">
        <f>资产资本表!AD61</f>
        <v>0</v>
      </c>
      <c r="AE96" s="75">
        <f>资产资本表!AE61</f>
        <v>0</v>
      </c>
      <c r="AF96" s="75">
        <f>资产资本表!AF61</f>
        <v>0</v>
      </c>
      <c r="AG96" s="75">
        <f>资产资本表!AG61</f>
        <v>0</v>
      </c>
      <c r="AH96" s="75">
        <f>资产资本表!AH61</f>
        <v>0</v>
      </c>
      <c r="AI96" s="75">
        <f>资产资本表!AI61</f>
        <v>0</v>
      </c>
      <c r="AJ96" s="75">
        <f>资产资本表!AJ61</f>
        <v>0</v>
      </c>
      <c r="AK96" s="75">
        <f>资产资本表!AK61</f>
        <v>0</v>
      </c>
      <c r="AL96" s="75">
        <f>资产资本表!AL61</f>
        <v>0</v>
      </c>
      <c r="AM96" s="75">
        <f>资产资本表!AM61</f>
        <v>0</v>
      </c>
      <c r="AN96" s="75">
        <f>资产资本表!AN61</f>
        <v>0</v>
      </c>
      <c r="AO96" s="75">
        <f>资产资本表!AO61</f>
        <v>0</v>
      </c>
      <c r="AP96" s="75">
        <f>资产资本表!AP61</f>
        <v>0</v>
      </c>
      <c r="AQ96" s="75">
        <f>资产资本表!AQ61</f>
        <v>0</v>
      </c>
      <c r="AR96" s="75">
        <f>资产资本表!AR61</f>
        <v>0</v>
      </c>
      <c r="AS96" s="75">
        <f>资产资本表!AS61</f>
        <v>0</v>
      </c>
      <c r="AT96" s="75">
        <f>资产资本表!AT61</f>
        <v>0</v>
      </c>
      <c r="AU96" s="75">
        <f>资产资本表!AU61</f>
        <v>0</v>
      </c>
      <c r="AV96" s="75">
        <f>资产资本表!AV61</f>
        <v>0</v>
      </c>
      <c r="AW96" s="75">
        <f>资产资本表!AW61</f>
        <v>0</v>
      </c>
      <c r="AX96" s="75">
        <f>资产资本表!AX61</f>
        <v>0</v>
      </c>
      <c r="AY96" s="75">
        <f>资产资本表!AY61</f>
        <v>0</v>
      </c>
      <c r="AZ96" s="75">
        <f>资产资本表!AZ61</f>
        <v>0</v>
      </c>
      <c r="BA96" s="75">
        <f>资产资本表!BA61</f>
        <v>0</v>
      </c>
      <c r="BB96" s="75">
        <f>资产资本表!BB61</f>
        <v>0</v>
      </c>
      <c r="BC96" s="75">
        <f>资产资本表!BC61</f>
        <v>0</v>
      </c>
      <c r="BD96" s="75">
        <f>资产资本表!BD61</f>
        <v>0</v>
      </c>
      <c r="BE96" s="75">
        <f>资产资本表!BE61</f>
        <v>0</v>
      </c>
      <c r="BF96" s="75">
        <f>资产资本表!BF61</f>
        <v>0</v>
      </c>
      <c r="BG96" s="75">
        <f>资产资本表!BG61</f>
        <v>0</v>
      </c>
      <c r="BH96" s="75">
        <f>资产资本表!BH61</f>
        <v>0</v>
      </c>
      <c r="BI96" s="75">
        <f>资产资本表!BI61</f>
        <v>0</v>
      </c>
      <c r="BJ96" s="75">
        <f>资产资本表!BJ61</f>
        <v>0</v>
      </c>
      <c r="BK96" s="75">
        <f>资产资本表!BK61</f>
        <v>0</v>
      </c>
      <c r="BL96" s="75">
        <f>资产资本表!BL61</f>
        <v>0</v>
      </c>
      <c r="BM96" s="75">
        <f>资产资本表!BM61</f>
        <v>0</v>
      </c>
      <c r="BN96" s="75">
        <f>资产资本表!BN61</f>
        <v>0</v>
      </c>
      <c r="BO96" s="75">
        <f>资产资本表!BO61</f>
        <v>0</v>
      </c>
      <c r="BP96" s="75">
        <f>资产资本表!BP61</f>
        <v>0</v>
      </c>
      <c r="BQ96" s="75">
        <f>资产资本表!BQ61</f>
        <v>0</v>
      </c>
      <c r="BR96" s="75">
        <f>资产资本表!BR61</f>
        <v>0</v>
      </c>
      <c r="BS96" s="75">
        <f>资产资本表!BS61</f>
        <v>0</v>
      </c>
      <c r="BT96" s="75">
        <f>资产资本表!BT61</f>
        <v>0</v>
      </c>
      <c r="BU96" s="75">
        <f>资产资本表!BU61</f>
        <v>0</v>
      </c>
      <c r="BV96" s="75">
        <f>资产资本表!BV61</f>
        <v>0</v>
      </c>
      <c r="BW96" s="75">
        <f>资产资本表!BW61</f>
        <v>0</v>
      </c>
      <c r="BX96" s="75">
        <f>资产资本表!BX61</f>
        <v>0</v>
      </c>
      <c r="BY96" s="75">
        <f>资产资本表!BY61</f>
        <v>0</v>
      </c>
      <c r="BZ96" s="75">
        <f>资产资本表!BZ61</f>
        <v>0</v>
      </c>
      <c r="CA96" s="75">
        <f>资产资本表!CA61</f>
        <v>0</v>
      </c>
      <c r="CB96" s="75">
        <f>资产资本表!CB61</f>
        <v>0</v>
      </c>
      <c r="CC96" s="75">
        <f>资产资本表!CC61</f>
        <v>0</v>
      </c>
      <c r="CD96" s="75">
        <f>资产资本表!CD61</f>
        <v>0</v>
      </c>
      <c r="CE96" s="75">
        <f>资产资本表!CE61</f>
        <v>0</v>
      </c>
      <c r="CF96" s="75">
        <f>资产资本表!CF61</f>
        <v>0</v>
      </c>
      <c r="CG96" s="75">
        <f>资产资本表!CG61</f>
        <v>0</v>
      </c>
      <c r="CH96" s="75">
        <f>资产资本表!CH61</f>
        <v>0</v>
      </c>
      <c r="CI96" s="75">
        <f>资产资本表!CI61</f>
        <v>0</v>
      </c>
      <c r="CJ96" s="75">
        <f>资产资本表!CJ61</f>
        <v>0</v>
      </c>
      <c r="CK96" s="75">
        <f>资产资本表!CK61</f>
        <v>0</v>
      </c>
    </row>
    <row r="97" spans="1:89" s="75" customFormat="1" x14ac:dyDescent="0.25">
      <c r="A97" s="69" t="s">
        <v>594</v>
      </c>
      <c r="E97" s="75">
        <f>资产资本表!E62</f>
        <v>1877052.63</v>
      </c>
      <c r="F97" s="75">
        <f>资产资本表!F62</f>
        <v>2031495.54</v>
      </c>
      <c r="G97" s="75">
        <f>资产资本表!G62</f>
        <v>1778307.05</v>
      </c>
      <c r="H97" s="75">
        <f>资产资本表!H62</f>
        <v>1450899.23</v>
      </c>
      <c r="I97" s="75">
        <f>资产资本表!I62</f>
        <v>1408832.95</v>
      </c>
      <c r="J97" s="75">
        <f>资产资本表!J62</f>
        <v>1482090.76</v>
      </c>
      <c r="K97" s="75">
        <f>资产资本表!K62</f>
        <v>1450020.73</v>
      </c>
      <c r="L97" s="75">
        <f>资产资本表!L62</f>
        <v>1073849.6200000001</v>
      </c>
      <c r="M97" s="75">
        <f>资产资本表!M62</f>
        <v>791035.71</v>
      </c>
      <c r="N97" s="75">
        <f>资产资本表!N62</f>
        <v>1005507.12</v>
      </c>
      <c r="O97" s="75">
        <f>资产资本表!O62</f>
        <v>739346.13</v>
      </c>
      <c r="P97" s="75">
        <f>资产资本表!P62</f>
        <v>489181.34</v>
      </c>
      <c r="Q97" s="75">
        <f>资产资本表!Q62</f>
        <v>0</v>
      </c>
      <c r="R97" s="75">
        <f>资产资本表!R62</f>
        <v>0</v>
      </c>
      <c r="S97" s="75">
        <f>资产资本表!S62</f>
        <v>0</v>
      </c>
      <c r="T97" s="75">
        <f>资产资本表!T62</f>
        <v>0</v>
      </c>
      <c r="U97" s="75">
        <f>资产资本表!U62</f>
        <v>0</v>
      </c>
      <c r="V97" s="75">
        <f>资产资本表!V62</f>
        <v>0</v>
      </c>
      <c r="W97" s="75">
        <f>资产资本表!W62</f>
        <v>0</v>
      </c>
      <c r="X97" s="75">
        <f>资产资本表!X62</f>
        <v>0</v>
      </c>
      <c r="Y97" s="75">
        <f>资产资本表!Y62</f>
        <v>0</v>
      </c>
      <c r="Z97" s="75">
        <f>资产资本表!Z62</f>
        <v>0</v>
      </c>
      <c r="AA97" s="75">
        <f>资产资本表!AA62</f>
        <v>0</v>
      </c>
      <c r="AB97" s="75">
        <f>资产资本表!AB62</f>
        <v>0</v>
      </c>
      <c r="AC97" s="75">
        <f>资产资本表!AC62</f>
        <v>0</v>
      </c>
      <c r="AD97" s="75">
        <f>资产资本表!AD62</f>
        <v>0</v>
      </c>
      <c r="AE97" s="75">
        <f>资产资本表!AE62</f>
        <v>0</v>
      </c>
      <c r="AF97" s="75">
        <f>资产资本表!AF62</f>
        <v>0</v>
      </c>
      <c r="AG97" s="75">
        <f>资产资本表!AG62</f>
        <v>0</v>
      </c>
      <c r="AH97" s="75">
        <f>资产资本表!AH62</f>
        <v>0</v>
      </c>
      <c r="AI97" s="75">
        <f>资产资本表!AI62</f>
        <v>0</v>
      </c>
      <c r="AJ97" s="75">
        <f>资产资本表!AJ62</f>
        <v>0</v>
      </c>
      <c r="AK97" s="75">
        <f>资产资本表!AK62</f>
        <v>0</v>
      </c>
      <c r="AL97" s="75">
        <f>资产资本表!AL62</f>
        <v>0</v>
      </c>
      <c r="AM97" s="75">
        <f>资产资本表!AM62</f>
        <v>0</v>
      </c>
      <c r="AN97" s="75">
        <f>资产资本表!AN62</f>
        <v>0</v>
      </c>
      <c r="AO97" s="75">
        <f>资产资本表!AO62</f>
        <v>0</v>
      </c>
      <c r="AP97" s="75">
        <f>资产资本表!AP62</f>
        <v>0</v>
      </c>
      <c r="AQ97" s="75">
        <f>资产资本表!AQ62</f>
        <v>0</v>
      </c>
      <c r="AR97" s="75">
        <f>资产资本表!AR62</f>
        <v>0</v>
      </c>
      <c r="AS97" s="75">
        <f>资产资本表!AS62</f>
        <v>0</v>
      </c>
      <c r="AT97" s="75">
        <f>资产资本表!AT62</f>
        <v>0</v>
      </c>
      <c r="AU97" s="75">
        <f>资产资本表!AU62</f>
        <v>0</v>
      </c>
      <c r="AV97" s="75">
        <f>资产资本表!AV62</f>
        <v>0</v>
      </c>
      <c r="AW97" s="75">
        <f>资产资本表!AW62</f>
        <v>0</v>
      </c>
      <c r="AX97" s="75">
        <f>资产资本表!AX62</f>
        <v>0</v>
      </c>
      <c r="AY97" s="75">
        <f>资产资本表!AY62</f>
        <v>0</v>
      </c>
      <c r="AZ97" s="75">
        <f>资产资本表!AZ62</f>
        <v>0</v>
      </c>
      <c r="BA97" s="75">
        <f>资产资本表!BA62</f>
        <v>0</v>
      </c>
      <c r="BB97" s="75">
        <f>资产资本表!BB62</f>
        <v>0</v>
      </c>
      <c r="BC97" s="75">
        <f>资产资本表!BC62</f>
        <v>0</v>
      </c>
      <c r="BD97" s="75">
        <f>资产资本表!BD62</f>
        <v>0</v>
      </c>
      <c r="BE97" s="75">
        <f>资产资本表!BE62</f>
        <v>0</v>
      </c>
      <c r="BF97" s="75">
        <f>资产资本表!BF62</f>
        <v>0</v>
      </c>
      <c r="BG97" s="75">
        <f>资产资本表!BG62</f>
        <v>0</v>
      </c>
      <c r="BH97" s="75">
        <f>资产资本表!BH62</f>
        <v>0</v>
      </c>
      <c r="BI97" s="75">
        <f>资产资本表!BI62</f>
        <v>0</v>
      </c>
      <c r="BJ97" s="75">
        <f>资产资本表!BJ62</f>
        <v>0</v>
      </c>
      <c r="BK97" s="75">
        <f>资产资本表!BK62</f>
        <v>0</v>
      </c>
      <c r="BL97" s="75">
        <f>资产资本表!BL62</f>
        <v>0</v>
      </c>
      <c r="BM97" s="75">
        <f>资产资本表!BM62</f>
        <v>0</v>
      </c>
      <c r="BN97" s="75">
        <f>资产资本表!BN62</f>
        <v>0</v>
      </c>
      <c r="BO97" s="75">
        <f>资产资本表!BO62</f>
        <v>0</v>
      </c>
      <c r="BP97" s="75">
        <f>资产资本表!BP62</f>
        <v>0</v>
      </c>
      <c r="BQ97" s="75">
        <f>资产资本表!BQ62</f>
        <v>0</v>
      </c>
      <c r="BR97" s="75">
        <f>资产资本表!BR62</f>
        <v>0</v>
      </c>
      <c r="BS97" s="75">
        <f>资产资本表!BS62</f>
        <v>0</v>
      </c>
      <c r="BT97" s="75">
        <f>资产资本表!BT62</f>
        <v>0</v>
      </c>
      <c r="BU97" s="75">
        <f>资产资本表!BU62</f>
        <v>0</v>
      </c>
      <c r="BV97" s="75">
        <f>资产资本表!BV62</f>
        <v>0</v>
      </c>
      <c r="BW97" s="75">
        <f>资产资本表!BW62</f>
        <v>0</v>
      </c>
      <c r="BX97" s="75">
        <f>资产资本表!BX62</f>
        <v>0</v>
      </c>
      <c r="BY97" s="75">
        <f>资产资本表!BY62</f>
        <v>0</v>
      </c>
      <c r="BZ97" s="75">
        <f>资产资本表!BZ62</f>
        <v>0</v>
      </c>
      <c r="CA97" s="75">
        <f>资产资本表!CA62</f>
        <v>0</v>
      </c>
      <c r="CB97" s="75">
        <f>资产资本表!CB62</f>
        <v>0</v>
      </c>
      <c r="CC97" s="75">
        <f>资产资本表!CC62</f>
        <v>0</v>
      </c>
      <c r="CD97" s="75">
        <f>资产资本表!CD62</f>
        <v>0</v>
      </c>
      <c r="CE97" s="75">
        <f>资产资本表!CE62</f>
        <v>0</v>
      </c>
      <c r="CF97" s="75">
        <f>资产资本表!CF62</f>
        <v>0</v>
      </c>
      <c r="CG97" s="75">
        <f>资产资本表!CG62</f>
        <v>0</v>
      </c>
      <c r="CH97" s="75">
        <f>资产资本表!CH62</f>
        <v>0</v>
      </c>
      <c r="CI97" s="75">
        <f>资产资本表!CI62</f>
        <v>0</v>
      </c>
      <c r="CJ97" s="75">
        <f>资产资本表!CJ62</f>
        <v>0</v>
      </c>
      <c r="CK97" s="75">
        <f>资产资本表!CK62</f>
        <v>0</v>
      </c>
    </row>
    <row r="98" spans="1:89" s="75" customFormat="1" x14ac:dyDescent="0.25">
      <c r="A98" s="69" t="s">
        <v>595</v>
      </c>
      <c r="E98" s="75">
        <f>资产资本表!E63</f>
        <v>1020981.59</v>
      </c>
      <c r="F98" s="75">
        <f>资产资本表!F63</f>
        <v>1072764.8600000001</v>
      </c>
      <c r="G98" s="75">
        <f>资产资本表!G63</f>
        <v>1124560.6299999999</v>
      </c>
      <c r="H98" s="75">
        <f>资产资本表!H63</f>
        <v>1176343.8799999999</v>
      </c>
      <c r="I98" s="75">
        <f>资产资本表!I63</f>
        <v>1230573.3600000001</v>
      </c>
      <c r="J98" s="75">
        <f>资产资本表!J63</f>
        <v>1285465.9099999999</v>
      </c>
      <c r="K98" s="75">
        <f>资产资本表!K63</f>
        <v>1340333.4099999999</v>
      </c>
      <c r="L98" s="75">
        <f>资产资本表!L63</f>
        <v>1368236.73</v>
      </c>
      <c r="M98" s="75">
        <f>资产资本表!M63</f>
        <v>1258206.33</v>
      </c>
      <c r="N98" s="75">
        <f>资产资本表!N63</f>
        <v>2480097.21</v>
      </c>
      <c r="O98" s="75">
        <f>资产资本表!O63</f>
        <v>2886258.44</v>
      </c>
      <c r="P98" s="75">
        <f>资产资本表!P63</f>
        <v>720272.11</v>
      </c>
      <c r="Q98" s="75">
        <f>资产资本表!Q63</f>
        <v>0</v>
      </c>
      <c r="R98" s="75">
        <f>资产资本表!R63</f>
        <v>0</v>
      </c>
      <c r="S98" s="75">
        <f>资产资本表!S63</f>
        <v>0</v>
      </c>
      <c r="T98" s="75">
        <f>资产资本表!T63</f>
        <v>0</v>
      </c>
      <c r="U98" s="75">
        <f>资产资本表!U63</f>
        <v>0</v>
      </c>
      <c r="V98" s="75">
        <f>资产资本表!V63</f>
        <v>0</v>
      </c>
      <c r="W98" s="75">
        <f>资产资本表!W63</f>
        <v>0</v>
      </c>
      <c r="X98" s="75">
        <f>资产资本表!X63</f>
        <v>0</v>
      </c>
      <c r="Y98" s="75">
        <f>资产资本表!Y63</f>
        <v>0</v>
      </c>
      <c r="Z98" s="75">
        <f>资产资本表!Z63</f>
        <v>0</v>
      </c>
      <c r="AA98" s="75">
        <f>资产资本表!AA63</f>
        <v>0</v>
      </c>
      <c r="AB98" s="75">
        <f>资产资本表!AB63</f>
        <v>0</v>
      </c>
      <c r="AC98" s="75">
        <f>资产资本表!AC63</f>
        <v>0</v>
      </c>
      <c r="AD98" s="75">
        <f>资产资本表!AD63</f>
        <v>0</v>
      </c>
      <c r="AE98" s="75">
        <f>资产资本表!AE63</f>
        <v>0</v>
      </c>
      <c r="AF98" s="75">
        <f>资产资本表!AF63</f>
        <v>0</v>
      </c>
      <c r="AG98" s="75">
        <f>资产资本表!AG63</f>
        <v>0</v>
      </c>
      <c r="AH98" s="75">
        <f>资产资本表!AH63</f>
        <v>0</v>
      </c>
      <c r="AI98" s="75">
        <f>资产资本表!AI63</f>
        <v>0</v>
      </c>
      <c r="AJ98" s="75">
        <f>资产资本表!AJ63</f>
        <v>0</v>
      </c>
      <c r="AK98" s="75">
        <f>资产资本表!AK63</f>
        <v>0</v>
      </c>
      <c r="AL98" s="75">
        <f>资产资本表!AL63</f>
        <v>0</v>
      </c>
      <c r="AM98" s="75">
        <f>资产资本表!AM63</f>
        <v>0</v>
      </c>
      <c r="AN98" s="75">
        <f>资产资本表!AN63</f>
        <v>0</v>
      </c>
      <c r="AO98" s="75">
        <f>资产资本表!AO63</f>
        <v>0</v>
      </c>
      <c r="AP98" s="75">
        <f>资产资本表!AP63</f>
        <v>0</v>
      </c>
      <c r="AQ98" s="75">
        <f>资产资本表!AQ63</f>
        <v>0</v>
      </c>
      <c r="AR98" s="75">
        <f>资产资本表!AR63</f>
        <v>0</v>
      </c>
      <c r="AS98" s="75">
        <f>资产资本表!AS63</f>
        <v>0</v>
      </c>
      <c r="AT98" s="75">
        <f>资产资本表!AT63</f>
        <v>0</v>
      </c>
      <c r="AU98" s="75">
        <f>资产资本表!AU63</f>
        <v>0</v>
      </c>
      <c r="AV98" s="75">
        <f>资产资本表!AV63</f>
        <v>0</v>
      </c>
      <c r="AW98" s="75">
        <f>资产资本表!AW63</f>
        <v>0</v>
      </c>
      <c r="AX98" s="75">
        <f>资产资本表!AX63</f>
        <v>0</v>
      </c>
      <c r="AY98" s="75">
        <f>资产资本表!AY63</f>
        <v>0</v>
      </c>
      <c r="AZ98" s="75">
        <f>资产资本表!AZ63</f>
        <v>0</v>
      </c>
      <c r="BA98" s="75">
        <f>资产资本表!BA63</f>
        <v>0</v>
      </c>
      <c r="BB98" s="75">
        <f>资产资本表!BB63</f>
        <v>0</v>
      </c>
      <c r="BC98" s="75">
        <f>资产资本表!BC63</f>
        <v>0</v>
      </c>
      <c r="BD98" s="75">
        <f>资产资本表!BD63</f>
        <v>0</v>
      </c>
      <c r="BE98" s="75">
        <f>资产资本表!BE63</f>
        <v>0</v>
      </c>
      <c r="BF98" s="75">
        <f>资产资本表!BF63</f>
        <v>0</v>
      </c>
      <c r="BG98" s="75">
        <f>资产资本表!BG63</f>
        <v>0</v>
      </c>
      <c r="BH98" s="75">
        <f>资产资本表!BH63</f>
        <v>0</v>
      </c>
      <c r="BI98" s="75">
        <f>资产资本表!BI63</f>
        <v>0</v>
      </c>
      <c r="BJ98" s="75">
        <f>资产资本表!BJ63</f>
        <v>0</v>
      </c>
      <c r="BK98" s="75">
        <f>资产资本表!BK63</f>
        <v>0</v>
      </c>
      <c r="BL98" s="75">
        <f>资产资本表!BL63</f>
        <v>0</v>
      </c>
      <c r="BM98" s="75">
        <f>资产资本表!BM63</f>
        <v>0</v>
      </c>
      <c r="BN98" s="75">
        <f>资产资本表!BN63</f>
        <v>0</v>
      </c>
      <c r="BO98" s="75">
        <f>资产资本表!BO63</f>
        <v>0</v>
      </c>
      <c r="BP98" s="75">
        <f>资产资本表!BP63</f>
        <v>0</v>
      </c>
      <c r="BQ98" s="75">
        <f>资产资本表!BQ63</f>
        <v>0</v>
      </c>
      <c r="BR98" s="75">
        <f>资产资本表!BR63</f>
        <v>0</v>
      </c>
      <c r="BS98" s="75">
        <f>资产资本表!BS63</f>
        <v>0</v>
      </c>
      <c r="BT98" s="75">
        <f>资产资本表!BT63</f>
        <v>0</v>
      </c>
      <c r="BU98" s="75">
        <f>资产资本表!BU63</f>
        <v>0</v>
      </c>
      <c r="BV98" s="75">
        <f>资产资本表!BV63</f>
        <v>0</v>
      </c>
      <c r="BW98" s="75">
        <f>资产资本表!BW63</f>
        <v>0</v>
      </c>
      <c r="BX98" s="75">
        <f>资产资本表!BX63</f>
        <v>0</v>
      </c>
      <c r="BY98" s="75">
        <f>资产资本表!BY63</f>
        <v>0</v>
      </c>
      <c r="BZ98" s="75">
        <f>资产资本表!BZ63</f>
        <v>0</v>
      </c>
      <c r="CA98" s="75">
        <f>资产资本表!CA63</f>
        <v>0</v>
      </c>
      <c r="CB98" s="75">
        <f>资产资本表!CB63</f>
        <v>0</v>
      </c>
      <c r="CC98" s="75">
        <f>资产资本表!CC63</f>
        <v>0</v>
      </c>
      <c r="CD98" s="75">
        <f>资产资本表!CD63</f>
        <v>0</v>
      </c>
      <c r="CE98" s="75">
        <f>资产资本表!CE63</f>
        <v>0</v>
      </c>
      <c r="CF98" s="75">
        <f>资产资本表!CF63</f>
        <v>0</v>
      </c>
      <c r="CG98" s="75">
        <f>资产资本表!CG63</f>
        <v>0</v>
      </c>
      <c r="CH98" s="75">
        <f>资产资本表!CH63</f>
        <v>0</v>
      </c>
      <c r="CI98" s="75">
        <f>资产资本表!CI63</f>
        <v>0</v>
      </c>
      <c r="CJ98" s="75">
        <f>资产资本表!CJ63</f>
        <v>0</v>
      </c>
      <c r="CK98" s="75">
        <f>资产资本表!CK63</f>
        <v>0</v>
      </c>
    </row>
    <row r="99" spans="1:89" s="92" customFormat="1" ht="15" thickBot="1" x14ac:dyDescent="0.3">
      <c r="A99" s="73" t="s">
        <v>596</v>
      </c>
      <c r="E99" s="92">
        <f>资产资本表!E64</f>
        <v>12730000</v>
      </c>
      <c r="F99" s="92">
        <f>资产资本表!F64</f>
        <v>0</v>
      </c>
      <c r="G99" s="92">
        <f>资产资本表!G64</f>
        <v>0</v>
      </c>
      <c r="H99" s="92">
        <f>资产资本表!H64</f>
        <v>0</v>
      </c>
      <c r="I99" s="92">
        <f>资产资本表!I64</f>
        <v>0</v>
      </c>
      <c r="J99" s="92">
        <f>资产资本表!J64</f>
        <v>0</v>
      </c>
      <c r="K99" s="92">
        <f>资产资本表!K64</f>
        <v>0</v>
      </c>
      <c r="L99" s="92">
        <f>资产资本表!L64</f>
        <v>0</v>
      </c>
      <c r="M99" s="92">
        <f>资产资本表!M64</f>
        <v>0</v>
      </c>
      <c r="N99" s="92">
        <f>资产资本表!N64</f>
        <v>0</v>
      </c>
      <c r="O99" s="92">
        <f>资产资本表!O64</f>
        <v>0</v>
      </c>
      <c r="P99" s="92">
        <f>资产资本表!P64</f>
        <v>0</v>
      </c>
      <c r="Q99" s="92">
        <f>资产资本表!Q64</f>
        <v>0</v>
      </c>
      <c r="R99" s="92">
        <f>资产资本表!R64</f>
        <v>0</v>
      </c>
      <c r="S99" s="92">
        <f>资产资本表!S64</f>
        <v>0</v>
      </c>
      <c r="T99" s="92">
        <f>资产资本表!T64</f>
        <v>0</v>
      </c>
      <c r="U99" s="92">
        <f>资产资本表!U64</f>
        <v>0</v>
      </c>
      <c r="V99" s="92">
        <f>资产资本表!V64</f>
        <v>0</v>
      </c>
      <c r="W99" s="92">
        <f>资产资本表!W64</f>
        <v>0</v>
      </c>
      <c r="X99" s="92">
        <f>资产资本表!X64</f>
        <v>0</v>
      </c>
      <c r="Y99" s="92">
        <f>资产资本表!Y64</f>
        <v>0</v>
      </c>
      <c r="Z99" s="92">
        <f>资产资本表!Z64</f>
        <v>0</v>
      </c>
      <c r="AA99" s="92">
        <f>资产资本表!AA64</f>
        <v>0</v>
      </c>
      <c r="AB99" s="92">
        <f>资产资本表!AB64</f>
        <v>0</v>
      </c>
      <c r="AC99" s="92">
        <f>资产资本表!AC64</f>
        <v>0</v>
      </c>
      <c r="AD99" s="92">
        <f>资产资本表!AD64</f>
        <v>0</v>
      </c>
      <c r="AE99" s="92">
        <f>资产资本表!AE64</f>
        <v>0</v>
      </c>
      <c r="AF99" s="92">
        <f>资产资本表!AF64</f>
        <v>0</v>
      </c>
      <c r="AG99" s="92">
        <f>资产资本表!AG64</f>
        <v>0</v>
      </c>
      <c r="AH99" s="92">
        <f>资产资本表!AH64</f>
        <v>0</v>
      </c>
      <c r="AI99" s="92">
        <f>资产资本表!AI64</f>
        <v>0</v>
      </c>
      <c r="AJ99" s="92">
        <f>资产资本表!AJ64</f>
        <v>0</v>
      </c>
      <c r="AK99" s="92">
        <f>资产资本表!AK64</f>
        <v>0</v>
      </c>
      <c r="AL99" s="92">
        <f>资产资本表!AL64</f>
        <v>0</v>
      </c>
      <c r="AM99" s="92">
        <f>资产资本表!AM64</f>
        <v>0</v>
      </c>
      <c r="AN99" s="92">
        <f>资产资本表!AN64</f>
        <v>0</v>
      </c>
      <c r="AO99" s="92">
        <f>资产资本表!AO64</f>
        <v>0</v>
      </c>
      <c r="AP99" s="92">
        <f>资产资本表!AP64</f>
        <v>0</v>
      </c>
      <c r="AQ99" s="92">
        <f>资产资本表!AQ64</f>
        <v>0</v>
      </c>
      <c r="AR99" s="92">
        <f>资产资本表!AR64</f>
        <v>0</v>
      </c>
      <c r="AS99" s="92">
        <f>资产资本表!AS64</f>
        <v>0</v>
      </c>
      <c r="AT99" s="92">
        <f>资产资本表!AT64</f>
        <v>0</v>
      </c>
      <c r="AU99" s="92">
        <f>资产资本表!AU64</f>
        <v>0</v>
      </c>
      <c r="AV99" s="92">
        <f>资产资本表!AV64</f>
        <v>0</v>
      </c>
      <c r="AW99" s="92">
        <f>资产资本表!AW64</f>
        <v>0</v>
      </c>
      <c r="AX99" s="92">
        <f>资产资本表!AX64</f>
        <v>0</v>
      </c>
      <c r="AY99" s="92">
        <f>资产资本表!AY64</f>
        <v>0</v>
      </c>
      <c r="AZ99" s="92">
        <f>资产资本表!AZ64</f>
        <v>0</v>
      </c>
      <c r="BA99" s="92">
        <f>资产资本表!BA64</f>
        <v>0</v>
      </c>
      <c r="BB99" s="92">
        <f>资产资本表!BB64</f>
        <v>0</v>
      </c>
      <c r="BC99" s="92">
        <f>资产资本表!BC64</f>
        <v>0</v>
      </c>
      <c r="BD99" s="92">
        <f>资产资本表!BD64</f>
        <v>0</v>
      </c>
      <c r="BE99" s="92">
        <f>资产资本表!BE64</f>
        <v>0</v>
      </c>
      <c r="BF99" s="92">
        <f>资产资本表!BF64</f>
        <v>0</v>
      </c>
      <c r="BG99" s="92">
        <f>资产资本表!BG64</f>
        <v>0</v>
      </c>
      <c r="BH99" s="92">
        <f>资产资本表!BH64</f>
        <v>0</v>
      </c>
      <c r="BI99" s="92">
        <f>资产资本表!BI64</f>
        <v>0</v>
      </c>
      <c r="BJ99" s="92">
        <f>资产资本表!BJ64</f>
        <v>0</v>
      </c>
      <c r="BK99" s="92">
        <f>资产资本表!BK64</f>
        <v>0</v>
      </c>
      <c r="BL99" s="92">
        <f>资产资本表!BL64</f>
        <v>0</v>
      </c>
      <c r="BM99" s="92">
        <f>资产资本表!BM64</f>
        <v>0</v>
      </c>
      <c r="BN99" s="92">
        <f>资产资本表!BN64</f>
        <v>0</v>
      </c>
      <c r="BO99" s="92">
        <f>资产资本表!BO64</f>
        <v>0</v>
      </c>
      <c r="BP99" s="92">
        <f>资产资本表!BP64</f>
        <v>0</v>
      </c>
      <c r="BQ99" s="92">
        <f>资产资本表!BQ64</f>
        <v>0</v>
      </c>
      <c r="BR99" s="92">
        <f>资产资本表!BR64</f>
        <v>0</v>
      </c>
      <c r="BS99" s="92">
        <f>资产资本表!BS64</f>
        <v>0</v>
      </c>
      <c r="BT99" s="92">
        <f>资产资本表!BT64</f>
        <v>0</v>
      </c>
      <c r="BU99" s="92">
        <f>资产资本表!BU64</f>
        <v>0</v>
      </c>
      <c r="BV99" s="92">
        <f>资产资本表!BV64</f>
        <v>0</v>
      </c>
      <c r="BW99" s="92">
        <f>资产资本表!BW64</f>
        <v>0</v>
      </c>
      <c r="BX99" s="92">
        <f>资产资本表!BX64</f>
        <v>0</v>
      </c>
      <c r="BY99" s="92">
        <f>资产资本表!BY64</f>
        <v>0</v>
      </c>
      <c r="BZ99" s="92">
        <f>资产资本表!BZ64</f>
        <v>0</v>
      </c>
      <c r="CA99" s="92">
        <f>资产资本表!CA64</f>
        <v>0</v>
      </c>
      <c r="CB99" s="92">
        <f>资产资本表!CB64</f>
        <v>0</v>
      </c>
      <c r="CC99" s="92">
        <f>资产资本表!CC64</f>
        <v>0</v>
      </c>
      <c r="CD99" s="92">
        <f>资产资本表!CD64</f>
        <v>0</v>
      </c>
      <c r="CE99" s="92">
        <f>资产资本表!CE64</f>
        <v>0</v>
      </c>
      <c r="CF99" s="92">
        <f>资产资本表!CF64</f>
        <v>0</v>
      </c>
      <c r="CG99" s="92">
        <f>资产资本表!CG64</f>
        <v>0</v>
      </c>
      <c r="CH99" s="92">
        <f>资产资本表!CH64</f>
        <v>0</v>
      </c>
      <c r="CI99" s="92">
        <f>资产资本表!CI64</f>
        <v>0</v>
      </c>
      <c r="CJ99" s="92">
        <f>资产资本表!CJ64</f>
        <v>0</v>
      </c>
      <c r="CK99" s="92">
        <f>资产资本表!CK64</f>
        <v>0</v>
      </c>
    </row>
    <row r="100" spans="1:89" s="195" customFormat="1" x14ac:dyDescent="0.25">
      <c r="A100" s="87" t="s">
        <v>686</v>
      </c>
      <c r="E100" s="195">
        <f>(E84+I84)/2</f>
        <v>290046100.64999998</v>
      </c>
      <c r="F100" s="195">
        <f t="shared" ref="F100:BQ100" si="54">(F84+J84)/2</f>
        <v>247670921.92500001</v>
      </c>
      <c r="G100" s="195">
        <f t="shared" si="54"/>
        <v>245644614.80000001</v>
      </c>
      <c r="H100" s="195">
        <f t="shared" si="54"/>
        <v>245107486.155</v>
      </c>
      <c r="I100" s="195">
        <f t="shared" si="54"/>
        <v>240257107.59</v>
      </c>
      <c r="J100" s="195">
        <f t="shared" si="54"/>
        <v>221743664.92000002</v>
      </c>
      <c r="K100" s="195">
        <f t="shared" si="54"/>
        <v>164391988.33000001</v>
      </c>
      <c r="L100" s="195">
        <f t="shared" si="54"/>
        <v>158150428.85499999</v>
      </c>
      <c r="M100" s="195">
        <f t="shared" si="54"/>
        <v>109906560.47</v>
      </c>
      <c r="N100" s="195">
        <f t="shared" si="54"/>
        <v>107725159.06</v>
      </c>
      <c r="O100" s="195">
        <f t="shared" si="54"/>
        <v>50321516.520000003</v>
      </c>
      <c r="P100" s="195">
        <f t="shared" si="54"/>
        <v>42044105.055</v>
      </c>
      <c r="Q100" s="195">
        <f t="shared" si="54"/>
        <v>0</v>
      </c>
      <c r="R100" s="195">
        <f t="shared" si="54"/>
        <v>0</v>
      </c>
      <c r="S100" s="195">
        <f t="shared" si="54"/>
        <v>0</v>
      </c>
      <c r="T100" s="195">
        <f t="shared" si="54"/>
        <v>0</v>
      </c>
      <c r="U100" s="195">
        <f t="shared" si="54"/>
        <v>0</v>
      </c>
      <c r="V100" s="195">
        <f t="shared" si="54"/>
        <v>0</v>
      </c>
      <c r="W100" s="195">
        <f t="shared" si="54"/>
        <v>0</v>
      </c>
      <c r="X100" s="195">
        <f t="shared" si="54"/>
        <v>0</v>
      </c>
      <c r="Y100" s="195">
        <f t="shared" si="54"/>
        <v>0</v>
      </c>
      <c r="Z100" s="195">
        <f t="shared" si="54"/>
        <v>0</v>
      </c>
      <c r="AA100" s="195">
        <f t="shared" si="54"/>
        <v>0</v>
      </c>
      <c r="AB100" s="195">
        <f t="shared" si="54"/>
        <v>0</v>
      </c>
      <c r="AC100" s="195">
        <f t="shared" si="54"/>
        <v>0</v>
      </c>
      <c r="AD100" s="195">
        <f t="shared" si="54"/>
        <v>0</v>
      </c>
      <c r="AE100" s="195">
        <f t="shared" si="54"/>
        <v>0</v>
      </c>
      <c r="AF100" s="195">
        <f t="shared" si="54"/>
        <v>0</v>
      </c>
      <c r="AG100" s="195">
        <f t="shared" si="54"/>
        <v>0</v>
      </c>
      <c r="AH100" s="195">
        <f t="shared" si="54"/>
        <v>0</v>
      </c>
      <c r="AI100" s="195">
        <f t="shared" si="54"/>
        <v>0</v>
      </c>
      <c r="AJ100" s="195">
        <f t="shared" si="54"/>
        <v>0</v>
      </c>
      <c r="AK100" s="195">
        <f t="shared" si="54"/>
        <v>0</v>
      </c>
      <c r="AL100" s="195">
        <f t="shared" si="54"/>
        <v>0</v>
      </c>
      <c r="AM100" s="195">
        <f t="shared" si="54"/>
        <v>0</v>
      </c>
      <c r="AN100" s="195">
        <f t="shared" si="54"/>
        <v>0</v>
      </c>
      <c r="AO100" s="195">
        <f t="shared" si="54"/>
        <v>0</v>
      </c>
      <c r="AP100" s="195">
        <f t="shared" si="54"/>
        <v>0</v>
      </c>
      <c r="AQ100" s="195">
        <f t="shared" si="54"/>
        <v>0</v>
      </c>
      <c r="AR100" s="195">
        <f t="shared" si="54"/>
        <v>0</v>
      </c>
      <c r="AS100" s="195">
        <f t="shared" si="54"/>
        <v>0</v>
      </c>
      <c r="AT100" s="195">
        <f t="shared" si="54"/>
        <v>0</v>
      </c>
      <c r="AU100" s="195">
        <f t="shared" si="54"/>
        <v>0</v>
      </c>
      <c r="AV100" s="195">
        <f t="shared" si="54"/>
        <v>0</v>
      </c>
      <c r="AW100" s="195">
        <f t="shared" si="54"/>
        <v>0</v>
      </c>
      <c r="AX100" s="195">
        <f t="shared" si="54"/>
        <v>0</v>
      </c>
      <c r="AY100" s="195">
        <f t="shared" si="54"/>
        <v>0</v>
      </c>
      <c r="AZ100" s="195">
        <f t="shared" si="54"/>
        <v>0</v>
      </c>
      <c r="BA100" s="195">
        <f t="shared" si="54"/>
        <v>0</v>
      </c>
      <c r="BB100" s="195">
        <f t="shared" si="54"/>
        <v>0</v>
      </c>
      <c r="BC100" s="195">
        <f t="shared" si="54"/>
        <v>0</v>
      </c>
      <c r="BD100" s="195">
        <f t="shared" si="54"/>
        <v>0</v>
      </c>
      <c r="BE100" s="195">
        <f t="shared" si="54"/>
        <v>0</v>
      </c>
      <c r="BF100" s="195">
        <f t="shared" si="54"/>
        <v>0</v>
      </c>
      <c r="BG100" s="195">
        <f t="shared" si="54"/>
        <v>0</v>
      </c>
      <c r="BH100" s="195">
        <f t="shared" si="54"/>
        <v>0</v>
      </c>
      <c r="BI100" s="195">
        <f t="shared" si="54"/>
        <v>0</v>
      </c>
      <c r="BJ100" s="195">
        <f t="shared" si="54"/>
        <v>0</v>
      </c>
      <c r="BK100" s="195">
        <f t="shared" si="54"/>
        <v>0</v>
      </c>
      <c r="BL100" s="195">
        <f t="shared" si="54"/>
        <v>0</v>
      </c>
      <c r="BM100" s="195">
        <f t="shared" si="54"/>
        <v>0</v>
      </c>
      <c r="BN100" s="195">
        <f t="shared" si="54"/>
        <v>0</v>
      </c>
      <c r="BO100" s="195">
        <f t="shared" si="54"/>
        <v>0</v>
      </c>
      <c r="BP100" s="195">
        <f t="shared" si="54"/>
        <v>0</v>
      </c>
      <c r="BQ100" s="195">
        <f t="shared" si="54"/>
        <v>0</v>
      </c>
      <c r="BR100" s="195">
        <f t="shared" ref="BR100:CK100" si="55">(BR84+BV84)/2</f>
        <v>0</v>
      </c>
      <c r="BS100" s="195">
        <f t="shared" si="55"/>
        <v>0</v>
      </c>
      <c r="BT100" s="195">
        <f t="shared" si="55"/>
        <v>0</v>
      </c>
      <c r="BU100" s="195">
        <f t="shared" si="55"/>
        <v>0</v>
      </c>
      <c r="BV100" s="195">
        <f t="shared" si="55"/>
        <v>0</v>
      </c>
      <c r="BW100" s="195">
        <f t="shared" si="55"/>
        <v>0</v>
      </c>
      <c r="BX100" s="195">
        <f t="shared" si="55"/>
        <v>0</v>
      </c>
      <c r="BY100" s="195">
        <f t="shared" si="55"/>
        <v>0</v>
      </c>
      <c r="BZ100" s="195">
        <f t="shared" si="55"/>
        <v>0</v>
      </c>
      <c r="CA100" s="195">
        <f t="shared" si="55"/>
        <v>0</v>
      </c>
      <c r="CB100" s="195">
        <f t="shared" si="55"/>
        <v>0</v>
      </c>
      <c r="CC100" s="195">
        <f t="shared" si="55"/>
        <v>0</v>
      </c>
      <c r="CD100" s="195">
        <f t="shared" si="55"/>
        <v>0</v>
      </c>
      <c r="CE100" s="195">
        <f t="shared" si="55"/>
        <v>0</v>
      </c>
      <c r="CF100" s="195">
        <f t="shared" si="55"/>
        <v>0</v>
      </c>
      <c r="CG100" s="195">
        <f t="shared" si="55"/>
        <v>0</v>
      </c>
      <c r="CH100" s="195">
        <f t="shared" si="55"/>
        <v>0</v>
      </c>
      <c r="CI100" s="195">
        <f t="shared" si="55"/>
        <v>0</v>
      </c>
      <c r="CJ100" s="195">
        <f t="shared" si="55"/>
        <v>0</v>
      </c>
      <c r="CK100" s="195">
        <f t="shared" si="55"/>
        <v>0</v>
      </c>
    </row>
    <row r="101" spans="1:89" s="250" customFormat="1" ht="15" thickBot="1" x14ac:dyDescent="0.3">
      <c r="A101" s="251" t="s">
        <v>687</v>
      </c>
      <c r="E101" s="250">
        <f>E100/E84</f>
        <v>0.90812203044686735</v>
      </c>
      <c r="F101" s="250">
        <f t="shared" ref="F101:BQ101" si="56">F100/F84</f>
        <v>0.92654861474613637</v>
      </c>
      <c r="G101" s="250">
        <f t="shared" si="56"/>
        <v>0.93348362078508729</v>
      </c>
      <c r="H101" s="250">
        <f t="shared" si="56"/>
        <v>0.95002045594165063</v>
      </c>
      <c r="I101" s="250">
        <f t="shared" si="56"/>
        <v>0.92158074092631392</v>
      </c>
      <c r="J101" s="250">
        <f t="shared" si="56"/>
        <v>0.97240208178255116</v>
      </c>
      <c r="K101" s="250">
        <f t="shared" si="56"/>
        <v>0.72057205393091295</v>
      </c>
      <c r="L101" s="250">
        <f t="shared" si="56"/>
        <v>0.68105863521879928</v>
      </c>
      <c r="M101" s="250">
        <f t="shared" si="56"/>
        <v>0.5</v>
      </c>
      <c r="N101" s="250">
        <f t="shared" si="56"/>
        <v>0.5</v>
      </c>
      <c r="O101" s="250">
        <f t="shared" si="56"/>
        <v>0.5</v>
      </c>
      <c r="P101" s="250">
        <f t="shared" si="56"/>
        <v>0.5</v>
      </c>
      <c r="Q101" s="250" t="e">
        <f t="shared" si="56"/>
        <v>#DIV/0!</v>
      </c>
      <c r="R101" s="250" t="e">
        <f t="shared" si="56"/>
        <v>#DIV/0!</v>
      </c>
      <c r="S101" s="250" t="e">
        <f t="shared" si="56"/>
        <v>#DIV/0!</v>
      </c>
      <c r="T101" s="250" t="e">
        <f t="shared" si="56"/>
        <v>#DIV/0!</v>
      </c>
      <c r="U101" s="250" t="e">
        <f t="shared" si="56"/>
        <v>#DIV/0!</v>
      </c>
      <c r="V101" s="250" t="e">
        <f t="shared" si="56"/>
        <v>#DIV/0!</v>
      </c>
      <c r="W101" s="250" t="e">
        <f t="shared" si="56"/>
        <v>#DIV/0!</v>
      </c>
      <c r="X101" s="250" t="e">
        <f t="shared" si="56"/>
        <v>#DIV/0!</v>
      </c>
      <c r="Y101" s="250" t="e">
        <f t="shared" si="56"/>
        <v>#DIV/0!</v>
      </c>
      <c r="Z101" s="250" t="e">
        <f t="shared" si="56"/>
        <v>#DIV/0!</v>
      </c>
      <c r="AA101" s="250" t="e">
        <f t="shared" si="56"/>
        <v>#DIV/0!</v>
      </c>
      <c r="AB101" s="250" t="e">
        <f t="shared" si="56"/>
        <v>#DIV/0!</v>
      </c>
      <c r="AC101" s="250" t="e">
        <f t="shared" si="56"/>
        <v>#DIV/0!</v>
      </c>
      <c r="AD101" s="250" t="e">
        <f t="shared" si="56"/>
        <v>#DIV/0!</v>
      </c>
      <c r="AE101" s="250" t="e">
        <f t="shared" si="56"/>
        <v>#DIV/0!</v>
      </c>
      <c r="AF101" s="250" t="e">
        <f t="shared" si="56"/>
        <v>#DIV/0!</v>
      </c>
      <c r="AG101" s="250" t="e">
        <f t="shared" si="56"/>
        <v>#DIV/0!</v>
      </c>
      <c r="AH101" s="250" t="e">
        <f t="shared" si="56"/>
        <v>#DIV/0!</v>
      </c>
      <c r="AI101" s="250" t="e">
        <f t="shared" si="56"/>
        <v>#DIV/0!</v>
      </c>
      <c r="AJ101" s="250" t="e">
        <f t="shared" si="56"/>
        <v>#DIV/0!</v>
      </c>
      <c r="AK101" s="250" t="e">
        <f t="shared" si="56"/>
        <v>#DIV/0!</v>
      </c>
      <c r="AL101" s="250" t="e">
        <f t="shared" si="56"/>
        <v>#DIV/0!</v>
      </c>
      <c r="AM101" s="250" t="e">
        <f t="shared" si="56"/>
        <v>#DIV/0!</v>
      </c>
      <c r="AN101" s="250" t="e">
        <f t="shared" si="56"/>
        <v>#DIV/0!</v>
      </c>
      <c r="AO101" s="250" t="e">
        <f t="shared" si="56"/>
        <v>#DIV/0!</v>
      </c>
      <c r="AP101" s="250" t="e">
        <f t="shared" si="56"/>
        <v>#DIV/0!</v>
      </c>
      <c r="AQ101" s="250" t="e">
        <f t="shared" si="56"/>
        <v>#DIV/0!</v>
      </c>
      <c r="AR101" s="250" t="e">
        <f t="shared" si="56"/>
        <v>#DIV/0!</v>
      </c>
      <c r="AS101" s="250" t="e">
        <f t="shared" si="56"/>
        <v>#DIV/0!</v>
      </c>
      <c r="AT101" s="250" t="e">
        <f t="shared" si="56"/>
        <v>#DIV/0!</v>
      </c>
      <c r="AU101" s="250" t="e">
        <f t="shared" si="56"/>
        <v>#DIV/0!</v>
      </c>
      <c r="AV101" s="250" t="e">
        <f t="shared" si="56"/>
        <v>#DIV/0!</v>
      </c>
      <c r="AW101" s="250" t="e">
        <f t="shared" si="56"/>
        <v>#DIV/0!</v>
      </c>
      <c r="AX101" s="250" t="e">
        <f t="shared" si="56"/>
        <v>#DIV/0!</v>
      </c>
      <c r="AY101" s="250" t="e">
        <f t="shared" si="56"/>
        <v>#DIV/0!</v>
      </c>
      <c r="AZ101" s="250" t="e">
        <f t="shared" si="56"/>
        <v>#DIV/0!</v>
      </c>
      <c r="BA101" s="250" t="e">
        <f t="shared" si="56"/>
        <v>#DIV/0!</v>
      </c>
      <c r="BB101" s="250" t="e">
        <f t="shared" si="56"/>
        <v>#DIV/0!</v>
      </c>
      <c r="BC101" s="250" t="e">
        <f t="shared" si="56"/>
        <v>#DIV/0!</v>
      </c>
      <c r="BD101" s="250" t="e">
        <f t="shared" si="56"/>
        <v>#DIV/0!</v>
      </c>
      <c r="BE101" s="250" t="e">
        <f t="shared" si="56"/>
        <v>#DIV/0!</v>
      </c>
      <c r="BF101" s="250" t="e">
        <f t="shared" si="56"/>
        <v>#DIV/0!</v>
      </c>
      <c r="BG101" s="250" t="e">
        <f t="shared" si="56"/>
        <v>#DIV/0!</v>
      </c>
      <c r="BH101" s="250" t="e">
        <f t="shared" si="56"/>
        <v>#DIV/0!</v>
      </c>
      <c r="BI101" s="250" t="e">
        <f t="shared" si="56"/>
        <v>#DIV/0!</v>
      </c>
      <c r="BJ101" s="250" t="e">
        <f t="shared" si="56"/>
        <v>#DIV/0!</v>
      </c>
      <c r="BK101" s="250" t="e">
        <f t="shared" si="56"/>
        <v>#DIV/0!</v>
      </c>
      <c r="BL101" s="250" t="e">
        <f t="shared" si="56"/>
        <v>#DIV/0!</v>
      </c>
      <c r="BM101" s="250" t="e">
        <f t="shared" si="56"/>
        <v>#DIV/0!</v>
      </c>
      <c r="BN101" s="250" t="e">
        <f t="shared" si="56"/>
        <v>#DIV/0!</v>
      </c>
      <c r="BO101" s="250" t="e">
        <f t="shared" si="56"/>
        <v>#DIV/0!</v>
      </c>
      <c r="BP101" s="250" t="e">
        <f t="shared" si="56"/>
        <v>#DIV/0!</v>
      </c>
      <c r="BQ101" s="250" t="e">
        <f t="shared" si="56"/>
        <v>#DIV/0!</v>
      </c>
      <c r="BR101" s="250" t="e">
        <f t="shared" ref="BR101:CK101" si="57">BR100/BR84</f>
        <v>#DIV/0!</v>
      </c>
      <c r="BS101" s="250" t="e">
        <f t="shared" si="57"/>
        <v>#DIV/0!</v>
      </c>
      <c r="BT101" s="250" t="e">
        <f t="shared" si="57"/>
        <v>#DIV/0!</v>
      </c>
      <c r="BU101" s="250" t="e">
        <f t="shared" si="57"/>
        <v>#DIV/0!</v>
      </c>
      <c r="BV101" s="250" t="e">
        <f t="shared" si="57"/>
        <v>#DIV/0!</v>
      </c>
      <c r="BW101" s="250" t="e">
        <f t="shared" si="57"/>
        <v>#DIV/0!</v>
      </c>
      <c r="BX101" s="250" t="e">
        <f t="shared" si="57"/>
        <v>#DIV/0!</v>
      </c>
      <c r="BY101" s="250" t="e">
        <f t="shared" si="57"/>
        <v>#DIV/0!</v>
      </c>
      <c r="BZ101" s="250" t="e">
        <f t="shared" si="57"/>
        <v>#DIV/0!</v>
      </c>
      <c r="CA101" s="250" t="e">
        <f t="shared" si="57"/>
        <v>#DIV/0!</v>
      </c>
      <c r="CB101" s="250" t="e">
        <f t="shared" si="57"/>
        <v>#DIV/0!</v>
      </c>
      <c r="CC101" s="250" t="e">
        <f t="shared" si="57"/>
        <v>#DIV/0!</v>
      </c>
      <c r="CD101" s="250" t="e">
        <f t="shared" si="57"/>
        <v>#DIV/0!</v>
      </c>
      <c r="CE101" s="250" t="e">
        <f t="shared" si="57"/>
        <v>#DIV/0!</v>
      </c>
      <c r="CF101" s="250" t="e">
        <f t="shared" si="57"/>
        <v>#DIV/0!</v>
      </c>
      <c r="CG101" s="250" t="e">
        <f t="shared" si="57"/>
        <v>#DIV/0!</v>
      </c>
      <c r="CH101" s="250" t="e">
        <f t="shared" si="57"/>
        <v>#DIV/0!</v>
      </c>
      <c r="CI101" s="250" t="e">
        <f t="shared" si="57"/>
        <v>#DIV/0!</v>
      </c>
      <c r="CJ101" s="250" t="e">
        <f t="shared" si="57"/>
        <v>#DIV/0!</v>
      </c>
      <c r="CK101" s="250" t="e">
        <f t="shared" si="57"/>
        <v>#DIV/0!</v>
      </c>
    </row>
    <row r="102" spans="1:89" ht="204.75" customHeight="1" x14ac:dyDescent="0.25">
      <c r="A102" s="287" t="s">
        <v>688</v>
      </c>
      <c r="B102" s="288"/>
      <c r="C102" s="288"/>
      <c r="D102" s="288"/>
      <c r="E102" s="288"/>
      <c r="F102" s="288"/>
      <c r="G102" s="288"/>
      <c r="H102" s="288"/>
      <c r="I102" s="288"/>
      <c r="J102" s="288"/>
      <c r="K102" s="288"/>
      <c r="L102" s="288"/>
      <c r="M102" s="288"/>
      <c r="N102" s="288"/>
      <c r="O102" s="288"/>
      <c r="P102" s="288"/>
      <c r="Q102" s="288"/>
      <c r="R102" s="288"/>
      <c r="S102" s="288"/>
      <c r="T102" s="288"/>
      <c r="U102" s="288"/>
      <c r="V102" s="288"/>
      <c r="W102" s="288"/>
      <c r="X102" s="288"/>
      <c r="Y102" s="288"/>
      <c r="Z102" s="288"/>
      <c r="AA102" s="288"/>
      <c r="AB102" s="288"/>
      <c r="AC102" s="288"/>
      <c r="AD102" s="288"/>
      <c r="AE102" s="288"/>
      <c r="AF102" s="288"/>
      <c r="AG102" s="288"/>
      <c r="AH102" s="288"/>
      <c r="AI102" s="288"/>
      <c r="AJ102" s="288"/>
      <c r="AK102" s="288"/>
    </row>
  </sheetData>
  <mergeCells count="6">
    <mergeCell ref="A15:AG15"/>
    <mergeCell ref="A45:AG45"/>
    <mergeCell ref="A58:AG58"/>
    <mergeCell ref="A77:AG77"/>
    <mergeCell ref="A102:AK102"/>
    <mergeCell ref="A29:U29"/>
  </mergeCells>
  <phoneticPr fontId="1" type="noConversion"/>
  <pageMargins left="0.7" right="0.7" top="0.75" bottom="0.75" header="0.3" footer="0.3"/>
  <pageSetup paperSize="9" orientation="portrait" r:id="rId1"/>
  <drawing r:id="rId2"/>
  <extLst>
    <ext xmlns:x14="http://schemas.microsoft.com/office/spreadsheetml/2009/9/main" uri="{05C60535-1F16-4fd2-B633-F4F36F0B64E0}">
      <x14:sparklineGroups xmlns:xm="http://schemas.microsoft.com/office/excel/2006/main">
        <x14:sparklineGroup manualMax="0" manualMin="0" displayEmptyCellsAs="gap" xr2:uid="{00000000-0003-0000-0900-000000000000}">
          <x14:colorSeries theme="7" tint="-0.499984740745262"/>
          <x14:colorNegative theme="8"/>
          <x14:colorAxis rgb="FF000000"/>
          <x14:colorMarkers theme="7" tint="-0.499984740745262"/>
          <x14:colorFirst theme="7" tint="0.39997558519241921"/>
          <x14:colorLast theme="7" tint="0.39997558519241921"/>
          <x14:colorHigh theme="7"/>
          <x14:colorLow theme="7"/>
          <x14:sparklines>
            <x14:sparkline>
              <xm:f>股东权益回报率分析表!5:5</xm:f>
              <xm:sqref>A16</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自由现金流分析表"/>
  <dimension ref="A1:CL42"/>
  <sheetViews>
    <sheetView topLeftCell="A14" workbookViewId="0">
      <selection activeCell="E29" sqref="E29"/>
    </sheetView>
  </sheetViews>
  <sheetFormatPr defaultRowHeight="14.4" x14ac:dyDescent="0.25"/>
  <cols>
    <col min="1" max="1" width="68.109375" style="17" bestFit="1" customWidth="1"/>
    <col min="2" max="4" width="9.5546875" hidden="1" customWidth="1"/>
    <col min="5" max="5" width="19" bestFit="1" customWidth="1"/>
    <col min="6" max="6" width="19" hidden="1" customWidth="1"/>
    <col min="7" max="8" width="17.77734375" hidden="1" customWidth="1"/>
    <col min="9" max="9" width="19" bestFit="1" customWidth="1"/>
    <col min="10" max="10" width="19" hidden="1" customWidth="1"/>
    <col min="11" max="11" width="17.77734375" hidden="1" customWidth="1"/>
    <col min="12" max="12" width="17.21875" hidden="1" customWidth="1"/>
    <col min="13" max="13" width="19" bestFit="1" customWidth="1"/>
    <col min="14" max="14" width="17.77734375" hidden="1" customWidth="1"/>
    <col min="15" max="15" width="19" bestFit="1" customWidth="1"/>
    <col min="16" max="16" width="17.77734375" bestFit="1" customWidth="1"/>
    <col min="17" max="17" width="19" bestFit="1" customWidth="1"/>
    <col min="18" max="18" width="17.77734375" bestFit="1" customWidth="1"/>
    <col min="19" max="19" width="9.5546875" hidden="1" customWidth="1"/>
    <col min="20" max="20" width="18.33203125" hidden="1" customWidth="1"/>
    <col min="21" max="21" width="20.44140625" bestFit="1" customWidth="1"/>
    <col min="22" max="23" width="20.44140625" hidden="1" customWidth="1"/>
    <col min="24" max="24" width="18.33203125" hidden="1" customWidth="1"/>
    <col min="25" max="25" width="20.44140625" bestFit="1" customWidth="1"/>
    <col min="26" max="27" width="20.44140625" hidden="1" customWidth="1"/>
    <col min="28" max="28" width="18.33203125" hidden="1" customWidth="1"/>
    <col min="29" max="29" width="20.44140625" bestFit="1" customWidth="1"/>
    <col min="30" max="30" width="20.44140625" hidden="1" customWidth="1"/>
    <col min="31" max="32" width="18.33203125" hidden="1" customWidth="1"/>
    <col min="33" max="33" width="20.44140625" bestFit="1" customWidth="1"/>
    <col min="34" max="34" width="20.44140625" hidden="1" customWidth="1"/>
    <col min="35" max="36" width="18.33203125" hidden="1" customWidth="1"/>
    <col min="37" max="37" width="20.44140625" bestFit="1" customWidth="1"/>
    <col min="38" max="40" width="18.33203125" hidden="1" customWidth="1"/>
    <col min="41" max="41" width="18.33203125" bestFit="1" customWidth="1"/>
    <col min="42" max="44" width="18.33203125" hidden="1" customWidth="1"/>
    <col min="45" max="45" width="18.33203125" bestFit="1" customWidth="1"/>
    <col min="46" max="48" width="18.33203125" hidden="1" customWidth="1"/>
    <col min="49" max="49" width="18.33203125" bestFit="1" customWidth="1"/>
    <col min="50" max="52" width="18.33203125" hidden="1" customWidth="1"/>
    <col min="53" max="53" width="18.33203125" bestFit="1" customWidth="1"/>
    <col min="54" max="56" width="18.33203125" hidden="1" customWidth="1"/>
    <col min="57" max="57" width="18.33203125" bestFit="1" customWidth="1"/>
    <col min="58" max="60" width="18.33203125" hidden="1" customWidth="1"/>
    <col min="61" max="61" width="18.33203125" bestFit="1" customWidth="1"/>
    <col min="62" max="64" width="18.33203125" hidden="1" customWidth="1"/>
    <col min="65" max="65" width="18.33203125" bestFit="1" customWidth="1"/>
    <col min="66" max="66" width="18.33203125" hidden="1" customWidth="1"/>
    <col min="67" max="67" width="18.33203125" bestFit="1" customWidth="1"/>
    <col min="68" max="68" width="18.33203125" hidden="1" customWidth="1"/>
    <col min="69" max="69" width="17.21875" bestFit="1" customWidth="1"/>
    <col min="70" max="70" width="18.33203125" hidden="1" customWidth="1"/>
    <col min="71" max="71" width="18.33203125" bestFit="1" customWidth="1"/>
    <col min="72" max="72" width="18.33203125" hidden="1" customWidth="1"/>
    <col min="73" max="73" width="18.33203125" bestFit="1" customWidth="1"/>
    <col min="74" max="74" width="18.33203125" hidden="1" customWidth="1"/>
    <col min="75" max="75" width="18.33203125" bestFit="1" customWidth="1"/>
    <col min="76" max="76" width="17.21875" bestFit="1" customWidth="1"/>
    <col min="77" max="77" width="18.33203125" bestFit="1" customWidth="1"/>
    <col min="78" max="78" width="17.21875" bestFit="1" customWidth="1"/>
    <col min="79" max="81" width="18.33203125" bestFit="1" customWidth="1"/>
    <col min="82" max="82" width="9.33203125" bestFit="1" customWidth="1"/>
    <col min="83" max="84" width="17.21875" bestFit="1" customWidth="1"/>
    <col min="85" max="86" width="16.109375" bestFit="1" customWidth="1"/>
    <col min="87" max="87" width="17.21875" bestFit="1" customWidth="1"/>
    <col min="88" max="88" width="16.109375" bestFit="1" customWidth="1"/>
    <col min="89" max="90" width="9.33203125" bestFit="1" customWidth="1"/>
  </cols>
  <sheetData>
    <row r="1" spans="1:90" x14ac:dyDescent="0.25">
      <c r="A1" s="17">
        <v>603060</v>
      </c>
      <c r="B1" s="1">
        <v>43373</v>
      </c>
      <c r="C1" s="1">
        <v>43281</v>
      </c>
      <c r="D1" s="1">
        <v>43190</v>
      </c>
      <c r="E1" s="1">
        <v>43100</v>
      </c>
      <c r="F1" s="1">
        <v>43008</v>
      </c>
      <c r="G1" s="1">
        <v>42916</v>
      </c>
      <c r="H1" s="1">
        <v>42825</v>
      </c>
      <c r="I1" s="1">
        <v>42735</v>
      </c>
      <c r="J1" s="1">
        <v>42643</v>
      </c>
      <c r="K1" s="1">
        <v>42551</v>
      </c>
      <c r="L1" s="1">
        <v>42460</v>
      </c>
      <c r="M1" s="1">
        <v>42369</v>
      </c>
      <c r="N1" s="1">
        <v>42277</v>
      </c>
      <c r="O1" s="1">
        <v>42004</v>
      </c>
      <c r="P1" s="1">
        <v>41639</v>
      </c>
      <c r="Q1" s="1">
        <v>41274</v>
      </c>
      <c r="R1" s="1">
        <v>40908</v>
      </c>
      <c r="S1" s="1">
        <v>25569</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c r="BW1" s="40"/>
      <c r="BX1" s="40"/>
      <c r="BY1" s="40"/>
      <c r="BZ1" s="40"/>
      <c r="CA1" s="40"/>
      <c r="CB1" s="40"/>
      <c r="CC1" s="40"/>
      <c r="CD1" s="40"/>
      <c r="CE1" s="40"/>
      <c r="CF1" s="40"/>
      <c r="CG1" s="40"/>
      <c r="CH1" s="40"/>
      <c r="CI1" s="40"/>
      <c r="CJ1" s="40"/>
      <c r="CK1" s="40"/>
      <c r="CL1" s="40"/>
    </row>
    <row r="2" spans="1:90" s="26" customFormat="1" x14ac:dyDescent="0.25">
      <c r="A2" s="17" t="s">
        <v>485</v>
      </c>
      <c r="E2" s="26">
        <f>现金流量表!E4</f>
        <v>801161519.13999999</v>
      </c>
      <c r="F2" s="26">
        <f>现金流量表!F4</f>
        <v>554516123.82000005</v>
      </c>
      <c r="G2" s="26">
        <f>现金流量表!G4</f>
        <v>360711308.88</v>
      </c>
      <c r="H2" s="26">
        <f>现金流量表!H4</f>
        <v>170192175.44999999</v>
      </c>
      <c r="I2" s="26">
        <f>现金流量表!I4</f>
        <v>711350011.96000004</v>
      </c>
      <c r="J2" s="26">
        <f>现金流量表!J4</f>
        <v>498709587.62</v>
      </c>
      <c r="K2" s="26">
        <f>现金流量表!K4</f>
        <v>305322938.24000001</v>
      </c>
      <c r="L2" s="26">
        <f>现金流量表!L4</f>
        <v>127848330.19</v>
      </c>
      <c r="M2" s="26">
        <f>现金流量表!M4</f>
        <v>637450598.5</v>
      </c>
      <c r="N2" s="26">
        <f>现金流量表!N4</f>
        <v>454338256.08999997</v>
      </c>
      <c r="O2" s="26">
        <f>现金流量表!O4</f>
        <v>565089648.98000002</v>
      </c>
      <c r="P2" s="26">
        <f>现金流量表!P4</f>
        <v>515923527.69999999</v>
      </c>
      <c r="Q2" s="26">
        <f>现金流量表!Q4</f>
        <v>420546580.74000001</v>
      </c>
      <c r="R2" s="26">
        <f>现金流量表!R4</f>
        <v>325120725.17000002</v>
      </c>
      <c r="S2" s="26">
        <f>现金流量表!S4</f>
        <v>0</v>
      </c>
      <c r="T2" s="26">
        <f>现金流量表!T4</f>
        <v>0</v>
      </c>
      <c r="U2" s="26">
        <f>现金流量表!U4</f>
        <v>0</v>
      </c>
      <c r="V2" s="26">
        <f>现金流量表!V4</f>
        <v>0</v>
      </c>
      <c r="W2" s="26">
        <f>现金流量表!W4</f>
        <v>0</v>
      </c>
      <c r="X2" s="26">
        <f>现金流量表!X4</f>
        <v>0</v>
      </c>
      <c r="Y2" s="26">
        <f>现金流量表!Y4</f>
        <v>0</v>
      </c>
      <c r="Z2" s="26">
        <f>现金流量表!Z4</f>
        <v>0</v>
      </c>
      <c r="AA2" s="26">
        <f>现金流量表!AA4</f>
        <v>0</v>
      </c>
      <c r="AB2" s="26">
        <f>现金流量表!AB4</f>
        <v>0</v>
      </c>
      <c r="AC2" s="26">
        <f>现金流量表!AC4</f>
        <v>0</v>
      </c>
      <c r="AD2" s="26">
        <f>现金流量表!AD4</f>
        <v>0</v>
      </c>
      <c r="AE2" s="26">
        <f>现金流量表!AE4</f>
        <v>0</v>
      </c>
      <c r="AF2" s="26">
        <f>现金流量表!AF4</f>
        <v>0</v>
      </c>
      <c r="AG2" s="26">
        <f>现金流量表!AG4</f>
        <v>0</v>
      </c>
      <c r="AH2" s="26">
        <f>现金流量表!AH4</f>
        <v>0</v>
      </c>
      <c r="AI2" s="26">
        <f>现金流量表!AI4</f>
        <v>0</v>
      </c>
      <c r="AJ2" s="26">
        <f>现金流量表!AJ4</f>
        <v>0</v>
      </c>
      <c r="AK2" s="26">
        <f>现金流量表!AK4</f>
        <v>0</v>
      </c>
      <c r="AL2" s="26">
        <f>现金流量表!AL4</f>
        <v>0</v>
      </c>
      <c r="AM2" s="26">
        <f>现金流量表!AM4</f>
        <v>0</v>
      </c>
      <c r="AN2" s="26">
        <f>现金流量表!AN4</f>
        <v>0</v>
      </c>
      <c r="AO2" s="26">
        <f>现金流量表!AO4</f>
        <v>0</v>
      </c>
      <c r="AP2" s="26">
        <f>现金流量表!AP4</f>
        <v>0</v>
      </c>
      <c r="AQ2" s="26">
        <f>现金流量表!AQ4</f>
        <v>0</v>
      </c>
      <c r="AR2" s="26">
        <f>现金流量表!AR4</f>
        <v>0</v>
      </c>
      <c r="AS2" s="26">
        <f>现金流量表!AS4</f>
        <v>0</v>
      </c>
      <c r="AT2" s="26">
        <f>现金流量表!AT4</f>
        <v>0</v>
      </c>
      <c r="AU2" s="26">
        <f>现金流量表!AU4</f>
        <v>0</v>
      </c>
      <c r="AV2" s="26">
        <f>现金流量表!AV4</f>
        <v>0</v>
      </c>
      <c r="AW2" s="26">
        <f>现金流量表!AW4</f>
        <v>0</v>
      </c>
      <c r="AX2" s="26">
        <f>现金流量表!AX4</f>
        <v>0</v>
      </c>
      <c r="AY2" s="26">
        <f>现金流量表!AY4</f>
        <v>0</v>
      </c>
      <c r="AZ2" s="26">
        <f>现金流量表!AZ4</f>
        <v>0</v>
      </c>
      <c r="BA2" s="26">
        <f>现金流量表!BA4</f>
        <v>0</v>
      </c>
      <c r="BB2" s="26">
        <f>现金流量表!BB4</f>
        <v>0</v>
      </c>
      <c r="BC2" s="26">
        <f>现金流量表!BC4</f>
        <v>0</v>
      </c>
      <c r="BD2" s="26">
        <f>现金流量表!BD4</f>
        <v>0</v>
      </c>
      <c r="BE2" s="26">
        <f>现金流量表!BE4</f>
        <v>0</v>
      </c>
      <c r="BF2" s="26">
        <f>现金流量表!BF4</f>
        <v>0</v>
      </c>
      <c r="BG2" s="26">
        <f>现金流量表!BG4</f>
        <v>0</v>
      </c>
      <c r="BH2" s="26">
        <f>现金流量表!BH4</f>
        <v>0</v>
      </c>
      <c r="BI2" s="26">
        <f>现金流量表!BI4</f>
        <v>0</v>
      </c>
      <c r="BJ2" s="26">
        <f>现金流量表!BJ4</f>
        <v>0</v>
      </c>
      <c r="BK2" s="26">
        <f>现金流量表!BK4</f>
        <v>0</v>
      </c>
      <c r="BL2" s="26">
        <f>现金流量表!BL4</f>
        <v>0</v>
      </c>
      <c r="BM2" s="26">
        <f>现金流量表!BM4</f>
        <v>0</v>
      </c>
      <c r="BN2" s="26">
        <f>现金流量表!BN4</f>
        <v>0</v>
      </c>
      <c r="BO2" s="26">
        <f>现金流量表!BO4</f>
        <v>0</v>
      </c>
      <c r="BP2" s="26">
        <f>现金流量表!BP4</f>
        <v>0</v>
      </c>
      <c r="BQ2" s="26">
        <f>现金流量表!BQ4</f>
        <v>0</v>
      </c>
      <c r="BR2" s="26">
        <f>现金流量表!BR4</f>
        <v>0</v>
      </c>
      <c r="BS2" s="26">
        <f>现金流量表!BS4</f>
        <v>0</v>
      </c>
      <c r="BT2" s="26">
        <f>现金流量表!BT4</f>
        <v>0</v>
      </c>
      <c r="BU2" s="26">
        <f>现金流量表!BU4</f>
        <v>0</v>
      </c>
      <c r="BV2" s="26">
        <f>现金流量表!BV4</f>
        <v>0</v>
      </c>
      <c r="BW2" s="26">
        <f>现金流量表!BW4</f>
        <v>0</v>
      </c>
      <c r="BX2" s="26">
        <f>现金流量表!BX4</f>
        <v>0</v>
      </c>
      <c r="BY2" s="26">
        <f>现金流量表!BY4</f>
        <v>0</v>
      </c>
      <c r="BZ2" s="26">
        <f>现金流量表!BZ4</f>
        <v>0</v>
      </c>
      <c r="CA2" s="26">
        <f>现金流量表!CA4</f>
        <v>0</v>
      </c>
      <c r="CB2" s="26">
        <f>现金流量表!CB4</f>
        <v>0</v>
      </c>
      <c r="CC2" s="26">
        <f>现金流量表!CC4</f>
        <v>0</v>
      </c>
      <c r="CD2" s="26">
        <f>现金流量表!CD4</f>
        <v>0</v>
      </c>
      <c r="CE2" s="26">
        <f>现金流量表!CE4</f>
        <v>0</v>
      </c>
      <c r="CF2" s="26">
        <f>现金流量表!CF4</f>
        <v>0</v>
      </c>
      <c r="CG2" s="26">
        <f>现金流量表!CG4</f>
        <v>0</v>
      </c>
      <c r="CH2" s="26">
        <f>现金流量表!CH4</f>
        <v>0</v>
      </c>
      <c r="CI2" s="26">
        <f>现金流量表!CI4</f>
        <v>0</v>
      </c>
      <c r="CJ2" s="26">
        <f>现金流量表!CJ4</f>
        <v>0</v>
      </c>
      <c r="CK2" s="26">
        <f>现金流量表!CK4</f>
        <v>0</v>
      </c>
      <c r="CL2" s="26">
        <f>现金流量表!CL4</f>
        <v>0</v>
      </c>
    </row>
    <row r="3" spans="1:90" s="26" customFormat="1" x14ac:dyDescent="0.25">
      <c r="A3" s="17" t="s">
        <v>486</v>
      </c>
      <c r="E3" s="26">
        <f>利润表!E3</f>
        <v>752408925.78999996</v>
      </c>
      <c r="F3" s="26">
        <f>利润表!F3</f>
        <v>525772942.17000002</v>
      </c>
      <c r="G3" s="26">
        <f>利润表!G3</f>
        <v>339770745.41000003</v>
      </c>
      <c r="H3" s="26">
        <f>利润表!H3</f>
        <v>153700781.78999999</v>
      </c>
      <c r="I3" s="26">
        <f>利润表!I3</f>
        <v>665011421.55999994</v>
      </c>
      <c r="J3" s="26">
        <f>利润表!J3</f>
        <v>454007921.24000001</v>
      </c>
      <c r="K3" s="26">
        <f>利润表!K3</f>
        <v>283257330.20999998</v>
      </c>
      <c r="L3" s="26">
        <f>利润表!L3</f>
        <v>124302689.18000001</v>
      </c>
      <c r="M3" s="26">
        <f>利润表!M3</f>
        <v>597037871.64999998</v>
      </c>
      <c r="N3" s="26">
        <f>利润表!N3</f>
        <v>409475329.64999998</v>
      </c>
      <c r="O3" s="26">
        <f>利润表!O3</f>
        <v>528809680.74000001</v>
      </c>
      <c r="P3" s="26">
        <f>利润表!P3</f>
        <v>484907942.22000003</v>
      </c>
      <c r="Q3" s="26">
        <f>利润表!Q3</f>
        <v>395593790.81</v>
      </c>
      <c r="R3" s="26">
        <f>利润表!R3</f>
        <v>316891515.43000001</v>
      </c>
      <c r="S3" s="26">
        <f>利润表!S3</f>
        <v>0</v>
      </c>
      <c r="T3" s="26">
        <f>利润表!T3</f>
        <v>0</v>
      </c>
      <c r="U3" s="26">
        <f>利润表!U3</f>
        <v>0</v>
      </c>
      <c r="V3" s="26">
        <f>利润表!V3</f>
        <v>0</v>
      </c>
      <c r="W3" s="26">
        <f>利润表!W3</f>
        <v>0</v>
      </c>
      <c r="X3" s="26">
        <f>利润表!X3</f>
        <v>0</v>
      </c>
      <c r="Y3" s="26">
        <f>利润表!Y3</f>
        <v>0</v>
      </c>
      <c r="Z3" s="26">
        <f>利润表!Z3</f>
        <v>0</v>
      </c>
      <c r="AA3" s="26">
        <f>利润表!AA3</f>
        <v>0</v>
      </c>
      <c r="AB3" s="26">
        <f>利润表!AB3</f>
        <v>0</v>
      </c>
      <c r="AC3" s="26">
        <f>利润表!AC3</f>
        <v>0</v>
      </c>
      <c r="AD3" s="26">
        <f>利润表!AD3</f>
        <v>0</v>
      </c>
      <c r="AE3" s="26">
        <f>利润表!AE3</f>
        <v>0</v>
      </c>
      <c r="AF3" s="26">
        <f>利润表!AF3</f>
        <v>0</v>
      </c>
      <c r="AG3" s="26">
        <f>利润表!AG3</f>
        <v>0</v>
      </c>
      <c r="AH3" s="26">
        <f>利润表!AH3</f>
        <v>0</v>
      </c>
      <c r="AI3" s="26">
        <f>利润表!AI3</f>
        <v>0</v>
      </c>
      <c r="AJ3" s="26">
        <f>利润表!AJ3</f>
        <v>0</v>
      </c>
      <c r="AK3" s="26">
        <f>利润表!AK3</f>
        <v>0</v>
      </c>
      <c r="AL3" s="26">
        <f>利润表!AL3</f>
        <v>0</v>
      </c>
      <c r="AM3" s="26">
        <f>利润表!AM3</f>
        <v>0</v>
      </c>
      <c r="AN3" s="26">
        <f>利润表!AN3</f>
        <v>0</v>
      </c>
      <c r="AO3" s="26">
        <f>利润表!AO3</f>
        <v>0</v>
      </c>
      <c r="AP3" s="26">
        <f>利润表!AP3</f>
        <v>0</v>
      </c>
      <c r="AQ3" s="26">
        <f>利润表!AQ3</f>
        <v>0</v>
      </c>
      <c r="AR3" s="26">
        <f>利润表!AR3</f>
        <v>0</v>
      </c>
      <c r="AS3" s="26">
        <f>利润表!AS3</f>
        <v>0</v>
      </c>
      <c r="AT3" s="26">
        <f>利润表!AT3</f>
        <v>0</v>
      </c>
      <c r="AU3" s="26">
        <f>利润表!AU3</f>
        <v>0</v>
      </c>
      <c r="AV3" s="26">
        <f>利润表!AV3</f>
        <v>0</v>
      </c>
      <c r="AW3" s="26">
        <f>利润表!AW3</f>
        <v>0</v>
      </c>
      <c r="AX3" s="26">
        <f>利润表!AX3</f>
        <v>0</v>
      </c>
      <c r="AY3" s="26">
        <f>利润表!AY3</f>
        <v>0</v>
      </c>
      <c r="AZ3" s="26">
        <f>利润表!AZ3</f>
        <v>0</v>
      </c>
      <c r="BA3" s="26">
        <f>利润表!BA3</f>
        <v>0</v>
      </c>
      <c r="BB3" s="26">
        <f>利润表!BB3</f>
        <v>0</v>
      </c>
      <c r="BC3" s="26">
        <f>利润表!BC3</f>
        <v>0</v>
      </c>
      <c r="BD3" s="26">
        <f>利润表!BD3</f>
        <v>0</v>
      </c>
      <c r="BE3" s="26">
        <f>利润表!BE3</f>
        <v>0</v>
      </c>
      <c r="BF3" s="26">
        <f>利润表!BF3</f>
        <v>0</v>
      </c>
      <c r="BG3" s="26">
        <f>利润表!BG3</f>
        <v>0</v>
      </c>
      <c r="BH3" s="26">
        <f>利润表!BH3</f>
        <v>0</v>
      </c>
      <c r="BI3" s="26">
        <f>利润表!BI3</f>
        <v>0</v>
      </c>
      <c r="BJ3" s="26">
        <f>利润表!BJ3</f>
        <v>0</v>
      </c>
      <c r="BK3" s="26">
        <f>利润表!BK3</f>
        <v>0</v>
      </c>
      <c r="BL3" s="26">
        <f>利润表!BL3</f>
        <v>0</v>
      </c>
      <c r="BM3" s="26">
        <f>利润表!BM3</f>
        <v>0</v>
      </c>
      <c r="BN3" s="26">
        <f>利润表!BN3</f>
        <v>0</v>
      </c>
      <c r="BO3" s="26">
        <f>利润表!BO3</f>
        <v>0</v>
      </c>
      <c r="BP3" s="26">
        <f>利润表!BP3</f>
        <v>0</v>
      </c>
      <c r="BQ3" s="26">
        <f>利润表!BQ3</f>
        <v>0</v>
      </c>
      <c r="BR3" s="26">
        <f>利润表!BR3</f>
        <v>0</v>
      </c>
      <c r="BS3" s="26">
        <f>利润表!BS3</f>
        <v>0</v>
      </c>
      <c r="BT3" s="26">
        <f>利润表!BT3</f>
        <v>0</v>
      </c>
      <c r="BU3" s="26">
        <f>利润表!BU3</f>
        <v>0</v>
      </c>
      <c r="BV3" s="26">
        <f>利润表!BV3</f>
        <v>0</v>
      </c>
      <c r="BW3" s="26">
        <f>利润表!BW3</f>
        <v>0</v>
      </c>
      <c r="BX3" s="26">
        <f>利润表!BX3</f>
        <v>0</v>
      </c>
      <c r="BY3" s="26">
        <f>利润表!BY3</f>
        <v>0</v>
      </c>
      <c r="BZ3" s="26">
        <f>利润表!BZ3</f>
        <v>0</v>
      </c>
      <c r="CA3" s="26">
        <f>利润表!CA3</f>
        <v>0</v>
      </c>
      <c r="CB3" s="26">
        <f>利润表!CB3</f>
        <v>0</v>
      </c>
      <c r="CC3" s="26">
        <f>利润表!CC3</f>
        <v>0</v>
      </c>
      <c r="CD3" s="26">
        <f>利润表!CD3</f>
        <v>0</v>
      </c>
      <c r="CE3" s="26">
        <f>利润表!CE3</f>
        <v>0</v>
      </c>
      <c r="CF3" s="26">
        <f>利润表!CF3</f>
        <v>0</v>
      </c>
      <c r="CG3" s="26">
        <f>利润表!CG3</f>
        <v>0</v>
      </c>
      <c r="CH3" s="26">
        <f>利润表!CH3</f>
        <v>0</v>
      </c>
      <c r="CI3" s="26">
        <f>利润表!CI3</f>
        <v>0</v>
      </c>
      <c r="CJ3" s="26">
        <f>利润表!CJ3</f>
        <v>0</v>
      </c>
      <c r="CK3" s="26">
        <f>利润表!CK3</f>
        <v>0</v>
      </c>
    </row>
    <row r="4" spans="1:90" s="63" customFormat="1" x14ac:dyDescent="0.25">
      <c r="A4" s="17" t="s">
        <v>510</v>
      </c>
      <c r="E4" s="63">
        <f>$E$33</f>
        <v>0.17</v>
      </c>
      <c r="F4" s="63">
        <f t="shared" ref="F4:BQ4" si="0">$E$33</f>
        <v>0.17</v>
      </c>
      <c r="G4" s="63">
        <f t="shared" si="0"/>
        <v>0.17</v>
      </c>
      <c r="H4" s="63">
        <f t="shared" si="0"/>
        <v>0.17</v>
      </c>
      <c r="I4" s="63">
        <f t="shared" si="0"/>
        <v>0.17</v>
      </c>
      <c r="J4" s="63">
        <f t="shared" si="0"/>
        <v>0.17</v>
      </c>
      <c r="K4" s="63">
        <f t="shared" si="0"/>
        <v>0.17</v>
      </c>
      <c r="L4" s="63">
        <f t="shared" si="0"/>
        <v>0.17</v>
      </c>
      <c r="M4" s="63">
        <f t="shared" si="0"/>
        <v>0.17</v>
      </c>
      <c r="N4" s="63">
        <f t="shared" si="0"/>
        <v>0.17</v>
      </c>
      <c r="O4" s="63">
        <f t="shared" si="0"/>
        <v>0.17</v>
      </c>
      <c r="P4" s="63">
        <f t="shared" si="0"/>
        <v>0.17</v>
      </c>
      <c r="Q4" s="63">
        <f t="shared" si="0"/>
        <v>0.17</v>
      </c>
      <c r="R4" s="63">
        <f t="shared" si="0"/>
        <v>0.17</v>
      </c>
      <c r="S4" s="63">
        <f t="shared" si="0"/>
        <v>0.17</v>
      </c>
      <c r="T4" s="63">
        <f t="shared" si="0"/>
        <v>0.17</v>
      </c>
      <c r="U4" s="63">
        <f t="shared" si="0"/>
        <v>0.17</v>
      </c>
      <c r="V4" s="63">
        <f t="shared" si="0"/>
        <v>0.17</v>
      </c>
      <c r="W4" s="63">
        <f t="shared" si="0"/>
        <v>0.17</v>
      </c>
      <c r="X4" s="63">
        <f t="shared" si="0"/>
        <v>0.17</v>
      </c>
      <c r="Y4" s="63">
        <f t="shared" si="0"/>
        <v>0.17</v>
      </c>
      <c r="Z4" s="63">
        <f t="shared" si="0"/>
        <v>0.17</v>
      </c>
      <c r="AA4" s="63">
        <f t="shared" si="0"/>
        <v>0.17</v>
      </c>
      <c r="AB4" s="63">
        <f t="shared" si="0"/>
        <v>0.17</v>
      </c>
      <c r="AC4" s="63">
        <f t="shared" si="0"/>
        <v>0.17</v>
      </c>
      <c r="AD4" s="63">
        <f t="shared" si="0"/>
        <v>0.17</v>
      </c>
      <c r="AE4" s="63">
        <f t="shared" si="0"/>
        <v>0.17</v>
      </c>
      <c r="AF4" s="63">
        <f t="shared" si="0"/>
        <v>0.17</v>
      </c>
      <c r="AG4" s="63">
        <f t="shared" si="0"/>
        <v>0.17</v>
      </c>
      <c r="AH4" s="63">
        <f t="shared" si="0"/>
        <v>0.17</v>
      </c>
      <c r="AI4" s="63">
        <f t="shared" si="0"/>
        <v>0.17</v>
      </c>
      <c r="AJ4" s="63">
        <f t="shared" si="0"/>
        <v>0.17</v>
      </c>
      <c r="AK4" s="63">
        <f t="shared" si="0"/>
        <v>0.17</v>
      </c>
      <c r="AL4" s="63">
        <f t="shared" si="0"/>
        <v>0.17</v>
      </c>
      <c r="AM4" s="63">
        <f t="shared" si="0"/>
        <v>0.17</v>
      </c>
      <c r="AN4" s="63">
        <f t="shared" si="0"/>
        <v>0.17</v>
      </c>
      <c r="AO4" s="63">
        <f t="shared" si="0"/>
        <v>0.17</v>
      </c>
      <c r="AP4" s="63">
        <f t="shared" si="0"/>
        <v>0.17</v>
      </c>
      <c r="AQ4" s="63">
        <f t="shared" si="0"/>
        <v>0.17</v>
      </c>
      <c r="AR4" s="63">
        <f t="shared" si="0"/>
        <v>0.17</v>
      </c>
      <c r="AS4" s="63">
        <f t="shared" si="0"/>
        <v>0.17</v>
      </c>
      <c r="AT4" s="63">
        <f t="shared" si="0"/>
        <v>0.17</v>
      </c>
      <c r="AU4" s="63">
        <f t="shared" si="0"/>
        <v>0.17</v>
      </c>
      <c r="AV4" s="63">
        <f t="shared" si="0"/>
        <v>0.17</v>
      </c>
      <c r="AW4" s="63">
        <f t="shared" si="0"/>
        <v>0.17</v>
      </c>
      <c r="AX4" s="63">
        <f t="shared" si="0"/>
        <v>0.17</v>
      </c>
      <c r="AY4" s="63">
        <f t="shared" si="0"/>
        <v>0.17</v>
      </c>
      <c r="AZ4" s="63">
        <f t="shared" si="0"/>
        <v>0.17</v>
      </c>
      <c r="BA4" s="63">
        <f t="shared" si="0"/>
        <v>0.17</v>
      </c>
      <c r="BB4" s="63">
        <f t="shared" si="0"/>
        <v>0.17</v>
      </c>
      <c r="BC4" s="63">
        <f t="shared" si="0"/>
        <v>0.17</v>
      </c>
      <c r="BD4" s="63">
        <f t="shared" si="0"/>
        <v>0.17</v>
      </c>
      <c r="BE4" s="63">
        <f t="shared" si="0"/>
        <v>0.17</v>
      </c>
      <c r="BF4" s="63">
        <f t="shared" si="0"/>
        <v>0.17</v>
      </c>
      <c r="BG4" s="63">
        <f t="shared" si="0"/>
        <v>0.17</v>
      </c>
      <c r="BH4" s="63">
        <f t="shared" si="0"/>
        <v>0.17</v>
      </c>
      <c r="BI4" s="63">
        <f t="shared" si="0"/>
        <v>0.17</v>
      </c>
      <c r="BJ4" s="63">
        <f t="shared" si="0"/>
        <v>0.17</v>
      </c>
      <c r="BK4" s="63">
        <f t="shared" si="0"/>
        <v>0.17</v>
      </c>
      <c r="BL4" s="63">
        <f t="shared" si="0"/>
        <v>0.17</v>
      </c>
      <c r="BM4" s="63">
        <f t="shared" si="0"/>
        <v>0.17</v>
      </c>
      <c r="BN4" s="63">
        <f t="shared" si="0"/>
        <v>0.17</v>
      </c>
      <c r="BO4" s="63">
        <f t="shared" si="0"/>
        <v>0.17</v>
      </c>
      <c r="BP4" s="63">
        <f t="shared" si="0"/>
        <v>0.17</v>
      </c>
      <c r="BQ4" s="63">
        <f t="shared" si="0"/>
        <v>0.17</v>
      </c>
      <c r="BR4" s="63">
        <f t="shared" ref="BR4:CK4" si="1">$E$33</f>
        <v>0.17</v>
      </c>
      <c r="BS4" s="63">
        <f t="shared" si="1"/>
        <v>0.17</v>
      </c>
      <c r="BT4" s="63">
        <f t="shared" si="1"/>
        <v>0.17</v>
      </c>
      <c r="BU4" s="63">
        <f t="shared" si="1"/>
        <v>0.17</v>
      </c>
      <c r="BV4" s="63">
        <f t="shared" si="1"/>
        <v>0.17</v>
      </c>
      <c r="BW4" s="63">
        <f t="shared" si="1"/>
        <v>0.17</v>
      </c>
      <c r="BX4" s="63">
        <f t="shared" si="1"/>
        <v>0.17</v>
      </c>
      <c r="BY4" s="63">
        <f t="shared" si="1"/>
        <v>0.17</v>
      </c>
      <c r="BZ4" s="63">
        <f t="shared" si="1"/>
        <v>0.17</v>
      </c>
      <c r="CA4" s="63">
        <f t="shared" si="1"/>
        <v>0.17</v>
      </c>
      <c r="CB4" s="63">
        <f t="shared" si="1"/>
        <v>0.17</v>
      </c>
      <c r="CC4" s="63">
        <f t="shared" si="1"/>
        <v>0.17</v>
      </c>
      <c r="CD4" s="63">
        <f t="shared" si="1"/>
        <v>0.17</v>
      </c>
      <c r="CE4" s="63">
        <f t="shared" si="1"/>
        <v>0.17</v>
      </c>
      <c r="CF4" s="63">
        <f t="shared" si="1"/>
        <v>0.17</v>
      </c>
      <c r="CG4" s="63">
        <f t="shared" si="1"/>
        <v>0.17</v>
      </c>
      <c r="CH4" s="63">
        <f t="shared" si="1"/>
        <v>0.17</v>
      </c>
      <c r="CI4" s="63">
        <f t="shared" si="1"/>
        <v>0.17</v>
      </c>
      <c r="CJ4" s="63">
        <f t="shared" si="1"/>
        <v>0.17</v>
      </c>
      <c r="CK4" s="63">
        <f t="shared" si="1"/>
        <v>0.17</v>
      </c>
    </row>
    <row r="5" spans="1:90" s="28" customFormat="1" x14ac:dyDescent="0.25">
      <c r="A5" s="20" t="s">
        <v>487</v>
      </c>
      <c r="E5" s="28">
        <f>(E2/(1+E4))/E3</f>
        <v>0.910081488524912</v>
      </c>
      <c r="F5" s="28">
        <f t="shared" ref="F5:BQ5" si="2">(F2/(1+F4))/F3</f>
        <v>0.90142600914049431</v>
      </c>
      <c r="G5" s="28">
        <f t="shared" si="2"/>
        <v>0.90737730709562792</v>
      </c>
      <c r="H5" s="28">
        <f t="shared" si="2"/>
        <v>0.9464063625860939</v>
      </c>
      <c r="I5" s="28">
        <f t="shared" si="2"/>
        <v>0.91425717439173315</v>
      </c>
      <c r="J5" s="28">
        <f t="shared" si="2"/>
        <v>0.93885478830885782</v>
      </c>
      <c r="K5" s="28">
        <f t="shared" si="2"/>
        <v>0.92128163490079906</v>
      </c>
      <c r="L5" s="28">
        <f t="shared" si="2"/>
        <v>0.87908055574916477</v>
      </c>
      <c r="M5" s="28">
        <f t="shared" si="2"/>
        <v>0.9125544579974576</v>
      </c>
      <c r="N5" s="28">
        <f t="shared" si="2"/>
        <v>0.9483435696488457</v>
      </c>
      <c r="O5" s="28">
        <f t="shared" si="2"/>
        <v>0.91333919093527371</v>
      </c>
      <c r="P5" s="28">
        <f t="shared" si="2"/>
        <v>0.90936906099469261</v>
      </c>
      <c r="Q5" s="28">
        <f t="shared" si="2"/>
        <v>0.90861264850498236</v>
      </c>
      <c r="R5" s="28">
        <f t="shared" si="2"/>
        <v>0.87689618734883246</v>
      </c>
      <c r="S5" s="28" t="e">
        <f t="shared" si="2"/>
        <v>#DIV/0!</v>
      </c>
      <c r="T5" s="28" t="e">
        <f t="shared" si="2"/>
        <v>#DIV/0!</v>
      </c>
      <c r="U5" s="28" t="e">
        <f t="shared" si="2"/>
        <v>#DIV/0!</v>
      </c>
      <c r="V5" s="28" t="e">
        <f t="shared" si="2"/>
        <v>#DIV/0!</v>
      </c>
      <c r="W5" s="28" t="e">
        <f t="shared" si="2"/>
        <v>#DIV/0!</v>
      </c>
      <c r="X5" s="28" t="e">
        <f t="shared" si="2"/>
        <v>#DIV/0!</v>
      </c>
      <c r="Y5" s="28" t="e">
        <f t="shared" si="2"/>
        <v>#DIV/0!</v>
      </c>
      <c r="Z5" s="28" t="e">
        <f t="shared" si="2"/>
        <v>#DIV/0!</v>
      </c>
      <c r="AA5" s="28" t="e">
        <f t="shared" si="2"/>
        <v>#DIV/0!</v>
      </c>
      <c r="AB5" s="28" t="e">
        <f t="shared" si="2"/>
        <v>#DIV/0!</v>
      </c>
      <c r="AC5" s="28" t="e">
        <f t="shared" si="2"/>
        <v>#DIV/0!</v>
      </c>
      <c r="AD5" s="28" t="e">
        <f t="shared" si="2"/>
        <v>#DIV/0!</v>
      </c>
      <c r="AE5" s="28" t="e">
        <f t="shared" si="2"/>
        <v>#DIV/0!</v>
      </c>
      <c r="AF5" s="28" t="e">
        <f t="shared" si="2"/>
        <v>#DIV/0!</v>
      </c>
      <c r="AG5" s="28" t="e">
        <f t="shared" si="2"/>
        <v>#DIV/0!</v>
      </c>
      <c r="AH5" s="28" t="e">
        <f t="shared" si="2"/>
        <v>#DIV/0!</v>
      </c>
      <c r="AI5" s="28" t="e">
        <f t="shared" si="2"/>
        <v>#DIV/0!</v>
      </c>
      <c r="AJ5" s="28" t="e">
        <f t="shared" si="2"/>
        <v>#DIV/0!</v>
      </c>
      <c r="AK5" s="28" t="e">
        <f t="shared" si="2"/>
        <v>#DIV/0!</v>
      </c>
      <c r="AL5" s="28" t="e">
        <f t="shared" si="2"/>
        <v>#DIV/0!</v>
      </c>
      <c r="AM5" s="28" t="e">
        <f t="shared" si="2"/>
        <v>#DIV/0!</v>
      </c>
      <c r="AN5" s="28" t="e">
        <f t="shared" si="2"/>
        <v>#DIV/0!</v>
      </c>
      <c r="AO5" s="28" t="e">
        <f t="shared" si="2"/>
        <v>#DIV/0!</v>
      </c>
      <c r="AP5" s="28" t="e">
        <f t="shared" si="2"/>
        <v>#DIV/0!</v>
      </c>
      <c r="AQ5" s="28" t="e">
        <f t="shared" si="2"/>
        <v>#DIV/0!</v>
      </c>
      <c r="AR5" s="28" t="e">
        <f t="shared" si="2"/>
        <v>#DIV/0!</v>
      </c>
      <c r="AS5" s="28" t="e">
        <f t="shared" si="2"/>
        <v>#DIV/0!</v>
      </c>
      <c r="AT5" s="28" t="e">
        <f t="shared" si="2"/>
        <v>#DIV/0!</v>
      </c>
      <c r="AU5" s="28" t="e">
        <f t="shared" si="2"/>
        <v>#DIV/0!</v>
      </c>
      <c r="AV5" s="28" t="e">
        <f t="shared" si="2"/>
        <v>#DIV/0!</v>
      </c>
      <c r="AW5" s="28" t="e">
        <f t="shared" si="2"/>
        <v>#DIV/0!</v>
      </c>
      <c r="AX5" s="28" t="e">
        <f t="shared" si="2"/>
        <v>#DIV/0!</v>
      </c>
      <c r="AY5" s="28" t="e">
        <f t="shared" si="2"/>
        <v>#DIV/0!</v>
      </c>
      <c r="AZ5" s="28" t="e">
        <f t="shared" si="2"/>
        <v>#DIV/0!</v>
      </c>
      <c r="BA5" s="28" t="e">
        <f t="shared" si="2"/>
        <v>#DIV/0!</v>
      </c>
      <c r="BB5" s="28" t="e">
        <f t="shared" si="2"/>
        <v>#DIV/0!</v>
      </c>
      <c r="BC5" s="28" t="e">
        <f t="shared" si="2"/>
        <v>#DIV/0!</v>
      </c>
      <c r="BD5" s="28" t="e">
        <f t="shared" si="2"/>
        <v>#DIV/0!</v>
      </c>
      <c r="BE5" s="28" t="e">
        <f t="shared" si="2"/>
        <v>#DIV/0!</v>
      </c>
      <c r="BF5" s="28" t="e">
        <f t="shared" si="2"/>
        <v>#DIV/0!</v>
      </c>
      <c r="BG5" s="28" t="e">
        <f t="shared" si="2"/>
        <v>#DIV/0!</v>
      </c>
      <c r="BH5" s="28" t="e">
        <f t="shared" si="2"/>
        <v>#DIV/0!</v>
      </c>
      <c r="BI5" s="28" t="e">
        <f t="shared" si="2"/>
        <v>#DIV/0!</v>
      </c>
      <c r="BJ5" s="28" t="e">
        <f t="shared" si="2"/>
        <v>#DIV/0!</v>
      </c>
      <c r="BK5" s="28" t="e">
        <f t="shared" si="2"/>
        <v>#DIV/0!</v>
      </c>
      <c r="BL5" s="28" t="e">
        <f t="shared" si="2"/>
        <v>#DIV/0!</v>
      </c>
      <c r="BM5" s="28" t="e">
        <f t="shared" si="2"/>
        <v>#DIV/0!</v>
      </c>
      <c r="BN5" s="28" t="e">
        <f t="shared" si="2"/>
        <v>#DIV/0!</v>
      </c>
      <c r="BO5" s="28" t="e">
        <f t="shared" si="2"/>
        <v>#DIV/0!</v>
      </c>
      <c r="BP5" s="28" t="e">
        <f t="shared" si="2"/>
        <v>#DIV/0!</v>
      </c>
      <c r="BQ5" s="28" t="e">
        <f t="shared" si="2"/>
        <v>#DIV/0!</v>
      </c>
      <c r="BR5" s="28" t="e">
        <f t="shared" ref="BR5:CL5" si="3">(BR2/(1+BR4))/BR3</f>
        <v>#DIV/0!</v>
      </c>
      <c r="BS5" s="28" t="e">
        <f t="shared" si="3"/>
        <v>#DIV/0!</v>
      </c>
      <c r="BT5" s="28" t="e">
        <f t="shared" si="3"/>
        <v>#DIV/0!</v>
      </c>
      <c r="BU5" s="28" t="e">
        <f t="shared" si="3"/>
        <v>#DIV/0!</v>
      </c>
      <c r="BV5" s="28" t="e">
        <f t="shared" si="3"/>
        <v>#DIV/0!</v>
      </c>
      <c r="BW5" s="28" t="e">
        <f t="shared" si="3"/>
        <v>#DIV/0!</v>
      </c>
      <c r="BX5" s="28" t="e">
        <f t="shared" si="3"/>
        <v>#DIV/0!</v>
      </c>
      <c r="BY5" s="28" t="e">
        <f t="shared" si="3"/>
        <v>#DIV/0!</v>
      </c>
      <c r="BZ5" s="28" t="e">
        <f t="shared" si="3"/>
        <v>#DIV/0!</v>
      </c>
      <c r="CA5" s="28" t="e">
        <f t="shared" si="3"/>
        <v>#DIV/0!</v>
      </c>
      <c r="CB5" s="28" t="e">
        <f t="shared" si="3"/>
        <v>#DIV/0!</v>
      </c>
      <c r="CC5" s="28" t="e">
        <f t="shared" si="3"/>
        <v>#DIV/0!</v>
      </c>
      <c r="CD5" s="28" t="e">
        <f t="shared" si="3"/>
        <v>#DIV/0!</v>
      </c>
      <c r="CE5" s="28" t="e">
        <f t="shared" si="3"/>
        <v>#DIV/0!</v>
      </c>
      <c r="CF5" s="28" t="e">
        <f t="shared" si="3"/>
        <v>#DIV/0!</v>
      </c>
      <c r="CG5" s="28" t="e">
        <f t="shared" si="3"/>
        <v>#DIV/0!</v>
      </c>
      <c r="CH5" s="28" t="e">
        <f t="shared" si="3"/>
        <v>#DIV/0!</v>
      </c>
      <c r="CI5" s="28" t="e">
        <f t="shared" si="3"/>
        <v>#DIV/0!</v>
      </c>
      <c r="CJ5" s="28" t="e">
        <f t="shared" si="3"/>
        <v>#DIV/0!</v>
      </c>
      <c r="CK5" s="28" t="e">
        <f t="shared" si="3"/>
        <v>#DIV/0!</v>
      </c>
      <c r="CL5" s="28" t="e">
        <f t="shared" si="3"/>
        <v>#DIV/0!</v>
      </c>
    </row>
    <row r="6" spans="1:90" s="26" customFormat="1" x14ac:dyDescent="0.25">
      <c r="A6" s="17" t="s">
        <v>488</v>
      </c>
      <c r="E6" s="26">
        <f>现金流量表!E8</f>
        <v>244840380.53</v>
      </c>
      <c r="F6" s="26">
        <f>现金流量表!F8</f>
        <v>169857410.24000001</v>
      </c>
      <c r="G6" s="26">
        <f>现金流量表!G8</f>
        <v>106075990.33</v>
      </c>
      <c r="H6" s="26">
        <f>现金流量表!H8</f>
        <v>59586637.090000004</v>
      </c>
      <c r="I6" s="26">
        <f>现金流量表!I8</f>
        <v>182420074.81999999</v>
      </c>
      <c r="J6" s="26">
        <f>现金流量表!J8</f>
        <v>133080799.20999999</v>
      </c>
      <c r="K6" s="26">
        <f>现金流量表!K8</f>
        <v>81681480.540000007</v>
      </c>
      <c r="L6" s="26">
        <f>现金流量表!L8</f>
        <v>42162364.82</v>
      </c>
      <c r="M6" s="26">
        <f>现金流量表!M8</f>
        <v>179496995.66</v>
      </c>
      <c r="N6" s="26">
        <f>现金流量表!N8</f>
        <v>147693214.06999999</v>
      </c>
      <c r="O6" s="26">
        <f>现金流量表!O8</f>
        <v>156711904.91999999</v>
      </c>
      <c r="P6" s="26">
        <f>现金流量表!P8</f>
        <v>161425714.91</v>
      </c>
      <c r="Q6" s="26">
        <f>现金流量表!Q8</f>
        <v>122925383.56999999</v>
      </c>
      <c r="R6" s="26">
        <f>现金流量表!R8</f>
        <v>91605157.790000007</v>
      </c>
      <c r="S6" s="26">
        <f>现金流量表!S8</f>
        <v>0</v>
      </c>
      <c r="T6" s="26">
        <f>现金流量表!T8</f>
        <v>0</v>
      </c>
      <c r="U6" s="26">
        <f>现金流量表!U8</f>
        <v>0</v>
      </c>
      <c r="V6" s="26">
        <f>现金流量表!V8</f>
        <v>0</v>
      </c>
      <c r="W6" s="26">
        <f>现金流量表!W8</f>
        <v>0</v>
      </c>
      <c r="X6" s="26">
        <f>现金流量表!X8</f>
        <v>0</v>
      </c>
      <c r="Y6" s="26">
        <f>现金流量表!Y8</f>
        <v>0</v>
      </c>
      <c r="Z6" s="26">
        <f>现金流量表!Z8</f>
        <v>0</v>
      </c>
      <c r="AA6" s="26">
        <f>现金流量表!AA8</f>
        <v>0</v>
      </c>
      <c r="AB6" s="26">
        <f>现金流量表!AB8</f>
        <v>0</v>
      </c>
      <c r="AC6" s="26">
        <f>现金流量表!AC8</f>
        <v>0</v>
      </c>
      <c r="AD6" s="26">
        <f>现金流量表!AD8</f>
        <v>0</v>
      </c>
      <c r="AE6" s="26">
        <f>现金流量表!AE8</f>
        <v>0</v>
      </c>
      <c r="AF6" s="26">
        <f>现金流量表!AF8</f>
        <v>0</v>
      </c>
      <c r="AG6" s="26">
        <f>现金流量表!AG8</f>
        <v>0</v>
      </c>
      <c r="AH6" s="26">
        <f>现金流量表!AH8</f>
        <v>0</v>
      </c>
      <c r="AI6" s="26">
        <f>现金流量表!AI8</f>
        <v>0</v>
      </c>
      <c r="AJ6" s="26">
        <f>现金流量表!AJ8</f>
        <v>0</v>
      </c>
      <c r="AK6" s="26">
        <f>现金流量表!AK8</f>
        <v>0</v>
      </c>
      <c r="AL6" s="26">
        <f>现金流量表!AL8</f>
        <v>0</v>
      </c>
      <c r="AM6" s="26">
        <f>现金流量表!AM8</f>
        <v>0</v>
      </c>
      <c r="AN6" s="26">
        <f>现金流量表!AN8</f>
        <v>0</v>
      </c>
      <c r="AO6" s="26">
        <f>现金流量表!AO8</f>
        <v>0</v>
      </c>
      <c r="AP6" s="26">
        <f>现金流量表!AP8</f>
        <v>0</v>
      </c>
      <c r="AQ6" s="26">
        <f>现金流量表!AQ8</f>
        <v>0</v>
      </c>
      <c r="AR6" s="26">
        <f>现金流量表!AR8</f>
        <v>0</v>
      </c>
      <c r="AS6" s="26">
        <f>现金流量表!AS8</f>
        <v>0</v>
      </c>
      <c r="AT6" s="26">
        <f>现金流量表!AT8</f>
        <v>0</v>
      </c>
      <c r="AU6" s="26">
        <f>现金流量表!AU8</f>
        <v>0</v>
      </c>
      <c r="AV6" s="26">
        <f>现金流量表!AV8</f>
        <v>0</v>
      </c>
      <c r="AW6" s="26">
        <f>现金流量表!AW8</f>
        <v>0</v>
      </c>
      <c r="AX6" s="26">
        <f>现金流量表!AX8</f>
        <v>0</v>
      </c>
      <c r="AY6" s="26">
        <f>现金流量表!AY8</f>
        <v>0</v>
      </c>
      <c r="AZ6" s="26">
        <f>现金流量表!AZ8</f>
        <v>0</v>
      </c>
      <c r="BA6" s="26">
        <f>现金流量表!BA8</f>
        <v>0</v>
      </c>
      <c r="BB6" s="26">
        <f>现金流量表!BB8</f>
        <v>0</v>
      </c>
      <c r="BC6" s="26">
        <f>现金流量表!BC8</f>
        <v>0</v>
      </c>
      <c r="BD6" s="26">
        <f>现金流量表!BD8</f>
        <v>0</v>
      </c>
      <c r="BE6" s="26">
        <f>现金流量表!BE8</f>
        <v>0</v>
      </c>
      <c r="BF6" s="26">
        <f>现金流量表!BF8</f>
        <v>0</v>
      </c>
      <c r="BG6" s="26">
        <f>现金流量表!BG8</f>
        <v>0</v>
      </c>
      <c r="BH6" s="26">
        <f>现金流量表!BH8</f>
        <v>0</v>
      </c>
      <c r="BI6" s="26">
        <f>现金流量表!BI8</f>
        <v>0</v>
      </c>
      <c r="BJ6" s="26">
        <f>现金流量表!BJ8</f>
        <v>0</v>
      </c>
      <c r="BK6" s="26">
        <f>现金流量表!BK8</f>
        <v>0</v>
      </c>
      <c r="BL6" s="26">
        <f>现金流量表!BL8</f>
        <v>0</v>
      </c>
      <c r="BM6" s="26">
        <f>现金流量表!BM8</f>
        <v>0</v>
      </c>
      <c r="BN6" s="26">
        <f>现金流量表!BN8</f>
        <v>0</v>
      </c>
      <c r="BO6" s="26">
        <f>现金流量表!BO8</f>
        <v>0</v>
      </c>
      <c r="BP6" s="26">
        <f>现金流量表!BP8</f>
        <v>0</v>
      </c>
      <c r="BQ6" s="26">
        <f>现金流量表!BQ8</f>
        <v>0</v>
      </c>
      <c r="BR6" s="26">
        <f>现金流量表!BR8</f>
        <v>0</v>
      </c>
      <c r="BS6" s="26">
        <f>现金流量表!BS8</f>
        <v>0</v>
      </c>
      <c r="BT6" s="26">
        <f>现金流量表!BT8</f>
        <v>0</v>
      </c>
      <c r="BU6" s="26">
        <f>现金流量表!BU8</f>
        <v>0</v>
      </c>
      <c r="BV6" s="26">
        <f>现金流量表!BV8</f>
        <v>0</v>
      </c>
      <c r="BW6" s="26">
        <f>现金流量表!BW8</f>
        <v>0</v>
      </c>
      <c r="BX6" s="26">
        <f>现金流量表!BX8</f>
        <v>0</v>
      </c>
      <c r="BY6" s="26">
        <f>现金流量表!BY8</f>
        <v>0</v>
      </c>
      <c r="BZ6" s="26">
        <f>现金流量表!BZ8</f>
        <v>0</v>
      </c>
      <c r="CA6" s="26">
        <f>现金流量表!CA8</f>
        <v>0</v>
      </c>
      <c r="CB6" s="26">
        <f>现金流量表!CB8</f>
        <v>0</v>
      </c>
      <c r="CC6" s="26">
        <f>现金流量表!CC8</f>
        <v>0</v>
      </c>
      <c r="CD6" s="26">
        <f>现金流量表!CD8</f>
        <v>0</v>
      </c>
      <c r="CE6" s="26">
        <f>现金流量表!CE8</f>
        <v>0</v>
      </c>
      <c r="CF6" s="26">
        <f>现金流量表!CF8</f>
        <v>0</v>
      </c>
      <c r="CG6" s="26">
        <f>现金流量表!CG8</f>
        <v>0</v>
      </c>
      <c r="CH6" s="26">
        <f>现金流量表!CH8</f>
        <v>0</v>
      </c>
      <c r="CI6" s="26">
        <f>现金流量表!CI8</f>
        <v>0</v>
      </c>
      <c r="CJ6" s="26">
        <f>现金流量表!CJ8</f>
        <v>0</v>
      </c>
      <c r="CK6" s="26">
        <f>现金流量表!CK8</f>
        <v>0</v>
      </c>
    </row>
    <row r="7" spans="1:90" s="26" customFormat="1" x14ac:dyDescent="0.25">
      <c r="A7" s="17" t="s">
        <v>489</v>
      </c>
      <c r="E7" s="26">
        <f>现金流量表!E9</f>
        <v>277144839.24000001</v>
      </c>
      <c r="F7" s="26">
        <f>现金流量表!F9</f>
        <v>193003150.27000001</v>
      </c>
      <c r="G7" s="26">
        <f>现金流量表!G9</f>
        <v>131935658.45999999</v>
      </c>
      <c r="H7" s="26">
        <f>现金流量表!H9</f>
        <v>72149341.040000007</v>
      </c>
      <c r="I7" s="26">
        <f>现金流量表!I9</f>
        <v>253177088.38999999</v>
      </c>
      <c r="J7" s="26">
        <f>现金流量表!J9</f>
        <v>170156535.68000001</v>
      </c>
      <c r="K7" s="26">
        <f>现金流量表!K9</f>
        <v>117396651.3</v>
      </c>
      <c r="L7" s="26">
        <f>现金流量表!L9</f>
        <v>66175167.109999999</v>
      </c>
      <c r="M7" s="26">
        <f>现金流量表!M9</f>
        <v>212040085.53</v>
      </c>
      <c r="N7" s="26">
        <f>现金流量表!N9</f>
        <v>149971279.61000001</v>
      </c>
      <c r="O7" s="26">
        <f>现金流量表!O9</f>
        <v>187788781.61000001</v>
      </c>
      <c r="P7" s="26">
        <f>现金流量表!P9</f>
        <v>156975592.97999999</v>
      </c>
      <c r="Q7" s="26">
        <f>现金流量表!Q9</f>
        <v>118605915.26000001</v>
      </c>
      <c r="R7" s="26">
        <f>现金流量表!R9</f>
        <v>84544720.900000006</v>
      </c>
      <c r="S7" s="26">
        <f>现金流量表!S9</f>
        <v>0</v>
      </c>
      <c r="T7" s="26">
        <f>现金流量表!T9</f>
        <v>0</v>
      </c>
      <c r="U7" s="26">
        <f>现金流量表!U9</f>
        <v>0</v>
      </c>
      <c r="V7" s="26">
        <f>现金流量表!V9</f>
        <v>0</v>
      </c>
      <c r="W7" s="26">
        <f>现金流量表!W9</f>
        <v>0</v>
      </c>
      <c r="X7" s="26">
        <f>现金流量表!X9</f>
        <v>0</v>
      </c>
      <c r="Y7" s="26">
        <f>现金流量表!Y9</f>
        <v>0</v>
      </c>
      <c r="Z7" s="26">
        <f>现金流量表!Z9</f>
        <v>0</v>
      </c>
      <c r="AA7" s="26">
        <f>现金流量表!AA9</f>
        <v>0</v>
      </c>
      <c r="AB7" s="26">
        <f>现金流量表!AB9</f>
        <v>0</v>
      </c>
      <c r="AC7" s="26">
        <f>现金流量表!AC9</f>
        <v>0</v>
      </c>
      <c r="AD7" s="26">
        <f>现金流量表!AD9</f>
        <v>0</v>
      </c>
      <c r="AE7" s="26">
        <f>现金流量表!AE9</f>
        <v>0</v>
      </c>
      <c r="AF7" s="26">
        <f>现金流量表!AF9</f>
        <v>0</v>
      </c>
      <c r="AG7" s="26">
        <f>现金流量表!AG9</f>
        <v>0</v>
      </c>
      <c r="AH7" s="26">
        <f>现金流量表!AH9</f>
        <v>0</v>
      </c>
      <c r="AI7" s="26">
        <f>现金流量表!AI9</f>
        <v>0</v>
      </c>
      <c r="AJ7" s="26">
        <f>现金流量表!AJ9</f>
        <v>0</v>
      </c>
      <c r="AK7" s="26">
        <f>现金流量表!AK9</f>
        <v>0</v>
      </c>
      <c r="AL7" s="26">
        <f>现金流量表!AL9</f>
        <v>0</v>
      </c>
      <c r="AM7" s="26">
        <f>现金流量表!AM9</f>
        <v>0</v>
      </c>
      <c r="AN7" s="26">
        <f>现金流量表!AN9</f>
        <v>0</v>
      </c>
      <c r="AO7" s="26">
        <f>现金流量表!AO9</f>
        <v>0</v>
      </c>
      <c r="AP7" s="26">
        <f>现金流量表!AP9</f>
        <v>0</v>
      </c>
      <c r="AQ7" s="26">
        <f>现金流量表!AQ9</f>
        <v>0</v>
      </c>
      <c r="AR7" s="26">
        <f>现金流量表!AR9</f>
        <v>0</v>
      </c>
      <c r="AS7" s="26">
        <f>现金流量表!AS9</f>
        <v>0</v>
      </c>
      <c r="AT7" s="26">
        <f>现金流量表!AT9</f>
        <v>0</v>
      </c>
      <c r="AU7" s="26">
        <f>现金流量表!AU9</f>
        <v>0</v>
      </c>
      <c r="AV7" s="26">
        <f>现金流量表!AV9</f>
        <v>0</v>
      </c>
      <c r="AW7" s="26">
        <f>现金流量表!AW9</f>
        <v>0</v>
      </c>
      <c r="AX7" s="26">
        <f>现金流量表!AX9</f>
        <v>0</v>
      </c>
      <c r="AY7" s="26">
        <f>现金流量表!AY9</f>
        <v>0</v>
      </c>
      <c r="AZ7" s="26">
        <f>现金流量表!AZ9</f>
        <v>0</v>
      </c>
      <c r="BA7" s="26">
        <f>现金流量表!BA9</f>
        <v>0</v>
      </c>
      <c r="BB7" s="26">
        <f>现金流量表!BB9</f>
        <v>0</v>
      </c>
      <c r="BC7" s="26">
        <f>现金流量表!BC9</f>
        <v>0</v>
      </c>
      <c r="BD7" s="26">
        <f>现金流量表!BD9</f>
        <v>0</v>
      </c>
      <c r="BE7" s="26">
        <f>现金流量表!BE9</f>
        <v>0</v>
      </c>
      <c r="BF7" s="26">
        <f>现金流量表!BF9</f>
        <v>0</v>
      </c>
      <c r="BG7" s="26">
        <f>现金流量表!BG9</f>
        <v>0</v>
      </c>
      <c r="BH7" s="26">
        <f>现金流量表!BH9</f>
        <v>0</v>
      </c>
      <c r="BI7" s="26">
        <f>现金流量表!BI9</f>
        <v>0</v>
      </c>
      <c r="BJ7" s="26">
        <f>现金流量表!BJ9</f>
        <v>0</v>
      </c>
      <c r="BK7" s="26">
        <f>现金流量表!BK9</f>
        <v>0</v>
      </c>
      <c r="BL7" s="26">
        <f>现金流量表!BL9</f>
        <v>0</v>
      </c>
      <c r="BM7" s="26">
        <f>现金流量表!BM9</f>
        <v>0</v>
      </c>
      <c r="BN7" s="26">
        <f>现金流量表!BN9</f>
        <v>0</v>
      </c>
      <c r="BO7" s="26">
        <f>现金流量表!BO9</f>
        <v>0</v>
      </c>
      <c r="BP7" s="26">
        <f>现金流量表!BP9</f>
        <v>0</v>
      </c>
      <c r="BQ7" s="26">
        <f>现金流量表!BQ9</f>
        <v>0</v>
      </c>
      <c r="BR7" s="26">
        <f>现金流量表!BR9</f>
        <v>0</v>
      </c>
      <c r="BS7" s="26">
        <f>现金流量表!BS9</f>
        <v>0</v>
      </c>
      <c r="BT7" s="26">
        <f>现金流量表!BT9</f>
        <v>0</v>
      </c>
      <c r="BU7" s="26">
        <f>现金流量表!BU9</f>
        <v>0</v>
      </c>
      <c r="BV7" s="26">
        <f>现金流量表!BV9</f>
        <v>0</v>
      </c>
      <c r="BW7" s="26">
        <f>现金流量表!BW9</f>
        <v>0</v>
      </c>
      <c r="BX7" s="26">
        <f>现金流量表!BX9</f>
        <v>0</v>
      </c>
      <c r="BY7" s="26">
        <f>现金流量表!BY9</f>
        <v>0</v>
      </c>
      <c r="BZ7" s="26">
        <f>现金流量表!BZ9</f>
        <v>0</v>
      </c>
      <c r="CA7" s="26">
        <f>现金流量表!CA9</f>
        <v>0</v>
      </c>
      <c r="CB7" s="26">
        <f>现金流量表!CB9</f>
        <v>0</v>
      </c>
      <c r="CC7" s="26">
        <f>现金流量表!CC9</f>
        <v>0</v>
      </c>
      <c r="CD7" s="26">
        <f>现金流量表!CD9</f>
        <v>0</v>
      </c>
      <c r="CE7" s="26">
        <f>现金流量表!CE9</f>
        <v>0</v>
      </c>
      <c r="CF7" s="26">
        <f>现金流量表!CF9</f>
        <v>0</v>
      </c>
      <c r="CG7" s="26">
        <f>现金流量表!CG9</f>
        <v>0</v>
      </c>
      <c r="CH7" s="26">
        <f>现金流量表!CH9</f>
        <v>0</v>
      </c>
      <c r="CI7" s="26">
        <f>现金流量表!CI9</f>
        <v>0</v>
      </c>
      <c r="CJ7" s="26">
        <f>现金流量表!CJ9</f>
        <v>0</v>
      </c>
      <c r="CK7" s="26">
        <f>现金流量表!CK9</f>
        <v>0</v>
      </c>
      <c r="CL7" s="26">
        <f>现金流量表!CL9</f>
        <v>0</v>
      </c>
    </row>
    <row r="8" spans="1:90" s="58" customFormat="1" x14ac:dyDescent="0.25">
      <c r="A8" s="144" t="s">
        <v>490</v>
      </c>
      <c r="E8" s="58">
        <f>利润表!E6</f>
        <v>406091046.83999997</v>
      </c>
      <c r="F8" s="58">
        <f>利润表!F6</f>
        <v>271365768.27999997</v>
      </c>
      <c r="G8" s="58">
        <f>利润表!G6</f>
        <v>181470105.86000001</v>
      </c>
      <c r="H8" s="58">
        <f>利润表!H6</f>
        <v>91249713.920000002</v>
      </c>
      <c r="I8" s="58">
        <f>利润表!I6</f>
        <v>348439708.45999998</v>
      </c>
      <c r="J8" s="58">
        <f>利润表!J6</f>
        <v>228589200.88</v>
      </c>
      <c r="K8" s="58">
        <f>利润表!K6</f>
        <v>149382777.41999999</v>
      </c>
      <c r="L8" s="58">
        <f>利润表!L6</f>
        <v>74864949.950000003</v>
      </c>
      <c r="M8" s="58">
        <f>利润表!M6</f>
        <v>318153253.52999997</v>
      </c>
      <c r="N8" s="58">
        <f>利润表!N6</f>
        <v>215473046.52000001</v>
      </c>
      <c r="O8" s="58">
        <f>利润表!O6</f>
        <v>287721956.77999997</v>
      </c>
      <c r="P8" s="58">
        <f>利润表!P6</f>
        <v>255145394.69</v>
      </c>
      <c r="Q8" s="58">
        <f>利润表!Q6</f>
        <v>207821413.31999999</v>
      </c>
      <c r="R8" s="58">
        <f>利润表!R6</f>
        <v>157440528.15000001</v>
      </c>
      <c r="S8" s="58">
        <f>利润表!S6</f>
        <v>0</v>
      </c>
      <c r="T8" s="58">
        <f>利润表!T6</f>
        <v>0</v>
      </c>
      <c r="U8" s="58">
        <f>利润表!U6</f>
        <v>0</v>
      </c>
      <c r="V8" s="58">
        <f>利润表!V6</f>
        <v>0</v>
      </c>
      <c r="W8" s="58">
        <f>利润表!W6</f>
        <v>0</v>
      </c>
      <c r="X8" s="58">
        <f>利润表!X6</f>
        <v>0</v>
      </c>
      <c r="Y8" s="58">
        <f>利润表!Y6</f>
        <v>0</v>
      </c>
      <c r="Z8" s="58">
        <f>利润表!Z6</f>
        <v>0</v>
      </c>
      <c r="AA8" s="58">
        <f>利润表!AA6</f>
        <v>0</v>
      </c>
      <c r="AB8" s="58">
        <f>利润表!AB6</f>
        <v>0</v>
      </c>
      <c r="AC8" s="58">
        <f>利润表!AC6</f>
        <v>0</v>
      </c>
      <c r="AD8" s="58">
        <f>利润表!AD6</f>
        <v>0</v>
      </c>
      <c r="AE8" s="58">
        <f>利润表!AE6</f>
        <v>0</v>
      </c>
      <c r="AF8" s="58">
        <f>利润表!AF6</f>
        <v>0</v>
      </c>
      <c r="AG8" s="58">
        <f>利润表!AG6</f>
        <v>0</v>
      </c>
      <c r="AH8" s="58">
        <f>利润表!AH6</f>
        <v>0</v>
      </c>
      <c r="AI8" s="58">
        <f>利润表!AI6</f>
        <v>0</v>
      </c>
      <c r="AJ8" s="58">
        <f>利润表!AJ6</f>
        <v>0</v>
      </c>
      <c r="AK8" s="58">
        <f>利润表!AK6</f>
        <v>0</v>
      </c>
      <c r="AL8" s="58">
        <f>利润表!AL6</f>
        <v>0</v>
      </c>
      <c r="AM8" s="58">
        <f>利润表!AM6</f>
        <v>0</v>
      </c>
      <c r="AN8" s="58">
        <f>利润表!AN6</f>
        <v>0</v>
      </c>
      <c r="AO8" s="58">
        <f>利润表!AO6</f>
        <v>0</v>
      </c>
      <c r="AP8" s="58">
        <f>利润表!AP6</f>
        <v>0</v>
      </c>
      <c r="AQ8" s="58">
        <f>利润表!AQ6</f>
        <v>0</v>
      </c>
      <c r="AR8" s="58">
        <f>利润表!AR6</f>
        <v>0</v>
      </c>
      <c r="AS8" s="58">
        <f>利润表!AS6</f>
        <v>0</v>
      </c>
      <c r="AT8" s="58">
        <f>利润表!AT6</f>
        <v>0</v>
      </c>
      <c r="AU8" s="58">
        <f>利润表!AU6</f>
        <v>0</v>
      </c>
      <c r="AV8" s="58">
        <f>利润表!AV6</f>
        <v>0</v>
      </c>
      <c r="AW8" s="58">
        <f>利润表!AW6</f>
        <v>0</v>
      </c>
      <c r="AX8" s="58">
        <f>利润表!AX6</f>
        <v>0</v>
      </c>
      <c r="AY8" s="58">
        <f>利润表!AY6</f>
        <v>0</v>
      </c>
      <c r="AZ8" s="58">
        <f>利润表!AZ6</f>
        <v>0</v>
      </c>
      <c r="BA8" s="58">
        <f>利润表!BA6</f>
        <v>0</v>
      </c>
      <c r="BB8" s="58">
        <f>利润表!BB6</f>
        <v>0</v>
      </c>
      <c r="BC8" s="58">
        <f>利润表!BC6</f>
        <v>0</v>
      </c>
      <c r="BD8" s="58">
        <f>利润表!BD6</f>
        <v>0</v>
      </c>
      <c r="BE8" s="58">
        <f>利润表!BE6</f>
        <v>0</v>
      </c>
      <c r="BF8" s="58">
        <f>利润表!BF6</f>
        <v>0</v>
      </c>
      <c r="BG8" s="58">
        <f>利润表!BG6</f>
        <v>0</v>
      </c>
      <c r="BH8" s="58">
        <f>利润表!BH6</f>
        <v>0</v>
      </c>
      <c r="BI8" s="58">
        <f>利润表!BI6</f>
        <v>0</v>
      </c>
      <c r="BJ8" s="58">
        <f>利润表!BJ6</f>
        <v>0</v>
      </c>
      <c r="BK8" s="58">
        <f>利润表!BK6</f>
        <v>0</v>
      </c>
      <c r="BL8" s="58">
        <f>利润表!BL6</f>
        <v>0</v>
      </c>
      <c r="BM8" s="58">
        <f>利润表!BM6</f>
        <v>0</v>
      </c>
      <c r="BN8" s="58">
        <f>利润表!BN6</f>
        <v>0</v>
      </c>
      <c r="BO8" s="58">
        <f>利润表!BO6</f>
        <v>0</v>
      </c>
      <c r="BP8" s="58">
        <f>利润表!BP6</f>
        <v>0</v>
      </c>
      <c r="BQ8" s="58">
        <f>利润表!BQ6</f>
        <v>0</v>
      </c>
      <c r="BR8" s="58">
        <f>利润表!BR6</f>
        <v>0</v>
      </c>
      <c r="BS8" s="58">
        <f>利润表!BS6</f>
        <v>0</v>
      </c>
      <c r="BT8" s="58">
        <f>利润表!BT6</f>
        <v>0</v>
      </c>
      <c r="BU8" s="58">
        <f>利润表!BU6</f>
        <v>0</v>
      </c>
      <c r="BV8" s="58">
        <f>利润表!BV6</f>
        <v>0</v>
      </c>
      <c r="BW8" s="58">
        <f>利润表!BW6</f>
        <v>0</v>
      </c>
      <c r="BX8" s="58">
        <f>利润表!BX6</f>
        <v>0</v>
      </c>
      <c r="BY8" s="58">
        <f>利润表!BY6</f>
        <v>0</v>
      </c>
      <c r="BZ8" s="58">
        <f>利润表!BZ6</f>
        <v>0</v>
      </c>
      <c r="CA8" s="58">
        <f>利润表!CA6</f>
        <v>0</v>
      </c>
      <c r="CB8" s="58">
        <f>利润表!CB6</f>
        <v>0</v>
      </c>
      <c r="CC8" s="58">
        <f>利润表!CC6</f>
        <v>0</v>
      </c>
      <c r="CD8" s="58">
        <f>利润表!CD6</f>
        <v>0</v>
      </c>
      <c r="CE8" s="58">
        <f>利润表!CE6</f>
        <v>0</v>
      </c>
      <c r="CF8" s="58">
        <f>利润表!CF6</f>
        <v>0</v>
      </c>
      <c r="CG8" s="58">
        <f>利润表!CG6</f>
        <v>0</v>
      </c>
      <c r="CH8" s="58">
        <f>利润表!CH6</f>
        <v>0</v>
      </c>
      <c r="CI8" s="58">
        <f>利润表!CI6</f>
        <v>0</v>
      </c>
      <c r="CJ8" s="58">
        <f>利润表!CJ6</f>
        <v>0</v>
      </c>
      <c r="CK8" s="58">
        <f>利润表!CK6</f>
        <v>0</v>
      </c>
      <c r="CL8" s="58">
        <f>利润表!CL6</f>
        <v>0</v>
      </c>
    </row>
    <row r="9" spans="1:90" s="58" customFormat="1" x14ac:dyDescent="0.25">
      <c r="A9" s="144" t="s">
        <v>491</v>
      </c>
      <c r="E9" s="58">
        <f>利润表!E7</f>
        <v>4713914.93</v>
      </c>
      <c r="F9" s="58">
        <f>利润表!F7</f>
        <v>3122552.32</v>
      </c>
      <c r="G9" s="58">
        <f>利润表!G7</f>
        <v>2242285.31</v>
      </c>
      <c r="H9" s="58">
        <f>利润表!H7</f>
        <v>741441.45</v>
      </c>
      <c r="I9" s="58">
        <f>利润表!I7</f>
        <v>4077013.45</v>
      </c>
      <c r="J9" s="58">
        <f>利润表!J7</f>
        <v>2478089.7400000002</v>
      </c>
      <c r="K9" s="58">
        <f>利润表!K7</f>
        <v>1674570.11</v>
      </c>
      <c r="L9" s="58">
        <f>利润表!L7</f>
        <v>761096.69</v>
      </c>
      <c r="M9" s="58">
        <f>利润表!M7</f>
        <v>3426043.03</v>
      </c>
      <c r="N9" s="58">
        <f>利润表!N7</f>
        <v>2528370.9500000002</v>
      </c>
      <c r="O9" s="58">
        <f>利润表!O7</f>
        <v>3185132.53</v>
      </c>
      <c r="P9" s="58">
        <f>利润表!P7</f>
        <v>4441789.72</v>
      </c>
      <c r="Q9" s="58">
        <f>利润表!Q7</f>
        <v>13470903.210000001</v>
      </c>
      <c r="R9" s="58">
        <f>利润表!R7</f>
        <v>15908543.560000001</v>
      </c>
      <c r="S9" s="58">
        <f>利润表!S7</f>
        <v>0</v>
      </c>
      <c r="T9" s="58">
        <f>利润表!T7</f>
        <v>0</v>
      </c>
      <c r="U9" s="58">
        <f>利润表!U7</f>
        <v>0</v>
      </c>
      <c r="V9" s="58">
        <f>利润表!V7</f>
        <v>0</v>
      </c>
      <c r="W9" s="58">
        <f>利润表!W7</f>
        <v>0</v>
      </c>
      <c r="X9" s="58">
        <f>利润表!X7</f>
        <v>0</v>
      </c>
      <c r="Y9" s="58">
        <f>利润表!Y7</f>
        <v>0</v>
      </c>
      <c r="Z9" s="58">
        <f>利润表!Z7</f>
        <v>0</v>
      </c>
      <c r="AA9" s="58">
        <f>利润表!AA7</f>
        <v>0</v>
      </c>
      <c r="AB9" s="58">
        <f>利润表!AB7</f>
        <v>0</v>
      </c>
      <c r="AC9" s="58">
        <f>利润表!AC7</f>
        <v>0</v>
      </c>
      <c r="AD9" s="58">
        <f>利润表!AD7</f>
        <v>0</v>
      </c>
      <c r="AE9" s="58">
        <f>利润表!AE7</f>
        <v>0</v>
      </c>
      <c r="AF9" s="58">
        <f>利润表!AF7</f>
        <v>0</v>
      </c>
      <c r="AG9" s="58">
        <f>利润表!AG7</f>
        <v>0</v>
      </c>
      <c r="AH9" s="58">
        <f>利润表!AH7</f>
        <v>0</v>
      </c>
      <c r="AI9" s="58">
        <f>利润表!AI7</f>
        <v>0</v>
      </c>
      <c r="AJ9" s="58">
        <f>利润表!AJ7</f>
        <v>0</v>
      </c>
      <c r="AK9" s="58">
        <f>利润表!AK7</f>
        <v>0</v>
      </c>
      <c r="AL9" s="58">
        <f>利润表!AL7</f>
        <v>0</v>
      </c>
      <c r="AM9" s="58">
        <f>利润表!AM7</f>
        <v>0</v>
      </c>
      <c r="AN9" s="58">
        <f>利润表!AN7</f>
        <v>0</v>
      </c>
      <c r="AO9" s="58">
        <f>利润表!AO7</f>
        <v>0</v>
      </c>
      <c r="AP9" s="58">
        <f>利润表!AP7</f>
        <v>0</v>
      </c>
      <c r="AQ9" s="58">
        <f>利润表!AQ7</f>
        <v>0</v>
      </c>
      <c r="AR9" s="58">
        <f>利润表!AR7</f>
        <v>0</v>
      </c>
      <c r="AS9" s="58">
        <f>利润表!AS7</f>
        <v>0</v>
      </c>
      <c r="AT9" s="58">
        <f>利润表!AT7</f>
        <v>0</v>
      </c>
      <c r="AU9" s="58">
        <f>利润表!AU7</f>
        <v>0</v>
      </c>
      <c r="AV9" s="58">
        <f>利润表!AV7</f>
        <v>0</v>
      </c>
      <c r="AW9" s="58">
        <f>利润表!AW7</f>
        <v>0</v>
      </c>
      <c r="AX9" s="58">
        <f>利润表!AX7</f>
        <v>0</v>
      </c>
      <c r="AY9" s="58">
        <f>利润表!AY7</f>
        <v>0</v>
      </c>
      <c r="AZ9" s="58">
        <f>利润表!AZ7</f>
        <v>0</v>
      </c>
      <c r="BA9" s="58">
        <f>利润表!BA7</f>
        <v>0</v>
      </c>
      <c r="BB9" s="58">
        <f>利润表!BB7</f>
        <v>0</v>
      </c>
      <c r="BC9" s="58">
        <f>利润表!BC7</f>
        <v>0</v>
      </c>
      <c r="BD9" s="58">
        <f>利润表!BD7</f>
        <v>0</v>
      </c>
      <c r="BE9" s="58">
        <f>利润表!BE7</f>
        <v>0</v>
      </c>
      <c r="BF9" s="58">
        <f>利润表!BF7</f>
        <v>0</v>
      </c>
      <c r="BG9" s="58">
        <f>利润表!BG7</f>
        <v>0</v>
      </c>
      <c r="BH9" s="58">
        <f>利润表!BH7</f>
        <v>0</v>
      </c>
      <c r="BI9" s="58">
        <f>利润表!BI7</f>
        <v>0</v>
      </c>
      <c r="BJ9" s="58">
        <f>利润表!BJ7</f>
        <v>0</v>
      </c>
      <c r="BK9" s="58">
        <f>利润表!BK7</f>
        <v>0</v>
      </c>
      <c r="BL9" s="58">
        <f>利润表!BL7</f>
        <v>0</v>
      </c>
      <c r="BM9" s="58">
        <f>利润表!BM7</f>
        <v>0</v>
      </c>
      <c r="BN9" s="58">
        <f>利润表!BN7</f>
        <v>0</v>
      </c>
      <c r="BO9" s="58">
        <f>利润表!BO7</f>
        <v>0</v>
      </c>
      <c r="BP9" s="58">
        <f>利润表!BP7</f>
        <v>0</v>
      </c>
      <c r="BQ9" s="58">
        <f>利润表!BQ7</f>
        <v>0</v>
      </c>
      <c r="BR9" s="58">
        <f>利润表!BR7</f>
        <v>0</v>
      </c>
      <c r="BS9" s="58">
        <f>利润表!BS7</f>
        <v>0</v>
      </c>
      <c r="BT9" s="58">
        <f>利润表!BT7</f>
        <v>0</v>
      </c>
      <c r="BU9" s="58">
        <f>利润表!BU7</f>
        <v>0</v>
      </c>
      <c r="BV9" s="58">
        <f>利润表!BV7</f>
        <v>0</v>
      </c>
      <c r="BW9" s="58">
        <f>利润表!BW7</f>
        <v>0</v>
      </c>
      <c r="BX9" s="58">
        <f>利润表!BX7</f>
        <v>0</v>
      </c>
      <c r="BY9" s="58">
        <f>利润表!BY7</f>
        <v>0</v>
      </c>
      <c r="BZ9" s="58">
        <f>利润表!BZ7</f>
        <v>0</v>
      </c>
      <c r="CA9" s="58">
        <f>利润表!CA7</f>
        <v>0</v>
      </c>
      <c r="CB9" s="58">
        <f>利润表!CB7</f>
        <v>0</v>
      </c>
      <c r="CC9" s="58">
        <f>利润表!CC7</f>
        <v>0</v>
      </c>
      <c r="CD9" s="58">
        <f>利润表!CD7</f>
        <v>0</v>
      </c>
      <c r="CE9" s="58">
        <f>利润表!CE7</f>
        <v>0</v>
      </c>
      <c r="CF9" s="58">
        <f>利润表!CF7</f>
        <v>0</v>
      </c>
      <c r="CG9" s="58">
        <f>利润表!CG7</f>
        <v>0</v>
      </c>
      <c r="CH9" s="58">
        <f>利润表!CH7</f>
        <v>0</v>
      </c>
      <c r="CI9" s="58">
        <f>利润表!CI7</f>
        <v>0</v>
      </c>
      <c r="CJ9" s="58">
        <f>利润表!CJ7</f>
        <v>0</v>
      </c>
      <c r="CK9" s="58">
        <f>利润表!CK7</f>
        <v>0</v>
      </c>
    </row>
    <row r="10" spans="1:90" s="58" customFormat="1" x14ac:dyDescent="0.25">
      <c r="A10" s="144" t="s">
        <v>492</v>
      </c>
      <c r="E10" s="58">
        <f>利润表!E8</f>
        <v>21668533.010000002</v>
      </c>
      <c r="F10" s="58">
        <f>利润表!F8</f>
        <v>13228844.43</v>
      </c>
      <c r="G10" s="58">
        <f>利润表!G8</f>
        <v>9180163.4299999997</v>
      </c>
      <c r="H10" s="58">
        <f>利润表!H8</f>
        <v>5012251.4000000004</v>
      </c>
      <c r="I10" s="58">
        <f>利润表!I8</f>
        <v>19538807.030000001</v>
      </c>
      <c r="J10" s="58">
        <f>利润表!J8</f>
        <v>12545397.220000001</v>
      </c>
      <c r="K10" s="58">
        <f>利润表!K8</f>
        <v>8046351.9000000004</v>
      </c>
      <c r="L10" s="58">
        <f>利润表!L8</f>
        <v>3789818.57</v>
      </c>
      <c r="M10" s="58">
        <f>利润表!M8</f>
        <v>17063513.98</v>
      </c>
      <c r="N10" s="58">
        <f>利润表!N8</f>
        <v>11785946.41</v>
      </c>
      <c r="O10" s="58">
        <f>利润表!O8</f>
        <v>16875542.949999999</v>
      </c>
      <c r="P10" s="58">
        <f>利润表!P8</f>
        <v>16358050.699999999</v>
      </c>
      <c r="Q10" s="58">
        <f>利润表!Q8</f>
        <v>9619825.7599999998</v>
      </c>
      <c r="R10" s="58">
        <f>利润表!R8</f>
        <v>7064283.7000000002</v>
      </c>
      <c r="S10" s="58">
        <f>利润表!S8</f>
        <v>0</v>
      </c>
      <c r="T10" s="58">
        <f>利润表!T8</f>
        <v>0</v>
      </c>
      <c r="U10" s="58">
        <f>利润表!U8</f>
        <v>0</v>
      </c>
      <c r="V10" s="58">
        <f>利润表!V8</f>
        <v>0</v>
      </c>
      <c r="W10" s="58">
        <f>利润表!W8</f>
        <v>0</v>
      </c>
      <c r="X10" s="58">
        <f>利润表!X8</f>
        <v>0</v>
      </c>
      <c r="Y10" s="58">
        <f>利润表!Y8</f>
        <v>0</v>
      </c>
      <c r="Z10" s="58">
        <f>利润表!Z8</f>
        <v>0</v>
      </c>
      <c r="AA10" s="58">
        <f>利润表!AA8</f>
        <v>0</v>
      </c>
      <c r="AB10" s="58">
        <f>利润表!AB8</f>
        <v>0</v>
      </c>
      <c r="AC10" s="58">
        <f>利润表!AC8</f>
        <v>0</v>
      </c>
      <c r="AD10" s="58">
        <f>利润表!AD8</f>
        <v>0</v>
      </c>
      <c r="AE10" s="58">
        <f>利润表!AE8</f>
        <v>0</v>
      </c>
      <c r="AF10" s="58">
        <f>利润表!AF8</f>
        <v>0</v>
      </c>
      <c r="AG10" s="58">
        <f>利润表!AG8</f>
        <v>0</v>
      </c>
      <c r="AH10" s="58">
        <f>利润表!AH8</f>
        <v>0</v>
      </c>
      <c r="AI10" s="58">
        <f>利润表!AI8</f>
        <v>0</v>
      </c>
      <c r="AJ10" s="58">
        <f>利润表!AJ8</f>
        <v>0</v>
      </c>
      <c r="AK10" s="58">
        <f>利润表!AK8</f>
        <v>0</v>
      </c>
      <c r="AL10" s="58">
        <f>利润表!AL8</f>
        <v>0</v>
      </c>
      <c r="AM10" s="58">
        <f>利润表!AM8</f>
        <v>0</v>
      </c>
      <c r="AN10" s="58">
        <f>利润表!AN8</f>
        <v>0</v>
      </c>
      <c r="AO10" s="58">
        <f>利润表!AO8</f>
        <v>0</v>
      </c>
      <c r="AP10" s="58">
        <f>利润表!AP8</f>
        <v>0</v>
      </c>
      <c r="AQ10" s="58">
        <f>利润表!AQ8</f>
        <v>0</v>
      </c>
      <c r="AR10" s="58">
        <f>利润表!AR8</f>
        <v>0</v>
      </c>
      <c r="AS10" s="58">
        <f>利润表!AS8</f>
        <v>0</v>
      </c>
      <c r="AT10" s="58">
        <f>利润表!AT8</f>
        <v>0</v>
      </c>
      <c r="AU10" s="58">
        <f>利润表!AU8</f>
        <v>0</v>
      </c>
      <c r="AV10" s="58">
        <f>利润表!AV8</f>
        <v>0</v>
      </c>
      <c r="AW10" s="58">
        <f>利润表!AW8</f>
        <v>0</v>
      </c>
      <c r="AX10" s="58">
        <f>利润表!AX8</f>
        <v>0</v>
      </c>
      <c r="AY10" s="58">
        <f>利润表!AY8</f>
        <v>0</v>
      </c>
      <c r="AZ10" s="58">
        <f>利润表!AZ8</f>
        <v>0</v>
      </c>
      <c r="BA10" s="58">
        <f>利润表!BA8</f>
        <v>0</v>
      </c>
      <c r="BB10" s="58">
        <f>利润表!BB8</f>
        <v>0</v>
      </c>
      <c r="BC10" s="58">
        <f>利润表!BC8</f>
        <v>0</v>
      </c>
      <c r="BD10" s="58">
        <f>利润表!BD8</f>
        <v>0</v>
      </c>
      <c r="BE10" s="58">
        <f>利润表!BE8</f>
        <v>0</v>
      </c>
      <c r="BF10" s="58">
        <f>利润表!BF8</f>
        <v>0</v>
      </c>
      <c r="BG10" s="58">
        <f>利润表!BG8</f>
        <v>0</v>
      </c>
      <c r="BH10" s="58">
        <f>利润表!BH8</f>
        <v>0</v>
      </c>
      <c r="BI10" s="58">
        <f>利润表!BI8</f>
        <v>0</v>
      </c>
      <c r="BJ10" s="58">
        <f>利润表!BJ8</f>
        <v>0</v>
      </c>
      <c r="BK10" s="58">
        <f>利润表!BK8</f>
        <v>0</v>
      </c>
      <c r="BL10" s="58">
        <f>利润表!BL8</f>
        <v>0</v>
      </c>
      <c r="BM10" s="58">
        <f>利润表!BM8</f>
        <v>0</v>
      </c>
      <c r="BN10" s="58">
        <f>利润表!BN8</f>
        <v>0</v>
      </c>
      <c r="BO10" s="58">
        <f>利润表!BO8</f>
        <v>0</v>
      </c>
      <c r="BP10" s="58">
        <f>利润表!BP8</f>
        <v>0</v>
      </c>
      <c r="BQ10" s="58">
        <f>利润表!BQ8</f>
        <v>0</v>
      </c>
      <c r="BR10" s="58">
        <f>利润表!BR8</f>
        <v>0</v>
      </c>
      <c r="BS10" s="58">
        <f>利润表!BS8</f>
        <v>0</v>
      </c>
      <c r="BT10" s="58">
        <f>利润表!BT8</f>
        <v>0</v>
      </c>
      <c r="BU10" s="58">
        <f>利润表!BU8</f>
        <v>0</v>
      </c>
      <c r="BV10" s="58">
        <f>利润表!BV8</f>
        <v>0</v>
      </c>
      <c r="BW10" s="58">
        <f>利润表!BW8</f>
        <v>0</v>
      </c>
      <c r="BX10" s="58">
        <f>利润表!BX8</f>
        <v>0</v>
      </c>
      <c r="BY10" s="58">
        <f>利润表!BY8</f>
        <v>0</v>
      </c>
      <c r="BZ10" s="58">
        <f>利润表!BZ8</f>
        <v>0</v>
      </c>
      <c r="CA10" s="58">
        <f>利润表!CA8</f>
        <v>0</v>
      </c>
      <c r="CB10" s="58">
        <f>利润表!CB8</f>
        <v>0</v>
      </c>
      <c r="CC10" s="58">
        <f>利润表!CC8</f>
        <v>0</v>
      </c>
      <c r="CD10" s="58">
        <f>利润表!CD8</f>
        <v>0</v>
      </c>
      <c r="CE10" s="58">
        <f>利润表!CE8</f>
        <v>0</v>
      </c>
      <c r="CF10" s="58">
        <f>利润表!CF8</f>
        <v>0</v>
      </c>
      <c r="CG10" s="58">
        <f>利润表!CG8</f>
        <v>0</v>
      </c>
      <c r="CH10" s="58">
        <f>利润表!CH8</f>
        <v>0</v>
      </c>
      <c r="CI10" s="58">
        <f>利润表!CI8</f>
        <v>0</v>
      </c>
      <c r="CJ10" s="58">
        <f>利润表!CJ8</f>
        <v>0</v>
      </c>
      <c r="CK10" s="58">
        <f>利润表!CK8</f>
        <v>0</v>
      </c>
    </row>
    <row r="11" spans="1:90" s="58" customFormat="1" x14ac:dyDescent="0.25">
      <c r="A11" s="144" t="s">
        <v>493</v>
      </c>
      <c r="E11" s="58">
        <f>利润表!E9</f>
        <v>166019822.88</v>
      </c>
      <c r="F11" s="58">
        <f>利润表!F9</f>
        <v>117685777.28</v>
      </c>
      <c r="G11" s="58">
        <f>利润表!G9</f>
        <v>79178722.430000007</v>
      </c>
      <c r="H11" s="58">
        <f>利润表!H9</f>
        <v>37534449.25</v>
      </c>
      <c r="I11" s="58">
        <f>利润表!I9</f>
        <v>154974042.46000001</v>
      </c>
      <c r="J11" s="58">
        <f>利润表!J9</f>
        <v>103999553.73999999</v>
      </c>
      <c r="K11" s="58">
        <f>利润表!K9</f>
        <v>70613526.260000005</v>
      </c>
      <c r="L11" s="58">
        <f>利润表!L9</f>
        <v>35456383.57</v>
      </c>
      <c r="M11" s="58">
        <f>利润表!M9</f>
        <v>122441461.36</v>
      </c>
      <c r="N11" s="58">
        <f>利润表!N9</f>
        <v>86931351.890000001</v>
      </c>
      <c r="O11" s="58">
        <f>利润表!O9</f>
        <v>107670888.41</v>
      </c>
      <c r="P11" s="58">
        <f>利润表!P9</f>
        <v>102640374.88</v>
      </c>
      <c r="Q11" s="58">
        <f>利润表!Q9</f>
        <v>71521981.640000001</v>
      </c>
      <c r="R11" s="58">
        <f>利润表!R9</f>
        <v>52519359.909999996</v>
      </c>
      <c r="S11" s="58">
        <f>利润表!S9</f>
        <v>0</v>
      </c>
      <c r="T11" s="58">
        <f>利润表!T9</f>
        <v>0</v>
      </c>
      <c r="U11" s="58">
        <f>利润表!U9</f>
        <v>0</v>
      </c>
      <c r="V11" s="58">
        <f>利润表!V9</f>
        <v>0</v>
      </c>
      <c r="W11" s="58">
        <f>利润表!W9</f>
        <v>0</v>
      </c>
      <c r="X11" s="58">
        <f>利润表!X9</f>
        <v>0</v>
      </c>
      <c r="Y11" s="58">
        <f>利润表!Y9</f>
        <v>0</v>
      </c>
      <c r="Z11" s="58">
        <f>利润表!Z9</f>
        <v>0</v>
      </c>
      <c r="AA11" s="58">
        <f>利润表!AA9</f>
        <v>0</v>
      </c>
      <c r="AB11" s="58">
        <f>利润表!AB9</f>
        <v>0</v>
      </c>
      <c r="AC11" s="58">
        <f>利润表!AC9</f>
        <v>0</v>
      </c>
      <c r="AD11" s="58">
        <f>利润表!AD9</f>
        <v>0</v>
      </c>
      <c r="AE11" s="58">
        <f>利润表!AE9</f>
        <v>0</v>
      </c>
      <c r="AF11" s="58">
        <f>利润表!AF9</f>
        <v>0</v>
      </c>
      <c r="AG11" s="58">
        <f>利润表!AG9</f>
        <v>0</v>
      </c>
      <c r="AH11" s="58">
        <f>利润表!AH9</f>
        <v>0</v>
      </c>
      <c r="AI11" s="58">
        <f>利润表!AI9</f>
        <v>0</v>
      </c>
      <c r="AJ11" s="58">
        <f>利润表!AJ9</f>
        <v>0</v>
      </c>
      <c r="AK11" s="58">
        <f>利润表!AK9</f>
        <v>0</v>
      </c>
      <c r="AL11" s="58">
        <f>利润表!AL9</f>
        <v>0</v>
      </c>
      <c r="AM11" s="58">
        <f>利润表!AM9</f>
        <v>0</v>
      </c>
      <c r="AN11" s="58">
        <f>利润表!AN9</f>
        <v>0</v>
      </c>
      <c r="AO11" s="58">
        <f>利润表!AO9</f>
        <v>0</v>
      </c>
      <c r="AP11" s="58">
        <f>利润表!AP9</f>
        <v>0</v>
      </c>
      <c r="AQ11" s="58">
        <f>利润表!AQ9</f>
        <v>0</v>
      </c>
      <c r="AR11" s="58">
        <f>利润表!AR9</f>
        <v>0</v>
      </c>
      <c r="AS11" s="58">
        <f>利润表!AS9</f>
        <v>0</v>
      </c>
      <c r="AT11" s="58">
        <f>利润表!AT9</f>
        <v>0</v>
      </c>
      <c r="AU11" s="58">
        <f>利润表!AU9</f>
        <v>0</v>
      </c>
      <c r="AV11" s="58">
        <f>利润表!AV9</f>
        <v>0</v>
      </c>
      <c r="AW11" s="58">
        <f>利润表!AW9</f>
        <v>0</v>
      </c>
      <c r="AX11" s="58">
        <f>利润表!AX9</f>
        <v>0</v>
      </c>
      <c r="AY11" s="58">
        <f>利润表!AY9</f>
        <v>0</v>
      </c>
      <c r="AZ11" s="58">
        <f>利润表!AZ9</f>
        <v>0</v>
      </c>
      <c r="BA11" s="58">
        <f>利润表!BA9</f>
        <v>0</v>
      </c>
      <c r="BB11" s="58">
        <f>利润表!BB9</f>
        <v>0</v>
      </c>
      <c r="BC11" s="58">
        <f>利润表!BC9</f>
        <v>0</v>
      </c>
      <c r="BD11" s="58">
        <f>利润表!BD9</f>
        <v>0</v>
      </c>
      <c r="BE11" s="58">
        <f>利润表!BE9</f>
        <v>0</v>
      </c>
      <c r="BF11" s="58">
        <f>利润表!BF9</f>
        <v>0</v>
      </c>
      <c r="BG11" s="58">
        <f>利润表!BG9</f>
        <v>0</v>
      </c>
      <c r="BH11" s="58">
        <f>利润表!BH9</f>
        <v>0</v>
      </c>
      <c r="BI11" s="58">
        <f>利润表!BI9</f>
        <v>0</v>
      </c>
      <c r="BJ11" s="58">
        <f>利润表!BJ9</f>
        <v>0</v>
      </c>
      <c r="BK11" s="58">
        <f>利润表!BK9</f>
        <v>0</v>
      </c>
      <c r="BL11" s="58">
        <f>利润表!BL9</f>
        <v>0</v>
      </c>
      <c r="BM11" s="58">
        <f>利润表!BM9</f>
        <v>0</v>
      </c>
      <c r="BN11" s="58">
        <f>利润表!BN9</f>
        <v>0</v>
      </c>
      <c r="BO11" s="58">
        <f>利润表!BO9</f>
        <v>0</v>
      </c>
      <c r="BP11" s="58">
        <f>利润表!BP9</f>
        <v>0</v>
      </c>
      <c r="BQ11" s="58">
        <f>利润表!BQ9</f>
        <v>0</v>
      </c>
      <c r="BR11" s="58">
        <f>利润表!BR9</f>
        <v>0</v>
      </c>
      <c r="BS11" s="58">
        <f>利润表!BS9</f>
        <v>0</v>
      </c>
      <c r="BT11" s="58">
        <f>利润表!BT9</f>
        <v>0</v>
      </c>
      <c r="BU11" s="58">
        <f>利润表!BU9</f>
        <v>0</v>
      </c>
      <c r="BV11" s="58">
        <f>利润表!BV9</f>
        <v>0</v>
      </c>
      <c r="BW11" s="58">
        <f>利润表!BW9</f>
        <v>0</v>
      </c>
      <c r="BX11" s="58">
        <f>利润表!BX9</f>
        <v>0</v>
      </c>
      <c r="BY11" s="58">
        <f>利润表!BY9</f>
        <v>0</v>
      </c>
      <c r="BZ11" s="58">
        <f>利润表!BZ9</f>
        <v>0</v>
      </c>
      <c r="CA11" s="58">
        <f>利润表!CA9</f>
        <v>0</v>
      </c>
      <c r="CB11" s="58">
        <f>利润表!CB9</f>
        <v>0</v>
      </c>
      <c r="CC11" s="58">
        <f>利润表!CC9</f>
        <v>0</v>
      </c>
      <c r="CD11" s="58">
        <f>利润表!CD9</f>
        <v>0</v>
      </c>
      <c r="CE11" s="58">
        <f>利润表!CE9</f>
        <v>0</v>
      </c>
      <c r="CF11" s="58">
        <f>利润表!CF9</f>
        <v>0</v>
      </c>
      <c r="CG11" s="58">
        <f>利润表!CG9</f>
        <v>0</v>
      </c>
      <c r="CH11" s="58">
        <f>利润表!CH9</f>
        <v>0</v>
      </c>
      <c r="CI11" s="58">
        <f>利润表!CI9</f>
        <v>0</v>
      </c>
      <c r="CJ11" s="58">
        <f>利润表!CJ9</f>
        <v>0</v>
      </c>
      <c r="CK11" s="58">
        <f>利润表!CK9</f>
        <v>0</v>
      </c>
    </row>
    <row r="12" spans="1:90" s="58" customFormat="1" x14ac:dyDescent="0.25">
      <c r="A12" s="144" t="s">
        <v>494</v>
      </c>
      <c r="E12" s="58">
        <f>SUM(E8:E11)</f>
        <v>598493317.65999997</v>
      </c>
      <c r="F12" s="58">
        <f t="shared" ref="F12:BQ12" si="4">SUM(F8:F11)</f>
        <v>405402942.30999994</v>
      </c>
      <c r="G12" s="58">
        <f t="shared" si="4"/>
        <v>272071277.03000003</v>
      </c>
      <c r="H12" s="58">
        <f t="shared" si="4"/>
        <v>134537856.02000001</v>
      </c>
      <c r="I12" s="58">
        <f t="shared" si="4"/>
        <v>527029571.39999998</v>
      </c>
      <c r="J12" s="58">
        <f t="shared" si="4"/>
        <v>347612241.57999998</v>
      </c>
      <c r="K12" s="58">
        <f t="shared" si="4"/>
        <v>229717225.69</v>
      </c>
      <c r="L12" s="58">
        <f t="shared" si="4"/>
        <v>114872248.78</v>
      </c>
      <c r="M12" s="58">
        <f t="shared" si="4"/>
        <v>461084271.89999998</v>
      </c>
      <c r="N12" s="58">
        <f t="shared" si="4"/>
        <v>316718715.76999998</v>
      </c>
      <c r="O12" s="58">
        <f t="shared" si="4"/>
        <v>415453520.66999996</v>
      </c>
      <c r="P12" s="58">
        <f t="shared" si="4"/>
        <v>378585609.99000001</v>
      </c>
      <c r="Q12" s="58">
        <f t="shared" si="4"/>
        <v>302434123.93000001</v>
      </c>
      <c r="R12" s="58">
        <f t="shared" si="4"/>
        <v>232932715.31999999</v>
      </c>
      <c r="S12" s="58">
        <f t="shared" si="4"/>
        <v>0</v>
      </c>
      <c r="T12" s="58">
        <f t="shared" si="4"/>
        <v>0</v>
      </c>
      <c r="U12" s="58">
        <f t="shared" si="4"/>
        <v>0</v>
      </c>
      <c r="V12" s="58">
        <f t="shared" si="4"/>
        <v>0</v>
      </c>
      <c r="W12" s="58">
        <f t="shared" si="4"/>
        <v>0</v>
      </c>
      <c r="X12" s="58">
        <f t="shared" si="4"/>
        <v>0</v>
      </c>
      <c r="Y12" s="58">
        <f t="shared" si="4"/>
        <v>0</v>
      </c>
      <c r="Z12" s="58">
        <f t="shared" si="4"/>
        <v>0</v>
      </c>
      <c r="AA12" s="58">
        <f t="shared" si="4"/>
        <v>0</v>
      </c>
      <c r="AB12" s="58">
        <f t="shared" si="4"/>
        <v>0</v>
      </c>
      <c r="AC12" s="58">
        <f t="shared" si="4"/>
        <v>0</v>
      </c>
      <c r="AD12" s="58">
        <f t="shared" si="4"/>
        <v>0</v>
      </c>
      <c r="AE12" s="58">
        <f t="shared" si="4"/>
        <v>0</v>
      </c>
      <c r="AF12" s="58">
        <f t="shared" si="4"/>
        <v>0</v>
      </c>
      <c r="AG12" s="58">
        <f t="shared" si="4"/>
        <v>0</v>
      </c>
      <c r="AH12" s="58">
        <f t="shared" si="4"/>
        <v>0</v>
      </c>
      <c r="AI12" s="58">
        <f t="shared" si="4"/>
        <v>0</v>
      </c>
      <c r="AJ12" s="58">
        <f t="shared" si="4"/>
        <v>0</v>
      </c>
      <c r="AK12" s="58">
        <f t="shared" si="4"/>
        <v>0</v>
      </c>
      <c r="AL12" s="58">
        <f t="shared" si="4"/>
        <v>0</v>
      </c>
      <c r="AM12" s="58">
        <f t="shared" si="4"/>
        <v>0</v>
      </c>
      <c r="AN12" s="58">
        <f t="shared" si="4"/>
        <v>0</v>
      </c>
      <c r="AO12" s="58">
        <f t="shared" si="4"/>
        <v>0</v>
      </c>
      <c r="AP12" s="58">
        <f t="shared" si="4"/>
        <v>0</v>
      </c>
      <c r="AQ12" s="58">
        <f t="shared" si="4"/>
        <v>0</v>
      </c>
      <c r="AR12" s="58">
        <f t="shared" si="4"/>
        <v>0</v>
      </c>
      <c r="AS12" s="58">
        <f t="shared" si="4"/>
        <v>0</v>
      </c>
      <c r="AT12" s="58">
        <f t="shared" si="4"/>
        <v>0</v>
      </c>
      <c r="AU12" s="58">
        <f t="shared" si="4"/>
        <v>0</v>
      </c>
      <c r="AV12" s="58">
        <f t="shared" si="4"/>
        <v>0</v>
      </c>
      <c r="AW12" s="58">
        <f t="shared" si="4"/>
        <v>0</v>
      </c>
      <c r="AX12" s="58">
        <f t="shared" si="4"/>
        <v>0</v>
      </c>
      <c r="AY12" s="58">
        <f t="shared" si="4"/>
        <v>0</v>
      </c>
      <c r="AZ12" s="58">
        <f t="shared" si="4"/>
        <v>0</v>
      </c>
      <c r="BA12" s="58">
        <f t="shared" si="4"/>
        <v>0</v>
      </c>
      <c r="BB12" s="58">
        <f t="shared" si="4"/>
        <v>0</v>
      </c>
      <c r="BC12" s="58">
        <f t="shared" si="4"/>
        <v>0</v>
      </c>
      <c r="BD12" s="58">
        <f t="shared" si="4"/>
        <v>0</v>
      </c>
      <c r="BE12" s="58">
        <f t="shared" si="4"/>
        <v>0</v>
      </c>
      <c r="BF12" s="58">
        <f t="shared" si="4"/>
        <v>0</v>
      </c>
      <c r="BG12" s="58">
        <f t="shared" si="4"/>
        <v>0</v>
      </c>
      <c r="BH12" s="58">
        <f t="shared" si="4"/>
        <v>0</v>
      </c>
      <c r="BI12" s="58">
        <f t="shared" si="4"/>
        <v>0</v>
      </c>
      <c r="BJ12" s="58">
        <f t="shared" si="4"/>
        <v>0</v>
      </c>
      <c r="BK12" s="58">
        <f t="shared" si="4"/>
        <v>0</v>
      </c>
      <c r="BL12" s="58">
        <f t="shared" si="4"/>
        <v>0</v>
      </c>
      <c r="BM12" s="58">
        <f t="shared" si="4"/>
        <v>0</v>
      </c>
      <c r="BN12" s="58">
        <f t="shared" si="4"/>
        <v>0</v>
      </c>
      <c r="BO12" s="58">
        <f t="shared" si="4"/>
        <v>0</v>
      </c>
      <c r="BP12" s="58">
        <f t="shared" si="4"/>
        <v>0</v>
      </c>
      <c r="BQ12" s="58">
        <f t="shared" si="4"/>
        <v>0</v>
      </c>
      <c r="BR12" s="58">
        <f t="shared" ref="BR12:CL12" si="5">SUM(BR8:BR11)</f>
        <v>0</v>
      </c>
      <c r="BS12" s="58">
        <f t="shared" si="5"/>
        <v>0</v>
      </c>
      <c r="BT12" s="58">
        <f t="shared" si="5"/>
        <v>0</v>
      </c>
      <c r="BU12" s="58">
        <f t="shared" si="5"/>
        <v>0</v>
      </c>
      <c r="BV12" s="58">
        <f t="shared" si="5"/>
        <v>0</v>
      </c>
      <c r="BW12" s="58">
        <f t="shared" si="5"/>
        <v>0</v>
      </c>
      <c r="BX12" s="58">
        <f t="shared" si="5"/>
        <v>0</v>
      </c>
      <c r="BY12" s="58">
        <f t="shared" si="5"/>
        <v>0</v>
      </c>
      <c r="BZ12" s="58">
        <f t="shared" si="5"/>
        <v>0</v>
      </c>
      <c r="CA12" s="58">
        <f t="shared" si="5"/>
        <v>0</v>
      </c>
      <c r="CB12" s="58">
        <f t="shared" si="5"/>
        <v>0</v>
      </c>
      <c r="CC12" s="58">
        <f t="shared" si="5"/>
        <v>0</v>
      </c>
      <c r="CD12" s="58">
        <f t="shared" si="5"/>
        <v>0</v>
      </c>
      <c r="CE12" s="58">
        <f t="shared" si="5"/>
        <v>0</v>
      </c>
      <c r="CF12" s="58">
        <f t="shared" si="5"/>
        <v>0</v>
      </c>
      <c r="CG12" s="58">
        <f t="shared" si="5"/>
        <v>0</v>
      </c>
      <c r="CH12" s="58">
        <f t="shared" si="5"/>
        <v>0</v>
      </c>
      <c r="CI12" s="58">
        <f t="shared" si="5"/>
        <v>0</v>
      </c>
      <c r="CJ12" s="58">
        <f t="shared" si="5"/>
        <v>0</v>
      </c>
      <c r="CK12" s="58">
        <f t="shared" si="5"/>
        <v>0</v>
      </c>
      <c r="CL12" s="58">
        <f t="shared" si="5"/>
        <v>0</v>
      </c>
    </row>
    <row r="13" spans="1:90" s="28" customFormat="1" x14ac:dyDescent="0.25">
      <c r="A13" s="20" t="s">
        <v>495</v>
      </c>
      <c r="E13" s="28">
        <f>(E6/(1+E4)+E7)/E12</f>
        <v>0.81272439873856683</v>
      </c>
      <c r="F13" s="28">
        <f t="shared" ref="F13:BQ13" si="6">(F6/(1+F4)+F7)/F12</f>
        <v>0.83418344734361816</v>
      </c>
      <c r="G13" s="28">
        <f t="shared" si="6"/>
        <v>0.81816390354850155</v>
      </c>
      <c r="H13" s="28">
        <f t="shared" si="6"/>
        <v>0.91482125797571967</v>
      </c>
      <c r="I13" s="28">
        <f t="shared" si="6"/>
        <v>0.77622149581955668</v>
      </c>
      <c r="J13" s="28">
        <f t="shared" si="6"/>
        <v>0.81671694649948767</v>
      </c>
      <c r="K13" s="28">
        <f t="shared" si="6"/>
        <v>0.81495796394218256</v>
      </c>
      <c r="L13" s="28">
        <f t="shared" si="6"/>
        <v>0.88978301934016724</v>
      </c>
      <c r="M13" s="28">
        <f t="shared" si="6"/>
        <v>0.79260201097490013</v>
      </c>
      <c r="N13" s="28">
        <f t="shared" si="6"/>
        <v>0.87208233096563903</v>
      </c>
      <c r="O13" s="28">
        <f t="shared" si="6"/>
        <v>0.77440812191955832</v>
      </c>
      <c r="P13" s="28">
        <f t="shared" si="6"/>
        <v>0.77907422179111407</v>
      </c>
      <c r="Q13" s="28">
        <f t="shared" si="6"/>
        <v>0.73956715847805299</v>
      </c>
      <c r="R13" s="28">
        <f t="shared" si="6"/>
        <v>0.69908482942987427</v>
      </c>
      <c r="S13" s="28" t="e">
        <f t="shared" si="6"/>
        <v>#DIV/0!</v>
      </c>
      <c r="T13" s="28" t="e">
        <f t="shared" si="6"/>
        <v>#DIV/0!</v>
      </c>
      <c r="U13" s="28" t="e">
        <f t="shared" si="6"/>
        <v>#DIV/0!</v>
      </c>
      <c r="V13" s="28" t="e">
        <f t="shared" si="6"/>
        <v>#DIV/0!</v>
      </c>
      <c r="W13" s="28" t="e">
        <f t="shared" si="6"/>
        <v>#DIV/0!</v>
      </c>
      <c r="X13" s="28" t="e">
        <f t="shared" si="6"/>
        <v>#DIV/0!</v>
      </c>
      <c r="Y13" s="28" t="e">
        <f t="shared" si="6"/>
        <v>#DIV/0!</v>
      </c>
      <c r="Z13" s="28" t="e">
        <f t="shared" si="6"/>
        <v>#DIV/0!</v>
      </c>
      <c r="AA13" s="28" t="e">
        <f t="shared" si="6"/>
        <v>#DIV/0!</v>
      </c>
      <c r="AB13" s="28" t="e">
        <f t="shared" si="6"/>
        <v>#DIV/0!</v>
      </c>
      <c r="AC13" s="28" t="e">
        <f t="shared" si="6"/>
        <v>#DIV/0!</v>
      </c>
      <c r="AD13" s="28" t="e">
        <f t="shared" si="6"/>
        <v>#DIV/0!</v>
      </c>
      <c r="AE13" s="28" t="e">
        <f t="shared" si="6"/>
        <v>#DIV/0!</v>
      </c>
      <c r="AF13" s="28" t="e">
        <f t="shared" si="6"/>
        <v>#DIV/0!</v>
      </c>
      <c r="AG13" s="28" t="e">
        <f t="shared" si="6"/>
        <v>#DIV/0!</v>
      </c>
      <c r="AH13" s="28" t="e">
        <f t="shared" si="6"/>
        <v>#DIV/0!</v>
      </c>
      <c r="AI13" s="28" t="e">
        <f t="shared" si="6"/>
        <v>#DIV/0!</v>
      </c>
      <c r="AJ13" s="28" t="e">
        <f t="shared" si="6"/>
        <v>#DIV/0!</v>
      </c>
      <c r="AK13" s="28" t="e">
        <f t="shared" si="6"/>
        <v>#DIV/0!</v>
      </c>
      <c r="AL13" s="28" t="e">
        <f t="shared" si="6"/>
        <v>#DIV/0!</v>
      </c>
      <c r="AM13" s="28" t="e">
        <f t="shared" si="6"/>
        <v>#DIV/0!</v>
      </c>
      <c r="AN13" s="28" t="e">
        <f t="shared" si="6"/>
        <v>#DIV/0!</v>
      </c>
      <c r="AO13" s="28" t="e">
        <f t="shared" si="6"/>
        <v>#DIV/0!</v>
      </c>
      <c r="AP13" s="28" t="e">
        <f t="shared" si="6"/>
        <v>#DIV/0!</v>
      </c>
      <c r="AQ13" s="28" t="e">
        <f t="shared" si="6"/>
        <v>#DIV/0!</v>
      </c>
      <c r="AR13" s="28" t="e">
        <f t="shared" si="6"/>
        <v>#DIV/0!</v>
      </c>
      <c r="AS13" s="28" t="e">
        <f t="shared" si="6"/>
        <v>#DIV/0!</v>
      </c>
      <c r="AT13" s="28" t="e">
        <f t="shared" si="6"/>
        <v>#DIV/0!</v>
      </c>
      <c r="AU13" s="28" t="e">
        <f t="shared" si="6"/>
        <v>#DIV/0!</v>
      </c>
      <c r="AV13" s="28" t="e">
        <f t="shared" si="6"/>
        <v>#DIV/0!</v>
      </c>
      <c r="AW13" s="28" t="e">
        <f t="shared" si="6"/>
        <v>#DIV/0!</v>
      </c>
      <c r="AX13" s="28" t="e">
        <f t="shared" si="6"/>
        <v>#DIV/0!</v>
      </c>
      <c r="AY13" s="28" t="e">
        <f t="shared" si="6"/>
        <v>#DIV/0!</v>
      </c>
      <c r="AZ13" s="28" t="e">
        <f t="shared" si="6"/>
        <v>#DIV/0!</v>
      </c>
      <c r="BA13" s="28" t="e">
        <f t="shared" si="6"/>
        <v>#DIV/0!</v>
      </c>
      <c r="BB13" s="28" t="e">
        <f t="shared" si="6"/>
        <v>#DIV/0!</v>
      </c>
      <c r="BC13" s="28" t="e">
        <f t="shared" si="6"/>
        <v>#DIV/0!</v>
      </c>
      <c r="BD13" s="28" t="e">
        <f t="shared" si="6"/>
        <v>#DIV/0!</v>
      </c>
      <c r="BE13" s="28" t="e">
        <f t="shared" si="6"/>
        <v>#DIV/0!</v>
      </c>
      <c r="BF13" s="28" t="e">
        <f t="shared" si="6"/>
        <v>#DIV/0!</v>
      </c>
      <c r="BG13" s="28" t="e">
        <f t="shared" si="6"/>
        <v>#DIV/0!</v>
      </c>
      <c r="BH13" s="28" t="e">
        <f t="shared" si="6"/>
        <v>#DIV/0!</v>
      </c>
      <c r="BI13" s="28" t="e">
        <f t="shared" si="6"/>
        <v>#DIV/0!</v>
      </c>
      <c r="BJ13" s="28" t="e">
        <f t="shared" si="6"/>
        <v>#DIV/0!</v>
      </c>
      <c r="BK13" s="28" t="e">
        <f t="shared" si="6"/>
        <v>#DIV/0!</v>
      </c>
      <c r="BL13" s="28" t="e">
        <f t="shared" si="6"/>
        <v>#DIV/0!</v>
      </c>
      <c r="BM13" s="28" t="e">
        <f t="shared" si="6"/>
        <v>#DIV/0!</v>
      </c>
      <c r="BN13" s="28" t="e">
        <f t="shared" si="6"/>
        <v>#DIV/0!</v>
      </c>
      <c r="BO13" s="28" t="e">
        <f t="shared" si="6"/>
        <v>#DIV/0!</v>
      </c>
      <c r="BP13" s="28" t="e">
        <f t="shared" si="6"/>
        <v>#DIV/0!</v>
      </c>
      <c r="BQ13" s="28" t="e">
        <f t="shared" si="6"/>
        <v>#DIV/0!</v>
      </c>
      <c r="BR13" s="28" t="e">
        <f t="shared" ref="BR13:CK13" si="7">(BR6/(1+BR4)+BR7)/BR12</f>
        <v>#DIV/0!</v>
      </c>
      <c r="BS13" s="28" t="e">
        <f t="shared" si="7"/>
        <v>#DIV/0!</v>
      </c>
      <c r="BT13" s="28" t="e">
        <f t="shared" si="7"/>
        <v>#DIV/0!</v>
      </c>
      <c r="BU13" s="28" t="e">
        <f t="shared" si="7"/>
        <v>#DIV/0!</v>
      </c>
      <c r="BV13" s="28" t="e">
        <f t="shared" si="7"/>
        <v>#DIV/0!</v>
      </c>
      <c r="BW13" s="28" t="e">
        <f t="shared" si="7"/>
        <v>#DIV/0!</v>
      </c>
      <c r="BX13" s="28" t="e">
        <f t="shared" si="7"/>
        <v>#DIV/0!</v>
      </c>
      <c r="BY13" s="28" t="e">
        <f t="shared" si="7"/>
        <v>#DIV/0!</v>
      </c>
      <c r="BZ13" s="28" t="e">
        <f t="shared" si="7"/>
        <v>#DIV/0!</v>
      </c>
      <c r="CA13" s="28" t="e">
        <f t="shared" si="7"/>
        <v>#DIV/0!</v>
      </c>
      <c r="CB13" s="28" t="e">
        <f t="shared" si="7"/>
        <v>#DIV/0!</v>
      </c>
      <c r="CC13" s="28" t="e">
        <f t="shared" si="7"/>
        <v>#DIV/0!</v>
      </c>
      <c r="CD13" s="28" t="e">
        <f t="shared" si="7"/>
        <v>#DIV/0!</v>
      </c>
      <c r="CE13" s="28" t="e">
        <f t="shared" si="7"/>
        <v>#DIV/0!</v>
      </c>
      <c r="CF13" s="28" t="e">
        <f t="shared" si="7"/>
        <v>#DIV/0!</v>
      </c>
      <c r="CG13" s="28" t="e">
        <f t="shared" si="7"/>
        <v>#DIV/0!</v>
      </c>
      <c r="CH13" s="28" t="e">
        <f t="shared" si="7"/>
        <v>#DIV/0!</v>
      </c>
      <c r="CI13" s="28" t="e">
        <f t="shared" si="7"/>
        <v>#DIV/0!</v>
      </c>
      <c r="CJ13" s="28" t="e">
        <f t="shared" si="7"/>
        <v>#DIV/0!</v>
      </c>
      <c r="CK13" s="28" t="e">
        <f t="shared" si="7"/>
        <v>#DIV/0!</v>
      </c>
    </row>
    <row r="14" spans="1:90" s="26" customFormat="1" x14ac:dyDescent="0.25">
      <c r="A14" s="20" t="s">
        <v>496</v>
      </c>
      <c r="E14" s="26">
        <f>现金流量表!E13</f>
        <v>155508915.56</v>
      </c>
      <c r="F14" s="26">
        <f>现金流量表!F13</f>
        <v>109780058.19</v>
      </c>
      <c r="G14" s="26">
        <f>现金流量表!G13</f>
        <v>67019547.100000001</v>
      </c>
      <c r="H14" s="26">
        <f>现金流量表!H13</f>
        <v>19076292.600000001</v>
      </c>
      <c r="I14" s="26">
        <f>现金流量表!I13</f>
        <v>203345786.18000001</v>
      </c>
      <c r="J14" s="26">
        <f>现金流量表!J13</f>
        <v>137669225.16</v>
      </c>
      <c r="K14" s="26">
        <f>现金流量表!K13</f>
        <v>66600627.039999999</v>
      </c>
      <c r="L14" s="26">
        <f>现金流量表!L13</f>
        <v>4261735.37</v>
      </c>
      <c r="M14" s="26">
        <f>现金流量表!M13</f>
        <v>178388453.16999999</v>
      </c>
      <c r="N14" s="26">
        <f>现金流量表!N13</f>
        <v>85764753.120000005</v>
      </c>
      <c r="O14" s="26">
        <f>现金流量表!O13</f>
        <v>146597397.75</v>
      </c>
      <c r="P14" s="26">
        <f>现金流量表!P13</f>
        <v>112746080.40000001</v>
      </c>
      <c r="Q14" s="26">
        <f>现金流量表!Q13</f>
        <v>109982674.95999999</v>
      </c>
      <c r="R14" s="26">
        <f>现金流量表!R13</f>
        <v>93640742.540000007</v>
      </c>
      <c r="S14" s="26">
        <f>现金流量表!S13</f>
        <v>0</v>
      </c>
      <c r="T14" s="26">
        <f>现金流量表!T13</f>
        <v>0</v>
      </c>
      <c r="U14" s="26">
        <f>现金流量表!U13</f>
        <v>0</v>
      </c>
      <c r="V14" s="26">
        <f>现金流量表!V13</f>
        <v>0</v>
      </c>
      <c r="W14" s="26">
        <f>现金流量表!W13</f>
        <v>0</v>
      </c>
      <c r="X14" s="26">
        <f>现金流量表!X13</f>
        <v>0</v>
      </c>
      <c r="Y14" s="26">
        <f>现金流量表!Y13</f>
        <v>0</v>
      </c>
      <c r="Z14" s="26">
        <f>现金流量表!Z13</f>
        <v>0</v>
      </c>
      <c r="AA14" s="26">
        <f>现金流量表!AA13</f>
        <v>0</v>
      </c>
      <c r="AB14" s="26">
        <f>现金流量表!AB13</f>
        <v>0</v>
      </c>
      <c r="AC14" s="26">
        <f>现金流量表!AC13</f>
        <v>0</v>
      </c>
      <c r="AD14" s="26">
        <f>现金流量表!AD13</f>
        <v>0</v>
      </c>
      <c r="AE14" s="26">
        <f>现金流量表!AE13</f>
        <v>0</v>
      </c>
      <c r="AF14" s="26">
        <f>现金流量表!AF13</f>
        <v>0</v>
      </c>
      <c r="AG14" s="26">
        <f>现金流量表!AG13</f>
        <v>0</v>
      </c>
      <c r="AH14" s="26">
        <f>现金流量表!AH13</f>
        <v>0</v>
      </c>
      <c r="AI14" s="26">
        <f>现金流量表!AI13</f>
        <v>0</v>
      </c>
      <c r="AJ14" s="26">
        <f>现金流量表!AJ13</f>
        <v>0</v>
      </c>
      <c r="AK14" s="26">
        <f>现金流量表!AK13</f>
        <v>0</v>
      </c>
      <c r="AL14" s="26">
        <f>现金流量表!AL13</f>
        <v>0</v>
      </c>
      <c r="AM14" s="26">
        <f>现金流量表!AM13</f>
        <v>0</v>
      </c>
      <c r="AN14" s="26">
        <f>现金流量表!AN13</f>
        <v>0</v>
      </c>
      <c r="AO14" s="26">
        <f>现金流量表!AO13</f>
        <v>0</v>
      </c>
      <c r="AP14" s="26">
        <f>现金流量表!AP13</f>
        <v>0</v>
      </c>
      <c r="AQ14" s="26">
        <f>现金流量表!AQ13</f>
        <v>0</v>
      </c>
      <c r="AR14" s="26">
        <f>现金流量表!AR13</f>
        <v>0</v>
      </c>
      <c r="AS14" s="26">
        <f>现金流量表!AS13</f>
        <v>0</v>
      </c>
      <c r="AT14" s="26">
        <f>现金流量表!AT13</f>
        <v>0</v>
      </c>
      <c r="AU14" s="26">
        <f>现金流量表!AU13</f>
        <v>0</v>
      </c>
      <c r="AV14" s="26">
        <f>现金流量表!AV13</f>
        <v>0</v>
      </c>
      <c r="AW14" s="26">
        <f>现金流量表!AW13</f>
        <v>0</v>
      </c>
      <c r="AX14" s="26">
        <f>现金流量表!AX13</f>
        <v>0</v>
      </c>
      <c r="AY14" s="26">
        <f>现金流量表!AY13</f>
        <v>0</v>
      </c>
      <c r="AZ14" s="26">
        <f>现金流量表!AZ13</f>
        <v>0</v>
      </c>
      <c r="BA14" s="26">
        <f>现金流量表!BA13</f>
        <v>0</v>
      </c>
      <c r="BB14" s="26">
        <f>现金流量表!BB13</f>
        <v>0</v>
      </c>
      <c r="BC14" s="26">
        <f>现金流量表!BC13</f>
        <v>0</v>
      </c>
      <c r="BD14" s="26">
        <f>现金流量表!BD13</f>
        <v>0</v>
      </c>
      <c r="BE14" s="26">
        <f>现金流量表!BE13</f>
        <v>0</v>
      </c>
      <c r="BF14" s="26">
        <f>现金流量表!BF13</f>
        <v>0</v>
      </c>
      <c r="BG14" s="26">
        <f>现金流量表!BG13</f>
        <v>0</v>
      </c>
      <c r="BH14" s="26">
        <f>现金流量表!BH13</f>
        <v>0</v>
      </c>
      <c r="BI14" s="26">
        <f>现金流量表!BI13</f>
        <v>0</v>
      </c>
      <c r="BJ14" s="26">
        <f>现金流量表!BJ13</f>
        <v>0</v>
      </c>
      <c r="BK14" s="26">
        <f>现金流量表!BK13</f>
        <v>0</v>
      </c>
      <c r="BL14" s="26">
        <f>现金流量表!BL13</f>
        <v>0</v>
      </c>
      <c r="BM14" s="26">
        <f>现金流量表!BM13</f>
        <v>0</v>
      </c>
      <c r="BN14" s="26">
        <f>现金流量表!BN13</f>
        <v>0</v>
      </c>
      <c r="BO14" s="26">
        <f>现金流量表!BO13</f>
        <v>0</v>
      </c>
      <c r="BP14" s="26">
        <f>现金流量表!BP13</f>
        <v>0</v>
      </c>
      <c r="BQ14" s="26">
        <f>现金流量表!BQ13</f>
        <v>0</v>
      </c>
      <c r="BR14" s="26">
        <f>现金流量表!BR13</f>
        <v>0</v>
      </c>
      <c r="BS14" s="26">
        <f>现金流量表!BS13</f>
        <v>0</v>
      </c>
      <c r="BT14" s="26">
        <f>现金流量表!BT13</f>
        <v>0</v>
      </c>
      <c r="BU14" s="26">
        <f>现金流量表!BU13</f>
        <v>0</v>
      </c>
      <c r="BV14" s="26">
        <f>现金流量表!BV13</f>
        <v>0</v>
      </c>
      <c r="BW14" s="26">
        <f>现金流量表!BW13</f>
        <v>0</v>
      </c>
      <c r="BX14" s="26">
        <f>现金流量表!BX13</f>
        <v>0</v>
      </c>
      <c r="BY14" s="26">
        <f>现金流量表!BY13</f>
        <v>0</v>
      </c>
      <c r="BZ14" s="26">
        <f>现金流量表!BZ13</f>
        <v>0</v>
      </c>
      <c r="CA14" s="26">
        <f>现金流量表!CA13</f>
        <v>0</v>
      </c>
      <c r="CB14" s="26">
        <f>现金流量表!CB13</f>
        <v>0</v>
      </c>
      <c r="CC14" s="26">
        <f>现金流量表!CC13</f>
        <v>0</v>
      </c>
      <c r="CD14" s="26">
        <f>现金流量表!CD13</f>
        <v>0</v>
      </c>
      <c r="CE14" s="26">
        <f>现金流量表!CE13</f>
        <v>0</v>
      </c>
      <c r="CF14" s="26">
        <f>现金流量表!CF13</f>
        <v>0</v>
      </c>
      <c r="CG14" s="26">
        <f>现金流量表!CG13</f>
        <v>0</v>
      </c>
      <c r="CH14" s="26">
        <f>现金流量表!CH13</f>
        <v>0</v>
      </c>
      <c r="CI14" s="26">
        <f>现金流量表!CI13</f>
        <v>0</v>
      </c>
      <c r="CJ14" s="26">
        <f>现金流量表!CJ13</f>
        <v>0</v>
      </c>
      <c r="CK14" s="26">
        <f>现金流量表!CK13</f>
        <v>0</v>
      </c>
    </row>
    <row r="15" spans="1:90" s="26" customFormat="1" x14ac:dyDescent="0.25">
      <c r="A15" s="17" t="s">
        <v>497</v>
      </c>
      <c r="E15" s="26">
        <f>股权价值增加表!E17</f>
        <v>131862245.31655653</v>
      </c>
      <c r="F15" s="26">
        <f>股权价值增加表!F17</f>
        <v>99155553.065059483</v>
      </c>
      <c r="G15" s="26">
        <f>股权价值增加表!G17</f>
        <v>54064735.591907874</v>
      </c>
      <c r="H15" s="26">
        <f>股权价值增加表!H17</f>
        <v>16486232.646324649</v>
      </c>
      <c r="I15" s="26">
        <f>股权价值增加表!I17</f>
        <v>130251681.47252651</v>
      </c>
      <c r="J15" s="26">
        <f>股权价值增加表!J17</f>
        <v>96104716.657987207</v>
      </c>
      <c r="K15" s="26">
        <f>股权价值增加表!K17</f>
        <v>49896706.918183491</v>
      </c>
      <c r="L15" s="26">
        <f>股权价值增加表!L17</f>
        <v>9641952.0730275512</v>
      </c>
      <c r="M15" s="26">
        <f>股权价值增加表!M17</f>
        <v>117478001.56777264</v>
      </c>
      <c r="N15" s="26">
        <f>股权价值增加表!N17</f>
        <v>82319387.510931507</v>
      </c>
      <c r="O15" s="26">
        <f>股权价值增加表!O17</f>
        <v>103006179.04089503</v>
      </c>
      <c r="P15" s="26">
        <f>股权价值增加表!P17</f>
        <v>93171734.136197031</v>
      </c>
      <c r="Q15" s="26">
        <f>股权价值增加表!Q17</f>
        <v>78570681.575730503</v>
      </c>
      <c r="R15" s="26">
        <f>股权价值增加表!R17</f>
        <v>69095138.258024842</v>
      </c>
      <c r="S15" s="26" t="e">
        <f>股权价值增加表!S17</f>
        <v>#DIV/0!</v>
      </c>
      <c r="T15" s="26">
        <f>股权价值增加表!T17</f>
        <v>0</v>
      </c>
      <c r="U15" s="26">
        <f>股权价值增加表!U17</f>
        <v>-14654163.3124847</v>
      </c>
      <c r="V15" s="26">
        <f>股权价值增加表!V17</f>
        <v>0</v>
      </c>
      <c r="W15" s="26">
        <f>股权价值增加表!W17</f>
        <v>0</v>
      </c>
      <c r="X15" s="26">
        <f>股权价值增加表!X17</f>
        <v>0</v>
      </c>
      <c r="Y15" s="26">
        <f>股权价值增加表!Y17</f>
        <v>-38862740.031897604</v>
      </c>
      <c r="Z15" s="26">
        <f>股权价值增加表!Z17</f>
        <v>0</v>
      </c>
      <c r="AA15" s="26">
        <f>股权价值增加表!AA17</f>
        <v>0</v>
      </c>
      <c r="AB15" s="26">
        <f>股权价值增加表!AB17</f>
        <v>0</v>
      </c>
      <c r="AC15" s="26">
        <f>股权价值增加表!AC17</f>
        <v>-27571135.956625599</v>
      </c>
      <c r="AD15" s="26">
        <f>股权价值增加表!AD17</f>
        <v>0</v>
      </c>
      <c r="AE15" s="26">
        <f>股权价值增加表!AE17</f>
        <v>0</v>
      </c>
      <c r="AF15" s="26">
        <f>股权价值增加表!AF17</f>
        <v>0</v>
      </c>
      <c r="AG15" s="26">
        <f>股权价值增加表!AG17</f>
        <v>-19579667.924137052</v>
      </c>
      <c r="AH15" s="26">
        <f>股权价值增加表!AH17</f>
        <v>0</v>
      </c>
      <c r="AI15" s="26">
        <f>股权价值增加表!AI17</f>
        <v>0</v>
      </c>
      <c r="AJ15" s="26">
        <f>股权价值增加表!AJ17</f>
        <v>0</v>
      </c>
      <c r="AK15" s="26">
        <f>股权价值增加表!AK17</f>
        <v>0</v>
      </c>
      <c r="AL15" s="26">
        <f>股权价值增加表!AL17</f>
        <v>0</v>
      </c>
      <c r="AM15" s="26">
        <f>股权价值增加表!AM17</f>
        <v>0</v>
      </c>
      <c r="AN15" s="26">
        <f>股权价值增加表!AN17</f>
        <v>0</v>
      </c>
      <c r="AO15" s="26">
        <f>股权价值增加表!AO17</f>
        <v>0</v>
      </c>
      <c r="AP15" s="26">
        <f>股权价值增加表!AP17</f>
        <v>0</v>
      </c>
      <c r="AQ15" s="26">
        <f>股权价值增加表!AQ17</f>
        <v>0</v>
      </c>
      <c r="AR15" s="26">
        <f>股权价值增加表!AR17</f>
        <v>0</v>
      </c>
      <c r="AS15" s="26">
        <f>股权价值增加表!AS17</f>
        <v>0</v>
      </c>
      <c r="AT15" s="26">
        <f>股权价值增加表!AT17</f>
        <v>0</v>
      </c>
      <c r="AU15" s="26">
        <f>股权价值增加表!AU17</f>
        <v>0</v>
      </c>
      <c r="AV15" s="26">
        <f>股权价值增加表!AV17</f>
        <v>0</v>
      </c>
      <c r="AW15" s="26">
        <f>股权价值增加表!AW17</f>
        <v>0</v>
      </c>
      <c r="AX15" s="26">
        <f>股权价值增加表!AX17</f>
        <v>0</v>
      </c>
      <c r="AY15" s="26">
        <f>股权价值增加表!AY17</f>
        <v>0</v>
      </c>
      <c r="AZ15" s="26">
        <f>股权价值增加表!AZ17</f>
        <v>0</v>
      </c>
      <c r="BA15" s="26">
        <f>股权价值增加表!BA17</f>
        <v>0</v>
      </c>
      <c r="BB15" s="26">
        <f>股权价值增加表!BB17</f>
        <v>0</v>
      </c>
      <c r="BC15" s="26">
        <f>股权价值增加表!BC17</f>
        <v>0</v>
      </c>
      <c r="BD15" s="26">
        <f>股权价值增加表!BD17</f>
        <v>0</v>
      </c>
      <c r="BE15" s="26">
        <f>股权价值增加表!BE17</f>
        <v>0</v>
      </c>
      <c r="BF15" s="26">
        <f>股权价值增加表!BF17</f>
        <v>0</v>
      </c>
      <c r="BG15" s="26">
        <f>股权价值增加表!BG17</f>
        <v>0</v>
      </c>
      <c r="BH15" s="26">
        <f>股权价值增加表!BH17</f>
        <v>0</v>
      </c>
      <c r="BI15" s="26">
        <f>股权价值增加表!BI17</f>
        <v>0</v>
      </c>
      <c r="BJ15" s="26">
        <f>股权价值增加表!BJ17</f>
        <v>0</v>
      </c>
      <c r="BK15" s="26">
        <f>股权价值增加表!BK17</f>
        <v>0</v>
      </c>
      <c r="BL15" s="26">
        <f>股权价值增加表!BL17</f>
        <v>0</v>
      </c>
      <c r="BM15" s="26">
        <f>股权价值增加表!BM17</f>
        <v>0</v>
      </c>
      <c r="BN15" s="26">
        <f>股权价值增加表!BN17</f>
        <v>0</v>
      </c>
      <c r="BO15" s="26">
        <f>股权价值增加表!BO17</f>
        <v>0</v>
      </c>
      <c r="BP15" s="26">
        <f>股权价值增加表!BP17</f>
        <v>0</v>
      </c>
      <c r="BQ15" s="26">
        <f>股权价值增加表!BQ17</f>
        <v>0</v>
      </c>
      <c r="BR15" s="26">
        <f>股权价值增加表!BR17</f>
        <v>0</v>
      </c>
      <c r="BS15" s="26">
        <f>股权价值增加表!BS17</f>
        <v>0</v>
      </c>
      <c r="BT15" s="26">
        <f>股权价值增加表!BT17</f>
        <v>0</v>
      </c>
      <c r="BU15" s="26">
        <f>股权价值增加表!BU17</f>
        <v>0</v>
      </c>
      <c r="BV15" s="26">
        <f>股权价值增加表!BV17</f>
        <v>0</v>
      </c>
      <c r="BW15" s="26">
        <f>股权价值增加表!BW17</f>
        <v>0</v>
      </c>
      <c r="BX15" s="26">
        <f>股权价值增加表!BX17</f>
        <v>0</v>
      </c>
      <c r="BY15" s="26">
        <f>股权价值增加表!BY17</f>
        <v>0</v>
      </c>
      <c r="BZ15" s="26">
        <f>股权价值增加表!BZ17</f>
        <v>0</v>
      </c>
      <c r="CA15" s="26">
        <f>股权价值增加表!CA17</f>
        <v>0</v>
      </c>
      <c r="CB15" s="26">
        <f>股权价值增加表!CB17</f>
        <v>0</v>
      </c>
      <c r="CC15" s="26">
        <f>股权价值增加表!CC17</f>
        <v>0</v>
      </c>
      <c r="CD15" s="26" t="e">
        <f>股权价值增加表!CD17</f>
        <v>#DIV/0!</v>
      </c>
      <c r="CE15" s="26">
        <f>股权价值增加表!CE17</f>
        <v>0</v>
      </c>
      <c r="CF15" s="26">
        <f>股权价值增加表!CF17</f>
        <v>0</v>
      </c>
      <c r="CG15" s="26" t="e">
        <f>股权价值增加表!CG17</f>
        <v>#DIV/0!</v>
      </c>
      <c r="CH15" s="26" t="e">
        <f>股权价值增加表!CH17</f>
        <v>#DIV/0!</v>
      </c>
      <c r="CI15" s="26" t="e">
        <f>股权价值增加表!CI17</f>
        <v>#DIV/0!</v>
      </c>
      <c r="CJ15" s="26" t="e">
        <f>股权价值增加表!CJ17</f>
        <v>#DIV/0!</v>
      </c>
      <c r="CK15" s="26">
        <f>股权价值增加表!CK17</f>
        <v>0</v>
      </c>
    </row>
    <row r="16" spans="1:90" s="28" customFormat="1" x14ac:dyDescent="0.25">
      <c r="A16" s="20" t="s">
        <v>498</v>
      </c>
      <c r="E16" s="28">
        <f>E14/E15</f>
        <v>1.1793285878507214</v>
      </c>
      <c r="F16" s="28">
        <f t="shared" ref="F16:BQ16" si="8">F14/F15</f>
        <v>1.1071498750853561</v>
      </c>
      <c r="G16" s="28">
        <f t="shared" si="8"/>
        <v>1.2396166626223386</v>
      </c>
      <c r="H16" s="28">
        <f t="shared" si="8"/>
        <v>1.157104416105202</v>
      </c>
      <c r="I16" s="28">
        <f t="shared" si="8"/>
        <v>1.5611759010027901</v>
      </c>
      <c r="J16" s="28">
        <f t="shared" si="8"/>
        <v>1.432491868738665</v>
      </c>
      <c r="K16" s="28">
        <f t="shared" si="8"/>
        <v>1.3347699909175614</v>
      </c>
      <c r="L16" s="28">
        <f t="shared" si="8"/>
        <v>0.44199922772088879</v>
      </c>
      <c r="M16" s="28">
        <f t="shared" si="8"/>
        <v>1.518483893063914</v>
      </c>
      <c r="N16" s="28">
        <f t="shared" si="8"/>
        <v>1.0418536351307397</v>
      </c>
      <c r="O16" s="28">
        <f t="shared" si="8"/>
        <v>1.4231903281433107</v>
      </c>
      <c r="P16" s="28">
        <f t="shared" si="8"/>
        <v>1.2100888906413343</v>
      </c>
      <c r="Q16" s="28">
        <f t="shared" si="8"/>
        <v>1.3997928076262516</v>
      </c>
      <c r="R16" s="28">
        <f t="shared" si="8"/>
        <v>1.3552435800955127</v>
      </c>
      <c r="S16" s="28" t="e">
        <f t="shared" si="8"/>
        <v>#DIV/0!</v>
      </c>
      <c r="T16" s="28" t="e">
        <f t="shared" si="8"/>
        <v>#DIV/0!</v>
      </c>
      <c r="U16" s="28">
        <f t="shared" si="8"/>
        <v>0</v>
      </c>
      <c r="V16" s="28" t="e">
        <f t="shared" si="8"/>
        <v>#DIV/0!</v>
      </c>
      <c r="W16" s="28" t="e">
        <f t="shared" si="8"/>
        <v>#DIV/0!</v>
      </c>
      <c r="X16" s="28" t="e">
        <f t="shared" si="8"/>
        <v>#DIV/0!</v>
      </c>
      <c r="Y16" s="28">
        <f t="shared" si="8"/>
        <v>0</v>
      </c>
      <c r="Z16" s="28" t="e">
        <f t="shared" si="8"/>
        <v>#DIV/0!</v>
      </c>
      <c r="AA16" s="28" t="e">
        <f t="shared" si="8"/>
        <v>#DIV/0!</v>
      </c>
      <c r="AB16" s="28" t="e">
        <f t="shared" si="8"/>
        <v>#DIV/0!</v>
      </c>
      <c r="AC16" s="28">
        <f t="shared" si="8"/>
        <v>0</v>
      </c>
      <c r="AD16" s="28" t="e">
        <f t="shared" si="8"/>
        <v>#DIV/0!</v>
      </c>
      <c r="AE16" s="28" t="e">
        <f t="shared" si="8"/>
        <v>#DIV/0!</v>
      </c>
      <c r="AF16" s="28" t="e">
        <f t="shared" si="8"/>
        <v>#DIV/0!</v>
      </c>
      <c r="AG16" s="28">
        <f t="shared" si="8"/>
        <v>0</v>
      </c>
      <c r="AH16" s="28" t="e">
        <f t="shared" si="8"/>
        <v>#DIV/0!</v>
      </c>
      <c r="AI16" s="28" t="e">
        <f t="shared" si="8"/>
        <v>#DIV/0!</v>
      </c>
      <c r="AJ16" s="28" t="e">
        <f t="shared" si="8"/>
        <v>#DIV/0!</v>
      </c>
      <c r="AK16" s="28" t="e">
        <f t="shared" si="8"/>
        <v>#DIV/0!</v>
      </c>
      <c r="AL16" s="28" t="e">
        <f t="shared" si="8"/>
        <v>#DIV/0!</v>
      </c>
      <c r="AM16" s="28" t="e">
        <f t="shared" si="8"/>
        <v>#DIV/0!</v>
      </c>
      <c r="AN16" s="28" t="e">
        <f t="shared" si="8"/>
        <v>#DIV/0!</v>
      </c>
      <c r="AO16" s="28" t="e">
        <f t="shared" si="8"/>
        <v>#DIV/0!</v>
      </c>
      <c r="AP16" s="28" t="e">
        <f t="shared" si="8"/>
        <v>#DIV/0!</v>
      </c>
      <c r="AQ16" s="28" t="e">
        <f t="shared" si="8"/>
        <v>#DIV/0!</v>
      </c>
      <c r="AR16" s="28" t="e">
        <f t="shared" si="8"/>
        <v>#DIV/0!</v>
      </c>
      <c r="AS16" s="28" t="e">
        <f t="shared" si="8"/>
        <v>#DIV/0!</v>
      </c>
      <c r="AT16" s="28" t="e">
        <f t="shared" si="8"/>
        <v>#DIV/0!</v>
      </c>
      <c r="AU16" s="28" t="e">
        <f t="shared" si="8"/>
        <v>#DIV/0!</v>
      </c>
      <c r="AV16" s="28" t="e">
        <f t="shared" si="8"/>
        <v>#DIV/0!</v>
      </c>
      <c r="AW16" s="28" t="e">
        <f t="shared" si="8"/>
        <v>#DIV/0!</v>
      </c>
      <c r="AX16" s="28" t="e">
        <f t="shared" si="8"/>
        <v>#DIV/0!</v>
      </c>
      <c r="AY16" s="28" t="e">
        <f t="shared" si="8"/>
        <v>#DIV/0!</v>
      </c>
      <c r="AZ16" s="28" t="e">
        <f t="shared" si="8"/>
        <v>#DIV/0!</v>
      </c>
      <c r="BA16" s="28" t="e">
        <f t="shared" si="8"/>
        <v>#DIV/0!</v>
      </c>
      <c r="BB16" s="28" t="e">
        <f t="shared" si="8"/>
        <v>#DIV/0!</v>
      </c>
      <c r="BC16" s="28" t="e">
        <f t="shared" si="8"/>
        <v>#DIV/0!</v>
      </c>
      <c r="BD16" s="28" t="e">
        <f t="shared" si="8"/>
        <v>#DIV/0!</v>
      </c>
      <c r="BE16" s="28" t="e">
        <f t="shared" si="8"/>
        <v>#DIV/0!</v>
      </c>
      <c r="BF16" s="28" t="e">
        <f t="shared" si="8"/>
        <v>#DIV/0!</v>
      </c>
      <c r="BG16" s="28" t="e">
        <f t="shared" si="8"/>
        <v>#DIV/0!</v>
      </c>
      <c r="BH16" s="28" t="e">
        <f t="shared" si="8"/>
        <v>#DIV/0!</v>
      </c>
      <c r="BI16" s="28" t="e">
        <f t="shared" si="8"/>
        <v>#DIV/0!</v>
      </c>
      <c r="BJ16" s="28" t="e">
        <f t="shared" si="8"/>
        <v>#DIV/0!</v>
      </c>
      <c r="BK16" s="28" t="e">
        <f t="shared" si="8"/>
        <v>#DIV/0!</v>
      </c>
      <c r="BL16" s="28" t="e">
        <f t="shared" si="8"/>
        <v>#DIV/0!</v>
      </c>
      <c r="BM16" s="28" t="e">
        <f t="shared" si="8"/>
        <v>#DIV/0!</v>
      </c>
      <c r="BN16" s="28" t="e">
        <f t="shared" si="8"/>
        <v>#DIV/0!</v>
      </c>
      <c r="BO16" s="28" t="e">
        <f t="shared" si="8"/>
        <v>#DIV/0!</v>
      </c>
      <c r="BP16" s="28" t="e">
        <f t="shared" si="8"/>
        <v>#DIV/0!</v>
      </c>
      <c r="BQ16" s="28" t="e">
        <f t="shared" si="8"/>
        <v>#DIV/0!</v>
      </c>
      <c r="BR16" s="28" t="e">
        <f t="shared" ref="BR16:CL16" si="9">BR14/BR15</f>
        <v>#DIV/0!</v>
      </c>
      <c r="BS16" s="28" t="e">
        <f t="shared" si="9"/>
        <v>#DIV/0!</v>
      </c>
      <c r="BT16" s="28" t="e">
        <f t="shared" si="9"/>
        <v>#DIV/0!</v>
      </c>
      <c r="BU16" s="28" t="e">
        <f t="shared" si="9"/>
        <v>#DIV/0!</v>
      </c>
      <c r="BV16" s="28" t="e">
        <f t="shared" si="9"/>
        <v>#DIV/0!</v>
      </c>
      <c r="BW16" s="28" t="e">
        <f t="shared" si="9"/>
        <v>#DIV/0!</v>
      </c>
      <c r="BX16" s="28" t="e">
        <f t="shared" si="9"/>
        <v>#DIV/0!</v>
      </c>
      <c r="BY16" s="28" t="e">
        <f t="shared" si="9"/>
        <v>#DIV/0!</v>
      </c>
      <c r="BZ16" s="28" t="e">
        <f t="shared" si="9"/>
        <v>#DIV/0!</v>
      </c>
      <c r="CA16" s="28" t="e">
        <f t="shared" si="9"/>
        <v>#DIV/0!</v>
      </c>
      <c r="CB16" s="28" t="e">
        <f t="shared" si="9"/>
        <v>#DIV/0!</v>
      </c>
      <c r="CC16" s="28" t="e">
        <f t="shared" si="9"/>
        <v>#DIV/0!</v>
      </c>
      <c r="CD16" s="28" t="e">
        <f t="shared" si="9"/>
        <v>#DIV/0!</v>
      </c>
      <c r="CE16" s="28" t="e">
        <f t="shared" si="9"/>
        <v>#DIV/0!</v>
      </c>
      <c r="CF16" s="28" t="e">
        <f t="shared" si="9"/>
        <v>#DIV/0!</v>
      </c>
      <c r="CG16" s="28" t="e">
        <f t="shared" si="9"/>
        <v>#DIV/0!</v>
      </c>
      <c r="CH16" s="28" t="e">
        <f t="shared" si="9"/>
        <v>#DIV/0!</v>
      </c>
      <c r="CI16" s="28" t="e">
        <f t="shared" si="9"/>
        <v>#DIV/0!</v>
      </c>
      <c r="CJ16" s="28" t="e">
        <f t="shared" si="9"/>
        <v>#DIV/0!</v>
      </c>
      <c r="CK16" s="28" t="e">
        <f t="shared" si="9"/>
        <v>#DIV/0!</v>
      </c>
      <c r="CL16" s="28" t="e">
        <f t="shared" si="9"/>
        <v>#DIV/0!</v>
      </c>
    </row>
    <row r="17" spans="1:90" s="26" customFormat="1" x14ac:dyDescent="0.25">
      <c r="A17" s="17" t="s">
        <v>499</v>
      </c>
      <c r="E17" s="26">
        <f>股权价值增加表!E42</f>
        <v>140040107.69</v>
      </c>
      <c r="F17" s="26">
        <f>股权价值增加表!F42</f>
        <v>104448708.91000004</v>
      </c>
      <c r="G17" s="26">
        <f>股权价值增加表!G42</f>
        <v>56623388.020000018</v>
      </c>
      <c r="H17" s="26">
        <f>股权价值增加表!H42</f>
        <v>16932091.389999993</v>
      </c>
      <c r="I17" s="26">
        <f>股权价值增加表!I42</f>
        <v>127314218.50999995</v>
      </c>
      <c r="J17" s="26">
        <f>股权价值增加表!J42</f>
        <v>93458406.380000025</v>
      </c>
      <c r="K17" s="26">
        <f>股权价值增加表!K42</f>
        <v>48290108.969999984</v>
      </c>
      <c r="L17" s="26">
        <f>股权价值增加表!L42</f>
        <v>8834269.5900000054</v>
      </c>
      <c r="M17" s="26">
        <f>股权价值增加表!M42</f>
        <v>112745012.78</v>
      </c>
      <c r="N17" s="26">
        <f>股权价值增加表!N42</f>
        <v>78883496.679999962</v>
      </c>
      <c r="O17" s="26">
        <f>股权价值增加表!O42</f>
        <v>94913963.020000041</v>
      </c>
      <c r="P17" s="26">
        <f>股权价值增加表!P42</f>
        <v>84018399.520000041</v>
      </c>
      <c r="Q17" s="26">
        <f>股权价值增加表!Q42</f>
        <v>78574092.780000001</v>
      </c>
      <c r="R17" s="26">
        <f>股权价值增加表!R42</f>
        <v>69584154.749999985</v>
      </c>
      <c r="S17" s="26">
        <f>股权价值增加表!S42</f>
        <v>0</v>
      </c>
      <c r="T17" s="26">
        <f>股权价值增加表!T42</f>
        <v>-687652134.91000009</v>
      </c>
      <c r="U17" s="26">
        <f>股权价值增加表!U42</f>
        <v>-2088393325.8100002</v>
      </c>
      <c r="V17" s="26">
        <f>股权价值增加表!V42</f>
        <v>-1770623990.1299999</v>
      </c>
      <c r="W17" s="26">
        <f>股权价值增加表!W42</f>
        <v>-1503178518.1099999</v>
      </c>
      <c r="X17" s="26">
        <f>股权价值增加表!X42</f>
        <v>-996310945.95000005</v>
      </c>
      <c r="Y17" s="26">
        <f>股权价值增加表!Y42</f>
        <v>-2597690211.0299997</v>
      </c>
      <c r="Z17" s="26">
        <f>股权价值增加表!Z42</f>
        <v>-1981805644.22</v>
      </c>
      <c r="AA17" s="26">
        <f>股权价值增加表!AA42</f>
        <v>-1313125502.45</v>
      </c>
      <c r="AB17" s="26">
        <f>股权价值增加表!AB42</f>
        <v>-889790569.18999994</v>
      </c>
      <c r="AC17" s="26">
        <f>股权价值增加表!AC42</f>
        <v>-1620456259.7199998</v>
      </c>
      <c r="AD17" s="26">
        <f>股权价值增加表!AD42</f>
        <v>-1380864362.3400002</v>
      </c>
      <c r="AE17" s="26">
        <f>股权价值增加表!AE42</f>
        <v>-941882157.46000004</v>
      </c>
      <c r="AF17" s="26">
        <f>股权价值增加表!AF42</f>
        <v>-675598227.52999997</v>
      </c>
      <c r="AG17" s="26">
        <f>股权价值增加表!AG42</f>
        <v>-1312331906.45</v>
      </c>
      <c r="AH17" s="26">
        <f>股权价值增加表!AH42</f>
        <v>-1044450134.2699999</v>
      </c>
      <c r="AI17" s="26">
        <f>股权价值增加表!AI42</f>
        <v>-688669429.02999997</v>
      </c>
      <c r="AJ17" s="26">
        <f>股权价值增加表!AJ42</f>
        <v>-496480851.37</v>
      </c>
      <c r="AK17" s="26">
        <f>股权价值增加表!AK42</f>
        <v>-1028579461.33</v>
      </c>
      <c r="AL17" s="26">
        <f>股权价值增加表!AL42</f>
        <v>-716904063.83999991</v>
      </c>
      <c r="AM17" s="26">
        <f>股权价值增加表!AM42</f>
        <v>-499689055.96999997</v>
      </c>
      <c r="AN17" s="26">
        <f>股权价值增加表!AN42</f>
        <v>-380189417.44999999</v>
      </c>
      <c r="AO17" s="26">
        <f>股权价值增加表!AO42</f>
        <v>-407922375.93999994</v>
      </c>
      <c r="AP17" s="26">
        <f>股权价值增加表!AP42</f>
        <v>-411195663.44999999</v>
      </c>
      <c r="AQ17" s="26">
        <f>股权价值增加表!AQ42</f>
        <v>-329680221.73000002</v>
      </c>
      <c r="AR17" s="26">
        <f>股权价值增加表!AR42</f>
        <v>-320202934.91000003</v>
      </c>
      <c r="AS17" s="26">
        <f>股权价值增加表!AS42</f>
        <v>-610135253.33999991</v>
      </c>
      <c r="AT17" s="26">
        <f>股权价值增加表!AT42</f>
        <v>-606675948.97000003</v>
      </c>
      <c r="AU17" s="26">
        <f>股权价值增加表!AU42</f>
        <v>-525244177.46999997</v>
      </c>
      <c r="AV17" s="26">
        <f>股权价值增加表!AV42</f>
        <v>-370504198.70999998</v>
      </c>
      <c r="AW17" s="26">
        <f>股权价值增加表!AW42</f>
        <v>-550836582.15999997</v>
      </c>
      <c r="AX17" s="26">
        <f>股权价值增加表!AX42</f>
        <v>-497364124.85000002</v>
      </c>
      <c r="AY17" s="26">
        <f>股权价值增加表!AY42</f>
        <v>-393993423.18000001</v>
      </c>
      <c r="AZ17" s="26">
        <f>股权价值增加表!AZ42</f>
        <v>-277925918.08999997</v>
      </c>
      <c r="BA17" s="26">
        <f>股权价值增加表!BA42</f>
        <v>-375599127.04999995</v>
      </c>
      <c r="BB17" s="26">
        <f>股权价值增加表!BB42</f>
        <v>-376909155.56</v>
      </c>
      <c r="BC17" s="26">
        <f>股权价值增加表!BC42</f>
        <v>-331126120.21999997</v>
      </c>
      <c r="BD17" s="26">
        <f>股权价值增加表!BD42</f>
        <v>-232460368.78999999</v>
      </c>
      <c r="BE17" s="26">
        <f>股权价值增加表!BE42</f>
        <v>-415071515.56999999</v>
      </c>
      <c r="BF17" s="26">
        <f>股权价值增加表!BF42</f>
        <v>-341885591.56999999</v>
      </c>
      <c r="BG17" s="26">
        <f>股权价值增加表!BG42</f>
        <v>-266868592.27000001</v>
      </c>
      <c r="BH17" s="26">
        <f>股权价值增加表!BH42</f>
        <v>-190592880.15000001</v>
      </c>
      <c r="BI17" s="26">
        <f>股权价值增加表!BI42</f>
        <v>-355643656.85000002</v>
      </c>
      <c r="BJ17" s="26">
        <f>股权价值增加表!BJ42</f>
        <v>-291496615.11000001</v>
      </c>
      <c r="BK17" s="26">
        <f>股权价值增加表!BK42</f>
        <v>-237870081.79999998</v>
      </c>
      <c r="BL17" s="26">
        <f>股权价值增加表!BL42</f>
        <v>-204685096.5</v>
      </c>
      <c r="BM17" s="26">
        <f>股权价值增加表!BM42</f>
        <v>-223212941.22</v>
      </c>
      <c r="BN17" s="26">
        <f>股权价值增加表!BN42</f>
        <v>-167173236.28999999</v>
      </c>
      <c r="BO17" s="26">
        <f>股权价值增加表!BO42</f>
        <v>-113551397.55</v>
      </c>
      <c r="BP17" s="26">
        <f>股权价值增加表!BP42</f>
        <v>-114049159.08</v>
      </c>
      <c r="BQ17" s="26">
        <f>股权价值增加表!BQ42</f>
        <v>-79004755.060000002</v>
      </c>
      <c r="BR17" s="26">
        <f>股权价值增加表!BR42</f>
        <v>-147870000</v>
      </c>
      <c r="BS17" s="26">
        <f>股权价值增加表!BS42</f>
        <v>-152979249.54999998</v>
      </c>
      <c r="BT17" s="26">
        <f>股权价值增加表!BT42</f>
        <v>-128012163.46000001</v>
      </c>
      <c r="BU17" s="26">
        <f>股权价值增加表!BU42</f>
        <v>-222157134.44</v>
      </c>
      <c r="BV17" s="26">
        <f>股权价值增加表!BV42</f>
        <v>-287911344.69999999</v>
      </c>
      <c r="BW17" s="26">
        <f>股权价值增加表!BW42</f>
        <v>-288342438.87</v>
      </c>
      <c r="BX17" s="26">
        <f>股权价值增加表!BX42</f>
        <v>-57060547.329999998</v>
      </c>
      <c r="BY17" s="26">
        <f>股权价值增加表!BY42</f>
        <v>-217786839.49000001</v>
      </c>
      <c r="BZ17" s="26">
        <f>股权价值增加表!BZ42</f>
        <v>-40798540.960000001</v>
      </c>
      <c r="CA17" s="26">
        <f>股权价值增加表!CA42</f>
        <v>-179937260.47</v>
      </c>
      <c r="CB17" s="26">
        <f>股权价值增加表!CB42</f>
        <v>-144282576.27000001</v>
      </c>
      <c r="CC17" s="26">
        <f>股权价值增加表!CC42</f>
        <v>-119252620.25</v>
      </c>
      <c r="CD17" s="26">
        <f>股权价值增加表!CD42</f>
        <v>0</v>
      </c>
      <c r="CE17" s="26">
        <f>股权价值增加表!CE42</f>
        <v>-20081000</v>
      </c>
      <c r="CF17" s="26">
        <f>股权价值增加表!CF42</f>
        <v>-14354563.84</v>
      </c>
      <c r="CG17" s="26">
        <f>股权价值增加表!CG42</f>
        <v>-4330000</v>
      </c>
      <c r="CH17" s="26">
        <f>股权价值增加表!CH42</f>
        <v>-4220000</v>
      </c>
      <c r="CI17" s="26">
        <f>股权价值增加表!CI42</f>
        <v>-12510000</v>
      </c>
      <c r="CJ17" s="26">
        <f>股权价值增加表!CJ42</f>
        <v>-3630000</v>
      </c>
      <c r="CK17" s="26">
        <f>股权价值增加表!CK42</f>
        <v>0</v>
      </c>
      <c r="CL17" s="26">
        <f>股权价值增加表!CL42</f>
        <v>0</v>
      </c>
    </row>
    <row r="18" spans="1:90" s="28" customFormat="1" x14ac:dyDescent="0.25">
      <c r="A18" s="20" t="s">
        <v>500</v>
      </c>
      <c r="E18" s="28">
        <f>E14/E17</f>
        <v>1.1104598398641805</v>
      </c>
      <c r="F18" s="28">
        <f t="shared" ref="F18:BQ18" si="10">F14/F17</f>
        <v>1.0510427494569972</v>
      </c>
      <c r="G18" s="28">
        <f t="shared" si="10"/>
        <v>1.1836018550555107</v>
      </c>
      <c r="H18" s="28">
        <f t="shared" si="10"/>
        <v>1.1266353435386229</v>
      </c>
      <c r="I18" s="28">
        <f t="shared" si="10"/>
        <v>1.597196201334167</v>
      </c>
      <c r="J18" s="28">
        <f t="shared" si="10"/>
        <v>1.4730534201518444</v>
      </c>
      <c r="K18" s="28">
        <f t="shared" si="10"/>
        <v>1.3791774021751606</v>
      </c>
      <c r="L18" s="28">
        <f t="shared" si="10"/>
        <v>0.48240947670694728</v>
      </c>
      <c r="M18" s="28">
        <f t="shared" si="10"/>
        <v>1.5822292159218645</v>
      </c>
      <c r="N18" s="28">
        <f t="shared" si="10"/>
        <v>1.0872331568656832</v>
      </c>
      <c r="O18" s="28">
        <f t="shared" si="10"/>
        <v>1.5445293093399688</v>
      </c>
      <c r="P18" s="28">
        <f t="shared" si="10"/>
        <v>1.3419213058582664</v>
      </c>
      <c r="Q18" s="28">
        <f t="shared" si="10"/>
        <v>1.3997320372242927</v>
      </c>
      <c r="R18" s="28">
        <f t="shared" si="10"/>
        <v>1.3457193361970101</v>
      </c>
      <c r="S18" s="28" t="e">
        <f t="shared" si="10"/>
        <v>#DIV/0!</v>
      </c>
      <c r="T18" s="28">
        <f t="shared" si="10"/>
        <v>0</v>
      </c>
      <c r="U18" s="28">
        <f t="shared" si="10"/>
        <v>0</v>
      </c>
      <c r="V18" s="28">
        <f t="shared" si="10"/>
        <v>0</v>
      </c>
      <c r="W18" s="28">
        <f t="shared" si="10"/>
        <v>0</v>
      </c>
      <c r="X18" s="28">
        <f t="shared" si="10"/>
        <v>0</v>
      </c>
      <c r="Y18" s="28">
        <f t="shared" si="10"/>
        <v>0</v>
      </c>
      <c r="Z18" s="28">
        <f t="shared" si="10"/>
        <v>0</v>
      </c>
      <c r="AA18" s="28">
        <f t="shared" si="10"/>
        <v>0</v>
      </c>
      <c r="AB18" s="28">
        <f t="shared" si="10"/>
        <v>0</v>
      </c>
      <c r="AC18" s="28">
        <f t="shared" si="10"/>
        <v>0</v>
      </c>
      <c r="AD18" s="28">
        <f t="shared" si="10"/>
        <v>0</v>
      </c>
      <c r="AE18" s="28">
        <f t="shared" si="10"/>
        <v>0</v>
      </c>
      <c r="AF18" s="28">
        <f t="shared" si="10"/>
        <v>0</v>
      </c>
      <c r="AG18" s="28">
        <f t="shared" si="10"/>
        <v>0</v>
      </c>
      <c r="AH18" s="28">
        <f t="shared" si="10"/>
        <v>0</v>
      </c>
      <c r="AI18" s="28">
        <f t="shared" si="10"/>
        <v>0</v>
      </c>
      <c r="AJ18" s="28">
        <f t="shared" si="10"/>
        <v>0</v>
      </c>
      <c r="AK18" s="28">
        <f t="shared" si="10"/>
        <v>0</v>
      </c>
      <c r="AL18" s="28">
        <f t="shared" si="10"/>
        <v>0</v>
      </c>
      <c r="AM18" s="28">
        <f t="shared" si="10"/>
        <v>0</v>
      </c>
      <c r="AN18" s="28">
        <f t="shared" si="10"/>
        <v>0</v>
      </c>
      <c r="AO18" s="28">
        <f t="shared" si="10"/>
        <v>0</v>
      </c>
      <c r="AP18" s="28">
        <f t="shared" si="10"/>
        <v>0</v>
      </c>
      <c r="AQ18" s="28">
        <f t="shared" si="10"/>
        <v>0</v>
      </c>
      <c r="AR18" s="28">
        <f t="shared" si="10"/>
        <v>0</v>
      </c>
      <c r="AS18" s="28">
        <f t="shared" si="10"/>
        <v>0</v>
      </c>
      <c r="AT18" s="28">
        <f t="shared" si="10"/>
        <v>0</v>
      </c>
      <c r="AU18" s="28">
        <f t="shared" si="10"/>
        <v>0</v>
      </c>
      <c r="AV18" s="28">
        <f t="shared" si="10"/>
        <v>0</v>
      </c>
      <c r="AW18" s="28">
        <f t="shared" si="10"/>
        <v>0</v>
      </c>
      <c r="AX18" s="28">
        <f t="shared" si="10"/>
        <v>0</v>
      </c>
      <c r="AY18" s="28">
        <f t="shared" si="10"/>
        <v>0</v>
      </c>
      <c r="AZ18" s="28">
        <f t="shared" si="10"/>
        <v>0</v>
      </c>
      <c r="BA18" s="28">
        <f t="shared" si="10"/>
        <v>0</v>
      </c>
      <c r="BB18" s="28">
        <f t="shared" si="10"/>
        <v>0</v>
      </c>
      <c r="BC18" s="28">
        <f t="shared" si="10"/>
        <v>0</v>
      </c>
      <c r="BD18" s="28">
        <f t="shared" si="10"/>
        <v>0</v>
      </c>
      <c r="BE18" s="28">
        <f t="shared" si="10"/>
        <v>0</v>
      </c>
      <c r="BF18" s="28">
        <f t="shared" si="10"/>
        <v>0</v>
      </c>
      <c r="BG18" s="28">
        <f t="shared" si="10"/>
        <v>0</v>
      </c>
      <c r="BH18" s="28">
        <f t="shared" si="10"/>
        <v>0</v>
      </c>
      <c r="BI18" s="28">
        <f t="shared" si="10"/>
        <v>0</v>
      </c>
      <c r="BJ18" s="28">
        <f t="shared" si="10"/>
        <v>0</v>
      </c>
      <c r="BK18" s="28">
        <f t="shared" si="10"/>
        <v>0</v>
      </c>
      <c r="BL18" s="28">
        <f t="shared" si="10"/>
        <v>0</v>
      </c>
      <c r="BM18" s="28">
        <f t="shared" si="10"/>
        <v>0</v>
      </c>
      <c r="BN18" s="28">
        <f t="shared" si="10"/>
        <v>0</v>
      </c>
      <c r="BO18" s="28">
        <f t="shared" si="10"/>
        <v>0</v>
      </c>
      <c r="BP18" s="28">
        <f t="shared" si="10"/>
        <v>0</v>
      </c>
      <c r="BQ18" s="28">
        <f t="shared" si="10"/>
        <v>0</v>
      </c>
      <c r="BR18" s="28">
        <f t="shared" ref="BR18:CK18" si="11">BR14/BR17</f>
        <v>0</v>
      </c>
      <c r="BS18" s="28">
        <f t="shared" si="11"/>
        <v>0</v>
      </c>
      <c r="BT18" s="28">
        <f t="shared" si="11"/>
        <v>0</v>
      </c>
      <c r="BU18" s="28">
        <f t="shared" si="11"/>
        <v>0</v>
      </c>
      <c r="BV18" s="28">
        <f t="shared" si="11"/>
        <v>0</v>
      </c>
      <c r="BW18" s="28">
        <f t="shared" si="11"/>
        <v>0</v>
      </c>
      <c r="BX18" s="28">
        <f t="shared" si="11"/>
        <v>0</v>
      </c>
      <c r="BY18" s="28">
        <f t="shared" si="11"/>
        <v>0</v>
      </c>
      <c r="BZ18" s="28">
        <f t="shared" si="11"/>
        <v>0</v>
      </c>
      <c r="CA18" s="28">
        <f t="shared" si="11"/>
        <v>0</v>
      </c>
      <c r="CB18" s="28">
        <f t="shared" si="11"/>
        <v>0</v>
      </c>
      <c r="CC18" s="28">
        <f t="shared" si="11"/>
        <v>0</v>
      </c>
      <c r="CD18" s="28" t="e">
        <f t="shared" si="11"/>
        <v>#DIV/0!</v>
      </c>
      <c r="CE18" s="28">
        <f t="shared" si="11"/>
        <v>0</v>
      </c>
      <c r="CF18" s="28">
        <f t="shared" si="11"/>
        <v>0</v>
      </c>
      <c r="CG18" s="28">
        <f t="shared" si="11"/>
        <v>0</v>
      </c>
      <c r="CH18" s="28">
        <f t="shared" si="11"/>
        <v>0</v>
      </c>
      <c r="CI18" s="28">
        <f t="shared" si="11"/>
        <v>0</v>
      </c>
      <c r="CJ18" s="28">
        <f t="shared" si="11"/>
        <v>0</v>
      </c>
      <c r="CK18" s="28" t="e">
        <f t="shared" si="11"/>
        <v>#DIV/0!</v>
      </c>
    </row>
    <row r="19" spans="1:90" s="26" customFormat="1" x14ac:dyDescent="0.25">
      <c r="A19" s="17" t="s">
        <v>501</v>
      </c>
      <c r="E19" s="26">
        <f>现金流量表!E48</f>
        <v>3676127.1</v>
      </c>
      <c r="F19" s="26">
        <f>现金流量表!F48</f>
        <v>0</v>
      </c>
      <c r="G19" s="26">
        <f>现金流量表!G48</f>
        <v>2648674.7200000002</v>
      </c>
      <c r="H19" s="26">
        <f>现金流量表!H48</f>
        <v>0</v>
      </c>
      <c r="I19" s="26">
        <f>现金流量表!I48</f>
        <v>2861101.65</v>
      </c>
      <c r="J19" s="26">
        <f>现金流量表!J48</f>
        <v>0</v>
      </c>
      <c r="K19" s="26">
        <f>现金流量表!K48</f>
        <v>1732316.57</v>
      </c>
      <c r="L19" s="26">
        <f>现金流量表!L48</f>
        <v>0</v>
      </c>
      <c r="M19" s="26">
        <f>现金流量表!M48</f>
        <v>2284690.9700000002</v>
      </c>
      <c r="N19" s="26">
        <f>现金流量表!N48</f>
        <v>0</v>
      </c>
      <c r="O19" s="26">
        <f>现金流量表!O48</f>
        <v>1660639.19</v>
      </c>
      <c r="P19" s="26">
        <f>现金流量表!P48</f>
        <v>1472137.7</v>
      </c>
      <c r="Q19" s="26">
        <f>现金流量表!Q48</f>
        <v>0</v>
      </c>
      <c r="R19" s="26">
        <f>现金流量表!R48</f>
        <v>0</v>
      </c>
      <c r="S19" s="26">
        <f>现金流量表!S48</f>
        <v>0</v>
      </c>
      <c r="T19" s="26">
        <f>现金流量表!T48</f>
        <v>0</v>
      </c>
      <c r="U19" s="26">
        <f>现金流量表!U48</f>
        <v>0</v>
      </c>
      <c r="V19" s="26">
        <f>现金流量表!V48</f>
        <v>0</v>
      </c>
      <c r="W19" s="26">
        <f>现金流量表!W48</f>
        <v>0</v>
      </c>
      <c r="X19" s="26">
        <f>现金流量表!X48</f>
        <v>0</v>
      </c>
      <c r="Y19" s="26">
        <f>现金流量表!Y48</f>
        <v>0</v>
      </c>
      <c r="Z19" s="26">
        <f>现金流量表!Z48</f>
        <v>0</v>
      </c>
      <c r="AA19" s="26">
        <f>现金流量表!AA48</f>
        <v>0</v>
      </c>
      <c r="AB19" s="26">
        <f>现金流量表!AB48</f>
        <v>0</v>
      </c>
      <c r="AC19" s="26">
        <f>现金流量表!AC48</f>
        <v>0</v>
      </c>
      <c r="AD19" s="26">
        <f>现金流量表!AD48</f>
        <v>0</v>
      </c>
      <c r="AE19" s="26">
        <f>现金流量表!AE48</f>
        <v>0</v>
      </c>
      <c r="AF19" s="26">
        <f>现金流量表!AF48</f>
        <v>0</v>
      </c>
      <c r="AG19" s="26">
        <f>现金流量表!AG48</f>
        <v>0</v>
      </c>
      <c r="AH19" s="26">
        <f>现金流量表!AH48</f>
        <v>0</v>
      </c>
      <c r="AI19" s="26">
        <f>现金流量表!AI48</f>
        <v>0</v>
      </c>
      <c r="AJ19" s="26">
        <f>现金流量表!AJ48</f>
        <v>0</v>
      </c>
      <c r="AK19" s="26">
        <f>现金流量表!AK48</f>
        <v>0</v>
      </c>
      <c r="AL19" s="26">
        <f>现金流量表!AL48</f>
        <v>0</v>
      </c>
      <c r="AM19" s="26">
        <f>现金流量表!AM48</f>
        <v>0</v>
      </c>
      <c r="AN19" s="26">
        <f>现金流量表!AN48</f>
        <v>0</v>
      </c>
      <c r="AO19" s="26">
        <f>现金流量表!AO48</f>
        <v>0</v>
      </c>
      <c r="AP19" s="26">
        <f>现金流量表!AP48</f>
        <v>0</v>
      </c>
      <c r="AQ19" s="26">
        <f>现金流量表!AQ48</f>
        <v>0</v>
      </c>
      <c r="AR19" s="26">
        <f>现金流量表!AR48</f>
        <v>0</v>
      </c>
      <c r="AS19" s="26">
        <f>现金流量表!AS48</f>
        <v>0</v>
      </c>
      <c r="AT19" s="26">
        <f>现金流量表!AT48</f>
        <v>0</v>
      </c>
      <c r="AU19" s="26">
        <f>现金流量表!AU48</f>
        <v>0</v>
      </c>
      <c r="AV19" s="26">
        <f>现金流量表!AV48</f>
        <v>0</v>
      </c>
      <c r="AW19" s="26">
        <f>现金流量表!AW48</f>
        <v>0</v>
      </c>
      <c r="AX19" s="26">
        <f>现金流量表!AX48</f>
        <v>0</v>
      </c>
      <c r="AY19" s="26">
        <f>现金流量表!AY48</f>
        <v>0</v>
      </c>
      <c r="AZ19" s="26">
        <f>现金流量表!AZ48</f>
        <v>0</v>
      </c>
      <c r="BA19" s="26">
        <f>现金流量表!BA48</f>
        <v>0</v>
      </c>
      <c r="BB19" s="26">
        <f>现金流量表!BB48</f>
        <v>0</v>
      </c>
      <c r="BC19" s="26">
        <f>现金流量表!BC48</f>
        <v>0</v>
      </c>
      <c r="BD19" s="26">
        <f>现金流量表!BD48</f>
        <v>0</v>
      </c>
      <c r="BE19" s="26">
        <f>现金流量表!BE48</f>
        <v>0</v>
      </c>
      <c r="BF19" s="26">
        <f>现金流量表!BF48</f>
        <v>0</v>
      </c>
      <c r="BG19" s="26">
        <f>现金流量表!BG48</f>
        <v>0</v>
      </c>
      <c r="BH19" s="26">
        <f>现金流量表!BH48</f>
        <v>0</v>
      </c>
      <c r="BI19" s="26">
        <f>现金流量表!BI48</f>
        <v>0</v>
      </c>
      <c r="BJ19" s="26">
        <f>现金流量表!BJ48</f>
        <v>0</v>
      </c>
      <c r="BK19" s="26">
        <f>现金流量表!BK48</f>
        <v>0</v>
      </c>
      <c r="BL19" s="26">
        <f>现金流量表!BL48</f>
        <v>0</v>
      </c>
      <c r="BM19" s="26">
        <f>现金流量表!BM48</f>
        <v>0</v>
      </c>
      <c r="BN19" s="26">
        <f>现金流量表!BN48</f>
        <v>0</v>
      </c>
      <c r="BO19" s="26">
        <f>现金流量表!BO48</f>
        <v>0</v>
      </c>
      <c r="BP19" s="26">
        <f>现金流量表!BP48</f>
        <v>0</v>
      </c>
      <c r="BQ19" s="26">
        <f>现金流量表!BQ48</f>
        <v>0</v>
      </c>
      <c r="BR19" s="26">
        <f>现金流量表!BR48</f>
        <v>0</v>
      </c>
      <c r="BS19" s="26">
        <f>现金流量表!BS48</f>
        <v>0</v>
      </c>
      <c r="BT19" s="26">
        <f>现金流量表!BT48</f>
        <v>0</v>
      </c>
      <c r="BU19" s="26">
        <f>现金流量表!BU48</f>
        <v>0</v>
      </c>
      <c r="BV19" s="26">
        <f>现金流量表!BV48</f>
        <v>0</v>
      </c>
      <c r="BW19" s="26">
        <f>现金流量表!BW48</f>
        <v>0</v>
      </c>
      <c r="BX19" s="26">
        <f>现金流量表!BX48</f>
        <v>0</v>
      </c>
      <c r="BY19" s="26">
        <f>现金流量表!BY48</f>
        <v>0</v>
      </c>
      <c r="BZ19" s="26">
        <f>现金流量表!BZ48</f>
        <v>0</v>
      </c>
      <c r="CA19" s="26">
        <f>现金流量表!CA48</f>
        <v>0</v>
      </c>
      <c r="CB19" s="26">
        <f>现金流量表!CB48</f>
        <v>0</v>
      </c>
      <c r="CC19" s="26">
        <f>现金流量表!CC48</f>
        <v>0</v>
      </c>
      <c r="CD19" s="26">
        <f>现金流量表!CD48</f>
        <v>0</v>
      </c>
      <c r="CE19" s="26">
        <f>现金流量表!CE48</f>
        <v>0</v>
      </c>
      <c r="CF19" s="26">
        <f>现金流量表!CF48</f>
        <v>0</v>
      </c>
      <c r="CG19" s="26">
        <f>现金流量表!CG48</f>
        <v>0</v>
      </c>
      <c r="CH19" s="26">
        <f>现金流量表!CH48</f>
        <v>0</v>
      </c>
      <c r="CI19" s="26">
        <f>现金流量表!CI48</f>
        <v>0</v>
      </c>
      <c r="CJ19" s="26">
        <f>现金流量表!CJ48</f>
        <v>0</v>
      </c>
      <c r="CK19" s="26">
        <f>现金流量表!CK48</f>
        <v>0</v>
      </c>
    </row>
    <row r="20" spans="1:90" s="26" customFormat="1" x14ac:dyDescent="0.25">
      <c r="A20" s="17" t="s">
        <v>502</v>
      </c>
      <c r="E20" s="26">
        <f>现金流量表!E49</f>
        <v>26809345.239999998</v>
      </c>
      <c r="F20" s="26">
        <f>现金流量表!F49</f>
        <v>0</v>
      </c>
      <c r="G20" s="26">
        <f>现金流量表!G49</f>
        <v>12871866.01</v>
      </c>
      <c r="H20" s="26">
        <f>现金流量表!H49</f>
        <v>0</v>
      </c>
      <c r="I20" s="26">
        <f>现金流量表!I49</f>
        <v>23950808.620000001</v>
      </c>
      <c r="J20" s="26">
        <f>现金流量表!J49</f>
        <v>0</v>
      </c>
      <c r="K20" s="26">
        <f>现金流量表!K49</f>
        <v>11482492.609999999</v>
      </c>
      <c r="L20" s="26">
        <f>现金流量表!L49</f>
        <v>0</v>
      </c>
      <c r="M20" s="26">
        <f>现金流量表!M49</f>
        <v>22725146.620000001</v>
      </c>
      <c r="N20" s="26">
        <f>现金流量表!N49</f>
        <v>0</v>
      </c>
      <c r="O20" s="26">
        <f>现金流量表!O49</f>
        <v>19959625.489999998</v>
      </c>
      <c r="P20" s="26">
        <f>现金流量表!P49</f>
        <v>18635575.57</v>
      </c>
      <c r="Q20" s="26">
        <f>现金流量表!Q49</f>
        <v>0</v>
      </c>
      <c r="R20" s="26">
        <f>现金流量表!R49</f>
        <v>0</v>
      </c>
      <c r="S20" s="26">
        <f>现金流量表!S49</f>
        <v>0</v>
      </c>
      <c r="T20" s="26">
        <f>现金流量表!T49</f>
        <v>0</v>
      </c>
      <c r="U20" s="26">
        <f>现金流量表!U49</f>
        <v>0</v>
      </c>
      <c r="V20" s="26">
        <f>现金流量表!V49</f>
        <v>0</v>
      </c>
      <c r="W20" s="26">
        <f>现金流量表!W49</f>
        <v>0</v>
      </c>
      <c r="X20" s="26">
        <f>现金流量表!X49</f>
        <v>0</v>
      </c>
      <c r="Y20" s="26">
        <f>现金流量表!Y49</f>
        <v>0</v>
      </c>
      <c r="Z20" s="26">
        <f>现金流量表!Z49</f>
        <v>0</v>
      </c>
      <c r="AA20" s="26">
        <f>现金流量表!AA49</f>
        <v>0</v>
      </c>
      <c r="AB20" s="26">
        <f>现金流量表!AB49</f>
        <v>0</v>
      </c>
      <c r="AC20" s="26">
        <f>现金流量表!AC49</f>
        <v>0</v>
      </c>
      <c r="AD20" s="26">
        <f>现金流量表!AD49</f>
        <v>0</v>
      </c>
      <c r="AE20" s="26">
        <f>现金流量表!AE49</f>
        <v>0</v>
      </c>
      <c r="AF20" s="26">
        <f>现金流量表!AF49</f>
        <v>0</v>
      </c>
      <c r="AG20" s="26">
        <f>现金流量表!AG49</f>
        <v>0</v>
      </c>
      <c r="AH20" s="26">
        <f>现金流量表!AH49</f>
        <v>0</v>
      </c>
      <c r="AI20" s="26">
        <f>现金流量表!AI49</f>
        <v>0</v>
      </c>
      <c r="AJ20" s="26">
        <f>现金流量表!AJ49</f>
        <v>0</v>
      </c>
      <c r="AK20" s="26">
        <f>现金流量表!AK49</f>
        <v>0</v>
      </c>
      <c r="AL20" s="26">
        <f>现金流量表!AL49</f>
        <v>0</v>
      </c>
      <c r="AM20" s="26">
        <f>现金流量表!AM49</f>
        <v>0</v>
      </c>
      <c r="AN20" s="26">
        <f>现金流量表!AN49</f>
        <v>0</v>
      </c>
      <c r="AO20" s="26">
        <f>现金流量表!AO49</f>
        <v>0</v>
      </c>
      <c r="AP20" s="26">
        <f>现金流量表!AP49</f>
        <v>0</v>
      </c>
      <c r="AQ20" s="26">
        <f>现金流量表!AQ49</f>
        <v>0</v>
      </c>
      <c r="AR20" s="26">
        <f>现金流量表!AR49</f>
        <v>0</v>
      </c>
      <c r="AS20" s="26">
        <f>现金流量表!AS49</f>
        <v>0</v>
      </c>
      <c r="AT20" s="26">
        <f>现金流量表!AT49</f>
        <v>0</v>
      </c>
      <c r="AU20" s="26">
        <f>现金流量表!AU49</f>
        <v>0</v>
      </c>
      <c r="AV20" s="26">
        <f>现金流量表!AV49</f>
        <v>0</v>
      </c>
      <c r="AW20" s="26">
        <f>现金流量表!AW49</f>
        <v>0</v>
      </c>
      <c r="AX20" s="26">
        <f>现金流量表!AX49</f>
        <v>0</v>
      </c>
      <c r="AY20" s="26">
        <f>现金流量表!AY49</f>
        <v>0</v>
      </c>
      <c r="AZ20" s="26">
        <f>现金流量表!AZ49</f>
        <v>0</v>
      </c>
      <c r="BA20" s="26">
        <f>现金流量表!BA49</f>
        <v>0</v>
      </c>
      <c r="BB20" s="26">
        <f>现金流量表!BB49</f>
        <v>0</v>
      </c>
      <c r="BC20" s="26">
        <f>现金流量表!BC49</f>
        <v>0</v>
      </c>
      <c r="BD20" s="26">
        <f>现金流量表!BD49</f>
        <v>0</v>
      </c>
      <c r="BE20" s="26">
        <f>现金流量表!BE49</f>
        <v>0</v>
      </c>
      <c r="BF20" s="26">
        <f>现金流量表!BF49</f>
        <v>0</v>
      </c>
      <c r="BG20" s="26">
        <f>现金流量表!BG49</f>
        <v>0</v>
      </c>
      <c r="BH20" s="26">
        <f>现金流量表!BH49</f>
        <v>0</v>
      </c>
      <c r="BI20" s="26">
        <f>现金流量表!BI49</f>
        <v>0</v>
      </c>
      <c r="BJ20" s="26">
        <f>现金流量表!BJ49</f>
        <v>0</v>
      </c>
      <c r="BK20" s="26">
        <f>现金流量表!BK49</f>
        <v>0</v>
      </c>
      <c r="BL20" s="26">
        <f>现金流量表!BL49</f>
        <v>0</v>
      </c>
      <c r="BM20" s="26">
        <f>现金流量表!BM49</f>
        <v>0</v>
      </c>
      <c r="BN20" s="26">
        <f>现金流量表!BN49</f>
        <v>0</v>
      </c>
      <c r="BO20" s="26">
        <f>现金流量表!BO49</f>
        <v>0</v>
      </c>
      <c r="BP20" s="26">
        <f>现金流量表!BP49</f>
        <v>0</v>
      </c>
      <c r="BQ20" s="26">
        <f>现金流量表!BQ49</f>
        <v>0</v>
      </c>
      <c r="BR20" s="26">
        <f>现金流量表!BR49</f>
        <v>0</v>
      </c>
      <c r="BS20" s="26">
        <f>现金流量表!BS49</f>
        <v>0</v>
      </c>
      <c r="BT20" s="26">
        <f>现金流量表!BT49</f>
        <v>0</v>
      </c>
      <c r="BU20" s="26">
        <f>现金流量表!BU49</f>
        <v>0</v>
      </c>
      <c r="BV20" s="26">
        <f>现金流量表!BV49</f>
        <v>0</v>
      </c>
      <c r="BW20" s="26">
        <f>现金流量表!BW49</f>
        <v>0</v>
      </c>
      <c r="BX20" s="26">
        <f>现金流量表!BX49</f>
        <v>0</v>
      </c>
      <c r="BY20" s="26">
        <f>现金流量表!BY49</f>
        <v>0</v>
      </c>
      <c r="BZ20" s="26">
        <f>现金流量表!BZ49</f>
        <v>0</v>
      </c>
      <c r="CA20" s="26">
        <f>现金流量表!CA49</f>
        <v>0</v>
      </c>
      <c r="CB20" s="26">
        <f>现金流量表!CB49</f>
        <v>0</v>
      </c>
      <c r="CC20" s="26">
        <f>现金流量表!CC49</f>
        <v>0</v>
      </c>
      <c r="CD20" s="26">
        <f>现金流量表!CD49</f>
        <v>0</v>
      </c>
      <c r="CE20" s="26">
        <f>现金流量表!CE49</f>
        <v>0</v>
      </c>
      <c r="CF20" s="26">
        <f>现金流量表!CF49</f>
        <v>0</v>
      </c>
      <c r="CG20" s="26">
        <f>现金流量表!CG49</f>
        <v>0</v>
      </c>
      <c r="CH20" s="26">
        <f>现金流量表!CH49</f>
        <v>0</v>
      </c>
      <c r="CI20" s="26">
        <f>现金流量表!CI49</f>
        <v>0</v>
      </c>
      <c r="CJ20" s="26">
        <f>现金流量表!CJ49</f>
        <v>0</v>
      </c>
      <c r="CK20" s="26">
        <f>现金流量表!CK49</f>
        <v>0</v>
      </c>
      <c r="CL20" s="26">
        <f>现金流量表!CL49</f>
        <v>0</v>
      </c>
    </row>
    <row r="21" spans="1:90" s="26" customFormat="1" x14ac:dyDescent="0.25">
      <c r="A21" s="17" t="s">
        <v>503</v>
      </c>
      <c r="E21" s="26">
        <f>现金流量表!E50</f>
        <v>3381039.48</v>
      </c>
      <c r="F21" s="26">
        <f>现金流量表!F50</f>
        <v>0</v>
      </c>
      <c r="G21" s="26">
        <f>现金流量表!G50</f>
        <v>1613504.83</v>
      </c>
      <c r="H21" s="26">
        <f>现金流量表!H50</f>
        <v>0</v>
      </c>
      <c r="I21" s="26">
        <f>现金流量表!I50</f>
        <v>3232061.94</v>
      </c>
      <c r="J21" s="26">
        <f>现金流量表!J50</f>
        <v>0</v>
      </c>
      <c r="K21" s="26">
        <f>现金流量表!K50</f>
        <v>1592210.19</v>
      </c>
      <c r="L21" s="26">
        <f>现金流量表!L50</f>
        <v>0</v>
      </c>
      <c r="M21" s="26">
        <f>现金流量表!M50</f>
        <v>3041889.61</v>
      </c>
      <c r="N21" s="26">
        <f>现金流量表!N50</f>
        <v>0</v>
      </c>
      <c r="O21" s="26">
        <f>现金流量表!O50</f>
        <v>2568358.56</v>
      </c>
      <c r="P21" s="26">
        <f>现金流量表!P50</f>
        <v>2197792.02</v>
      </c>
      <c r="Q21" s="26">
        <f>现金流量表!Q50</f>
        <v>0</v>
      </c>
      <c r="R21" s="26">
        <f>现金流量表!R50</f>
        <v>0</v>
      </c>
      <c r="S21" s="26">
        <f>现金流量表!S50</f>
        <v>0</v>
      </c>
      <c r="T21" s="26">
        <f>现金流量表!T50</f>
        <v>0</v>
      </c>
      <c r="U21" s="26">
        <f>现金流量表!U50</f>
        <v>0</v>
      </c>
      <c r="V21" s="26">
        <f>现金流量表!V50</f>
        <v>0</v>
      </c>
      <c r="W21" s="26">
        <f>现金流量表!W50</f>
        <v>0</v>
      </c>
      <c r="X21" s="26">
        <f>现金流量表!X50</f>
        <v>0</v>
      </c>
      <c r="Y21" s="26">
        <f>现金流量表!Y50</f>
        <v>0</v>
      </c>
      <c r="Z21" s="26">
        <f>现金流量表!Z50</f>
        <v>0</v>
      </c>
      <c r="AA21" s="26">
        <f>现金流量表!AA50</f>
        <v>0</v>
      </c>
      <c r="AB21" s="26">
        <f>现金流量表!AB50</f>
        <v>0</v>
      </c>
      <c r="AC21" s="26">
        <f>现金流量表!AC50</f>
        <v>0</v>
      </c>
      <c r="AD21" s="26">
        <f>现金流量表!AD50</f>
        <v>0</v>
      </c>
      <c r="AE21" s="26">
        <f>现金流量表!AE50</f>
        <v>0</v>
      </c>
      <c r="AF21" s="26">
        <f>现金流量表!AF50</f>
        <v>0</v>
      </c>
      <c r="AG21" s="26">
        <f>现金流量表!AG50</f>
        <v>0</v>
      </c>
      <c r="AH21" s="26">
        <f>现金流量表!AH50</f>
        <v>0</v>
      </c>
      <c r="AI21" s="26">
        <f>现金流量表!AI50</f>
        <v>0</v>
      </c>
      <c r="AJ21" s="26">
        <f>现金流量表!AJ50</f>
        <v>0</v>
      </c>
      <c r="AK21" s="26">
        <f>现金流量表!AK50</f>
        <v>0</v>
      </c>
      <c r="AL21" s="26">
        <f>现金流量表!AL50</f>
        <v>0</v>
      </c>
      <c r="AM21" s="26">
        <f>现金流量表!AM50</f>
        <v>0</v>
      </c>
      <c r="AN21" s="26">
        <f>现金流量表!AN50</f>
        <v>0</v>
      </c>
      <c r="AO21" s="26">
        <f>现金流量表!AO50</f>
        <v>0</v>
      </c>
      <c r="AP21" s="26">
        <f>现金流量表!AP50</f>
        <v>0</v>
      </c>
      <c r="AQ21" s="26">
        <f>现金流量表!AQ50</f>
        <v>0</v>
      </c>
      <c r="AR21" s="26">
        <f>现金流量表!AR50</f>
        <v>0</v>
      </c>
      <c r="AS21" s="26">
        <f>现金流量表!AS50</f>
        <v>0</v>
      </c>
      <c r="AT21" s="26">
        <f>现金流量表!AT50</f>
        <v>0</v>
      </c>
      <c r="AU21" s="26">
        <f>现金流量表!AU50</f>
        <v>0</v>
      </c>
      <c r="AV21" s="26">
        <f>现金流量表!AV50</f>
        <v>0</v>
      </c>
      <c r="AW21" s="26">
        <f>现金流量表!AW50</f>
        <v>0</v>
      </c>
      <c r="AX21" s="26">
        <f>现金流量表!AX50</f>
        <v>0</v>
      </c>
      <c r="AY21" s="26">
        <f>现金流量表!AY50</f>
        <v>0</v>
      </c>
      <c r="AZ21" s="26">
        <f>现金流量表!AZ50</f>
        <v>0</v>
      </c>
      <c r="BA21" s="26">
        <f>现金流量表!BA50</f>
        <v>0</v>
      </c>
      <c r="BB21" s="26">
        <f>现金流量表!BB50</f>
        <v>0</v>
      </c>
      <c r="BC21" s="26">
        <f>现金流量表!BC50</f>
        <v>0</v>
      </c>
      <c r="BD21" s="26">
        <f>现金流量表!BD50</f>
        <v>0</v>
      </c>
      <c r="BE21" s="26">
        <f>现金流量表!BE50</f>
        <v>0</v>
      </c>
      <c r="BF21" s="26">
        <f>现金流量表!BF50</f>
        <v>0</v>
      </c>
      <c r="BG21" s="26">
        <f>现金流量表!BG50</f>
        <v>0</v>
      </c>
      <c r="BH21" s="26">
        <f>现金流量表!BH50</f>
        <v>0</v>
      </c>
      <c r="BI21" s="26">
        <f>现金流量表!BI50</f>
        <v>0</v>
      </c>
      <c r="BJ21" s="26">
        <f>现金流量表!BJ50</f>
        <v>0</v>
      </c>
      <c r="BK21" s="26">
        <f>现金流量表!BK50</f>
        <v>0</v>
      </c>
      <c r="BL21" s="26">
        <f>现金流量表!BL50</f>
        <v>0</v>
      </c>
      <c r="BM21" s="26">
        <f>现金流量表!BM50</f>
        <v>0</v>
      </c>
      <c r="BN21" s="26">
        <f>现金流量表!BN50</f>
        <v>0</v>
      </c>
      <c r="BO21" s="26">
        <f>现金流量表!BO50</f>
        <v>0</v>
      </c>
      <c r="BP21" s="26">
        <f>现金流量表!BP50</f>
        <v>0</v>
      </c>
      <c r="BQ21" s="26">
        <f>现金流量表!BQ50</f>
        <v>0</v>
      </c>
      <c r="BR21" s="26">
        <f>现金流量表!BR50</f>
        <v>0</v>
      </c>
      <c r="BS21" s="26">
        <f>现金流量表!BS50</f>
        <v>0</v>
      </c>
      <c r="BT21" s="26">
        <f>现金流量表!BT50</f>
        <v>0</v>
      </c>
      <c r="BU21" s="26">
        <f>现金流量表!BU50</f>
        <v>0</v>
      </c>
      <c r="BV21" s="26">
        <f>现金流量表!BV50</f>
        <v>0</v>
      </c>
      <c r="BW21" s="26">
        <f>现金流量表!BW50</f>
        <v>0</v>
      </c>
      <c r="BX21" s="26">
        <f>现金流量表!BX50</f>
        <v>0</v>
      </c>
      <c r="BY21" s="26">
        <f>现金流量表!BY50</f>
        <v>0</v>
      </c>
      <c r="BZ21" s="26">
        <f>现金流量表!BZ50</f>
        <v>0</v>
      </c>
      <c r="CA21" s="26">
        <f>现金流量表!CA50</f>
        <v>0</v>
      </c>
      <c r="CB21" s="26">
        <f>现金流量表!CB50</f>
        <v>0</v>
      </c>
      <c r="CC21" s="26">
        <f>现金流量表!CC50</f>
        <v>0</v>
      </c>
      <c r="CD21" s="26">
        <f>现金流量表!CD50</f>
        <v>0</v>
      </c>
      <c r="CE21" s="26">
        <f>现金流量表!CE50</f>
        <v>0</v>
      </c>
      <c r="CF21" s="26">
        <f>现金流量表!CF50</f>
        <v>0</v>
      </c>
      <c r="CG21" s="26">
        <f>现金流量表!CG50</f>
        <v>0</v>
      </c>
      <c r="CH21" s="26">
        <f>现金流量表!CH50</f>
        <v>0</v>
      </c>
      <c r="CI21" s="26">
        <f>现金流量表!CI50</f>
        <v>0</v>
      </c>
      <c r="CJ21" s="26">
        <f>现金流量表!CJ50</f>
        <v>0</v>
      </c>
      <c r="CK21" s="26">
        <f>现金流量表!CK50</f>
        <v>0</v>
      </c>
      <c r="CL21" s="26">
        <f>现金流量表!CL50</f>
        <v>0</v>
      </c>
    </row>
    <row r="22" spans="1:90" s="26" customFormat="1" x14ac:dyDescent="0.25">
      <c r="A22" s="17" t="s">
        <v>504</v>
      </c>
      <c r="E22" s="26">
        <f>现金流量表!E51</f>
        <v>5093971.0599999996</v>
      </c>
      <c r="F22" s="26">
        <f>现金流量表!F51</f>
        <v>0</v>
      </c>
      <c r="G22" s="26">
        <f>现金流量表!G51</f>
        <v>2722045.52</v>
      </c>
      <c r="H22" s="26">
        <f>现金流量表!H51</f>
        <v>0</v>
      </c>
      <c r="I22" s="26">
        <f>现金流量表!I51</f>
        <v>4709691.8600000003</v>
      </c>
      <c r="J22" s="26">
        <f>现金流量表!J51</f>
        <v>0</v>
      </c>
      <c r="K22" s="26">
        <f>现金流量表!K51</f>
        <v>2343474.65</v>
      </c>
      <c r="L22" s="26">
        <f>现金流量表!L51</f>
        <v>0</v>
      </c>
      <c r="M22" s="26">
        <f>现金流量表!M51</f>
        <v>4194991.1500000004</v>
      </c>
      <c r="N22" s="26">
        <f>现金流量表!N51</f>
        <v>0</v>
      </c>
      <c r="O22" s="26">
        <f>现金流量表!O51</f>
        <v>3655631.76</v>
      </c>
      <c r="P22" s="26">
        <f>现金流量表!P51</f>
        <v>3868753.34</v>
      </c>
      <c r="Q22" s="26">
        <f>现金流量表!Q51</f>
        <v>0</v>
      </c>
      <c r="R22" s="26">
        <f>现金流量表!R51</f>
        <v>0</v>
      </c>
      <c r="S22" s="26">
        <f>现金流量表!S51</f>
        <v>0</v>
      </c>
      <c r="T22" s="26">
        <f>现金流量表!T51</f>
        <v>0</v>
      </c>
      <c r="U22" s="26">
        <f>现金流量表!U51</f>
        <v>0</v>
      </c>
      <c r="V22" s="26">
        <f>现金流量表!V51</f>
        <v>0</v>
      </c>
      <c r="W22" s="26">
        <f>现金流量表!W51</f>
        <v>0</v>
      </c>
      <c r="X22" s="26">
        <f>现金流量表!X51</f>
        <v>0</v>
      </c>
      <c r="Y22" s="26">
        <f>现金流量表!Y51</f>
        <v>0</v>
      </c>
      <c r="Z22" s="26">
        <f>现金流量表!Z51</f>
        <v>0</v>
      </c>
      <c r="AA22" s="26">
        <f>现金流量表!AA51</f>
        <v>0</v>
      </c>
      <c r="AB22" s="26">
        <f>现金流量表!AB51</f>
        <v>0</v>
      </c>
      <c r="AC22" s="26">
        <f>现金流量表!AC51</f>
        <v>0</v>
      </c>
      <c r="AD22" s="26">
        <f>现金流量表!AD51</f>
        <v>0</v>
      </c>
      <c r="AE22" s="26">
        <f>现金流量表!AE51</f>
        <v>0</v>
      </c>
      <c r="AF22" s="26">
        <f>现金流量表!AF51</f>
        <v>0</v>
      </c>
      <c r="AG22" s="26">
        <f>现金流量表!AG51</f>
        <v>0</v>
      </c>
      <c r="AH22" s="26">
        <f>现金流量表!AH51</f>
        <v>0</v>
      </c>
      <c r="AI22" s="26">
        <f>现金流量表!AI51</f>
        <v>0</v>
      </c>
      <c r="AJ22" s="26">
        <f>现金流量表!AJ51</f>
        <v>0</v>
      </c>
      <c r="AK22" s="26">
        <f>现金流量表!AK51</f>
        <v>0</v>
      </c>
      <c r="AL22" s="26">
        <f>现金流量表!AL51</f>
        <v>0</v>
      </c>
      <c r="AM22" s="26">
        <f>现金流量表!AM51</f>
        <v>0</v>
      </c>
      <c r="AN22" s="26">
        <f>现金流量表!AN51</f>
        <v>0</v>
      </c>
      <c r="AO22" s="26">
        <f>现金流量表!AO51</f>
        <v>0</v>
      </c>
      <c r="AP22" s="26">
        <f>现金流量表!AP51</f>
        <v>0</v>
      </c>
      <c r="AQ22" s="26">
        <f>现金流量表!AQ51</f>
        <v>0</v>
      </c>
      <c r="AR22" s="26">
        <f>现金流量表!AR51</f>
        <v>0</v>
      </c>
      <c r="AS22" s="26">
        <f>现金流量表!AS51</f>
        <v>0</v>
      </c>
      <c r="AT22" s="26">
        <f>现金流量表!AT51</f>
        <v>0</v>
      </c>
      <c r="AU22" s="26">
        <f>现金流量表!AU51</f>
        <v>0</v>
      </c>
      <c r="AV22" s="26">
        <f>现金流量表!AV51</f>
        <v>0</v>
      </c>
      <c r="AW22" s="26">
        <f>现金流量表!AW51</f>
        <v>0</v>
      </c>
      <c r="AX22" s="26">
        <f>现金流量表!AX51</f>
        <v>0</v>
      </c>
      <c r="AY22" s="26">
        <f>现金流量表!AY51</f>
        <v>0</v>
      </c>
      <c r="AZ22" s="26">
        <f>现金流量表!AZ51</f>
        <v>0</v>
      </c>
      <c r="BA22" s="26">
        <f>现金流量表!BA51</f>
        <v>0</v>
      </c>
      <c r="BB22" s="26">
        <f>现金流量表!BB51</f>
        <v>0</v>
      </c>
      <c r="BC22" s="26">
        <f>现金流量表!BC51</f>
        <v>0</v>
      </c>
      <c r="BD22" s="26">
        <f>现金流量表!BD51</f>
        <v>0</v>
      </c>
      <c r="BE22" s="26">
        <f>现金流量表!BE51</f>
        <v>0</v>
      </c>
      <c r="BF22" s="26">
        <f>现金流量表!BF51</f>
        <v>0</v>
      </c>
      <c r="BG22" s="26">
        <f>现金流量表!BG51</f>
        <v>0</v>
      </c>
      <c r="BH22" s="26">
        <f>现金流量表!BH51</f>
        <v>0</v>
      </c>
      <c r="BI22" s="26">
        <f>现金流量表!BI51</f>
        <v>0</v>
      </c>
      <c r="BJ22" s="26">
        <f>现金流量表!BJ51</f>
        <v>0</v>
      </c>
      <c r="BK22" s="26">
        <f>现金流量表!BK51</f>
        <v>0</v>
      </c>
      <c r="BL22" s="26">
        <f>现金流量表!BL51</f>
        <v>0</v>
      </c>
      <c r="BM22" s="26">
        <f>现金流量表!BM51</f>
        <v>0</v>
      </c>
      <c r="BN22" s="26">
        <f>现金流量表!BN51</f>
        <v>0</v>
      </c>
      <c r="BO22" s="26">
        <f>现金流量表!BO51</f>
        <v>0</v>
      </c>
      <c r="BP22" s="26">
        <f>现金流量表!BP51</f>
        <v>0</v>
      </c>
      <c r="BQ22" s="26">
        <f>现金流量表!BQ51</f>
        <v>0</v>
      </c>
      <c r="BR22" s="26">
        <f>现金流量表!BR51</f>
        <v>0</v>
      </c>
      <c r="BS22" s="26">
        <f>现金流量表!BS51</f>
        <v>0</v>
      </c>
      <c r="BT22" s="26">
        <f>现金流量表!BT51</f>
        <v>0</v>
      </c>
      <c r="BU22" s="26">
        <f>现金流量表!BU51</f>
        <v>0</v>
      </c>
      <c r="BV22" s="26">
        <f>现金流量表!BV51</f>
        <v>0</v>
      </c>
      <c r="BW22" s="26">
        <f>现金流量表!BW51</f>
        <v>0</v>
      </c>
      <c r="BX22" s="26">
        <f>现金流量表!BX51</f>
        <v>0</v>
      </c>
      <c r="BY22" s="26">
        <f>现金流量表!BY51</f>
        <v>0</v>
      </c>
      <c r="BZ22" s="26">
        <f>现金流量表!BZ51</f>
        <v>0</v>
      </c>
      <c r="CA22" s="26">
        <f>现金流量表!CA51</f>
        <v>0</v>
      </c>
      <c r="CB22" s="26">
        <f>现金流量表!CB51</f>
        <v>0</v>
      </c>
      <c r="CC22" s="26">
        <f>现金流量表!CC51</f>
        <v>0</v>
      </c>
      <c r="CD22" s="26">
        <f>现金流量表!CD51</f>
        <v>0</v>
      </c>
      <c r="CE22" s="26">
        <f>现金流量表!CE51</f>
        <v>0</v>
      </c>
      <c r="CF22" s="26">
        <f>现金流量表!CF51</f>
        <v>0</v>
      </c>
      <c r="CG22" s="26">
        <f>现金流量表!CG51</f>
        <v>0</v>
      </c>
      <c r="CH22" s="26">
        <f>现金流量表!CH51</f>
        <v>0</v>
      </c>
      <c r="CI22" s="26">
        <f>现金流量表!CI51</f>
        <v>0</v>
      </c>
      <c r="CJ22" s="26">
        <f>现金流量表!CJ51</f>
        <v>0</v>
      </c>
      <c r="CK22" s="26">
        <f>现金流量表!CK51</f>
        <v>0</v>
      </c>
    </row>
    <row r="23" spans="1:90" s="26" customFormat="1" x14ac:dyDescent="0.25">
      <c r="A23" s="17" t="s">
        <v>505</v>
      </c>
      <c r="E23" s="26">
        <f>现金流量表!E54</f>
        <v>-305982.92</v>
      </c>
      <c r="F23" s="26">
        <f>现金流量表!F54</f>
        <v>0</v>
      </c>
      <c r="G23" s="26">
        <f>现金流量表!G54</f>
        <v>-239730.3</v>
      </c>
      <c r="H23" s="26">
        <f>现金流量表!H54</f>
        <v>0</v>
      </c>
      <c r="I23" s="26">
        <f>现金流量表!I54</f>
        <v>109300.88</v>
      </c>
      <c r="J23" s="26">
        <f>现金流量表!J54</f>
        <v>0</v>
      </c>
      <c r="K23" s="26">
        <f>现金流量表!K54</f>
        <v>137951.65</v>
      </c>
      <c r="L23" s="26">
        <f>现金流量表!L54</f>
        <v>0</v>
      </c>
      <c r="M23" s="26">
        <f>现金流量表!M54</f>
        <v>1045475.52</v>
      </c>
      <c r="N23" s="26">
        <f>现金流量表!N54</f>
        <v>0</v>
      </c>
      <c r="O23" s="26">
        <f>现金流量表!O54</f>
        <v>702006.33</v>
      </c>
      <c r="P23" s="26">
        <f>现金流量表!P54</f>
        <v>971546.66</v>
      </c>
      <c r="Q23" s="26">
        <f>现金流量表!Q54</f>
        <v>0</v>
      </c>
      <c r="R23" s="26">
        <f>现金流量表!R54</f>
        <v>0</v>
      </c>
      <c r="S23" s="26">
        <f>现金流量表!S54</f>
        <v>0</v>
      </c>
      <c r="T23" s="26">
        <f>现金流量表!T54</f>
        <v>0</v>
      </c>
      <c r="U23" s="26">
        <f>现金流量表!U54</f>
        <v>0</v>
      </c>
      <c r="V23" s="26">
        <f>现金流量表!V54</f>
        <v>0</v>
      </c>
      <c r="W23" s="26">
        <f>现金流量表!W54</f>
        <v>0</v>
      </c>
      <c r="X23" s="26">
        <f>现金流量表!X54</f>
        <v>0</v>
      </c>
      <c r="Y23" s="26">
        <f>现金流量表!Y54</f>
        <v>0</v>
      </c>
      <c r="Z23" s="26">
        <f>现金流量表!Z54</f>
        <v>0</v>
      </c>
      <c r="AA23" s="26">
        <f>现金流量表!AA54</f>
        <v>0</v>
      </c>
      <c r="AB23" s="26">
        <f>现金流量表!AB54</f>
        <v>0</v>
      </c>
      <c r="AC23" s="26">
        <f>现金流量表!AC54</f>
        <v>0</v>
      </c>
      <c r="AD23" s="26">
        <f>现金流量表!AD54</f>
        <v>0</v>
      </c>
      <c r="AE23" s="26">
        <f>现金流量表!AE54</f>
        <v>0</v>
      </c>
      <c r="AF23" s="26">
        <f>现金流量表!AF54</f>
        <v>0</v>
      </c>
      <c r="AG23" s="26">
        <f>现金流量表!AG54</f>
        <v>0</v>
      </c>
      <c r="AH23" s="26">
        <f>现金流量表!AH54</f>
        <v>0</v>
      </c>
      <c r="AI23" s="26">
        <f>现金流量表!AI54</f>
        <v>0</v>
      </c>
      <c r="AJ23" s="26">
        <f>现金流量表!AJ54</f>
        <v>0</v>
      </c>
      <c r="AK23" s="26">
        <f>现金流量表!AK54</f>
        <v>0</v>
      </c>
      <c r="AL23" s="26">
        <f>现金流量表!AL54</f>
        <v>0</v>
      </c>
      <c r="AM23" s="26">
        <f>现金流量表!AM54</f>
        <v>0</v>
      </c>
      <c r="AN23" s="26">
        <f>现金流量表!AN54</f>
        <v>0</v>
      </c>
      <c r="AO23" s="26">
        <f>现金流量表!AO54</f>
        <v>0</v>
      </c>
      <c r="AP23" s="26">
        <f>现金流量表!AP54</f>
        <v>0</v>
      </c>
      <c r="AQ23" s="26">
        <f>现金流量表!AQ54</f>
        <v>0</v>
      </c>
      <c r="AR23" s="26">
        <f>现金流量表!AR54</f>
        <v>0</v>
      </c>
      <c r="AS23" s="26">
        <f>现金流量表!AS54</f>
        <v>0</v>
      </c>
      <c r="AT23" s="26">
        <f>现金流量表!AT54</f>
        <v>0</v>
      </c>
      <c r="AU23" s="26">
        <f>现金流量表!AU54</f>
        <v>0</v>
      </c>
      <c r="AV23" s="26">
        <f>现金流量表!AV54</f>
        <v>0</v>
      </c>
      <c r="AW23" s="26">
        <f>现金流量表!AW54</f>
        <v>0</v>
      </c>
      <c r="AX23" s="26">
        <f>现金流量表!AX54</f>
        <v>0</v>
      </c>
      <c r="AY23" s="26">
        <f>现金流量表!AY54</f>
        <v>0</v>
      </c>
      <c r="AZ23" s="26">
        <f>现金流量表!AZ54</f>
        <v>0</v>
      </c>
      <c r="BA23" s="26">
        <f>现金流量表!BA54</f>
        <v>0</v>
      </c>
      <c r="BB23" s="26">
        <f>现金流量表!BB54</f>
        <v>0</v>
      </c>
      <c r="BC23" s="26">
        <f>现金流量表!BC54</f>
        <v>0</v>
      </c>
      <c r="BD23" s="26">
        <f>现金流量表!BD54</f>
        <v>0</v>
      </c>
      <c r="BE23" s="26">
        <f>现金流量表!BE54</f>
        <v>0</v>
      </c>
      <c r="BF23" s="26">
        <f>现金流量表!BF54</f>
        <v>0</v>
      </c>
      <c r="BG23" s="26">
        <f>现金流量表!BG54</f>
        <v>0</v>
      </c>
      <c r="BH23" s="26">
        <f>现金流量表!BH54</f>
        <v>0</v>
      </c>
      <c r="BI23" s="26">
        <f>现金流量表!BI54</f>
        <v>0</v>
      </c>
      <c r="BJ23" s="26">
        <f>现金流量表!BJ54</f>
        <v>0</v>
      </c>
      <c r="BK23" s="26">
        <f>现金流量表!BK54</f>
        <v>0</v>
      </c>
      <c r="BL23" s="26">
        <f>现金流量表!BL54</f>
        <v>0</v>
      </c>
      <c r="BM23" s="26">
        <f>现金流量表!BM54</f>
        <v>0</v>
      </c>
      <c r="BN23" s="26">
        <f>现金流量表!BN54</f>
        <v>0</v>
      </c>
      <c r="BO23" s="26">
        <f>现金流量表!BO54</f>
        <v>0</v>
      </c>
      <c r="BP23" s="26">
        <f>现金流量表!BP54</f>
        <v>0</v>
      </c>
      <c r="BQ23" s="26">
        <f>现金流量表!BQ54</f>
        <v>0</v>
      </c>
      <c r="BR23" s="26">
        <f>现金流量表!BR54</f>
        <v>0</v>
      </c>
      <c r="BS23" s="26">
        <f>现金流量表!BS54</f>
        <v>0</v>
      </c>
      <c r="BT23" s="26">
        <f>现金流量表!BT54</f>
        <v>0</v>
      </c>
      <c r="BU23" s="26">
        <f>现金流量表!BU54</f>
        <v>0</v>
      </c>
      <c r="BV23" s="26">
        <f>现金流量表!BV54</f>
        <v>0</v>
      </c>
      <c r="BW23" s="26">
        <f>现金流量表!BW54</f>
        <v>0</v>
      </c>
      <c r="BX23" s="26">
        <f>现金流量表!BX54</f>
        <v>0</v>
      </c>
      <c r="BY23" s="26">
        <f>现金流量表!BY54</f>
        <v>0</v>
      </c>
      <c r="BZ23" s="26">
        <f>现金流量表!BZ54</f>
        <v>0</v>
      </c>
      <c r="CA23" s="26">
        <f>现金流量表!CA54</f>
        <v>0</v>
      </c>
      <c r="CB23" s="26">
        <f>现金流量表!CB54</f>
        <v>0</v>
      </c>
      <c r="CC23" s="26">
        <f>现金流量表!CC54</f>
        <v>0</v>
      </c>
      <c r="CD23" s="26">
        <f>现金流量表!CD54</f>
        <v>0</v>
      </c>
      <c r="CE23" s="26">
        <f>现金流量表!CE54</f>
        <v>0</v>
      </c>
      <c r="CF23" s="26">
        <f>现金流量表!CF54</f>
        <v>0</v>
      </c>
      <c r="CG23" s="26">
        <f>现金流量表!CG54</f>
        <v>0</v>
      </c>
      <c r="CH23" s="26">
        <f>现金流量表!CH54</f>
        <v>0</v>
      </c>
      <c r="CI23" s="26">
        <f>现金流量表!CI54</f>
        <v>0</v>
      </c>
      <c r="CJ23" s="26">
        <f>现金流量表!CJ54</f>
        <v>0</v>
      </c>
      <c r="CK23" s="26">
        <f>现金流量表!CK54</f>
        <v>0</v>
      </c>
    </row>
    <row r="24" spans="1:90" s="26" customFormat="1" x14ac:dyDescent="0.25">
      <c r="A24" s="17" t="s">
        <v>506</v>
      </c>
      <c r="E24" s="26">
        <f>现金流量表!E55</f>
        <v>497595.84</v>
      </c>
      <c r="F24" s="26">
        <f>现金流量表!F55</f>
        <v>0</v>
      </c>
      <c r="G24" s="26">
        <f>现金流量表!G55</f>
        <v>0</v>
      </c>
      <c r="H24" s="26">
        <f>现金流量表!H55</f>
        <v>0</v>
      </c>
      <c r="I24" s="26">
        <f>现金流量表!I55</f>
        <v>0</v>
      </c>
      <c r="J24" s="26">
        <f>现金流量表!J55</f>
        <v>0</v>
      </c>
      <c r="K24" s="26">
        <f>现金流量表!K55</f>
        <v>0</v>
      </c>
      <c r="L24" s="26">
        <f>现金流量表!L55</f>
        <v>0</v>
      </c>
      <c r="M24" s="26">
        <f>现金流量表!M55</f>
        <v>0</v>
      </c>
      <c r="N24" s="26">
        <f>现金流量表!N55</f>
        <v>0</v>
      </c>
      <c r="O24" s="26">
        <f>现金流量表!O55</f>
        <v>0</v>
      </c>
      <c r="P24" s="26">
        <f>现金流量表!P55</f>
        <v>0</v>
      </c>
      <c r="Q24" s="26">
        <f>现金流量表!Q55</f>
        <v>0</v>
      </c>
      <c r="R24" s="26">
        <f>现金流量表!R55</f>
        <v>0</v>
      </c>
      <c r="S24" s="26">
        <f>现金流量表!S55</f>
        <v>0</v>
      </c>
      <c r="T24" s="26">
        <f>现金流量表!T55</f>
        <v>0</v>
      </c>
      <c r="U24" s="26">
        <f>现金流量表!U55</f>
        <v>0</v>
      </c>
      <c r="V24" s="26">
        <f>现金流量表!V55</f>
        <v>0</v>
      </c>
      <c r="W24" s="26">
        <f>现金流量表!W55</f>
        <v>0</v>
      </c>
      <c r="X24" s="26">
        <f>现金流量表!X55</f>
        <v>0</v>
      </c>
      <c r="Y24" s="26">
        <f>现金流量表!Y55</f>
        <v>0</v>
      </c>
      <c r="Z24" s="26">
        <f>现金流量表!Z55</f>
        <v>0</v>
      </c>
      <c r="AA24" s="26">
        <f>现金流量表!AA55</f>
        <v>0</v>
      </c>
      <c r="AB24" s="26">
        <f>现金流量表!AB55</f>
        <v>0</v>
      </c>
      <c r="AC24" s="26">
        <f>现金流量表!AC55</f>
        <v>0</v>
      </c>
      <c r="AD24" s="26">
        <f>现金流量表!AD55</f>
        <v>0</v>
      </c>
      <c r="AE24" s="26">
        <f>现金流量表!AE55</f>
        <v>0</v>
      </c>
      <c r="AF24" s="26">
        <f>现金流量表!AF55</f>
        <v>0</v>
      </c>
      <c r="AG24" s="26">
        <f>现金流量表!AG55</f>
        <v>0</v>
      </c>
      <c r="AH24" s="26">
        <f>现金流量表!AH55</f>
        <v>0</v>
      </c>
      <c r="AI24" s="26">
        <f>现金流量表!AI55</f>
        <v>0</v>
      </c>
      <c r="AJ24" s="26">
        <f>现金流量表!AJ55</f>
        <v>0</v>
      </c>
      <c r="AK24" s="26">
        <f>现金流量表!AK55</f>
        <v>0</v>
      </c>
      <c r="AL24" s="26">
        <f>现金流量表!AL55</f>
        <v>0</v>
      </c>
      <c r="AM24" s="26">
        <f>现金流量表!AM55</f>
        <v>0</v>
      </c>
      <c r="AN24" s="26">
        <f>现金流量表!AN55</f>
        <v>0</v>
      </c>
      <c r="AO24" s="26">
        <f>现金流量表!AO55</f>
        <v>0</v>
      </c>
      <c r="AP24" s="26">
        <f>现金流量表!AP55</f>
        <v>0</v>
      </c>
      <c r="AQ24" s="26">
        <f>现金流量表!AQ55</f>
        <v>0</v>
      </c>
      <c r="AR24" s="26">
        <f>现金流量表!AR55</f>
        <v>0</v>
      </c>
      <c r="AS24" s="26">
        <f>现金流量表!AS55</f>
        <v>0</v>
      </c>
      <c r="AT24" s="26">
        <f>现金流量表!AT55</f>
        <v>0</v>
      </c>
      <c r="AU24" s="26">
        <f>现金流量表!AU55</f>
        <v>0</v>
      </c>
      <c r="AV24" s="26">
        <f>现金流量表!AV55</f>
        <v>0</v>
      </c>
      <c r="AW24" s="26">
        <f>现金流量表!AW55</f>
        <v>0</v>
      </c>
      <c r="AX24" s="26">
        <f>现金流量表!AX55</f>
        <v>0</v>
      </c>
      <c r="AY24" s="26">
        <f>现金流量表!AY55</f>
        <v>0</v>
      </c>
      <c r="AZ24" s="26">
        <f>现金流量表!AZ55</f>
        <v>0</v>
      </c>
      <c r="BA24" s="26">
        <f>现金流量表!BA55</f>
        <v>0</v>
      </c>
      <c r="BB24" s="26">
        <f>现金流量表!BB55</f>
        <v>0</v>
      </c>
      <c r="BC24" s="26">
        <f>现金流量表!BC55</f>
        <v>0</v>
      </c>
      <c r="BD24" s="26">
        <f>现金流量表!BD55</f>
        <v>0</v>
      </c>
      <c r="BE24" s="26">
        <f>现金流量表!BE55</f>
        <v>0</v>
      </c>
      <c r="BF24" s="26">
        <f>现金流量表!BF55</f>
        <v>0</v>
      </c>
      <c r="BG24" s="26">
        <f>现金流量表!BG55</f>
        <v>0</v>
      </c>
      <c r="BH24" s="26">
        <f>现金流量表!BH55</f>
        <v>0</v>
      </c>
      <c r="BI24" s="26">
        <f>现金流量表!BI55</f>
        <v>0</v>
      </c>
      <c r="BJ24" s="26">
        <f>现金流量表!BJ55</f>
        <v>0</v>
      </c>
      <c r="BK24" s="26">
        <f>现金流量表!BK55</f>
        <v>0</v>
      </c>
      <c r="BL24" s="26">
        <f>现金流量表!BL55</f>
        <v>0</v>
      </c>
      <c r="BM24" s="26">
        <f>现金流量表!BM55</f>
        <v>0</v>
      </c>
      <c r="BN24" s="26">
        <f>现金流量表!BN55</f>
        <v>0</v>
      </c>
      <c r="BO24" s="26">
        <f>现金流量表!BO55</f>
        <v>0</v>
      </c>
      <c r="BP24" s="26">
        <f>现金流量表!BP55</f>
        <v>0</v>
      </c>
      <c r="BQ24" s="26">
        <f>现金流量表!BQ55</f>
        <v>0</v>
      </c>
      <c r="BR24" s="26">
        <f>现金流量表!BR55</f>
        <v>0</v>
      </c>
      <c r="BS24" s="26">
        <f>现金流量表!BS55</f>
        <v>0</v>
      </c>
      <c r="BT24" s="26">
        <f>现金流量表!BT55</f>
        <v>0</v>
      </c>
      <c r="BU24" s="26">
        <f>现金流量表!BU55</f>
        <v>0</v>
      </c>
      <c r="BV24" s="26">
        <f>现金流量表!BV55</f>
        <v>0</v>
      </c>
      <c r="BW24" s="26">
        <f>现金流量表!BW55</f>
        <v>0</v>
      </c>
      <c r="BX24" s="26">
        <f>现金流量表!BX55</f>
        <v>0</v>
      </c>
      <c r="BY24" s="26">
        <f>现金流量表!BY55</f>
        <v>0</v>
      </c>
      <c r="BZ24" s="26">
        <f>现金流量表!BZ55</f>
        <v>0</v>
      </c>
      <c r="CA24" s="26">
        <f>现金流量表!CA55</f>
        <v>0</v>
      </c>
      <c r="CB24" s="26">
        <f>现金流量表!CB55</f>
        <v>0</v>
      </c>
      <c r="CC24" s="26">
        <f>现金流量表!CC55</f>
        <v>0</v>
      </c>
      <c r="CD24" s="26">
        <f>现金流量表!CD55</f>
        <v>0</v>
      </c>
      <c r="CE24" s="26">
        <f>现金流量表!CE55</f>
        <v>0</v>
      </c>
      <c r="CF24" s="26">
        <f>现金流量表!CF55</f>
        <v>0</v>
      </c>
      <c r="CG24" s="26">
        <f>现金流量表!CG55</f>
        <v>0</v>
      </c>
      <c r="CH24" s="26">
        <f>现金流量表!CH55</f>
        <v>0</v>
      </c>
      <c r="CI24" s="26">
        <f>现金流量表!CI55</f>
        <v>0</v>
      </c>
      <c r="CJ24" s="26">
        <f>现金流量表!CJ55</f>
        <v>0</v>
      </c>
      <c r="CK24" s="26">
        <f>现金流量表!CK55</f>
        <v>0</v>
      </c>
    </row>
    <row r="25" spans="1:90" s="28" customFormat="1" x14ac:dyDescent="0.25">
      <c r="A25" s="20" t="s">
        <v>507</v>
      </c>
      <c r="E25" s="28">
        <f>SUM(E19:E24)</f>
        <v>39152095.800000004</v>
      </c>
      <c r="F25" s="28">
        <f t="shared" ref="F25:BQ25" si="12">SUM(F19:F24)</f>
        <v>0</v>
      </c>
      <c r="G25" s="28">
        <f t="shared" si="12"/>
        <v>19616360.780000001</v>
      </c>
      <c r="H25" s="28">
        <f t="shared" si="12"/>
        <v>0</v>
      </c>
      <c r="I25" s="28">
        <f t="shared" si="12"/>
        <v>34862964.950000003</v>
      </c>
      <c r="J25" s="28">
        <f t="shared" si="12"/>
        <v>0</v>
      </c>
      <c r="K25" s="28">
        <f t="shared" si="12"/>
        <v>17288445.669999998</v>
      </c>
      <c r="L25" s="28">
        <f t="shared" si="12"/>
        <v>0</v>
      </c>
      <c r="M25" s="28">
        <f t="shared" si="12"/>
        <v>33292193.870000001</v>
      </c>
      <c r="N25" s="28">
        <f t="shared" si="12"/>
        <v>0</v>
      </c>
      <c r="O25" s="28">
        <f t="shared" si="12"/>
        <v>28546261.329999998</v>
      </c>
      <c r="P25" s="28">
        <f t="shared" si="12"/>
        <v>27145805.289999999</v>
      </c>
      <c r="Q25" s="28">
        <f t="shared" si="12"/>
        <v>0</v>
      </c>
      <c r="R25" s="28">
        <f t="shared" si="12"/>
        <v>0</v>
      </c>
      <c r="S25" s="28">
        <f t="shared" si="12"/>
        <v>0</v>
      </c>
      <c r="T25" s="28">
        <f t="shared" si="12"/>
        <v>0</v>
      </c>
      <c r="U25" s="28">
        <f t="shared" si="12"/>
        <v>0</v>
      </c>
      <c r="V25" s="28">
        <f t="shared" si="12"/>
        <v>0</v>
      </c>
      <c r="W25" s="28">
        <f t="shared" si="12"/>
        <v>0</v>
      </c>
      <c r="X25" s="28">
        <f t="shared" si="12"/>
        <v>0</v>
      </c>
      <c r="Y25" s="28">
        <f t="shared" si="12"/>
        <v>0</v>
      </c>
      <c r="Z25" s="28">
        <f t="shared" si="12"/>
        <v>0</v>
      </c>
      <c r="AA25" s="28">
        <f t="shared" si="12"/>
        <v>0</v>
      </c>
      <c r="AB25" s="28">
        <f t="shared" si="12"/>
        <v>0</v>
      </c>
      <c r="AC25" s="28">
        <f t="shared" si="12"/>
        <v>0</v>
      </c>
      <c r="AD25" s="28">
        <f t="shared" si="12"/>
        <v>0</v>
      </c>
      <c r="AE25" s="28">
        <f t="shared" si="12"/>
        <v>0</v>
      </c>
      <c r="AF25" s="28">
        <f t="shared" si="12"/>
        <v>0</v>
      </c>
      <c r="AG25" s="28">
        <f t="shared" si="12"/>
        <v>0</v>
      </c>
      <c r="AH25" s="28">
        <f t="shared" si="12"/>
        <v>0</v>
      </c>
      <c r="AI25" s="28">
        <f t="shared" si="12"/>
        <v>0</v>
      </c>
      <c r="AJ25" s="28">
        <f t="shared" si="12"/>
        <v>0</v>
      </c>
      <c r="AK25" s="28">
        <f t="shared" si="12"/>
        <v>0</v>
      </c>
      <c r="AL25" s="28">
        <f t="shared" si="12"/>
        <v>0</v>
      </c>
      <c r="AM25" s="28">
        <f t="shared" si="12"/>
        <v>0</v>
      </c>
      <c r="AN25" s="28">
        <f t="shared" si="12"/>
        <v>0</v>
      </c>
      <c r="AO25" s="28">
        <f t="shared" si="12"/>
        <v>0</v>
      </c>
      <c r="AP25" s="28">
        <f t="shared" si="12"/>
        <v>0</v>
      </c>
      <c r="AQ25" s="28">
        <f t="shared" si="12"/>
        <v>0</v>
      </c>
      <c r="AR25" s="28">
        <f t="shared" si="12"/>
        <v>0</v>
      </c>
      <c r="AS25" s="28">
        <f t="shared" si="12"/>
        <v>0</v>
      </c>
      <c r="AT25" s="28">
        <f t="shared" si="12"/>
        <v>0</v>
      </c>
      <c r="AU25" s="28">
        <f t="shared" si="12"/>
        <v>0</v>
      </c>
      <c r="AV25" s="28">
        <f t="shared" si="12"/>
        <v>0</v>
      </c>
      <c r="AW25" s="28">
        <f t="shared" si="12"/>
        <v>0</v>
      </c>
      <c r="AX25" s="28">
        <f t="shared" si="12"/>
        <v>0</v>
      </c>
      <c r="AY25" s="28">
        <f t="shared" si="12"/>
        <v>0</v>
      </c>
      <c r="AZ25" s="28">
        <f t="shared" si="12"/>
        <v>0</v>
      </c>
      <c r="BA25" s="28">
        <f t="shared" si="12"/>
        <v>0</v>
      </c>
      <c r="BB25" s="28">
        <f t="shared" si="12"/>
        <v>0</v>
      </c>
      <c r="BC25" s="28">
        <f t="shared" si="12"/>
        <v>0</v>
      </c>
      <c r="BD25" s="28">
        <f t="shared" si="12"/>
        <v>0</v>
      </c>
      <c r="BE25" s="28">
        <f t="shared" si="12"/>
        <v>0</v>
      </c>
      <c r="BF25" s="28">
        <f t="shared" si="12"/>
        <v>0</v>
      </c>
      <c r="BG25" s="28">
        <f t="shared" si="12"/>
        <v>0</v>
      </c>
      <c r="BH25" s="28">
        <f t="shared" si="12"/>
        <v>0</v>
      </c>
      <c r="BI25" s="28">
        <f t="shared" si="12"/>
        <v>0</v>
      </c>
      <c r="BJ25" s="28">
        <f t="shared" si="12"/>
        <v>0</v>
      </c>
      <c r="BK25" s="28">
        <f t="shared" si="12"/>
        <v>0</v>
      </c>
      <c r="BL25" s="28">
        <f t="shared" si="12"/>
        <v>0</v>
      </c>
      <c r="BM25" s="28">
        <f t="shared" si="12"/>
        <v>0</v>
      </c>
      <c r="BN25" s="28">
        <f t="shared" si="12"/>
        <v>0</v>
      </c>
      <c r="BO25" s="28">
        <f t="shared" si="12"/>
        <v>0</v>
      </c>
      <c r="BP25" s="28">
        <f t="shared" si="12"/>
        <v>0</v>
      </c>
      <c r="BQ25" s="28">
        <f t="shared" si="12"/>
        <v>0</v>
      </c>
      <c r="BR25" s="28">
        <f t="shared" ref="BR25:CK25" si="13">SUM(BR19:BR24)</f>
        <v>0</v>
      </c>
      <c r="BS25" s="28">
        <f t="shared" si="13"/>
        <v>0</v>
      </c>
      <c r="BT25" s="28">
        <f t="shared" si="13"/>
        <v>0</v>
      </c>
      <c r="BU25" s="28">
        <f t="shared" si="13"/>
        <v>0</v>
      </c>
      <c r="BV25" s="28">
        <f t="shared" si="13"/>
        <v>0</v>
      </c>
      <c r="BW25" s="28">
        <f t="shared" si="13"/>
        <v>0</v>
      </c>
      <c r="BX25" s="28">
        <f t="shared" si="13"/>
        <v>0</v>
      </c>
      <c r="BY25" s="28">
        <f t="shared" si="13"/>
        <v>0</v>
      </c>
      <c r="BZ25" s="28">
        <f t="shared" si="13"/>
        <v>0</v>
      </c>
      <c r="CA25" s="28">
        <f t="shared" si="13"/>
        <v>0</v>
      </c>
      <c r="CB25" s="28">
        <f t="shared" si="13"/>
        <v>0</v>
      </c>
      <c r="CC25" s="28">
        <f t="shared" si="13"/>
        <v>0</v>
      </c>
      <c r="CD25" s="28">
        <f t="shared" si="13"/>
        <v>0</v>
      </c>
      <c r="CE25" s="28">
        <f t="shared" si="13"/>
        <v>0</v>
      </c>
      <c r="CF25" s="28">
        <f t="shared" si="13"/>
        <v>0</v>
      </c>
      <c r="CG25" s="28">
        <f t="shared" si="13"/>
        <v>0</v>
      </c>
      <c r="CH25" s="28">
        <f t="shared" si="13"/>
        <v>0</v>
      </c>
      <c r="CI25" s="28">
        <f t="shared" si="13"/>
        <v>0</v>
      </c>
      <c r="CJ25" s="28">
        <f t="shared" si="13"/>
        <v>0</v>
      </c>
      <c r="CK25" s="28">
        <f t="shared" si="13"/>
        <v>0</v>
      </c>
    </row>
    <row r="26" spans="1:90" s="28" customFormat="1" x14ac:dyDescent="0.25">
      <c r="A26" s="20" t="s">
        <v>508</v>
      </c>
      <c r="E26" s="28">
        <f>E14-E25</f>
        <v>116356819.75999999</v>
      </c>
      <c r="F26" s="28">
        <f t="shared" ref="F26:BQ26" si="14">F14-F25</f>
        <v>109780058.19</v>
      </c>
      <c r="G26" s="28">
        <f t="shared" si="14"/>
        <v>47403186.32</v>
      </c>
      <c r="H26" s="28">
        <f t="shared" si="14"/>
        <v>19076292.600000001</v>
      </c>
      <c r="I26" s="28">
        <f t="shared" si="14"/>
        <v>168482821.23000002</v>
      </c>
      <c r="J26" s="28">
        <f t="shared" si="14"/>
        <v>137669225.16</v>
      </c>
      <c r="K26" s="28">
        <f t="shared" si="14"/>
        <v>49312181.370000005</v>
      </c>
      <c r="L26" s="28">
        <f t="shared" si="14"/>
        <v>4261735.37</v>
      </c>
      <c r="M26" s="28">
        <f t="shared" si="14"/>
        <v>145096259.29999998</v>
      </c>
      <c r="N26" s="28">
        <f t="shared" si="14"/>
        <v>85764753.120000005</v>
      </c>
      <c r="O26" s="28">
        <f t="shared" si="14"/>
        <v>118051136.42</v>
      </c>
      <c r="P26" s="28">
        <f t="shared" si="14"/>
        <v>85600275.110000014</v>
      </c>
      <c r="Q26" s="28">
        <f t="shared" si="14"/>
        <v>109982674.95999999</v>
      </c>
      <c r="R26" s="28">
        <f t="shared" si="14"/>
        <v>93640742.540000007</v>
      </c>
      <c r="S26" s="28">
        <f t="shared" si="14"/>
        <v>0</v>
      </c>
      <c r="T26" s="28">
        <f t="shared" si="14"/>
        <v>0</v>
      </c>
      <c r="U26" s="28">
        <f t="shared" si="14"/>
        <v>0</v>
      </c>
      <c r="V26" s="28">
        <f t="shared" si="14"/>
        <v>0</v>
      </c>
      <c r="W26" s="28">
        <f t="shared" si="14"/>
        <v>0</v>
      </c>
      <c r="X26" s="28">
        <f t="shared" si="14"/>
        <v>0</v>
      </c>
      <c r="Y26" s="28">
        <f t="shared" si="14"/>
        <v>0</v>
      </c>
      <c r="Z26" s="28">
        <f t="shared" si="14"/>
        <v>0</v>
      </c>
      <c r="AA26" s="28">
        <f t="shared" si="14"/>
        <v>0</v>
      </c>
      <c r="AB26" s="28">
        <f t="shared" si="14"/>
        <v>0</v>
      </c>
      <c r="AC26" s="28">
        <f t="shared" si="14"/>
        <v>0</v>
      </c>
      <c r="AD26" s="28">
        <f t="shared" si="14"/>
        <v>0</v>
      </c>
      <c r="AE26" s="28">
        <f t="shared" si="14"/>
        <v>0</v>
      </c>
      <c r="AF26" s="28">
        <f t="shared" si="14"/>
        <v>0</v>
      </c>
      <c r="AG26" s="28">
        <f t="shared" si="14"/>
        <v>0</v>
      </c>
      <c r="AH26" s="28">
        <f t="shared" si="14"/>
        <v>0</v>
      </c>
      <c r="AI26" s="28">
        <f t="shared" si="14"/>
        <v>0</v>
      </c>
      <c r="AJ26" s="28">
        <f t="shared" si="14"/>
        <v>0</v>
      </c>
      <c r="AK26" s="28">
        <f t="shared" si="14"/>
        <v>0</v>
      </c>
      <c r="AL26" s="28">
        <f t="shared" si="14"/>
        <v>0</v>
      </c>
      <c r="AM26" s="28">
        <f t="shared" si="14"/>
        <v>0</v>
      </c>
      <c r="AN26" s="28">
        <f t="shared" si="14"/>
        <v>0</v>
      </c>
      <c r="AO26" s="28">
        <f t="shared" si="14"/>
        <v>0</v>
      </c>
      <c r="AP26" s="28">
        <f t="shared" si="14"/>
        <v>0</v>
      </c>
      <c r="AQ26" s="28">
        <f t="shared" si="14"/>
        <v>0</v>
      </c>
      <c r="AR26" s="28">
        <f t="shared" si="14"/>
        <v>0</v>
      </c>
      <c r="AS26" s="28">
        <f t="shared" si="14"/>
        <v>0</v>
      </c>
      <c r="AT26" s="28">
        <f t="shared" si="14"/>
        <v>0</v>
      </c>
      <c r="AU26" s="28">
        <f t="shared" si="14"/>
        <v>0</v>
      </c>
      <c r="AV26" s="28">
        <f t="shared" si="14"/>
        <v>0</v>
      </c>
      <c r="AW26" s="28">
        <f t="shared" si="14"/>
        <v>0</v>
      </c>
      <c r="AX26" s="28">
        <f t="shared" si="14"/>
        <v>0</v>
      </c>
      <c r="AY26" s="28">
        <f t="shared" si="14"/>
        <v>0</v>
      </c>
      <c r="AZ26" s="28">
        <f t="shared" si="14"/>
        <v>0</v>
      </c>
      <c r="BA26" s="28">
        <f t="shared" si="14"/>
        <v>0</v>
      </c>
      <c r="BB26" s="28">
        <f t="shared" si="14"/>
        <v>0</v>
      </c>
      <c r="BC26" s="28">
        <f t="shared" si="14"/>
        <v>0</v>
      </c>
      <c r="BD26" s="28">
        <f t="shared" si="14"/>
        <v>0</v>
      </c>
      <c r="BE26" s="28">
        <f t="shared" si="14"/>
        <v>0</v>
      </c>
      <c r="BF26" s="28">
        <f t="shared" si="14"/>
        <v>0</v>
      </c>
      <c r="BG26" s="28">
        <f t="shared" si="14"/>
        <v>0</v>
      </c>
      <c r="BH26" s="28">
        <f t="shared" si="14"/>
        <v>0</v>
      </c>
      <c r="BI26" s="28">
        <f t="shared" si="14"/>
        <v>0</v>
      </c>
      <c r="BJ26" s="28">
        <f t="shared" si="14"/>
        <v>0</v>
      </c>
      <c r="BK26" s="28">
        <f t="shared" si="14"/>
        <v>0</v>
      </c>
      <c r="BL26" s="28">
        <f t="shared" si="14"/>
        <v>0</v>
      </c>
      <c r="BM26" s="28">
        <f t="shared" si="14"/>
        <v>0</v>
      </c>
      <c r="BN26" s="28">
        <f t="shared" si="14"/>
        <v>0</v>
      </c>
      <c r="BO26" s="28">
        <f t="shared" si="14"/>
        <v>0</v>
      </c>
      <c r="BP26" s="28">
        <f t="shared" si="14"/>
        <v>0</v>
      </c>
      <c r="BQ26" s="28">
        <f t="shared" si="14"/>
        <v>0</v>
      </c>
      <c r="BR26" s="28">
        <f t="shared" ref="BR26:CK26" si="15">BR14-BR25</f>
        <v>0</v>
      </c>
      <c r="BS26" s="28">
        <f t="shared" si="15"/>
        <v>0</v>
      </c>
      <c r="BT26" s="28">
        <f t="shared" si="15"/>
        <v>0</v>
      </c>
      <c r="BU26" s="28">
        <f t="shared" si="15"/>
        <v>0</v>
      </c>
      <c r="BV26" s="28">
        <f t="shared" si="15"/>
        <v>0</v>
      </c>
      <c r="BW26" s="28">
        <f t="shared" si="15"/>
        <v>0</v>
      </c>
      <c r="BX26" s="28">
        <f t="shared" si="15"/>
        <v>0</v>
      </c>
      <c r="BY26" s="28">
        <f t="shared" si="15"/>
        <v>0</v>
      </c>
      <c r="BZ26" s="28">
        <f t="shared" si="15"/>
        <v>0</v>
      </c>
      <c r="CA26" s="28">
        <f t="shared" si="15"/>
        <v>0</v>
      </c>
      <c r="CB26" s="28">
        <f t="shared" si="15"/>
        <v>0</v>
      </c>
      <c r="CC26" s="28">
        <f t="shared" si="15"/>
        <v>0</v>
      </c>
      <c r="CD26" s="28">
        <f t="shared" si="15"/>
        <v>0</v>
      </c>
      <c r="CE26" s="28">
        <f t="shared" si="15"/>
        <v>0</v>
      </c>
      <c r="CF26" s="28">
        <f t="shared" si="15"/>
        <v>0</v>
      </c>
      <c r="CG26" s="28">
        <f t="shared" si="15"/>
        <v>0</v>
      </c>
      <c r="CH26" s="28">
        <f t="shared" si="15"/>
        <v>0</v>
      </c>
      <c r="CI26" s="28">
        <f t="shared" si="15"/>
        <v>0</v>
      </c>
      <c r="CJ26" s="28">
        <f t="shared" si="15"/>
        <v>0</v>
      </c>
      <c r="CK26" s="28">
        <f t="shared" si="15"/>
        <v>0</v>
      </c>
    </row>
    <row r="27" spans="1:90" s="26" customFormat="1" ht="72" x14ac:dyDescent="0.25">
      <c r="A27" s="273" t="s">
        <v>751</v>
      </c>
      <c r="E27" s="26">
        <f>E26</f>
        <v>116356819.75999999</v>
      </c>
      <c r="F27" s="191">
        <f t="shared" ref="F27:BQ27" si="16">F26</f>
        <v>109780058.19</v>
      </c>
      <c r="G27" s="191">
        <f t="shared" si="16"/>
        <v>47403186.32</v>
      </c>
      <c r="H27" s="191">
        <f t="shared" si="16"/>
        <v>19076292.600000001</v>
      </c>
      <c r="I27" s="191">
        <f t="shared" si="16"/>
        <v>168482821.23000002</v>
      </c>
      <c r="J27" s="191">
        <f t="shared" si="16"/>
        <v>137669225.16</v>
      </c>
      <c r="K27" s="191">
        <f t="shared" si="16"/>
        <v>49312181.370000005</v>
      </c>
      <c r="L27" s="191">
        <f t="shared" si="16"/>
        <v>4261735.37</v>
      </c>
      <c r="M27" s="191">
        <f t="shared" si="16"/>
        <v>145096259.29999998</v>
      </c>
      <c r="N27" s="191">
        <f t="shared" si="16"/>
        <v>85764753.120000005</v>
      </c>
      <c r="O27" s="191">
        <f t="shared" si="16"/>
        <v>118051136.42</v>
      </c>
      <c r="P27" s="191">
        <f t="shared" si="16"/>
        <v>85600275.110000014</v>
      </c>
      <c r="Q27" s="191">
        <f t="shared" si="16"/>
        <v>109982674.95999999</v>
      </c>
      <c r="R27" s="191">
        <f t="shared" si="16"/>
        <v>93640742.540000007</v>
      </c>
      <c r="S27" s="191">
        <f t="shared" si="16"/>
        <v>0</v>
      </c>
      <c r="T27" s="191">
        <f t="shared" si="16"/>
        <v>0</v>
      </c>
      <c r="U27" s="191">
        <f t="shared" si="16"/>
        <v>0</v>
      </c>
      <c r="V27" s="191">
        <f t="shared" si="16"/>
        <v>0</v>
      </c>
      <c r="W27" s="191">
        <f t="shared" si="16"/>
        <v>0</v>
      </c>
      <c r="X27" s="191">
        <f t="shared" si="16"/>
        <v>0</v>
      </c>
      <c r="Y27" s="191">
        <f t="shared" si="16"/>
        <v>0</v>
      </c>
      <c r="Z27" s="191">
        <f t="shared" si="16"/>
        <v>0</v>
      </c>
      <c r="AA27" s="191">
        <f t="shared" si="16"/>
        <v>0</v>
      </c>
      <c r="AB27" s="191">
        <f t="shared" si="16"/>
        <v>0</v>
      </c>
      <c r="AC27" s="191">
        <f t="shared" si="16"/>
        <v>0</v>
      </c>
      <c r="AD27" s="191">
        <f t="shared" si="16"/>
        <v>0</v>
      </c>
      <c r="AE27" s="191">
        <f t="shared" si="16"/>
        <v>0</v>
      </c>
      <c r="AF27" s="191">
        <f t="shared" si="16"/>
        <v>0</v>
      </c>
      <c r="AG27" s="191">
        <f t="shared" si="16"/>
        <v>0</v>
      </c>
      <c r="AH27" s="191">
        <f t="shared" si="16"/>
        <v>0</v>
      </c>
      <c r="AI27" s="191">
        <f t="shared" si="16"/>
        <v>0</v>
      </c>
      <c r="AJ27" s="191">
        <f t="shared" si="16"/>
        <v>0</v>
      </c>
      <c r="AK27" s="191">
        <f t="shared" si="16"/>
        <v>0</v>
      </c>
      <c r="AL27" s="191">
        <f t="shared" si="16"/>
        <v>0</v>
      </c>
      <c r="AM27" s="191">
        <f t="shared" si="16"/>
        <v>0</v>
      </c>
      <c r="AN27" s="191">
        <f t="shared" si="16"/>
        <v>0</v>
      </c>
      <c r="AO27" s="191">
        <f t="shared" si="16"/>
        <v>0</v>
      </c>
      <c r="AP27" s="191">
        <f t="shared" si="16"/>
        <v>0</v>
      </c>
      <c r="AQ27" s="191">
        <f t="shared" si="16"/>
        <v>0</v>
      </c>
      <c r="AR27" s="191">
        <f t="shared" si="16"/>
        <v>0</v>
      </c>
      <c r="AS27" s="191">
        <f t="shared" si="16"/>
        <v>0</v>
      </c>
      <c r="AT27" s="191">
        <f t="shared" si="16"/>
        <v>0</v>
      </c>
      <c r="AU27" s="191">
        <f t="shared" si="16"/>
        <v>0</v>
      </c>
      <c r="AV27" s="191">
        <f t="shared" si="16"/>
        <v>0</v>
      </c>
      <c r="AW27" s="191">
        <f t="shared" si="16"/>
        <v>0</v>
      </c>
      <c r="AX27" s="191">
        <f t="shared" si="16"/>
        <v>0</v>
      </c>
      <c r="AY27" s="191">
        <f t="shared" si="16"/>
        <v>0</v>
      </c>
      <c r="AZ27" s="191">
        <f t="shared" si="16"/>
        <v>0</v>
      </c>
      <c r="BA27" s="191">
        <f t="shared" si="16"/>
        <v>0</v>
      </c>
      <c r="BB27" s="191">
        <f t="shared" si="16"/>
        <v>0</v>
      </c>
      <c r="BC27" s="191">
        <f t="shared" si="16"/>
        <v>0</v>
      </c>
      <c r="BD27" s="191">
        <f t="shared" si="16"/>
        <v>0</v>
      </c>
      <c r="BE27" s="191">
        <f t="shared" si="16"/>
        <v>0</v>
      </c>
      <c r="BF27" s="191">
        <f t="shared" si="16"/>
        <v>0</v>
      </c>
      <c r="BG27" s="191">
        <f t="shared" si="16"/>
        <v>0</v>
      </c>
      <c r="BH27" s="191">
        <f t="shared" si="16"/>
        <v>0</v>
      </c>
      <c r="BI27" s="191">
        <f t="shared" si="16"/>
        <v>0</v>
      </c>
      <c r="BJ27" s="191">
        <f t="shared" si="16"/>
        <v>0</v>
      </c>
      <c r="BK27" s="191">
        <f t="shared" si="16"/>
        <v>0</v>
      </c>
      <c r="BL27" s="191">
        <f t="shared" si="16"/>
        <v>0</v>
      </c>
      <c r="BM27" s="191">
        <f t="shared" si="16"/>
        <v>0</v>
      </c>
      <c r="BN27" s="191">
        <f t="shared" si="16"/>
        <v>0</v>
      </c>
      <c r="BO27" s="191">
        <f t="shared" si="16"/>
        <v>0</v>
      </c>
      <c r="BP27" s="191">
        <f t="shared" si="16"/>
        <v>0</v>
      </c>
      <c r="BQ27" s="191">
        <f t="shared" si="16"/>
        <v>0</v>
      </c>
      <c r="BR27" s="191">
        <f t="shared" ref="BR27:CL27" si="17">BR26</f>
        <v>0</v>
      </c>
      <c r="BS27" s="191">
        <f t="shared" si="17"/>
        <v>0</v>
      </c>
      <c r="BT27" s="191">
        <f t="shared" si="17"/>
        <v>0</v>
      </c>
      <c r="BU27" s="191">
        <f t="shared" si="17"/>
        <v>0</v>
      </c>
      <c r="BV27" s="191">
        <f t="shared" si="17"/>
        <v>0</v>
      </c>
      <c r="BW27" s="191">
        <f t="shared" si="17"/>
        <v>0</v>
      </c>
      <c r="BX27" s="191">
        <f t="shared" si="17"/>
        <v>0</v>
      </c>
      <c r="BY27" s="191">
        <f t="shared" si="17"/>
        <v>0</v>
      </c>
      <c r="BZ27" s="191">
        <f t="shared" si="17"/>
        <v>0</v>
      </c>
      <c r="CA27" s="191">
        <f t="shared" si="17"/>
        <v>0</v>
      </c>
      <c r="CB27" s="191">
        <f t="shared" si="17"/>
        <v>0</v>
      </c>
      <c r="CC27" s="191">
        <f t="shared" si="17"/>
        <v>0</v>
      </c>
      <c r="CD27" s="191">
        <f t="shared" si="17"/>
        <v>0</v>
      </c>
      <c r="CE27" s="191">
        <f t="shared" si="17"/>
        <v>0</v>
      </c>
      <c r="CF27" s="191">
        <f t="shared" si="17"/>
        <v>0</v>
      </c>
      <c r="CG27" s="191">
        <f t="shared" si="17"/>
        <v>0</v>
      </c>
      <c r="CH27" s="191">
        <f t="shared" si="17"/>
        <v>0</v>
      </c>
      <c r="CI27" s="191">
        <f t="shared" si="17"/>
        <v>0</v>
      </c>
      <c r="CJ27" s="191">
        <f t="shared" si="17"/>
        <v>0</v>
      </c>
      <c r="CK27" s="191">
        <f t="shared" si="17"/>
        <v>0</v>
      </c>
      <c r="CL27" s="191">
        <f t="shared" si="17"/>
        <v>0</v>
      </c>
    </row>
    <row r="28" spans="1:90" s="63" customFormat="1" x14ac:dyDescent="0.25">
      <c r="A28" s="17" t="s">
        <v>509</v>
      </c>
      <c r="E28" s="63">
        <f>(E27-I27)/I27</f>
        <v>-0.30938466657583774</v>
      </c>
      <c r="F28" s="63">
        <f t="shared" ref="F28:N28" si="18">(F27-J27)/J27</f>
        <v>-0.20258098305984537</v>
      </c>
      <c r="G28" s="63">
        <f t="shared" si="18"/>
        <v>-3.8712443801185756E-2</v>
      </c>
      <c r="H28" s="63">
        <f t="shared" si="18"/>
        <v>3.4761795240233324</v>
      </c>
      <c r="I28" s="63">
        <f t="shared" si="18"/>
        <v>0.16117963373298377</v>
      </c>
      <c r="J28" s="63">
        <f t="shared" si="18"/>
        <v>0.60519584271847071</v>
      </c>
      <c r="K28" s="63">
        <f t="shared" si="18"/>
        <v>-0.58228118029666309</v>
      </c>
      <c r="L28" s="63">
        <f t="shared" si="18"/>
        <v>-0.95021353185461732</v>
      </c>
      <c r="M28" s="63">
        <f t="shared" si="18"/>
        <v>0.31926468739527003</v>
      </c>
      <c r="N28" s="63">
        <f t="shared" si="18"/>
        <v>-8.4108575032237259E-2</v>
      </c>
      <c r="O28" s="63">
        <f>(O27-P27)/P27</f>
        <v>0.37909762869686159</v>
      </c>
      <c r="P28" s="63">
        <f t="shared" ref="P28:CA28" si="19">(P27-Q27)/Q27</f>
        <v>-0.22169309719796962</v>
      </c>
      <c r="Q28" s="63">
        <f t="shared" si="19"/>
        <v>0.1745173305628081</v>
      </c>
      <c r="R28" s="63" t="e">
        <f t="shared" si="19"/>
        <v>#DIV/0!</v>
      </c>
      <c r="S28" s="63" t="e">
        <f t="shared" si="19"/>
        <v>#DIV/0!</v>
      </c>
      <c r="T28" s="63" t="e">
        <f t="shared" si="19"/>
        <v>#DIV/0!</v>
      </c>
      <c r="U28" s="63" t="e">
        <f t="shared" si="19"/>
        <v>#DIV/0!</v>
      </c>
      <c r="V28" s="63" t="e">
        <f t="shared" si="19"/>
        <v>#DIV/0!</v>
      </c>
      <c r="W28" s="63" t="e">
        <f t="shared" si="19"/>
        <v>#DIV/0!</v>
      </c>
      <c r="X28" s="63" t="e">
        <f t="shared" si="19"/>
        <v>#DIV/0!</v>
      </c>
      <c r="Y28" s="63" t="e">
        <f t="shared" si="19"/>
        <v>#DIV/0!</v>
      </c>
      <c r="Z28" s="63" t="e">
        <f t="shared" si="19"/>
        <v>#DIV/0!</v>
      </c>
      <c r="AA28" s="63" t="e">
        <f t="shared" si="19"/>
        <v>#DIV/0!</v>
      </c>
      <c r="AB28" s="63" t="e">
        <f t="shared" si="19"/>
        <v>#DIV/0!</v>
      </c>
      <c r="AC28" s="63" t="e">
        <f t="shared" si="19"/>
        <v>#DIV/0!</v>
      </c>
      <c r="AD28" s="63" t="e">
        <f t="shared" si="19"/>
        <v>#DIV/0!</v>
      </c>
      <c r="AE28" s="63" t="e">
        <f t="shared" si="19"/>
        <v>#DIV/0!</v>
      </c>
      <c r="AF28" s="63" t="e">
        <f t="shared" si="19"/>
        <v>#DIV/0!</v>
      </c>
      <c r="AG28" s="63" t="e">
        <f t="shared" si="19"/>
        <v>#DIV/0!</v>
      </c>
      <c r="AH28" s="63" t="e">
        <f t="shared" si="19"/>
        <v>#DIV/0!</v>
      </c>
      <c r="AI28" s="63" t="e">
        <f t="shared" si="19"/>
        <v>#DIV/0!</v>
      </c>
      <c r="AJ28" s="63" t="e">
        <f t="shared" si="19"/>
        <v>#DIV/0!</v>
      </c>
      <c r="AK28" s="63" t="e">
        <f t="shared" si="19"/>
        <v>#DIV/0!</v>
      </c>
      <c r="AL28" s="63" t="e">
        <f t="shared" si="19"/>
        <v>#DIV/0!</v>
      </c>
      <c r="AM28" s="63" t="e">
        <f t="shared" si="19"/>
        <v>#DIV/0!</v>
      </c>
      <c r="AN28" s="63" t="e">
        <f t="shared" si="19"/>
        <v>#DIV/0!</v>
      </c>
      <c r="AO28" s="63" t="e">
        <f t="shared" si="19"/>
        <v>#DIV/0!</v>
      </c>
      <c r="AP28" s="63" t="e">
        <f t="shared" si="19"/>
        <v>#DIV/0!</v>
      </c>
      <c r="AQ28" s="63" t="e">
        <f t="shared" si="19"/>
        <v>#DIV/0!</v>
      </c>
      <c r="AR28" s="63" t="e">
        <f t="shared" si="19"/>
        <v>#DIV/0!</v>
      </c>
      <c r="AS28" s="63" t="e">
        <f t="shared" si="19"/>
        <v>#DIV/0!</v>
      </c>
      <c r="AT28" s="63" t="e">
        <f t="shared" si="19"/>
        <v>#DIV/0!</v>
      </c>
      <c r="AU28" s="63" t="e">
        <f t="shared" si="19"/>
        <v>#DIV/0!</v>
      </c>
      <c r="AV28" s="63" t="e">
        <f t="shared" si="19"/>
        <v>#DIV/0!</v>
      </c>
      <c r="AW28" s="63" t="e">
        <f t="shared" si="19"/>
        <v>#DIV/0!</v>
      </c>
      <c r="AX28" s="63" t="e">
        <f t="shared" si="19"/>
        <v>#DIV/0!</v>
      </c>
      <c r="AY28" s="63" t="e">
        <f t="shared" si="19"/>
        <v>#DIV/0!</v>
      </c>
      <c r="AZ28" s="63" t="e">
        <f t="shared" si="19"/>
        <v>#DIV/0!</v>
      </c>
      <c r="BA28" s="63" t="e">
        <f t="shared" si="19"/>
        <v>#DIV/0!</v>
      </c>
      <c r="BB28" s="63" t="e">
        <f t="shared" si="19"/>
        <v>#DIV/0!</v>
      </c>
      <c r="BC28" s="63" t="e">
        <f t="shared" si="19"/>
        <v>#DIV/0!</v>
      </c>
      <c r="BD28" s="63" t="e">
        <f t="shared" si="19"/>
        <v>#DIV/0!</v>
      </c>
      <c r="BE28" s="63" t="e">
        <f t="shared" si="19"/>
        <v>#DIV/0!</v>
      </c>
      <c r="BF28" s="63" t="e">
        <f t="shared" si="19"/>
        <v>#DIV/0!</v>
      </c>
      <c r="BG28" s="63" t="e">
        <f t="shared" si="19"/>
        <v>#DIV/0!</v>
      </c>
      <c r="BH28" s="63" t="e">
        <f t="shared" si="19"/>
        <v>#DIV/0!</v>
      </c>
      <c r="BI28" s="63" t="e">
        <f t="shared" si="19"/>
        <v>#DIV/0!</v>
      </c>
      <c r="BJ28" s="63" t="e">
        <f t="shared" si="19"/>
        <v>#DIV/0!</v>
      </c>
      <c r="BK28" s="63" t="e">
        <f t="shared" si="19"/>
        <v>#DIV/0!</v>
      </c>
      <c r="BL28" s="63" t="e">
        <f t="shared" si="19"/>
        <v>#DIV/0!</v>
      </c>
      <c r="BM28" s="63" t="e">
        <f t="shared" si="19"/>
        <v>#DIV/0!</v>
      </c>
      <c r="BN28" s="63" t="e">
        <f t="shared" si="19"/>
        <v>#DIV/0!</v>
      </c>
      <c r="BO28" s="63" t="e">
        <f t="shared" si="19"/>
        <v>#DIV/0!</v>
      </c>
      <c r="BP28" s="63" t="e">
        <f t="shared" si="19"/>
        <v>#DIV/0!</v>
      </c>
      <c r="BQ28" s="63" t="e">
        <f t="shared" si="19"/>
        <v>#DIV/0!</v>
      </c>
      <c r="BR28" s="63" t="e">
        <f t="shared" si="19"/>
        <v>#DIV/0!</v>
      </c>
      <c r="BS28" s="63" t="e">
        <f t="shared" si="19"/>
        <v>#DIV/0!</v>
      </c>
      <c r="BT28" s="63" t="e">
        <f t="shared" si="19"/>
        <v>#DIV/0!</v>
      </c>
      <c r="BU28" s="63" t="e">
        <f t="shared" si="19"/>
        <v>#DIV/0!</v>
      </c>
      <c r="BV28" s="63" t="e">
        <f t="shared" si="19"/>
        <v>#DIV/0!</v>
      </c>
      <c r="BW28" s="63" t="e">
        <f t="shared" si="19"/>
        <v>#DIV/0!</v>
      </c>
      <c r="BX28" s="63" t="e">
        <f t="shared" si="19"/>
        <v>#DIV/0!</v>
      </c>
      <c r="BY28" s="63" t="e">
        <f t="shared" si="19"/>
        <v>#DIV/0!</v>
      </c>
      <c r="BZ28" s="63" t="e">
        <f t="shared" si="19"/>
        <v>#DIV/0!</v>
      </c>
      <c r="CA28" s="63" t="e">
        <f t="shared" si="19"/>
        <v>#DIV/0!</v>
      </c>
      <c r="CB28" s="63" t="e">
        <f t="shared" ref="CB28:CK28" si="20">(CB27-CC27)/CC27</f>
        <v>#DIV/0!</v>
      </c>
      <c r="CC28" s="63" t="e">
        <f t="shared" si="20"/>
        <v>#DIV/0!</v>
      </c>
      <c r="CD28" s="63" t="e">
        <f t="shared" si="20"/>
        <v>#DIV/0!</v>
      </c>
      <c r="CE28" s="63" t="e">
        <f t="shared" si="20"/>
        <v>#DIV/0!</v>
      </c>
      <c r="CF28" s="63" t="e">
        <f t="shared" si="20"/>
        <v>#DIV/0!</v>
      </c>
      <c r="CG28" s="63" t="e">
        <f t="shared" si="20"/>
        <v>#DIV/0!</v>
      </c>
      <c r="CH28" s="63" t="e">
        <f t="shared" si="20"/>
        <v>#DIV/0!</v>
      </c>
      <c r="CI28" s="63" t="e">
        <f t="shared" si="20"/>
        <v>#DIV/0!</v>
      </c>
      <c r="CJ28" s="63" t="e">
        <f t="shared" si="20"/>
        <v>#DIV/0!</v>
      </c>
      <c r="CK28" s="63" t="e">
        <f t="shared" si="20"/>
        <v>#DIV/0!</v>
      </c>
      <c r="CL28" s="63" t="e">
        <f t="shared" ref="CL28" si="21">POWER($E$27/CL27,1/1)-1</f>
        <v>#DIV/0!</v>
      </c>
    </row>
    <row r="29" spans="1:90" s="63" customFormat="1" x14ac:dyDescent="0.25">
      <c r="A29" s="190" t="s">
        <v>569</v>
      </c>
      <c r="E29" s="63">
        <f>POWER(E27/$R$27,1/6)-1</f>
        <v>3.6862495037037979E-2</v>
      </c>
      <c r="F29" s="63">
        <f t="shared" ref="F29:Q29" si="22">POWER(F27/$R$27,1/6)-1</f>
        <v>2.6856527027750543E-2</v>
      </c>
      <c r="G29" s="63">
        <f t="shared" si="22"/>
        <v>-0.10726249378426411</v>
      </c>
      <c r="H29" s="63">
        <f t="shared" si="22"/>
        <v>-0.23292436593813259</v>
      </c>
      <c r="I29" s="63">
        <f>POWER(I27/$R$27,1/5)-1</f>
        <v>0.12465198847625114</v>
      </c>
      <c r="J29" s="63">
        <f t="shared" si="22"/>
        <v>6.6339106246549484E-2</v>
      </c>
      <c r="K29" s="63">
        <f t="shared" si="22"/>
        <v>-0.1013686594463552</v>
      </c>
      <c r="L29" s="63">
        <f t="shared" si="22"/>
        <v>-0.40247840596800488</v>
      </c>
      <c r="M29" s="63">
        <f>POWER(M27/$R$27,1/4)-1</f>
        <v>0.11570105004603048</v>
      </c>
      <c r="N29" s="63">
        <f t="shared" si="22"/>
        <v>-1.4536222814421684E-2</v>
      </c>
      <c r="O29" s="63">
        <f>POWER(O27/$R$27,1/3)-1</f>
        <v>8.0276945469908156E-2</v>
      </c>
      <c r="P29" s="63">
        <f>POWER(P27/$R$27,1/2)-1</f>
        <v>-4.3895954491537714E-2</v>
      </c>
      <c r="Q29" s="63">
        <f>POWER(Q27/$R$27,1/1)-1</f>
        <v>0.17451733056280805</v>
      </c>
      <c r="R29" s="63">
        <v>0</v>
      </c>
    </row>
    <row r="30" spans="1:90" s="16" customFormat="1" ht="367.2" customHeight="1" x14ac:dyDescent="0.25">
      <c r="A30" s="278" t="s">
        <v>736</v>
      </c>
      <c r="B30" s="277"/>
      <c r="C30" s="277"/>
      <c r="D30" s="277"/>
      <c r="E30" s="277"/>
      <c r="F30" s="277"/>
      <c r="G30" s="277"/>
      <c r="H30" s="277"/>
      <c r="I30" s="277"/>
      <c r="J30" s="277"/>
      <c r="K30" s="277"/>
      <c r="L30" s="277"/>
      <c r="M30" s="277"/>
      <c r="N30" s="277"/>
      <c r="O30" s="277"/>
      <c r="P30" s="277"/>
      <c r="Q30" s="277"/>
      <c r="R30" s="277"/>
      <c r="S30" s="277"/>
      <c r="T30" s="277"/>
      <c r="U30" s="277"/>
      <c r="V30" s="277"/>
      <c r="W30" s="277"/>
      <c r="X30" s="277"/>
      <c r="Y30" s="277"/>
      <c r="Z30" s="277"/>
      <c r="AA30" s="277"/>
      <c r="AB30" s="277"/>
      <c r="AC30" s="277"/>
    </row>
    <row r="31" spans="1:90" x14ac:dyDescent="0.25">
      <c r="A31" s="110" t="s">
        <v>567</v>
      </c>
      <c r="B31" s="95"/>
      <c r="C31" s="95"/>
      <c r="D31" s="95"/>
      <c r="E31" s="95" t="s">
        <v>566</v>
      </c>
      <c r="F31" s="95"/>
      <c r="G31" s="95"/>
      <c r="H31" s="95"/>
      <c r="I31" s="95" t="s">
        <v>600</v>
      </c>
      <c r="M31" s="95" t="s">
        <v>568</v>
      </c>
      <c r="Q31" s="113" t="s">
        <v>606</v>
      </c>
      <c r="R31" s="113"/>
      <c r="S31" s="113"/>
      <c r="T31" s="113"/>
      <c r="U31" s="113" t="s">
        <v>603</v>
      </c>
      <c r="V31" s="113"/>
      <c r="W31" s="113"/>
      <c r="X31" s="113"/>
      <c r="Y31" s="113" t="s">
        <v>604</v>
      </c>
      <c r="Z31" s="113"/>
      <c r="AA31" s="113"/>
      <c r="AB31" s="113"/>
      <c r="AC31" s="113" t="s">
        <v>605</v>
      </c>
    </row>
    <row r="32" spans="1:90" s="63" customFormat="1" x14ac:dyDescent="0.25">
      <c r="A32" s="110" t="s">
        <v>569</v>
      </c>
      <c r="B32" s="111"/>
      <c r="C32" s="111"/>
      <c r="D32" s="111"/>
      <c r="E32" s="111" t="e">
        <f>POWER(E27/U27,1/5)-1</f>
        <v>#DIV/0!</v>
      </c>
      <c r="F32" s="111"/>
      <c r="G32" s="111"/>
      <c r="H32" s="111"/>
      <c r="I32" s="111" t="e">
        <f>POWER(E27/Y27,1/6)-1</f>
        <v>#DIV/0!</v>
      </c>
      <c r="M32" s="111" t="e">
        <f>POWER(E27/AC27,1/7)-1</f>
        <v>#DIV/0!</v>
      </c>
      <c r="Q32" s="114" t="s">
        <v>602</v>
      </c>
      <c r="R32" s="114"/>
      <c r="S32" s="114"/>
      <c r="T32" s="114"/>
      <c r="U32" s="114" t="e">
        <f>POWER(E14/U14,1/5)-1</f>
        <v>#DIV/0!</v>
      </c>
      <c r="V32" s="114"/>
      <c r="W32" s="114"/>
      <c r="X32" s="114"/>
      <c r="Y32" s="114" t="e">
        <f>POWER(E14/Y14,1/6)-1</f>
        <v>#DIV/0!</v>
      </c>
      <c r="Z32" s="114"/>
      <c r="AA32" s="114"/>
      <c r="AB32" s="114"/>
      <c r="AC32" s="114" t="e">
        <f>POWER(E14/AC14,1/7)-1</f>
        <v>#DIV/0!</v>
      </c>
    </row>
    <row r="33" spans="1:13" s="66" customFormat="1" x14ac:dyDescent="0.25">
      <c r="A33" s="46" t="s">
        <v>511</v>
      </c>
      <c r="E33" s="66">
        <v>0.17</v>
      </c>
    </row>
    <row r="40" spans="1:13" ht="43.2" x14ac:dyDescent="0.25">
      <c r="A40" s="67" t="s">
        <v>512</v>
      </c>
    </row>
    <row r="42" spans="1:13" ht="111" customHeight="1" x14ac:dyDescent="0.25">
      <c r="A42" s="278" t="s">
        <v>735</v>
      </c>
      <c r="B42" s="277"/>
      <c r="C42" s="277"/>
      <c r="D42" s="277"/>
      <c r="E42" s="277"/>
      <c r="F42" s="277"/>
      <c r="G42" s="277"/>
      <c r="H42" s="277"/>
      <c r="I42" s="277"/>
      <c r="J42" s="277"/>
      <c r="K42" s="277"/>
      <c r="L42" s="277"/>
      <c r="M42" s="277"/>
    </row>
  </sheetData>
  <mergeCells count="2">
    <mergeCell ref="A30:AC30"/>
    <mergeCell ref="A42:M42"/>
  </mergeCells>
  <phoneticPr fontId="1" type="noConversion"/>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根据DCF测算价值表"/>
  <dimension ref="A1:BV71"/>
  <sheetViews>
    <sheetView tabSelected="1" workbookViewId="0">
      <selection activeCell="B4" sqref="B4"/>
    </sheetView>
  </sheetViews>
  <sheetFormatPr defaultRowHeight="14.4" x14ac:dyDescent="0.25"/>
  <cols>
    <col min="1" max="1" width="43.5546875" style="17" bestFit="1" customWidth="1"/>
    <col min="2" max="2" width="21.44140625" style="26" bestFit="1" customWidth="1"/>
    <col min="3" max="3" width="38" bestFit="1" customWidth="1"/>
    <col min="4" max="4" width="21.44140625" bestFit="1" customWidth="1"/>
    <col min="5" max="5" width="18.33203125" bestFit="1" customWidth="1"/>
    <col min="6" max="8" width="17.21875" bestFit="1" customWidth="1"/>
    <col min="9" max="9" width="19.33203125" bestFit="1" customWidth="1"/>
    <col min="10" max="11" width="17.21875" bestFit="1" customWidth="1"/>
    <col min="12" max="12" width="40.21875" bestFit="1" customWidth="1"/>
    <col min="13" max="18" width="17.21875" bestFit="1" customWidth="1"/>
    <col min="19" max="19" width="19.33203125" bestFit="1" customWidth="1"/>
    <col min="20" max="74" width="9.44140625" bestFit="1" customWidth="1"/>
  </cols>
  <sheetData>
    <row r="1" spans="1:10" ht="16.2" customHeight="1" x14ac:dyDescent="0.25">
      <c r="A1" s="68" t="s">
        <v>513</v>
      </c>
      <c r="B1" s="318">
        <f>自由现金流分析表!E1</f>
        <v>43100</v>
      </c>
      <c r="C1" s="189" t="s">
        <v>750</v>
      </c>
      <c r="D1" s="272">
        <v>0.08</v>
      </c>
      <c r="E1" s="260" t="s">
        <v>749</v>
      </c>
      <c r="F1" s="63">
        <f>平均资本成本表!E13</f>
        <v>7.9958563543822539E-2</v>
      </c>
    </row>
    <row r="2" spans="1:10" x14ac:dyDescent="0.25">
      <c r="A2" s="69" t="s">
        <v>514</v>
      </c>
      <c r="B2" s="70">
        <f>自由现金流分析表!E27</f>
        <v>116356819.75999999</v>
      </c>
      <c r="C2" t="s">
        <v>547</v>
      </c>
      <c r="D2" s="63"/>
      <c r="E2" s="63"/>
      <c r="F2" s="56"/>
    </row>
    <row r="3" spans="1:10" s="63" customFormat="1" x14ac:dyDescent="0.25">
      <c r="A3" s="71" t="s">
        <v>515</v>
      </c>
      <c r="B3" s="97">
        <v>0.05</v>
      </c>
      <c r="D3" s="188"/>
      <c r="E3" s="188"/>
      <c r="F3" s="258"/>
    </row>
    <row r="4" spans="1:10" s="63" customFormat="1" x14ac:dyDescent="0.25">
      <c r="A4" s="71" t="s">
        <v>516</v>
      </c>
      <c r="B4" s="97">
        <f>F1</f>
        <v>7.9958563543822539E-2</v>
      </c>
      <c r="D4" s="188"/>
      <c r="E4" s="188"/>
      <c r="F4" s="259"/>
    </row>
    <row r="5" spans="1:10" x14ac:dyDescent="0.25">
      <c r="A5" s="69" t="s">
        <v>517</v>
      </c>
      <c r="B5" s="70">
        <f>B2*(1+B3)/(B4-B3)</f>
        <v>4078121454.965168</v>
      </c>
      <c r="D5" s="63"/>
      <c r="E5" s="63"/>
    </row>
    <row r="6" spans="1:10" x14ac:dyDescent="0.25">
      <c r="A6" s="69" t="s">
        <v>518</v>
      </c>
      <c r="B6" s="70">
        <f>资产资本表!E17</f>
        <v>359724222.34000003</v>
      </c>
      <c r="D6" s="188"/>
      <c r="E6" s="188"/>
      <c r="F6" s="188"/>
      <c r="G6" s="188"/>
    </row>
    <row r="7" spans="1:10" x14ac:dyDescent="0.25">
      <c r="A7" s="69" t="s">
        <v>519</v>
      </c>
      <c r="B7" s="70">
        <f>资产资本表!E19</f>
        <v>33000000</v>
      </c>
      <c r="D7" s="188"/>
      <c r="E7" s="188"/>
      <c r="F7" s="188"/>
      <c r="G7" s="188"/>
    </row>
    <row r="8" spans="1:10" x14ac:dyDescent="0.25">
      <c r="A8" s="69" t="s">
        <v>520</v>
      </c>
      <c r="B8" s="195">
        <f>资产资本表!E89</f>
        <v>0</v>
      </c>
      <c r="C8" s="270" t="s">
        <v>747</v>
      </c>
      <c r="D8" s="271">
        <f>B2/B4</f>
        <v>1455213983.3806396</v>
      </c>
      <c r="E8" s="63"/>
      <c r="F8" s="188"/>
      <c r="G8" s="188"/>
    </row>
    <row r="9" spans="1:10" x14ac:dyDescent="0.25">
      <c r="A9" s="69" t="s">
        <v>521</v>
      </c>
      <c r="B9" s="195">
        <f>B5+B6+B7-B8</f>
        <v>4470845677.3051682</v>
      </c>
      <c r="C9" s="270" t="s">
        <v>748</v>
      </c>
      <c r="D9" s="271">
        <f>(D8+资产资本结构分析表!$E$2+资产资本结构分析表!$E$3)/B55</f>
        <v>8.3997191169119994</v>
      </c>
      <c r="E9" s="188"/>
      <c r="F9" s="188"/>
      <c r="G9" s="188"/>
    </row>
    <row r="10" spans="1:10" x14ac:dyDescent="0.25">
      <c r="A10" s="69" t="s">
        <v>522</v>
      </c>
      <c r="B10" s="72">
        <f>资产资本表!E103/资产资本表!E107</f>
        <v>5.992465806018122E-2</v>
      </c>
      <c r="D10" s="188"/>
      <c r="E10" s="188"/>
      <c r="F10" s="188"/>
      <c r="G10" s="188"/>
    </row>
    <row r="11" spans="1:10" x14ac:dyDescent="0.25">
      <c r="A11" s="69" t="s">
        <v>548</v>
      </c>
      <c r="B11" s="195">
        <f>B9*(1-B10)</f>
        <v>4202931778.8528166</v>
      </c>
      <c r="C11" s="267" t="s">
        <v>744</v>
      </c>
      <c r="D11" s="268">
        <f>资产资本结构分析表!E2</f>
        <v>359724222.34000003</v>
      </c>
      <c r="E11" s="63"/>
      <c r="F11" s="188"/>
      <c r="G11" s="188"/>
    </row>
    <row r="12" spans="1:10" x14ac:dyDescent="0.25">
      <c r="A12" s="69" t="s">
        <v>523</v>
      </c>
      <c r="B12" s="266">
        <f>B55</f>
        <v>220000000</v>
      </c>
      <c r="C12" s="267" t="s">
        <v>745</v>
      </c>
      <c r="D12" s="269">
        <f>D11/B55</f>
        <v>1.6351101015454548</v>
      </c>
      <c r="E12" s="188"/>
      <c r="F12" s="188"/>
      <c r="G12" s="188"/>
    </row>
    <row r="13" spans="1:10" ht="15" thickBot="1" x14ac:dyDescent="0.3">
      <c r="A13" s="73" t="s">
        <v>524</v>
      </c>
      <c r="B13" s="74">
        <f>B11/B12</f>
        <v>19.104235358421892</v>
      </c>
      <c r="D13" s="188"/>
      <c r="E13" s="188"/>
    </row>
    <row r="14" spans="1:10" s="16" customFormat="1" ht="53.25" customHeight="1" x14ac:dyDescent="0.25">
      <c r="A14" s="278" t="s">
        <v>737</v>
      </c>
      <c r="B14" s="277"/>
      <c r="C14" s="277"/>
      <c r="D14" s="277"/>
      <c r="E14" s="277"/>
      <c r="F14" s="277"/>
      <c r="G14" s="277"/>
      <c r="H14" s="277"/>
      <c r="I14" s="277"/>
    </row>
    <row r="16" spans="1:10" x14ac:dyDescent="0.25">
      <c r="A16" s="87"/>
      <c r="B16" s="75"/>
      <c r="C16" s="76"/>
      <c r="D16" s="76"/>
      <c r="E16" s="76"/>
      <c r="F16" s="76"/>
      <c r="G16" s="76"/>
      <c r="H16" s="76"/>
      <c r="I16" s="77"/>
      <c r="J16" s="76"/>
    </row>
    <row r="17" spans="1:10" s="63" customFormat="1" x14ac:dyDescent="0.25">
      <c r="A17" s="89"/>
      <c r="B17" s="89"/>
      <c r="C17" s="89" t="s">
        <v>540</v>
      </c>
      <c r="D17" s="89">
        <v>0.15</v>
      </c>
      <c r="E17" s="89"/>
      <c r="F17" s="89"/>
      <c r="G17" s="89"/>
      <c r="H17" s="89" t="s">
        <v>541</v>
      </c>
      <c r="I17" s="89">
        <v>0.04</v>
      </c>
      <c r="J17" s="77"/>
    </row>
    <row r="18" spans="1:10" s="2" customFormat="1" x14ac:dyDescent="0.25">
      <c r="A18" s="299" t="s">
        <v>525</v>
      </c>
      <c r="B18" s="299"/>
      <c r="C18" s="65" t="s">
        <v>539</v>
      </c>
      <c r="D18" s="96">
        <v>1</v>
      </c>
      <c r="E18" s="96">
        <v>2</v>
      </c>
      <c r="F18" s="96">
        <v>3</v>
      </c>
      <c r="G18" s="96">
        <v>4</v>
      </c>
      <c r="H18" s="96">
        <v>5</v>
      </c>
      <c r="I18" s="95">
        <v>6</v>
      </c>
      <c r="J18" s="79"/>
    </row>
    <row r="19" spans="1:10" s="26" customFormat="1" x14ac:dyDescent="0.25">
      <c r="A19" s="98" t="s">
        <v>526</v>
      </c>
      <c r="B19" s="93"/>
      <c r="C19" s="88">
        <f>B2</f>
        <v>116356819.75999999</v>
      </c>
      <c r="D19" s="88">
        <f>C19*(1+$D$17)</f>
        <v>133810342.72399998</v>
      </c>
      <c r="E19" s="88">
        <f>D19*(1+$D$17)</f>
        <v>153881894.13259995</v>
      </c>
      <c r="F19" s="88">
        <f>E19*(1+$D$17)</f>
        <v>176964178.25248992</v>
      </c>
      <c r="G19" s="88">
        <f>F19*(1+$D$17)</f>
        <v>203508804.99036339</v>
      </c>
      <c r="H19" s="88">
        <f>G19*(1+$D$17)</f>
        <v>234035125.73891789</v>
      </c>
      <c r="I19" s="88">
        <f>H19*(1+I17)</f>
        <v>243396530.76847461</v>
      </c>
      <c r="J19" s="75"/>
    </row>
    <row r="20" spans="1:10" s="26" customFormat="1" x14ac:dyDescent="0.25">
      <c r="A20" s="98" t="s">
        <v>527</v>
      </c>
      <c r="B20" s="94">
        <f>B4</f>
        <v>7.9958563543822539E-2</v>
      </c>
      <c r="C20" s="88"/>
      <c r="D20" s="88">
        <f t="shared" ref="D20:I20" si="0">(1+$B$20)^D18</f>
        <v>1.0799585635438225</v>
      </c>
      <c r="E20" s="88">
        <f t="shared" si="0"/>
        <v>1.1663104989716364</v>
      </c>
      <c r="F20" s="88">
        <f t="shared" si="0"/>
        <v>1.2595670111154873</v>
      </c>
      <c r="G20" s="88">
        <f t="shared" si="0"/>
        <v>1.3602801800114674</v>
      </c>
      <c r="H20" s="88">
        <f t="shared" si="0"/>
        <v>1.4690462292223165</v>
      </c>
      <c r="I20" s="88">
        <f t="shared" si="0"/>
        <v>1.586509055490402</v>
      </c>
      <c r="J20" s="75"/>
    </row>
    <row r="21" spans="1:10" s="26" customFormat="1" x14ac:dyDescent="0.25">
      <c r="A21" s="300" t="s">
        <v>528</v>
      </c>
      <c r="B21" s="300"/>
      <c r="C21" s="88"/>
      <c r="D21" s="88">
        <f>D19/D20</f>
        <v>123903219.29103369</v>
      </c>
      <c r="E21" s="88">
        <f>E19/E20</f>
        <v>131939045.62145437</v>
      </c>
      <c r="F21" s="88">
        <f>F19/F20</f>
        <v>140496040.85436341</v>
      </c>
      <c r="G21" s="88">
        <f>G19/G20</f>
        <v>149608005.74823326</v>
      </c>
      <c r="H21" s="88">
        <f>H19/H20</f>
        <v>159310933.23238122</v>
      </c>
      <c r="I21" s="88">
        <f>I19/((B20-I17)*I20)</f>
        <v>3839387626.4053364</v>
      </c>
      <c r="J21" s="75"/>
    </row>
    <row r="22" spans="1:10" s="26" customFormat="1" x14ac:dyDescent="0.25">
      <c r="A22" s="300" t="s">
        <v>546</v>
      </c>
      <c r="B22" s="300"/>
      <c r="C22" s="88"/>
      <c r="D22" s="296">
        <f>SUM(D21:H21)</f>
        <v>705257244.74746597</v>
      </c>
      <c r="E22" s="297"/>
      <c r="F22" s="297"/>
      <c r="G22" s="297"/>
      <c r="H22" s="298"/>
      <c r="I22" s="88">
        <f>I21</f>
        <v>3839387626.4053364</v>
      </c>
      <c r="J22" s="75"/>
    </row>
    <row r="23" spans="1:10" x14ac:dyDescent="0.25">
      <c r="A23" s="91" t="s">
        <v>529</v>
      </c>
      <c r="B23" s="75">
        <f>D22+I22</f>
        <v>4544644871.1528025</v>
      </c>
      <c r="C23" s="76"/>
      <c r="D23" s="76"/>
      <c r="E23" s="76"/>
      <c r="F23" s="76"/>
      <c r="G23" s="76"/>
      <c r="H23" s="76"/>
      <c r="I23" s="78"/>
      <c r="J23" s="76"/>
    </row>
    <row r="24" spans="1:10" x14ac:dyDescent="0.25">
      <c r="A24" s="91" t="s">
        <v>530</v>
      </c>
      <c r="B24" s="75">
        <f>B23</f>
        <v>4544644871.1528025</v>
      </c>
      <c r="C24" s="76"/>
      <c r="D24" s="76"/>
      <c r="E24" s="76"/>
      <c r="F24" s="76"/>
      <c r="G24" s="76"/>
      <c r="H24" s="76"/>
      <c r="I24" s="78"/>
      <c r="J24" s="76"/>
    </row>
    <row r="25" spans="1:10" x14ac:dyDescent="0.25">
      <c r="A25" s="69" t="s">
        <v>531</v>
      </c>
      <c r="B25" s="70">
        <f>资产资本表!E17</f>
        <v>359724222.34000003</v>
      </c>
      <c r="C25" s="76"/>
      <c r="D25" s="76"/>
      <c r="E25" s="76"/>
      <c r="F25" s="76"/>
      <c r="G25" s="76"/>
      <c r="H25" s="76"/>
      <c r="I25" s="78"/>
      <c r="J25" s="76"/>
    </row>
    <row r="26" spans="1:10" x14ac:dyDescent="0.25">
      <c r="A26" s="69" t="s">
        <v>532</v>
      </c>
      <c r="B26" s="70">
        <f>资产资本表!E19</f>
        <v>33000000</v>
      </c>
      <c r="C26" s="76"/>
      <c r="D26" s="76"/>
      <c r="E26" s="76"/>
      <c r="F26" s="76"/>
      <c r="G26" s="76"/>
      <c r="H26" s="76"/>
      <c r="I26" s="78"/>
      <c r="J26" s="76"/>
    </row>
    <row r="27" spans="1:10" x14ac:dyDescent="0.25">
      <c r="A27" s="69" t="s">
        <v>533</v>
      </c>
      <c r="B27" s="70">
        <f>资产资本表!E89</f>
        <v>0</v>
      </c>
      <c r="C27" s="76"/>
      <c r="D27" s="76"/>
      <c r="E27" s="76"/>
      <c r="F27" s="76"/>
      <c r="G27" s="76"/>
      <c r="H27" s="76"/>
      <c r="I27" s="78"/>
      <c r="J27" s="76"/>
    </row>
    <row r="28" spans="1:10" s="2" customFormat="1" x14ac:dyDescent="0.25">
      <c r="A28" s="81" t="s">
        <v>534</v>
      </c>
      <c r="B28" s="82">
        <f>B24+B25+B26-B27</f>
        <v>4937369093.4928026</v>
      </c>
      <c r="C28" s="79"/>
      <c r="D28" s="79"/>
      <c r="E28" s="79"/>
      <c r="F28" s="79"/>
      <c r="G28" s="79"/>
      <c r="H28" s="79"/>
      <c r="I28" s="80"/>
      <c r="J28" s="79"/>
    </row>
    <row r="29" spans="1:10" x14ac:dyDescent="0.25">
      <c r="A29" s="69" t="s">
        <v>535</v>
      </c>
      <c r="B29" s="77">
        <f>资产资本表!E103/资产资本表!E107</f>
        <v>5.992465806018122E-2</v>
      </c>
      <c r="C29" s="301" t="s">
        <v>542</v>
      </c>
      <c r="D29" s="301"/>
      <c r="E29" s="301"/>
      <c r="F29" s="76"/>
      <c r="G29" s="76"/>
      <c r="H29" s="76"/>
      <c r="I29" s="78"/>
      <c r="J29" s="76"/>
    </row>
    <row r="30" spans="1:10" s="2" customFormat="1" x14ac:dyDescent="0.25">
      <c r="A30" s="81" t="s">
        <v>536</v>
      </c>
      <c r="B30" s="82">
        <f>B28*(1-B29)</f>
        <v>4641498938.8483391</v>
      </c>
      <c r="C30" s="90">
        <v>0.4</v>
      </c>
      <c r="D30" s="90">
        <v>0.3</v>
      </c>
      <c r="E30" s="90">
        <v>0.2</v>
      </c>
      <c r="F30" s="79"/>
      <c r="G30" s="79"/>
      <c r="H30" s="79"/>
      <c r="I30" s="80"/>
      <c r="J30" s="79"/>
    </row>
    <row r="31" spans="1:10" x14ac:dyDescent="0.25">
      <c r="A31" s="69" t="s">
        <v>746</v>
      </c>
      <c r="B31" s="100">
        <f>B55</f>
        <v>220000000</v>
      </c>
      <c r="C31" s="213">
        <f>$B$32*(1-C30)</f>
        <v>12.658633469586379</v>
      </c>
      <c r="D31" s="213">
        <f>$B$32*(1-D30)</f>
        <v>14.76840571451744</v>
      </c>
      <c r="E31" s="213">
        <f>$B$32*(1-E30)</f>
        <v>16.878177959448504</v>
      </c>
      <c r="F31" s="76"/>
      <c r="G31" s="76"/>
      <c r="H31" s="76"/>
      <c r="I31" s="78"/>
      <c r="J31" s="76"/>
    </row>
    <row r="32" spans="1:10" s="2" customFormat="1" ht="15" thickBot="1" x14ac:dyDescent="0.3">
      <c r="A32" s="83" t="s">
        <v>537</v>
      </c>
      <c r="B32" s="84">
        <f>B30/B31</f>
        <v>21.097722449310631</v>
      </c>
      <c r="C32" s="85"/>
      <c r="D32" s="85"/>
      <c r="E32" s="85"/>
      <c r="F32" s="85"/>
      <c r="G32" s="85"/>
      <c r="H32" s="85"/>
      <c r="I32" s="86"/>
      <c r="J32" s="79"/>
    </row>
    <row r="33" spans="1:19" ht="63" customHeight="1" x14ac:dyDescent="0.25">
      <c r="A33" s="302" t="s">
        <v>738</v>
      </c>
      <c r="B33" s="303"/>
      <c r="C33" s="303"/>
      <c r="D33" s="303"/>
      <c r="E33" s="303"/>
      <c r="F33" s="303"/>
      <c r="G33" s="303"/>
      <c r="H33" s="303"/>
      <c r="I33" s="303"/>
    </row>
    <row r="37" spans="1:19" s="63" customFormat="1" x14ac:dyDescent="0.25">
      <c r="A37" s="202"/>
      <c r="B37" s="202"/>
      <c r="C37" s="212" t="s">
        <v>540</v>
      </c>
      <c r="D37" s="212">
        <v>0.15</v>
      </c>
      <c r="E37" s="212"/>
      <c r="F37" s="212"/>
      <c r="G37" s="212"/>
      <c r="H37" s="212" t="s">
        <v>635</v>
      </c>
      <c r="I37" s="212">
        <v>0.09</v>
      </c>
      <c r="J37" s="212"/>
      <c r="K37" s="212"/>
      <c r="L37" s="212"/>
      <c r="M37" s="212"/>
      <c r="N37" s="212"/>
      <c r="O37" s="212"/>
      <c r="P37" s="212"/>
      <c r="Q37" s="212"/>
      <c r="R37" s="212" t="s">
        <v>545</v>
      </c>
      <c r="S37" s="212">
        <v>0.02</v>
      </c>
    </row>
    <row r="38" spans="1:19" s="24" customFormat="1" x14ac:dyDescent="0.25">
      <c r="A38" s="310" t="s">
        <v>543</v>
      </c>
      <c r="B38" s="311"/>
      <c r="C38" s="214" t="s">
        <v>539</v>
      </c>
      <c r="D38" s="215">
        <v>1</v>
      </c>
      <c r="E38" s="215">
        <v>2</v>
      </c>
      <c r="F38" s="215">
        <v>3</v>
      </c>
      <c r="G38" s="215">
        <v>4</v>
      </c>
      <c r="H38" s="215">
        <v>5</v>
      </c>
      <c r="I38" s="216">
        <v>6</v>
      </c>
      <c r="J38" s="216">
        <v>7</v>
      </c>
      <c r="K38" s="216">
        <v>8</v>
      </c>
      <c r="L38" s="216">
        <v>9</v>
      </c>
      <c r="M38" s="216">
        <v>10</v>
      </c>
      <c r="N38" s="216">
        <v>11</v>
      </c>
      <c r="O38" s="216">
        <v>12</v>
      </c>
      <c r="P38" s="216">
        <v>13</v>
      </c>
      <c r="Q38" s="216">
        <v>14</v>
      </c>
      <c r="R38" s="216">
        <v>15</v>
      </c>
      <c r="S38" s="217">
        <v>16</v>
      </c>
    </row>
    <row r="39" spans="1:19" s="191" customFormat="1" x14ac:dyDescent="0.25">
      <c r="A39" s="98" t="s">
        <v>526</v>
      </c>
      <c r="B39" s="93"/>
      <c r="C39" s="88">
        <f>B2</f>
        <v>116356819.75999999</v>
      </c>
      <c r="D39" s="88">
        <f>$C$39*(1+$D$37)^D38</f>
        <v>133810342.72399998</v>
      </c>
      <c r="E39" s="88">
        <f>$C$39*(1+$D$37)^E38</f>
        <v>153881894.13259995</v>
      </c>
      <c r="F39" s="88">
        <f>$C$39*(1+$D$37)^F38</f>
        <v>176964178.25248992</v>
      </c>
      <c r="G39" s="88">
        <f>$C$39*(1+$D$37)^G38</f>
        <v>203508804.99036342</v>
      </c>
      <c r="H39" s="88">
        <f>$C$39*(1+$D$37)^H38</f>
        <v>234035125.73891795</v>
      </c>
      <c r="I39" s="88">
        <f>H39*(1+$I$37)</f>
        <v>255098287.05542058</v>
      </c>
      <c r="J39" s="88">
        <f t="shared" ref="J39:N39" si="1">I39*(1+$I$37)</f>
        <v>278057132.89040846</v>
      </c>
      <c r="K39" s="88">
        <f t="shared" si="1"/>
        <v>303082274.85054523</v>
      </c>
      <c r="L39" s="88">
        <f t="shared" si="1"/>
        <v>330359679.58709431</v>
      </c>
      <c r="M39" s="88">
        <f t="shared" si="1"/>
        <v>360092050.74993283</v>
      </c>
      <c r="N39" s="88">
        <f t="shared" si="1"/>
        <v>392500335.3174268</v>
      </c>
      <c r="O39" s="88">
        <f t="shared" ref="O39" si="2">N39*(1+$I$37)</f>
        <v>427825365.49599522</v>
      </c>
      <c r="P39" s="88">
        <f t="shared" ref="P39" si="3">O39*(1+$I$37)</f>
        <v>466329648.39063483</v>
      </c>
      <c r="Q39" s="88">
        <f t="shared" ref="Q39" si="4">P39*(1+$I$37)</f>
        <v>508299316.74579203</v>
      </c>
      <c r="R39" s="88">
        <f t="shared" ref="R39" si="5">Q39*(1+$I$37)</f>
        <v>554046255.25291336</v>
      </c>
      <c r="S39" s="88">
        <f>R39*(1+S37)</f>
        <v>565127180.35797167</v>
      </c>
    </row>
    <row r="40" spans="1:19" s="23" customFormat="1" x14ac:dyDescent="0.25">
      <c r="A40" s="208" t="s">
        <v>527</v>
      </c>
      <c r="B40" s="207">
        <f>B4</f>
        <v>7.9958563543822539E-2</v>
      </c>
      <c r="C40" s="213"/>
      <c r="D40" s="213">
        <f>(1+$B$40)^D38</f>
        <v>1.0799585635438225</v>
      </c>
      <c r="E40" s="213">
        <f t="shared" ref="E40:R40" si="6">(1+$B$40)^E38</f>
        <v>1.1663104989716364</v>
      </c>
      <c r="F40" s="213">
        <f t="shared" si="6"/>
        <v>1.2595670111154873</v>
      </c>
      <c r="G40" s="213">
        <f t="shared" si="6"/>
        <v>1.3602801800114674</v>
      </c>
      <c r="H40" s="213">
        <f t="shared" si="6"/>
        <v>1.4690462292223165</v>
      </c>
      <c r="I40" s="213">
        <f t="shared" si="6"/>
        <v>1.586509055490402</v>
      </c>
      <c r="J40" s="213">
        <f t="shared" si="6"/>
        <v>1.713364040616681</v>
      </c>
      <c r="K40" s="213">
        <f t="shared" si="6"/>
        <v>1.8503621681320304</v>
      </c>
      <c r="L40" s="213">
        <f t="shared" si="6"/>
        <v>1.9983144691317005</v>
      </c>
      <c r="M40" s="213">
        <f t="shared" si="6"/>
        <v>2.1580968235923073</v>
      </c>
      <c r="N40" s="213">
        <f t="shared" si="6"/>
        <v>2.3306551455952342</v>
      </c>
      <c r="O40" s="213">
        <f t="shared" si="6"/>
        <v>2.5170109831530474</v>
      </c>
      <c r="P40" s="213">
        <f t="shared" si="6"/>
        <v>2.7182675657899891</v>
      </c>
      <c r="Q40" s="213">
        <f t="shared" si="6"/>
        <v>2.9356163356783198</v>
      </c>
      <c r="R40" s="213">
        <f t="shared" si="6"/>
        <v>3.170344000994938</v>
      </c>
      <c r="S40" s="181">
        <f>(1+$B$40)^S38</f>
        <v>3.4238401532542682</v>
      </c>
    </row>
    <row r="41" spans="1:19" s="191" customFormat="1" x14ac:dyDescent="0.25">
      <c r="A41" s="312" t="s">
        <v>528</v>
      </c>
      <c r="B41" s="313"/>
      <c r="C41" s="88"/>
      <c r="D41" s="88">
        <f t="shared" ref="D41:R41" si="7">D39/D40</f>
        <v>123903219.29103369</v>
      </c>
      <c r="E41" s="88">
        <f t="shared" si="7"/>
        <v>131939045.62145437</v>
      </c>
      <c r="F41" s="88">
        <f t="shared" si="7"/>
        <v>140496040.85436341</v>
      </c>
      <c r="G41" s="88">
        <f t="shared" si="7"/>
        <v>149608005.74823329</v>
      </c>
      <c r="H41" s="88">
        <f t="shared" si="7"/>
        <v>159310933.23238128</v>
      </c>
      <c r="I41" s="88">
        <f t="shared" si="7"/>
        <v>160792203.59480882</v>
      </c>
      <c r="J41" s="88">
        <f t="shared" si="7"/>
        <v>162287246.78401035</v>
      </c>
      <c r="K41" s="88">
        <f t="shared" si="7"/>
        <v>163796190.85949621</v>
      </c>
      <c r="L41" s="88">
        <f t="shared" si="7"/>
        <v>165319165.0714719</v>
      </c>
      <c r="M41" s="88">
        <f t="shared" si="7"/>
        <v>166856299.87190923</v>
      </c>
      <c r="N41" s="88">
        <f t="shared" si="7"/>
        <v>168407726.92572019</v>
      </c>
      <c r="O41" s="88">
        <f t="shared" si="7"/>
        <v>169973579.12203485</v>
      </c>
      <c r="P41" s="88">
        <f t="shared" si="7"/>
        <v>171553990.58558425</v>
      </c>
      <c r="Q41" s="88">
        <f t="shared" si="7"/>
        <v>173149096.68818885</v>
      </c>
      <c r="R41" s="88">
        <f t="shared" si="7"/>
        <v>174759034.06035399</v>
      </c>
      <c r="S41" s="88">
        <f>S39/((B40-S37)*S40)</f>
        <v>2752843327.4220772</v>
      </c>
    </row>
    <row r="42" spans="1:19" s="23" customFormat="1" x14ac:dyDescent="0.25">
      <c r="A42" s="314" t="s">
        <v>546</v>
      </c>
      <c r="B42" s="315"/>
      <c r="C42" s="213"/>
      <c r="D42" s="307">
        <f>SUM(D41:H41)</f>
        <v>705257244.74746609</v>
      </c>
      <c r="E42" s="308"/>
      <c r="F42" s="308"/>
      <c r="G42" s="308"/>
      <c r="H42" s="309"/>
      <c r="I42" s="307">
        <f>SUM(I41:R41)</f>
        <v>1676894533.5635786</v>
      </c>
      <c r="J42" s="308"/>
      <c r="K42" s="308"/>
      <c r="L42" s="308"/>
      <c r="M42" s="308"/>
      <c r="N42" s="308"/>
      <c r="O42" s="308"/>
      <c r="P42" s="308"/>
      <c r="Q42" s="308"/>
      <c r="R42" s="309"/>
      <c r="S42" s="213">
        <f>S41</f>
        <v>2752843327.4220772</v>
      </c>
    </row>
    <row r="43" spans="1:19" x14ac:dyDescent="0.25">
      <c r="A43" s="204" t="s">
        <v>544</v>
      </c>
      <c r="B43" s="195">
        <f>D42+I42+S42</f>
        <v>5134995105.7331219</v>
      </c>
      <c r="C43" s="196"/>
      <c r="D43" s="196"/>
      <c r="E43" s="196"/>
      <c r="F43" s="196"/>
      <c r="G43" s="196"/>
      <c r="H43" s="196"/>
      <c r="I43" s="196"/>
      <c r="J43" s="196"/>
      <c r="K43" s="196"/>
      <c r="L43" s="196"/>
      <c r="M43" s="196"/>
      <c r="N43" s="196"/>
      <c r="O43" s="196"/>
      <c r="P43" s="196"/>
      <c r="Q43" s="196"/>
      <c r="R43" s="196"/>
      <c r="S43" s="198"/>
    </row>
    <row r="44" spans="1:19" x14ac:dyDescent="0.25">
      <c r="A44" s="204" t="s">
        <v>530</v>
      </c>
      <c r="B44" s="195">
        <f>B43</f>
        <v>5134995105.7331219</v>
      </c>
      <c r="C44" s="196"/>
      <c r="D44" s="196"/>
      <c r="E44" s="196"/>
      <c r="F44" s="196"/>
      <c r="G44" s="196"/>
      <c r="H44" s="196"/>
      <c r="I44" s="196"/>
      <c r="J44" s="196"/>
      <c r="K44" s="196"/>
      <c r="L44" s="196"/>
      <c r="M44" s="196"/>
      <c r="N44" s="196"/>
      <c r="O44" s="196"/>
      <c r="P44" s="196"/>
      <c r="Q44" s="196"/>
      <c r="R44" s="196"/>
      <c r="S44" s="198"/>
    </row>
    <row r="45" spans="1:19" x14ac:dyDescent="0.25">
      <c r="A45" s="194" t="s">
        <v>531</v>
      </c>
      <c r="B45" s="195">
        <f>资产资本表!E17</f>
        <v>359724222.34000003</v>
      </c>
      <c r="C45" s="196"/>
      <c r="D45" s="196"/>
      <c r="E45" s="196"/>
      <c r="F45" s="196"/>
      <c r="G45" s="196"/>
      <c r="H45" s="196"/>
      <c r="I45" s="196"/>
      <c r="J45" s="196"/>
      <c r="K45" s="196"/>
      <c r="L45" s="196"/>
      <c r="M45" s="196"/>
      <c r="N45" s="196"/>
      <c r="O45" s="196"/>
      <c r="P45" s="196"/>
      <c r="Q45" s="196"/>
      <c r="R45" s="196"/>
      <c r="S45" s="198"/>
    </row>
    <row r="46" spans="1:19" x14ac:dyDescent="0.25">
      <c r="A46" s="194" t="s">
        <v>532</v>
      </c>
      <c r="B46" s="195">
        <f>资产资本表!E19</f>
        <v>33000000</v>
      </c>
      <c r="C46" s="196"/>
      <c r="D46" s="196"/>
      <c r="E46" s="196"/>
      <c r="F46" s="196"/>
      <c r="G46" s="196"/>
      <c r="H46" s="196"/>
      <c r="I46" s="196"/>
      <c r="J46" s="196"/>
      <c r="K46" s="196"/>
      <c r="L46" s="196"/>
      <c r="M46" s="196"/>
      <c r="N46" s="196"/>
      <c r="O46" s="196"/>
      <c r="P46" s="196"/>
      <c r="Q46" s="196"/>
      <c r="R46" s="196"/>
      <c r="S46" s="198"/>
    </row>
    <row r="47" spans="1:19" x14ac:dyDescent="0.25">
      <c r="A47" s="194" t="s">
        <v>533</v>
      </c>
      <c r="B47" s="195">
        <f>资产资本表!E89</f>
        <v>0</v>
      </c>
      <c r="C47" s="196"/>
      <c r="D47" s="196"/>
      <c r="E47" s="196"/>
      <c r="F47" s="196"/>
      <c r="G47" s="196"/>
      <c r="H47" s="196"/>
      <c r="I47" s="196"/>
      <c r="J47" s="196"/>
      <c r="K47" s="196"/>
      <c r="L47" s="196"/>
      <c r="M47" s="196"/>
      <c r="N47" s="196"/>
      <c r="O47" s="196"/>
      <c r="P47" s="196"/>
      <c r="Q47" s="196"/>
      <c r="R47" s="196"/>
      <c r="S47" s="198"/>
    </row>
    <row r="48" spans="1:19" x14ac:dyDescent="0.25">
      <c r="A48" s="199" t="s">
        <v>534</v>
      </c>
      <c r="B48" s="195">
        <f>B44+B45+B46-B47</f>
        <v>5527719328.073122</v>
      </c>
      <c r="C48" s="196"/>
      <c r="D48" s="196"/>
      <c r="E48" s="196"/>
      <c r="F48" s="196"/>
      <c r="G48" s="196"/>
      <c r="H48" s="196"/>
      <c r="I48" s="196"/>
      <c r="J48" s="196"/>
      <c r="K48" s="196"/>
      <c r="L48" s="196"/>
      <c r="M48" s="196"/>
      <c r="N48" s="196"/>
      <c r="O48" s="196"/>
      <c r="P48" s="196"/>
      <c r="Q48" s="196"/>
      <c r="R48" s="196"/>
      <c r="S48" s="198"/>
    </row>
    <row r="49" spans="1:74" x14ac:dyDescent="0.25">
      <c r="A49" s="194" t="s">
        <v>535</v>
      </c>
      <c r="B49" s="197">
        <f>资产资本表!E103/资产资本表!E107</f>
        <v>5.992465806018122E-2</v>
      </c>
      <c r="C49" s="196"/>
      <c r="D49" s="196"/>
      <c r="E49" s="196"/>
      <c r="F49" s="196"/>
      <c r="G49" s="196"/>
      <c r="H49" s="196"/>
      <c r="I49" s="196"/>
      <c r="J49" s="196"/>
      <c r="K49" s="196"/>
      <c r="L49" s="196"/>
      <c r="M49" s="196"/>
      <c r="N49" s="196"/>
      <c r="O49" s="196"/>
      <c r="P49" s="196"/>
      <c r="Q49" s="196"/>
      <c r="R49" s="196"/>
      <c r="S49" s="198"/>
      <c r="T49" s="188"/>
      <c r="U49" s="188"/>
      <c r="V49" s="188"/>
      <c r="W49" s="188"/>
      <c r="X49" s="188"/>
      <c r="Y49" s="188"/>
      <c r="Z49" s="188"/>
      <c r="AA49" s="188"/>
      <c r="AB49" s="188"/>
      <c r="AC49" s="188"/>
      <c r="AD49" s="188"/>
      <c r="AE49" s="188"/>
      <c r="AF49" s="188"/>
      <c r="AG49" s="188"/>
      <c r="AH49" s="188"/>
      <c r="AI49" s="188"/>
      <c r="AJ49" s="188"/>
      <c r="AK49" s="188"/>
      <c r="AL49" s="188"/>
      <c r="AM49" s="188"/>
      <c r="AN49" s="188"/>
      <c r="AO49" s="188"/>
      <c r="AP49" s="188"/>
      <c r="AQ49" s="188"/>
      <c r="AR49" s="188"/>
      <c r="AS49" s="188"/>
      <c r="AT49" s="188"/>
      <c r="AU49" s="188"/>
      <c r="AV49" s="188"/>
      <c r="AW49" s="188"/>
      <c r="AX49" s="188"/>
      <c r="AY49" s="188"/>
      <c r="AZ49" s="188"/>
      <c r="BA49" s="188"/>
      <c r="BB49" s="188"/>
      <c r="BC49" s="188"/>
      <c r="BD49" s="188"/>
      <c r="BE49" s="188"/>
      <c r="BF49" s="188"/>
      <c r="BG49" s="188"/>
      <c r="BH49" s="188"/>
      <c r="BI49" s="188"/>
      <c r="BJ49" s="188"/>
      <c r="BK49" s="188"/>
      <c r="BL49" s="188"/>
      <c r="BM49" s="188"/>
      <c r="BN49" s="188"/>
      <c r="BO49" s="188"/>
      <c r="BP49" s="188"/>
      <c r="BQ49" s="188"/>
      <c r="BR49" s="188"/>
      <c r="BS49" s="188"/>
      <c r="BT49" s="188"/>
      <c r="BU49" s="188"/>
      <c r="BV49" s="188"/>
    </row>
    <row r="50" spans="1:74" x14ac:dyDescent="0.25">
      <c r="A50" s="199" t="s">
        <v>536</v>
      </c>
      <c r="B50" s="195">
        <f>B48*(1-B49)</f>
        <v>5196472637.4856853</v>
      </c>
      <c r="C50" s="304" t="s">
        <v>542</v>
      </c>
      <c r="D50" s="305"/>
      <c r="E50" s="306"/>
      <c r="F50" s="196"/>
      <c r="G50" s="196"/>
      <c r="H50" s="196"/>
      <c r="I50" s="196"/>
      <c r="J50" s="196"/>
      <c r="K50" s="196"/>
      <c r="L50" s="196"/>
      <c r="M50" s="196"/>
      <c r="N50" s="196"/>
      <c r="O50" s="196"/>
      <c r="P50" s="196"/>
      <c r="Q50" s="196"/>
      <c r="R50" s="196"/>
      <c r="S50" s="198"/>
      <c r="T50" s="188"/>
      <c r="U50" s="188"/>
      <c r="V50" s="188"/>
      <c r="W50" s="188"/>
      <c r="X50" s="188"/>
      <c r="Y50" s="188"/>
      <c r="Z50" s="188"/>
      <c r="AA50" s="188"/>
      <c r="AB50" s="188"/>
      <c r="AC50" s="188"/>
      <c r="AD50" s="188"/>
      <c r="AE50" s="188"/>
      <c r="AF50" s="188"/>
      <c r="AG50" s="188"/>
      <c r="AH50" s="188"/>
      <c r="AI50" s="188"/>
      <c r="AJ50" s="188"/>
      <c r="AK50" s="188"/>
      <c r="AL50" s="188"/>
      <c r="AM50" s="188"/>
      <c r="AN50" s="188"/>
      <c r="AO50" s="188"/>
      <c r="AP50" s="188"/>
      <c r="AQ50" s="188"/>
      <c r="AR50" s="188"/>
      <c r="AS50" s="188"/>
      <c r="AT50" s="188"/>
      <c r="AU50" s="188"/>
      <c r="AV50" s="188"/>
      <c r="AW50" s="188"/>
      <c r="AX50" s="188"/>
      <c r="AY50" s="188"/>
      <c r="AZ50" s="188"/>
      <c r="BA50" s="188"/>
      <c r="BB50" s="188"/>
      <c r="BC50" s="188"/>
      <c r="BD50" s="188"/>
      <c r="BE50" s="188"/>
      <c r="BF50" s="188"/>
      <c r="BG50" s="188"/>
      <c r="BH50" s="188"/>
      <c r="BI50" s="188"/>
      <c r="BJ50" s="188"/>
      <c r="BK50" s="188"/>
      <c r="BL50" s="188"/>
      <c r="BM50" s="188"/>
      <c r="BN50" s="188"/>
      <c r="BO50" s="188"/>
      <c r="BP50" s="188"/>
      <c r="BQ50" s="188"/>
      <c r="BR50" s="188"/>
      <c r="BS50" s="188"/>
      <c r="BT50" s="188"/>
      <c r="BU50" s="188"/>
      <c r="BV50" s="188"/>
    </row>
    <row r="51" spans="1:74" x14ac:dyDescent="0.25">
      <c r="A51" s="194" t="s">
        <v>538</v>
      </c>
      <c r="B51" s="209">
        <f>B55</f>
        <v>220000000</v>
      </c>
      <c r="C51" s="203">
        <v>0.4</v>
      </c>
      <c r="D51" s="203">
        <v>0.3</v>
      </c>
      <c r="E51" s="203">
        <v>0.2</v>
      </c>
      <c r="F51" s="196"/>
      <c r="G51" s="196"/>
      <c r="H51" s="196"/>
      <c r="I51" s="196"/>
      <c r="J51" s="196"/>
      <c r="K51" s="196"/>
      <c r="L51" s="196"/>
      <c r="M51" s="196"/>
      <c r="N51" s="196"/>
      <c r="O51" s="196"/>
      <c r="P51" s="196"/>
      <c r="Q51" s="196"/>
      <c r="R51" s="196"/>
      <c r="S51" s="198"/>
      <c r="T51" s="188"/>
      <c r="U51" s="188"/>
      <c r="V51" s="188"/>
      <c r="W51" s="188"/>
      <c r="X51" s="188"/>
      <c r="Y51" s="188"/>
      <c r="Z51" s="188"/>
      <c r="AA51" s="188"/>
      <c r="AB51" s="188"/>
      <c r="AC51" s="188"/>
      <c r="AD51" s="188"/>
      <c r="AE51" s="188"/>
      <c r="AF51" s="188"/>
      <c r="AG51" s="188"/>
      <c r="AH51" s="188"/>
      <c r="AI51" s="188"/>
      <c r="AJ51" s="188"/>
      <c r="AK51" s="188"/>
      <c r="AL51" s="188"/>
      <c r="AM51" s="188"/>
      <c r="AN51" s="188"/>
      <c r="AO51" s="188"/>
      <c r="AP51" s="188"/>
      <c r="AQ51" s="188"/>
      <c r="AR51" s="188"/>
      <c r="AS51" s="188"/>
      <c r="AT51" s="188"/>
      <c r="AU51" s="188"/>
      <c r="AV51" s="188"/>
      <c r="AW51" s="188"/>
      <c r="AX51" s="188"/>
      <c r="AY51" s="188"/>
      <c r="AZ51" s="188"/>
      <c r="BA51" s="188"/>
      <c r="BB51" s="188"/>
      <c r="BC51" s="188"/>
      <c r="BD51" s="188"/>
      <c r="BE51" s="188"/>
      <c r="BF51" s="188"/>
      <c r="BG51" s="188"/>
      <c r="BH51" s="188"/>
      <c r="BI51" s="188"/>
      <c r="BJ51" s="188"/>
      <c r="BK51" s="188"/>
      <c r="BL51" s="188"/>
      <c r="BM51" s="188"/>
      <c r="BN51" s="188"/>
      <c r="BO51" s="188"/>
      <c r="BP51" s="188"/>
      <c r="BQ51" s="188"/>
      <c r="BR51" s="188"/>
      <c r="BS51" s="188"/>
      <c r="BT51" s="188"/>
      <c r="BU51" s="188"/>
      <c r="BV51" s="188"/>
    </row>
    <row r="52" spans="1:74" ht="15" thickBot="1" x14ac:dyDescent="0.3">
      <c r="A52" s="200" t="s">
        <v>537</v>
      </c>
      <c r="B52" s="205">
        <f>B50/B51</f>
        <v>23.620330170389479</v>
      </c>
      <c r="C52" s="206">
        <f>$B$52*(1-C51)</f>
        <v>14.172198102233688</v>
      </c>
      <c r="D52" s="206">
        <f>$B$52*(1-D51)</f>
        <v>16.534231119272636</v>
      </c>
      <c r="E52" s="206">
        <f>$B$52*(1-E51)</f>
        <v>18.896264136311583</v>
      </c>
      <c r="F52" s="192"/>
      <c r="G52" s="192"/>
      <c r="H52" s="192"/>
      <c r="I52" s="192"/>
      <c r="J52" s="192"/>
      <c r="K52" s="192"/>
      <c r="L52" s="192"/>
      <c r="M52" s="192"/>
      <c r="N52" s="192"/>
      <c r="O52" s="192"/>
      <c r="P52" s="192"/>
      <c r="Q52" s="192"/>
      <c r="R52" s="192"/>
      <c r="S52" s="201"/>
      <c r="T52" s="188"/>
      <c r="U52" s="188"/>
      <c r="V52" s="188"/>
      <c r="W52" s="188"/>
      <c r="X52" s="188"/>
      <c r="Y52" s="188"/>
      <c r="Z52" s="188"/>
      <c r="AA52" s="188"/>
      <c r="AB52" s="188"/>
      <c r="AC52" s="188"/>
      <c r="AD52" s="188"/>
      <c r="AE52" s="188"/>
      <c r="AF52" s="188"/>
      <c r="AG52" s="188"/>
      <c r="AH52" s="188"/>
      <c r="AI52" s="188"/>
      <c r="AJ52" s="188"/>
      <c r="AK52" s="188"/>
      <c r="AL52" s="188"/>
      <c r="AM52" s="188"/>
      <c r="AN52" s="188"/>
      <c r="AO52" s="188"/>
      <c r="AP52" s="188"/>
      <c r="AQ52" s="188"/>
      <c r="AR52" s="188"/>
      <c r="AS52" s="188"/>
      <c r="AT52" s="188"/>
      <c r="AU52" s="188"/>
      <c r="AV52" s="188"/>
      <c r="AW52" s="188"/>
      <c r="AX52" s="188"/>
      <c r="AY52" s="188"/>
      <c r="AZ52" s="188"/>
      <c r="BA52" s="188"/>
      <c r="BB52" s="188"/>
      <c r="BC52" s="188"/>
      <c r="BD52" s="188"/>
      <c r="BE52" s="188"/>
      <c r="BF52" s="188"/>
      <c r="BG52" s="188"/>
      <c r="BH52" s="188"/>
      <c r="BI52" s="188"/>
      <c r="BJ52" s="188"/>
      <c r="BK52" s="188"/>
      <c r="BL52" s="188"/>
      <c r="BM52" s="188"/>
      <c r="BN52" s="188"/>
      <c r="BO52" s="188"/>
      <c r="BP52" s="188"/>
      <c r="BQ52" s="188"/>
      <c r="BR52" s="188"/>
      <c r="BS52" s="188"/>
      <c r="BT52" s="188"/>
      <c r="BU52" s="188"/>
      <c r="BV52" s="188"/>
    </row>
    <row r="53" spans="1:74" ht="12.75" customHeight="1" thickBot="1" x14ac:dyDescent="0.3">
      <c r="A53" s="190"/>
      <c r="B53" s="191"/>
      <c r="C53" s="188"/>
      <c r="D53" s="188"/>
      <c r="E53" s="188"/>
      <c r="F53" s="188"/>
      <c r="G53" s="188"/>
      <c r="H53" s="188"/>
      <c r="I53" s="188"/>
      <c r="J53" s="188"/>
      <c r="K53" s="188"/>
      <c r="L53" s="188"/>
      <c r="M53" s="188"/>
      <c r="N53" s="188"/>
      <c r="O53" s="188"/>
      <c r="P53" s="188"/>
      <c r="Q53" s="188"/>
      <c r="R53" s="188"/>
      <c r="S53" s="188"/>
      <c r="T53" s="188"/>
      <c r="U53" s="188"/>
      <c r="V53" s="188"/>
      <c r="W53" s="188"/>
      <c r="X53" s="188"/>
      <c r="Y53" s="188"/>
      <c r="Z53" s="188"/>
      <c r="AA53" s="188"/>
      <c r="AB53" s="188"/>
      <c r="AC53" s="188"/>
      <c r="AD53" s="188"/>
      <c r="AE53" s="188"/>
      <c r="AF53" s="188"/>
      <c r="AG53" s="188"/>
      <c r="AH53" s="188"/>
      <c r="AI53" s="188"/>
      <c r="AJ53" s="188"/>
      <c r="AK53" s="188"/>
      <c r="AL53" s="188"/>
      <c r="AM53" s="188"/>
      <c r="AN53" s="188"/>
      <c r="AO53" s="188"/>
      <c r="AP53" s="188"/>
      <c r="AQ53" s="188"/>
      <c r="AR53" s="188"/>
      <c r="AS53" s="188"/>
      <c r="AT53" s="188"/>
      <c r="AU53" s="188"/>
      <c r="AV53" s="188"/>
      <c r="AW53" s="188"/>
      <c r="AX53" s="188"/>
      <c r="AY53" s="188"/>
      <c r="AZ53" s="188"/>
      <c r="BA53" s="188"/>
      <c r="BB53" s="188"/>
      <c r="BC53" s="188"/>
      <c r="BD53" s="188"/>
      <c r="BE53" s="188"/>
      <c r="BF53" s="188"/>
      <c r="BG53" s="188"/>
      <c r="BH53" s="188"/>
      <c r="BI53" s="188"/>
      <c r="BJ53" s="188"/>
      <c r="BK53" s="188"/>
      <c r="BL53" s="188"/>
      <c r="BM53" s="188"/>
      <c r="BN53" s="188"/>
      <c r="BO53" s="188"/>
      <c r="BP53" s="188"/>
      <c r="BQ53" s="188"/>
      <c r="BR53" s="188"/>
      <c r="BS53" s="188"/>
      <c r="BT53" s="188"/>
      <c r="BU53" s="188"/>
      <c r="BV53" s="188"/>
    </row>
    <row r="54" spans="1:74" s="102" customFormat="1" x14ac:dyDescent="0.25">
      <c r="A54" s="193">
        <v>603060</v>
      </c>
      <c r="B54" s="178">
        <f>自由现金流分析表!E1</f>
        <v>43100</v>
      </c>
      <c r="C54" s="189"/>
      <c r="D54" s="189"/>
      <c r="E54" s="189"/>
      <c r="F54" s="189"/>
      <c r="G54" s="189"/>
      <c r="H54" s="189"/>
      <c r="I54" s="189"/>
      <c r="J54" s="189"/>
      <c r="K54" s="189"/>
      <c r="L54" s="189"/>
      <c r="M54" s="189"/>
      <c r="N54" s="189"/>
      <c r="O54" s="189"/>
      <c r="P54" s="189"/>
      <c r="Q54" s="189"/>
      <c r="R54" s="189"/>
      <c r="S54" s="189"/>
      <c r="T54" s="189"/>
      <c r="U54" s="189"/>
      <c r="V54" s="189"/>
      <c r="W54" s="189"/>
      <c r="X54" s="189"/>
      <c r="Y54" s="189"/>
      <c r="Z54" s="189"/>
      <c r="AA54" s="189"/>
      <c r="AB54" s="189"/>
      <c r="AC54" s="189"/>
      <c r="AD54" s="189"/>
      <c r="AE54" s="189"/>
      <c r="AF54" s="189"/>
      <c r="AG54" s="189"/>
      <c r="AH54" s="189"/>
      <c r="AI54" s="189"/>
      <c r="AJ54" s="189"/>
      <c r="AK54" s="189"/>
      <c r="AL54" s="189"/>
      <c r="AM54" s="189"/>
      <c r="AN54" s="189"/>
      <c r="AO54" s="189"/>
      <c r="AP54" s="189"/>
      <c r="AQ54" s="189"/>
      <c r="AR54" s="189"/>
      <c r="AS54" s="189"/>
      <c r="AT54" s="189"/>
      <c r="AU54" s="189"/>
      <c r="AV54" s="189"/>
      <c r="AW54" s="189"/>
      <c r="AX54" s="189"/>
      <c r="AY54" s="189"/>
      <c r="AZ54" s="189"/>
      <c r="BA54" s="189"/>
      <c r="BB54" s="189"/>
      <c r="BC54" s="189"/>
      <c r="BD54" s="189"/>
      <c r="BE54" s="189"/>
      <c r="BF54" s="189"/>
      <c r="BG54" s="189"/>
      <c r="BH54" s="189"/>
      <c r="BI54" s="189"/>
      <c r="BJ54" s="189"/>
      <c r="BK54" s="189"/>
      <c r="BL54" s="189"/>
      <c r="BM54" s="189"/>
      <c r="BN54" s="189"/>
      <c r="BO54" s="189"/>
      <c r="BP54" s="189"/>
      <c r="BQ54" s="189"/>
      <c r="BR54" s="189"/>
      <c r="BS54" s="189"/>
      <c r="BT54" s="189"/>
      <c r="BU54" s="189"/>
      <c r="BV54" s="189"/>
    </row>
    <row r="55" spans="1:74" s="101" customFormat="1" x14ac:dyDescent="0.25">
      <c r="A55" s="210" t="s">
        <v>549</v>
      </c>
      <c r="B55" s="99">
        <v>220000000</v>
      </c>
      <c r="C55" s="211"/>
      <c r="D55" s="211"/>
      <c r="E55" s="211"/>
      <c r="F55" s="211"/>
      <c r="G55" s="211"/>
      <c r="H55" s="211"/>
      <c r="I55" s="211"/>
      <c r="J55" s="211"/>
      <c r="K55" s="211"/>
      <c r="L55" s="211"/>
      <c r="M55" s="211"/>
      <c r="N55" s="211"/>
      <c r="O55" s="211"/>
      <c r="P55" s="211"/>
      <c r="Q55" s="211"/>
      <c r="R55" s="211"/>
      <c r="S55" s="211"/>
      <c r="T55" s="211"/>
      <c r="U55" s="211"/>
      <c r="V55" s="211"/>
      <c r="W55" s="211"/>
      <c r="X55" s="211"/>
      <c r="Y55" s="211"/>
      <c r="Z55" s="211"/>
      <c r="AA55" s="211"/>
      <c r="AB55" s="211"/>
      <c r="AC55" s="211"/>
      <c r="AD55" s="211"/>
      <c r="AE55" s="211"/>
      <c r="AF55" s="211"/>
      <c r="AG55" s="211"/>
      <c r="AH55" s="211"/>
      <c r="AI55" s="211"/>
      <c r="AJ55" s="211"/>
      <c r="AK55" s="211"/>
      <c r="AL55" s="211"/>
      <c r="AM55" s="211"/>
      <c r="AN55" s="211"/>
      <c r="AO55" s="211"/>
      <c r="AP55" s="211"/>
      <c r="AQ55" s="211"/>
      <c r="AR55" s="211"/>
      <c r="AS55" s="211"/>
      <c r="AT55" s="211"/>
      <c r="AU55" s="211"/>
      <c r="AV55" s="211"/>
      <c r="AW55" s="211"/>
      <c r="AX55" s="211"/>
      <c r="AY55" s="211"/>
      <c r="AZ55" s="211"/>
      <c r="BA55" s="211"/>
      <c r="BB55" s="211"/>
      <c r="BC55" s="211"/>
      <c r="BD55" s="211"/>
      <c r="BE55" s="211"/>
      <c r="BF55" s="211"/>
      <c r="BG55" s="211"/>
      <c r="BH55" s="211"/>
      <c r="BI55" s="211"/>
      <c r="BJ55" s="211"/>
      <c r="BK55" s="211"/>
      <c r="BL55" s="211"/>
      <c r="BM55" s="211"/>
      <c r="BN55" s="211"/>
      <c r="BO55" s="211"/>
      <c r="BP55" s="211"/>
      <c r="BQ55" s="211"/>
      <c r="BR55" s="211"/>
      <c r="BS55" s="211"/>
      <c r="BT55" s="211"/>
      <c r="BU55" s="211"/>
      <c r="BV55" s="211"/>
    </row>
    <row r="56" spans="1:74" s="62" customFormat="1" ht="15" thickBot="1" x14ac:dyDescent="0.3">
      <c r="A56" s="73"/>
      <c r="B56" s="92"/>
    </row>
    <row r="57" spans="1:74" ht="52.8" customHeight="1" x14ac:dyDescent="0.25">
      <c r="A57" s="294" t="s">
        <v>739</v>
      </c>
      <c r="B57" s="295"/>
      <c r="C57" s="295"/>
      <c r="D57" s="295"/>
      <c r="E57" s="295"/>
      <c r="F57" s="295"/>
      <c r="G57" s="295"/>
      <c r="H57" s="295"/>
      <c r="I57" s="295"/>
    </row>
    <row r="60" spans="1:74" s="154" customFormat="1" ht="51" customHeight="1" x14ac:dyDescent="0.25">
      <c r="A60" s="292" t="s">
        <v>607</v>
      </c>
      <c r="B60" s="293"/>
      <c r="C60" s="293"/>
      <c r="D60" s="293"/>
      <c r="E60" s="293"/>
      <c r="F60" s="293"/>
      <c r="G60" s="293"/>
      <c r="H60" s="293"/>
      <c r="I60" s="293"/>
    </row>
    <row r="63" spans="1:74" s="4" customFormat="1" x14ac:dyDescent="0.25">
      <c r="A63" s="176" t="s">
        <v>609</v>
      </c>
      <c r="B63" s="175" t="s">
        <v>610</v>
      </c>
      <c r="C63" s="95" t="s">
        <v>611</v>
      </c>
      <c r="D63" s="95" t="s">
        <v>612</v>
      </c>
      <c r="E63" s="95" t="s">
        <v>627</v>
      </c>
      <c r="F63" s="95" t="s">
        <v>613</v>
      </c>
      <c r="G63" s="95" t="s">
        <v>614</v>
      </c>
      <c r="H63" s="95" t="s">
        <v>623</v>
      </c>
      <c r="I63" s="95" t="s">
        <v>616</v>
      </c>
      <c r="J63" s="95" t="s">
        <v>622</v>
      </c>
      <c r="K63" s="95" t="s">
        <v>618</v>
      </c>
      <c r="L63" s="95" t="s">
        <v>624</v>
      </c>
    </row>
    <row r="64" spans="1:74" s="26" customFormat="1" x14ac:dyDescent="0.25">
      <c r="A64" s="177">
        <f>股权价值增加表!M1</f>
        <v>42369</v>
      </c>
      <c r="B64" s="165">
        <v>42366</v>
      </c>
      <c r="C64" s="164">
        <v>17.39</v>
      </c>
      <c r="D64" s="164">
        <v>3.4</v>
      </c>
      <c r="E64" s="166">
        <f>股权价值增加表!M42/100000000</f>
        <v>1.1274501278</v>
      </c>
      <c r="F64" s="166">
        <v>0</v>
      </c>
      <c r="G64" s="164">
        <v>16.47</v>
      </c>
      <c r="H64" s="166">
        <f>G64*D64</f>
        <v>55.997999999999998</v>
      </c>
      <c r="I64" s="166">
        <f>C64*D64</f>
        <v>59.125999999999998</v>
      </c>
      <c r="J64" s="166">
        <f>H64/E64</f>
        <v>49.667828863764662</v>
      </c>
      <c r="K64" s="166">
        <f>I64/E64</f>
        <v>52.442230961801307</v>
      </c>
      <c r="L64" s="261">
        <v>0</v>
      </c>
    </row>
    <row r="65" spans="1:12" s="26" customFormat="1" x14ac:dyDescent="0.25">
      <c r="A65" s="177">
        <f>股权价值增加表!I1</f>
        <v>42735</v>
      </c>
      <c r="B65" s="165">
        <v>42543</v>
      </c>
      <c r="C65" s="164">
        <v>23.13</v>
      </c>
      <c r="D65" s="164">
        <v>3.64</v>
      </c>
      <c r="E65" s="166">
        <f>股权价值增加表!I42/100000000</f>
        <v>1.2731421850999995</v>
      </c>
      <c r="F65" s="166">
        <f>(E65-E64)/E64*100</f>
        <v>12.922261810754264</v>
      </c>
      <c r="G65" s="164">
        <v>23.11</v>
      </c>
      <c r="H65" s="166">
        <f t="shared" ref="H65:H66" si="8">G65*D65</f>
        <v>84.120400000000004</v>
      </c>
      <c r="I65" s="166">
        <f t="shared" ref="I65:I66" si="9">C65*D65</f>
        <v>84.193200000000004</v>
      </c>
      <c r="J65" s="166">
        <f t="shared" ref="J65:J66" si="10">H65/E65</f>
        <v>66.073060012061987</v>
      </c>
      <c r="K65" s="166">
        <f t="shared" ref="K65:K66" si="11">I65/E65</f>
        <v>66.130241370791595</v>
      </c>
      <c r="L65" s="261">
        <f>K65/F65</f>
        <v>5.1175438432733324</v>
      </c>
    </row>
    <row r="66" spans="1:12" s="26" customFormat="1" x14ac:dyDescent="0.25">
      <c r="A66" s="177">
        <f>股权价值增加表!E1</f>
        <v>43100</v>
      </c>
      <c r="B66" s="165">
        <v>42872</v>
      </c>
      <c r="C66" s="164">
        <v>16.399999999999999</v>
      </c>
      <c r="D66" s="164">
        <v>9.09</v>
      </c>
      <c r="E66" s="166">
        <f>股权价值增加表!E42/100000000</f>
        <v>1.4004010768999999</v>
      </c>
      <c r="F66" s="166">
        <f t="shared" ref="F66" si="12">(E66-E65)/E65*100</f>
        <v>9.9956543180606943</v>
      </c>
      <c r="G66" s="164">
        <v>15.76</v>
      </c>
      <c r="H66" s="166">
        <f t="shared" si="8"/>
        <v>143.25839999999999</v>
      </c>
      <c r="I66" s="166">
        <f t="shared" si="9"/>
        <v>149.07599999999999</v>
      </c>
      <c r="J66" s="166">
        <f t="shared" si="10"/>
        <v>102.2981218474383</v>
      </c>
      <c r="K66" s="166">
        <f t="shared" si="11"/>
        <v>106.45236029809568</v>
      </c>
      <c r="L66" s="261">
        <f t="shared" ref="L66" si="13">K66/F66</f>
        <v>10.649864122026683</v>
      </c>
    </row>
    <row r="67" spans="1:12" s="26" customFormat="1" x14ac:dyDescent="0.25">
      <c r="A67" s="160"/>
      <c r="B67" s="161"/>
      <c r="C67" s="82"/>
      <c r="D67" s="82"/>
      <c r="E67" s="82"/>
      <c r="F67" s="163"/>
      <c r="G67" s="82"/>
      <c r="H67" s="163"/>
      <c r="I67" s="163"/>
      <c r="J67" s="163"/>
      <c r="K67" s="163"/>
      <c r="L67" s="262"/>
    </row>
    <row r="68" spans="1:12" s="155" customFormat="1" ht="15" thickBot="1" x14ac:dyDescent="0.3">
      <c r="A68" s="162" t="s">
        <v>621</v>
      </c>
      <c r="B68" s="44" t="s">
        <v>610</v>
      </c>
      <c r="C68" s="44" t="s">
        <v>611</v>
      </c>
      <c r="D68" s="44" t="s">
        <v>612</v>
      </c>
      <c r="E68" s="44" t="s">
        <v>620</v>
      </c>
      <c r="F68" s="44" t="s">
        <v>613</v>
      </c>
      <c r="G68" s="44" t="s">
        <v>614</v>
      </c>
      <c r="H68" s="44" t="s">
        <v>615</v>
      </c>
      <c r="I68" s="44" t="s">
        <v>616</v>
      </c>
      <c r="J68" s="44" t="s">
        <v>617</v>
      </c>
      <c r="K68" s="44" t="s">
        <v>618</v>
      </c>
      <c r="L68" s="263" t="s">
        <v>619</v>
      </c>
    </row>
    <row r="69" spans="1:12" s="26" customFormat="1" ht="15" thickBot="1" x14ac:dyDescent="0.3">
      <c r="A69" s="167" t="s">
        <v>626</v>
      </c>
      <c r="B69" s="168">
        <v>43305</v>
      </c>
      <c r="C69" s="169">
        <v>11.65</v>
      </c>
      <c r="D69" s="169">
        <v>9.09</v>
      </c>
      <c r="E69" s="169">
        <v>4.33</v>
      </c>
      <c r="F69" s="170">
        <f>(E69-E66)/E66*100</f>
        <v>209.19713440845902</v>
      </c>
      <c r="G69" s="169">
        <v>10.119999999999999</v>
      </c>
      <c r="H69" s="170">
        <f>G69*D69</f>
        <v>91.990799999999993</v>
      </c>
      <c r="I69" s="170">
        <f>C69*D69</f>
        <v>105.8985</v>
      </c>
      <c r="J69" s="170">
        <f>H69/E69</f>
        <v>21.244988452655885</v>
      </c>
      <c r="K69" s="170">
        <f>I69/E69</f>
        <v>24.456928406466513</v>
      </c>
      <c r="L69" s="264">
        <f>K69/F69</f>
        <v>0.11690852494525174</v>
      </c>
    </row>
    <row r="70" spans="1:12" s="26" customFormat="1" ht="15" thickBot="1" x14ac:dyDescent="0.3">
      <c r="A70" s="171" t="s">
        <v>625</v>
      </c>
      <c r="B70" s="172">
        <v>43305</v>
      </c>
      <c r="C70" s="173">
        <v>11.65</v>
      </c>
      <c r="D70" s="173">
        <v>9.09</v>
      </c>
      <c r="E70" s="173">
        <v>3.86</v>
      </c>
      <c r="F70" s="174">
        <f>(E70-E66)/E66*100</f>
        <v>175.63532074287568</v>
      </c>
      <c r="G70" s="169">
        <v>10.119999999999999</v>
      </c>
      <c r="H70" s="174">
        <f t="shared" ref="H70" si="14">G70*D70</f>
        <v>91.990799999999993</v>
      </c>
      <c r="I70" s="174">
        <f t="shared" ref="I70" si="15">C70*D70</f>
        <v>105.8985</v>
      </c>
      <c r="J70" s="174">
        <f t="shared" ref="J70" si="16">H70/E70</f>
        <v>23.831813471502588</v>
      </c>
      <c r="K70" s="174">
        <f t="shared" ref="K70" si="17">I70/E70</f>
        <v>27.434844559585493</v>
      </c>
      <c r="L70" s="265">
        <f t="shared" ref="L70" si="18">K70/F70</f>
        <v>0.1562034586411534</v>
      </c>
    </row>
    <row r="71" spans="1:12" s="87" customFormat="1" ht="138" customHeight="1" x14ac:dyDescent="0.25">
      <c r="A71" s="290" t="s">
        <v>628</v>
      </c>
      <c r="B71" s="291"/>
      <c r="C71" s="291"/>
      <c r="D71" s="291"/>
      <c r="E71" s="291"/>
      <c r="F71" s="291"/>
      <c r="G71" s="291"/>
      <c r="H71" s="291"/>
    </row>
  </sheetData>
  <mergeCells count="16">
    <mergeCell ref="A71:H71"/>
    <mergeCell ref="A60:I60"/>
    <mergeCell ref="A57:I57"/>
    <mergeCell ref="A14:I14"/>
    <mergeCell ref="D22:H22"/>
    <mergeCell ref="A18:B18"/>
    <mergeCell ref="A21:B21"/>
    <mergeCell ref="A22:B22"/>
    <mergeCell ref="C29:E29"/>
    <mergeCell ref="A33:I33"/>
    <mergeCell ref="C50:E50"/>
    <mergeCell ref="D42:H42"/>
    <mergeCell ref="I42:R42"/>
    <mergeCell ref="A38:B38"/>
    <mergeCell ref="A41:B41"/>
    <mergeCell ref="A42:B42"/>
  </mergeCells>
  <phoneticPr fontId="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资产负债表</vt:lpstr>
      <vt:lpstr>利润表</vt:lpstr>
      <vt:lpstr>现金流量表</vt:lpstr>
      <vt:lpstr>资产资本表</vt:lpstr>
      <vt:lpstr>股权价值增加表</vt:lpstr>
      <vt:lpstr>投资和筹资活动现金流表</vt:lpstr>
      <vt:lpstr>平均资本成本表</vt:lpstr>
      <vt:lpstr>资产资本结构分析表</vt:lpstr>
      <vt:lpstr>股权价值增加分析表</vt:lpstr>
      <vt:lpstr>股东权益回报率分析表</vt:lpstr>
      <vt:lpstr>自由现金流分析表</vt:lpstr>
      <vt:lpstr>根据DCF测算价值表</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Justin</dc:creator>
  <cp:lastModifiedBy>Justin Zhang</cp:lastModifiedBy>
  <dcterms:created xsi:type="dcterms:W3CDTF">2018-12-03T08:51:04Z</dcterms:created>
  <dcterms:modified xsi:type="dcterms:W3CDTF">2019-02-15T14:47:03Z</dcterms:modified>
</cp:coreProperties>
</file>